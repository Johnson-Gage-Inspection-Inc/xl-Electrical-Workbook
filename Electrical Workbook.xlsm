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GI\git\Electrical-Workbook\"/>
    </mc:Choice>
  </mc:AlternateContent>
  <xr:revisionPtr revIDLastSave="0" documentId="13_ncr:1_{44402727-4507-42B2-95EE-DD771839C5CE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Print" sheetId="29" r:id="rId1"/>
    <sheet name="Worksheet" sheetId="3" r:id="rId2"/>
    <sheet name="Unc. Lookup" sheetId="31" r:id="rId3"/>
    <sheet name="Items" sheetId="35" r:id="rId4"/>
  </sheets>
  <functionGroups builtInGroupCount="19"/>
  <definedNames>
    <definedName name="_xleta.UNIQUE" hidden="1" xlm="1">#NAME?</definedName>
    <definedName name="ExternalData_1" localSheetId="2" hidden="1">'Unc. Lookup'!$A$1:$O$2959</definedName>
    <definedName name="ExternalData_2" localSheetId="3" hidden="1">Items!$A$1:$B$43</definedName>
    <definedName name="_xlnm.Print_Area" localSheetId="0">Print!$A:$G</definedName>
    <definedName name="_xlnm.Print_Area" localSheetId="1">Worksheet!$B$1:$H$46</definedName>
    <definedName name="_xlnm.Print_Titles" localSheetId="0">Print!$1:$3</definedName>
  </definedNames>
  <calcPr calcId="191029"/>
  <pivotCaches>
    <pivotCache cacheId="1" r:id="rId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6" i="3" l="1" a="1"/>
  <c r="H22" i="3" a="1"/>
  <c r="H23" i="3" a="1"/>
  <c r="H12" i="3" a="1"/>
  <c r="H30" i="3" a="1"/>
  <c r="H26" i="3" a="1"/>
  <c r="H27" i="3" a="1"/>
  <c r="H28" i="3" a="1"/>
  <c r="H18" i="3" a="1"/>
  <c r="H25" i="3" a="1"/>
  <c r="H9" i="3" a="1"/>
  <c r="H11" i="3" a="1"/>
  <c r="H29" i="3" a="1"/>
  <c r="H24" i="3" a="1"/>
  <c r="H21" i="3" a="1"/>
  <c r="H13" i="3" a="1"/>
  <c r="H20" i="3" a="1"/>
  <c r="H19" i="3" a="1"/>
  <c r="H7" i="3" a="1"/>
  <c r="H10" i="3" a="1"/>
  <c r="H17" i="3" a="1"/>
  <c r="H14" i="3" a="1"/>
  <c r="H15" i="3" a="1"/>
  <c r="C16" i="3" a="1"/>
  <c r="C22" i="3" a="1"/>
  <c r="C28" i="3" a="1"/>
  <c r="C34" i="3" a="1"/>
  <c r="C40" i="3" a="1"/>
  <c r="C46" i="3" a="1"/>
  <c r="C52" i="3" a="1"/>
  <c r="C58" i="3" a="1"/>
  <c r="C64" i="3" a="1"/>
  <c r="C70" i="3" a="1"/>
  <c r="C76" i="3" a="1"/>
  <c r="C82" i="3" a="1"/>
  <c r="C88" i="3" a="1"/>
  <c r="C94" i="3" a="1"/>
  <c r="C100" i="3" a="1"/>
  <c r="C106" i="3" a="1"/>
  <c r="C78" i="3" a="1"/>
  <c r="C108" i="3" a="1"/>
  <c r="C97" i="3" a="1"/>
  <c r="C56" i="3" a="1"/>
  <c r="C98" i="3" a="1"/>
  <c r="C39" i="3" a="1"/>
  <c r="C93" i="3" a="1"/>
  <c r="C83" i="3" a="1"/>
  <c r="C66" i="3" a="1"/>
  <c r="C90" i="3" a="1"/>
  <c r="C91" i="3" a="1"/>
  <c r="C62" i="3" a="1"/>
  <c r="C110" i="3" a="1"/>
  <c r="C69" i="3" a="1"/>
  <c r="C99" i="3" a="1"/>
  <c r="C11" i="3" a="1"/>
  <c r="C17" i="3" a="1"/>
  <c r="C23" i="3" a="1"/>
  <c r="C29" i="3" a="1"/>
  <c r="C35" i="3" a="1"/>
  <c r="C41" i="3" a="1"/>
  <c r="C47" i="3" a="1"/>
  <c r="C53" i="3" a="1"/>
  <c r="C59" i="3" a="1"/>
  <c r="C65" i="3" a="1"/>
  <c r="C71" i="3" a="1"/>
  <c r="C77" i="3" a="1"/>
  <c r="C89" i="3" a="1"/>
  <c r="C95" i="3" a="1"/>
  <c r="C101" i="3" a="1"/>
  <c r="C107" i="3" a="1"/>
  <c r="C54" i="3" a="1"/>
  <c r="C84" i="3" a="1"/>
  <c r="C85" i="3" a="1"/>
  <c r="C32" i="3" a="1"/>
  <c r="C104" i="3" a="1"/>
  <c r="C63" i="3" a="1"/>
  <c r="C105" i="3" a="1"/>
  <c r="C18" i="3" a="1"/>
  <c r="C60" i="3" a="1"/>
  <c r="C96" i="3" a="1"/>
  <c r="C109" i="3" a="1"/>
  <c r="C68" i="3" a="1"/>
  <c r="C21" i="3" a="1"/>
  <c r="C87" i="3" a="1"/>
  <c r="C12" i="3" a="1"/>
  <c r="C24" i="3" a="1"/>
  <c r="C30" i="3" a="1"/>
  <c r="C36" i="3" a="1"/>
  <c r="C42" i="3" a="1"/>
  <c r="C48" i="3" a="1"/>
  <c r="C72" i="3" a="1"/>
  <c r="C102" i="3" a="1"/>
  <c r="C44" i="3" a="1"/>
  <c r="C92" i="3" a="1"/>
  <c r="C51" i="3" a="1"/>
  <c r="C61" i="3" a="1"/>
  <c r="C86" i="3" a="1"/>
  <c r="C33" i="3" a="1"/>
  <c r="C13" i="3" a="1"/>
  <c r="C19" i="3" a="1"/>
  <c r="C25" i="3" a="1"/>
  <c r="C31" i="3" a="1"/>
  <c r="C37" i="3" a="1"/>
  <c r="C43" i="3" a="1"/>
  <c r="C49" i="3" a="1"/>
  <c r="C55" i="3" a="1"/>
  <c r="C67" i="3" a="1"/>
  <c r="C73" i="3" a="1"/>
  <c r="C79" i="3" a="1"/>
  <c r="C103" i="3" a="1"/>
  <c r="C74" i="3" a="1"/>
  <c r="C27" i="3" a="1"/>
  <c r="C20" i="3" a="1"/>
  <c r="C26" i="3" a="1"/>
  <c r="C50" i="3" a="1"/>
  <c r="C80" i="3" a="1"/>
  <c r="C45" i="3" a="1"/>
  <c r="C38" i="3" a="1"/>
  <c r="C57" i="3" a="1"/>
  <c r="C75" i="3" a="1"/>
  <c r="C15" i="3" a="1"/>
  <c r="C81" i="3" a="1"/>
  <c r="C8" i="3" a="1"/>
  <c r="C9" i="3" a="1"/>
  <c r="C81" i="3" l="1"/>
  <c r="C15" i="3"/>
  <c r="C75" i="3"/>
  <c r="C57" i="3"/>
  <c r="C38" i="3"/>
  <c r="C45" i="3"/>
  <c r="C80" i="3"/>
  <c r="C50" i="3"/>
  <c r="C26" i="3"/>
  <c r="C20" i="3"/>
  <c r="C27" i="3"/>
  <c r="C74" i="3"/>
  <c r="C103" i="3"/>
  <c r="C79" i="3"/>
  <c r="C73" i="3"/>
  <c r="C67" i="3"/>
  <c r="C55" i="3"/>
  <c r="C49" i="3"/>
  <c r="C43" i="3"/>
  <c r="C37" i="3"/>
  <c r="C31" i="3"/>
  <c r="C25" i="3"/>
  <c r="C19" i="3"/>
  <c r="C13" i="3"/>
  <c r="C33" i="3"/>
  <c r="C86" i="3"/>
  <c r="C61" i="3"/>
  <c r="C51" i="3"/>
  <c r="C92" i="3"/>
  <c r="C44" i="3"/>
  <c r="C102" i="3"/>
  <c r="C72" i="3"/>
  <c r="C48" i="3"/>
  <c r="C42" i="3"/>
  <c r="C36" i="3"/>
  <c r="C30" i="3"/>
  <c r="C24" i="3"/>
  <c r="C12" i="3"/>
  <c r="C87" i="3"/>
  <c r="C21" i="3"/>
  <c r="C68" i="3"/>
  <c r="C109" i="3"/>
  <c r="C96" i="3"/>
  <c r="C60" i="3"/>
  <c r="C18" i="3"/>
  <c r="C105" i="3"/>
  <c r="C63" i="3"/>
  <c r="C104" i="3"/>
  <c r="C32" i="3"/>
  <c r="C85" i="3"/>
  <c r="C84" i="3"/>
  <c r="C54" i="3"/>
  <c r="C107" i="3"/>
  <c r="C101" i="3"/>
  <c r="C95" i="3"/>
  <c r="C89" i="3"/>
  <c r="C77" i="3"/>
  <c r="C71" i="3"/>
  <c r="C65" i="3"/>
  <c r="C59" i="3"/>
  <c r="C53" i="3"/>
  <c r="C47" i="3"/>
  <c r="C41" i="3"/>
  <c r="C35" i="3"/>
  <c r="C29" i="3"/>
  <c r="C23" i="3"/>
  <c r="C17" i="3"/>
  <c r="C11" i="3"/>
  <c r="C99" i="3"/>
  <c r="C69" i="3"/>
  <c r="C110" i="3"/>
  <c r="C62" i="3"/>
  <c r="C91" i="3"/>
  <c r="C90" i="3"/>
  <c r="C66" i="3"/>
  <c r="C83" i="3"/>
  <c r="C93" i="3"/>
  <c r="C39" i="3"/>
  <c r="C98" i="3"/>
  <c r="C56" i="3"/>
  <c r="C97" i="3"/>
  <c r="C108" i="3"/>
  <c r="C78" i="3"/>
  <c r="C106" i="3"/>
  <c r="C100" i="3"/>
  <c r="C94" i="3"/>
  <c r="C88" i="3"/>
  <c r="C82" i="3"/>
  <c r="C76" i="3"/>
  <c r="C70" i="3"/>
  <c r="C64" i="3"/>
  <c r="C58" i="3"/>
  <c r="C52" i="3"/>
  <c r="C46" i="3"/>
  <c r="C40" i="3"/>
  <c r="C34" i="3"/>
  <c r="C28" i="3"/>
  <c r="C22" i="3"/>
  <c r="C16" i="3"/>
  <c r="C8" i="3"/>
  <c r="C9" i="3"/>
  <c r="H15" i="3"/>
  <c r="H19" i="3"/>
  <c r="H20" i="3"/>
  <c r="H13" i="3"/>
  <c r="H21" i="3"/>
  <c r="H14" i="3"/>
  <c r="H24" i="3"/>
  <c r="H29" i="3"/>
  <c r="H17" i="3"/>
  <c r="H11" i="3"/>
  <c r="H9" i="3"/>
  <c r="H25" i="3"/>
  <c r="H18" i="3"/>
  <c r="H28" i="3"/>
  <c r="H10" i="3"/>
  <c r="H27" i="3"/>
  <c r="H26" i="3"/>
  <c r="H30" i="3"/>
  <c r="H12" i="3"/>
  <c r="H23" i="3"/>
  <c r="H22" i="3"/>
  <c r="H16" i="3"/>
  <c r="H7" i="3"/>
  <c r="H8" i="3" a="1"/>
  <c r="H8" i="3"/>
  <c r="H6" i="3" a="1"/>
  <c r="H6" i="3" l="1"/>
  <c r="AB6" i="3" l="1"/>
  <c r="AC6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AB7" i="3" l="1"/>
  <c r="AC7" i="3"/>
  <c r="AB8" i="3"/>
  <c r="AC8" i="3"/>
  <c r="AB9" i="3"/>
  <c r="AC9" i="3"/>
  <c r="AB10" i="3"/>
  <c r="AC10" i="3"/>
  <c r="AB11" i="3"/>
  <c r="AC11" i="3"/>
  <c r="AB12" i="3"/>
  <c r="AC12" i="3"/>
  <c r="AB13" i="3"/>
  <c r="AC13" i="3"/>
  <c r="AB14" i="3"/>
  <c r="AC14" i="3"/>
  <c r="AB15" i="3"/>
  <c r="AC15" i="3"/>
  <c r="AB16" i="3"/>
  <c r="AC16" i="3"/>
  <c r="AB17" i="3"/>
  <c r="AC17" i="3"/>
  <c r="AB18" i="3"/>
  <c r="AC18" i="3"/>
  <c r="AB19" i="3"/>
  <c r="AC19" i="3"/>
  <c r="AB20" i="3"/>
  <c r="AC20" i="3"/>
  <c r="AB21" i="3"/>
  <c r="AC21" i="3"/>
  <c r="AB22" i="3"/>
  <c r="AC22" i="3"/>
  <c r="AB23" i="3"/>
  <c r="AC23" i="3"/>
  <c r="AB24" i="3"/>
  <c r="AC24" i="3"/>
  <c r="AB25" i="3"/>
  <c r="AC25" i="3"/>
  <c r="AB26" i="3"/>
  <c r="AC26" i="3"/>
  <c r="AB27" i="3"/>
  <c r="AC27" i="3"/>
  <c r="AB28" i="3"/>
  <c r="AC28" i="3"/>
  <c r="AB29" i="3"/>
  <c r="AC29" i="3"/>
  <c r="AB30" i="3"/>
  <c r="AC30" i="3"/>
  <c r="AB31" i="3"/>
  <c r="AC31" i="3"/>
  <c r="AB32" i="3"/>
  <c r="AC32" i="3"/>
  <c r="AB33" i="3"/>
  <c r="AC33" i="3"/>
  <c r="AB34" i="3"/>
  <c r="AC34" i="3"/>
  <c r="AB35" i="3"/>
  <c r="AC35" i="3"/>
  <c r="AB36" i="3"/>
  <c r="AC36" i="3"/>
  <c r="AB37" i="3"/>
  <c r="AC37" i="3"/>
  <c r="AB38" i="3"/>
  <c r="AC38" i="3"/>
  <c r="AB39" i="3"/>
  <c r="AC39" i="3"/>
  <c r="AB40" i="3"/>
  <c r="AC40" i="3"/>
  <c r="AB41" i="3"/>
  <c r="AC41" i="3"/>
  <c r="AB42" i="3"/>
  <c r="AC42" i="3"/>
  <c r="AB43" i="3"/>
  <c r="AC43" i="3"/>
  <c r="AB44" i="3"/>
  <c r="AC44" i="3"/>
  <c r="AB45" i="3"/>
  <c r="AC45" i="3"/>
  <c r="AB46" i="3"/>
  <c r="AC46" i="3"/>
  <c r="G46" i="3" s="1"/>
  <c r="AB47" i="3"/>
  <c r="AC47" i="3"/>
  <c r="AB48" i="3"/>
  <c r="AC48" i="3"/>
  <c r="G48" i="3" s="1"/>
  <c r="AB49" i="3"/>
  <c r="AC49" i="3"/>
  <c r="AB50" i="3"/>
  <c r="AC50" i="3"/>
  <c r="G50" i="3" s="1"/>
  <c r="AB51" i="3"/>
  <c r="AC51" i="3"/>
  <c r="AB52" i="3"/>
  <c r="AC52" i="3"/>
  <c r="G52" i="3" s="1"/>
  <c r="AB53" i="3"/>
  <c r="AC53" i="3"/>
  <c r="AB54" i="3"/>
  <c r="AC54" i="3"/>
  <c r="G54" i="3" s="1"/>
  <c r="AB55" i="3"/>
  <c r="AC55" i="3"/>
  <c r="AB56" i="3"/>
  <c r="AC56" i="3"/>
  <c r="G56" i="3" s="1"/>
  <c r="AB57" i="3"/>
  <c r="AC57" i="3"/>
  <c r="AB58" i="3"/>
  <c r="AC58" i="3"/>
  <c r="G58" i="3" s="1"/>
  <c r="AB59" i="3"/>
  <c r="AC59" i="3"/>
  <c r="AB60" i="3"/>
  <c r="AC60" i="3"/>
  <c r="G60" i="3" s="1"/>
  <c r="AB61" i="3"/>
  <c r="AC61" i="3"/>
  <c r="AB62" i="3"/>
  <c r="AC62" i="3"/>
  <c r="G62" i="3" s="1"/>
  <c r="AB63" i="3"/>
  <c r="AC63" i="3"/>
  <c r="AB64" i="3"/>
  <c r="AC64" i="3"/>
  <c r="G64" i="3" s="1"/>
  <c r="AB65" i="3"/>
  <c r="AC65" i="3"/>
  <c r="AB66" i="3"/>
  <c r="AC66" i="3"/>
  <c r="G66" i="3" s="1"/>
  <c r="AB67" i="3"/>
  <c r="AC67" i="3"/>
  <c r="AB68" i="3"/>
  <c r="AC68" i="3"/>
  <c r="G68" i="3" s="1"/>
  <c r="AB69" i="3"/>
  <c r="AC69" i="3"/>
  <c r="AB70" i="3"/>
  <c r="AC70" i="3"/>
  <c r="G70" i="3" s="1"/>
  <c r="AB71" i="3"/>
  <c r="AC71" i="3"/>
  <c r="AB72" i="3"/>
  <c r="AC72" i="3"/>
  <c r="G72" i="3" s="1"/>
  <c r="AB73" i="3"/>
  <c r="AC73" i="3"/>
  <c r="AB74" i="3"/>
  <c r="AC74" i="3"/>
  <c r="G74" i="3" s="1"/>
  <c r="AB75" i="3"/>
  <c r="AC75" i="3"/>
  <c r="AB76" i="3"/>
  <c r="AC76" i="3"/>
  <c r="G76" i="3" s="1"/>
  <c r="AB77" i="3"/>
  <c r="AC77" i="3"/>
  <c r="AB78" i="3"/>
  <c r="AC78" i="3"/>
  <c r="G78" i="3" s="1"/>
  <c r="AB79" i="3"/>
  <c r="AC79" i="3"/>
  <c r="AB80" i="3"/>
  <c r="AC80" i="3"/>
  <c r="G80" i="3" s="1"/>
  <c r="AB81" i="3"/>
  <c r="AC81" i="3"/>
  <c r="AB82" i="3"/>
  <c r="AC82" i="3"/>
  <c r="G82" i="3" s="1"/>
  <c r="AB83" i="3"/>
  <c r="AC83" i="3"/>
  <c r="AB84" i="3"/>
  <c r="AC84" i="3"/>
  <c r="G84" i="3" s="1"/>
  <c r="AB85" i="3"/>
  <c r="AC85" i="3"/>
  <c r="AB86" i="3"/>
  <c r="AC86" i="3"/>
  <c r="G86" i="3" s="1"/>
  <c r="AB87" i="3"/>
  <c r="AC87" i="3"/>
  <c r="AB88" i="3"/>
  <c r="AC88" i="3"/>
  <c r="G88" i="3" s="1"/>
  <c r="AB89" i="3"/>
  <c r="AC89" i="3"/>
  <c r="AB90" i="3"/>
  <c r="AC90" i="3"/>
  <c r="G90" i="3" s="1"/>
  <c r="AB91" i="3"/>
  <c r="AC91" i="3"/>
  <c r="AB92" i="3"/>
  <c r="AC92" i="3"/>
  <c r="G92" i="3" s="1"/>
  <c r="AB93" i="3"/>
  <c r="AC93" i="3"/>
  <c r="AB94" i="3"/>
  <c r="AC94" i="3"/>
  <c r="G94" i="3" s="1"/>
  <c r="AB95" i="3"/>
  <c r="AC95" i="3"/>
  <c r="AB96" i="3"/>
  <c r="AC96" i="3"/>
  <c r="G96" i="3" s="1"/>
  <c r="AB97" i="3"/>
  <c r="AC97" i="3"/>
  <c r="AB98" i="3"/>
  <c r="AC98" i="3"/>
  <c r="AB99" i="3"/>
  <c r="AC99" i="3"/>
  <c r="AB100" i="3"/>
  <c r="AC100" i="3"/>
  <c r="G100" i="3" s="1"/>
  <c r="AB101" i="3"/>
  <c r="AC101" i="3"/>
  <c r="AB102" i="3"/>
  <c r="AC102" i="3"/>
  <c r="G102" i="3" s="1"/>
  <c r="AB103" i="3"/>
  <c r="AC103" i="3"/>
  <c r="AB104" i="3"/>
  <c r="AC104" i="3"/>
  <c r="G104" i="3" s="1"/>
  <c r="AB105" i="3"/>
  <c r="AC105" i="3"/>
  <c r="AB106" i="3"/>
  <c r="AC106" i="3"/>
  <c r="AB107" i="3"/>
  <c r="AC107" i="3"/>
  <c r="AB108" i="3"/>
  <c r="AC108" i="3"/>
  <c r="G108" i="3" s="1"/>
  <c r="AB109" i="3"/>
  <c r="AC109" i="3"/>
  <c r="AB110" i="3"/>
  <c r="AC110" i="3"/>
  <c r="G110" i="3" s="1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8" i="3"/>
  <c r="G106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G93" i="3"/>
  <c r="F94" i="3"/>
  <c r="F95" i="3"/>
  <c r="G95" i="3"/>
  <c r="F96" i="3"/>
  <c r="F97" i="3"/>
  <c r="G97" i="3"/>
  <c r="F98" i="3"/>
  <c r="F99" i="3"/>
  <c r="G99" i="3"/>
  <c r="F100" i="3"/>
  <c r="F101" i="3"/>
  <c r="G101" i="3"/>
  <c r="F102" i="3"/>
  <c r="F103" i="3"/>
  <c r="G103" i="3"/>
  <c r="F104" i="3"/>
  <c r="F105" i="3"/>
  <c r="G105" i="3"/>
  <c r="F106" i="3"/>
  <c r="F107" i="3"/>
  <c r="G107" i="3"/>
  <c r="F108" i="3"/>
  <c r="F109" i="3"/>
  <c r="G109" i="3"/>
  <c r="F110" i="3"/>
  <c r="AF6" i="3" l="1"/>
  <c r="Y49" i="3" a="1"/>
  <c r="Y57" i="3" a="1"/>
  <c r="Y65" i="3" a="1"/>
  <c r="Y73" i="3" a="1"/>
  <c r="Y81" i="3" a="1"/>
  <c r="Y89" i="3" a="1"/>
  <c r="Y97" i="3" a="1"/>
  <c r="Y105" i="3" a="1"/>
  <c r="Y108" i="3" a="1"/>
  <c r="Y46" i="3" a="1"/>
  <c r="Y54" i="3" a="1"/>
  <c r="Y62" i="3" a="1"/>
  <c r="Y70" i="3" a="1"/>
  <c r="Y78" i="3" a="1"/>
  <c r="Y86" i="3" a="1"/>
  <c r="Y96" i="3" a="1"/>
  <c r="Y104" i="3" a="1"/>
  <c r="AG86" i="3" a="1"/>
  <c r="AG59" i="3" a="1"/>
  <c r="AG48" i="3" a="1"/>
  <c r="AG56" i="3" a="1"/>
  <c r="AG64" i="3" a="1"/>
  <c r="AG72" i="3" a="1"/>
  <c r="AG80" i="3" a="1"/>
  <c r="AG90" i="3" a="1"/>
  <c r="AG98" i="3" a="1"/>
  <c r="AG106" i="3" a="1"/>
  <c r="AG55" i="3" a="1"/>
  <c r="AG69" i="3" a="1"/>
  <c r="AG83" i="3" a="1"/>
  <c r="AG85" i="3" a="1"/>
  <c r="AG75" i="3" a="1"/>
  <c r="AG81" i="3" a="1"/>
  <c r="H46" i="3" a="1"/>
  <c r="H54" i="3" a="1"/>
  <c r="H62" i="3" a="1"/>
  <c r="H70" i="3" a="1"/>
  <c r="H78" i="3" a="1"/>
  <c r="H86" i="3" a="1"/>
  <c r="H94" i="3" a="1"/>
  <c r="H102" i="3" a="1"/>
  <c r="H110" i="3" a="1"/>
  <c r="H81" i="3" a="1"/>
  <c r="H97" i="3" a="1"/>
  <c r="Y51" i="3" a="1"/>
  <c r="Y59" i="3" a="1"/>
  <c r="Y67" i="3" a="1"/>
  <c r="Y75" i="3" a="1"/>
  <c r="Y83" i="3" a="1"/>
  <c r="Y91" i="3" a="1"/>
  <c r="Y99" i="3" a="1"/>
  <c r="Y107" i="3" a="1"/>
  <c r="Y48" i="3" a="1"/>
  <c r="Y56" i="3" a="1"/>
  <c r="Y64" i="3" a="1"/>
  <c r="Y72" i="3" a="1"/>
  <c r="Y80" i="3" a="1"/>
  <c r="Y88" i="3" a="1"/>
  <c r="Y98" i="3" a="1"/>
  <c r="Y106" i="3" a="1"/>
  <c r="AG45" i="3" a="1"/>
  <c r="AG63" i="3" a="1"/>
  <c r="AG50" i="3" a="1"/>
  <c r="AG58" i="3" a="1"/>
  <c r="AG66" i="3" a="1"/>
  <c r="AG74" i="3" a="1"/>
  <c r="AG82" i="3" a="1"/>
  <c r="AG92" i="3" a="1"/>
  <c r="AG100" i="3" a="1"/>
  <c r="AG108" i="3" a="1"/>
  <c r="AG57" i="3" a="1"/>
  <c r="AG73" i="3" a="1"/>
  <c r="AG91" i="3" a="1"/>
  <c r="AG93" i="3" a="1"/>
  <c r="AG87" i="3" a="1"/>
  <c r="AG89" i="3" a="1"/>
  <c r="H48" i="3" a="1"/>
  <c r="H56" i="3" a="1"/>
  <c r="H64" i="3" a="1"/>
  <c r="H72" i="3" a="1"/>
  <c r="H80" i="3" a="1"/>
  <c r="H88" i="3" a="1"/>
  <c r="H96" i="3" a="1"/>
  <c r="H104" i="3" a="1"/>
  <c r="H85" i="3" a="1"/>
  <c r="H101" i="3" a="1"/>
  <c r="H51" i="3" a="1"/>
  <c r="H59" i="3" a="1"/>
  <c r="H67" i="3" a="1"/>
  <c r="H79" i="3" a="1"/>
  <c r="H95" i="3" a="1"/>
  <c r="Y45" i="3" a="1"/>
  <c r="Y58" i="3" a="1"/>
  <c r="Y74" i="3" a="1"/>
  <c r="Y82" i="3" a="1"/>
  <c r="Y100" i="3" a="1"/>
  <c r="AG49" i="3" a="1"/>
  <c r="AG52" i="3" a="1"/>
  <c r="AG68" i="3" a="1"/>
  <c r="AG84" i="3" a="1"/>
  <c r="Y53" i="3" a="1"/>
  <c r="Y61" i="3" a="1"/>
  <c r="Y69" i="3" a="1"/>
  <c r="Y77" i="3" a="1"/>
  <c r="Y85" i="3" a="1"/>
  <c r="Y93" i="3" a="1"/>
  <c r="Y101" i="3" a="1"/>
  <c r="Y109" i="3" a="1"/>
  <c r="Y50" i="3" a="1"/>
  <c r="Y66" i="3" a="1"/>
  <c r="Y90" i="3" a="1"/>
  <c r="Y110" i="3" a="1"/>
  <c r="AG67" i="3" a="1"/>
  <c r="AG60" i="3" a="1"/>
  <c r="AG76" i="3" a="1"/>
  <c r="AG94" i="3" a="1"/>
  <c r="AG110" i="3" a="1"/>
  <c r="Y55" i="3" a="1"/>
  <c r="Y87" i="3" a="1"/>
  <c r="Y76" i="3" a="1"/>
  <c r="AG71" i="3" a="1"/>
  <c r="AG70" i="3" a="1"/>
  <c r="AG102" i="3" a="1"/>
  <c r="AG51" i="3" a="1"/>
  <c r="AG79" i="3" a="1"/>
  <c r="AG109" i="3" a="1"/>
  <c r="AG105" i="3" a="1"/>
  <c r="H52" i="3" a="1"/>
  <c r="H68" i="3" a="1"/>
  <c r="H84" i="3" a="1"/>
  <c r="H100" i="3" a="1"/>
  <c r="H77" i="3" a="1"/>
  <c r="H109" i="3" a="1"/>
  <c r="H53" i="3" a="1"/>
  <c r="H63" i="3" a="1"/>
  <c r="H75" i="3" a="1"/>
  <c r="H99" i="3" a="1"/>
  <c r="H93" i="3" a="1"/>
  <c r="H47" i="3" a="1"/>
  <c r="H87" i="3" a="1"/>
  <c r="Y92" i="3" a="1"/>
  <c r="AG47" i="3" a="1"/>
  <c r="AG97" i="3" a="1"/>
  <c r="H50" i="3" a="1"/>
  <c r="H98" i="3" a="1"/>
  <c r="H49" i="3" a="1"/>
  <c r="H91" i="3" a="1"/>
  <c r="Y63" i="3" a="1"/>
  <c r="Y95" i="3" a="1"/>
  <c r="Y52" i="3" a="1"/>
  <c r="Y84" i="3" a="1"/>
  <c r="AG46" i="3" a="1"/>
  <c r="AG78" i="3" a="1"/>
  <c r="AG104" i="3" a="1"/>
  <c r="AG61" i="3" a="1"/>
  <c r="AG99" i="3" a="1"/>
  <c r="AG95" i="3" a="1"/>
  <c r="H58" i="3" a="1"/>
  <c r="H74" i="3" a="1"/>
  <c r="H90" i="3" a="1"/>
  <c r="H106" i="3" a="1"/>
  <c r="H89" i="3" a="1"/>
  <c r="H45" i="3" a="1"/>
  <c r="H55" i="3" a="1"/>
  <c r="H65" i="3" a="1"/>
  <c r="H83" i="3" a="1"/>
  <c r="H103" i="3" a="1"/>
  <c r="H60" i="3" a="1"/>
  <c r="H92" i="3" a="1"/>
  <c r="H69" i="3" a="1"/>
  <c r="H107" i="3" a="1"/>
  <c r="Y47" i="3" a="1"/>
  <c r="Y102" i="3" a="1"/>
  <c r="AG62" i="3" a="1"/>
  <c r="AG101" i="3" a="1"/>
  <c r="H66" i="3" a="1"/>
  <c r="H73" i="3" a="1"/>
  <c r="H61" i="3" a="1"/>
  <c r="Y71" i="3" a="1"/>
  <c r="Y103" i="3" a="1"/>
  <c r="Y60" i="3" a="1"/>
  <c r="Y94" i="3" a="1"/>
  <c r="AG54" i="3" a="1"/>
  <c r="AG88" i="3" a="1"/>
  <c r="AG65" i="3" a="1"/>
  <c r="AG107" i="3" a="1"/>
  <c r="AG103" i="3" a="1"/>
  <c r="H76" i="3" a="1"/>
  <c r="H108" i="3" a="1"/>
  <c r="H57" i="3" a="1"/>
  <c r="Y79" i="3" a="1"/>
  <c r="Y68" i="3" a="1"/>
  <c r="AG53" i="3" a="1"/>
  <c r="AG96" i="3" a="1"/>
  <c r="AG77" i="3" a="1"/>
  <c r="H82" i="3" a="1"/>
  <c r="H105" i="3" a="1"/>
  <c r="H71" i="3" a="1"/>
  <c r="F1" i="29" a="1"/>
  <c r="H43" i="3" a="1"/>
  <c r="H34" i="3" a="1"/>
  <c r="H31" i="3" a="1"/>
  <c r="H44" i="3" a="1"/>
  <c r="H41" i="3" a="1"/>
  <c r="H37" i="3" a="1"/>
  <c r="H39" i="3" a="1"/>
  <c r="H36" i="3" a="1"/>
  <c r="H33" i="3" a="1"/>
  <c r="H32" i="3" a="1"/>
  <c r="H40" i="3" a="1"/>
  <c r="H42" i="3" a="1"/>
  <c r="H38" i="3" a="1"/>
  <c r="H35" i="3" a="1"/>
  <c r="AG34" i="3" a="1"/>
  <c r="AG42" i="3" a="1"/>
  <c r="AG32" i="3" a="1"/>
  <c r="AG31" i="3" a="1"/>
  <c r="AG9" i="3" a="1"/>
  <c r="AG19" i="3" a="1"/>
  <c r="AG41" i="3" a="1"/>
  <c r="AG17" i="3" a="1"/>
  <c r="AG8" i="3" a="1"/>
  <c r="AG39" i="3" a="1"/>
  <c r="AG18" i="3" a="1"/>
  <c r="AG20" i="3" a="1"/>
  <c r="AG30" i="3" a="1"/>
  <c r="AG44" i="3" a="1"/>
  <c r="AG7" i="3" a="1"/>
  <c r="AG29" i="3" a="1"/>
  <c r="AG13" i="3" a="1"/>
  <c r="AG16" i="3" a="1"/>
  <c r="AG27" i="3" a="1"/>
  <c r="AG21" i="3" a="1"/>
  <c r="AG36" i="3" a="1"/>
  <c r="AG6" i="3" a="1"/>
  <c r="AG26" i="3" a="1"/>
  <c r="AG38" i="3" a="1"/>
  <c r="AG24" i="3" a="1"/>
  <c r="AG15" i="3" a="1"/>
  <c r="AG14" i="3" a="1"/>
  <c r="AG40" i="3" a="1"/>
  <c r="AG11" i="3" a="1"/>
  <c r="AG37" i="3" a="1"/>
  <c r="AG28" i="3" a="1"/>
  <c r="AG23" i="3" a="1"/>
  <c r="AG43" i="3" a="1"/>
  <c r="AG10" i="3" a="1"/>
  <c r="AG25" i="3" a="1"/>
  <c r="AG12" i="3" a="1"/>
  <c r="AG22" i="3" a="1"/>
  <c r="AG35" i="3" a="1"/>
  <c r="AG33" i="3" a="1"/>
  <c r="B39" i="3" l="1"/>
  <c r="B18" i="3"/>
  <c r="B25" i="3"/>
  <c r="B44" i="3"/>
  <c r="B12" i="3"/>
  <c r="B29" i="3"/>
  <c r="B34" i="3"/>
  <c r="B37" i="3"/>
  <c r="B15" i="3"/>
  <c r="B28" i="3"/>
  <c r="B33" i="3"/>
  <c r="B23" i="3"/>
  <c r="B13" i="3"/>
  <c r="B42" i="3"/>
  <c r="B26" i="3"/>
  <c r="B10" i="3"/>
  <c r="B17" i="3"/>
  <c r="B41" i="3"/>
  <c r="B31" i="3"/>
  <c r="B21" i="3"/>
  <c r="B36" i="3"/>
  <c r="B20" i="3"/>
  <c r="B7" i="3"/>
  <c r="B43" i="3"/>
  <c r="B35" i="3"/>
  <c r="B27" i="3"/>
  <c r="B19" i="3"/>
  <c r="B11" i="3"/>
  <c r="B40" i="3"/>
  <c r="B32" i="3"/>
  <c r="B24" i="3"/>
  <c r="B16" i="3"/>
  <c r="B8" i="3"/>
  <c r="B9" i="3"/>
  <c r="B38" i="3"/>
  <c r="B30" i="3"/>
  <c r="B22" i="3"/>
  <c r="B14" i="3"/>
  <c r="B6" i="3"/>
  <c r="Y110" i="3"/>
  <c r="Y106" i="3"/>
  <c r="Y104" i="3"/>
  <c r="Y102" i="3"/>
  <c r="Y100" i="3"/>
  <c r="Y98" i="3"/>
  <c r="Y96" i="3"/>
  <c r="Y94" i="3"/>
  <c r="Y90" i="3"/>
  <c r="Y88" i="3"/>
  <c r="Y86" i="3"/>
  <c r="Y84" i="3"/>
  <c r="Y82" i="3"/>
  <c r="Y80" i="3"/>
  <c r="Y78" i="3"/>
  <c r="Y76" i="3"/>
  <c r="Y74" i="3"/>
  <c r="Y72" i="3"/>
  <c r="Y70" i="3"/>
  <c r="Y68" i="3"/>
  <c r="Y66" i="3"/>
  <c r="Y64" i="3"/>
  <c r="Y62" i="3"/>
  <c r="Y60" i="3"/>
  <c r="Y58" i="3"/>
  <c r="Y56" i="3"/>
  <c r="Y54" i="3"/>
  <c r="Y52" i="3"/>
  <c r="Y50" i="3"/>
  <c r="Y48" i="3"/>
  <c r="Y46" i="3"/>
  <c r="Y108" i="3"/>
  <c r="Y92" i="3"/>
  <c r="Y109" i="3"/>
  <c r="Y107" i="3"/>
  <c r="Y105" i="3"/>
  <c r="Y103" i="3"/>
  <c r="Y101" i="3"/>
  <c r="Y99" i="3"/>
  <c r="Y97" i="3"/>
  <c r="Y95" i="3"/>
  <c r="Y93" i="3"/>
  <c r="Y91" i="3"/>
  <c r="Y89" i="3"/>
  <c r="Y87" i="3"/>
  <c r="Y85" i="3"/>
  <c r="Y83" i="3"/>
  <c r="Y81" i="3"/>
  <c r="Y79" i="3"/>
  <c r="Y77" i="3"/>
  <c r="Y75" i="3"/>
  <c r="Y73" i="3"/>
  <c r="Y71" i="3"/>
  <c r="Y69" i="3"/>
  <c r="Y67" i="3"/>
  <c r="Y65" i="3"/>
  <c r="Y63" i="3"/>
  <c r="Y61" i="3"/>
  <c r="Y59" i="3"/>
  <c r="Y57" i="3"/>
  <c r="Y55" i="3"/>
  <c r="Y53" i="3"/>
  <c r="Y51" i="3"/>
  <c r="Y49" i="3"/>
  <c r="Y47" i="3"/>
  <c r="Y45" i="3"/>
  <c r="AG105" i="3"/>
  <c r="AG97" i="3"/>
  <c r="AG89" i="3"/>
  <c r="AG81" i="3"/>
  <c r="AG103" i="3"/>
  <c r="AG95" i="3"/>
  <c r="AG87" i="3"/>
  <c r="AG75" i="3"/>
  <c r="AG109" i="3"/>
  <c r="AG101" i="3"/>
  <c r="AG93" i="3"/>
  <c r="AG85" i="3"/>
  <c r="AG107" i="3"/>
  <c r="AG99" i="3"/>
  <c r="AG91" i="3"/>
  <c r="AG83" i="3"/>
  <c r="AG79" i="3"/>
  <c r="AG77" i="3"/>
  <c r="AG73" i="3"/>
  <c r="AG69" i="3"/>
  <c r="AG65" i="3"/>
  <c r="AG61" i="3"/>
  <c r="AG57" i="3"/>
  <c r="AG55" i="3"/>
  <c r="AG51" i="3"/>
  <c r="AG47" i="3"/>
  <c r="AG43" i="3"/>
  <c r="AG39" i="3"/>
  <c r="AG35" i="3"/>
  <c r="AG31" i="3"/>
  <c r="AG27" i="3"/>
  <c r="AG23" i="3"/>
  <c r="AG21" i="3"/>
  <c r="AG17" i="3"/>
  <c r="AG13" i="3"/>
  <c r="AG11" i="3"/>
  <c r="AG9" i="3"/>
  <c r="AG110" i="3"/>
  <c r="AG108" i="3"/>
  <c r="AG106" i="3"/>
  <c r="AG104" i="3"/>
  <c r="AG102" i="3"/>
  <c r="AG100" i="3"/>
  <c r="AG98" i="3"/>
  <c r="AG96" i="3"/>
  <c r="AG94" i="3"/>
  <c r="AG92" i="3"/>
  <c r="AG90" i="3"/>
  <c r="AG88" i="3"/>
  <c r="AG84" i="3"/>
  <c r="AG82" i="3"/>
  <c r="AG80" i="3"/>
  <c r="AG78" i="3"/>
  <c r="AG76" i="3"/>
  <c r="AG74" i="3"/>
  <c r="AG72" i="3"/>
  <c r="AG70" i="3"/>
  <c r="AG68" i="3"/>
  <c r="AG66" i="3"/>
  <c r="AG64" i="3"/>
  <c r="AG62" i="3"/>
  <c r="AG60" i="3"/>
  <c r="AG58" i="3"/>
  <c r="AG56" i="3"/>
  <c r="AG54" i="3"/>
  <c r="AG52" i="3"/>
  <c r="AG50" i="3"/>
  <c r="AG48" i="3"/>
  <c r="AG46" i="3"/>
  <c r="AG44" i="3"/>
  <c r="AG42" i="3"/>
  <c r="AG40" i="3"/>
  <c r="AG38" i="3"/>
  <c r="AG36" i="3"/>
  <c r="AG34" i="3"/>
  <c r="AG32" i="3"/>
  <c r="AG30" i="3"/>
  <c r="AG28" i="3"/>
  <c r="AG26" i="3"/>
  <c r="AG24" i="3"/>
  <c r="AG22" i="3"/>
  <c r="AG20" i="3"/>
  <c r="AG18" i="3"/>
  <c r="AG16" i="3"/>
  <c r="AG14" i="3"/>
  <c r="AG12" i="3"/>
  <c r="AG10" i="3"/>
  <c r="AG8" i="3"/>
  <c r="AG71" i="3"/>
  <c r="AG67" i="3"/>
  <c r="AG63" i="3"/>
  <c r="AG59" i="3"/>
  <c r="AG53" i="3"/>
  <c r="AG49" i="3"/>
  <c r="AG45" i="3"/>
  <c r="AG41" i="3"/>
  <c r="AG37" i="3"/>
  <c r="AG33" i="3"/>
  <c r="AG29" i="3"/>
  <c r="AG25" i="3"/>
  <c r="AG19" i="3"/>
  <c r="AG15" i="3"/>
  <c r="AG7" i="3"/>
  <c r="AG86" i="3"/>
  <c r="AG6" i="3"/>
  <c r="H107" i="3"/>
  <c r="H103" i="3"/>
  <c r="H99" i="3"/>
  <c r="H95" i="3"/>
  <c r="H91" i="3"/>
  <c r="H87" i="3"/>
  <c r="H83" i="3"/>
  <c r="H79" i="3"/>
  <c r="H75" i="3"/>
  <c r="H71" i="3"/>
  <c r="H69" i="3"/>
  <c r="H67" i="3"/>
  <c r="H65" i="3"/>
  <c r="H63" i="3"/>
  <c r="H61" i="3"/>
  <c r="H59" i="3"/>
  <c r="H57" i="3"/>
  <c r="H55" i="3"/>
  <c r="H53" i="3"/>
  <c r="H51" i="3"/>
  <c r="H49" i="3"/>
  <c r="H47" i="3"/>
  <c r="H45" i="3"/>
  <c r="H43" i="3"/>
  <c r="H41" i="3"/>
  <c r="H39" i="3"/>
  <c r="H37" i="3"/>
  <c r="H35" i="3"/>
  <c r="H33" i="3"/>
  <c r="H31" i="3"/>
  <c r="H109" i="3"/>
  <c r="H105" i="3"/>
  <c r="H101" i="3"/>
  <c r="H97" i="3"/>
  <c r="H93" i="3"/>
  <c r="H89" i="3"/>
  <c r="H85" i="3"/>
  <c r="H81" i="3"/>
  <c r="H77" i="3"/>
  <c r="H73" i="3"/>
  <c r="H110" i="3"/>
  <c r="H108" i="3"/>
  <c r="H106" i="3"/>
  <c r="H104" i="3"/>
  <c r="H102" i="3"/>
  <c r="H100" i="3"/>
  <c r="H98" i="3"/>
  <c r="H96" i="3"/>
  <c r="H94" i="3"/>
  <c r="H92" i="3"/>
  <c r="H90" i="3"/>
  <c r="H88" i="3"/>
  <c r="H86" i="3"/>
  <c r="H84" i="3"/>
  <c r="H82" i="3"/>
  <c r="H80" i="3"/>
  <c r="H78" i="3"/>
  <c r="H76" i="3"/>
  <c r="H74" i="3"/>
  <c r="H72" i="3"/>
  <c r="H70" i="3"/>
  <c r="H68" i="3"/>
  <c r="H66" i="3"/>
  <c r="H64" i="3"/>
  <c r="H62" i="3"/>
  <c r="H60" i="3"/>
  <c r="H58" i="3"/>
  <c r="H56" i="3"/>
  <c r="H54" i="3"/>
  <c r="H52" i="3"/>
  <c r="H50" i="3"/>
  <c r="H48" i="3"/>
  <c r="H46" i="3"/>
  <c r="H44" i="3"/>
  <c r="H42" i="3"/>
  <c r="H40" i="3"/>
  <c r="H38" i="3"/>
  <c r="H36" i="3"/>
  <c r="H34" i="3"/>
  <c r="H32" i="3"/>
  <c r="F1" i="29"/>
  <c r="C7" i="3" a="1"/>
  <c r="C10" i="3" a="1"/>
  <c r="C14" i="3" a="1"/>
  <c r="C6" i="3" a="1"/>
  <c r="C7" i="3" l="1"/>
  <c r="C10" i="3"/>
  <c r="C14" i="3"/>
  <c r="C6" i="3"/>
  <c r="AH6" i="3"/>
  <c r="D6" i="3"/>
  <c r="G1" i="29"/>
  <c r="G6" i="3" l="1"/>
  <c r="E6" i="3"/>
  <c r="F6" i="3"/>
  <c r="AF110" i="3"/>
  <c r="AF109" i="3"/>
  <c r="AF108" i="3"/>
  <c r="AF107" i="3"/>
  <c r="AF106" i="3"/>
  <c r="AF105" i="3"/>
  <c r="AF104" i="3"/>
  <c r="AF103" i="3"/>
  <c r="AF102" i="3"/>
  <c r="AF101" i="3"/>
  <c r="AF100" i="3"/>
  <c r="AF99" i="3"/>
  <c r="AF98" i="3"/>
  <c r="AF97" i="3"/>
  <c r="AF96" i="3"/>
  <c r="AF95" i="3"/>
  <c r="AF94" i="3"/>
  <c r="AF93" i="3"/>
  <c r="AF92" i="3"/>
  <c r="AF91" i="3"/>
  <c r="AF90" i="3"/>
  <c r="AF89" i="3"/>
  <c r="AF88" i="3"/>
  <c r="AF87" i="3"/>
  <c r="AF86" i="3"/>
  <c r="AF85" i="3"/>
  <c r="AF84" i="3"/>
  <c r="AF83" i="3"/>
  <c r="AF82" i="3"/>
  <c r="AF81" i="3"/>
  <c r="AF80" i="3"/>
  <c r="AF79" i="3"/>
  <c r="AF78" i="3"/>
  <c r="AF77" i="3"/>
  <c r="AF76" i="3"/>
  <c r="AF75" i="3"/>
  <c r="AF74" i="3"/>
  <c r="AF73" i="3"/>
  <c r="AF72" i="3"/>
  <c r="AF71" i="3"/>
  <c r="AF70" i="3"/>
  <c r="AF69" i="3"/>
  <c r="AF68" i="3"/>
  <c r="AF67" i="3"/>
  <c r="AF66" i="3"/>
  <c r="AF65" i="3"/>
  <c r="AF64" i="3"/>
  <c r="AF63" i="3"/>
  <c r="AF62" i="3"/>
  <c r="AF61" i="3"/>
  <c r="AF60" i="3"/>
  <c r="AF59" i="3"/>
  <c r="AF58" i="3"/>
  <c r="AF57" i="3"/>
  <c r="AF56" i="3"/>
  <c r="AF55" i="3"/>
  <c r="AF54" i="3"/>
  <c r="AF53" i="3"/>
  <c r="AF52" i="3"/>
  <c r="AF51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F38" i="3"/>
  <c r="AF37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AF13" i="3"/>
  <c r="AF12" i="3"/>
  <c r="AF11" i="3"/>
  <c r="AF10" i="3"/>
  <c r="AF9" i="3"/>
  <c r="AF8" i="3"/>
  <c r="AF7" i="3"/>
  <c r="A6" i="3" a="1"/>
  <c r="A6" i="3" l="1"/>
  <c r="AH63" i="3"/>
  <c r="AH13" i="3"/>
  <c r="D13" i="3" s="1"/>
  <c r="AH31" i="3"/>
  <c r="D31" i="3" s="1"/>
  <c r="AH52" i="3"/>
  <c r="AH12" i="3"/>
  <c r="D12" i="3" s="1"/>
  <c r="AH36" i="3"/>
  <c r="D36" i="3" s="1"/>
  <c r="AH110" i="3"/>
  <c r="AH56" i="3"/>
  <c r="AH53" i="3"/>
  <c r="AH22" i="3"/>
  <c r="AH25" i="3"/>
  <c r="D25" i="3" s="1"/>
  <c r="AH43" i="3"/>
  <c r="D43" i="3" s="1"/>
  <c r="AH40" i="3"/>
  <c r="D40" i="3" s="1"/>
  <c r="AH69" i="3"/>
  <c r="AH70" i="3"/>
  <c r="AH61" i="3"/>
  <c r="AH35" i="3"/>
  <c r="D35" i="3" s="1"/>
  <c r="AH90" i="3"/>
  <c r="AH83" i="3"/>
  <c r="AH80" i="3"/>
  <c r="AH47" i="3"/>
  <c r="AH73" i="3"/>
  <c r="AH66" i="3"/>
  <c r="AH11" i="3"/>
  <c r="D11" i="3" s="1"/>
  <c r="AH95" i="3"/>
  <c r="AH42" i="3"/>
  <c r="D42" i="3" s="1"/>
  <c r="AH89" i="3"/>
  <c r="AH106" i="3"/>
  <c r="AH75" i="3"/>
  <c r="AH58" i="3"/>
  <c r="AH85" i="3"/>
  <c r="AH37" i="3"/>
  <c r="D37" i="3" s="1"/>
  <c r="AH38" i="3"/>
  <c r="D38" i="3" s="1"/>
  <c r="AH62" i="3"/>
  <c r="AH16" i="3"/>
  <c r="AH78" i="3"/>
  <c r="AH14" i="3"/>
  <c r="D14" i="3" s="1"/>
  <c r="AH54" i="3"/>
  <c r="AH65" i="3"/>
  <c r="AH17" i="3"/>
  <c r="D17" i="3" s="1"/>
  <c r="AH23" i="3"/>
  <c r="D23" i="3" s="1"/>
  <c r="AH18" i="3"/>
  <c r="D18" i="3" s="1"/>
  <c r="AH86" i="3"/>
  <c r="AH46" i="3"/>
  <c r="AH76" i="3"/>
  <c r="AH87" i="3"/>
  <c r="AH8" i="3"/>
  <c r="D8" i="3" s="1"/>
  <c r="AH48" i="3"/>
  <c r="AH88" i="3"/>
  <c r="AH64" i="3"/>
  <c r="AH26" i="3"/>
  <c r="D26" i="3" s="1"/>
  <c r="AH29" i="3"/>
  <c r="AH99" i="3"/>
  <c r="AH9" i="3"/>
  <c r="D9" i="3" s="1"/>
  <c r="AH34" i="3"/>
  <c r="D34" i="3" s="1"/>
  <c r="AH77" i="3"/>
  <c r="AH27" i="3"/>
  <c r="D27" i="3" s="1"/>
  <c r="AH71" i="3"/>
  <c r="AH28" i="3"/>
  <c r="D28" i="3" s="1"/>
  <c r="AH59" i="3"/>
  <c r="AH33" i="3"/>
  <c r="D33" i="3" s="1"/>
  <c r="AH107" i="3"/>
  <c r="AH79" i="3"/>
  <c r="AH39" i="3"/>
  <c r="D39" i="3" s="1"/>
  <c r="AH101" i="3"/>
  <c r="AH49" i="3"/>
  <c r="AH50" i="3"/>
  <c r="AH20" i="3"/>
  <c r="D20" i="3" s="1"/>
  <c r="AH24" i="3"/>
  <c r="D24" i="3" s="1"/>
  <c r="AH7" i="3"/>
  <c r="D7" i="3" s="1"/>
  <c r="AH109" i="3"/>
  <c r="AH81" i="3"/>
  <c r="AH105" i="3"/>
  <c r="AH60" i="3"/>
  <c r="AH30" i="3"/>
  <c r="AH57" i="3"/>
  <c r="AH21" i="3"/>
  <c r="AH67" i="3"/>
  <c r="AH15" i="3"/>
  <c r="AH97" i="3"/>
  <c r="AH82" i="3"/>
  <c r="AH72" i="3"/>
  <c r="AH44" i="3"/>
  <c r="D44" i="3" s="1"/>
  <c r="AH93" i="3"/>
  <c r="AH104" i="3"/>
  <c r="AH32" i="3"/>
  <c r="D32" i="3" s="1"/>
  <c r="AH102" i="3"/>
  <c r="AH96" i="3"/>
  <c r="AH92" i="3"/>
  <c r="AH103" i="3"/>
  <c r="AH10" i="3"/>
  <c r="D10" i="3" s="1"/>
  <c r="AH91" i="3"/>
  <c r="AH51" i="3"/>
  <c r="AH55" i="3"/>
  <c r="AH94" i="3"/>
  <c r="AH68" i="3"/>
  <c r="AH98" i="3"/>
  <c r="AH74" i="3"/>
  <c r="AH45" i="3"/>
  <c r="AH108" i="3"/>
  <c r="AH19" i="3"/>
  <c r="D19" i="3" s="1"/>
  <c r="AH100" i="3"/>
  <c r="AH84" i="3"/>
  <c r="G22" i="3" l="1"/>
  <c r="F22" i="3"/>
  <c r="G21" i="3"/>
  <c r="F21" i="3"/>
  <c r="F29" i="3"/>
  <c r="G29" i="3"/>
  <c r="G15" i="3"/>
  <c r="F15" i="3"/>
  <c r="F16" i="3"/>
  <c r="G16" i="3"/>
  <c r="F30" i="3"/>
  <c r="G30" i="3"/>
  <c r="E30" i="3"/>
  <c r="D30" i="3"/>
  <c r="E109" i="3"/>
  <c r="D109" i="3"/>
  <c r="E50" i="3"/>
  <c r="D50" i="3"/>
  <c r="E79" i="3"/>
  <c r="D79" i="3"/>
  <c r="E16" i="3"/>
  <c r="D16" i="3"/>
  <c r="E89" i="3"/>
  <c r="D89" i="3"/>
  <c r="E83" i="3"/>
  <c r="D83" i="3"/>
  <c r="E100" i="3"/>
  <c r="D100" i="3"/>
  <c r="E74" i="3"/>
  <c r="D74" i="3"/>
  <c r="E55" i="3"/>
  <c r="D55" i="3"/>
  <c r="E103" i="3"/>
  <c r="D103" i="3"/>
  <c r="E72" i="3"/>
  <c r="D72" i="3"/>
  <c r="E67" i="3"/>
  <c r="D67" i="3"/>
  <c r="E60" i="3"/>
  <c r="D60" i="3"/>
  <c r="E49" i="3"/>
  <c r="D49" i="3"/>
  <c r="E107" i="3"/>
  <c r="D107" i="3"/>
  <c r="E71" i="3"/>
  <c r="D71" i="3"/>
  <c r="E64" i="3"/>
  <c r="D64" i="3"/>
  <c r="E87" i="3"/>
  <c r="D87" i="3"/>
  <c r="E54" i="3"/>
  <c r="D54" i="3"/>
  <c r="E62" i="3"/>
  <c r="D62" i="3"/>
  <c r="E58" i="3"/>
  <c r="D58" i="3"/>
  <c r="E73" i="3"/>
  <c r="D73" i="3"/>
  <c r="E90" i="3"/>
  <c r="D90" i="3"/>
  <c r="E69" i="3"/>
  <c r="D69" i="3"/>
  <c r="E22" i="3"/>
  <c r="D22" i="3"/>
  <c r="E84" i="3"/>
  <c r="D84" i="3"/>
  <c r="E45" i="3"/>
  <c r="D45" i="3"/>
  <c r="E94" i="3"/>
  <c r="D94" i="3"/>
  <c r="E102" i="3"/>
  <c r="D102" i="3"/>
  <c r="E15" i="3"/>
  <c r="D15" i="3"/>
  <c r="E86" i="3"/>
  <c r="D86" i="3"/>
  <c r="E85" i="3"/>
  <c r="D85" i="3"/>
  <c r="E66" i="3"/>
  <c r="D66" i="3"/>
  <c r="E70" i="3"/>
  <c r="D70" i="3"/>
  <c r="E92" i="3"/>
  <c r="D92" i="3"/>
  <c r="E99" i="3"/>
  <c r="D99" i="3"/>
  <c r="E88" i="3"/>
  <c r="D88" i="3"/>
  <c r="E76" i="3"/>
  <c r="D76" i="3"/>
  <c r="E75" i="3"/>
  <c r="D75" i="3"/>
  <c r="E95" i="3"/>
  <c r="D95" i="3"/>
  <c r="E47" i="3"/>
  <c r="D47" i="3"/>
  <c r="E53" i="3"/>
  <c r="D53" i="3"/>
  <c r="E63" i="3"/>
  <c r="D63" i="3"/>
  <c r="E65" i="3"/>
  <c r="D65" i="3"/>
  <c r="E110" i="3"/>
  <c r="D110" i="3"/>
  <c r="E98" i="3"/>
  <c r="D98" i="3"/>
  <c r="E51" i="3"/>
  <c r="D51" i="3"/>
  <c r="E104" i="3"/>
  <c r="D104" i="3"/>
  <c r="E82" i="3"/>
  <c r="D82" i="3"/>
  <c r="E21" i="3"/>
  <c r="D21" i="3"/>
  <c r="E105" i="3"/>
  <c r="D105" i="3"/>
  <c r="E101" i="3"/>
  <c r="D101" i="3"/>
  <c r="E108" i="3"/>
  <c r="D108" i="3"/>
  <c r="E68" i="3"/>
  <c r="D68" i="3"/>
  <c r="E91" i="3"/>
  <c r="D91" i="3"/>
  <c r="E96" i="3"/>
  <c r="D96" i="3"/>
  <c r="E93" i="3"/>
  <c r="D93" i="3"/>
  <c r="E97" i="3"/>
  <c r="D97" i="3"/>
  <c r="E57" i="3"/>
  <c r="D57" i="3"/>
  <c r="E81" i="3"/>
  <c r="D81" i="3"/>
  <c r="E59" i="3"/>
  <c r="D59" i="3"/>
  <c r="E77" i="3"/>
  <c r="D77" i="3"/>
  <c r="E29" i="3"/>
  <c r="D29" i="3"/>
  <c r="E48" i="3"/>
  <c r="D48" i="3"/>
  <c r="E46" i="3"/>
  <c r="D46" i="3"/>
  <c r="E78" i="3"/>
  <c r="D78" i="3"/>
  <c r="E106" i="3"/>
  <c r="D106" i="3"/>
  <c r="E80" i="3"/>
  <c r="D80" i="3"/>
  <c r="E61" i="3"/>
  <c r="D61" i="3"/>
  <c r="E56" i="3"/>
  <c r="D56" i="3"/>
  <c r="E52" i="3"/>
  <c r="D52" i="3"/>
  <c r="G19" i="3"/>
  <c r="E19" i="3"/>
  <c r="F19" i="3"/>
  <c r="F10" i="3"/>
  <c r="E10" i="3"/>
  <c r="G10" i="3"/>
  <c r="E32" i="3"/>
  <c r="F32" i="3"/>
  <c r="G32" i="3"/>
  <c r="E44" i="3"/>
  <c r="F44" i="3"/>
  <c r="G44" i="3"/>
  <c r="G7" i="3"/>
  <c r="F7" i="3"/>
  <c r="E7" i="3"/>
  <c r="E24" i="3"/>
  <c r="F24" i="3"/>
  <c r="G24" i="3"/>
  <c r="E20" i="3"/>
  <c r="F20" i="3"/>
  <c r="G20" i="3"/>
  <c r="G39" i="3"/>
  <c r="E39" i="3"/>
  <c r="F39" i="3"/>
  <c r="E33" i="3"/>
  <c r="G33" i="3"/>
  <c r="F33" i="3"/>
  <c r="E28" i="3"/>
  <c r="F28" i="3"/>
  <c r="G28" i="3"/>
  <c r="G27" i="3"/>
  <c r="E27" i="3"/>
  <c r="F27" i="3"/>
  <c r="F34" i="3"/>
  <c r="E34" i="3"/>
  <c r="G34" i="3"/>
  <c r="E9" i="3"/>
  <c r="G9" i="3"/>
  <c r="F9" i="3"/>
  <c r="F26" i="3"/>
  <c r="E26" i="3"/>
  <c r="G26" i="3"/>
  <c r="E8" i="3"/>
  <c r="F8" i="3"/>
  <c r="G8" i="3"/>
  <c r="F18" i="3"/>
  <c r="E18" i="3"/>
  <c r="G18" i="3"/>
  <c r="G23" i="3"/>
  <c r="E23" i="3"/>
  <c r="F23" i="3"/>
  <c r="E17" i="3"/>
  <c r="G17" i="3"/>
  <c r="F17" i="3"/>
  <c r="F14" i="3"/>
  <c r="E14" i="3"/>
  <c r="G14" i="3"/>
  <c r="F38" i="3"/>
  <c r="E38" i="3"/>
  <c r="G38" i="3"/>
  <c r="E37" i="3"/>
  <c r="F37" i="3"/>
  <c r="G37" i="3"/>
  <c r="F42" i="3"/>
  <c r="E42" i="3"/>
  <c r="G42" i="3"/>
  <c r="G11" i="3"/>
  <c r="E11" i="3"/>
  <c r="F11" i="3"/>
  <c r="G35" i="3"/>
  <c r="E35" i="3"/>
  <c r="F35" i="3"/>
  <c r="E40" i="3"/>
  <c r="F40" i="3"/>
  <c r="G40" i="3"/>
  <c r="G43" i="3"/>
  <c r="E43" i="3"/>
  <c r="F43" i="3"/>
  <c r="E25" i="3"/>
  <c r="G25" i="3"/>
  <c r="F25" i="3"/>
  <c r="E36" i="3"/>
  <c r="F36" i="3"/>
  <c r="G36" i="3"/>
  <c r="E12" i="3"/>
  <c r="F12" i="3"/>
  <c r="G12" i="3"/>
  <c r="G31" i="3"/>
  <c r="E31" i="3"/>
  <c r="F31" i="3"/>
  <c r="E13" i="3"/>
  <c r="F13" i="3"/>
  <c r="G13" i="3"/>
  <c r="AH41" i="3"/>
  <c r="D41" i="3" s="1"/>
  <c r="A74" i="3" a="1"/>
  <c r="A70" i="3" a="1"/>
  <c r="A81" i="3" a="1"/>
  <c r="A110" i="3" a="1"/>
  <c r="A107" i="3" a="1"/>
  <c r="A105" i="3" a="1"/>
  <c r="A104" i="3" a="1"/>
  <c r="A85" i="3" a="1"/>
  <c r="A103" i="3" a="1"/>
  <c r="A99" i="3" a="1"/>
  <c r="A77" i="3" a="1"/>
  <c r="A108" i="3" a="1"/>
  <c r="A64" i="3" a="1"/>
  <c r="A91" i="3" a="1"/>
  <c r="A55" i="3" a="1"/>
  <c r="A67" i="3" a="1"/>
  <c r="A76" i="3" a="1"/>
  <c r="A48" i="3" a="1"/>
  <c r="A57" i="3" a="1"/>
  <c r="A54" i="3" a="1"/>
  <c r="A59" i="3" a="1"/>
  <c r="A63" i="3" a="1"/>
  <c r="A83" i="3" a="1"/>
  <c r="A49" i="3" a="1"/>
  <c r="A95" i="3" a="1"/>
  <c r="A78" i="3" a="1"/>
  <c r="A46" i="3" a="1"/>
  <c r="A58" i="3" a="1"/>
  <c r="A106" i="3" a="1"/>
  <c r="A89" i="3" a="1"/>
  <c r="A51" i="3" a="1"/>
  <c r="A71" i="3" a="1"/>
  <c r="A53" i="3" a="1"/>
  <c r="A80" i="3" a="1"/>
  <c r="A52" i="3" a="1"/>
  <c r="A90" i="3" a="1"/>
  <c r="A79" i="3" a="1"/>
  <c r="A92" i="3" a="1"/>
  <c r="A75" i="3" a="1"/>
  <c r="A87" i="3" a="1"/>
  <c r="A65" i="3" a="1"/>
  <c r="A56" i="3" a="1"/>
  <c r="A109" i="3" a="1"/>
  <c r="A45" i="3" a="1"/>
  <c r="A102" i="3" a="1"/>
  <c r="A68" i="3" a="1"/>
  <c r="A97" i="3" a="1"/>
  <c r="A62" i="3" a="1"/>
  <c r="A98" i="3" a="1"/>
  <c r="A66" i="3" a="1"/>
  <c r="A73" i="3" a="1"/>
  <c r="A60" i="3" a="1"/>
  <c r="A69" i="3" a="1"/>
  <c r="A101" i="3" a="1"/>
  <c r="A82" i="3" a="1"/>
  <c r="A100" i="3" a="1"/>
  <c r="A88" i="3" a="1"/>
  <c r="A84" i="3" a="1"/>
  <c r="A93" i="3" a="1"/>
  <c r="A50" i="3" a="1"/>
  <c r="A94" i="3" a="1"/>
  <c r="A96" i="3" a="1"/>
  <c r="A61" i="3" a="1"/>
  <c r="A72" i="3" a="1"/>
  <c r="A47" i="3" a="1"/>
  <c r="A86" i="3" a="1"/>
  <c r="A36" i="3" a="1"/>
  <c r="A24" i="3" a="1"/>
  <c r="A19" i="3" a="1"/>
  <c r="A26" i="3" a="1"/>
  <c r="A33" i="3" a="1"/>
  <c r="A43" i="3" a="1"/>
  <c r="A28" i="3" a="1"/>
  <c r="A17" i="3" a="1"/>
  <c r="A10" i="3" a="1"/>
  <c r="A31" i="3" a="1"/>
  <c r="A29" i="3" a="1"/>
  <c r="A30" i="3" a="1"/>
  <c r="A23" i="3" a="1"/>
  <c r="A21" i="3" a="1"/>
  <c r="A40" i="3" a="1"/>
  <c r="A42" i="3" a="1"/>
  <c r="A25" i="3" a="1"/>
  <c r="A22" i="3" a="1"/>
  <c r="A32" i="3" a="1"/>
  <c r="A34" i="3" a="1"/>
  <c r="A16" i="3" a="1"/>
  <c r="A15" i="3" a="1"/>
  <c r="A8" i="3" a="1"/>
  <c r="A7" i="3" a="1"/>
  <c r="A18" i="3" a="1"/>
  <c r="A27" i="3" a="1"/>
  <c r="A35" i="3" a="1"/>
  <c r="A20" i="3" a="1"/>
  <c r="A44" i="3" a="1"/>
  <c r="A9" i="3" a="1"/>
  <c r="A13" i="3" a="1"/>
  <c r="A38" i="3" a="1"/>
  <c r="A14" i="3" a="1"/>
  <c r="A12" i="3" a="1"/>
  <c r="A11" i="3" a="1"/>
  <c r="A37" i="3" a="1"/>
  <c r="A39" i="3" a="1"/>
  <c r="A43" i="3" l="1"/>
  <c r="A10" i="3"/>
  <c r="A106" i="3"/>
  <c r="A59" i="3"/>
  <c r="A91" i="3"/>
  <c r="A105" i="3"/>
  <c r="A51" i="3"/>
  <c r="A47" i="3"/>
  <c r="A75" i="3"/>
  <c r="A88" i="3"/>
  <c r="A92" i="3"/>
  <c r="A102" i="3"/>
  <c r="A45" i="3"/>
  <c r="A22" i="3"/>
  <c r="A90" i="3"/>
  <c r="A58" i="3"/>
  <c r="A54" i="3"/>
  <c r="A64" i="3"/>
  <c r="A107" i="3"/>
  <c r="A60" i="3"/>
  <c r="A72" i="3"/>
  <c r="A55" i="3"/>
  <c r="A100" i="3"/>
  <c r="A89" i="3"/>
  <c r="A79" i="3"/>
  <c r="A109" i="3"/>
  <c r="A12" i="3"/>
  <c r="A40" i="3"/>
  <c r="A37" i="3"/>
  <c r="A26" i="3"/>
  <c r="A52" i="3"/>
  <c r="A46" i="3"/>
  <c r="A57" i="3"/>
  <c r="A108" i="3"/>
  <c r="A110" i="3"/>
  <c r="A86" i="3"/>
  <c r="A31" i="3"/>
  <c r="A42" i="3"/>
  <c r="A9" i="3"/>
  <c r="A33" i="3"/>
  <c r="A61" i="3"/>
  <c r="A29" i="3"/>
  <c r="A93" i="3"/>
  <c r="A82" i="3"/>
  <c r="A63" i="3"/>
  <c r="A66" i="3"/>
  <c r="A13" i="3"/>
  <c r="A25" i="3"/>
  <c r="A35" i="3"/>
  <c r="A38" i="3"/>
  <c r="A36" i="3"/>
  <c r="A11" i="3"/>
  <c r="A14" i="3"/>
  <c r="A17" i="3"/>
  <c r="A27" i="3"/>
  <c r="A28" i="3"/>
  <c r="A24" i="3"/>
  <c r="A18" i="3"/>
  <c r="A8" i="3"/>
  <c r="A34" i="3"/>
  <c r="A39" i="3"/>
  <c r="A20" i="3"/>
  <c r="A7" i="3"/>
  <c r="A32" i="3"/>
  <c r="A56" i="3"/>
  <c r="A80" i="3"/>
  <c r="A78" i="3"/>
  <c r="A48" i="3"/>
  <c r="A77" i="3"/>
  <c r="A81" i="3"/>
  <c r="A97" i="3"/>
  <c r="A96" i="3"/>
  <c r="A68" i="3"/>
  <c r="A101" i="3"/>
  <c r="A21" i="3"/>
  <c r="A104" i="3"/>
  <c r="A98" i="3"/>
  <c r="A65" i="3"/>
  <c r="A53" i="3"/>
  <c r="A95" i="3"/>
  <c r="A76" i="3"/>
  <c r="A99" i="3"/>
  <c r="A70" i="3"/>
  <c r="A85" i="3"/>
  <c r="A15" i="3"/>
  <c r="A94" i="3"/>
  <c r="A84" i="3"/>
  <c r="A69" i="3"/>
  <c r="A73" i="3"/>
  <c r="A62" i="3"/>
  <c r="A87" i="3"/>
  <c r="A71" i="3"/>
  <c r="A49" i="3"/>
  <c r="A67" i="3"/>
  <c r="A103" i="3"/>
  <c r="A74" i="3"/>
  <c r="A83" i="3"/>
  <c r="A16" i="3"/>
  <c r="A50" i="3"/>
  <c r="A30" i="3"/>
  <c r="A23" i="3"/>
  <c r="A44" i="3"/>
  <c r="A19" i="3"/>
  <c r="E41" i="3"/>
  <c r="G41" i="3"/>
  <c r="F41" i="3"/>
  <c r="A41" i="3" a="1"/>
  <c r="A41" i="3" l="1"/>
  <c r="H45" i="29" s="1"/>
  <c r="C12" i="29"/>
  <c r="E20" i="29"/>
  <c r="C6" i="29" l="1"/>
  <c r="E19" i="29"/>
  <c r="E6" i="29"/>
  <c r="D43" i="29"/>
  <c r="G36" i="29"/>
  <c r="B14" i="29"/>
  <c r="F38" i="29"/>
  <c r="G19" i="29"/>
  <c r="F9" i="29"/>
  <c r="H14" i="29"/>
  <c r="B19" i="29"/>
  <c r="D41" i="29"/>
  <c r="F32" i="29"/>
  <c r="G29" i="29"/>
  <c r="H20" i="29"/>
  <c r="C37" i="29"/>
  <c r="B20" i="29"/>
  <c r="F40" i="29"/>
  <c r="G18" i="29"/>
  <c r="H29" i="29"/>
  <c r="D32" i="29"/>
  <c r="E36" i="29"/>
  <c r="B15" i="29"/>
  <c r="E24" i="29"/>
  <c r="H34" i="29"/>
  <c r="E14" i="29"/>
  <c r="D19" i="29"/>
  <c r="E41" i="29"/>
  <c r="B24" i="29"/>
  <c r="E43" i="29"/>
  <c r="D27" i="29"/>
  <c r="F7" i="29"/>
  <c r="C36" i="29"/>
  <c r="G22" i="29"/>
  <c r="H6" i="29"/>
  <c r="G28" i="29"/>
  <c r="H37" i="29"/>
  <c r="E7" i="29"/>
  <c r="F18" i="29"/>
  <c r="G25" i="29"/>
  <c r="D10" i="29"/>
  <c r="E25" i="29"/>
  <c r="F22" i="29"/>
  <c r="E10" i="29"/>
  <c r="D8" i="29"/>
  <c r="E18" i="29"/>
  <c r="F29" i="29"/>
  <c r="H43" i="29"/>
  <c r="C18" i="29"/>
  <c r="F19" i="29"/>
  <c r="G32" i="29"/>
  <c r="F8" i="29"/>
  <c r="C15" i="29"/>
  <c r="D25" i="29"/>
  <c r="F13" i="29"/>
  <c r="H7" i="29"/>
  <c r="H33" i="29"/>
  <c r="C9" i="29"/>
  <c r="H18" i="29"/>
  <c r="E45" i="29"/>
  <c r="G14" i="29"/>
  <c r="H27" i="29"/>
  <c r="H36" i="29"/>
  <c r="B38" i="29"/>
  <c r="D30" i="29"/>
  <c r="G8" i="29"/>
  <c r="C22" i="29"/>
  <c r="G41" i="29"/>
  <c r="E13" i="29"/>
  <c r="B39" i="29"/>
  <c r="H25" i="29"/>
  <c r="D24" i="29"/>
  <c r="C27" i="29"/>
  <c r="H15" i="29"/>
  <c r="C7" i="29"/>
  <c r="G24" i="29"/>
  <c r="E42" i="29"/>
  <c r="C34" i="29"/>
  <c r="F36" i="29"/>
  <c r="D28" i="29"/>
  <c r="B18" i="29"/>
  <c r="F28" i="29"/>
  <c r="F25" i="29"/>
  <c r="B16" i="29"/>
  <c r="G9" i="29"/>
  <c r="F27" i="29"/>
  <c r="D16" i="29"/>
  <c r="B8" i="29"/>
  <c r="B28" i="29"/>
  <c r="H42" i="29"/>
  <c r="F34" i="29"/>
  <c r="E37" i="29"/>
  <c r="H38" i="29"/>
  <c r="F30" i="29"/>
  <c r="D20" i="29"/>
  <c r="C10" i="29"/>
  <c r="E28" i="29"/>
  <c r="G13" i="29"/>
  <c r="E15" i="29"/>
  <c r="B40" i="29"/>
  <c r="G31" i="29"/>
  <c r="E22" i="29"/>
  <c r="G12" i="29"/>
  <c r="E40" i="29"/>
  <c r="F12" i="29"/>
  <c r="G39" i="29"/>
  <c r="B31" i="29"/>
  <c r="G20" i="29"/>
  <c r="E12" i="29"/>
  <c r="B45" i="29"/>
  <c r="G45" i="29"/>
  <c r="D42" i="29"/>
  <c r="H8" i="29"/>
  <c r="G6" i="29"/>
  <c r="C40" i="29"/>
  <c r="B42" i="29"/>
  <c r="D33" i="29"/>
  <c r="B33" i="29"/>
  <c r="G42" i="29"/>
  <c r="F31" i="29"/>
  <c r="B34" i="29"/>
  <c r="H31" i="29"/>
  <c r="F10" i="29"/>
  <c r="B25" i="29"/>
  <c r="C28" i="29"/>
  <c r="B10" i="29"/>
  <c r="B6" i="29"/>
  <c r="B37" i="29"/>
  <c r="B13" i="29"/>
  <c r="C32" i="29"/>
  <c r="D38" i="29"/>
  <c r="H12" i="29"/>
  <c r="E33" i="29"/>
  <c r="F41" i="29"/>
  <c r="G30" i="29"/>
  <c r="C43" i="29"/>
  <c r="E34" i="29"/>
  <c r="D37" i="29"/>
  <c r="B29" i="29"/>
  <c r="D18" i="29"/>
  <c r="B9" i="29"/>
  <c r="H30" i="29"/>
  <c r="F37" i="29"/>
  <c r="D9" i="29"/>
  <c r="E38" i="29"/>
  <c r="C30" i="29"/>
  <c r="F43" i="29"/>
  <c r="D15" i="29"/>
  <c r="H40" i="29"/>
  <c r="B7" i="29"/>
  <c r="G37" i="29"/>
  <c r="E29" i="29"/>
  <c r="C19" i="29"/>
  <c r="E9" i="29"/>
  <c r="B32" i="29"/>
  <c r="C38" i="29"/>
  <c r="B12" i="29"/>
  <c r="F16" i="29"/>
  <c r="G40" i="29"/>
  <c r="E32" i="29"/>
  <c r="G33" i="29"/>
  <c r="B27" i="29"/>
  <c r="E39" i="29"/>
  <c r="F6" i="29"/>
  <c r="B22" i="29"/>
  <c r="H41" i="29"/>
  <c r="F33" i="29"/>
  <c r="H24" i="29"/>
  <c r="F14" i="29"/>
  <c r="D6" i="29"/>
  <c r="H19" i="29"/>
  <c r="C41" i="29"/>
  <c r="H32" i="29"/>
  <c r="F24" i="29"/>
  <c r="D45" i="29"/>
  <c r="C45" i="29"/>
  <c r="D22" i="29"/>
  <c r="H16" i="29"/>
  <c r="D34" i="29"/>
  <c r="H22" i="29"/>
  <c r="H28" i="29"/>
  <c r="C8" i="29"/>
  <c r="G10" i="29"/>
  <c r="B30" i="29"/>
  <c r="H39" i="29"/>
  <c r="C25" i="29"/>
  <c r="D39" i="29"/>
  <c r="C16" i="29"/>
  <c r="C33" i="29"/>
  <c r="G38" i="29"/>
  <c r="H9" i="29"/>
  <c r="C39" i="29"/>
  <c r="E30" i="29"/>
  <c r="C20" i="29"/>
  <c r="H10" i="29"/>
  <c r="D13" i="29"/>
  <c r="C42" i="29"/>
  <c r="D14" i="29"/>
  <c r="D40" i="29"/>
  <c r="D36" i="29"/>
  <c r="H13" i="29"/>
  <c r="D29" i="29"/>
  <c r="B41" i="29"/>
  <c r="C13" i="29"/>
  <c r="F39" i="29"/>
  <c r="D31" i="29"/>
  <c r="F20" i="29"/>
  <c r="D12" i="29"/>
  <c r="C14" i="29"/>
  <c r="F15" i="29"/>
  <c r="D7" i="29"/>
  <c r="C24" i="29"/>
  <c r="F42" i="29"/>
  <c r="E31" i="29"/>
  <c r="G15" i="29"/>
  <c r="C31" i="29"/>
  <c r="G16" i="29"/>
  <c r="E8" i="29"/>
  <c r="C29" i="29"/>
  <c r="G43" i="29"/>
  <c r="B36" i="29"/>
  <c r="G27" i="29"/>
  <c r="E16" i="29"/>
  <c r="G7" i="29"/>
  <c r="E27" i="29"/>
  <c r="B43" i="29"/>
  <c r="G34" i="29"/>
  <c r="F45" i="2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tc={00754DF0-FAD2-4F94-BA8E-1FEBD8A8FBB6}</author>
  </authors>
  <commentList>
    <comment ref="N5" authorId="0" shapeId="0" xr:uid="{00754DF0-FAD2-4F94-BA8E-1FEBD8A8FBB6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one reading, use this column.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42771A6-8EA9-48FD-A9ED-12823FE06E90}" odcFile="C:\Users\JGI\git\Electrical-Workbook\Query - Items.odc" keepAlive="1" name="Query - Items" description="Connection to the 'Items' query in the workbook." type="5" refreshedVersion="8" background="1" saveData="1">
    <dbPr connection="Provider=Microsoft.Mashup.OleDb.1;Data Source=$Workbook$;Location=Items;Extended Properties=&quot;&quot;" command="SELECT * FROM [Items]"/>
  </connection>
  <connection id="2" xr16:uid="{292D06F4-68B1-4E6F-9A79-EAE393DD4ED4}" odcFile="C:\Users\JGI\git\Electrical-Workbook\Query - Lookup.odc" keepAlive="1" name="Query - Lookup" description="Connection to the 'Lookup' query in the workbook." type="5" refreshedVersion="8" background="1" saveData="1">
    <dbPr connection="Provider=Microsoft.Mashup.OleDb.1;Data Source=$Workbook$;Location=Lookup;Extended Properties=&quot;&quot;" command="SELECT * FROM [Lookup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<sst xmlns="http://schemas.openxmlformats.org/spreadsheetml/2006/main" count="17908" uniqueCount="3091">
  <si>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</si>
  <si>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</si>
  <si>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</si>
  <si>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</si>
  <si>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</si>
  <si>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</si>
  <si>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</si>
  <si>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</si>
  <si>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</si>
  <si>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</si>
  <si>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</si>
  <si>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</si>
  <si>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</si>
  <si>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</si>
  <si>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</si>
  <si>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</si>
  <si>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</si>
  <si>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</si>
  <si>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</si>
  <si>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</si>
  <si>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</si>
  <si>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</si>
  <si>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</si>
  <si>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</si>
  <si>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</si>
  <si>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</si>
  <si>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</si>
  <si>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</si>
  <si>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</si>
  <si>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</si>
  <si>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</si>
  <si>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</si>
  <si>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</si>
  <si>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</si>
  <si>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</si>
  <si>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</si>
  <si>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</si>
  <si>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</si>
  <si>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</si>
  <si>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</si>
  <si>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</si>
  <si>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</si>
  <si>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Secondary Unit</t>
  </si>
  <si>
    <t>DCA</t>
  </si>
  <si>
    <t>ACA</t>
  </si>
  <si>
    <t>mΩ</t>
  </si>
  <si>
    <t>Ω</t>
  </si>
  <si>
    <t>kΩ</t>
  </si>
  <si>
    <t>Coil Used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</si>
  <si>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</si>
  <si>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</si>
  <si>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</si>
  <si>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</si>
  <si>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</si>
  <si>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</si>
  <si>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</si>
  <si>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</si>
  <si>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</si>
  <si>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</si>
  <si>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</si>
  <si>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</si>
  <si>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of "°C", and "DGF" instead of "°F" if you want to.</t>
  </si>
  <si>
    <t>Page 2 of 2</t>
  </si>
  <si>
    <t>Supplementary Data Sheet to Report #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</si>
  <si>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</si>
  <si>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</si>
  <si>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</si>
  <si>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</si>
  <si>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</si>
  <si>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</si>
  <si>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</si>
  <si>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</si>
  <si>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</si>
  <si>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</si>
  <si>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</si>
  <si>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</si>
  <si>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</si>
  <si>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</si>
  <si>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</si>
  <si>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</si>
  <si>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</si>
  <si>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</si>
  <si>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</si>
  <si>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</si>
  <si>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</si>
  <si>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</si>
  <si>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</si>
  <si>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</si>
  <si>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</si>
  <si>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</si>
  <si>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</si>
  <si>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</si>
  <si>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</si>
  <si>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</si>
  <si>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</si>
  <si>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</si>
  <si>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</si>
  <si>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Volts AC</t>
  </si>
  <si>
    <t>Volts DC</t>
  </si>
  <si>
    <t>Amps AC</t>
  </si>
  <si>
    <t>Amps DC</t>
  </si>
  <si>
    <t>Temperature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</si>
  <si>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</si>
  <si>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</si>
  <si>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</si>
  <si>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</si>
  <si>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</si>
  <si>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</si>
  <si>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</si>
  <si>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</si>
  <si>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</si>
  <si>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</si>
  <si>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</si>
  <si>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</si>
  <si>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</si>
  <si>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</si>
  <si>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ID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</si>
  <si>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</si>
  <si>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</si>
  <si>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</si>
  <si>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</si>
  <si>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</si>
  <si>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</si>
  <si>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</si>
  <si>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</si>
  <si>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1A9CAA84</t>
  </si>
  <si>
    <t>E70CFD2F</t>
  </si>
  <si>
    <t>E1D33009</t>
  </si>
  <si>
    <t>14274CB3</t>
  </si>
  <si>
    <t>EEE72D1A</t>
  </si>
  <si>
    <t>F72CF806</t>
  </si>
  <si>
    <t>EE7A348B</t>
  </si>
  <si>
    <t>ED7D6C83</t>
  </si>
  <si>
    <t>ED0E7891</t>
  </si>
  <si>
    <t>EE485888</t>
  </si>
  <si>
    <t>E8FC9306</t>
  </si>
  <si>
    <t>1225C85C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</si>
  <si>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</si>
  <si>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</si>
  <si>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</si>
  <si>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</si>
  <si>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</si>
  <si>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</si>
  <si>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</si>
  <si>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</si>
  <si>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</si>
  <si>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</si>
  <si>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</si>
  <si>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EAF3A8D4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</si>
  <si>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</si>
  <si>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</si>
  <si>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</si>
  <si>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</si>
  <si>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</si>
  <si>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</si>
  <si>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</si>
  <si>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</si>
  <si>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</si>
  <si>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16EDCE6A</t>
  </si>
  <si>
    <t>E15ED46E</t>
  </si>
  <si>
    <t>E7DE494F</t>
  </si>
  <si>
    <t>127B3D2F</t>
  </si>
  <si>
    <t>132CFCA1</t>
  </si>
  <si>
    <t>1F0DD8CC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</si>
  <si>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</si>
  <si>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</si>
  <si>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</si>
  <si>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</si>
  <si>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</si>
  <si>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</si>
  <si>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</si>
  <si>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</si>
  <si>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</si>
  <si>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</si>
  <si>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</si>
  <si>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</si>
  <si>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</si>
  <si>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</si>
  <si>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</si>
  <si>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</si>
  <si>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</si>
  <si>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</si>
  <si>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</si>
  <si>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</si>
  <si>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</si>
  <si>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</si>
  <si>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</si>
  <si>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</si>
  <si>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</si>
  <si>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</si>
  <si>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</si>
  <si>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</si>
  <si>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1FFECEDE</t>
  </si>
  <si>
    <t>F1A3FDCA</t>
  </si>
  <si>
    <t>12D09F84</t>
  </si>
  <si>
    <t>12BACFD9</t>
  </si>
  <si>
    <t>13B4E20D</t>
  </si>
  <si>
    <t>E1FBDB71</t>
  </si>
  <si>
    <t>FD5D82E8</t>
  </si>
  <si>
    <t>1C6F9830</t>
  </si>
  <si>
    <t>1EBAD039</t>
  </si>
  <si>
    <t>157A12F3</t>
  </si>
  <si>
    <t>1345793C</t>
  </si>
  <si>
    <t>1C069966</t>
  </si>
  <si>
    <t>16920F6E</t>
  </si>
  <si>
    <t>F254A7B0</t>
  </si>
  <si>
    <t>FB8D4C75</t>
  </si>
  <si>
    <t>F433602B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</si>
  <si>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</si>
  <si>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</si>
  <si>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</si>
  <si>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</si>
  <si>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</si>
  <si>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</si>
  <si>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</si>
  <si>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</si>
  <si>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</si>
  <si>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</si>
  <si>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</si>
  <si>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</si>
  <si>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</si>
  <si>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1AD618F9</t>
  </si>
  <si>
    <t>1B5FAA99</t>
  </si>
  <si>
    <t>E872A68B</t>
  </si>
  <si>
    <t>1FCFEF44</t>
  </si>
  <si>
    <t>F94DFCE6</t>
  </si>
  <si>
    <t>E302B730</t>
  </si>
  <si>
    <t>FFF0776F</t>
  </si>
  <si>
    <t>F8ADF433</t>
  </si>
  <si>
    <t>E9EE63B2</t>
  </si>
  <si>
    <t>E3C997BD</t>
  </si>
  <si>
    <t>F69E2090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</si>
  <si>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</si>
  <si>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</si>
  <si>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</si>
  <si>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</si>
  <si>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</si>
  <si>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</si>
  <si>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</si>
  <si>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</si>
  <si>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</si>
  <si>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</si>
  <si>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</si>
  <si>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</si>
  <si>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</si>
  <si>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</si>
  <si>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</si>
  <si>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</si>
  <si>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</si>
  <si>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</si>
  <si>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</si>
  <si>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</si>
  <si>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</si>
  <si>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</si>
  <si>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EA42F888</t>
  </si>
  <si>
    <t>1D5CCCAB</t>
  </si>
  <si>
    <t>1262BE2D</t>
  </si>
  <si>
    <t>F3F904F6</t>
  </si>
  <si>
    <t>173E1872</t>
  </si>
  <si>
    <t>E424C714</t>
  </si>
  <si>
    <t>1B329DA5</t>
  </si>
  <si>
    <t>F63D3E94</t>
  </si>
  <si>
    <t>18CE9C09</t>
  </si>
  <si>
    <t>1C1DC68E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</si>
  <si>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</si>
  <si>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</si>
  <si>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</si>
  <si>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</si>
  <si>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</si>
  <si>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</si>
  <si>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</si>
  <si>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</si>
  <si>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</si>
  <si>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</si>
  <si>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</si>
  <si>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</si>
  <si>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</si>
  <si>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</si>
  <si>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</si>
  <si>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</si>
  <si>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</si>
  <si>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</si>
  <si>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</si>
  <si>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</si>
  <si>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</si>
  <si>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</si>
  <si>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</si>
  <si>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14429D80</t>
  </si>
  <si>
    <t>F2B19E10</t>
  </si>
  <si>
    <t>F2EC18A1</t>
  </si>
  <si>
    <t>103F7F06</t>
  </si>
  <si>
    <t>FCB1A90B</t>
  </si>
  <si>
    <t>15F7EF03</t>
  </si>
  <si>
    <t>E932DAE7</t>
  </si>
  <si>
    <t>16096AE3</t>
  </si>
  <si>
    <t>EF9ACBCC</t>
  </si>
  <si>
    <t>F9E5E51F</t>
  </si>
  <si>
    <t>F0CCE740</t>
  </si>
  <si>
    <t>EBFEB591</t>
  </si>
  <si>
    <t>F88FF2B1</t>
  </si>
  <si>
    <t>104B6BB6</t>
  </si>
  <si>
    <t>E5701193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</si>
  <si>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</si>
  <si>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</si>
  <si>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</si>
  <si>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</si>
  <si>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</si>
  <si>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</si>
  <si>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</si>
  <si>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</si>
  <si>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</si>
  <si>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</si>
  <si>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</si>
  <si>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E7224629</t>
  </si>
  <si>
    <t>18A14F71</t>
  </si>
  <si>
    <t>1673653A</t>
  </si>
  <si>
    <t>F0D38E66</t>
  </si>
  <si>
    <t>1E519B49</t>
  </si>
  <si>
    <t>EE21DFEF</t>
  </si>
  <si>
    <t>1ACBF624</t>
  </si>
  <si>
    <t>F1E33B2F</t>
  </si>
  <si>
    <t>E3C92406</t>
  </si>
  <si>
    <t>11BF0AC9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</si>
  <si>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</si>
  <si>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</si>
  <si>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</si>
  <si>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</si>
  <si>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</si>
  <si>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</si>
  <si>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</si>
  <si>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</si>
  <si>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E1B29BFC</t>
  </si>
  <si>
    <t>EC48D896</t>
  </si>
  <si>
    <t>F83BF716</t>
  </si>
  <si>
    <t>1D0EB484</t>
  </si>
  <si>
    <t>F8B153E5</t>
  </si>
  <si>
    <t>E10AE36F</t>
  </si>
  <si>
    <t>E4D8F3CB</t>
  </si>
  <si>
    <t>EBC45D16</t>
  </si>
  <si>
    <t>FA6073D6</t>
  </si>
  <si>
    <t>1DA99B72</t>
  </si>
  <si>
    <t>1BDEDB73</t>
  </si>
  <si>
    <t>1ADE95B8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</si>
  <si>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</si>
  <si>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</si>
  <si>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</si>
  <si>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</si>
  <si>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</si>
  <si>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</si>
  <si>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</si>
  <si>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</si>
  <si>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</si>
  <si>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</si>
  <si>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</si>
  <si>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</si>
  <si>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</si>
  <si>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</si>
  <si>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</si>
  <si>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</si>
  <si>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1CAB43B8</t>
  </si>
  <si>
    <t>F57DD7D2</t>
  </si>
  <si>
    <t>F43AF4D1</t>
  </si>
  <si>
    <t>1CB69BC3</t>
  </si>
  <si>
    <t>F8DC3FA8</t>
  </si>
  <si>
    <t>E86079A7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</si>
  <si>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</si>
  <si>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</si>
  <si>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</si>
  <si>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</si>
  <si>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</si>
  <si>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</si>
  <si>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</si>
  <si>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</si>
  <si>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</si>
  <si>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</si>
  <si>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</si>
  <si>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</si>
  <si>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</si>
  <si>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F9F67C81</t>
  </si>
  <si>
    <t>FA15FC9A</t>
  </si>
  <si>
    <t>E7A7526A</t>
  </si>
  <si>
    <t>F4FF4A6F</t>
  </si>
  <si>
    <t>ED39F36A</t>
  </si>
  <si>
    <t>19D3018F</t>
  </si>
  <si>
    <t>E3212599</t>
  </si>
  <si>
    <t>F79F1AAE</t>
  </si>
  <si>
    <t>F91AB3DE</t>
  </si>
  <si>
    <t>E82CF0EE</t>
  </si>
  <si>
    <t>1EEEA6F0</t>
  </si>
  <si>
    <t>E134E8CD</t>
  </si>
  <si>
    <t>E57408A5</t>
  </si>
  <si>
    <t>E6250BDB</t>
  </si>
  <si>
    <t>F944D676</t>
  </si>
  <si>
    <t>F7674396</t>
  </si>
  <si>
    <t>EB4059D3</t>
  </si>
  <si>
    <t>F51B2663</t>
  </si>
  <si>
    <t>F6AD056A</t>
  </si>
  <si>
    <t>E566B389</t>
  </si>
  <si>
    <t>F191F99C</t>
  </si>
  <si>
    <t>1C5CEC89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</si>
  <si>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</si>
  <si>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</si>
  <si>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</si>
  <si>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</si>
  <si>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</si>
  <si>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</si>
  <si>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</si>
  <si>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</si>
  <si>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</si>
  <si>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</si>
  <si>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</si>
  <si>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</si>
  <si>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</si>
  <si>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FCAE22FC</t>
  </si>
  <si>
    <t>E3970B56</t>
  </si>
  <si>
    <t>FE8587F4</t>
  </si>
  <si>
    <t>1FFEEB74</t>
  </si>
  <si>
    <t>E5836BE3</t>
  </si>
  <si>
    <t>FBB85A65</t>
  </si>
  <si>
    <t>1102C49B</t>
  </si>
  <si>
    <t>1848ED57</t>
  </si>
  <si>
    <t>FA0D9053</t>
  </si>
  <si>
    <t>FF50E24C</t>
  </si>
  <si>
    <t>FA9B1212</t>
  </si>
  <si>
    <t>1C4D3DA7</t>
  </si>
  <si>
    <t>FD5ABA84</t>
  </si>
  <si>
    <t>FA1C3745</t>
  </si>
  <si>
    <t>E066B3BA</t>
  </si>
  <si>
    <t>E5035142</t>
  </si>
  <si>
    <t>F783F2A6</t>
  </si>
  <si>
    <t>F6D95B40</t>
  </si>
  <si>
    <t>18160AD0</t>
  </si>
  <si>
    <t>E75A7233</t>
  </si>
  <si>
    <t>16E15689</t>
  </si>
  <si>
    <t>EF8DCEAD</t>
  </si>
  <si>
    <t>F2E5F630</t>
  </si>
  <si>
    <t>EC56F58A</t>
  </si>
  <si>
    <t>F13FB572</t>
  </si>
  <si>
    <t>EC84A284</t>
  </si>
  <si>
    <t>14EB914F</t>
  </si>
  <si>
    <t>1343B36C</t>
  </si>
  <si>
    <t>F5934E17</t>
  </si>
  <si>
    <t>F5253505</t>
  </si>
  <si>
    <t>E4553410</t>
  </si>
  <si>
    <t>12C21700</t>
  </si>
  <si>
    <t>ED4BC69D</t>
  </si>
  <si>
    <t>F742A646</t>
  </si>
  <si>
    <t>EF70BADE</t>
  </si>
  <si>
    <t>EDA6CBB6</t>
  </si>
  <si>
    <t>126BEDBC</t>
  </si>
  <si>
    <t>1E63D477</t>
  </si>
  <si>
    <t>E9FC47EF</t>
  </si>
  <si>
    <t>FA359179</t>
  </si>
  <si>
    <t>E44DCC49</t>
  </si>
  <si>
    <t>1CF9E883</t>
  </si>
  <si>
    <t>E3C487CD</t>
  </si>
  <si>
    <t>11CD3581</t>
  </si>
  <si>
    <t>FA4ED957</t>
  </si>
  <si>
    <t>F60DC19B</t>
  </si>
  <si>
    <t>EA9F27C1</t>
  </si>
  <si>
    <t>12D7E3AA</t>
  </si>
  <si>
    <t>F47EEFEE</t>
  </si>
  <si>
    <t>E8E77DC0</t>
  </si>
  <si>
    <t>F9B01D39</t>
  </si>
  <si>
    <t>EBBBC4B9</t>
  </si>
  <si>
    <t>1D6C9BDF</t>
  </si>
  <si>
    <t>EB2A1311</t>
  </si>
  <si>
    <t>1825DB87</t>
  </si>
  <si>
    <t>EA3C2D76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</si>
  <si>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</si>
  <si>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</si>
  <si>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</si>
  <si>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</si>
  <si>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</si>
  <si>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</si>
  <si>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</si>
  <si>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</si>
  <si>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</si>
  <si>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</si>
  <si>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14F00B30</t>
  </si>
  <si>
    <t>1FDB7E67</t>
  </si>
  <si>
    <t>F13BE380</t>
  </si>
  <si>
    <t>1B867A82</t>
  </si>
  <si>
    <t>1010CAB3</t>
  </si>
  <si>
    <t>ED9C6E54</t>
  </si>
  <si>
    <t>11DDC5F4</t>
  </si>
  <si>
    <t>E0A4F6BC</t>
  </si>
  <si>
    <t>E8659114</t>
  </si>
  <si>
    <t>1A2773C3</t>
  </si>
  <si>
    <t>174D5E94</t>
  </si>
  <si>
    <t>1C56D8A5</t>
  </si>
  <si>
    <t>12349A7A</t>
  </si>
  <si>
    <t>FFCF2018</t>
  </si>
  <si>
    <t>1525A0C7</t>
  </si>
  <si>
    <t>EB2FFA82</t>
  </si>
  <si>
    <t>FDC93A0A</t>
  </si>
  <si>
    <t>157CF266</t>
  </si>
  <si>
    <t>1ACE6D41</t>
  </si>
  <si>
    <t>E55EB791</t>
  </si>
  <si>
    <t>F45FBC48</t>
  </si>
  <si>
    <t>1815CE89</t>
  </si>
  <si>
    <t>E7547C72</t>
  </si>
  <si>
    <t>FD9BC875</t>
  </si>
  <si>
    <t>E6890957</t>
  </si>
  <si>
    <t>1F77A37A</t>
  </si>
  <si>
    <t>E0E95DC4</t>
  </si>
  <si>
    <t>FD721A4D</t>
  </si>
  <si>
    <t>E7BEA894</t>
  </si>
  <si>
    <t>EA2CE18A</t>
  </si>
  <si>
    <t>EB9A25E7</t>
  </si>
  <si>
    <t>E1FCC72C</t>
  </si>
  <si>
    <t>E9858D76</t>
  </si>
  <si>
    <t>ED5DF04D</t>
  </si>
  <si>
    <t>E653C4C6</t>
  </si>
  <si>
    <t>F6F168D0</t>
  </si>
  <si>
    <t>E864BF59</t>
  </si>
  <si>
    <t>F5984D0B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</si>
  <si>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</si>
  <si>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</si>
  <si>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</si>
  <si>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</si>
  <si>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</si>
  <si>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</si>
  <si>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</si>
  <si>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</si>
  <si>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</si>
  <si>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</si>
  <si>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</si>
  <si>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</si>
  <si>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</si>
  <si>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E80A5C07</t>
  </si>
  <si>
    <t>EF85225C</t>
  </si>
  <si>
    <t>EB4EFACD</t>
  </si>
  <si>
    <t>F4602941</t>
  </si>
  <si>
    <t>EF09106D</t>
  </si>
  <si>
    <t>17658D86</t>
  </si>
  <si>
    <t>E6BCC51B</t>
  </si>
  <si>
    <t>F527C571</t>
  </si>
  <si>
    <t>E309924D</t>
  </si>
  <si>
    <t>FA5DF09B</t>
  </si>
  <si>
    <t>E0DDD37F</t>
  </si>
  <si>
    <t>1BB25B75</t>
  </si>
  <si>
    <t>E7AB06C9</t>
  </si>
  <si>
    <t>18F27E9F</t>
  </si>
  <si>
    <t>E6BF9856</t>
  </si>
  <si>
    <t>154AA3E4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</si>
  <si>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</si>
  <si>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</si>
  <si>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</si>
  <si>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</si>
  <si>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</si>
  <si>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</si>
  <si>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</si>
  <si>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</si>
  <si>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</si>
  <si>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</si>
  <si>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12645C4D</t>
  </si>
  <si>
    <t>E91A455B</t>
  </si>
  <si>
    <t>10924502</t>
  </si>
  <si>
    <t>F4C14EA2</t>
  </si>
  <si>
    <t>E8FED092</t>
  </si>
  <si>
    <t>FA23E72B</t>
  </si>
  <si>
    <t>E3924B0D</t>
  </si>
  <si>
    <t>1E84AEB6</t>
  </si>
  <si>
    <t>192813F4</t>
  </si>
  <si>
    <t>1115F387</t>
  </si>
  <si>
    <t>F3A30583</t>
  </si>
  <si>
    <t>E2A3AF39</t>
  </si>
  <si>
    <t>16296430</t>
  </si>
  <si>
    <t>F852C6AF</t>
  </si>
  <si>
    <t>15A37CDA</t>
  </si>
  <si>
    <t>F074EFC3</t>
  </si>
  <si>
    <t>14B02F1B</t>
  </si>
  <si>
    <t>1CA4E64F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</si>
  <si>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</si>
  <si>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</si>
  <si>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</si>
  <si>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</si>
  <si>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</si>
  <si>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</si>
  <si>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</si>
  <si>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</si>
  <si>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</si>
  <si>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</si>
  <si>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F1E2CB8B</t>
  </si>
  <si>
    <t>FD4CC7C0</t>
  </si>
  <si>
    <t>F5A53175</t>
  </si>
  <si>
    <t>18500447</t>
  </si>
  <si>
    <t>14099450</t>
  </si>
  <si>
    <t>F40E038C</t>
  </si>
  <si>
    <t>E74A09A7</t>
  </si>
  <si>
    <t>E1FCBF1C</t>
  </si>
  <si>
    <t>F4F7BE0E</t>
  </si>
  <si>
    <t>E6CA0FCA</t>
  </si>
  <si>
    <t>E54521FA</t>
  </si>
  <si>
    <t>1879341B</t>
  </si>
  <si>
    <t>E39F8F4D</t>
  </si>
  <si>
    <t>FC079277</t>
  </si>
  <si>
    <t>1B8FCFDF</t>
  </si>
  <si>
    <t>FD9E4C3C</t>
  </si>
  <si>
    <t>F70F6C99</t>
  </si>
  <si>
    <t>122F7F1E</t>
  </si>
  <si>
    <t>EE7961F1</t>
  </si>
  <si>
    <t>1957F330</t>
  </si>
  <si>
    <t>1F985678</t>
  </si>
  <si>
    <t>E94E2DFF</t>
  </si>
  <si>
    <t>18A9FA4A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</si>
  <si>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</si>
  <si>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</si>
  <si>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</si>
  <si>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</si>
  <si>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</si>
  <si>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</si>
  <si>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</si>
  <si>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</si>
  <si>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</si>
  <si>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</si>
  <si>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F03D4141</t>
  </si>
  <si>
    <t>E7DD5027</t>
  </si>
  <si>
    <t>FF0C1874</t>
  </si>
  <si>
    <t>EA0C2968</t>
  </si>
  <si>
    <t>110960C1</t>
  </si>
  <si>
    <t>F1CB62CD</t>
  </si>
  <si>
    <t>1056DC34</t>
  </si>
  <si>
    <t>E5C1656C</t>
  </si>
  <si>
    <t>EBB54588</t>
  </si>
  <si>
    <t>1B72FB8E</t>
  </si>
  <si>
    <t>F8682451</t>
  </si>
  <si>
    <t>E8A3F13C</t>
  </si>
  <si>
    <t>FA049C7B</t>
  </si>
  <si>
    <t>E474294A</t>
  </si>
  <si>
    <t>14230473</t>
  </si>
  <si>
    <t>10359F09</t>
  </si>
  <si>
    <t>EF9936F5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</si>
  <si>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</si>
  <si>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</si>
  <si>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</si>
  <si>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</si>
  <si>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</si>
  <si>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</si>
  <si>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</si>
  <si>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</si>
  <si>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</si>
  <si>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</si>
  <si>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12C160DE</t>
  </si>
  <si>
    <t>E8C1280A</t>
  </si>
  <si>
    <t>FBB4CD21</t>
  </si>
  <si>
    <t>15523B43</t>
  </si>
  <si>
    <t>1A3282D3</t>
  </si>
  <si>
    <t>116ED5C0</t>
  </si>
  <si>
    <t>12784594</t>
  </si>
  <si>
    <t>E8E7D637</t>
  </si>
  <si>
    <t>EE6752FF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</si>
  <si>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</si>
  <si>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</si>
  <si>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</si>
  <si>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</si>
  <si>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</si>
  <si>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</si>
  <si>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</si>
  <si>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</si>
  <si>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</si>
  <si>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F0DC64BE</t>
  </si>
  <si>
    <t>F935EAD4</t>
  </si>
  <si>
    <t>1D5D120D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</si>
  <si>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</si>
  <si>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</si>
  <si>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</si>
  <si>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</si>
  <si>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</si>
  <si>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</si>
  <si>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</si>
  <si>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</si>
  <si>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</si>
  <si>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</si>
  <si>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</si>
  <si>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</si>
  <si>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</si>
  <si>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</si>
  <si>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</si>
  <si>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</si>
  <si>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</si>
  <si>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</si>
  <si>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</si>
  <si>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</si>
  <si>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</si>
  <si>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</si>
  <si>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E9696E11</t>
  </si>
  <si>
    <t>18777B6C</t>
  </si>
  <si>
    <t>FB530069</t>
  </si>
  <si>
    <t>FA1CD691</t>
  </si>
  <si>
    <t>F11DF8A7</t>
  </si>
  <si>
    <t>F5D5D5CB</t>
  </si>
  <si>
    <t>163708BB</t>
  </si>
  <si>
    <t>F4F959CA</t>
  </si>
  <si>
    <t>1EC43BDB</t>
  </si>
  <si>
    <t>E88C9549</t>
  </si>
  <si>
    <t>1E43F156</t>
  </si>
  <si>
    <t>1660A3A0</t>
  </si>
  <si>
    <t>1104944D</t>
  </si>
  <si>
    <t>1FBE3D6F</t>
  </si>
  <si>
    <t>F305397D</t>
  </si>
  <si>
    <t>E217CAFB</t>
  </si>
  <si>
    <t>1D06916A</t>
  </si>
  <si>
    <t>FCC800C6</t>
  </si>
  <si>
    <t>FA018A53</t>
  </si>
  <si>
    <t>E94A802A</t>
  </si>
  <si>
    <t>11EB9E2B</t>
  </si>
  <si>
    <t>10038982</t>
  </si>
  <si>
    <t>F6849C49</t>
  </si>
  <si>
    <t>E7C1D79D</t>
  </si>
  <si>
    <t>16DA94B2</t>
  </si>
  <si>
    <t>EBF5C22B</t>
  </si>
  <si>
    <t>15D31B05</t>
  </si>
  <si>
    <t>E4CB9445</t>
  </si>
  <si>
    <t>FA956086</t>
  </si>
  <si>
    <t>198E67A9</t>
  </si>
  <si>
    <t>FC6C4EB7</t>
  </si>
  <si>
    <t>199EDE5D</t>
  </si>
  <si>
    <t>19BA92BC</t>
  </si>
  <si>
    <t>140EDD5D</t>
  </si>
  <si>
    <t>F07D823A</t>
  </si>
  <si>
    <t>FECF8399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</si>
  <si>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</si>
  <si>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</si>
  <si>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</si>
  <si>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</si>
  <si>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</si>
  <si>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</si>
  <si>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</si>
  <si>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</si>
  <si>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166726BD</t>
  </si>
  <si>
    <t>1275C042</t>
  </si>
  <si>
    <t>1B95B684</t>
  </si>
  <si>
    <t>E3D2EA81</t>
  </si>
  <si>
    <t>137697B3</t>
  </si>
  <si>
    <t>E4EBE69C</t>
  </si>
  <si>
    <t>EBD9DB0F</t>
  </si>
  <si>
    <t>FFA1FD1A</t>
  </si>
  <si>
    <t>F586F2E2</t>
  </si>
  <si>
    <t>F3508D76</t>
  </si>
  <si>
    <t>1161AB50</t>
  </si>
  <si>
    <t>FF98D6EA</t>
  </si>
  <si>
    <t>F3A5665F</t>
  </si>
  <si>
    <t>E7B81BC8</t>
  </si>
  <si>
    <t>F22158E8</t>
  </si>
  <si>
    <t>1B3ECFC1</t>
  </si>
  <si>
    <t>17F06087</t>
  </si>
  <si>
    <t>F17061A0</t>
  </si>
  <si>
    <t>12EAD8F6</t>
  </si>
  <si>
    <t>1325E6C2</t>
  </si>
  <si>
    <t>EE996B59</t>
  </si>
  <si>
    <t>107C8EB6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</si>
  <si>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</si>
  <si>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</si>
  <si>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</si>
  <si>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</si>
  <si>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</si>
  <si>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</si>
  <si>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</si>
  <si>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</si>
  <si>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</si>
  <si>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</si>
  <si>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</si>
  <si>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</si>
  <si>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</si>
  <si>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</si>
  <si>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</si>
  <si>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EE80D552</t>
  </si>
  <si>
    <t>19357BF0</t>
  </si>
  <si>
    <t>14F47185</t>
  </si>
  <si>
    <t>FBA2ECE7</t>
  </si>
  <si>
    <t>F23C395B</t>
  </si>
  <si>
    <t>EF416974</t>
  </si>
  <si>
    <t>FE109A86</t>
  </si>
  <si>
    <t>ED38E0FB</t>
  </si>
  <si>
    <t>E4FF4182</t>
  </si>
  <si>
    <t>F18A1F0D</t>
  </si>
  <si>
    <t>EF73B6A8</t>
  </si>
  <si>
    <t>E286D255</t>
  </si>
  <si>
    <t>E69ECF81</t>
  </si>
  <si>
    <t>EC998C14</t>
  </si>
  <si>
    <t>E1B03694</t>
  </si>
  <si>
    <t>ED2670E8</t>
  </si>
  <si>
    <t>1EC8FC93</t>
  </si>
  <si>
    <t>14CE5E81</t>
  </si>
  <si>
    <t>153534C1</t>
  </si>
  <si>
    <t>F30C58C9</t>
  </si>
  <si>
    <t>14AA2E0B</t>
  </si>
  <si>
    <t>E66AAB03</t>
  </si>
  <si>
    <t>ECAD0B5B</t>
  </si>
  <si>
    <t>188D67DA</t>
  </si>
  <si>
    <t>FF9D4B8A</t>
  </si>
  <si>
    <t>1CB16F08</t>
  </si>
  <si>
    <t>16859F3D</t>
  </si>
  <si>
    <t>1BD4D233</t>
  </si>
  <si>
    <t>EBA25C76</t>
  </si>
  <si>
    <t>18B3F6FD</t>
  </si>
  <si>
    <t>F51D58BA</t>
  </si>
  <si>
    <t>1CBEFC70</t>
  </si>
  <si>
    <t>ED72A571</t>
  </si>
  <si>
    <t>F64AE4A4</t>
  </si>
  <si>
    <t>F6D31F00</t>
  </si>
  <si>
    <t>FABD24F6</t>
  </si>
  <si>
    <t>101CB31F</t>
  </si>
  <si>
    <t>E297FA34</t>
  </si>
  <si>
    <t>F2FDAAD0</t>
  </si>
  <si>
    <t>E1ACDD4B</t>
  </si>
  <si>
    <t>1C76196D</t>
  </si>
  <si>
    <t>F8E4775C</t>
  </si>
  <si>
    <t>E293881D</t>
  </si>
  <si>
    <t>160B9563</t>
  </si>
  <si>
    <t>FD0FAB10</t>
  </si>
  <si>
    <t>F0C674F7</t>
  </si>
  <si>
    <t>F752E396</t>
  </si>
  <si>
    <t>F401DB90</t>
  </si>
  <si>
    <t>E2AFDEA5</t>
  </si>
  <si>
    <t>F5BFD121</t>
  </si>
  <si>
    <t>16A86077</t>
  </si>
  <si>
    <t>1DE7E725</t>
  </si>
  <si>
    <t>FF3354CA</t>
  </si>
  <si>
    <t>E77B0FD8</t>
  </si>
  <si>
    <t>1A218B6F</t>
  </si>
  <si>
    <t>FB767ACA</t>
  </si>
  <si>
    <t>138A6550</t>
  </si>
  <si>
    <t>ECBEC1C1</t>
  </si>
  <si>
    <t>FE9FA939</t>
  </si>
  <si>
    <t>F8273A53</t>
  </si>
  <si>
    <t>E4AAC43C</t>
  </si>
  <si>
    <t>EAB97C0F</t>
  </si>
  <si>
    <t>FBCBE989</t>
  </si>
  <si>
    <t>FE135A62</t>
  </si>
  <si>
    <t>1794497F</t>
  </si>
  <si>
    <t>EFA54718</t>
  </si>
  <si>
    <t>16C94C55</t>
  </si>
  <si>
    <t>F1B274B1</t>
  </si>
  <si>
    <t>14ED3A4A</t>
  </si>
  <si>
    <t>FB92CEDC</t>
  </si>
  <si>
    <t>146D7E44</t>
  </si>
  <si>
    <t>FA84D795</t>
  </si>
  <si>
    <t>F6CB107B</t>
  </si>
  <si>
    <t>F442E949</t>
  </si>
  <si>
    <t>ECD60364</t>
  </si>
  <si>
    <t>FB41856F</t>
  </si>
  <si>
    <t>121881AD</t>
  </si>
  <si>
    <t>F76E71C1</t>
  </si>
  <si>
    <t>1BE06565</t>
  </si>
  <si>
    <t>F42EE3B3</t>
  </si>
  <si>
    <t>1F923EFB</t>
  </si>
  <si>
    <t>EA906037</t>
  </si>
  <si>
    <t>FB8A698B</t>
  </si>
  <si>
    <t>F6FDAA21</t>
  </si>
  <si>
    <t>1A896B9B</t>
  </si>
  <si>
    <t>1A15D034</t>
  </si>
  <si>
    <t>EBBD8DC5</t>
  </si>
  <si>
    <t>18265842</t>
  </si>
  <si>
    <t>15C8815D</t>
  </si>
  <si>
    <t>FA547707</t>
  </si>
  <si>
    <t>E2437D3E</t>
  </si>
  <si>
    <t>18B383C5</t>
  </si>
  <si>
    <t>1166F9D2</t>
  </si>
  <si>
    <t>FC2CAC50</t>
  </si>
  <si>
    <t>FF760AA0</t>
  </si>
  <si>
    <t>E649E55B</t>
  </si>
  <si>
    <t>EF7BE0E7</t>
  </si>
  <si>
    <t>ECCAC75C</t>
  </si>
  <si>
    <t>F8125B23</t>
  </si>
  <si>
    <t>17662743</t>
  </si>
  <si>
    <t>E1BC7775</t>
  </si>
  <si>
    <t>E6841458</t>
  </si>
  <si>
    <t>E4D91D00</t>
  </si>
  <si>
    <t>ECE8AB5C</t>
  </si>
  <si>
    <t>F0723EE5</t>
  </si>
  <si>
    <t>F03BE13F</t>
  </si>
  <si>
    <t>F613B789</t>
  </si>
  <si>
    <t>E8FA0391</t>
  </si>
  <si>
    <t>1C0CD962</t>
  </si>
  <si>
    <t>F26B7343</t>
  </si>
  <si>
    <t>1CA0B2E9</t>
  </si>
  <si>
    <t>181275E9</t>
  </si>
  <si>
    <t>F28CA233</t>
  </si>
  <si>
    <t>F1B78160</t>
  </si>
  <si>
    <t>E689ABCE</t>
  </si>
  <si>
    <t>E244C13A</t>
  </si>
  <si>
    <t>1F311A88</t>
  </si>
  <si>
    <t>1DB30321</t>
  </si>
  <si>
    <t>EF566E9D</t>
  </si>
  <si>
    <t>F28F401C</t>
  </si>
  <si>
    <t>EEF0F2F7</t>
  </si>
  <si>
    <t>10514D53</t>
  </si>
  <si>
    <t>FA84F2B9</t>
  </si>
  <si>
    <t>F2C08D94</t>
  </si>
  <si>
    <t>EED00556</t>
  </si>
  <si>
    <t>193B47B8</t>
  </si>
  <si>
    <t>F14F8817</t>
  </si>
  <si>
    <t>1B2F9BB3</t>
  </si>
  <si>
    <t>11FEB5E4</t>
  </si>
  <si>
    <t>F9939968</t>
  </si>
  <si>
    <t>F1557F67</t>
  </si>
  <si>
    <t>12C8B578</t>
  </si>
  <si>
    <t>E19BA90A</t>
  </si>
  <si>
    <t>1E6C3FE2</t>
  </si>
  <si>
    <t>E76B08B8</t>
  </si>
  <si>
    <t>1D3B7B22</t>
  </si>
  <si>
    <t>E9162EA8</t>
  </si>
  <si>
    <t>110D45DF</t>
  </si>
  <si>
    <t>16B8FDD0</t>
  </si>
  <si>
    <t>F49ECC83</t>
  </si>
  <si>
    <t>149A57F8</t>
  </si>
  <si>
    <t>1FE4BA31</t>
  </si>
  <si>
    <t>E8FA6789</t>
  </si>
  <si>
    <t>F7E3891A</t>
  </si>
  <si>
    <t>EA68D789</t>
  </si>
  <si>
    <t>14E8B2AB</t>
  </si>
  <si>
    <t>F07AED29</t>
  </si>
  <si>
    <t>FFDB9021</t>
  </si>
  <si>
    <t>1C766419</t>
  </si>
  <si>
    <t>FC00F635</t>
  </si>
  <si>
    <t>181A2C87</t>
  </si>
  <si>
    <t>FC71D78F</t>
  </si>
  <si>
    <t>FCF5B74C</t>
  </si>
  <si>
    <t>19FDD119</t>
  </si>
  <si>
    <t>F7F77615</t>
  </si>
  <si>
    <t>FDC32318</t>
  </si>
  <si>
    <t>1CFDF143</t>
  </si>
  <si>
    <t>F492A3C4</t>
  </si>
  <si>
    <t>EC7E0964</t>
  </si>
  <si>
    <t>111E60DD</t>
  </si>
  <si>
    <t>138788BD</t>
  </si>
  <si>
    <t>F7AF95CE</t>
  </si>
  <si>
    <t>1397A430</t>
  </si>
  <si>
    <t>FDCAC831</t>
  </si>
  <si>
    <t>E645292E</t>
  </si>
  <si>
    <t>E46936A6</t>
  </si>
  <si>
    <t>18A9A1AD</t>
  </si>
  <si>
    <t>F56DBBC6</t>
  </si>
  <si>
    <t>12D06711</t>
  </si>
  <si>
    <t>1C53465D</t>
  </si>
  <si>
    <t>1A18D113</t>
  </si>
  <si>
    <t>FB12D597</t>
  </si>
  <si>
    <t>F759B81F</t>
  </si>
  <si>
    <t>FD694A43</t>
  </si>
  <si>
    <t>E3ADAD23</t>
  </si>
  <si>
    <t>147B2849</t>
  </si>
  <si>
    <t>F6A8B1F4</t>
  </si>
  <si>
    <t>F639C699</t>
  </si>
  <si>
    <t>FA5F6ADE</t>
  </si>
  <si>
    <t>EB5B822D</t>
  </si>
  <si>
    <t>FB147E8B</t>
  </si>
  <si>
    <t>EA1F3673</t>
  </si>
  <si>
    <t>F82DDBED</t>
  </si>
  <si>
    <t>13E4AC88</t>
  </si>
  <si>
    <t>F525F469</t>
  </si>
  <si>
    <t>1D90E2DC</t>
  </si>
  <si>
    <t>ED327222</t>
  </si>
  <si>
    <t>FBB74475</t>
  </si>
  <si>
    <t>E4B78359</t>
  </si>
  <si>
    <t>E7FCEA0B</t>
  </si>
  <si>
    <t>1C00616D</t>
  </si>
  <si>
    <t>ECCDA4FE</t>
  </si>
  <si>
    <t>1A8906E5</t>
  </si>
  <si>
    <t>1B5D8C0B</t>
  </si>
  <si>
    <t>F1700980</t>
  </si>
  <si>
    <t>ECBE080F</t>
  </si>
  <si>
    <t>1D147E28</t>
  </si>
  <si>
    <t>100AF30D</t>
  </si>
  <si>
    <t>EE3599B4</t>
  </si>
  <si>
    <t>1CA51826</t>
  </si>
  <si>
    <t>FF787A50</t>
  </si>
  <si>
    <t>FDAD0B46</t>
  </si>
  <si>
    <t>F89D94EC</t>
  </si>
  <si>
    <t>FCF0FCB2</t>
  </si>
  <si>
    <t>F938D637</t>
  </si>
  <si>
    <t>EA5073FA</t>
  </si>
  <si>
    <t>EBD37B84</t>
  </si>
  <si>
    <t>F02DF21C</t>
  </si>
  <si>
    <t>E8E69B89</t>
  </si>
  <si>
    <t>E3F9F816</t>
  </si>
  <si>
    <t>F3346AFD</t>
  </si>
  <si>
    <t>E50C6891</t>
  </si>
  <si>
    <t>18459302</t>
  </si>
  <si>
    <t>F793F8B9</t>
  </si>
  <si>
    <t>ED0A682C</t>
  </si>
  <si>
    <t>1094DCCE</t>
  </si>
  <si>
    <t>E11E2712</t>
  </si>
  <si>
    <t>1B8BAD5B</t>
  </si>
  <si>
    <t>F2524E29</t>
  </si>
  <si>
    <t>EF5E351B</t>
  </si>
  <si>
    <t>F528F8BD</t>
  </si>
  <si>
    <t>E9516891</t>
  </si>
  <si>
    <t>1BF04455</t>
  </si>
  <si>
    <t>113959B6</t>
  </si>
  <si>
    <t>EAC4EDBB</t>
  </si>
  <si>
    <t>1137D1DB</t>
  </si>
  <si>
    <t>1F596BAB</t>
  </si>
  <si>
    <t>EC8A5B17</t>
  </si>
  <si>
    <t>FFE0314C</t>
  </si>
  <si>
    <t>E41277CD</t>
  </si>
  <si>
    <t>F7D7111E</t>
  </si>
  <si>
    <t>11A0FC0B</t>
  </si>
  <si>
    <t>14E8F488</t>
  </si>
  <si>
    <t>F8179074</t>
  </si>
  <si>
    <t>F5FA5A66</t>
  </si>
  <si>
    <t>F29972FF</t>
  </si>
  <si>
    <t>E4B91F50</t>
  </si>
  <si>
    <t>1099BBFD</t>
  </si>
  <si>
    <t>E05AB09F</t>
  </si>
  <si>
    <t>14F1FB7A</t>
  </si>
  <si>
    <t>123A5855</t>
  </si>
  <si>
    <t>EB4380F9</t>
  </si>
  <si>
    <t>FA9228C6</t>
  </si>
  <si>
    <t>1CD8E5E9</t>
  </si>
  <si>
    <t>F5EA93AD</t>
  </si>
  <si>
    <t>F3FABEA8</t>
  </si>
  <si>
    <t>E51974F5</t>
  </si>
  <si>
    <t>E05A8599</t>
  </si>
  <si>
    <t>135F79DC</t>
  </si>
  <si>
    <t>EF8740C5</t>
  </si>
  <si>
    <t>114B1639</t>
  </si>
  <si>
    <t>E3D2266E</t>
  </si>
  <si>
    <t>F5A25C17</t>
  </si>
  <si>
    <t>19FCC4D3</t>
  </si>
  <si>
    <t>F5A9763B</t>
  </si>
  <si>
    <t>E8134510</t>
  </si>
  <si>
    <t>1FB810CB</t>
  </si>
  <si>
    <t>E81CA44E</t>
  </si>
  <si>
    <t>FDBEAAB1</t>
  </si>
  <si>
    <t>FDC15DC7</t>
  </si>
  <si>
    <t>F0296B6F</t>
  </si>
  <si>
    <t>116A30AF</t>
  </si>
  <si>
    <t>F9D8C39D</t>
  </si>
  <si>
    <t>F7433DE7</t>
  </si>
  <si>
    <t>166FB6F0</t>
  </si>
  <si>
    <t>FF47B33D</t>
  </si>
  <si>
    <t>FD996878</t>
  </si>
  <si>
    <t>1C9E292B</t>
  </si>
  <si>
    <t>1BF1163A</t>
  </si>
  <si>
    <t>E9E52060</t>
  </si>
  <si>
    <t>F519BAF6</t>
  </si>
  <si>
    <t>E4294A59</t>
  </si>
  <si>
    <t>1038AA0F</t>
  </si>
  <si>
    <t>1F0C8AE6</t>
  </si>
  <si>
    <t>EFAC3066</t>
  </si>
  <si>
    <t>FFE23FE3</t>
  </si>
  <si>
    <t>E0872005</t>
  </si>
  <si>
    <t>FA4E4C0E</t>
  </si>
  <si>
    <t>F01387E3</t>
  </si>
  <si>
    <t>EAD80533</t>
  </si>
  <si>
    <t>FE9021A5</t>
  </si>
  <si>
    <t>E53B069F</t>
  </si>
  <si>
    <t>FEDA86F9</t>
  </si>
  <si>
    <t>E819ACBF</t>
  </si>
  <si>
    <t>F0759B9A</t>
  </si>
  <si>
    <t>F983D558</t>
  </si>
  <si>
    <t>EB853124</t>
  </si>
  <si>
    <t>FFAD16F7</t>
  </si>
  <si>
    <t>F7ABBA68</t>
  </si>
  <si>
    <t>18399116</t>
  </si>
  <si>
    <t>F3479795</t>
  </si>
  <si>
    <t>EC3CE38D</t>
  </si>
  <si>
    <t>1550E47A</t>
  </si>
  <si>
    <t>19348F07</t>
  </si>
  <si>
    <t>FB15E875</t>
  </si>
  <si>
    <t>16E57089</t>
  </si>
  <si>
    <t>F91B29FF</t>
  </si>
  <si>
    <t>EC630DBF</t>
  </si>
  <si>
    <t>F0CA4997</t>
  </si>
  <si>
    <t>F367E833</t>
  </si>
  <si>
    <t>1807967E</t>
  </si>
  <si>
    <t>13D5B5EB</t>
  </si>
  <si>
    <t>E50A14FA</t>
  </si>
  <si>
    <t>E43AC19C</t>
  </si>
  <si>
    <t>E104F9D3</t>
  </si>
  <si>
    <t>F2045997</t>
  </si>
  <si>
    <t>F6FECE15</t>
  </si>
  <si>
    <t>E523E7C7</t>
  </si>
  <si>
    <t>F0F6B434</t>
  </si>
  <si>
    <t>FE643569</t>
  </si>
  <si>
    <t>E7A3FD1A</t>
  </si>
  <si>
    <t>E37F4614</t>
  </si>
  <si>
    <t>1B5B9323</t>
  </si>
  <si>
    <t>FEB40224</t>
  </si>
  <si>
    <t>E7077254</t>
  </si>
  <si>
    <t>E1450C97</t>
  </si>
  <si>
    <t>E37B0375</t>
  </si>
  <si>
    <t>1108F410</t>
  </si>
  <si>
    <t>EACF001B</t>
  </si>
  <si>
    <t>EFC7D9C7</t>
  </si>
  <si>
    <t>135B4735</t>
  </si>
  <si>
    <t>E0E91094</t>
  </si>
  <si>
    <t>E130B28D</t>
  </si>
  <si>
    <t>FB5DB92D</t>
  </si>
  <si>
    <t>F89FC8A3</t>
  </si>
  <si>
    <t>EC4FE6C8</t>
  </si>
  <si>
    <t>F7B08959</t>
  </si>
  <si>
    <t>F01EFA67</t>
  </si>
  <si>
    <t>1ACB0BC9</t>
  </si>
  <si>
    <t>FE293ADE</t>
  </si>
  <si>
    <t>E5355D00</t>
  </si>
  <si>
    <t>FB6E77D0</t>
  </si>
  <si>
    <t>1A3DC2E5</t>
  </si>
  <si>
    <t>180EC494</t>
  </si>
  <si>
    <t>E1B40198</t>
  </si>
  <si>
    <t>ECF6D330</t>
  </si>
  <si>
    <t>E68E4545</t>
  </si>
  <si>
    <t>E08D8546</t>
  </si>
  <si>
    <t>EE2A53D8</t>
  </si>
  <si>
    <t>EEC30086</t>
  </si>
  <si>
    <t>FAF284E9</t>
  </si>
  <si>
    <t>FFF5803F</t>
  </si>
  <si>
    <t>E03B77F1</t>
  </si>
  <si>
    <t>F8425B2A</t>
  </si>
  <si>
    <t>E70FF4F8</t>
  </si>
  <si>
    <t>FC6AFF82</t>
  </si>
  <si>
    <t>19AF4AFC</t>
  </si>
  <si>
    <t>158CD1A9</t>
  </si>
  <si>
    <t>14C54A49</t>
  </si>
  <si>
    <t>E4688A05</t>
  </si>
  <si>
    <t>FD5098D1</t>
  </si>
  <si>
    <t>F5F5F50C</t>
  </si>
  <si>
    <t>EA1FE405</t>
  </si>
  <si>
    <t>FCB9EC3E</t>
  </si>
  <si>
    <t>F964C609</t>
  </si>
  <si>
    <t>E6026038</t>
  </si>
  <si>
    <t>E6F56629</t>
  </si>
  <si>
    <t>15CBF0FB</t>
  </si>
  <si>
    <t>19203036</t>
  </si>
  <si>
    <t>FCD8097B</t>
  </si>
  <si>
    <t>1B455DE3</t>
  </si>
  <si>
    <t>FCB0DF16</t>
  </si>
  <si>
    <t>139D5E9B</t>
  </si>
  <si>
    <t>E36B8FA7</t>
  </si>
  <si>
    <t>F2337EFA</t>
  </si>
  <si>
    <t>F2888268</t>
  </si>
  <si>
    <t>F89FFD51</t>
  </si>
  <si>
    <t>EB19757C</t>
  </si>
  <si>
    <t>E36074A1</t>
  </si>
  <si>
    <t>1C3FB405</t>
  </si>
  <si>
    <t>FC6A15E5</t>
  </si>
  <si>
    <t>FCD002DC</t>
  </si>
  <si>
    <t>F7569EF4</t>
  </si>
  <si>
    <t>126260C2</t>
  </si>
  <si>
    <t>1EAC36E2</t>
  </si>
  <si>
    <t>EDA6B439</t>
  </si>
  <si>
    <t>FAAB926C</t>
  </si>
  <si>
    <t>EA49D7A3</t>
  </si>
  <si>
    <t>E9CF9A3A</t>
  </si>
  <si>
    <t>F8CE05B3</t>
  </si>
  <si>
    <t>1CF3B791</t>
  </si>
  <si>
    <t>1800B02B</t>
  </si>
  <si>
    <t>E713059B</t>
  </si>
  <si>
    <t>1475563F</t>
  </si>
  <si>
    <t>E15DC832</t>
  </si>
  <si>
    <t>F252B030</t>
  </si>
  <si>
    <t>FC52462D</t>
  </si>
  <si>
    <t>F2C9AC84</t>
  </si>
  <si>
    <t>F7B2340A</t>
  </si>
  <si>
    <t>15BD834C</t>
  </si>
  <si>
    <t>EFFCC418</t>
  </si>
  <si>
    <t>15A3EFA2</t>
  </si>
  <si>
    <t>E02B7E7A</t>
  </si>
  <si>
    <t>F0946130</t>
  </si>
  <si>
    <t>F6C46C9E</t>
  </si>
  <si>
    <t>EDEB8844</t>
  </si>
  <si>
    <t>F0E2CD73</t>
  </si>
  <si>
    <t>11BE8B27</t>
  </si>
  <si>
    <t>EFA70812</t>
  </si>
  <si>
    <t>E99CED72</t>
  </si>
  <si>
    <t>1E4F7ED9</t>
  </si>
  <si>
    <t>FD33F4F9</t>
  </si>
  <si>
    <t>108F357A</t>
  </si>
  <si>
    <t>EF6CE7B6</t>
  </si>
  <si>
    <t>1843BAC0</t>
  </si>
  <si>
    <t>F825CB09</t>
  </si>
  <si>
    <t>18560249</t>
  </si>
  <si>
    <t>F206D5A2</t>
  </si>
  <si>
    <t>E3E3CB5B</t>
  </si>
  <si>
    <t>FA9441A9</t>
  </si>
  <si>
    <t>F575C4D0</t>
  </si>
  <si>
    <t>FCB23081</t>
  </si>
  <si>
    <t>13E41DC8</t>
  </si>
  <si>
    <t>FBE99A4F</t>
  </si>
  <si>
    <t>E08B544B</t>
  </si>
  <si>
    <t>EDFAADFD</t>
  </si>
  <si>
    <t>FA99EEEC</t>
  </si>
  <si>
    <t>E0535110</t>
  </si>
  <si>
    <t>FDFF317B</t>
  </si>
  <si>
    <t>FF779605</t>
  </si>
  <si>
    <t>F13D9142</t>
  </si>
  <si>
    <t>F7E3E0B9</t>
  </si>
  <si>
    <t>E95AF7F8</t>
  </si>
  <si>
    <t>F95374B9</t>
  </si>
  <si>
    <t>F294CE94</t>
  </si>
  <si>
    <t>1D543DBF</t>
  </si>
  <si>
    <t>FB8DB24F</t>
  </si>
  <si>
    <t>F1B56CBC</t>
  </si>
  <si>
    <t>F56060F6</t>
  </si>
  <si>
    <t>11479AB0</t>
  </si>
  <si>
    <t>162A59A6</t>
  </si>
  <si>
    <t>14C6346E</t>
  </si>
  <si>
    <t>FDF6861A</t>
  </si>
  <si>
    <t>10AAC8BC</t>
  </si>
  <si>
    <t>12D372C8</t>
  </si>
  <si>
    <t>E4EFC3EF</t>
  </si>
  <si>
    <t>F0A07E71</t>
  </si>
  <si>
    <t>F8430721</t>
  </si>
  <si>
    <t>E4623040</t>
  </si>
  <si>
    <t>FC5074EF</t>
  </si>
  <si>
    <t>F94B7465</t>
  </si>
  <si>
    <t>FB795978</t>
  </si>
  <si>
    <t>E4CFA55B</t>
  </si>
  <si>
    <t>1F843FB8</t>
  </si>
  <si>
    <t>E3BA5D8E</t>
  </si>
  <si>
    <t>FC2F43F6</t>
  </si>
  <si>
    <t>FA53C111</t>
  </si>
  <si>
    <t>EA566DCD</t>
  </si>
  <si>
    <t>13CEFECB</t>
  </si>
  <si>
    <t>E037D69A</t>
  </si>
  <si>
    <t>F8CD84F2</t>
  </si>
  <si>
    <t>EE224F3B</t>
  </si>
  <si>
    <t>E01471E6</t>
  </si>
  <si>
    <t>11B0BC62</t>
  </si>
  <si>
    <t>12BB5FCC</t>
  </si>
  <si>
    <t>F27CCC0C</t>
  </si>
  <si>
    <t>1CB21208</t>
  </si>
  <si>
    <t>FFF99AAC</t>
  </si>
  <si>
    <t>F8343822</t>
  </si>
  <si>
    <t>FEE7A879</t>
  </si>
  <si>
    <t>E3809F00</t>
  </si>
  <si>
    <t>1FF585AC</t>
  </si>
  <si>
    <t>174860CD</t>
  </si>
  <si>
    <t>F3B5B125</t>
  </si>
  <si>
    <t>F3485B7A</t>
  </si>
  <si>
    <t>ED1C09CE</t>
  </si>
  <si>
    <t>14A10C61</t>
  </si>
  <si>
    <t>E504AED5</t>
  </si>
  <si>
    <t>1E0A9ADF</t>
  </si>
  <si>
    <t>F5B2B4BA</t>
  </si>
  <si>
    <t>F51018FE</t>
  </si>
  <si>
    <t>F30F5787</t>
  </si>
  <si>
    <t>100DC412</t>
  </si>
  <si>
    <t>EC77379B</t>
  </si>
  <si>
    <t>13B5EE41</t>
  </si>
  <si>
    <t>F2E1BEAC</t>
  </si>
  <si>
    <t>1E57C231</t>
  </si>
  <si>
    <t>E20FA9D5</t>
  </si>
  <si>
    <t>F85DA234</t>
  </si>
  <si>
    <t>E37F7982</t>
  </si>
  <si>
    <t>FA1E60BE</t>
  </si>
  <si>
    <t>177BCCC4</t>
  </si>
  <si>
    <t>E7E00DC2</t>
  </si>
  <si>
    <t>FDF4182B</t>
  </si>
  <si>
    <t>10FE61D7</t>
  </si>
  <si>
    <t>1E238A50</t>
  </si>
  <si>
    <t>FF228C92</t>
  </si>
  <si>
    <t>EADAAC32</t>
  </si>
  <si>
    <t>1BC369D9</t>
  </si>
  <si>
    <t>FB7DAD4E</t>
  </si>
  <si>
    <t>E15FE7AF</t>
  </si>
  <si>
    <t>F0BEBC29</t>
  </si>
  <si>
    <t>FBFDCDC1</t>
  </si>
  <si>
    <t>11B390E7</t>
  </si>
  <si>
    <t>FD0BD455</t>
  </si>
  <si>
    <t>E21AEE1F</t>
  </si>
  <si>
    <t>17B6F09B</t>
  </si>
  <si>
    <t>E4DAC4D0</t>
  </si>
  <si>
    <t>F82984A9</t>
  </si>
  <si>
    <t>FB4E8259</t>
  </si>
  <si>
    <t>123CD7C9</t>
  </si>
  <si>
    <t>F7FB821B</t>
  </si>
  <si>
    <t>FFD9CA3A</t>
  </si>
  <si>
    <t>ED2E17FB</t>
  </si>
  <si>
    <t>EEC359F5</t>
  </si>
  <si>
    <t>E7C93552</t>
  </si>
  <si>
    <t>1A1471C1</t>
  </si>
  <si>
    <t>E624A370</t>
  </si>
  <si>
    <t>F93B647A</t>
  </si>
  <si>
    <t>E0F6FFAC</t>
  </si>
  <si>
    <t>1EF99FBF</t>
  </si>
  <si>
    <t>15F6F070</t>
  </si>
  <si>
    <t>12A8B8F9</t>
  </si>
  <si>
    <t>EFA46602</t>
  </si>
  <si>
    <t>F914BB3A</t>
  </si>
  <si>
    <t>E202A014</t>
  </si>
  <si>
    <t>E04F1B04</t>
  </si>
  <si>
    <t>FA362047</t>
  </si>
  <si>
    <t>1B6EBB92</t>
  </si>
  <si>
    <t>EB390730</t>
  </si>
  <si>
    <t>F27D6176</t>
  </si>
  <si>
    <t>FC0F4F39</t>
  </si>
  <si>
    <t>1D79B4ED</t>
  </si>
  <si>
    <t>F94AF63D</t>
  </si>
  <si>
    <t>142D6856</t>
  </si>
  <si>
    <t>1608AF58</t>
  </si>
  <si>
    <t>1B1EB833</t>
  </si>
  <si>
    <t>E476B943</t>
  </si>
  <si>
    <t>EC1A11FF</t>
  </si>
  <si>
    <t>E50E1B99</t>
  </si>
  <si>
    <t>1B9BBD00</t>
  </si>
  <si>
    <t>1B506462</t>
  </si>
  <si>
    <t>EAEBBA82</t>
  </si>
  <si>
    <t>EB9D7393</t>
  </si>
  <si>
    <t>F0436430</t>
  </si>
  <si>
    <t>ED7507F9</t>
  </si>
  <si>
    <t>F19116C7</t>
  </si>
  <si>
    <t>18D12E97</t>
  </si>
  <si>
    <t>F3E3CF0C</t>
  </si>
  <si>
    <t>E2495FB1</t>
  </si>
  <si>
    <t>1DCFDF85</t>
  </si>
  <si>
    <t>F3A59F67</t>
  </si>
  <si>
    <t>E78D9517</t>
  </si>
  <si>
    <t>1FE5424F</t>
  </si>
  <si>
    <t>EACD50C9</t>
  </si>
  <si>
    <t>ED6B4F15</t>
  </si>
  <si>
    <t>1B41A47F</t>
  </si>
  <si>
    <t>F86BE2F4</t>
  </si>
  <si>
    <t>E9D97FE4</t>
  </si>
  <si>
    <t>E5751FBE</t>
  </si>
  <si>
    <t>E4029070</t>
  </si>
  <si>
    <t>E9891D48</t>
  </si>
  <si>
    <t>F91B9A0F</t>
  </si>
  <si>
    <t>E3B7171F</t>
  </si>
  <si>
    <t>1BE71727</t>
  </si>
  <si>
    <t>E3A1E5D4</t>
  </si>
  <si>
    <t>F146ABAE</t>
  </si>
  <si>
    <t>F78BE370</t>
  </si>
  <si>
    <t>F3EB71FE</t>
  </si>
  <si>
    <t>F2DD322B</t>
  </si>
  <si>
    <t>13094748</t>
  </si>
  <si>
    <t>E9E51AF1</t>
  </si>
  <si>
    <t>FDEDA824</t>
  </si>
  <si>
    <t>EF65B435</t>
  </si>
  <si>
    <t>E4C171F5</t>
  </si>
  <si>
    <t>F7186B24</t>
  </si>
  <si>
    <t>F2BC8F2E</t>
  </si>
  <si>
    <t>FDA8D07D</t>
  </si>
  <si>
    <t>E50150D5</t>
  </si>
  <si>
    <t>1492F0A1</t>
  </si>
  <si>
    <t>E5204260</t>
  </si>
  <si>
    <t>F0DD90E8</t>
  </si>
  <si>
    <t>ED4C9E55</t>
  </si>
  <si>
    <t>118DC715</t>
  </si>
  <si>
    <t>1E586BF3</t>
  </si>
  <si>
    <t>14AD1EC7</t>
  </si>
  <si>
    <t>1232CCFC</t>
  </si>
  <si>
    <t>E9EF3A64</t>
  </si>
  <si>
    <t>F983C424</t>
  </si>
  <si>
    <t>16F67CDF</t>
  </si>
  <si>
    <t>E10CCE01</t>
  </si>
  <si>
    <t>EBD37B8C</t>
  </si>
  <si>
    <t>1563196B</t>
  </si>
  <si>
    <t>E9C5D52F</t>
  </si>
  <si>
    <t>FBE3AD97</t>
  </si>
  <si>
    <t>ED8B8544</t>
  </si>
  <si>
    <t>F811C67E</t>
  </si>
  <si>
    <t>15469B0F</t>
  </si>
  <si>
    <t>EE57C906</t>
  </si>
  <si>
    <t>EF31E500</t>
  </si>
  <si>
    <t>E2D4AA9A</t>
  </si>
  <si>
    <t>FE315CB6</t>
  </si>
  <si>
    <t>E917C36F</t>
  </si>
  <si>
    <t>12569085</t>
  </si>
  <si>
    <t>E038683D</t>
  </si>
  <si>
    <t>18FC32BE</t>
  </si>
  <si>
    <t>16F86173</t>
  </si>
  <si>
    <t>F5D17FDD</t>
  </si>
  <si>
    <t>1D614DD2</t>
  </si>
  <si>
    <t>1273E479</t>
  </si>
  <si>
    <t>FF2A545D</t>
  </si>
  <si>
    <t>E2D38475</t>
  </si>
  <si>
    <t>10D4A75E</t>
  </si>
  <si>
    <t>17503314</t>
  </si>
  <si>
    <t>17671C66</t>
  </si>
  <si>
    <t>FB59CB85</t>
  </si>
  <si>
    <t>F8F37B2A</t>
  </si>
  <si>
    <t>E9FF9FA2</t>
  </si>
  <si>
    <t>FB71C8FA</t>
  </si>
  <si>
    <t>13DF8C57</t>
  </si>
  <si>
    <t>E083717A</t>
  </si>
  <si>
    <t>E4FE1B6E</t>
  </si>
  <si>
    <t>E88412DF</t>
  </si>
  <si>
    <t>E1AC13C0</t>
  </si>
  <si>
    <t>E3CB02F1</t>
  </si>
  <si>
    <t>F89F3491</t>
  </si>
  <si>
    <t>1456C404</t>
  </si>
  <si>
    <t>1D84B426</t>
  </si>
  <si>
    <t>F4394D1A</t>
  </si>
  <si>
    <t>FA99AD24</t>
  </si>
  <si>
    <t>F7523CFC</t>
  </si>
  <si>
    <t>164DC691</t>
  </si>
  <si>
    <t>120DF306</t>
  </si>
  <si>
    <t>1AF1C5CF</t>
  </si>
  <si>
    <t>1F39751C</t>
  </si>
  <si>
    <t>F9059B62</t>
  </si>
  <si>
    <t>E03CA067</t>
  </si>
  <si>
    <t>1DA530C0</t>
  </si>
  <si>
    <t>F3D3FA55</t>
  </si>
  <si>
    <t>1CF95C1E</t>
  </si>
  <si>
    <t>F0541086</t>
  </si>
  <si>
    <t>F6C446EA</t>
  </si>
  <si>
    <t>EE3E9333</t>
  </si>
  <si>
    <t>F0127C46</t>
  </si>
  <si>
    <t>F106F636</t>
  </si>
  <si>
    <t>151AE279</t>
  </si>
  <si>
    <t>EC0FE807</t>
  </si>
  <si>
    <t>F1E55D6A</t>
  </si>
  <si>
    <t>ECB57A63</t>
  </si>
  <si>
    <t>E18B0EF9</t>
  </si>
  <si>
    <t>FB88C888</t>
  </si>
  <si>
    <t>FA85191E</t>
  </si>
  <si>
    <t>1BF22A3B</t>
  </si>
  <si>
    <t>FB122142</t>
  </si>
  <si>
    <t>1117B757</t>
  </si>
  <si>
    <t>1D115978</t>
  </si>
  <si>
    <t>1802E9C3</t>
  </si>
  <si>
    <t>E07433E2</t>
  </si>
  <si>
    <t>17083127</t>
  </si>
  <si>
    <t>197BD5EA</t>
  </si>
  <si>
    <t>F7765ED7</t>
  </si>
  <si>
    <t>11732585</t>
  </si>
  <si>
    <t>EF8E1223</t>
  </si>
  <si>
    <t>FCB2E909</t>
  </si>
  <si>
    <t>169EC626</t>
  </si>
  <si>
    <t>EBAC7072</t>
  </si>
  <si>
    <t>1F2E6A87</t>
  </si>
  <si>
    <t>ECBF32DC</t>
  </si>
  <si>
    <t>E82A88B0</t>
  </si>
  <si>
    <t>E4F87DDC</t>
  </si>
  <si>
    <t>146A7389</t>
  </si>
  <si>
    <t>EEAF63FE</t>
  </si>
  <si>
    <t>F319F45D</t>
  </si>
  <si>
    <t>FDA90F4F</t>
  </si>
  <si>
    <t>EBC6555A</t>
  </si>
  <si>
    <t>FCDBD479</t>
  </si>
  <si>
    <t>F1CA250F</t>
  </si>
  <si>
    <t>E73454D2</t>
  </si>
  <si>
    <t>E9886212</t>
  </si>
  <si>
    <t>F8A48F23</t>
  </si>
  <si>
    <t>EE53237A</t>
  </si>
  <si>
    <t>F7D3893D</t>
  </si>
  <si>
    <t>F3E69FFB</t>
  </si>
  <si>
    <t>F1A6EC9D</t>
  </si>
  <si>
    <t>FAE2F780</t>
  </si>
  <si>
    <t>147BA89D</t>
  </si>
  <si>
    <t>E028A0BA</t>
  </si>
  <si>
    <t>10881AF0</t>
  </si>
  <si>
    <t>1F23E9BD</t>
  </si>
  <si>
    <t>10CD5BA2</t>
  </si>
  <si>
    <t>E43951BB</t>
  </si>
  <si>
    <t>18C6F8B8</t>
  </si>
  <si>
    <t>1D3B7585</t>
  </si>
  <si>
    <t>FAE2213D</t>
  </si>
  <si>
    <t>E0670CE1</t>
  </si>
  <si>
    <t>1B552E4E</t>
  </si>
  <si>
    <t>E299040D</t>
  </si>
  <si>
    <t>FFAF8E75</t>
  </si>
  <si>
    <t>11E4FD9F</t>
  </si>
  <si>
    <t>F754D041</t>
  </si>
  <si>
    <t>E2F928C6</t>
  </si>
  <si>
    <t>E6BC84EF</t>
  </si>
  <si>
    <t>EA9BBD40</t>
  </si>
  <si>
    <t>F148DBE6</t>
  </si>
  <si>
    <t>FC1AD0E4</t>
  </si>
  <si>
    <t>F5C6C792</t>
  </si>
  <si>
    <t>1EE5648F</t>
  </si>
  <si>
    <t>19397AED</t>
  </si>
  <si>
    <t>1C3929BD</t>
  </si>
  <si>
    <t>F156CCDE</t>
  </si>
  <si>
    <t>E5B2C261</t>
  </si>
  <si>
    <t>142CBD62</t>
  </si>
  <si>
    <t>E3BB6207</t>
  </si>
  <si>
    <t>11AF1DDB</t>
  </si>
  <si>
    <t>1E8E61B4</t>
  </si>
  <si>
    <t>1FDDC6C9</t>
  </si>
  <si>
    <t>EA70C2C4</t>
  </si>
  <si>
    <t>FD251882</t>
  </si>
  <si>
    <t>E4D1B9A6</t>
  </si>
  <si>
    <t>E6EB9C50</t>
  </si>
  <si>
    <t>FD5F19B0</t>
  </si>
  <si>
    <t>F509E891</t>
  </si>
  <si>
    <t>1701547C</t>
  </si>
  <si>
    <t>1999EE53</t>
  </si>
  <si>
    <t>F6D69E5E</t>
  </si>
  <si>
    <t>19F52696</t>
  </si>
  <si>
    <t>E0402583</t>
  </si>
  <si>
    <t>E5524388</t>
  </si>
  <si>
    <t>10273F96</t>
  </si>
  <si>
    <t>12019624</t>
  </si>
  <si>
    <t>FEF68FF0</t>
  </si>
  <si>
    <t>E91751AF</t>
  </si>
  <si>
    <t>FAEFCE1A</t>
  </si>
  <si>
    <t>F53BAF7B</t>
  </si>
  <si>
    <t>E0305B0E</t>
  </si>
  <si>
    <t>F6F733A4</t>
  </si>
  <si>
    <t>E345ED77</t>
  </si>
  <si>
    <t>E0D652A8</t>
  </si>
  <si>
    <t>F1318439</t>
  </si>
  <si>
    <t>EC22758A</t>
  </si>
  <si>
    <t>F189D15D</t>
  </si>
  <si>
    <t>E2EE6AF6</t>
  </si>
  <si>
    <t>FC9BDF42</t>
  </si>
  <si>
    <t>13A12E2D</t>
  </si>
  <si>
    <t>EBF31077</t>
  </si>
  <si>
    <t>EA1103F6</t>
  </si>
  <si>
    <t>EB7A3356</t>
  </si>
  <si>
    <t>F8726DC6</t>
  </si>
  <si>
    <t>FAE46EBB</t>
  </si>
  <si>
    <t>F1D73E7C</t>
  </si>
  <si>
    <t>1BFD0461</t>
  </si>
  <si>
    <t>F0081A95</t>
  </si>
  <si>
    <t>F3BD513E</t>
  </si>
  <si>
    <t>E350D61F</t>
  </si>
  <si>
    <t>E8D9E029</t>
  </si>
  <si>
    <t>EEE51CA2</t>
  </si>
  <si>
    <t>F625ED06</t>
  </si>
  <si>
    <t>EECB8705</t>
  </si>
  <si>
    <t>F8144490</t>
  </si>
  <si>
    <t>1855AF54</t>
  </si>
  <si>
    <t>EE9CBBFF</t>
  </si>
  <si>
    <t>FDDB98F1</t>
  </si>
  <si>
    <t>F8C813EC</t>
  </si>
  <si>
    <t>FA712964</t>
  </si>
  <si>
    <t>F97C500B</t>
  </si>
  <si>
    <t>17337242</t>
  </si>
  <si>
    <t>106B6263</t>
  </si>
  <si>
    <t>1008D436</t>
  </si>
  <si>
    <t>13573820</t>
  </si>
  <si>
    <t>E4DFAA26</t>
  </si>
  <si>
    <t>15564AF5</t>
  </si>
  <si>
    <t>E8FC2412</t>
  </si>
  <si>
    <t>EAE2B9D0</t>
  </si>
  <si>
    <t>18D7BB03</t>
  </si>
  <si>
    <t>14CE0319</t>
  </si>
  <si>
    <t>1CF6D1EF</t>
  </si>
  <si>
    <t>EDDF1C64</t>
  </si>
  <si>
    <t>1FF46752</t>
  </si>
  <si>
    <t>EE9B68AB</t>
  </si>
  <si>
    <t>F9678746</t>
  </si>
  <si>
    <t>EFD49E64</t>
  </si>
  <si>
    <t>EC8331A1</t>
  </si>
  <si>
    <t>F31CD609</t>
  </si>
  <si>
    <t>15987F06</t>
  </si>
  <si>
    <t>1F1CBFA1</t>
  </si>
  <si>
    <t>FF929783</t>
  </si>
  <si>
    <t>143995B9</t>
  </si>
  <si>
    <t>12E7328D</t>
  </si>
  <si>
    <t>1C5A38FF</t>
  </si>
  <si>
    <t>F40C64B7</t>
  </si>
  <si>
    <t>1FE4A74C</t>
  </si>
  <si>
    <t>1F6BC492</t>
  </si>
  <si>
    <t>EF4EAA92</t>
  </si>
  <si>
    <t>F9ACAC66</t>
  </si>
  <si>
    <t>1904C953</t>
  </si>
  <si>
    <t>EE872B4D</t>
  </si>
  <si>
    <t>E161B061</t>
  </si>
  <si>
    <t>1D0A5D0D</t>
  </si>
  <si>
    <t>E9EB4FA2</t>
  </si>
  <si>
    <t>119605E7</t>
  </si>
  <si>
    <t>167335B8</t>
  </si>
  <si>
    <t>1857C38B</t>
  </si>
  <si>
    <t>E35A7DD1</t>
  </si>
  <si>
    <t>F59F0E75</t>
  </si>
  <si>
    <t>E0BAE5EE</t>
  </si>
  <si>
    <t>1E9DFE5E</t>
  </si>
  <si>
    <t>19AD5D2B</t>
  </si>
  <si>
    <t>F1F2E004</t>
  </si>
  <si>
    <t>F19C69C7</t>
  </si>
  <si>
    <t>EE486B65</t>
  </si>
  <si>
    <t>EF0A31CE</t>
  </si>
  <si>
    <t>E1063956</t>
  </si>
  <si>
    <t>1F77F449</t>
  </si>
  <si>
    <t>FC2EB3A8</t>
  </si>
  <si>
    <t>FE54861A</t>
  </si>
  <si>
    <t>1896E55C</t>
  </si>
  <si>
    <t>EAE4DE93</t>
  </si>
  <si>
    <t>F5BDCBE5</t>
  </si>
  <si>
    <t>18AF6DC0</t>
  </si>
  <si>
    <t>12346170</t>
  </si>
  <si>
    <t>18407010</t>
  </si>
  <si>
    <t>F04972BB</t>
  </si>
  <si>
    <t>F693B58C</t>
  </si>
  <si>
    <t>F1B2B1E6</t>
  </si>
  <si>
    <t>12D0F40F</t>
  </si>
  <si>
    <t>EA81E0BA</t>
  </si>
  <si>
    <t>18EEDE08</t>
  </si>
  <si>
    <t>EEC5ECCC</t>
  </si>
  <si>
    <t>F0579048</t>
  </si>
  <si>
    <t>F8E91944</t>
  </si>
  <si>
    <t>1164E60F</t>
  </si>
  <si>
    <t>ED6F0E8F</t>
  </si>
  <si>
    <t>EBC6EAA1</t>
  </si>
  <si>
    <t>E636C3D3</t>
  </si>
  <si>
    <t>E7190C8B</t>
  </si>
  <si>
    <t>ED65A411</t>
  </si>
  <si>
    <t>EDDDCF57</t>
  </si>
  <si>
    <t>F1E41F87</t>
  </si>
  <si>
    <t>EBF1A8C3</t>
  </si>
  <si>
    <t>EF67BEBF</t>
  </si>
  <si>
    <t>F305691C</t>
  </si>
  <si>
    <t>F685D1CA</t>
  </si>
  <si>
    <t>15F3FBE8</t>
  </si>
  <si>
    <t>EBAA24B0</t>
  </si>
  <si>
    <t>EE55C557</t>
  </si>
  <si>
    <t>E825636E</t>
  </si>
  <si>
    <t>F0190F54</t>
  </si>
  <si>
    <t>E88C959E</t>
  </si>
  <si>
    <t>E9A39044</t>
  </si>
  <si>
    <t>F8297A85</t>
  </si>
  <si>
    <t>F6D9A9B7</t>
  </si>
  <si>
    <t>F57AAB94</t>
  </si>
  <si>
    <t>FAB7BF71</t>
  </si>
  <si>
    <t>1069487E</t>
  </si>
  <si>
    <t>E4C5AE5B</t>
  </si>
  <si>
    <t>F791AB7B</t>
  </si>
  <si>
    <t>1F74CB9A</t>
  </si>
  <si>
    <t>FD5C81F9</t>
  </si>
  <si>
    <t>EA2A2936</t>
  </si>
  <si>
    <t>1F869C45</t>
  </si>
  <si>
    <t>18498487</t>
  </si>
  <si>
    <t>E5C1D61B</t>
  </si>
  <si>
    <t>F14F6814</t>
  </si>
  <si>
    <t>1FCF9AE7</t>
  </si>
  <si>
    <t>F45D6782</t>
  </si>
  <si>
    <t>159CD517</t>
  </si>
  <si>
    <t>E7B2589F</t>
  </si>
  <si>
    <t>FBD7F6DE</t>
  </si>
  <si>
    <t>F721FA27</t>
  </si>
  <si>
    <t>E7A72F9A</t>
  </si>
  <si>
    <t>E3F71825</t>
  </si>
  <si>
    <t>1BECF2B8</t>
  </si>
  <si>
    <t>1DDACE57</t>
  </si>
  <si>
    <t>F89CF582</t>
  </si>
  <si>
    <t>E321AA53</t>
  </si>
  <si>
    <t>1BD046EA</t>
  </si>
  <si>
    <t>FFF53E2D</t>
  </si>
  <si>
    <t>E09838BB</t>
  </si>
  <si>
    <t>1086F3BF</t>
  </si>
  <si>
    <t>E40CFC80</t>
  </si>
  <si>
    <t>1424BA76</t>
  </si>
  <si>
    <t>EFACB72C</t>
  </si>
  <si>
    <t>E80AD9DB</t>
  </si>
  <si>
    <t>1619056A</t>
  </si>
  <si>
    <t>E34224D4</t>
  </si>
  <si>
    <t>E5F4FD45</t>
  </si>
  <si>
    <t>EE4E613D</t>
  </si>
  <si>
    <t>14A3C2DE</t>
  </si>
  <si>
    <t>111EAE4F</t>
  </si>
  <si>
    <t>159B4BD8</t>
  </si>
  <si>
    <t>FBD7E2E5</t>
  </si>
  <si>
    <t>198646EA</t>
  </si>
  <si>
    <t>E421855E</t>
  </si>
  <si>
    <t>18B2709A</t>
  </si>
  <si>
    <t>FF95BE7A</t>
  </si>
  <si>
    <t>FFD9FADE</t>
  </si>
  <si>
    <t>EB78B6E9</t>
  </si>
  <si>
    <t>10030167</t>
  </si>
  <si>
    <t>1369286C</t>
  </si>
  <si>
    <t>EA8B77B3</t>
  </si>
  <si>
    <t>E549E43B</t>
  </si>
  <si>
    <t>1DB4755C</t>
  </si>
  <si>
    <t>15C7F0BF</t>
  </si>
  <si>
    <t>EFA4F542</t>
  </si>
  <si>
    <t>1648C027</t>
  </si>
  <si>
    <t>E12BCA04</t>
  </si>
  <si>
    <t>F48208FA</t>
  </si>
  <si>
    <t>117453AB</t>
  </si>
  <si>
    <t>EF5BF03D</t>
  </si>
  <si>
    <t>12392765</t>
  </si>
  <si>
    <t>F17D14E1</t>
  </si>
  <si>
    <t>E0BDF499</t>
  </si>
  <si>
    <t>F36EE3C5</t>
  </si>
  <si>
    <t>E665D1DB</t>
  </si>
  <si>
    <t>197F0089</t>
  </si>
  <si>
    <t>Note: You can use "O" instead of Ω, "DGC" instead</t>
  </si>
  <si>
    <t/>
  </si>
  <si>
    <t>96D76DE</t>
  </si>
  <si>
    <t>7B11074</t>
  </si>
  <si>
    <t>4EC3C92</t>
  </si>
  <si>
    <t>26FAC98</t>
  </si>
  <si>
    <t>D2BAC05</t>
  </si>
  <si>
    <t>3384E48</t>
  </si>
  <si>
    <t>136A7A4</t>
  </si>
  <si>
    <t>CA63E9A</t>
  </si>
  <si>
    <t>9A94382</t>
  </si>
  <si>
    <t>16A95ED</t>
  </si>
  <si>
    <t>17E588</t>
  </si>
  <si>
    <t>B65D201</t>
  </si>
  <si>
    <t>530E887</t>
  </si>
  <si>
    <t>FB72D7E</t>
  </si>
  <si>
    <t>3208365</t>
  </si>
  <si>
    <t>43B2612</t>
  </si>
  <si>
    <t>3DE6AB3</t>
  </si>
  <si>
    <t>E254717</t>
  </si>
  <si>
    <t>BDC2FD8</t>
  </si>
  <si>
    <t>9055E6C</t>
  </si>
  <si>
    <t>E0B1B72</t>
  </si>
  <si>
    <t>8E23C47</t>
  </si>
  <si>
    <t>43D397A</t>
  </si>
  <si>
    <t>C56EAA</t>
  </si>
  <si>
    <t>F8D68C9</t>
  </si>
  <si>
    <t>DDE8291</t>
  </si>
  <si>
    <t>2D3F043</t>
  </si>
  <si>
    <t>35CED21</t>
  </si>
  <si>
    <t>D62538D</t>
  </si>
  <si>
    <t>AF8A8F7</t>
  </si>
  <si>
    <t>B61758F</t>
  </si>
  <si>
    <t>EE48C26</t>
  </si>
  <si>
    <t>E4838AA</t>
  </si>
  <si>
    <t>9CD850E</t>
  </si>
  <si>
    <t>A0C5598</t>
  </si>
  <si>
    <t>C806ED</t>
  </si>
  <si>
    <t>21BA979</t>
  </si>
  <si>
    <t>A0523C0</t>
  </si>
  <si>
    <t>6FD60DF</t>
  </si>
  <si>
    <t>109AAAA</t>
  </si>
  <si>
    <t>719DD55</t>
  </si>
  <si>
    <t>D593A13</t>
  </si>
  <si>
    <t>2799D11</t>
  </si>
  <si>
    <t>236939</t>
  </si>
  <si>
    <t>23F13EE</t>
  </si>
  <si>
    <t>45E3E61</t>
  </si>
  <si>
    <t>E715291</t>
  </si>
  <si>
    <t>4F5CEB3</t>
  </si>
  <si>
    <t>672C20</t>
  </si>
  <si>
    <t>B46CCCC</t>
  </si>
  <si>
    <t>69AECAC</t>
  </si>
  <si>
    <t>817CA49</t>
  </si>
  <si>
    <t>A77C354</t>
  </si>
  <si>
    <t>1D9312</t>
  </si>
  <si>
    <t>4789D43</t>
  </si>
  <si>
    <t>B46C009</t>
  </si>
  <si>
    <t>4B05126</t>
  </si>
  <si>
    <t>2F405C9</t>
  </si>
  <si>
    <t>7C0EE58</t>
  </si>
  <si>
    <t>90D92AB</t>
  </si>
  <si>
    <t>7DCF3AE</t>
  </si>
  <si>
    <t>9E7213C</t>
  </si>
  <si>
    <t>2478AF2</t>
  </si>
  <si>
    <t>82A8ED0</t>
  </si>
  <si>
    <t>100AB6B</t>
  </si>
  <si>
    <t>82F7C4C</t>
  </si>
  <si>
    <t>F0FDE4A</t>
  </si>
  <si>
    <t>AD59378</t>
  </si>
  <si>
    <t>6020491</t>
  </si>
  <si>
    <t>CFE342C</t>
  </si>
  <si>
    <t>1E14761</t>
  </si>
  <si>
    <t>550608E</t>
  </si>
  <si>
    <t>FF4B4DC</t>
  </si>
  <si>
    <t>66EF00B</t>
  </si>
  <si>
    <t>A2B90CC</t>
  </si>
  <si>
    <t>95DC1BC</t>
  </si>
  <si>
    <t>C66DBE8</t>
  </si>
  <si>
    <t>BC9DC90</t>
  </si>
  <si>
    <t>B20D30B</t>
  </si>
  <si>
    <t>A988CBF</t>
  </si>
  <si>
    <t>587A074</t>
  </si>
  <si>
    <t>8F7E8B7</t>
  </si>
  <si>
    <t>40E5414</t>
  </si>
  <si>
    <t>AB638D5</t>
  </si>
  <si>
    <t>EA1BD13</t>
  </si>
  <si>
    <t>1930F37</t>
  </si>
  <si>
    <t>CB5370C</t>
  </si>
  <si>
    <t>B3D417C</t>
  </si>
  <si>
    <t>BEDC03D</t>
  </si>
  <si>
    <t>B9E7828</t>
  </si>
  <si>
    <t>74A98F4</t>
  </si>
  <si>
    <t>2AB197</t>
  </si>
  <si>
    <t>F7A2548</t>
  </si>
  <si>
    <t>37C7352</t>
  </si>
  <si>
    <t>3FCF48A</t>
  </si>
  <si>
    <t>69DEB2E</t>
  </si>
  <si>
    <t>DCC0DB1</t>
  </si>
  <si>
    <t>5A72F0F</t>
  </si>
  <si>
    <t>E31BAA6</t>
  </si>
  <si>
    <t>8E32695</t>
  </si>
  <si>
    <t>E899CCA</t>
  </si>
  <si>
    <t>6D40974</t>
  </si>
  <si>
    <t>14A637</t>
  </si>
  <si>
    <t>74D6561</t>
  </si>
  <si>
    <t>65C9C3D</t>
  </si>
  <si>
    <t>7C2443E</t>
  </si>
  <si>
    <t>5D6D69D</t>
  </si>
  <si>
    <t>93A4BA5</t>
  </si>
  <si>
    <t>AD6E287</t>
  </si>
  <si>
    <t>7311038</t>
  </si>
  <si>
    <t>2C28EE4</t>
  </si>
  <si>
    <t>E068C4E</t>
  </si>
  <si>
    <t>A12FAAE</t>
  </si>
  <si>
    <t>C483A7E</t>
  </si>
  <si>
    <t>D63B9D2</t>
  </si>
  <si>
    <t>748F6CB</t>
  </si>
  <si>
    <t>7B0CE5A</t>
  </si>
  <si>
    <t>4B3C38F</t>
  </si>
  <si>
    <t>61340AB</t>
  </si>
  <si>
    <t>63FC0E7</t>
  </si>
  <si>
    <t>60069A1</t>
  </si>
  <si>
    <t>C9C0A57</t>
  </si>
  <si>
    <t>978806F</t>
  </si>
  <si>
    <t>1894332</t>
  </si>
  <si>
    <t>C66C23</t>
  </si>
  <si>
    <t>89EE410</t>
  </si>
  <si>
    <t>614BBE3</t>
  </si>
  <si>
    <t>48940AA</t>
  </si>
  <si>
    <t>4A42B03</t>
  </si>
  <si>
    <t>3EDD698</t>
  </si>
  <si>
    <t>685AEBC</t>
  </si>
  <si>
    <t>5061C1B</t>
  </si>
  <si>
    <t>B641281</t>
  </si>
  <si>
    <t>E092C4C</t>
  </si>
  <si>
    <t>CCEC6E7</t>
  </si>
  <si>
    <t>5B5FDEE</t>
  </si>
  <si>
    <t>C31FE30</t>
  </si>
  <si>
    <t>543F646</t>
  </si>
  <si>
    <t>A6BD5EC</t>
  </si>
  <si>
    <t>59D6FC5</t>
  </si>
  <si>
    <t>E698E52</t>
  </si>
  <si>
    <t>60D3B54</t>
  </si>
  <si>
    <t>1D994B5</t>
  </si>
  <si>
    <t>6A54F25</t>
  </si>
  <si>
    <t>82C88A7</t>
  </si>
  <si>
    <t>66FD998</t>
  </si>
  <si>
    <t>B813761</t>
  </si>
  <si>
    <t>1EF15A0</t>
  </si>
  <si>
    <t>901DDDB</t>
  </si>
  <si>
    <t>108FAC5</t>
  </si>
  <si>
    <t>AE00252</t>
  </si>
  <si>
    <t>F1AC300</t>
  </si>
  <si>
    <t>57CD13B</t>
  </si>
  <si>
    <t>D7173EA</t>
  </si>
  <si>
    <t>EEC3B2D</t>
  </si>
  <si>
    <t>87192BF</t>
  </si>
  <si>
    <t>B4CA727</t>
  </si>
  <si>
    <t>45D7801</t>
  </si>
  <si>
    <t>5885D95</t>
  </si>
  <si>
    <t>40EFAE0</t>
  </si>
  <si>
    <t>5995215</t>
  </si>
  <si>
    <t>209A378</t>
  </si>
  <si>
    <t>19748AF</t>
  </si>
  <si>
    <t>5A1F434</t>
  </si>
  <si>
    <t>55EE173</t>
  </si>
  <si>
    <t>EB39599</t>
  </si>
  <si>
    <t>E33B047</t>
  </si>
  <si>
    <t>3099D44</t>
  </si>
  <si>
    <t>1C3F074</t>
  </si>
  <si>
    <t>5603FD3</t>
  </si>
  <si>
    <t>A0C51D</t>
  </si>
  <si>
    <t>3121C06</t>
  </si>
  <si>
    <t>6AF0E93</t>
  </si>
  <si>
    <t>82D5129</t>
  </si>
  <si>
    <t>C00DDD</t>
  </si>
  <si>
    <t>29FB1B6</t>
  </si>
  <si>
    <t>D2CA814</t>
  </si>
  <si>
    <t>741CDD1</t>
  </si>
  <si>
    <t>74E8481</t>
  </si>
  <si>
    <t>F288024</t>
  </si>
  <si>
    <t>98151F1</t>
  </si>
  <si>
    <t>20737B7</t>
  </si>
  <si>
    <t>20D54DE</t>
  </si>
  <si>
    <t>DC36BFE</t>
  </si>
  <si>
    <t>F88C8130</t>
  </si>
  <si>
    <t>1FE65B8F</t>
  </si>
  <si>
    <t>F78C76CB</t>
  </si>
  <si>
    <t>FBD9088B</t>
  </si>
  <si>
    <t>F7CBA5E7</t>
  </si>
  <si>
    <t>FCA5B5BB</t>
  </si>
  <si>
    <t>E88E0EED</t>
  </si>
  <si>
    <t>2A2F70</t>
  </si>
  <si>
    <t>E473A5E0</t>
  </si>
  <si>
    <t>F1C44AF1</t>
  </si>
  <si>
    <t>22D083C</t>
  </si>
  <si>
    <t>8BCAB36</t>
  </si>
  <si>
    <t>1285391B</t>
  </si>
  <si>
    <t>F7B25A82</t>
  </si>
  <si>
    <t>E2F9CB68</t>
  </si>
  <si>
    <t>1B06080A</t>
  </si>
  <si>
    <t>1EF85B05</t>
  </si>
  <si>
    <t>1AD0C6D9</t>
  </si>
  <si>
    <t>18E213A1</t>
  </si>
  <si>
    <t>ED652A99</t>
  </si>
  <si>
    <t>184D18B9</t>
  </si>
  <si>
    <t>E7898A0C</t>
  </si>
  <si>
    <t>631A4D1</t>
  </si>
  <si>
    <t>FC50D808</t>
  </si>
  <si>
    <t>FE78B4FE</t>
  </si>
  <si>
    <t>17B20AEA</t>
  </si>
  <si>
    <t>E4768AE3</t>
  </si>
  <si>
    <t>FE278F48</t>
  </si>
  <si>
    <t>120E1FE</t>
  </si>
  <si>
    <t>142F20E7</t>
  </si>
  <si>
    <t>4F2395C</t>
  </si>
  <si>
    <t>DABB314</t>
  </si>
  <si>
    <t>52409B1</t>
  </si>
  <si>
    <t>22F398A</t>
  </si>
  <si>
    <t>1980E90</t>
  </si>
  <si>
    <t>272F788</t>
  </si>
  <si>
    <t>9D1912D</t>
  </si>
  <si>
    <t>3C75655</t>
  </si>
  <si>
    <t>165B4F5</t>
  </si>
  <si>
    <t>1F3D883</t>
  </si>
  <si>
    <t>298CF82</t>
  </si>
  <si>
    <t>9F411A4</t>
  </si>
  <si>
    <t>437854D</t>
  </si>
  <si>
    <t>B32005B</t>
  </si>
  <si>
    <t>2F66099</t>
  </si>
  <si>
    <t>60F3669</t>
  </si>
  <si>
    <t>5F27E0</t>
  </si>
  <si>
    <t>5F51BD8</t>
  </si>
  <si>
    <t>2933745</t>
  </si>
  <si>
    <t>4965281</t>
  </si>
  <si>
    <t>7F938BF</t>
  </si>
  <si>
    <t>8F3A503</t>
  </si>
  <si>
    <t>436E387</t>
  </si>
  <si>
    <t>C61B1E9</t>
  </si>
  <si>
    <t>C828C2D</t>
  </si>
  <si>
    <t>264D2C6</t>
  </si>
  <si>
    <t>8E6CDF4</t>
  </si>
  <si>
    <t>71CE055</t>
  </si>
  <si>
    <t>55AF83E</t>
  </si>
  <si>
    <t>A279940</t>
  </si>
  <si>
    <t>3CE887F</t>
  </si>
  <si>
    <t>7C74DB2</t>
  </si>
  <si>
    <t>218741</t>
  </si>
  <si>
    <t>F3CB4AA</t>
  </si>
  <si>
    <t>4EC3943</t>
  </si>
  <si>
    <t>B864270</t>
  </si>
  <si>
    <t>3A5F88A</t>
  </si>
  <si>
    <t>6EDEE35</t>
  </si>
  <si>
    <t>4E246AC</t>
  </si>
  <si>
    <t>B20069E</t>
  </si>
  <si>
    <t>D62C851</t>
  </si>
  <si>
    <t>F32B338</t>
  </si>
  <si>
    <t>D4D1862</t>
  </si>
  <si>
    <t>B4F805B</t>
  </si>
  <si>
    <t>B4F70DB</t>
  </si>
  <si>
    <t>8598714</t>
  </si>
  <si>
    <t>A7CCC2D</t>
  </si>
  <si>
    <t>A062618</t>
  </si>
  <si>
    <t>E337F73</t>
  </si>
  <si>
    <t>7731484</t>
  </si>
  <si>
    <t>B3F5455</t>
  </si>
  <si>
    <t>2C62ED4</t>
  </si>
  <si>
    <t>DDC5CA7</t>
  </si>
  <si>
    <t>8664D20</t>
  </si>
  <si>
    <t>100C580</t>
  </si>
  <si>
    <t>B34268F</t>
  </si>
  <si>
    <t>5075521</t>
  </si>
  <si>
    <t>709437F</t>
  </si>
  <si>
    <t>8D7A039</t>
  </si>
  <si>
    <t>59E07FA</t>
  </si>
  <si>
    <t>B79CCA5</t>
  </si>
  <si>
    <t>E41B1D9</t>
  </si>
  <si>
    <t>D3F9ED6</t>
  </si>
  <si>
    <t>C2714FA</t>
  </si>
  <si>
    <t>4232EA</t>
  </si>
  <si>
    <t>A874A7</t>
  </si>
  <si>
    <t>B8FE45F</t>
  </si>
  <si>
    <t>557A073</t>
  </si>
  <si>
    <t>360E59</t>
  </si>
  <si>
    <t>E84045FD</t>
  </si>
  <si>
    <t>8146E1C</t>
  </si>
  <si>
    <t>B467759</t>
  </si>
  <si>
    <t>70FFEE0</t>
  </si>
  <si>
    <t>ECDA26D5</t>
  </si>
  <si>
    <t>E446EA18</t>
  </si>
  <si>
    <t>E0293EB3</t>
  </si>
  <si>
    <t>E1498377</t>
  </si>
  <si>
    <t>F363097C</t>
  </si>
  <si>
    <t>6077783</t>
  </si>
  <si>
    <t>CE7196E</t>
  </si>
  <si>
    <t>C88589D</t>
  </si>
  <si>
    <t>3689690</t>
  </si>
  <si>
    <t>928A57B</t>
  </si>
  <si>
    <t>614FCF2</t>
  </si>
  <si>
    <t>BDC7377</t>
  </si>
  <si>
    <t>651630B</t>
  </si>
  <si>
    <t>A3E7F1F</t>
  </si>
  <si>
    <t>EB2D39F</t>
  </si>
  <si>
    <t>6B36AAC</t>
  </si>
  <si>
    <t>531F5B8</t>
  </si>
  <si>
    <t>3CF6CB1</t>
  </si>
  <si>
    <t>9E52C2A</t>
  </si>
  <si>
    <t>662C22B</t>
  </si>
  <si>
    <t>FF929AA</t>
  </si>
  <si>
    <t>FD81139D</t>
  </si>
  <si>
    <t>9D07158</t>
  </si>
  <si>
    <t>18C310C1</t>
  </si>
  <si>
    <t>E16D777</t>
  </si>
  <si>
    <t>5FED3C4</t>
  </si>
  <si>
    <t>3661D1D</t>
  </si>
  <si>
    <t>9D1089D</t>
  </si>
  <si>
    <t>D683745</t>
  </si>
  <si>
    <t>2CF8855</t>
  </si>
  <si>
    <t>A28E633</t>
  </si>
  <si>
    <t>207B24F</t>
  </si>
  <si>
    <t>4919A1B</t>
  </si>
  <si>
    <t>BC5ADC2</t>
  </si>
  <si>
    <t>5B02AE2</t>
  </si>
  <si>
    <t>35E2ACF</t>
  </si>
  <si>
    <t>8B94E97</t>
  </si>
  <si>
    <t>D7EBFE4</t>
  </si>
  <si>
    <t>9D9A0EC</t>
  </si>
  <si>
    <t>A6CCB88</t>
  </si>
  <si>
    <t>45DB2A0</t>
  </si>
  <si>
    <t>4EC9F29</t>
  </si>
  <si>
    <t>34BB2F4</t>
  </si>
  <si>
    <t>DD55B49</t>
  </si>
  <si>
    <t>1E0D428</t>
  </si>
  <si>
    <t>75E017E</t>
  </si>
  <si>
    <t>98F33C9</t>
  </si>
  <si>
    <t>B5EA3A7</t>
  </si>
  <si>
    <t>BD01D70</t>
  </si>
  <si>
    <t>6417A10</t>
  </si>
  <si>
    <t>A717692</t>
  </si>
  <si>
    <t>BF4A479</t>
  </si>
  <si>
    <t>8773603</t>
  </si>
  <si>
    <t>BAF6A66</t>
  </si>
  <si>
    <t>D1EFDAF</t>
  </si>
  <si>
    <t>2D3B7AB</t>
  </si>
  <si>
    <t>5BC295D</t>
  </si>
  <si>
    <t>6D43019</t>
  </si>
  <si>
    <t>D3AC1DB</t>
  </si>
  <si>
    <t>E2F06E4</t>
  </si>
  <si>
    <t>54007F</t>
  </si>
  <si>
    <t>1AA6AD9</t>
  </si>
  <si>
    <t>FBF4201</t>
  </si>
  <si>
    <t>628EDC8</t>
  </si>
  <si>
    <t>D0F1C1A</t>
  </si>
  <si>
    <t>4B403D8</t>
  </si>
  <si>
    <t>BC26D0B</t>
  </si>
  <si>
    <t>E0023C0</t>
  </si>
  <si>
    <t>6D1819</t>
  </si>
  <si>
    <t>C6DEF45</t>
  </si>
  <si>
    <t>F293871</t>
  </si>
  <si>
    <t>72CF137</t>
  </si>
  <si>
    <t>D8E00E9</t>
  </si>
  <si>
    <t>6339E8F</t>
  </si>
  <si>
    <t>F497CD9</t>
  </si>
  <si>
    <t>5243C2B</t>
  </si>
  <si>
    <t>ED06111</t>
  </si>
  <si>
    <t>651FC2C</t>
  </si>
  <si>
    <t>AD9988C</t>
  </si>
  <si>
    <t>733B661</t>
  </si>
  <si>
    <t>2CE512E</t>
  </si>
  <si>
    <t>794DB05</t>
  </si>
  <si>
    <t>B3C0572</t>
  </si>
  <si>
    <t>7DAE44</t>
  </si>
  <si>
    <t>EDE6E78</t>
  </si>
  <si>
    <t>FB6AA54</t>
  </si>
  <si>
    <t>CEE1FF0</t>
  </si>
  <si>
    <t>459A6CB</t>
  </si>
  <si>
    <t>D20D880</t>
  </si>
  <si>
    <t>E517A44</t>
  </si>
  <si>
    <t>8EC6E0A</t>
  </si>
  <si>
    <t>9D0AF44</t>
  </si>
  <si>
    <t>5D6539E</t>
  </si>
  <si>
    <t>AA8D39B</t>
  </si>
  <si>
    <t>E5F0A14</t>
  </si>
  <si>
    <t>BAFFC6F</t>
  </si>
  <si>
    <t>E3509DA</t>
  </si>
  <si>
    <t>129FC70</t>
  </si>
  <si>
    <t>3DA3D38</t>
  </si>
  <si>
    <t>A6C32C1</t>
  </si>
  <si>
    <t>75377F0</t>
  </si>
  <si>
    <t>49634A8</t>
  </si>
  <si>
    <t>27466CF</t>
  </si>
  <si>
    <t>E889F69</t>
  </si>
  <si>
    <t>FBED151</t>
  </si>
  <si>
    <t>F19B4E5</t>
  </si>
  <si>
    <t>E7C3E7C</t>
  </si>
  <si>
    <t>78F7B9D</t>
  </si>
  <si>
    <t>A2AAC25</t>
  </si>
  <si>
    <t>485391F</t>
  </si>
  <si>
    <t>B3E4F9F</t>
  </si>
  <si>
    <t>5E00581</t>
  </si>
  <si>
    <t>673C09</t>
  </si>
  <si>
    <t>73503F7</t>
  </si>
  <si>
    <t>B5AE692</t>
  </si>
  <si>
    <t>AFF8CB6</t>
  </si>
  <si>
    <t>DF0F67C</t>
  </si>
  <si>
    <t>9CED0D0</t>
  </si>
  <si>
    <t>3AED9A6</t>
  </si>
  <si>
    <t>F3DFAEF</t>
  </si>
  <si>
    <t>7CEF34B</t>
  </si>
  <si>
    <t>23C6F4E</t>
  </si>
  <si>
    <t>F8253FF</t>
  </si>
  <si>
    <t>7D1B861</t>
  </si>
  <si>
    <t>E607E63</t>
  </si>
  <si>
    <t>FF4D08F</t>
  </si>
  <si>
    <t>859AE29</t>
  </si>
  <si>
    <t>FDD4AEE</t>
  </si>
  <si>
    <t>7C4409</t>
  </si>
  <si>
    <t>58F7469</t>
  </si>
  <si>
    <t>B7FB4C6</t>
  </si>
  <si>
    <t>85AA974</t>
  </si>
  <si>
    <t>8648EBB</t>
  </si>
  <si>
    <t>3F5691B</t>
  </si>
  <si>
    <t>79A5E92</t>
  </si>
  <si>
    <t>2AA8E1F</t>
  </si>
  <si>
    <t>40BD3C5</t>
  </si>
  <si>
    <t>63188D3</t>
  </si>
  <si>
    <t>6406486</t>
  </si>
  <si>
    <t>E68DF04</t>
  </si>
  <si>
    <t>832A7D6</t>
  </si>
  <si>
    <t>7D8F82D</t>
  </si>
  <si>
    <t>48F665D</t>
  </si>
  <si>
    <t>7FC5B69</t>
  </si>
  <si>
    <t>B45DFB7</t>
  </si>
  <si>
    <t>6338AEC</t>
  </si>
  <si>
    <t>279AD99</t>
  </si>
  <si>
    <t>36378D3</t>
  </si>
  <si>
    <t>50D42A3</t>
  </si>
  <si>
    <t>94D21F</t>
  </si>
  <si>
    <t>3467397</t>
  </si>
  <si>
    <t>6A95B49</t>
  </si>
  <si>
    <t>A253F9F</t>
  </si>
  <si>
    <t>80830B9</t>
  </si>
  <si>
    <t>BA6190B</t>
  </si>
  <si>
    <t>FA551EE</t>
  </si>
  <si>
    <t>1C9AAFE</t>
  </si>
  <si>
    <t>794B89</t>
  </si>
  <si>
    <t>C307BBF</t>
  </si>
  <si>
    <t>851AD7F</t>
  </si>
  <si>
    <t>94B1F43</t>
  </si>
  <si>
    <t>34FE9E4</t>
  </si>
  <si>
    <t>7866C63</t>
  </si>
  <si>
    <t>1C8C6A1</t>
  </si>
  <si>
    <t>7AEEF16</t>
  </si>
  <si>
    <t>36E846C</t>
  </si>
  <si>
    <t>457162</t>
  </si>
  <si>
    <t>7EE3C15</t>
  </si>
  <si>
    <t>FD22369</t>
  </si>
  <si>
    <t>E708499</t>
  </si>
  <si>
    <t>92C9CE3</t>
  </si>
  <si>
    <t>3B382F9</t>
  </si>
  <si>
    <t>54A2E8A</t>
  </si>
  <si>
    <t>97A58EB</t>
  </si>
  <si>
    <t>FB84161</t>
  </si>
  <si>
    <t>952C21B</t>
  </si>
  <si>
    <t>D6282D9</t>
  </si>
  <si>
    <t>16C78C0</t>
  </si>
  <si>
    <t>ED75CB</t>
  </si>
  <si>
    <t>FA003E1</t>
  </si>
  <si>
    <t>1207D0A</t>
  </si>
  <si>
    <t>E9AFFF4</t>
  </si>
  <si>
    <t>19355A4</t>
  </si>
  <si>
    <t>78B2EB4</t>
  </si>
  <si>
    <t>1B65609</t>
  </si>
  <si>
    <t>42F0931</t>
  </si>
  <si>
    <t>71EAF5D</t>
  </si>
  <si>
    <t>4D74E07</t>
  </si>
  <si>
    <t>AE18500</t>
  </si>
  <si>
    <t>2E8C16B</t>
  </si>
  <si>
    <t>8F45708</t>
  </si>
  <si>
    <t>4E556B5</t>
  </si>
  <si>
    <t>93129D</t>
  </si>
  <si>
    <t>DD04E0E</t>
  </si>
  <si>
    <t>65102D4</t>
  </si>
  <si>
    <t>FE15B70</t>
  </si>
  <si>
    <t>3847CAB</t>
  </si>
  <si>
    <t>EE311B1</t>
  </si>
  <si>
    <t>D9CA98E</t>
  </si>
  <si>
    <t>D95D576</t>
  </si>
  <si>
    <t>3783322</t>
  </si>
  <si>
    <t>39184A8</t>
  </si>
  <si>
    <t>A12C384</t>
  </si>
  <si>
    <t>8A32E2C</t>
  </si>
  <si>
    <t>7651AE4</t>
  </si>
  <si>
    <t>AC4494F</t>
  </si>
  <si>
    <t>B6B754F</t>
  </si>
  <si>
    <t>C5D6C33</t>
  </si>
  <si>
    <t>566E630</t>
  </si>
  <si>
    <t>F9FA8E0</t>
  </si>
  <si>
    <t>8960E3</t>
  </si>
  <si>
    <t>1B7977C</t>
  </si>
  <si>
    <t>4C27024</t>
  </si>
  <si>
    <t>7495241</t>
  </si>
  <si>
    <t>79ED618</t>
  </si>
  <si>
    <t>906DF27</t>
  </si>
  <si>
    <t>A8A3050</t>
  </si>
  <si>
    <t>BF328DE</t>
  </si>
  <si>
    <t>CDAB4DF</t>
  </si>
  <si>
    <t>D13AFD1</t>
  </si>
  <si>
    <t>D60715D</t>
  </si>
  <si>
    <t>F7AFBF4</t>
  </si>
  <si>
    <t>Readings</t>
  </si>
  <si>
    <t>Row Labels</t>
  </si>
  <si>
    <t>Key</t>
  </si>
  <si>
    <t>Suffix</t>
  </si>
  <si>
    <t>Watts DC</t>
  </si>
  <si>
    <t>Watts AC</t>
  </si>
  <si>
    <t>MegaOhms</t>
  </si>
  <si>
    <t>DC Volts Output</t>
  </si>
  <si>
    <t>Thermocouple</t>
  </si>
  <si>
    <t>17C33DB3</t>
  </si>
  <si>
    <t>1A98B031</t>
  </si>
  <si>
    <t>F1747C96</t>
  </si>
  <si>
    <t>19AFF70C</t>
  </si>
  <si>
    <t>F848D7DD</t>
  </si>
  <si>
    <t>2F05681</t>
  </si>
  <si>
    <t>E5D9F18</t>
  </si>
  <si>
    <t>E95D3A1C</t>
  </si>
  <si>
    <t>F243A912</t>
  </si>
  <si>
    <t>F76DCD2D</t>
  </si>
  <si>
    <t>173FF282</t>
  </si>
  <si>
    <t>15C9995F</t>
  </si>
  <si>
    <t>E12BA03</t>
  </si>
  <si>
    <t>1ACDBE6D</t>
  </si>
  <si>
    <t>1A6BFE8F</t>
  </si>
  <si>
    <t>EC04BFA</t>
  </si>
  <si>
    <t>FE027F63</t>
  </si>
  <si>
    <t>E9ADE698</t>
  </si>
  <si>
    <t>FE3E4EF0</t>
  </si>
  <si>
    <t>E2EAC84D</t>
  </si>
  <si>
    <t>10F3B10A</t>
  </si>
  <si>
    <t>E8543129</t>
  </si>
  <si>
    <t>131267A7</t>
  </si>
  <si>
    <t>EC7BED28</t>
  </si>
  <si>
    <t>14438B71</t>
  </si>
  <si>
    <t>F1FED4A4</t>
  </si>
  <si>
    <t>17C6DC92</t>
  </si>
  <si>
    <t>FA87674D</t>
  </si>
  <si>
    <t>FB8F4B9D</t>
  </si>
  <si>
    <t>148794FC</t>
  </si>
  <si>
    <t>FDEC3B7C</t>
  </si>
  <si>
    <t>F8D8C13C</t>
  </si>
  <si>
    <t>F5194BA0</t>
  </si>
  <si>
    <t>45CCEF6</t>
  </si>
  <si>
    <t>FCC5925D</t>
  </si>
  <si>
    <t>E74F0980</t>
  </si>
  <si>
    <t>FBB78DE7</t>
  </si>
  <si>
    <t>E9E10146</t>
  </si>
  <si>
    <t>16231F9B</t>
  </si>
  <si>
    <t>FBA9937B</t>
  </si>
  <si>
    <t>1D54BBD</t>
  </si>
  <si>
    <t>F6247EAC</t>
  </si>
  <si>
    <t>FB28EBF7</t>
  </si>
  <si>
    <t>DCE9902</t>
  </si>
  <si>
    <t>CF44B99</t>
  </si>
  <si>
    <t>12C575A6</t>
  </si>
  <si>
    <t>F31BD4D9</t>
  </si>
  <si>
    <t>1A91EDA9</t>
  </si>
  <si>
    <t>188A8657</t>
  </si>
  <si>
    <t>44B2B69</t>
  </si>
  <si>
    <t>FFDC9E1A</t>
  </si>
  <si>
    <t>148CA21C</t>
  </si>
  <si>
    <t>1C3A91D5</t>
  </si>
  <si>
    <t>10004BE1</t>
  </si>
  <si>
    <t>912D622</t>
  </si>
  <si>
    <t>F995B793</t>
  </si>
  <si>
    <t>F200F477</t>
  </si>
  <si>
    <t>FCB9E189</t>
  </si>
  <si>
    <t>5F134AE</t>
  </si>
  <si>
    <t>1C6763AE</t>
  </si>
  <si>
    <t>D96AB59</t>
  </si>
  <si>
    <t>141A042A</t>
  </si>
  <si>
    <t>F942FE20</t>
  </si>
  <si>
    <t>E0C1852D</t>
  </si>
  <si>
    <t>F47B49B6</t>
  </si>
  <si>
    <t>F1381B24</t>
  </si>
  <si>
    <t>FF98AB3D</t>
  </si>
  <si>
    <t>797A447</t>
  </si>
  <si>
    <t>7BE7048</t>
  </si>
  <si>
    <t>9EE73F9</t>
  </si>
  <si>
    <t>F9688799</t>
  </si>
  <si>
    <t>E8F08B46</t>
  </si>
  <si>
    <t>824F958</t>
  </si>
  <si>
    <t>FD879F9</t>
  </si>
  <si>
    <t>148365C1</t>
  </si>
  <si>
    <t>F589EC94</t>
  </si>
  <si>
    <t>E4C3B7CA</t>
  </si>
  <si>
    <t>1CE79317</t>
  </si>
  <si>
    <t>F71FC485</t>
  </si>
  <si>
    <t>3AA7137</t>
  </si>
  <si>
    <t>FB3BC7FC</t>
  </si>
  <si>
    <t>9D59FF1</t>
  </si>
  <si>
    <t>3F8E888</t>
  </si>
  <si>
    <t>159EDAA5</t>
  </si>
  <si>
    <t>1157D2C5</t>
  </si>
  <si>
    <t>2FE4D46</t>
  </si>
  <si>
    <t>F3197F98</t>
  </si>
  <si>
    <t>17CB52BB</t>
  </si>
  <si>
    <t>7766E4B</t>
  </si>
  <si>
    <t>EC1EF570</t>
  </si>
  <si>
    <t>73384F1</t>
  </si>
  <si>
    <t>3298C0A</t>
  </si>
  <si>
    <t>140A002F</t>
  </si>
  <si>
    <t>FC1FA128</t>
  </si>
  <si>
    <t>E0C2611A</t>
  </si>
  <si>
    <t>2DA1054</t>
  </si>
  <si>
    <t>F0230E83</t>
  </si>
  <si>
    <t>109AD0C1</t>
  </si>
  <si>
    <t>89A6FA8</t>
  </si>
  <si>
    <t>149D9D4</t>
  </si>
  <si>
    <t>FDCF01ED</t>
  </si>
  <si>
    <t>E337A45F</t>
  </si>
  <si>
    <t>EA6FDF40</t>
  </si>
  <si>
    <t>1429A827</t>
  </si>
  <si>
    <t>105F1E76</t>
  </si>
  <si>
    <t>FA29C18C</t>
  </si>
  <si>
    <t>79ED1E3</t>
  </si>
  <si>
    <t>1952D8F6</t>
  </si>
  <si>
    <t>56FC64D</t>
  </si>
  <si>
    <t>1CB4D25C</t>
  </si>
  <si>
    <t>E230E0F3</t>
  </si>
  <si>
    <t>F95AB071</t>
  </si>
  <si>
    <t>18B1A374</t>
  </si>
  <si>
    <t>E21360B</t>
  </si>
  <si>
    <t>4453F23</t>
  </si>
  <si>
    <t>1155AC24</t>
  </si>
  <si>
    <t>E86A9D70</t>
  </si>
  <si>
    <t>7C46969</t>
  </si>
  <si>
    <t>15BC3623</t>
  </si>
  <si>
    <t>48B1750</t>
  </si>
  <si>
    <t>E4A51048</t>
  </si>
  <si>
    <t>3B8D0C6</t>
  </si>
  <si>
    <t>FB774CD1</t>
  </si>
  <si>
    <t>AC180BA</t>
  </si>
  <si>
    <t>F7EB511C</t>
  </si>
  <si>
    <t>1C3D6A9</t>
  </si>
  <si>
    <t>FD8F11B1</t>
  </si>
  <si>
    <t>4171A9A</t>
  </si>
  <si>
    <t>E21FDB39</t>
  </si>
  <si>
    <t>FB1DE9FF</t>
  </si>
  <si>
    <t>80E0A26</t>
  </si>
  <si>
    <t>E1C58773</t>
  </si>
  <si>
    <t>10E68C0</t>
  </si>
  <si>
    <t>FA9306D7</t>
  </si>
  <si>
    <t>E219714C</t>
  </si>
  <si>
    <t>F6C9EBC9</t>
  </si>
  <si>
    <t>1C207D59</t>
  </si>
  <si>
    <t>5974959</t>
  </si>
  <si>
    <t>1397F5A9</t>
  </si>
  <si>
    <t>2E6A956</t>
  </si>
  <si>
    <t>BondRes</t>
  </si>
  <si>
    <t>ED51BD63</t>
  </si>
  <si>
    <t>61D083</t>
  </si>
  <si>
    <t>D044CA6</t>
  </si>
  <si>
    <t>F929D5A6</t>
  </si>
  <si>
    <t>FA803324</t>
  </si>
  <si>
    <t>76D87FA</t>
  </si>
  <si>
    <t>10FDD6D1</t>
  </si>
  <si>
    <t>F1D2165A</t>
  </si>
  <si>
    <t>EED67EFE</t>
  </si>
  <si>
    <t>38B0326</t>
  </si>
  <si>
    <t>FD894190</t>
  </si>
  <si>
    <t>F97F4382</t>
  </si>
  <si>
    <t>FF57B054</t>
  </si>
  <si>
    <t>123E5C29</t>
  </si>
  <si>
    <t>13E6C3B7</t>
  </si>
  <si>
    <t>FBD8E95E</t>
  </si>
  <si>
    <t>13A2B25B</t>
  </si>
  <si>
    <t>1D42B68</t>
  </si>
  <si>
    <t>1FDC0674</t>
  </si>
  <si>
    <t>F268C168</t>
  </si>
  <si>
    <t>F3A69B33</t>
  </si>
  <si>
    <t>B8FB6F7</t>
  </si>
  <si>
    <t>E437621</t>
  </si>
  <si>
    <t>1D921B88</t>
  </si>
  <si>
    <t>E3F27060</t>
  </si>
  <si>
    <t>448DB93</t>
  </si>
  <si>
    <t>E6586088</t>
  </si>
  <si>
    <t>E84811CC</t>
  </si>
  <si>
    <t>F117FC94</t>
  </si>
  <si>
    <t>E92DC3DB</t>
  </si>
  <si>
    <t>F778B51C</t>
  </si>
  <si>
    <t>187C72C0</t>
  </si>
  <si>
    <t>E883B158</t>
  </si>
  <si>
    <t>FF721B37</t>
  </si>
  <si>
    <t>FAD8557C</t>
  </si>
  <si>
    <t>F68E07C8</t>
  </si>
  <si>
    <t>949C8D6</t>
  </si>
  <si>
    <t>F498F8B4</t>
  </si>
  <si>
    <t>FB308592</t>
  </si>
  <si>
    <t>1E9A9C95</t>
  </si>
  <si>
    <t>406E820</t>
  </si>
  <si>
    <t>ACVmeas</t>
  </si>
  <si>
    <t>964B58F</t>
  </si>
  <si>
    <t>A5B1A73</t>
  </si>
  <si>
    <t>E8D695EE</t>
  </si>
  <si>
    <t>11AE22D5</t>
  </si>
  <si>
    <t>F72061C4</t>
  </si>
  <si>
    <t>123F8342</t>
  </si>
  <si>
    <t>1B37A3A1</t>
  </si>
  <si>
    <t>E3F53CB6</t>
  </si>
  <si>
    <t>F0627AEA</t>
  </si>
  <si>
    <t>F4D22141</t>
  </si>
  <si>
    <t>24C8FA2</t>
  </si>
  <si>
    <t>53F8EB9</t>
  </si>
  <si>
    <t>1E10177E</t>
  </si>
  <si>
    <t>1B7A8BCB</t>
  </si>
  <si>
    <t>15E72F97</t>
  </si>
  <si>
    <t>E735032</t>
  </si>
  <si>
    <t>F5A4BC38</t>
  </si>
  <si>
    <t>6CC3956</t>
  </si>
  <si>
    <t>191F4456</t>
  </si>
  <si>
    <t>B1FC9D3</t>
  </si>
  <si>
    <t>2D1D889</t>
  </si>
  <si>
    <t>FEE6FE6C</t>
  </si>
  <si>
    <t>4DA646</t>
  </si>
  <si>
    <t>E28E9AA3</t>
  </si>
  <si>
    <t>FDD1ACD7</t>
  </si>
  <si>
    <t>EDF46EB3</t>
  </si>
  <si>
    <t>F8510730</t>
  </si>
  <si>
    <t>1F717D64</t>
  </si>
  <si>
    <t>17F84F4D</t>
  </si>
  <si>
    <t>49155D3</t>
  </si>
  <si>
    <t>FE26DDE6</t>
  </si>
  <si>
    <t>E663BD39</t>
  </si>
  <si>
    <t>2662FB8</t>
  </si>
  <si>
    <t>C088ECB</t>
  </si>
  <si>
    <t>F601E104</t>
  </si>
  <si>
    <t>1B76B921</t>
  </si>
  <si>
    <t>1335224C</t>
  </si>
  <si>
    <t>EA167600</t>
  </si>
  <si>
    <t>1C6C6961</t>
  </si>
  <si>
    <t>9203A8F</t>
  </si>
  <si>
    <t>F953CF2</t>
  </si>
  <si>
    <t>9A25620</t>
  </si>
  <si>
    <t>1FA544A2</t>
  </si>
  <si>
    <t>F9E59E37</t>
  </si>
  <si>
    <t>FA6FEAFB</t>
  </si>
  <si>
    <t>E825CB9C</t>
  </si>
  <si>
    <t>EDCFEFBD</t>
  </si>
  <si>
    <t>E0BECD75</t>
  </si>
  <si>
    <t>ED74FE0B</t>
  </si>
  <si>
    <t>1474EB7D</t>
  </si>
  <si>
    <t>E91E5508</t>
  </si>
  <si>
    <t>F423FE70</t>
  </si>
  <si>
    <t>FE0BB1DE</t>
  </si>
  <si>
    <t>2D0C0EE</t>
  </si>
  <si>
    <t>E3C57290</t>
  </si>
  <si>
    <t>1400F469</t>
  </si>
  <si>
    <t>F25E2326</t>
  </si>
  <si>
    <t>E98E58D6</t>
  </si>
  <si>
    <t>F0D4110A</t>
  </si>
  <si>
    <t>F83C0FD2</t>
  </si>
  <si>
    <t>E468A94</t>
  </si>
  <si>
    <t>E9E99473</t>
  </si>
  <si>
    <t>FCDB0B14</t>
  </si>
  <si>
    <t>65DE6B2</t>
  </si>
  <si>
    <t>16A03607</t>
  </si>
  <si>
    <t>EBA1E4F4</t>
  </si>
  <si>
    <t>1515E491</t>
  </si>
  <si>
    <t>94A52BA</t>
  </si>
  <si>
    <t>775E6F7</t>
  </si>
  <si>
    <t>ADEEB56</t>
  </si>
  <si>
    <t>18283E4D</t>
  </si>
  <si>
    <t>1127CD01</t>
  </si>
  <si>
    <t>F5A41C1F</t>
  </si>
  <si>
    <t>13704715</t>
  </si>
  <si>
    <t>F4533C72</t>
  </si>
  <si>
    <t>F2B886AF</t>
  </si>
  <si>
    <t>28C1E20</t>
  </si>
  <si>
    <t>FFD61E92</t>
  </si>
  <si>
    <t>1595ACB3</t>
  </si>
  <si>
    <t>E59B212</t>
  </si>
  <si>
    <t>F1582A31</t>
  </si>
  <si>
    <t>1DF7E589</t>
  </si>
  <si>
    <t>DDFD364</t>
  </si>
  <si>
    <t>FC945DD1</t>
  </si>
  <si>
    <t>13172A61</t>
  </si>
  <si>
    <t>F3D4182F</t>
  </si>
  <si>
    <t>E9892912</t>
  </si>
  <si>
    <t>FCAE596</t>
  </si>
  <si>
    <t>6163C05</t>
  </si>
  <si>
    <t>E6577915</t>
  </si>
  <si>
    <t>8DD0D4F</t>
  </si>
  <si>
    <t>F9B4EB78</t>
  </si>
  <si>
    <t>F458996E</t>
  </si>
  <si>
    <t>E6139942</t>
  </si>
  <si>
    <t>FD5C9884</t>
  </si>
  <si>
    <t>2D925D6</t>
  </si>
  <si>
    <t>FA6BBDBC</t>
  </si>
  <si>
    <t>4305E1A</t>
  </si>
  <si>
    <t>E3AC5E3</t>
  </si>
  <si>
    <t>18AF9943</t>
  </si>
  <si>
    <t>F4B1520B</t>
  </si>
  <si>
    <t>1FA15425</t>
  </si>
  <si>
    <t>7B20B1B</t>
  </si>
  <si>
    <t>E8DB7E50</t>
  </si>
  <si>
    <t>FBF1E4C</t>
  </si>
  <si>
    <t>15BCF56</t>
  </si>
  <si>
    <t>E4A7485</t>
  </si>
  <si>
    <t>E1B7A781</t>
  </si>
  <si>
    <t>2345DF1</t>
  </si>
  <si>
    <t>2720184</t>
  </si>
  <si>
    <t>E5C0D6ED</t>
  </si>
  <si>
    <t>157DCB7E</t>
  </si>
  <si>
    <t>639EB85</t>
  </si>
  <si>
    <t>F8788F1E</t>
  </si>
  <si>
    <t>FAD511B3</t>
  </si>
  <si>
    <t>1F6B46D9</t>
  </si>
  <si>
    <t>5D9DC97</t>
  </si>
  <si>
    <t>F988D47F</t>
  </si>
  <si>
    <t>1CACAB26</t>
  </si>
  <si>
    <t>DA5C9F5</t>
  </si>
  <si>
    <t>DAEF4B5</t>
  </si>
  <si>
    <t>ED76EB59</t>
  </si>
  <si>
    <t>E963415F</t>
  </si>
  <si>
    <t>1404C1BB</t>
  </si>
  <si>
    <t>EE157F85</t>
  </si>
  <si>
    <t>E360BFBE</t>
  </si>
  <si>
    <t>72112BF</t>
  </si>
  <si>
    <t>F23FB687</t>
  </si>
  <si>
    <t>E7290C7C</t>
  </si>
  <si>
    <t>F04A4327</t>
  </si>
  <si>
    <t>EE818C66</t>
  </si>
  <si>
    <t>1088E2A9</t>
  </si>
  <si>
    <t>E00A2681</t>
  </si>
  <si>
    <t>FF114F4D</t>
  </si>
  <si>
    <t>1D2E92BD</t>
  </si>
  <si>
    <t>E4FCCC72</t>
  </si>
  <si>
    <t>EDB4906D</t>
  </si>
  <si>
    <t>5DAB68D</t>
  </si>
  <si>
    <t>2B66900</t>
  </si>
  <si>
    <t>376180C</t>
  </si>
  <si>
    <t>F3F67A42</t>
  </si>
  <si>
    <t>FE1B3D4A</t>
  </si>
  <si>
    <t>FA8D6E9F</t>
  </si>
  <si>
    <t>18E7E302</t>
  </si>
  <si>
    <t>901A020</t>
  </si>
  <si>
    <t>EE107894</t>
  </si>
  <si>
    <t>FCA2CA6B</t>
  </si>
  <si>
    <t>FAE0DBD</t>
  </si>
  <si>
    <t>16EE6F74</t>
  </si>
  <si>
    <t>F2F59CAE</t>
  </si>
  <si>
    <t>1DA14CA2</t>
  </si>
  <si>
    <t>FB2004E0</t>
  </si>
  <si>
    <t>E7DF3158</t>
  </si>
  <si>
    <t>198F13</t>
  </si>
  <si>
    <t>38FB286</t>
  </si>
  <si>
    <t>FD7A1B78</t>
  </si>
  <si>
    <t>1868E4C8</t>
  </si>
  <si>
    <t>E7E2CA74</t>
  </si>
  <si>
    <t>E06A7AA1</t>
  </si>
  <si>
    <t>15779A39</t>
  </si>
  <si>
    <t>F2BB1B5D</t>
  </si>
  <si>
    <t>1E8B5426</t>
  </si>
  <si>
    <t>D8BD5EC</t>
  </si>
  <si>
    <t>FA1B79BE</t>
  </si>
  <si>
    <t>1013346</t>
  </si>
  <si>
    <t>F4206B6F</t>
  </si>
  <si>
    <t>F4C349AE</t>
  </si>
  <si>
    <t>F1DF087B</t>
  </si>
  <si>
    <t>1BAABFCC</t>
  </si>
  <si>
    <t>15CC2060</t>
  </si>
  <si>
    <t>1E4EC9EA</t>
  </si>
  <si>
    <t>10A31EF1</t>
  </si>
  <si>
    <t>F692C74C</t>
  </si>
  <si>
    <t>F2166344</t>
  </si>
  <si>
    <t>F10CB5C6</t>
  </si>
  <si>
    <t>EF5E4671</t>
  </si>
  <si>
    <t>E8BA0573</t>
  </si>
  <si>
    <t>D7E3A4B</t>
  </si>
  <si>
    <t>178CEC42</t>
  </si>
  <si>
    <t>E09A0B10</t>
  </si>
  <si>
    <t>FB2BACE</t>
  </si>
  <si>
    <t>E86DC1EF</t>
  </si>
  <si>
    <t>19476CD5</t>
  </si>
  <si>
    <t>16D9763C</t>
  </si>
  <si>
    <t>3A9878D</t>
  </si>
  <si>
    <t>E525EF1D</t>
  </si>
  <si>
    <t>62EEEA4</t>
  </si>
  <si>
    <t>FCF10927</t>
  </si>
  <si>
    <t>61C1156</t>
  </si>
  <si>
    <t>196CB3</t>
  </si>
  <si>
    <t>E7136AD</t>
  </si>
  <si>
    <t>832B8B9</t>
  </si>
  <si>
    <t>F0A5990D</t>
  </si>
  <si>
    <t>D38A6CC</t>
  </si>
  <si>
    <t>E9506734</t>
  </si>
  <si>
    <t>1A8B3DBE</t>
  </si>
  <si>
    <t>EF302628</t>
  </si>
  <si>
    <t>F207E613</t>
  </si>
  <si>
    <t>745E42B</t>
  </si>
  <si>
    <t>ED90D0B1</t>
  </si>
  <si>
    <t>DD1F6B3</t>
  </si>
  <si>
    <t>192034CF</t>
  </si>
  <si>
    <t>16461F7D</t>
  </si>
  <si>
    <t>E589D782</t>
  </si>
  <si>
    <t>A0DB4A7</t>
  </si>
  <si>
    <t>19BA76B3</t>
  </si>
  <si>
    <t>65B7B71</t>
  </si>
  <si>
    <t>FD60CA61</t>
  </si>
  <si>
    <t>936D937</t>
  </si>
  <si>
    <t>F6708391</t>
  </si>
  <si>
    <t>E7504FF0</t>
  </si>
  <si>
    <t>F6B2C6AD</t>
  </si>
  <si>
    <t>E6D8A9BD</t>
  </si>
  <si>
    <t>1E3CE2CF</t>
  </si>
  <si>
    <t>F221D09A</t>
  </si>
  <si>
    <t>1D835F16</t>
  </si>
  <si>
    <t>107308DB</t>
  </si>
  <si>
    <t>E19E8E52</t>
  </si>
  <si>
    <t>F258EE74</t>
  </si>
  <si>
    <t>C73759E</t>
  </si>
  <si>
    <t>F416B61D</t>
  </si>
  <si>
    <t>1F67198B</t>
  </si>
  <si>
    <t>F1B29BB</t>
  </si>
  <si>
    <t>F83B29EF</t>
  </si>
  <si>
    <t>1E4E041D</t>
  </si>
  <si>
    <t>ED7A59A4</t>
  </si>
  <si>
    <t>14FDC88</t>
  </si>
  <si>
    <t>F3DD9BF8</t>
  </si>
  <si>
    <t>2B57914</t>
  </si>
  <si>
    <t>EEF2FD15</t>
  </si>
  <si>
    <t>E19A795A</t>
  </si>
  <si>
    <t>35D4869</t>
  </si>
  <si>
    <t>1FFC835C</t>
  </si>
  <si>
    <t>F8A2201C</t>
  </si>
  <si>
    <t>E0B42389</t>
  </si>
  <si>
    <t>1D43C97F</t>
  </si>
  <si>
    <t>13929E2B</t>
  </si>
  <si>
    <t>16D17757</t>
  </si>
  <si>
    <t>E4EC4FA7</t>
  </si>
  <si>
    <t>F59232C6</t>
  </si>
  <si>
    <t>1AA9DB6</t>
  </si>
  <si>
    <t>C0B8030</t>
  </si>
  <si>
    <t>19C95B6B</t>
  </si>
  <si>
    <t>E0EF2CF2</t>
  </si>
  <si>
    <t>1215403F</t>
  </si>
  <si>
    <t>ED3C8E6B</t>
  </si>
  <si>
    <t>18DD2073</t>
  </si>
  <si>
    <t>E89E2E2A</t>
  </si>
  <si>
    <t>110697D4</t>
  </si>
  <si>
    <t>F8EDB623</t>
  </si>
  <si>
    <t>8A7E6B8</t>
  </si>
  <si>
    <t>ED569437</t>
  </si>
  <si>
    <t>E851EE3C</t>
  </si>
  <si>
    <t>F47C9A2C</t>
  </si>
  <si>
    <t>E828F57E</t>
  </si>
  <si>
    <t>144AC21</t>
  </si>
  <si>
    <t>E6618619</t>
  </si>
  <si>
    <t>1659EB0</t>
  </si>
  <si>
    <t>E3E45831</t>
  </si>
  <si>
    <t>32A0AA</t>
  </si>
  <si>
    <t>355D79A</t>
  </si>
  <si>
    <t>F1472822</t>
  </si>
  <si>
    <t>F552E12D</t>
  </si>
  <si>
    <t>130BDD08</t>
  </si>
  <si>
    <t>17680119</t>
  </si>
  <si>
    <t>EB452D73</t>
  </si>
  <si>
    <t>E698D6B3</t>
  </si>
  <si>
    <t>18C46DE7</t>
  </si>
  <si>
    <t>6789AEC</t>
  </si>
  <si>
    <t>F9A3BEF5</t>
  </si>
  <si>
    <t>188CC734</t>
  </si>
  <si>
    <t>1332107D</t>
  </si>
  <si>
    <t>F997AF94</t>
  </si>
  <si>
    <t>6C5C5A5</t>
  </si>
  <si>
    <t>FEF80351</t>
  </si>
  <si>
    <t>1DF44BDF</t>
  </si>
  <si>
    <t>542265A</t>
  </si>
  <si>
    <t>FC5A2CFB</t>
  </si>
  <si>
    <t>ECA3C932</t>
  </si>
  <si>
    <t>FFCAFAAB</t>
  </si>
  <si>
    <t>13D2092</t>
  </si>
  <si>
    <t>1B74CC71</t>
  </si>
  <si>
    <t>DCFC5EB</t>
  </si>
  <si>
    <t>E1161651</t>
  </si>
  <si>
    <t>E0B19246</t>
  </si>
  <si>
    <t>E1458FA0</t>
  </si>
  <si>
    <t>169CEAE3</t>
  </si>
  <si>
    <t>EB83F6FA</t>
  </si>
  <si>
    <t>F5174621</t>
  </si>
  <si>
    <t>FE757127</t>
  </si>
  <si>
    <t>DA823ED</t>
  </si>
  <si>
    <t>7ACF804</t>
  </si>
  <si>
    <t>AF6AE5E</t>
  </si>
  <si>
    <t>E8C19D75</t>
  </si>
  <si>
    <t>101E3A8D</t>
  </si>
  <si>
    <t>12B94B8D</t>
  </si>
  <si>
    <t>670146B</t>
  </si>
  <si>
    <t>FE9AA6BE</t>
  </si>
  <si>
    <t>E6C4B210</t>
  </si>
  <si>
    <t>123DB08B</t>
  </si>
  <si>
    <t>F24427</t>
  </si>
  <si>
    <t>3A2CC64</t>
  </si>
  <si>
    <t>E88527A2</t>
  </si>
  <si>
    <t>FD495358</t>
  </si>
  <si>
    <t>19CB2576</t>
  </si>
  <si>
    <t>8804ECE</t>
  </si>
  <si>
    <t>FD3ACDD3</t>
  </si>
  <si>
    <t>4991FAA</t>
  </si>
  <si>
    <t>FFDBA064</t>
  </si>
  <si>
    <t>FFDF78DF</t>
  </si>
  <si>
    <t>F620872B</t>
  </si>
  <si>
    <t>F226A04B</t>
  </si>
  <si>
    <t>3DB8452</t>
  </si>
  <si>
    <t>133E3AD2</t>
  </si>
  <si>
    <t>E8276924</t>
  </si>
  <si>
    <t>2B33427</t>
  </si>
  <si>
    <t>13D5D009</t>
  </si>
  <si>
    <t>D3AAF54</t>
  </si>
  <si>
    <t>125A761F</t>
  </si>
  <si>
    <t>F28E679F</t>
  </si>
  <si>
    <t>F111CC43</t>
  </si>
  <si>
    <t>F72BAB93</t>
  </si>
  <si>
    <t>19D32462</t>
  </si>
  <si>
    <t>E345BD51</t>
  </si>
  <si>
    <t>6F88DE8</t>
  </si>
  <si>
    <t>DCAmeas</t>
  </si>
  <si>
    <t>F1658CDE</t>
  </si>
  <si>
    <t>197E759F</t>
  </si>
  <si>
    <t>E9DD1C6D</t>
  </si>
  <si>
    <t>E54DDAF3</t>
  </si>
  <si>
    <t>1710B5A8</t>
  </si>
  <si>
    <t>F3C9F768</t>
  </si>
  <si>
    <t>EF4FC453</t>
  </si>
  <si>
    <t>FC4C0DFB</t>
  </si>
  <si>
    <t>FED468A5</t>
  </si>
  <si>
    <t>18FDA02F</t>
  </si>
  <si>
    <t>3D34808</t>
  </si>
  <si>
    <t>EC130BBF</t>
  </si>
  <si>
    <t>FA4DC699</t>
  </si>
  <si>
    <t>E8574982</t>
  </si>
  <si>
    <t>3885887</t>
  </si>
  <si>
    <t>15126621</t>
  </si>
  <si>
    <t>E226C3A0</t>
  </si>
  <si>
    <t>1B5AEA81</t>
  </si>
  <si>
    <t>E73010B1</t>
  </si>
  <si>
    <t>1E6E0E80</t>
  </si>
  <si>
    <t>3BFF150</t>
  </si>
  <si>
    <t>E2E0E302</t>
  </si>
  <si>
    <t>19CE08EC</t>
  </si>
  <si>
    <t>FEE98902</t>
  </si>
  <si>
    <t>F22D213F</t>
  </si>
  <si>
    <t>F912234D</t>
  </si>
  <si>
    <t>11157AE4</t>
  </si>
  <si>
    <t>1A914CDA</t>
  </si>
  <si>
    <t>E7022887</t>
  </si>
  <si>
    <t>F415DD2A</t>
  </si>
  <si>
    <t>E2DF237E</t>
  </si>
  <si>
    <t>19D40D07</t>
  </si>
  <si>
    <t>F01818B9</t>
  </si>
  <si>
    <t>1B5C917B</t>
  </si>
  <si>
    <t>F06FFA50</t>
  </si>
  <si>
    <t>7493B80</t>
  </si>
  <si>
    <t>E80DFCDE</t>
  </si>
  <si>
    <t>E328C1F1</t>
  </si>
  <si>
    <t>E7C9E11</t>
  </si>
  <si>
    <t>E8A1FC5E</t>
  </si>
  <si>
    <t>F5C4A07C</t>
  </si>
  <si>
    <t>EFCC25AC</t>
  </si>
  <si>
    <t>FADE188B</t>
  </si>
  <si>
    <t>A251FD4</t>
  </si>
  <si>
    <t>E7A74AFC</t>
  </si>
  <si>
    <t>5592C9A</t>
  </si>
  <si>
    <t>1F9F1BD</t>
  </si>
  <si>
    <t>F2AC5017</t>
  </si>
  <si>
    <t>E1E7E0E9</t>
  </si>
  <si>
    <t>F48EB353</t>
  </si>
  <si>
    <t>1410DF26</t>
  </si>
  <si>
    <t>CB7E0FF</t>
  </si>
  <si>
    <t>FAD77AE9</t>
  </si>
  <si>
    <t>E0C5AA62</t>
  </si>
  <si>
    <t>7BDC54C</t>
  </si>
  <si>
    <t>18438BC3</t>
  </si>
  <si>
    <t>EC1DCFF4</t>
  </si>
  <si>
    <t>E7BD558B</t>
  </si>
  <si>
    <t>13387990</t>
  </si>
  <si>
    <t>E6030CCB</t>
  </si>
  <si>
    <t>1CF2B79E</t>
  </si>
  <si>
    <t>7D2FA9D</t>
  </si>
  <si>
    <t>FE09307C</t>
  </si>
  <si>
    <t>74F327A</t>
  </si>
  <si>
    <t>52B1147</t>
  </si>
  <si>
    <t>8BE9EFF</t>
  </si>
  <si>
    <t>F6CEC2B1</t>
  </si>
  <si>
    <t>E0CF156</t>
  </si>
  <si>
    <t>A77B98C</t>
  </si>
  <si>
    <t>11081F54</t>
  </si>
  <si>
    <t>114D09AD</t>
  </si>
  <si>
    <t>1BAEFE4E</t>
  </si>
  <si>
    <t>1A49EED2</t>
  </si>
  <si>
    <t>FBA70238</t>
  </si>
  <si>
    <t>1054B14A</t>
  </si>
  <si>
    <t>EF798B94</t>
  </si>
  <si>
    <t>F0932414</t>
  </si>
  <si>
    <t>149F72F5</t>
  </si>
  <si>
    <t>EFBDCD7B</t>
  </si>
  <si>
    <t>F3CA41EE</t>
  </si>
  <si>
    <t>E95D5B5C</t>
  </si>
  <si>
    <t>F636044</t>
  </si>
  <si>
    <t>16EDEFF1</t>
  </si>
  <si>
    <t>EED6E8AB</t>
  </si>
  <si>
    <t>FA05C81E</t>
  </si>
  <si>
    <t>F9BE3E55</t>
  </si>
  <si>
    <t>FDEB172C</t>
  </si>
  <si>
    <t>14CA17E2</t>
  </si>
  <si>
    <t>AAE3DCB</t>
  </si>
  <si>
    <t>EFEAF0B1</t>
  </si>
  <si>
    <t>16B6786</t>
  </si>
  <si>
    <t>E5824F39</t>
  </si>
  <si>
    <t>F7274E06</t>
  </si>
  <si>
    <t>146010D</t>
  </si>
  <si>
    <t>E396E7A2</t>
  </si>
  <si>
    <t>1DB40D53</t>
  </si>
  <si>
    <t>1C4D0712</t>
  </si>
  <si>
    <t>4C5AF02</t>
  </si>
  <si>
    <t>F216AAA3</t>
  </si>
  <si>
    <t>FDE06C00</t>
  </si>
  <si>
    <t>E415D039</t>
  </si>
  <si>
    <t>D86094E</t>
  </si>
  <si>
    <t>EA726DEB</t>
  </si>
  <si>
    <t>1D60D436</t>
  </si>
  <si>
    <t>FE1FFE1A</t>
  </si>
  <si>
    <t>11DBC12B</t>
  </si>
  <si>
    <t>F4F3714</t>
  </si>
  <si>
    <t>F47B9606</t>
  </si>
  <si>
    <t>7B94578</t>
  </si>
  <si>
    <t>1C468450</t>
  </si>
  <si>
    <t>E4B23FB9</t>
  </si>
  <si>
    <t>8F61918</t>
  </si>
  <si>
    <t>676CD69</t>
  </si>
  <si>
    <t>F583E8CA</t>
  </si>
  <si>
    <t>1720A577</t>
  </si>
  <si>
    <t>E4B36C1F</t>
  </si>
  <si>
    <t>E1B5CBC2</t>
  </si>
  <si>
    <t>F17081E</t>
  </si>
  <si>
    <t>E1B4D1C9</t>
  </si>
  <si>
    <t>F64121FC</t>
  </si>
  <si>
    <t>F38D476A</t>
  </si>
  <si>
    <t>EA9F43DB</t>
  </si>
  <si>
    <t>FAAF33FC</t>
  </si>
  <si>
    <t>1096F350</t>
  </si>
  <si>
    <t>E75E8453</t>
  </si>
  <si>
    <t>E850FDCD</t>
  </si>
  <si>
    <t>1EC9E38D</t>
  </si>
  <si>
    <t>61C8E4F</t>
  </si>
  <si>
    <t>Trasmille</t>
  </si>
  <si>
    <t>1513ED54</t>
  </si>
  <si>
    <t>77C2C4C</t>
  </si>
  <si>
    <t>FEB838EA</t>
  </si>
  <si>
    <t>F102653B</t>
  </si>
  <si>
    <t>2FC5A83</t>
  </si>
  <si>
    <t>56550AA</t>
  </si>
  <si>
    <t>E9F18E54</t>
  </si>
  <si>
    <t>10E14CF9</t>
  </si>
  <si>
    <t>F44AE77F</t>
  </si>
  <si>
    <t>144BE9EC</t>
  </si>
  <si>
    <t>1E602D86</t>
  </si>
  <si>
    <t>FAE36DFC</t>
  </si>
  <si>
    <t>E5B6FF5A</t>
  </si>
  <si>
    <t>973CA0C</t>
  </si>
  <si>
    <t>E831EB66</t>
  </si>
  <si>
    <t>163AE8EB</t>
  </si>
  <si>
    <t>10898074</t>
  </si>
  <si>
    <t>5F53D03</t>
  </si>
  <si>
    <t>1B3F8314</t>
  </si>
  <si>
    <t>EB106036</t>
  </si>
  <si>
    <t>EB19B537</t>
  </si>
  <si>
    <t>B088F38</t>
  </si>
  <si>
    <t>50CA853</t>
  </si>
  <si>
    <t>16C8A417</t>
  </si>
  <si>
    <t>131B2031</t>
  </si>
  <si>
    <t>F37E9520</t>
  </si>
  <si>
    <t>526887B</t>
  </si>
  <si>
    <t>F23087B8</t>
  </si>
  <si>
    <t>F9F8D6D5</t>
  </si>
  <si>
    <t>E920A733</t>
  </si>
  <si>
    <t>3F6407B</t>
  </si>
  <si>
    <t>F50391B8</t>
  </si>
  <si>
    <t>E8BD4E00</t>
  </si>
  <si>
    <t>1A46672D</t>
  </si>
  <si>
    <t>5727D2C</t>
  </si>
  <si>
    <t>1CA20C</t>
  </si>
  <si>
    <t>19EF7D8E</t>
  </si>
  <si>
    <t>F5329AAC</t>
  </si>
  <si>
    <t>E5076539</t>
  </si>
  <si>
    <t>B208BB2</t>
  </si>
  <si>
    <t>F42BD2EA</t>
  </si>
  <si>
    <t>1089463D</t>
  </si>
  <si>
    <t>1F888D3E</t>
  </si>
  <si>
    <t>E6A71AC1</t>
  </si>
  <si>
    <t>E6A2C928</t>
  </si>
  <si>
    <t>D76EA07</t>
  </si>
  <si>
    <t>FC634986</t>
  </si>
  <si>
    <t>E9823A1</t>
  </si>
  <si>
    <t>928B3CC</t>
  </si>
  <si>
    <t>1A3E8D8F</t>
  </si>
  <si>
    <t>E13B2863</t>
  </si>
  <si>
    <t>2E39565</t>
  </si>
  <si>
    <t>46A15F0</t>
  </si>
  <si>
    <t>1176E585</t>
  </si>
  <si>
    <t>5904E9B</t>
  </si>
  <si>
    <t>1278F56F</t>
  </si>
  <si>
    <t>E0C0C5CA</t>
  </si>
  <si>
    <t>1398551</t>
  </si>
  <si>
    <t>9A7D2AE</t>
  </si>
  <si>
    <t>F3E2EB1</t>
  </si>
  <si>
    <t>D4CEB55</t>
  </si>
  <si>
    <t>10BD93E</t>
  </si>
  <si>
    <t>83D4C1A</t>
  </si>
  <si>
    <t>1CA6B1E8</t>
  </si>
  <si>
    <t>EFD61F66</t>
  </si>
  <si>
    <t>ED71143F</t>
  </si>
  <si>
    <t>E22B9FF5</t>
  </si>
  <si>
    <t>F554314B</t>
  </si>
  <si>
    <t>FD204BDC</t>
  </si>
  <si>
    <t>F4C4A5A6</t>
  </si>
  <si>
    <t>1134E217</t>
  </si>
  <si>
    <t>FAA97F86</t>
  </si>
  <si>
    <t>EF3F2654</t>
  </si>
  <si>
    <t>E662846E</t>
  </si>
  <si>
    <t>15DB284D</t>
  </si>
  <si>
    <t>310771</t>
  </si>
  <si>
    <t>EAFF825F</t>
  </si>
  <si>
    <t>FEE01C82</t>
  </si>
  <si>
    <t>2EDE8A5</t>
  </si>
  <si>
    <t>E94EF8B6</t>
  </si>
  <si>
    <t>1C443CCD</t>
  </si>
  <si>
    <t>42BF8BB</t>
  </si>
  <si>
    <t>EBB069AB</t>
  </si>
  <si>
    <t>14B53AA9</t>
  </si>
  <si>
    <t>E33B87A9</t>
  </si>
  <si>
    <t>95A488B</t>
  </si>
  <si>
    <t>426EE25</t>
  </si>
  <si>
    <t>F21BDAB9</t>
  </si>
  <si>
    <t>1AD2D54E</t>
  </si>
  <si>
    <t>6D128B9</t>
  </si>
  <si>
    <t>1F1B9CA6</t>
  </si>
  <si>
    <t>F2C26E2C</t>
  </si>
  <si>
    <t>F253C25E</t>
  </si>
  <si>
    <t>E2EB9A99</t>
  </si>
  <si>
    <t>ECFD9888</t>
  </si>
  <si>
    <t>E1065634</t>
  </si>
  <si>
    <t>1E7F6C41</t>
  </si>
  <si>
    <t>1F5C5B60</t>
  </si>
  <si>
    <t>E7CB81D5</t>
  </si>
  <si>
    <t>E7546276</t>
  </si>
  <si>
    <t>126A7FDF</t>
  </si>
  <si>
    <t>10569A10</t>
  </si>
  <si>
    <t>F136B5DA</t>
  </si>
  <si>
    <t>1E09A5DD</t>
  </si>
  <si>
    <t>DF56371</t>
  </si>
  <si>
    <t>FC222926</t>
  </si>
  <si>
    <t>BF90E2C</t>
  </si>
  <si>
    <t>A777404</t>
  </si>
  <si>
    <t>178F6D61</t>
  </si>
  <si>
    <t>FDB2ADCE</t>
  </si>
  <si>
    <t>13F16209</t>
  </si>
  <si>
    <t>DFE5495</t>
  </si>
  <si>
    <t>F403AADE</t>
  </si>
  <si>
    <t>89A958B</t>
  </si>
  <si>
    <t>11FBEA6</t>
  </si>
  <si>
    <t>FE198B5B</t>
  </si>
  <si>
    <t>FC13FC76</t>
  </si>
  <si>
    <t>EDBCA22E</t>
  </si>
  <si>
    <t>E376C0AB</t>
  </si>
  <si>
    <t>ED073253</t>
  </si>
  <si>
    <t>E118F585</t>
  </si>
  <si>
    <t>1E549E38</t>
  </si>
  <si>
    <t>E37E3363</t>
  </si>
  <si>
    <t>E13C4187</t>
  </si>
  <si>
    <t>1F7B8AC9</t>
  </si>
  <si>
    <t>FDA4D053</t>
  </si>
  <si>
    <t>EBF62983</t>
  </si>
  <si>
    <t>E66107B3</t>
  </si>
  <si>
    <t>2A402E0</t>
  </si>
  <si>
    <t>5C0E5EE</t>
  </si>
  <si>
    <t>F5173C31</t>
  </si>
  <si>
    <t>1B68918E</t>
  </si>
  <si>
    <t>1AB8CC9D</t>
  </si>
  <si>
    <t>6E60467</t>
  </si>
  <si>
    <t>E2F78EC9</t>
  </si>
  <si>
    <t>1E9E8AA9</t>
  </si>
  <si>
    <t>E90B6645</t>
  </si>
  <si>
    <t>F0A4A16B</t>
  </si>
  <si>
    <t>86BBE8A</t>
  </si>
  <si>
    <t>F89BD4AA</t>
  </si>
  <si>
    <t>E925AF89</t>
  </si>
  <si>
    <t>14E707BD</t>
  </si>
  <si>
    <t>E3D9FD2</t>
  </si>
  <si>
    <t>7573366</t>
  </si>
  <si>
    <t>EAC6AAAC</t>
  </si>
  <si>
    <t>F5053957</t>
  </si>
  <si>
    <t>1BCFFEE4</t>
  </si>
  <si>
    <t>FFC042D1</t>
  </si>
  <si>
    <t>F418A5B0</t>
  </si>
  <si>
    <t>F5EEFA05</t>
  </si>
  <si>
    <t>E93ED94F</t>
  </si>
  <si>
    <t>1FB3BBFA</t>
  </si>
  <si>
    <t>1060A9F8</t>
  </si>
  <si>
    <t>9A5826</t>
  </si>
  <si>
    <t>F812B8FD</t>
  </si>
  <si>
    <t>FCAECD75</t>
  </si>
  <si>
    <t>19B8A38F</t>
  </si>
  <si>
    <t>EA8D2D5F</t>
  </si>
  <si>
    <t>12816380</t>
  </si>
  <si>
    <t>1DBDD0DD</t>
  </si>
  <si>
    <t>F12AE045</t>
  </si>
  <si>
    <t>E426DBFD</t>
  </si>
  <si>
    <t>D71A9DB</t>
  </si>
  <si>
    <t>FE9DF0C</t>
  </si>
  <si>
    <t>EF5E90F</t>
  </si>
  <si>
    <t>9D802B9</t>
  </si>
  <si>
    <t>FDC9D75F</t>
  </si>
  <si>
    <t>E47A7BCE</t>
  </si>
  <si>
    <t>F46225CA</t>
  </si>
  <si>
    <t xml:space="preserve">Insulation DCV </t>
  </si>
  <si>
    <t>1819A87A</t>
  </si>
  <si>
    <t>518EE04</t>
  </si>
  <si>
    <t>13BEE3D1</t>
  </si>
  <si>
    <t>CF6F28B</t>
  </si>
  <si>
    <t>45FF38A</t>
  </si>
  <si>
    <t>EB86394</t>
  </si>
  <si>
    <t>B501F4B</t>
  </si>
  <si>
    <t>E698CAF5</t>
  </si>
  <si>
    <t>AEDB106</t>
  </si>
  <si>
    <t>F1CCF56</t>
  </si>
  <si>
    <t>E38095BB</t>
  </si>
  <si>
    <t>FF387BAE</t>
  </si>
  <si>
    <t>E572F816</t>
  </si>
  <si>
    <t>F2FBB2E2</t>
  </si>
  <si>
    <t>EA24E58C</t>
  </si>
  <si>
    <t>16D2AAA4</t>
  </si>
  <si>
    <t>90F6317</t>
  </si>
  <si>
    <t>F75EC09B</t>
  </si>
  <si>
    <t>4D833B3</t>
  </si>
  <si>
    <t>1FCEBEB</t>
  </si>
  <si>
    <t>844AE49</t>
  </si>
  <si>
    <t>E4B6017</t>
  </si>
  <si>
    <t>F7A82A0F</t>
  </si>
  <si>
    <t>F8C3F649</t>
  </si>
  <si>
    <t>FB8BDEDD</t>
  </si>
  <si>
    <t>CE76D5D</t>
  </si>
  <si>
    <t>19133903</t>
  </si>
  <si>
    <t>18A6A2BB</t>
  </si>
  <si>
    <t>BC69AA1</t>
  </si>
  <si>
    <t>E793E2B7</t>
  </si>
  <si>
    <t>1B3AA7A4</t>
  </si>
  <si>
    <t>E1B7AE15</t>
  </si>
  <si>
    <t>E1CB094D</t>
  </si>
  <si>
    <t>E0C57EB4</t>
  </si>
  <si>
    <t>FBCEA07F</t>
  </si>
  <si>
    <t>F9D43AB6</t>
  </si>
  <si>
    <t>64715FF</t>
  </si>
  <si>
    <t>F2EB9334</t>
  </si>
  <si>
    <t>E1894558</t>
  </si>
  <si>
    <t>7C6F7BA</t>
  </si>
  <si>
    <t>E14C3D80</t>
  </si>
  <si>
    <t>FE8C7B97</t>
  </si>
  <si>
    <t>1F5E08D6</t>
  </si>
  <si>
    <t>8753532</t>
  </si>
  <si>
    <t>F86608D2</t>
  </si>
  <si>
    <t>ECB1321C</t>
  </si>
  <si>
    <t>FB6F47C0</t>
  </si>
  <si>
    <t>1C3DE368</t>
  </si>
  <si>
    <t>1BEBECA</t>
  </si>
  <si>
    <t>FC170894</t>
  </si>
  <si>
    <t>7960026</t>
  </si>
  <si>
    <t>E570E3B8</t>
  </si>
  <si>
    <t>E580F54</t>
  </si>
  <si>
    <t>32F348</t>
  </si>
  <si>
    <t>FA052131</t>
  </si>
  <si>
    <t>E3959900</t>
  </si>
  <si>
    <t>EBD5FC4B</t>
  </si>
  <si>
    <t>10D75AAD</t>
  </si>
  <si>
    <t>1A5E7FF2</t>
  </si>
  <si>
    <t>1BCB208E</t>
  </si>
  <si>
    <t>E2EFE9E6</t>
  </si>
  <si>
    <t>5DD459C</t>
  </si>
  <si>
    <t>97CE38C</t>
  </si>
  <si>
    <t>FCBFF0F5</t>
  </si>
  <si>
    <t>A4E9622</t>
  </si>
  <si>
    <t>FA4D1BDC</t>
  </si>
  <si>
    <t>A50F91F</t>
  </si>
  <si>
    <t>1813038</t>
  </si>
  <si>
    <t>EF6C2259</t>
  </si>
  <si>
    <t>13C6A0E</t>
  </si>
  <si>
    <t>164AB70E</t>
  </si>
  <si>
    <t>18E646C4</t>
  </si>
  <si>
    <t>FA83825A</t>
  </si>
  <si>
    <t>E2B4C0F</t>
  </si>
  <si>
    <t>C658533</t>
  </si>
  <si>
    <t>14694FB7</t>
  </si>
  <si>
    <t>ED75103</t>
  </si>
  <si>
    <t>E281F4EB</t>
  </si>
  <si>
    <t>E4757839</t>
  </si>
  <si>
    <t>15ECA19A</t>
  </si>
  <si>
    <t>E5D1CD41</t>
  </si>
  <si>
    <t>F5D49E86</t>
  </si>
  <si>
    <t>1D9880B2</t>
  </si>
  <si>
    <t>44E62B6</t>
  </si>
  <si>
    <t>B11E07C</t>
  </si>
  <si>
    <t>1F6F541A</t>
  </si>
  <si>
    <t>E4ACAFEE</t>
  </si>
  <si>
    <t>F74429F2</t>
  </si>
  <si>
    <t>E4E1470</t>
  </si>
  <si>
    <t>E2837887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</si>
</sst>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00000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F2F2F2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Arial"/>
      <family val="2"/>
    </font>
    <font>
      <b/>
      <sz val="16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BFBFBF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9" fillId="0" borderId="0" applyFont="0" applyFill="0" applyBorder="0" applyAlignment="0" applyProtection="0"/>
  </cellStyleXfs>
  <cellXfs count="143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49" fontId="0" fillId="4" borderId="0" xfId="0" applyNumberFormat="1" applyFill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4" fillId="2" borderId="0" xfId="0" quotePrefix="1" applyFont="1" applyFill="1" applyAlignment="1">
      <alignment horizontal="center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0" borderId="0" xfId="0" quotePrefix="1" applyAlignment="1">
      <alignment wrapText="1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22" fontId="11" fillId="3" borderId="6" xfId="0" applyNumberFormat="1" applyFont="1" applyFill="1" applyBorder="1" applyAlignment="1">
      <alignment horizontal="center"/>
    </xf>
    <xf numFmtId="0" fontId="0" fillId="5" borderId="13" xfId="0" applyFill="1" applyBorder="1" applyAlignment="1" applyProtection="1">
      <alignment horizontal="center"/>
      <protection locked="0"/>
    </xf>
    <xf numFmtId="0" fontId="0" fillId="5" borderId="14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7" borderId="4" xfId="0" quotePrefix="1" applyFill="1" applyBorder="1" applyAlignment="1" applyProtection="1">
      <alignment horizontal="center"/>
      <protection locked="0"/>
    </xf>
    <xf numFmtId="0" fontId="0" fillId="7" borderId="6" xfId="0" quotePrefix="1" applyFill="1" applyBorder="1" applyAlignment="1" applyProtection="1">
      <alignment horizontal="center"/>
      <protection locked="0"/>
    </xf>
    <xf numFmtId="0" fontId="15" fillId="2" borderId="0" xfId="0" applyFont="1" applyFill="1" applyAlignment="1">
      <alignment horizontal="center"/>
    </xf>
    <xf numFmtId="0" fontId="15" fillId="7" borderId="0" xfId="0" applyFont="1" applyFill="1" applyAlignment="1">
      <alignment horizontal="center"/>
    </xf>
    <xf numFmtId="0" fontId="0" fillId="4" borderId="4" xfId="0" applyFill="1" applyBorder="1" applyProtection="1">
      <protection locked="0"/>
    </xf>
    <xf numFmtId="0" fontId="5" fillId="4" borderId="6" xfId="0" applyFont="1" applyFill="1" applyBorder="1" applyProtection="1">
      <protection locked="0"/>
    </xf>
    <xf numFmtId="0" fontId="12" fillId="4" borderId="4" xfId="0" applyFont="1" applyFill="1" applyBorder="1" applyProtection="1">
      <protection locked="0"/>
    </xf>
    <xf numFmtId="0" fontId="12" fillId="4" borderId="2" xfId="0" applyFont="1" applyFill="1" applyBorder="1" applyProtection="1">
      <protection locked="0"/>
    </xf>
    <xf numFmtId="0" fontId="12" fillId="4" borderId="0" xfId="0" applyFont="1" applyFill="1" applyProtection="1">
      <protection locked="0"/>
    </xf>
    <xf numFmtId="0" fontId="5" fillId="4" borderId="4" xfId="0" applyFont="1" applyFill="1" applyBorder="1" applyProtection="1">
      <protection locked="0"/>
    </xf>
    <xf numFmtId="0" fontId="12" fillId="4" borderId="4" xfId="0" applyFont="1" applyFill="1" applyBorder="1" applyAlignment="1" applyProtection="1">
      <alignment horizontal="right"/>
      <protection locked="0"/>
    </xf>
    <xf numFmtId="0" fontId="12" fillId="4" borderId="2" xfId="0" applyFont="1" applyFill="1" applyBorder="1" applyAlignment="1" applyProtection="1">
      <alignment horizontal="right"/>
      <protection locked="0"/>
    </xf>
    <xf numFmtId="0" fontId="12" fillId="4" borderId="4" xfId="0" applyFont="1" applyFill="1" applyBorder="1" applyAlignment="1" applyProtection="1">
      <alignment horizontal="left"/>
      <protection locked="0"/>
    </xf>
    <xf numFmtId="164" fontId="5" fillId="2" borderId="10" xfId="0" applyNumberFormat="1" applyFont="1" applyFill="1" applyBorder="1" applyAlignment="1" applyProtection="1">
      <alignment horizontal="center"/>
      <protection locked="0"/>
    </xf>
    <xf numFmtId="0" fontId="0" fillId="5" borderId="15" xfId="0" applyFill="1" applyBorder="1" applyProtection="1">
      <protection locked="0"/>
    </xf>
    <xf numFmtId="0" fontId="0" fillId="5" borderId="16" xfId="0" applyFill="1" applyBorder="1" applyAlignment="1" applyProtection="1">
      <alignment horizontal="center"/>
      <protection locked="0"/>
    </xf>
    <xf numFmtId="0" fontId="0" fillId="5" borderId="17" xfId="0" applyFill="1" applyBorder="1" applyAlignment="1" applyProtection="1">
      <alignment horizontal="center"/>
      <protection locked="0"/>
    </xf>
    <xf numFmtId="9" fontId="0" fillId="0" borderId="0" xfId="1" applyFont="1" applyFill="1" applyBorder="1"/>
    <xf numFmtId="0" fontId="16" fillId="6" borderId="0" xfId="0" applyFont="1" applyFill="1"/>
    <xf numFmtId="0" fontId="0" fillId="9" borderId="0" xfId="0" applyFill="1"/>
    <xf numFmtId="0" fontId="0" fillId="9" borderId="0" xfId="0" applyFill="1" applyAlignment="1">
      <alignment horizontal="center" wrapText="1"/>
    </xf>
    <xf numFmtId="0" fontId="9" fillId="10" borderId="0" xfId="0" applyFont="1" applyFill="1"/>
    <xf numFmtId="0" fontId="9" fillId="11" borderId="0" xfId="0" applyFont="1" applyFill="1" applyAlignment="1">
      <alignment horizontal="right"/>
    </xf>
    <xf numFmtId="0" fontId="9" fillId="10" borderId="0" xfId="0" applyFont="1" applyFill="1" applyAlignment="1">
      <alignment horizontal="right"/>
    </xf>
    <xf numFmtId="0" fontId="24" fillId="3" borderId="0" xfId="0" applyFont="1" applyFill="1" applyAlignment="1">
      <alignment horizontal="left"/>
    </xf>
    <xf numFmtId="0" fontId="0" fillId="10" borderId="0" xfId="0" applyFill="1"/>
    <xf numFmtId="0" fontId="0" fillId="10" borderId="0" xfId="0" applyFill="1" applyAlignment="1">
      <alignment horizontal="center"/>
    </xf>
    <xf numFmtId="0" fontId="26" fillId="12" borderId="0" xfId="0" applyFont="1" applyFill="1" applyAlignment="1">
      <alignment horizontal="center" vertical="center" wrapText="1"/>
    </xf>
    <xf numFmtId="0" fontId="27" fillId="12" borderId="0" xfId="0" applyFont="1" applyFill="1" applyAlignment="1">
      <alignment horizontal="center" vertical="center" wrapText="1"/>
    </xf>
    <xf numFmtId="0" fontId="9" fillId="13" borderId="0" xfId="0" applyFont="1" applyFill="1" applyAlignment="1">
      <alignment horizontal="right"/>
    </xf>
    <xf numFmtId="9" fontId="9" fillId="7" borderId="0" xfId="1" applyFont="1" applyFill="1" applyAlignment="1">
      <alignment horizontal="center"/>
    </xf>
    <xf numFmtId="9" fontId="9" fillId="0" borderId="0" xfId="1" applyFont="1" applyFill="1" applyBorder="1"/>
    <xf numFmtId="9" fontId="6" fillId="7" borderId="0" xfId="1" applyFont="1" applyFill="1" applyAlignment="1">
      <alignment horizontal="center"/>
    </xf>
    <xf numFmtId="9" fontId="28" fillId="7" borderId="1" xfId="1" applyFont="1" applyFill="1" applyBorder="1" applyAlignment="1">
      <alignment horizontal="center" wrapText="1"/>
    </xf>
    <xf numFmtId="9" fontId="9" fillId="7" borderId="0" xfId="1" quotePrefix="1" applyFont="1" applyFill="1" applyAlignment="1">
      <alignment horizontal="center"/>
    </xf>
    <xf numFmtId="0" fontId="25" fillId="12" borderId="0" xfId="0" applyFont="1" applyFill="1" applyAlignment="1">
      <alignment vertical="center"/>
    </xf>
    <xf numFmtId="0" fontId="2" fillId="8" borderId="9" xfId="0" applyFont="1" applyFill="1" applyBorder="1" applyAlignment="1">
      <alignment horizontal="right"/>
    </xf>
    <xf numFmtId="0" fontId="0" fillId="8" borderId="0" xfId="0" applyFill="1"/>
    <xf numFmtId="14" fontId="5" fillId="2" borderId="0" xfId="0" applyNumberFormat="1" applyFont="1" applyFill="1" applyAlignment="1">
      <alignment horizontal="center"/>
    </xf>
    <xf numFmtId="0" fontId="29" fillId="12" borderId="0" xfId="0" applyFont="1" applyFill="1" applyAlignment="1">
      <alignment horizontal="center" vertical="center" wrapText="1"/>
    </xf>
    <xf numFmtId="22" fontId="0" fillId="7" borderId="0" xfId="0" applyNumberFormat="1" applyFill="1" applyAlignment="1">
      <alignment horizontal="center"/>
    </xf>
    <xf numFmtId="14" fontId="6" fillId="2" borderId="0" xfId="0" applyNumberFormat="1" applyFont="1" applyFill="1" applyAlignment="1">
      <alignment horizontal="right"/>
    </xf>
    <xf numFmtId="0" fontId="12" fillId="4" borderId="1" xfId="0" applyFont="1" applyFill="1" applyBorder="1" applyAlignment="1">
      <alignment horizontal="center" wrapText="1"/>
    </xf>
    <xf numFmtId="0" fontId="0" fillId="5" borderId="18" xfId="0" applyFill="1" applyBorder="1" applyAlignment="1" applyProtection="1">
      <alignment horizontal="center"/>
      <protection locked="0"/>
    </xf>
    <xf numFmtId="0" fontId="0" fillId="5" borderId="19" xfId="0" applyFill="1" applyBorder="1" applyAlignment="1" applyProtection="1">
      <alignment horizontal="center"/>
      <protection locked="0"/>
    </xf>
    <xf numFmtId="0" fontId="0" fillId="4" borderId="2" xfId="0" applyFill="1" applyBorder="1"/>
    <xf numFmtId="0" fontId="0" fillId="4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1" fillId="4" borderId="0" xfId="0" applyFont="1" applyFill="1"/>
    <xf numFmtId="0" fontId="5" fillId="4" borderId="0" xfId="0" applyFont="1" applyFill="1" applyAlignment="1">
      <alignment wrapText="1"/>
    </xf>
    <xf numFmtId="0" fontId="1" fillId="4" borderId="0" xfId="0" applyFont="1" applyFill="1" applyAlignment="1">
      <alignment horizontal="center" wrapText="1"/>
    </xf>
    <xf numFmtId="0" fontId="1" fillId="4" borderId="3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wrapText="1"/>
    </xf>
    <xf numFmtId="0" fontId="1" fillId="4" borderId="2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7" fillId="4" borderId="1" xfId="0" applyFont="1" applyFill="1" applyBorder="1" applyAlignment="1">
      <alignment horizontal="center" wrapText="1"/>
    </xf>
    <xf numFmtId="0" fontId="0" fillId="4" borderId="20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1" fillId="4" borderId="0" xfId="0" applyFont="1" applyFill="1" applyAlignment="1" applyProtection="1">
      <alignment horizontal="left"/>
      <protection locked="0"/>
    </xf>
    <xf numFmtId="0" fontId="12" fillId="4" borderId="6" xfId="0" applyFont="1" applyFill="1" applyBorder="1" applyAlignment="1" applyProtection="1">
      <alignment horizontal="left"/>
      <protection locked="0"/>
    </xf>
    <xf numFmtId="0" fontId="12" fillId="4" borderId="5" xfId="0" applyFont="1" applyFill="1" applyBorder="1" applyAlignment="1">
      <alignment wrapText="1"/>
    </xf>
    <xf numFmtId="0" fontId="6" fillId="7" borderId="0" xfId="1" applyNumberFormat="1" applyFont="1" applyFill="1" applyAlignment="1">
      <alignment horizontal="center"/>
    </xf>
    <xf numFmtId="0" fontId="9" fillId="7" borderId="0" xfId="1" applyNumberFormat="1" applyFont="1" applyFill="1" applyAlignment="1">
      <alignment horizontal="center"/>
    </xf>
    <xf numFmtId="0" fontId="28" fillId="7" borderId="1" xfId="1" applyNumberFormat="1" applyFont="1" applyFill="1" applyBorder="1" applyAlignment="1">
      <alignment horizontal="center" wrapText="1"/>
    </xf>
    <xf numFmtId="0" fontId="9" fillId="7" borderId="0" xfId="1" quotePrefix="1" applyNumberFormat="1" applyFont="1" applyFill="1" applyAlignment="1">
      <alignment horizontal="center"/>
    </xf>
    <xf numFmtId="0" fontId="9" fillId="0" borderId="0" xfId="1" applyNumberFormat="1" applyFont="1" applyFill="1" applyBorder="1"/>
    <xf numFmtId="0" fontId="0" fillId="0" borderId="0" xfId="0" pivotButton="1"/>
    <xf numFmtId="0" fontId="23" fillId="13" borderId="0" xfId="0" applyFont="1" applyFill="1"/>
    <xf numFmtId="0" fontId="21" fillId="11" borderId="0" xfId="0" applyFont="1" applyFill="1"/>
    <xf numFmtId="0" fontId="22" fillId="10" borderId="0" xfId="0" applyFont="1" applyFill="1"/>
    <xf numFmtId="0" fontId="9" fillId="0" borderId="0" xfId="0" applyFont="1" applyAlignment="1">
      <alignment horizontal="right"/>
    </xf>
    <xf numFmtId="0" fontId="12" fillId="2" borderId="1" xfId="0" applyFont="1" applyFill="1" applyBorder="1" applyAlignment="1">
      <alignment horizontal="left"/>
    </xf>
    <xf numFmtId="0" fontId="12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 wrapText="1"/>
    </xf>
    <xf numFmtId="0" fontId="12" fillId="4" borderId="6" xfId="0" applyFont="1" applyFill="1" applyBorder="1" applyAlignment="1" applyProtection="1">
      <alignment horizontal="center"/>
      <protection locked="0"/>
    </xf>
    <xf numFmtId="0" fontId="8" fillId="2" borderId="7" xfId="0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20" fillId="3" borderId="6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wrapText="1"/>
    </xf>
    <xf numFmtId="0" fontId="0" fillId="0" borderId="0" xfId="0" applyNumberFormat="1"/>
  </cellXfs>
  <cellStyles count="2">
    <cellStyle name="Normal" xfId="0" builtinId="0"/>
    <cellStyle name="Percent" xfId="1" builtinId="5"/>
  </cellStyles>
  <dxfs count="46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  <dxf>
      <numFmt numFmtId="0" formatCode="General"/>
    </dxf>
    <dxf>
      <numFmt numFmtId="0" formatCode="General"/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ont>
        <color rgb="FFF2F2F2"/>
      </font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0000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2F2F2"/>
      </font>
    </dxf>
    <dxf>
      <font>
        <color rgb="FFFFFFFF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ont>
        <color rgb="FFFFFFFF"/>
      </font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font>
        <color rgb="FFF2F2F2"/>
      </font>
    </dxf>
    <dxf>
      <font>
        <color rgb="FFFFFFFF"/>
      </font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ont>
        <color rgb="FFF2F2F2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ont>
        <color rgb="FF000000"/>
      </font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ont>
        <color rgb="FFF2F2F2"/>
      </font>
    </dxf>
    <dxf>
      <font>
        <color rgb="FFFFFFFF"/>
      </font>
    </dxf>
    <dxf>
      <font>
        <color rgb="FFF2F2F2"/>
      </font>
    </dxf>
    <dxf>
      <font>
        <color rgb="FF000000"/>
      </font>
    </dxf>
    <dxf>
      <font>
        <color rgb="FFFFFFFF"/>
      </font>
    </dxf>
    <dxf>
      <font>
        <color rgb="FF000000"/>
      </font>
    </dxf>
    <dxf>
      <fill>
        <patternFill>
          <bgColor rgb="FFF2F2F2"/>
        </patternFill>
      </fill>
    </dxf>
    <dxf>
      <font>
        <color rgb="FFF2F2F2"/>
      </font>
    </dxf>
    <dxf>
      <fill>
        <patternFill>
          <bgColor rgb="FFBFBFBF"/>
        </patternFill>
      </fill>
    </dxf>
    <dxf>
      <font>
        <color rgb="FF000000"/>
      </font>
    </dxf>
    <dxf>
      <font>
        <color rgb="FFF2F2F2"/>
      </font>
    </dxf>
    <dxf>
      <font>
        <color rgb="FF000000"/>
      </font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ont>
        <color rgb="FFFFFFFF"/>
      </font>
    </dxf>
    <dxf>
      <font>
        <color rgb="FFF2F2F2"/>
      </font>
    </dxf>
    <dxf>
      <font>
        <color rgb="FFFFFFFF"/>
      </font>
    </dxf>
    <dxf>
      <font>
        <color rgb="FF000000"/>
      </font>
    </dxf>
    <dxf>
      <font>
        <color rgb="FFFFFFFF"/>
      </font>
    </dxf>
    <dxf>
      <fill>
        <patternFill patternType="solid">
          <bgColor rgb="FFFFFFFF"/>
        </patternFill>
      </fill>
    </dxf>
    <dxf>
      <fill>
        <patternFill patternType="solid"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F2F2F2"/>
        </patternFill>
      </fill>
    </dxf>
    <dxf>
      <fill>
        <patternFill>
          <bgColor rgb="FFFFFFF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10/relationships/person" Target="persons/perso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104775</xdr:colOff>
      <xdr:row>0</xdr:row>
      <xdr:rowOff>190500</xdr:rowOff>
    </xdr:from>
    <xdr:to>
      <xdr:col>25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6449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28</xdr:col>
      <xdr:colOff>304800</xdr:colOff>
      <xdr:row>0</xdr:row>
      <xdr:rowOff>209550</xdr:rowOff>
    </xdr:from>
    <xdr:to>
      <xdr:col>28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304800</xdr:colOff>
      <xdr:row>0</xdr:row>
      <xdr:rowOff>104775</xdr:rowOff>
    </xdr:from>
    <xdr:to>
      <xdr:col>28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18669000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95250</xdr:colOff>
      <xdr:row>1</xdr:row>
      <xdr:rowOff>57150</xdr:rowOff>
    </xdr:from>
    <xdr:to>
      <xdr:col>25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 Hall" id="{7BB70C22-A3E9-4ACB-97F0-4EB56A4A47AE}" userId="S::jhall@jgiquality.com::8f6f53ad-669f-42be-b81a-199fcb46f20a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GI" refreshedDate="45183.446624305558" createdVersion="8" refreshedVersion="8" minRefreshableVersion="3" recordCount="39" xr:uid="{93115BCF-7067-41A9-A1A9-FA17397464E0}">
  <cacheSource type="worksheet">
    <worksheetSource ref="A5:B44" sheet="Worksheet"/>
  </cacheSource>
  <cacheFields count="2">
    <cacheField name="Key" numFmtId="0">
      <sharedItems containsMixedTypes="1" containsNumber="1" containsInteger="1" minValue="-533201877" maxValue="526822794" count="108">
        <n v="-231948203"/>
        <n v="-30303541"/>
        <n v="-236979795"/>
        <n v="-118925506"/>
        <n v="-365743965"/>
        <n v="286695292"/>
        <n v="-55344214"/>
        <n v="486644484"/>
        <n v="496180124"/>
        <s v=""/>
        <n v="276562491"/>
        <n v="-306398606"/>
        <n v="-110541820"/>
        <n v="184256789"/>
        <n v="410564501"/>
        <n v="269398838"/>
        <n v="77639596"/>
        <n v="226361642"/>
        <n v="120236181"/>
        <n v="-57753614"/>
        <n v="126680872"/>
        <n v="21873872"/>
        <n v="143224241"/>
        <n v="-360402523"/>
        <n v="-306201852"/>
        <n v="86489172"/>
        <n v="424483030"/>
        <n v="-459222896"/>
        <n v="-86683844"/>
        <n v="308163671"/>
        <n v="135938866"/>
        <n v="36563959"/>
        <n v="-66073833"/>
        <n v="465457095"/>
        <n v="174384610" u="1"/>
        <n v="496692070" u="1"/>
        <n v="236682244" u="1"/>
        <n v="262234357" u="1"/>
        <n v="-172668313" u="1"/>
        <n v="382924314" u="1"/>
        <n v="410868578" u="1"/>
        <n v="-55482732" u="1"/>
        <n v="-417944664" u="1"/>
        <n v="-21486868" u="1"/>
        <n v="-6474445" u="1"/>
        <n v="251385326" u="1"/>
        <n v="-146082280" u="1"/>
        <n v="267957746" u="1"/>
        <n v="-103933429" u="1"/>
        <n v="341390981" u="1"/>
        <n v="-465464144" u="1"/>
        <n v="-83086660" u="1"/>
        <n v="280793810" u="1"/>
        <n v="-139962380" u="1"/>
        <n v="-421364563" u="1"/>
        <n v="-175935206" u="1"/>
        <n v="-181566174" u="1"/>
        <n v="-182569286" u="1"/>
        <n v="330404380" u="1"/>
        <n v="407318084" u="1"/>
        <n v="82324729" u="1"/>
        <n v="-500436185" u="1"/>
        <n v="-480914817" u="1"/>
        <n v="-451075182" u="1"/>
        <n v="349634441" u="1"/>
        <n v="22839348" u="1"/>
        <n v="505942544" u="1"/>
        <n v="-514705909" u="1"/>
        <n v="341193017" u="1"/>
        <n v="-79395897" u="1"/>
        <n v="-7470797" u="1"/>
        <n v="365253862" u="1"/>
        <n v="-203194944" u="1"/>
        <n v="-150401807" u="1"/>
        <n v="440718739" u="1"/>
        <n v="-130603686" u="1"/>
        <n v="-48660987" u="1"/>
        <n v="94988977" u="1"/>
        <n v="-497140906" u="1"/>
        <n v="412275362" u="1"/>
        <n v="174149630" u="1"/>
        <n v="480766842" u="1"/>
        <n v="30288501" u="1"/>
        <n v="486747132" u="1"/>
        <n v="-241015169" u="1"/>
        <n v="258501677" u="1"/>
        <n v="-140695640" u="1"/>
        <n v="-200944627" u="1"/>
        <n v="495477226" u="1"/>
        <n v="-314991830" u="1"/>
        <n v="351166055" u="1"/>
        <n v="-533201877" u="1"/>
        <n v="-246462777" u="1"/>
        <n v="192705586" u="1"/>
        <n v="-367133330" u="1"/>
        <n v="-427630886" u="1"/>
        <n v="-457617973" u="1"/>
        <n v="427068135" u="1"/>
        <n v="270387093" u="1"/>
        <n v="-160627480" u="1"/>
        <n v="32522917" u="1"/>
        <n v="195570049" u="1"/>
        <n v="526822794" u="1"/>
        <n v="261165363" u="1"/>
        <n v="-88135951" u="1"/>
        <n v="-156211742" u="1"/>
        <n v="-396379885" u="1"/>
        <n v="318803657" u="1"/>
      </sharedItems>
    </cacheField>
    <cacheField name="Function" numFmtId="0">
      <sharedItems containsBlank="1" count="13">
        <s v="Insulation"/>
        <s v="Volts AC"/>
        <s v=""/>
        <s v="Volts DC"/>
        <s v="Resistance"/>
        <s v="Capacitance"/>
        <s v="Amps AC"/>
        <s v="Amps DC"/>
        <s v="Temperature"/>
        <m u="1"/>
        <s v="Millivolts DC" u="1"/>
        <s v="Milivolts DC" u="1"/>
        <s v="Diode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</r>
  <r>
    <x v="1"/>
    <x v="1"/>
  </r>
  <r>
    <x v="2"/>
    <x v="1"/>
  </r>
  <r>
    <x v="3"/>
    <x v="1"/>
  </r>
  <r>
    <x v="4"/>
    <x v="1"/>
  </r>
  <r>
    <x v="5"/>
    <x v="1"/>
  </r>
  <r>
    <x v="6"/>
    <x v="1"/>
  </r>
  <r>
    <x v="7"/>
    <x v="1"/>
  </r>
  <r>
    <x v="8"/>
    <x v="1"/>
  </r>
  <r>
    <x v="9"/>
    <x v="2"/>
  </r>
  <r>
    <x v="9"/>
    <x v="2"/>
  </r>
  <r>
    <x v="10"/>
    <x v="3"/>
  </r>
  <r>
    <x v="11"/>
    <x v="3"/>
  </r>
  <r>
    <x v="12"/>
    <x v="3"/>
  </r>
  <r>
    <x v="13"/>
    <x v="3"/>
  </r>
  <r>
    <x v="9"/>
    <x v="2"/>
  </r>
  <r>
    <x v="9"/>
    <x v="2"/>
  </r>
  <r>
    <x v="14"/>
    <x v="3"/>
  </r>
  <r>
    <x v="15"/>
    <x v="3"/>
  </r>
  <r>
    <x v="16"/>
    <x v="3"/>
  </r>
  <r>
    <x v="17"/>
    <x v="4"/>
  </r>
  <r>
    <x v="18"/>
    <x v="4"/>
  </r>
  <r>
    <x v="19"/>
    <x v="5"/>
  </r>
  <r>
    <x v="9"/>
    <x v="2"/>
  </r>
  <r>
    <x v="9"/>
    <x v="2"/>
  </r>
  <r>
    <x v="20"/>
    <x v="3"/>
  </r>
  <r>
    <x v="21"/>
    <x v="6"/>
  </r>
  <r>
    <x v="22"/>
    <x v="6"/>
  </r>
  <r>
    <x v="23"/>
    <x v="6"/>
  </r>
  <r>
    <x v="24"/>
    <x v="6"/>
  </r>
  <r>
    <x v="25"/>
    <x v="6"/>
  </r>
  <r>
    <x v="26"/>
    <x v="7"/>
  </r>
  <r>
    <x v="27"/>
    <x v="7"/>
  </r>
  <r>
    <x v="28"/>
    <x v="7"/>
  </r>
  <r>
    <x v="29"/>
    <x v="7"/>
  </r>
  <r>
    <x v="30"/>
    <x v="7"/>
  </r>
  <r>
    <x v="31"/>
    <x v="8"/>
  </r>
  <r>
    <x v="32"/>
    <x v="8"/>
  </r>
  <r>
    <x v="33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5C6AB6-B4EE-4490-A3B1-3E9568A0833B}" name="PivotTable1" cacheId="1" applyNumberFormats="0" applyBorderFormats="0" applyFontFormats="0" applyPatternFormats="0" applyAlignmentFormats="0" applyWidthHeightFormats="1" dataCaption="Values" updatedVersion="8" minRefreshableVersion="3" showDrill="0" showDataTips="0" useAutoFormatting="1" rowGrandTotals="0" colGrandTotals="0" itemPrintTitles="1" createdVersion="8" indent="0" outline="1" outlineData="1" multipleFieldFilters="0">
  <location ref="A4:A45" firstHeaderRow="1" firstDataRow="1" firstDataCol="1"/>
  <pivotFields count="2">
    <pivotField axis="axisRow" multipleItemSelectionAllowed="1" showAll="0" includeNewItemsInFilter="1">
      <items count="109">
        <item m="1" x="67"/>
        <item m="1" x="61"/>
        <item m="1" x="78"/>
        <item m="1" x="62"/>
        <item m="1" x="96"/>
        <item m="1" x="63"/>
        <item m="1" x="95"/>
        <item m="1" x="94"/>
        <item m="1" x="89"/>
        <item m="1" x="72"/>
        <item m="1" x="87"/>
        <item m="1" x="99"/>
        <item m="1" x="73"/>
        <item m="1" x="76"/>
        <item m="1" x="70"/>
        <item m="1" x="65"/>
        <item m="1" x="82"/>
        <item m="1" x="80"/>
        <item m="1" x="93"/>
        <item m="1" x="101"/>
        <item m="1" x="85"/>
        <item m="1" x="98"/>
        <item m="1" x="107"/>
        <item m="1" x="68"/>
        <item m="1" x="64"/>
        <item m="1" x="71"/>
        <item m="1" x="79"/>
        <item m="1" x="74"/>
        <item m="1" x="81"/>
        <item m="1" x="83"/>
        <item m="1" x="88"/>
        <item m="1" x="66"/>
        <item m="1" x="102"/>
        <item m="1" x="84"/>
        <item m="1" x="77"/>
        <item m="1" x="97"/>
        <item m="1" x="103"/>
        <item m="1" x="69"/>
        <item m="1" x="104"/>
        <item m="1" x="106"/>
        <item m="1" x="75"/>
        <item m="1" x="90"/>
        <item m="1" x="43"/>
        <item m="1" x="44"/>
        <item m="1" x="45"/>
        <item m="1" x="46"/>
        <item m="1" x="47"/>
        <item m="1" x="48"/>
        <item m="1" x="49"/>
        <item m="1" x="92"/>
        <item m="1" x="86"/>
        <item x="19"/>
        <item m="1" x="50"/>
        <item m="1" x="51"/>
        <item m="1" x="91"/>
        <item m="1" x="53"/>
        <item m="1" x="54"/>
        <item m="1" x="55"/>
        <item m="1" x="56"/>
        <item m="1" x="59"/>
        <item m="1" x="58"/>
        <item m="1" x="57"/>
        <item m="1" x="60"/>
        <item x="31"/>
        <item x="32"/>
        <item x="33"/>
        <item m="1" x="100"/>
        <item h="1" x="9"/>
        <item m="1" x="105"/>
        <item x="17"/>
        <item x="18"/>
        <item m="1" x="52"/>
        <item m="1" x="34"/>
        <item m="1" x="35"/>
        <item m="1" x="36"/>
        <item m="1" x="37"/>
        <item m="1" x="38"/>
        <item m="1" x="39"/>
        <item m="1" x="40"/>
        <item m="1" x="41"/>
        <item m="1" x="42"/>
        <item x="0"/>
        <item x="1"/>
        <item x="2"/>
        <item x="3"/>
        <item x="4"/>
        <item x="5"/>
        <item x="6"/>
        <item x="7"/>
        <item x="8"/>
        <item x="10"/>
        <item x="11"/>
        <item x="12"/>
        <item x="13"/>
        <item x="14"/>
        <item x="15"/>
        <item x="16"/>
        <item x="20"/>
        <item x="21"/>
        <item x="22"/>
        <item x="23"/>
        <item x="24"/>
        <item x="25"/>
        <item x="26"/>
        <item x="27"/>
        <item x="28"/>
        <item x="29"/>
        <item x="30"/>
        <item t="default"/>
      </items>
    </pivotField>
    <pivotField axis="axisRow" showAll="0">
      <items count="14">
        <item x="7"/>
        <item x="6"/>
        <item x="8"/>
        <item x="5"/>
        <item m="1" x="12"/>
        <item m="1" x="10"/>
        <item x="4"/>
        <item x="1"/>
        <item x="3"/>
        <item m="1" x="9"/>
        <item m="1" x="11"/>
        <item x="2"/>
        <item x="0"/>
        <item t="default"/>
      </items>
    </pivotField>
  </pivotFields>
  <rowFields count="2">
    <field x="1"/>
    <field x="0"/>
  </rowFields>
  <rowItems count="41">
    <i>
      <x/>
    </i>
    <i r="1">
      <x v="103"/>
    </i>
    <i r="1">
      <x v="104"/>
    </i>
    <i r="1">
      <x v="105"/>
    </i>
    <i r="1">
      <x v="106"/>
    </i>
    <i r="1">
      <x v="107"/>
    </i>
    <i>
      <x v="1"/>
    </i>
    <i r="1">
      <x v="98"/>
    </i>
    <i r="1">
      <x v="99"/>
    </i>
    <i r="1">
      <x v="100"/>
    </i>
    <i r="1">
      <x v="101"/>
    </i>
    <i r="1">
      <x v="102"/>
    </i>
    <i>
      <x v="2"/>
    </i>
    <i r="1">
      <x v="63"/>
    </i>
    <i r="1">
      <x v="64"/>
    </i>
    <i r="1">
      <x v="65"/>
    </i>
    <i>
      <x v="3"/>
    </i>
    <i r="1">
      <x v="51"/>
    </i>
    <i>
      <x v="6"/>
    </i>
    <i r="1">
      <x v="69"/>
    </i>
    <i r="1">
      <x v="70"/>
    </i>
    <i>
      <x v="7"/>
    </i>
    <i r="1">
      <x v="82"/>
    </i>
    <i r="1">
      <x v="83"/>
    </i>
    <i r="1">
      <x v="84"/>
    </i>
    <i r="1">
      <x v="85"/>
    </i>
    <i r="1">
      <x v="86"/>
    </i>
    <i r="1">
      <x v="87"/>
    </i>
    <i r="1">
      <x v="88"/>
    </i>
    <i r="1">
      <x v="89"/>
    </i>
    <i>
      <x v="8"/>
    </i>
    <i r="1">
      <x v="90"/>
    </i>
    <i r="1">
      <x v="91"/>
    </i>
    <i r="1">
      <x v="92"/>
    </i>
    <i r="1">
      <x v="93"/>
    </i>
    <i r="1">
      <x v="94"/>
    </i>
    <i r="1">
      <x v="95"/>
    </i>
    <i r="1">
      <x v="96"/>
    </i>
    <i r="1">
      <x v="97"/>
    </i>
    <i>
      <x v="12"/>
    </i>
    <i r="1">
      <x v="81"/>
    </i>
  </rowItems>
  <colItems count="1">
    <i/>
  </colItems>
  <formats count="458">
    <format dxfId="466">
      <pivotArea dataOnly="0" labelOnly="1" fieldPosition="0">
        <references count="1">
          <reference field="1" count="1">
            <x v="0"/>
          </reference>
        </references>
      </pivotArea>
    </format>
    <format dxfId="465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46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6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462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61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460">
      <pivotArea dataOnly="0" labelOnly="1" fieldPosition="0">
        <references count="1">
          <reference field="1" count="1">
            <x v="1"/>
          </reference>
        </references>
      </pivotArea>
    </format>
    <format dxfId="459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458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457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456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455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454">
      <pivotArea dataOnly="0" labelOnly="1" fieldPosition="0">
        <references count="1">
          <reference field="1" count="1">
            <x v="3"/>
          </reference>
        </references>
      </pivotArea>
    </format>
    <format dxfId="453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52">
      <pivotArea dataOnly="0" labelOnly="1" fieldPosition="0">
        <references count="1">
          <reference field="1" count="1">
            <x v="4"/>
          </reference>
        </references>
      </pivotArea>
    </format>
    <format dxfId="451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50">
      <pivotArea dataOnly="0" labelOnly="1" fieldPosition="0">
        <references count="1">
          <reference field="1" count="1">
            <x v="6"/>
          </reference>
        </references>
      </pivotArea>
    </format>
    <format dxfId="449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448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447">
      <pivotArea dataOnly="0" labelOnly="1" fieldPosition="0">
        <references count="1">
          <reference field="1" count="1">
            <x v="2"/>
          </reference>
        </references>
      </pivotArea>
    </format>
    <format dxfId="446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45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44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43">
      <pivotArea dataOnly="0" labelOnly="1" fieldPosition="0">
        <references count="1">
          <reference field="1" count="1">
            <x v="7"/>
          </reference>
        </references>
      </pivotArea>
    </format>
    <format dxfId="442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441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440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439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438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437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436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435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434">
      <pivotArea dataOnly="0" labelOnly="1" fieldPosition="0">
        <references count="1">
          <reference field="1" count="1">
            <x v="8"/>
          </reference>
        </references>
      </pivotArea>
    </format>
    <format dxfId="433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432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431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430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429">
      <pivotArea dataOnly="0" labelOnly="1" fieldPosition="0">
        <references count="1">
          <reference field="1" count="1">
            <x v="9"/>
          </reference>
        </references>
      </pivotArea>
    </format>
    <format dxfId="428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427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26">
      <pivotArea dataOnly="0" labelOnly="1" fieldPosition="0">
        <references count="1">
          <reference field="1" count="1">
            <x v="10"/>
          </reference>
        </references>
      </pivotArea>
    </format>
    <format dxfId="425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24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23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22">
      <pivotArea dataOnly="0" labelOnly="1" fieldPosition="0">
        <references count="2">
          <reference field="0" count="1">
            <x v="67"/>
          </reference>
          <reference field="1" count="1" selected="0">
            <x v="9"/>
          </reference>
        </references>
      </pivotArea>
    </format>
    <format dxfId="421">
      <pivotArea dataOnly="0" labelOnly="1" fieldPosition="0">
        <references count="1">
          <reference field="1" count="1">
            <x v="10"/>
          </reference>
        </references>
      </pivotArea>
    </format>
    <format dxfId="420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19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18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17">
      <pivotArea dataOnly="0" labelOnly="1" fieldPosition="0">
        <references count="1">
          <reference field="1" count="1">
            <x v="10"/>
          </reference>
        </references>
      </pivotArea>
    </format>
    <format dxfId="416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415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414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413">
      <pivotArea dataOnly="0" labelOnly="1" fieldPosition="0">
        <references count="1">
          <reference field="1" count="1">
            <x v="0"/>
          </reference>
        </references>
      </pivotArea>
    </format>
    <format dxfId="412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11">
      <pivotArea dataOnly="0" labelOnly="1" fieldPosition="0">
        <references count="1">
          <reference field="1" count="1">
            <x v="3"/>
          </reference>
        </references>
      </pivotArea>
    </format>
    <format dxfId="410">
      <pivotArea dataOnly="0" labelOnly="1" fieldPosition="0">
        <references count="1">
          <reference field="1" count="1">
            <x v="0"/>
          </reference>
        </references>
      </pivotArea>
    </format>
    <format dxfId="40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08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407">
      <pivotArea dataOnly="0" labelOnly="1" fieldPosition="0">
        <references count="1">
          <reference field="1" count="1">
            <x v="4"/>
          </reference>
        </references>
      </pivotArea>
    </format>
    <format dxfId="406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405">
      <pivotArea dataOnly="0" labelOnly="1" fieldPosition="0">
        <references count="1">
          <reference field="1" count="1">
            <x v="6"/>
          </reference>
        </references>
      </pivotArea>
    </format>
    <format dxfId="404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40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402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40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400">
      <pivotArea dataOnly="0" labelOnly="1" fieldPosition="0">
        <references count="1">
          <reference field="1" count="1">
            <x v="3"/>
          </reference>
        </references>
      </pivotArea>
    </format>
    <format dxfId="399">
      <pivotArea dataOnly="0" labelOnly="1" fieldPosition="0">
        <references count="1">
          <reference field="1" count="1">
            <x v="3"/>
          </reference>
        </references>
      </pivotArea>
    </format>
    <format dxfId="398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97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6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5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94">
      <pivotArea dataOnly="0" labelOnly="1" fieldPosition="0">
        <references count="1">
          <reference field="1" count="1">
            <x v="4"/>
          </reference>
        </references>
      </pivotArea>
    </format>
    <format dxfId="393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92">
      <pivotArea dataOnly="0" labelOnly="1" fieldPosition="0">
        <references count="1">
          <reference field="1" count="1">
            <x v="6"/>
          </reference>
        </references>
      </pivotArea>
    </format>
    <format dxfId="391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90">
      <pivotArea dataOnly="0" labelOnly="1" fieldPosition="0">
        <references count="1">
          <reference field="1" count="1">
            <x v="3"/>
          </reference>
        </references>
      </pivotArea>
    </format>
    <format dxfId="389">
      <pivotArea dataOnly="0" labelOnly="1" fieldPosition="0">
        <references count="1">
          <reference field="1" count="1">
            <x v="4"/>
          </reference>
        </references>
      </pivotArea>
    </format>
    <format dxfId="388">
      <pivotArea dataOnly="0" labelOnly="1" fieldPosition="0">
        <references count="2">
          <reference field="0" count="1">
            <x v="52"/>
          </reference>
          <reference field="1" count="1" selected="0">
            <x v="4"/>
          </reference>
        </references>
      </pivotArea>
    </format>
    <format dxfId="387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86">
      <pivotArea dataOnly="0" labelOnly="1" fieldPosition="0">
        <references count="1">
          <reference field="1" count="1">
            <x v="7"/>
          </reference>
        </references>
      </pivotArea>
    </format>
    <format dxfId="385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84">
      <pivotArea dataOnly="0" labelOnly="1" fieldPosition="0">
        <references count="1">
          <reference field="1" count="1">
            <x v="8"/>
          </reference>
        </references>
      </pivotArea>
    </format>
    <format dxfId="383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82">
      <pivotArea dataOnly="0" labelOnly="1" fieldPosition="0">
        <references count="1">
          <reference field="1" count="1">
            <x v="9"/>
          </reference>
        </references>
      </pivotArea>
    </format>
    <format dxfId="381">
      <pivotArea dataOnly="0" labelOnly="1" fieldPosition="0">
        <references count="2">
          <reference field="0" count="1">
            <x v="66"/>
          </reference>
          <reference field="1" count="1" selected="0">
            <x v="9"/>
          </reference>
        </references>
      </pivotArea>
    </format>
    <format dxfId="380">
      <pivotArea dataOnly="0" labelOnly="1" fieldPosition="0">
        <references count="1">
          <reference field="1" count="1">
            <x v="10"/>
          </reference>
        </references>
      </pivotArea>
    </format>
    <format dxfId="379">
      <pivotArea dataOnly="0" labelOnly="1" fieldPosition="0">
        <references count="2">
          <reference field="0" count="1">
            <x v="46"/>
          </reference>
          <reference field="1" count="1" selected="0">
            <x v="10"/>
          </reference>
        </references>
      </pivotArea>
    </format>
    <format dxfId="378">
      <pivotArea dataOnly="0" labelOnly="1" fieldPosition="0">
        <references count="2">
          <reference field="0" count="1">
            <x v="47"/>
          </reference>
          <reference field="1" count="1" selected="0">
            <x v="10"/>
          </reference>
        </references>
      </pivotArea>
    </format>
    <format dxfId="377">
      <pivotArea dataOnly="0" labelOnly="1" fieldPosition="0">
        <references count="2">
          <reference field="0" count="1">
            <x v="48"/>
          </reference>
          <reference field="1" count="1" selected="0">
            <x v="10"/>
          </reference>
        </references>
      </pivotArea>
    </format>
    <format dxfId="376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75">
      <pivotArea dataOnly="0" labelOnly="1" fieldPosition="0">
        <references count="1">
          <reference field="1" count="1">
            <x v="7"/>
          </reference>
        </references>
      </pivotArea>
    </format>
    <format dxfId="374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73">
      <pivotArea dataOnly="0" labelOnly="1" fieldPosition="0">
        <references count="1">
          <reference field="1" count="1">
            <x v="8"/>
          </reference>
        </references>
      </pivotArea>
    </format>
    <format dxfId="372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371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370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369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368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367">
      <pivotArea dataOnly="0" labelOnly="1" fieldPosition="0">
        <references count="1">
          <reference field="1" count="1">
            <x v="11"/>
          </reference>
        </references>
      </pivotArea>
    </format>
    <format dxfId="366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6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64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63">
      <pivotArea type="all" dataOnly="0" outline="0" fieldPosition="0"/>
    </format>
    <format dxfId="362">
      <pivotArea field="1" type="button" dataOnly="0" labelOnly="1" outline="0" axis="axisRow" fieldPosition="0"/>
    </format>
    <format dxfId="361">
      <pivotArea dataOnly="0" labelOnly="1" fieldPosition="0">
        <references count="1">
          <reference field="1" count="0"/>
        </references>
      </pivotArea>
    </format>
    <format dxfId="360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59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58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57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56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55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54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53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52">
      <pivotArea type="all" dataOnly="0" outline="0" fieldPosition="0"/>
    </format>
    <format dxfId="351">
      <pivotArea field="1" type="button" dataOnly="0" labelOnly="1" outline="0" axis="axisRow" fieldPosition="0"/>
    </format>
    <format dxfId="350">
      <pivotArea dataOnly="0" labelOnly="1" fieldPosition="0">
        <references count="1">
          <reference field="1" count="0"/>
        </references>
      </pivotArea>
    </format>
    <format dxfId="349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48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47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46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45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44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43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42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41">
      <pivotArea type="all" dataOnly="0" outline="0" fieldPosition="0"/>
    </format>
    <format dxfId="340">
      <pivotArea field="1" type="button" dataOnly="0" labelOnly="1" outline="0" axis="axisRow" fieldPosition="0"/>
    </format>
    <format dxfId="339">
      <pivotArea dataOnly="0" labelOnly="1" fieldPosition="0">
        <references count="1">
          <reference field="1" count="0"/>
        </references>
      </pivotArea>
    </format>
    <format dxfId="338">
      <pivotArea dataOnly="0" labelOnly="1" fieldPosition="0">
        <references count="2">
          <reference field="0" count="5">
            <x v="58"/>
            <x v="59"/>
            <x v="60"/>
            <x v="61"/>
            <x v="62"/>
          </reference>
          <reference field="1" count="1" selected="0">
            <x v="0"/>
          </reference>
        </references>
      </pivotArea>
    </format>
    <format dxfId="337">
      <pivotArea dataOnly="0" labelOnly="1" fieldPosition="0">
        <references count="2">
          <reference field="0" count="5">
            <x v="53"/>
            <x v="54"/>
            <x v="55"/>
            <x v="56"/>
            <x v="57"/>
          </reference>
          <reference field="1" count="1" selected="0">
            <x v="1"/>
          </reference>
        </references>
      </pivotArea>
    </format>
    <format dxfId="336">
      <pivotArea dataOnly="0" labelOnly="1" fieldPosition="0">
        <references count="2">
          <reference field="0" count="3">
            <x v="63"/>
            <x v="64"/>
            <x v="65"/>
          </reference>
          <reference field="1" count="1" selected="0">
            <x v="2"/>
          </reference>
        </references>
      </pivotArea>
    </format>
    <format dxfId="33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34">
      <pivotArea dataOnly="0" labelOnly="1" fieldPosition="0">
        <references count="2">
          <reference field="0" count="2">
            <x v="49"/>
            <x v="50"/>
          </reference>
          <reference field="1" count="1" selected="0">
            <x v="6"/>
          </reference>
        </references>
      </pivotArea>
    </format>
    <format dxfId="333">
      <pivotArea dataOnly="0" labelOnly="1" fieldPosition="0">
        <references count="2">
          <reference field="0" count="8">
            <x v="34"/>
            <x v="35"/>
            <x v="36"/>
            <x v="37"/>
            <x v="38"/>
            <x v="39"/>
            <x v="40"/>
            <x v="41"/>
          </reference>
          <reference field="1" count="1" selected="0">
            <x v="7"/>
          </reference>
        </references>
      </pivotArea>
    </format>
    <format dxfId="332">
      <pivotArea dataOnly="0" labelOnly="1" fieldPosition="0">
        <references count="2">
          <reference field="0" count="8">
            <x v="42"/>
            <x v="43"/>
            <x v="44"/>
            <x v="45"/>
            <x v="46"/>
            <x v="47"/>
            <x v="48"/>
            <x v="52"/>
          </reference>
          <reference field="1" count="1" selected="0">
            <x v="8"/>
          </reference>
        </references>
      </pivotArea>
    </format>
    <format dxfId="331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330">
      <pivotArea dataOnly="0" labelOnly="1" fieldPosition="0">
        <references count="1">
          <reference field="1" count="1">
            <x v="0"/>
          </reference>
        </references>
      </pivotArea>
    </format>
    <format dxfId="329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328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32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326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325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324">
      <pivotArea dataOnly="0" labelOnly="1" fieldPosition="0">
        <references count="1">
          <reference field="1" count="1">
            <x v="1"/>
          </reference>
        </references>
      </pivotArea>
    </format>
    <format dxfId="323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322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321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320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319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318">
      <pivotArea dataOnly="0" labelOnly="1" fieldPosition="0">
        <references count="1">
          <reference field="1" count="1">
            <x v="2"/>
          </reference>
        </references>
      </pivotArea>
    </format>
    <format dxfId="317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316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315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314">
      <pivotArea dataOnly="0" labelOnly="1" fieldPosition="0">
        <references count="1">
          <reference field="1" count="1">
            <x v="3"/>
          </reference>
        </references>
      </pivotArea>
    </format>
    <format dxfId="313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312">
      <pivotArea dataOnly="0" labelOnly="1" fieldPosition="0">
        <references count="1">
          <reference field="1" count="1">
            <x v="6"/>
          </reference>
        </references>
      </pivotArea>
    </format>
    <format dxfId="311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310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309">
      <pivotArea dataOnly="0" labelOnly="1" fieldPosition="0">
        <references count="1">
          <reference field="1" count="1">
            <x v="7"/>
          </reference>
        </references>
      </pivotArea>
    </format>
    <format dxfId="308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307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306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305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304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303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302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301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300">
      <pivotArea dataOnly="0" labelOnly="1" fieldPosition="0">
        <references count="1">
          <reference field="1" count="1">
            <x v="8"/>
          </reference>
        </references>
      </pivotArea>
    </format>
    <format dxfId="299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98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97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96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95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94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93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92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91">
      <pivotArea dataOnly="0" labelOnly="1" fieldPosition="0">
        <references count="1">
          <reference field="1" count="1">
            <x v="11"/>
          </reference>
        </references>
      </pivotArea>
    </format>
    <format dxfId="290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89">
      <pivotArea dataOnly="0" labelOnly="1" fieldPosition="0">
        <references count="1">
          <reference field="1" count="1">
            <x v="0"/>
          </reference>
        </references>
      </pivotArea>
    </format>
    <format dxfId="288">
      <pivotArea dataOnly="0" labelOnly="1" fieldPosition="0">
        <references count="1">
          <reference field="1" count="1">
            <x v="0"/>
          </reference>
        </references>
      </pivotArea>
    </format>
    <format dxfId="287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86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8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8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8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8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81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80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79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78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77">
      <pivotArea dataOnly="0" labelOnly="1" fieldPosition="0">
        <references count="1">
          <reference field="1" count="1">
            <x v="1"/>
          </reference>
        </references>
      </pivotArea>
    </format>
    <format dxfId="276">
      <pivotArea dataOnly="0" labelOnly="1" fieldPosition="0">
        <references count="1">
          <reference field="1" count="1">
            <x v="1"/>
          </reference>
        </references>
      </pivotArea>
    </format>
    <format dxfId="275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74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273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72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271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70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269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68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267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6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265">
      <pivotArea dataOnly="0" labelOnly="1" fieldPosition="0">
        <references count="1">
          <reference field="1" count="1">
            <x v="2"/>
          </reference>
        </references>
      </pivotArea>
    </format>
    <format dxfId="264">
      <pivotArea dataOnly="0" labelOnly="1" fieldPosition="0">
        <references count="1">
          <reference field="1" count="1">
            <x v="2"/>
          </reference>
        </references>
      </pivotArea>
    </format>
    <format dxfId="263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62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261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60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259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58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257">
      <pivotArea dataOnly="0" labelOnly="1" fieldPosition="0">
        <references count="1">
          <reference field="1" count="1">
            <x v="3"/>
          </reference>
        </references>
      </pivotArea>
    </format>
    <format dxfId="256">
      <pivotArea dataOnly="0" labelOnly="1" fieldPosition="0">
        <references count="1">
          <reference field="1" count="1">
            <x v="3"/>
          </reference>
        </references>
      </pivotArea>
    </format>
    <format dxfId="255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54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253">
      <pivotArea dataOnly="0" labelOnly="1" fieldPosition="0">
        <references count="1">
          <reference field="1" count="1">
            <x v="6"/>
          </reference>
        </references>
      </pivotArea>
    </format>
    <format dxfId="252">
      <pivotArea dataOnly="0" labelOnly="1" fieldPosition="0">
        <references count="1">
          <reference field="1" count="1">
            <x v="6"/>
          </reference>
        </references>
      </pivotArea>
    </format>
    <format dxfId="251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50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249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48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247">
      <pivotArea dataOnly="0" labelOnly="1" fieldPosition="0">
        <references count="1">
          <reference field="1" count="1">
            <x v="7"/>
          </reference>
        </references>
      </pivotArea>
    </format>
    <format dxfId="246">
      <pivotArea dataOnly="0" labelOnly="1" fieldPosition="0">
        <references count="1">
          <reference field="1" count="1">
            <x v="7"/>
          </reference>
        </references>
      </pivotArea>
    </format>
    <format dxfId="245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44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243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42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241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40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239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38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237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36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235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34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233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32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231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30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229">
      <pivotArea dataOnly="0" labelOnly="1" fieldPosition="0">
        <references count="1">
          <reference field="1" count="1">
            <x v="8"/>
          </reference>
        </references>
      </pivotArea>
    </format>
    <format dxfId="228">
      <pivotArea dataOnly="0" labelOnly="1" fieldPosition="0">
        <references count="1">
          <reference field="1" count="1">
            <x v="8"/>
          </reference>
        </references>
      </pivotArea>
    </format>
    <format dxfId="227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26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225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24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223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22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221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20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219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18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217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16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215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14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213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12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211">
      <pivotArea dataOnly="0" labelOnly="1" fieldPosition="0">
        <references count="1">
          <reference field="1" count="1">
            <x v="11"/>
          </reference>
        </references>
      </pivotArea>
    </format>
    <format dxfId="210">
      <pivotArea dataOnly="0" labelOnly="1" fieldPosition="0">
        <references count="1">
          <reference field="1" count="1">
            <x v="11"/>
          </reference>
        </references>
      </pivotArea>
    </format>
    <format dxfId="209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08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207">
      <pivotArea dataOnly="0" labelOnly="1" fieldPosition="0">
        <references count="1">
          <reference field="1" count="1">
            <x v="0"/>
          </reference>
        </references>
      </pivotArea>
    </format>
    <format dxfId="206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205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20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203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202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201">
      <pivotArea dataOnly="0" labelOnly="1" fieldPosition="0">
        <references count="1">
          <reference field="1" count="1">
            <x v="1"/>
          </reference>
        </references>
      </pivotArea>
    </format>
    <format dxfId="200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99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98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97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96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95">
      <pivotArea dataOnly="0" labelOnly="1" fieldPosition="0">
        <references count="1">
          <reference field="1" count="1">
            <x v="2"/>
          </reference>
        </references>
      </pivotArea>
    </format>
    <format dxfId="194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193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192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191">
      <pivotArea dataOnly="0" labelOnly="1" fieldPosition="0">
        <references count="1">
          <reference field="1" count="1">
            <x v="3"/>
          </reference>
        </references>
      </pivotArea>
    </format>
    <format dxfId="190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189">
      <pivotArea dataOnly="0" labelOnly="1" fieldPosition="0">
        <references count="1">
          <reference field="1" count="1">
            <x v="6"/>
          </reference>
        </references>
      </pivotArea>
    </format>
    <format dxfId="188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87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86">
      <pivotArea dataOnly="0" labelOnly="1" fieldPosition="0">
        <references count="1">
          <reference field="1" count="1">
            <x v="7"/>
          </reference>
        </references>
      </pivotArea>
    </format>
    <format dxfId="185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84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83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82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81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80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79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78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77">
      <pivotArea dataOnly="0" labelOnly="1" fieldPosition="0">
        <references count="1">
          <reference field="1" count="1">
            <x v="8"/>
          </reference>
        </references>
      </pivotArea>
    </format>
    <format dxfId="176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175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174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173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172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171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170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169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168">
      <pivotArea dataOnly="0" labelOnly="1" fieldPosition="0">
        <references count="1">
          <reference field="1" count="1">
            <x v="11"/>
          </reference>
        </references>
      </pivotArea>
    </format>
    <format dxfId="167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66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4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3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62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60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8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7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6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5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4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3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2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51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50">
      <pivotArea dataOnly="0" labelOnly="1" fieldPosition="0">
        <references count="2">
          <reference field="0" count="1">
            <x v="54"/>
          </reference>
          <reference field="1" count="1" selected="0">
            <x v="1"/>
          </reference>
        </references>
      </pivotArea>
    </format>
    <format dxfId="149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48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47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46">
      <pivotArea dataOnly="0" labelOnly="1" fieldPosition="0">
        <references count="2">
          <reference field="0" count="1">
            <x v="49"/>
          </reference>
          <reference field="1" count="1" selected="0">
            <x v="6"/>
          </reference>
        </references>
      </pivotArea>
    </format>
    <format dxfId="145">
      <pivotArea dataOnly="0" labelOnly="1" fieldPosition="0">
        <references count="2">
          <reference field="0" count="1">
            <x v="50"/>
          </reference>
          <reference field="1" count="1" selected="0">
            <x v="6"/>
          </reference>
        </references>
      </pivotArea>
    </format>
    <format dxfId="144">
      <pivotArea dataOnly="0" labelOnly="1" fieldPosition="0">
        <references count="2">
          <reference field="0" count="1">
            <x v="36"/>
          </reference>
          <reference field="1" count="1" selected="0">
            <x v="7"/>
          </reference>
        </references>
      </pivotArea>
    </format>
    <format dxfId="143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42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41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40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39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38">
      <pivotArea dataOnly="0" labelOnly="1" fieldPosition="0">
        <references count="1">
          <reference field="1" count="1">
            <x v="11"/>
          </reference>
        </references>
      </pivotArea>
    </format>
    <format dxfId="137">
      <pivotArea dataOnly="0" labelOnly="1" fieldPosition="0">
        <references count="2">
          <reference field="0" count="1">
            <x v="66"/>
          </reference>
          <reference field="1" count="1" selected="0">
            <x v="11"/>
          </reference>
        </references>
      </pivotArea>
    </format>
    <format dxfId="136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35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34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33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32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131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130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29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28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27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26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25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24">
      <pivotArea dataOnly="0" labelOnly="1" fieldPosition="0">
        <references count="1">
          <reference field="1" count="1">
            <x v="12"/>
          </reference>
        </references>
      </pivotArea>
    </format>
    <format dxfId="123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22">
      <pivotArea dataOnly="0" labelOnly="1" fieldPosition="0">
        <references count="2">
          <reference field="0" count="8">
            <x v="34"/>
            <x v="35"/>
            <x v="37"/>
            <x v="38"/>
            <x v="39"/>
            <x v="40"/>
            <x v="41"/>
            <x v="68"/>
          </reference>
          <reference field="1" count="1" selected="0">
            <x v="7"/>
          </reference>
        </references>
      </pivotArea>
    </format>
    <format dxfId="121">
      <pivotArea dataOnly="0" labelOnly="1" fieldPosition="0">
        <references count="2">
          <reference field="0" count="1">
            <x v="34"/>
          </reference>
          <reference field="1" count="1" selected="0">
            <x v="7"/>
          </reference>
        </references>
      </pivotArea>
    </format>
    <format dxfId="120">
      <pivotArea dataOnly="0" labelOnly="1" fieldPosition="0">
        <references count="2">
          <reference field="0" count="1">
            <x v="35"/>
          </reference>
          <reference field="1" count="1" selected="0">
            <x v="7"/>
          </reference>
        </references>
      </pivotArea>
    </format>
    <format dxfId="119">
      <pivotArea dataOnly="0" labelOnly="1" fieldPosition="0">
        <references count="2">
          <reference field="0" count="1">
            <x v="37"/>
          </reference>
          <reference field="1" count="1" selected="0">
            <x v="7"/>
          </reference>
        </references>
      </pivotArea>
    </format>
    <format dxfId="118">
      <pivotArea dataOnly="0" labelOnly="1" fieldPosition="0">
        <references count="2">
          <reference field="0" count="1">
            <x v="38"/>
          </reference>
          <reference field="1" count="1" selected="0">
            <x v="7"/>
          </reference>
        </references>
      </pivotArea>
    </format>
    <format dxfId="117">
      <pivotArea dataOnly="0" labelOnly="1" fieldPosition="0">
        <references count="2">
          <reference field="0" count="1">
            <x v="39"/>
          </reference>
          <reference field="1" count="1" selected="0">
            <x v="7"/>
          </reference>
        </references>
      </pivotArea>
    </format>
    <format dxfId="116">
      <pivotArea dataOnly="0" labelOnly="1" fieldPosition="0">
        <references count="2">
          <reference field="0" count="1">
            <x v="40"/>
          </reference>
          <reference field="1" count="1" selected="0">
            <x v="7"/>
          </reference>
        </references>
      </pivotArea>
    </format>
    <format dxfId="115">
      <pivotArea dataOnly="0" labelOnly="1" fieldPosition="0">
        <references count="2">
          <reference field="0" count="1">
            <x v="41"/>
          </reference>
          <reference field="1" count="1" selected="0">
            <x v="7"/>
          </reference>
        </references>
      </pivotArea>
    </format>
    <format dxfId="114">
      <pivotArea dataOnly="0" labelOnly="1" fieldPosition="0">
        <references count="2">
          <reference field="0" count="1">
            <x v="68"/>
          </reference>
          <reference field="1" count="1" selected="0">
            <x v="7"/>
          </reference>
        </references>
      </pivotArea>
    </format>
    <format dxfId="113">
      <pivotArea dataOnly="0" labelOnly="1" fieldPosition="0">
        <references count="2">
          <reference field="0" count="1">
            <x v="66"/>
          </reference>
          <reference field="1" count="1" selected="0">
            <x v="12"/>
          </reference>
        </references>
      </pivotArea>
    </format>
    <format dxfId="112">
      <pivotArea dataOnly="0" labelOnly="1" fieldPosition="0">
        <references count="2">
          <reference field="0" count="1">
            <x v="58"/>
          </reference>
          <reference field="1" count="1" selected="0">
            <x v="0"/>
          </reference>
        </references>
      </pivotArea>
    </format>
    <format dxfId="111">
      <pivotArea dataOnly="0" labelOnly="1" fieldPosition="0">
        <references count="2">
          <reference field="0" count="1">
            <x v="59"/>
          </reference>
          <reference field="1" count="1" selected="0">
            <x v="0"/>
          </reference>
        </references>
      </pivotArea>
    </format>
    <format dxfId="110">
      <pivotArea dataOnly="0" labelOnly="1" fieldPosition="0">
        <references count="2">
          <reference field="0" count="1">
            <x v="60"/>
          </reference>
          <reference field="1" count="1" selected="0">
            <x v="0"/>
          </reference>
        </references>
      </pivotArea>
    </format>
    <format dxfId="109">
      <pivotArea dataOnly="0" labelOnly="1" fieldPosition="0">
        <references count="2">
          <reference field="0" count="1">
            <x v="61"/>
          </reference>
          <reference field="1" count="1" selected="0">
            <x v="0"/>
          </reference>
        </references>
      </pivotArea>
    </format>
    <format dxfId="108">
      <pivotArea dataOnly="0" labelOnly="1" fieldPosition="0">
        <references count="2">
          <reference field="0" count="1">
            <x v="62"/>
          </reference>
          <reference field="1" count="1" selected="0">
            <x v="0"/>
          </reference>
        </references>
      </pivotArea>
    </format>
    <format dxfId="107">
      <pivotArea dataOnly="0" labelOnly="1" fieldPosition="0">
        <references count="2">
          <reference field="0" count="1">
            <x v="53"/>
          </reference>
          <reference field="1" count="1" selected="0">
            <x v="1"/>
          </reference>
        </references>
      </pivotArea>
    </format>
    <format dxfId="106">
      <pivotArea dataOnly="0" labelOnly="1" fieldPosition="0">
        <references count="2">
          <reference field="0" count="1">
            <x v="55"/>
          </reference>
          <reference field="1" count="1" selected="0">
            <x v="1"/>
          </reference>
        </references>
      </pivotArea>
    </format>
    <format dxfId="105">
      <pivotArea dataOnly="0" labelOnly="1" fieldPosition="0">
        <references count="2">
          <reference field="0" count="1">
            <x v="56"/>
          </reference>
          <reference field="1" count="1" selected="0">
            <x v="1"/>
          </reference>
        </references>
      </pivotArea>
    </format>
    <format dxfId="104">
      <pivotArea dataOnly="0" labelOnly="1" fieldPosition="0">
        <references count="2">
          <reference field="0" count="1">
            <x v="57"/>
          </reference>
          <reference field="1" count="1" selected="0">
            <x v="1"/>
          </reference>
        </references>
      </pivotArea>
    </format>
    <format dxfId="103">
      <pivotArea dataOnly="0" labelOnly="1" fieldPosition="0">
        <references count="2">
          <reference field="0" count="1">
            <x v="71"/>
          </reference>
          <reference field="1" count="1" selected="0">
            <x v="1"/>
          </reference>
        </references>
      </pivotArea>
    </format>
    <format dxfId="102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01">
      <pivotArea dataOnly="0" labelOnly="1" fieldPosition="0">
        <references count="2">
          <reference field="0" count="1">
            <x v="73"/>
          </reference>
          <reference field="1" count="1" selected="0">
            <x v="7"/>
          </reference>
        </references>
      </pivotArea>
    </format>
    <format dxfId="100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99">
      <pivotArea dataOnly="0" labelOnly="1" fieldPosition="0">
        <references count="2">
          <reference field="0" count="1">
            <x v="74"/>
          </reference>
          <reference field="1" count="1" selected="0">
            <x v="7"/>
          </reference>
        </references>
      </pivotArea>
    </format>
    <format dxfId="98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97">
      <pivotArea dataOnly="0" labelOnly="1" fieldPosition="0">
        <references count="2">
          <reference field="0" count="1">
            <x v="75"/>
          </reference>
          <reference field="1" count="1" selected="0">
            <x v="7"/>
          </reference>
        </references>
      </pivotArea>
    </format>
    <format dxfId="96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95">
      <pivotArea dataOnly="0" labelOnly="1" fieldPosition="0">
        <references count="2">
          <reference field="0" count="1">
            <x v="76"/>
          </reference>
          <reference field="1" count="1" selected="0">
            <x v="7"/>
          </reference>
        </references>
      </pivotArea>
    </format>
    <format dxfId="94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93">
      <pivotArea dataOnly="0" labelOnly="1" fieldPosition="0">
        <references count="2">
          <reference field="0" count="1">
            <x v="77"/>
          </reference>
          <reference field="1" count="1" selected="0">
            <x v="7"/>
          </reference>
        </references>
      </pivotArea>
    </format>
    <format dxfId="92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91">
      <pivotArea dataOnly="0" labelOnly="1" fieldPosition="0">
        <references count="2">
          <reference field="0" count="1">
            <x v="78"/>
          </reference>
          <reference field="1" count="1" selected="0">
            <x v="7"/>
          </reference>
        </references>
      </pivotArea>
    </format>
    <format dxfId="90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89">
      <pivotArea dataOnly="0" labelOnly="1" fieldPosition="0">
        <references count="2">
          <reference field="0" count="1">
            <x v="79"/>
          </reference>
          <reference field="1" count="1" selected="0">
            <x v="7"/>
          </reference>
        </references>
      </pivotArea>
    </format>
    <format dxfId="88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87">
      <pivotArea dataOnly="0" labelOnly="1" fieldPosition="0">
        <references count="2">
          <reference field="0" count="1">
            <x v="80"/>
          </reference>
          <reference field="1" count="1" selected="0">
            <x v="7"/>
          </reference>
        </references>
      </pivotArea>
    </format>
    <format dxfId="86">
      <pivotArea dataOnly="0" labelOnly="1" fieldPosition="0">
        <references count="2">
          <reference field="0" count="1">
            <x v="42"/>
          </reference>
          <reference field="1" count="1" selected="0">
            <x v="8"/>
          </reference>
        </references>
      </pivotArea>
    </format>
    <format dxfId="85">
      <pivotArea dataOnly="0" labelOnly="1" fieldPosition="0">
        <references count="2">
          <reference field="0" count="1">
            <x v="43"/>
          </reference>
          <reference field="1" count="1" selected="0">
            <x v="8"/>
          </reference>
        </references>
      </pivotArea>
    </format>
    <format dxfId="84">
      <pivotArea dataOnly="0" labelOnly="1" fieldPosition="0">
        <references count="2">
          <reference field="0" count="1">
            <x v="44"/>
          </reference>
          <reference field="1" count="1" selected="0">
            <x v="8"/>
          </reference>
        </references>
      </pivotArea>
    </format>
    <format dxfId="83">
      <pivotArea dataOnly="0" labelOnly="1" fieldPosition="0">
        <references count="2">
          <reference field="0" count="1">
            <x v="45"/>
          </reference>
          <reference field="1" count="1" selected="0">
            <x v="8"/>
          </reference>
        </references>
      </pivotArea>
    </format>
    <format dxfId="82">
      <pivotArea dataOnly="0" labelOnly="1" fieldPosition="0">
        <references count="2">
          <reference field="0" count="1">
            <x v="46"/>
          </reference>
          <reference field="1" count="1" selected="0">
            <x v="8"/>
          </reference>
        </references>
      </pivotArea>
    </format>
    <format dxfId="81">
      <pivotArea dataOnly="0" labelOnly="1" fieldPosition="0">
        <references count="2">
          <reference field="0" count="1">
            <x v="47"/>
          </reference>
          <reference field="1" count="1" selected="0">
            <x v="8"/>
          </reference>
        </references>
      </pivotArea>
    </format>
    <format dxfId="80">
      <pivotArea dataOnly="0" labelOnly="1" fieldPosition="0">
        <references count="2">
          <reference field="0" count="1">
            <x v="48"/>
          </reference>
          <reference field="1" count="1" selected="0">
            <x v="8"/>
          </reference>
        </references>
      </pivotArea>
    </format>
    <format dxfId="79">
      <pivotArea dataOnly="0" labelOnly="1" fieldPosition="0">
        <references count="2">
          <reference field="0" count="1">
            <x v="52"/>
          </reference>
          <reference field="1" count="1" selected="0">
            <x v="8"/>
          </reference>
        </references>
      </pivotArea>
    </format>
    <format dxfId="78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  <format dxfId="77">
      <pivotArea dataOnly="0" labelOnly="1" fieldPosition="0">
        <references count="2">
          <reference field="0" count="1">
            <x v="72"/>
          </reference>
          <reference field="1" count="1" selected="0">
            <x v="12"/>
          </reference>
        </references>
      </pivotArea>
    </format>
    <format dxfId="76">
      <pivotArea dataOnly="0" labelOnly="1" fieldPosition="0">
        <references count="1">
          <reference field="1" count="1">
            <x v="0"/>
          </reference>
        </references>
      </pivotArea>
    </format>
    <format dxfId="75">
      <pivotArea dataOnly="0" labelOnly="1" fieldPosition="0">
        <references count="2">
          <reference field="0" count="1">
            <x v="103"/>
          </reference>
          <reference field="1" count="1" selected="0">
            <x v="0"/>
          </reference>
        </references>
      </pivotArea>
    </format>
    <format dxfId="74">
      <pivotArea dataOnly="0" labelOnly="1" fieldPosition="0">
        <references count="2">
          <reference field="0" count="1">
            <x v="103"/>
          </reference>
          <reference field="1" count="1" selected="0">
            <x v="0"/>
          </reference>
        </references>
      </pivotArea>
    </format>
    <format dxfId="73">
      <pivotArea dataOnly="0" labelOnly="1" fieldPosition="0">
        <references count="2">
          <reference field="0" count="1">
            <x v="104"/>
          </reference>
          <reference field="1" count="1" selected="0">
            <x v="0"/>
          </reference>
        </references>
      </pivotArea>
    </format>
    <format dxfId="72">
      <pivotArea dataOnly="0" labelOnly="1" fieldPosition="0">
        <references count="2">
          <reference field="0" count="1">
            <x v="104"/>
          </reference>
          <reference field="1" count="1" selected="0">
            <x v="0"/>
          </reference>
        </references>
      </pivotArea>
    </format>
    <format dxfId="71">
      <pivotArea dataOnly="0" labelOnly="1" fieldPosition="0">
        <references count="2">
          <reference field="0" count="1">
            <x v="105"/>
          </reference>
          <reference field="1" count="1" selected="0">
            <x v="0"/>
          </reference>
        </references>
      </pivotArea>
    </format>
    <format dxfId="70">
      <pivotArea dataOnly="0" labelOnly="1" fieldPosition="0">
        <references count="2">
          <reference field="0" count="1">
            <x v="105"/>
          </reference>
          <reference field="1" count="1" selected="0">
            <x v="0"/>
          </reference>
        </references>
      </pivotArea>
    </format>
    <format dxfId="69">
      <pivotArea dataOnly="0" labelOnly="1" fieldPosition="0">
        <references count="2">
          <reference field="0" count="1">
            <x v="106"/>
          </reference>
          <reference field="1" count="1" selected="0">
            <x v="0"/>
          </reference>
        </references>
      </pivotArea>
    </format>
    <format dxfId="68">
      <pivotArea dataOnly="0" labelOnly="1" fieldPosition="0">
        <references count="2">
          <reference field="0" count="1">
            <x v="106"/>
          </reference>
          <reference field="1" count="1" selected="0">
            <x v="0"/>
          </reference>
        </references>
      </pivotArea>
    </format>
    <format dxfId="67">
      <pivotArea dataOnly="0" labelOnly="1" fieldPosition="0">
        <references count="2">
          <reference field="0" count="1">
            <x v="107"/>
          </reference>
          <reference field="1" count="1" selected="0">
            <x v="0"/>
          </reference>
        </references>
      </pivotArea>
    </format>
    <format dxfId="66">
      <pivotArea dataOnly="0" labelOnly="1" fieldPosition="0">
        <references count="2">
          <reference field="0" count="1">
            <x v="107"/>
          </reference>
          <reference field="1" count="1" selected="0">
            <x v="0"/>
          </reference>
        </references>
      </pivotArea>
    </format>
    <format dxfId="65">
      <pivotArea dataOnly="0" labelOnly="1" fieldPosition="0">
        <references count="1">
          <reference field="1" count="1">
            <x v="1"/>
          </reference>
        </references>
      </pivotArea>
    </format>
    <format dxfId="64">
      <pivotArea dataOnly="0" labelOnly="1" fieldPosition="0">
        <references count="2">
          <reference field="0" count="1">
            <x v="98"/>
          </reference>
          <reference field="1" count="1" selected="0">
            <x v="1"/>
          </reference>
        </references>
      </pivotArea>
    </format>
    <format dxfId="63">
      <pivotArea dataOnly="0" labelOnly="1" fieldPosition="0">
        <references count="2">
          <reference field="0" count="1">
            <x v="98"/>
          </reference>
          <reference field="1" count="1" selected="0">
            <x v="1"/>
          </reference>
        </references>
      </pivotArea>
    </format>
    <format dxfId="62">
      <pivotArea dataOnly="0" labelOnly="1" fieldPosition="0">
        <references count="2">
          <reference field="0" count="1">
            <x v="99"/>
          </reference>
          <reference field="1" count="1" selected="0">
            <x v="1"/>
          </reference>
        </references>
      </pivotArea>
    </format>
    <format dxfId="61">
      <pivotArea dataOnly="0" labelOnly="1" fieldPosition="0">
        <references count="2">
          <reference field="0" count="1">
            <x v="99"/>
          </reference>
          <reference field="1" count="1" selected="0">
            <x v="1"/>
          </reference>
        </references>
      </pivotArea>
    </format>
    <format dxfId="60">
      <pivotArea dataOnly="0" labelOnly="1" fieldPosition="0">
        <references count="2">
          <reference field="0" count="1">
            <x v="100"/>
          </reference>
          <reference field="1" count="1" selected="0">
            <x v="1"/>
          </reference>
        </references>
      </pivotArea>
    </format>
    <format dxfId="59">
      <pivotArea dataOnly="0" labelOnly="1" fieldPosition="0">
        <references count="2">
          <reference field="0" count="1">
            <x v="100"/>
          </reference>
          <reference field="1" count="1" selected="0">
            <x v="1"/>
          </reference>
        </references>
      </pivotArea>
    </format>
    <format dxfId="58">
      <pivotArea dataOnly="0" labelOnly="1" fieldPosition="0">
        <references count="2">
          <reference field="0" count="1">
            <x v="101"/>
          </reference>
          <reference field="1" count="1" selected="0">
            <x v="1"/>
          </reference>
        </references>
      </pivotArea>
    </format>
    <format dxfId="57">
      <pivotArea dataOnly="0" labelOnly="1" fieldPosition="0">
        <references count="2">
          <reference field="0" count="1">
            <x v="101"/>
          </reference>
          <reference field="1" count="1" selected="0">
            <x v="1"/>
          </reference>
        </references>
      </pivotArea>
    </format>
    <format dxfId="56">
      <pivotArea dataOnly="0" labelOnly="1" fieldPosition="0">
        <references count="2">
          <reference field="0" count="1">
            <x v="102"/>
          </reference>
          <reference field="1" count="1" selected="0">
            <x v="1"/>
          </reference>
        </references>
      </pivotArea>
    </format>
    <format dxfId="55">
      <pivotArea dataOnly="0" labelOnly="1" fieldPosition="0">
        <references count="2">
          <reference field="0" count="1">
            <x v="102"/>
          </reference>
          <reference field="1" count="1" selected="0">
            <x v="1"/>
          </reference>
        </references>
      </pivotArea>
    </format>
    <format dxfId="54">
      <pivotArea dataOnly="0" labelOnly="1" fieldPosition="0">
        <references count="1">
          <reference field="1" count="1">
            <x v="2"/>
          </reference>
        </references>
      </pivotArea>
    </format>
    <format dxfId="53">
      <pivotArea dataOnly="0" labelOnly="1" fieldPosition="0">
        <references count="2">
          <reference field="0" count="1">
            <x v="63"/>
          </reference>
          <reference field="1" count="1" selected="0">
            <x v="2"/>
          </reference>
        </references>
      </pivotArea>
    </format>
    <format dxfId="52">
      <pivotArea dataOnly="0" labelOnly="1" fieldPosition="0">
        <references count="2">
          <reference field="0" count="1">
            <x v="64"/>
          </reference>
          <reference field="1" count="1" selected="0">
            <x v="2"/>
          </reference>
        </references>
      </pivotArea>
    </format>
    <format dxfId="51">
      <pivotArea dataOnly="0" labelOnly="1" fieldPosition="0">
        <references count="2">
          <reference field="0" count="1">
            <x v="65"/>
          </reference>
          <reference field="1" count="1" selected="0">
            <x v="2"/>
          </reference>
        </references>
      </pivotArea>
    </format>
    <format dxfId="50">
      <pivotArea dataOnly="0" labelOnly="1" fieldPosition="0">
        <references count="1">
          <reference field="1" count="1">
            <x v="3"/>
          </reference>
        </references>
      </pivotArea>
    </format>
    <format dxfId="49">
      <pivotArea dataOnly="0" labelOnly="1" fieldPosition="0">
        <references count="2">
          <reference field="0" count="1">
            <x v="51"/>
          </reference>
          <reference field="1" count="1" selected="0">
            <x v="3"/>
          </reference>
        </references>
      </pivotArea>
    </format>
    <format dxfId="48">
      <pivotArea dataOnly="0" labelOnly="1" fieldPosition="0">
        <references count="1">
          <reference field="1" count="1">
            <x v="6"/>
          </reference>
        </references>
      </pivotArea>
    </format>
    <format dxfId="47">
      <pivotArea dataOnly="0" labelOnly="1" fieldPosition="0">
        <references count="2">
          <reference field="0" count="1">
            <x v="69"/>
          </reference>
          <reference field="1" count="1" selected="0">
            <x v="6"/>
          </reference>
        </references>
      </pivotArea>
    </format>
    <format dxfId="46">
      <pivotArea dataOnly="0" labelOnly="1" fieldPosition="0">
        <references count="2">
          <reference field="0" count="1">
            <x v="70"/>
          </reference>
          <reference field="1" count="1" selected="0">
            <x v="6"/>
          </reference>
        </references>
      </pivotArea>
    </format>
    <format dxfId="45">
      <pivotArea dataOnly="0" labelOnly="1" fieldPosition="0">
        <references count="1">
          <reference field="1" count="1">
            <x v="7"/>
          </reference>
        </references>
      </pivotArea>
    </format>
    <format dxfId="44">
      <pivotArea dataOnly="0" labelOnly="1" fieldPosition="0">
        <references count="2">
          <reference field="0" count="1">
            <x v="82"/>
          </reference>
          <reference field="1" count="1" selected="0">
            <x v="7"/>
          </reference>
        </references>
      </pivotArea>
    </format>
    <format dxfId="43">
      <pivotArea dataOnly="0" labelOnly="1" fieldPosition="0">
        <references count="2">
          <reference field="0" count="1">
            <x v="82"/>
          </reference>
          <reference field="1" count="1" selected="0">
            <x v="7"/>
          </reference>
        </references>
      </pivotArea>
    </format>
    <format dxfId="42">
      <pivotArea dataOnly="0" labelOnly="1" fieldPosition="0">
        <references count="2">
          <reference field="0" count="1">
            <x v="83"/>
          </reference>
          <reference field="1" count="1" selected="0">
            <x v="7"/>
          </reference>
        </references>
      </pivotArea>
    </format>
    <format dxfId="41">
      <pivotArea dataOnly="0" labelOnly="1" fieldPosition="0">
        <references count="2">
          <reference field="0" count="1">
            <x v="83"/>
          </reference>
          <reference field="1" count="1" selected="0">
            <x v="7"/>
          </reference>
        </references>
      </pivotArea>
    </format>
    <format dxfId="40">
      <pivotArea dataOnly="0" labelOnly="1" fieldPosition="0">
        <references count="2">
          <reference field="0" count="1">
            <x v="84"/>
          </reference>
          <reference field="1" count="1" selected="0">
            <x v="7"/>
          </reference>
        </references>
      </pivotArea>
    </format>
    <format dxfId="39">
      <pivotArea dataOnly="0" labelOnly="1" fieldPosition="0">
        <references count="2">
          <reference field="0" count="1">
            <x v="84"/>
          </reference>
          <reference field="1" count="1" selected="0">
            <x v="7"/>
          </reference>
        </references>
      </pivotArea>
    </format>
    <format dxfId="38">
      <pivotArea dataOnly="0" labelOnly="1" fieldPosition="0">
        <references count="2">
          <reference field="0" count="1">
            <x v="85"/>
          </reference>
          <reference field="1" count="1" selected="0">
            <x v="7"/>
          </reference>
        </references>
      </pivotArea>
    </format>
    <format dxfId="37">
      <pivotArea dataOnly="0" labelOnly="1" fieldPosition="0">
        <references count="2">
          <reference field="0" count="1">
            <x v="85"/>
          </reference>
          <reference field="1" count="1" selected="0">
            <x v="7"/>
          </reference>
        </references>
      </pivotArea>
    </format>
    <format dxfId="36">
      <pivotArea dataOnly="0" labelOnly="1" fieldPosition="0">
        <references count="2">
          <reference field="0" count="1">
            <x v="86"/>
          </reference>
          <reference field="1" count="1" selected="0">
            <x v="7"/>
          </reference>
        </references>
      </pivotArea>
    </format>
    <format dxfId="35">
      <pivotArea dataOnly="0" labelOnly="1" fieldPosition="0">
        <references count="2">
          <reference field="0" count="1">
            <x v="86"/>
          </reference>
          <reference field="1" count="1" selected="0">
            <x v="7"/>
          </reference>
        </references>
      </pivotArea>
    </format>
    <format dxfId="34">
      <pivotArea dataOnly="0" labelOnly="1" fieldPosition="0">
        <references count="2">
          <reference field="0" count="1">
            <x v="87"/>
          </reference>
          <reference field="1" count="1" selected="0">
            <x v="7"/>
          </reference>
        </references>
      </pivotArea>
    </format>
    <format dxfId="33">
      <pivotArea dataOnly="0" labelOnly="1" fieldPosition="0">
        <references count="2">
          <reference field="0" count="1">
            <x v="87"/>
          </reference>
          <reference field="1" count="1" selected="0">
            <x v="7"/>
          </reference>
        </references>
      </pivotArea>
    </format>
    <format dxfId="32">
      <pivotArea dataOnly="0" labelOnly="1" fieldPosition="0">
        <references count="2">
          <reference field="0" count="1">
            <x v="88"/>
          </reference>
          <reference field="1" count="1" selected="0">
            <x v="7"/>
          </reference>
        </references>
      </pivotArea>
    </format>
    <format dxfId="31">
      <pivotArea dataOnly="0" labelOnly="1" fieldPosition="0">
        <references count="2">
          <reference field="0" count="1">
            <x v="88"/>
          </reference>
          <reference field="1" count="1" selected="0">
            <x v="7"/>
          </reference>
        </references>
      </pivotArea>
    </format>
    <format dxfId="30">
      <pivotArea dataOnly="0" labelOnly="1" fieldPosition="0">
        <references count="2">
          <reference field="0" count="1">
            <x v="89"/>
          </reference>
          <reference field="1" count="1" selected="0">
            <x v="7"/>
          </reference>
        </references>
      </pivotArea>
    </format>
    <format dxfId="29">
      <pivotArea dataOnly="0" labelOnly="1" fieldPosition="0">
        <references count="2">
          <reference field="0" count="1">
            <x v="89"/>
          </reference>
          <reference field="1" count="1" selected="0">
            <x v="7"/>
          </reference>
        </references>
      </pivotArea>
    </format>
    <format dxfId="28">
      <pivotArea dataOnly="0" labelOnly="1" fieldPosition="0">
        <references count="1">
          <reference field="1" count="1">
            <x v="8"/>
          </reference>
        </references>
      </pivotArea>
    </format>
    <format dxfId="27">
      <pivotArea dataOnly="0" labelOnly="1" fieldPosition="0">
        <references count="2">
          <reference field="0" count="1">
            <x v="90"/>
          </reference>
          <reference field="1" count="1" selected="0">
            <x v="8"/>
          </reference>
        </references>
      </pivotArea>
    </format>
    <format dxfId="26">
      <pivotArea dataOnly="0" labelOnly="1" fieldPosition="0">
        <references count="2">
          <reference field="0" count="1">
            <x v="90"/>
          </reference>
          <reference field="1" count="1" selected="0">
            <x v="8"/>
          </reference>
        </references>
      </pivotArea>
    </format>
    <format dxfId="25">
      <pivotArea dataOnly="0" labelOnly="1" fieldPosition="0">
        <references count="2">
          <reference field="0" count="1">
            <x v="91"/>
          </reference>
          <reference field="1" count="1" selected="0">
            <x v="8"/>
          </reference>
        </references>
      </pivotArea>
    </format>
    <format dxfId="24">
      <pivotArea dataOnly="0" labelOnly="1" fieldPosition="0">
        <references count="2">
          <reference field="0" count="1">
            <x v="91"/>
          </reference>
          <reference field="1" count="1" selected="0">
            <x v="8"/>
          </reference>
        </references>
      </pivotArea>
    </format>
    <format dxfId="23">
      <pivotArea dataOnly="0" labelOnly="1" fieldPosition="0">
        <references count="2">
          <reference field="0" count="1">
            <x v="92"/>
          </reference>
          <reference field="1" count="1" selected="0">
            <x v="8"/>
          </reference>
        </references>
      </pivotArea>
    </format>
    <format dxfId="22">
      <pivotArea dataOnly="0" labelOnly="1" fieldPosition="0">
        <references count="2">
          <reference field="0" count="1">
            <x v="92"/>
          </reference>
          <reference field="1" count="1" selected="0">
            <x v="8"/>
          </reference>
        </references>
      </pivotArea>
    </format>
    <format dxfId="21">
      <pivotArea dataOnly="0" labelOnly="1" fieldPosition="0">
        <references count="2">
          <reference field="0" count="1">
            <x v="93"/>
          </reference>
          <reference field="1" count="1" selected="0">
            <x v="8"/>
          </reference>
        </references>
      </pivotArea>
    </format>
    <format dxfId="20">
      <pivotArea dataOnly="0" labelOnly="1" fieldPosition="0">
        <references count="2">
          <reference field="0" count="1">
            <x v="93"/>
          </reference>
          <reference field="1" count="1" selected="0">
            <x v="8"/>
          </reference>
        </references>
      </pivotArea>
    </format>
    <format dxfId="19">
      <pivotArea dataOnly="0" labelOnly="1" fieldPosition="0">
        <references count="2">
          <reference field="0" count="1">
            <x v="94"/>
          </reference>
          <reference field="1" count="1" selected="0">
            <x v="8"/>
          </reference>
        </references>
      </pivotArea>
    </format>
    <format dxfId="18">
      <pivotArea dataOnly="0" labelOnly="1" fieldPosition="0">
        <references count="2">
          <reference field="0" count="1">
            <x v="94"/>
          </reference>
          <reference field="1" count="1" selected="0">
            <x v="8"/>
          </reference>
        </references>
      </pivotArea>
    </format>
    <format dxfId="17">
      <pivotArea dataOnly="0" labelOnly="1" fieldPosition="0">
        <references count="2">
          <reference field="0" count="1">
            <x v="95"/>
          </reference>
          <reference field="1" count="1" selected="0">
            <x v="8"/>
          </reference>
        </references>
      </pivotArea>
    </format>
    <format dxfId="16">
      <pivotArea dataOnly="0" labelOnly="1" fieldPosition="0">
        <references count="2">
          <reference field="0" count="1">
            <x v="95"/>
          </reference>
          <reference field="1" count="1" selected="0">
            <x v="8"/>
          </reference>
        </references>
      </pivotArea>
    </format>
    <format dxfId="15">
      <pivotArea dataOnly="0" labelOnly="1" fieldPosition="0">
        <references count="2">
          <reference field="0" count="1">
            <x v="96"/>
          </reference>
          <reference field="1" count="1" selected="0">
            <x v="8"/>
          </reference>
        </references>
      </pivotArea>
    </format>
    <format dxfId="14">
      <pivotArea dataOnly="0" labelOnly="1" fieldPosition="0">
        <references count="2">
          <reference field="0" count="1">
            <x v="96"/>
          </reference>
          <reference field="1" count="1" selected="0">
            <x v="8"/>
          </reference>
        </references>
      </pivotArea>
    </format>
    <format dxfId="13">
      <pivotArea dataOnly="0" labelOnly="1" fieldPosition="0">
        <references count="2">
          <reference field="0" count="1">
            <x v="97"/>
          </reference>
          <reference field="1" count="1" selected="0">
            <x v="8"/>
          </reference>
        </references>
      </pivotArea>
    </format>
    <format dxfId="12">
      <pivotArea dataOnly="0" labelOnly="1" fieldPosition="0">
        <references count="2">
          <reference field="0" count="1">
            <x v="97"/>
          </reference>
          <reference field="1" count="1" selected="0">
            <x v="8"/>
          </reference>
        </references>
      </pivotArea>
    </format>
    <format dxfId="11">
      <pivotArea dataOnly="0" labelOnly="1" fieldPosition="0">
        <references count="1">
          <reference field="1" count="1">
            <x v="12"/>
          </reference>
        </references>
      </pivotArea>
    </format>
    <format dxfId="10">
      <pivotArea dataOnly="0" labelOnly="1" fieldPosition="0">
        <references count="2">
          <reference field="0" count="1">
            <x v="81"/>
          </reference>
          <reference field="1" count="1" selected="0">
            <x v="12"/>
          </reference>
        </references>
      </pivotArea>
    </format>
    <format dxfId="9">
      <pivotArea dataOnly="0" labelOnly="1" fieldPosition="0">
        <references count="2">
          <reference field="0" count="1">
            <x v="81"/>
          </reference>
          <reference field="1" count="1" selected="0">
            <x v="12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F92087C-EC13-4C3F-8AB0-3E99CA6BE70D}" autoFormatId="16" applyNumberFormats="0" applyBorderFormats="0" applyFontFormats="0" applyPatternFormats="0" applyAlignmentFormats="0" applyWidthHeightFormats="0">
  <queryTableRefresh nextId="16">
    <queryTableFields count="15">
      <queryTableField id="1" name="ID" tableColumnId="1"/>
      <queryTableField id="2" name="Standard" tableColumnId="2"/>
      <queryTableField id="3" name="Item" tableColumnId="3"/>
      <queryTableField id="4" name="Range1_Low" tableColumnId="4"/>
      <queryTableField id="5" name="Range1_High" tableColumnId="5"/>
      <queryTableField id="6" name="Res" tableColumnId="6"/>
      <queryTableField id="7" name="Meas_Units" tableColumnId="7"/>
      <queryTableField id="8" name="Uncert_Units" tableColumnId="8"/>
      <queryTableField id="9" name="Range2_Low" tableColumnId="9"/>
      <queryTableField id="10" name="Range2_High" tableColumnId="10"/>
      <queryTableField id="11" name="Range2_Units" tableColumnId="11"/>
      <queryTableField id="12" name="Base" tableColumnId="12"/>
      <queryTableField id="13" name="Mult" tableColumnId="13"/>
      <queryTableField id="14" name="Base2" tableColumnId="14"/>
      <queryTableField id="15" name="Mult2" tableColumnId="1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42E72D2A-B4F9-400D-86E5-4A68AB3ABA52}" autoFormatId="16" applyNumberFormats="0" applyBorderFormats="0" applyFontFormats="0" applyPatternFormats="0" applyAlignmentFormats="0" applyWidthHeightFormats="0">
  <queryTableRefresh nextId="9">
    <queryTableFields count="2">
      <queryTableField id="1" name="Item" tableColumnId="1"/>
      <queryTableField id="8" name="Function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5E1711-DF64-4180-915E-AEB60DD34AC9}" name="Lookup" displayName="Lookup" ref="A1:O2959" tableType="queryTable" totalsRowShown="0">
  <autoFilter ref="A1:O2959" xr:uid="{FD5E1711-DF64-4180-915E-AEB60DD34AC9}"/>
  <tableColumns count="15">
    <tableColumn id="1" xr3:uid="{68282080-1E84-4A35-8104-70A7836B3C16}" uniqueName="1" name="ID" queryTableFieldId="1" dataDxfId="5"/>
    <tableColumn id="2" xr3:uid="{4C008F17-C160-43C0-8DC7-F63ED2B2735E}" uniqueName="2" name="Standard" queryTableFieldId="2" dataDxfId="4"/>
    <tableColumn id="3" xr3:uid="{82E825C6-6B9A-4A2D-BA51-08B97502A174}" uniqueName="3" name="Item" queryTableFieldId="3" dataDxfId="3"/>
    <tableColumn id="4" xr3:uid="{A0024D60-CE78-4283-AF5E-85D5DA388239}" uniqueName="4" name="Range1_Low" queryTableFieldId="4"/>
    <tableColumn id="5" xr3:uid="{31DEA064-E0F9-489D-A7F7-7E91571BF34F}" uniqueName="5" name="Range1_High" queryTableFieldId="5"/>
    <tableColumn id="6" xr3:uid="{AA8FC3E9-5F0D-4462-8B6A-E48F547E1491}" uniqueName="6" name="Res" queryTableFieldId="6"/>
    <tableColumn id="7" xr3:uid="{9ED4681D-846C-4B44-B53F-70585F2D0768}" uniqueName="7" name="Meas_Units" queryTableFieldId="7" dataDxfId="2"/>
    <tableColumn id="8" xr3:uid="{F80A92A4-F76E-4375-A587-E73A2C954D1A}" uniqueName="8" name="Uncert_Units" queryTableFieldId="8" dataDxfId="1"/>
    <tableColumn id="9" xr3:uid="{75F0CB7B-73DB-4372-BC07-2EC57952B577}" uniqueName="9" name="Range2_Low" queryTableFieldId="9"/>
    <tableColumn id="10" xr3:uid="{333324F4-9848-42B9-88F9-9EF5383E7CB3}" uniqueName="10" name="Range2_High" queryTableFieldId="10"/>
    <tableColumn id="11" xr3:uid="{EB327983-C3D1-4699-A733-95AD934678DC}" uniqueName="11" name="Range2_Units" queryTableFieldId="11" dataDxfId="0"/>
    <tableColumn id="12" xr3:uid="{BC16B20D-DAB9-48B0-A65B-12A2A6AD51EA}" uniqueName="12" name="Base" queryTableFieldId="12"/>
    <tableColumn id="13" xr3:uid="{DEEDD019-FD2E-49CE-A89D-927A8FF7CC2F}" uniqueName="13" name="Mult" queryTableFieldId="13"/>
    <tableColumn id="14" xr3:uid="{F67282B4-9D16-49A8-9A7A-72415807D7DF}" uniqueName="14" name="Base2" queryTableFieldId="14"/>
    <tableColumn id="15" xr3:uid="{4B46288E-A561-479A-B548-AAC3B8C70F88}" uniqueName="15" name="Mult2" queryTableFieldId="1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ADA44CE-8080-47D8-A47E-102ED7E7949A}" name="Items" displayName="Items" ref="A1:B43" tableType="queryTable" totalsRowShown="0">
  <autoFilter ref="A1:B43" xr:uid="{5ADA44CE-8080-47D8-A47E-102ED7E7949A}"/>
  <tableColumns count="2">
    <tableColumn id="1" xr3:uid="{A0353C0B-3662-4DE9-A570-BF8D916DFB58}" uniqueName="1" name="Item" queryTableFieldId="1" dataDxfId="8"/>
    <tableColumn id="8" xr3:uid="{79D3BD41-68F3-4F3E-8A17-F9729233655A}" uniqueName="8" name="Function" queryTableFieldId="8" dataDxf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5" dT="2023-08-28T17:18:56.45" personId="{7BB70C22-A3E9-4ACB-97F0-4EB56A4A47AE}" id="{00754DF0-FAD2-4F94-BA8E-1FEBD8A8FBB6}">
    <text>For one reading, use this column.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7" Type="http://schemas.microsoft.com/office/2017/10/relationships/threadedComment" Target="../threadedComments/threadedComment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64A46-7AD2-4589-898F-16E092244E63}">
  <sheetPr codeName="Sheet2">
    <pageSetUpPr fitToPage="1"/>
  </sheetPr>
  <dimension ref="A1:H48"/>
  <sheetViews>
    <sheetView view="pageLayout" zoomScaleNormal="100" workbookViewId="0">
      <selection activeCell="K3" sqref="K3"/>
    </sheetView>
  </sheetViews>
  <sheetFormatPr defaultRowHeight="15" x14ac:dyDescent="0.25"/>
  <cols>
    <col min="1" max="1" width="13.140625" bestFit="1" customWidth="1"/>
    <col min="2" max="2" width="8.28515625" bestFit="1" customWidth="1"/>
    <col min="3" max="3" width="17.85546875" customWidth="1"/>
    <col min="4" max="4" width="18.5703125" customWidth="1"/>
    <col min="5" max="5" width="16.28515625" customWidth="1"/>
    <col min="6" max="6" width="15" bestFit="1" customWidth="1"/>
    <col min="7" max="7" width="11.42578125" bestFit="1" customWidth="1"/>
  </cols>
  <sheetData>
    <row r="1" spans="1:8" ht="18" x14ac:dyDescent="0.25">
      <c r="A1" s="92"/>
      <c r="B1" s="92"/>
      <c r="C1" s="133" t="s">
        <v>63</v>
      </c>
      <c r="D1" s="134"/>
      <c r="E1" s="134"/>
      <c r="F1" s="91" t="str" cm="1">
        <f t="array" ref="F1">IfZero(Worksheet!F2)</f>
        <v/>
      </c>
      <c r="G1" s="93">
        <f>Worksheet!F3</f>
        <v>0</v>
      </c>
    </row>
    <row r="2" spans="1:8" x14ac:dyDescent="0.25">
      <c r="A2" s="92"/>
      <c r="B2" s="92"/>
      <c r="C2" s="80"/>
      <c r="D2" s="80"/>
      <c r="E2" s="80"/>
      <c r="F2" s="80"/>
      <c r="G2" s="81"/>
    </row>
    <row r="3" spans="1:8" ht="25.5" x14ac:dyDescent="0.25">
      <c r="A3" s="90"/>
      <c r="B3" s="82" t="s">
        <v>18</v>
      </c>
      <c r="C3" s="82" t="s">
        <v>30</v>
      </c>
      <c r="D3" s="94" t="s">
        <v>31</v>
      </c>
      <c r="E3" s="82" t="s">
        <v>32</v>
      </c>
      <c r="F3" s="82" t="s">
        <v>33</v>
      </c>
      <c r="G3" s="83" t="s">
        <v>34</v>
      </c>
    </row>
    <row r="4" spans="1:8" hidden="1" x14ac:dyDescent="0.25">
      <c r="A4" s="123" t="s">
        <v>2185</v>
      </c>
      <c r="B4" s="76">
        <v>3</v>
      </c>
      <c r="C4" s="76">
        <v>4</v>
      </c>
      <c r="D4" s="76">
        <v>5</v>
      </c>
      <c r="E4" s="76">
        <v>6</v>
      </c>
      <c r="F4" s="76">
        <v>7</v>
      </c>
      <c r="G4" s="76">
        <v>8</v>
      </c>
    </row>
    <row r="5" spans="1:8" x14ac:dyDescent="0.25">
      <c r="A5" s="124" t="s">
        <v>100</v>
      </c>
      <c r="B5" s="84"/>
      <c r="C5" s="84"/>
      <c r="D5" s="84"/>
      <c r="E5" s="84"/>
      <c r="F5" s="84"/>
      <c r="G5" s="84"/>
    </row>
    <row r="6" spans="1:8" x14ac:dyDescent="0.25">
      <c r="A6" s="126">
        <v>424483030</v>
      </c>
      <c r="B6" s="78" t="str">
        <f>IFERROR(VLOOKUP($A6,Worksheet!$A$5:$I$110,B$4,FALSE),"")</f>
        <v/>
      </c>
      <c r="C6" s="78" t="str">
        <f>IFERROR(VLOOKUP($A6,Worksheet!$A$5:$I$110,C$4,FALSE),"")</f>
        <v/>
      </c>
      <c r="D6" s="78" t="str">
        <f>IFERROR(VLOOKUP($A6,Worksheet!$A$5:$I$110,D$4,FALSE),"")</f>
        <v/>
      </c>
      <c r="E6" s="78" t="str">
        <f>IFERROR(VLOOKUP($A6,Worksheet!$A$5:$I$110,E$4,FALSE),"")</f>
        <v/>
      </c>
      <c r="F6" s="78" t="str">
        <f>IFERROR(VLOOKUP($A6,Worksheet!$A$5:$I$110,F$4,FALSE),"")</f>
        <v/>
      </c>
      <c r="G6" s="78" t="str">
        <f>IFERROR(VLOOKUP($A6,Worksheet!$A$5:$I$110,G$4,FALSE),"")</f>
        <v/>
      </c>
      <c r="H6" t="str">
        <f>IFERROR(VLOOKUP($A6,Worksheet!$A$5:$I$110,H$4,FALSE),"")</f>
        <v/>
      </c>
    </row>
    <row r="7" spans="1:8" x14ac:dyDescent="0.25">
      <c r="A7" s="125">
        <v>-459222896</v>
      </c>
      <c r="B7" s="77" t="str">
        <f>IFERROR(VLOOKUP($A7,Worksheet!$A$5:$I$110,B$4,FALSE),"")</f>
        <v/>
      </c>
      <c r="C7" s="77" t="str">
        <f>IFERROR(VLOOKUP($A7,Worksheet!$A$5:$I$110,C$4,FALSE),"")</f>
        <v/>
      </c>
      <c r="D7" s="77" t="str">
        <f>IFERROR(VLOOKUP($A7,Worksheet!$A$5:$I$110,D$4,FALSE),"")</f>
        <v/>
      </c>
      <c r="E7" s="77" t="str">
        <f>IFERROR(VLOOKUP($A7,Worksheet!$A$5:$I$110,E$4,FALSE),"")</f>
        <v/>
      </c>
      <c r="F7" s="77" t="str">
        <f>IFERROR(VLOOKUP($A7,Worksheet!$A$5:$I$110,F$4,FALSE),"")</f>
        <v/>
      </c>
      <c r="G7" s="77" t="str">
        <f>IFERROR(VLOOKUP($A7,Worksheet!$A$5:$I$110,G$4,FALSE),"")</f>
        <v/>
      </c>
      <c r="H7" t="str">
        <f>IFERROR(VLOOKUP($A7,Worksheet!$A$5:$I$110,H$4,FALSE),"")</f>
        <v/>
      </c>
    </row>
    <row r="8" spans="1:8" x14ac:dyDescent="0.25">
      <c r="A8" s="126">
        <v>-86683844</v>
      </c>
      <c r="B8" s="78" t="str">
        <f>IFERROR(VLOOKUP($A8,Worksheet!$A$5:$I$110,B$4,FALSE),"")</f>
        <v/>
      </c>
      <c r="C8" s="78" t="str">
        <f>IFERROR(VLOOKUP($A8,Worksheet!$A$5:$I$110,C$4,FALSE),"")</f>
        <v/>
      </c>
      <c r="D8" s="78" t="str">
        <f>IFERROR(VLOOKUP($A8,Worksheet!$A$5:$I$110,D$4,FALSE),"")</f>
        <v/>
      </c>
      <c r="E8" s="78" t="str">
        <f>IFERROR(VLOOKUP($A8,Worksheet!$A$5:$I$110,E$4,FALSE),"")</f>
        <v/>
      </c>
      <c r="F8" s="78" t="str">
        <f>IFERROR(VLOOKUP($A8,Worksheet!$A$5:$I$110,F$4,FALSE),"")</f>
        <v/>
      </c>
      <c r="G8" s="78" t="str">
        <f>IFERROR(VLOOKUP($A8,Worksheet!$A$5:$I$110,G$4,FALSE),"")</f>
        <v/>
      </c>
      <c r="H8" t="str">
        <f>IFERROR(VLOOKUP($A8,Worksheet!$A$5:$I$110,H$4,FALSE),"")</f>
        <v/>
      </c>
    </row>
    <row r="9" spans="1:8" x14ac:dyDescent="0.25">
      <c r="A9" s="125">
        <v>308163671</v>
      </c>
      <c r="B9" s="77" t="str">
        <f>IFERROR(VLOOKUP($A9,Worksheet!$A$5:$I$110,B$4,FALSE),"")</f>
        <v/>
      </c>
      <c r="C9" s="77" t="str">
        <f>IFERROR(VLOOKUP($A9,Worksheet!$A$5:$I$110,C$4,FALSE),"")</f>
        <v/>
      </c>
      <c r="D9" s="77" t="str">
        <f>IFERROR(VLOOKUP($A9,Worksheet!$A$5:$I$110,D$4,FALSE),"")</f>
        <v/>
      </c>
      <c r="E9" s="77" t="str">
        <f>IFERROR(VLOOKUP($A9,Worksheet!$A$5:$I$110,E$4,FALSE),"")</f>
        <v/>
      </c>
      <c r="F9" s="77" t="str">
        <f>IFERROR(VLOOKUP($A9,Worksheet!$A$5:$I$110,F$4,FALSE),"")</f>
        <v/>
      </c>
      <c r="G9" s="77" t="str">
        <f>IFERROR(VLOOKUP($A9,Worksheet!$A$5:$I$110,G$4,FALSE),"")</f>
        <v/>
      </c>
      <c r="H9" t="str">
        <f>IFERROR(VLOOKUP($A9,Worksheet!$A$5:$I$110,H$4,FALSE),"")</f>
        <v/>
      </c>
    </row>
    <row r="10" spans="1:8" x14ac:dyDescent="0.25">
      <c r="A10" s="126">
        <v>135938866</v>
      </c>
      <c r="B10" s="78" t="str">
        <f>IFERROR(VLOOKUP($A10,Worksheet!$A$5:$I$110,B$4,FALSE),"")</f>
        <v/>
      </c>
      <c r="C10" s="78" t="str">
        <f>IFERROR(VLOOKUP($A10,Worksheet!$A$5:$I$110,C$4,FALSE),"")</f>
        <v/>
      </c>
      <c r="D10" s="78" t="str">
        <f>IFERROR(VLOOKUP($A10,Worksheet!$A$5:$I$110,D$4,FALSE),"")</f>
        <v/>
      </c>
      <c r="E10" s="78" t="str">
        <f>IFERROR(VLOOKUP($A10,Worksheet!$A$5:$I$110,E$4,FALSE),"")</f>
        <v/>
      </c>
      <c r="F10" s="78" t="str">
        <f>IFERROR(VLOOKUP($A10,Worksheet!$A$5:$I$110,F$4,FALSE),"")</f>
        <v/>
      </c>
      <c r="G10" s="78" t="str">
        <f>IFERROR(VLOOKUP($A10,Worksheet!$A$5:$I$110,G$4,FALSE),"")</f>
        <v/>
      </c>
      <c r="H10" t="str">
        <f>IFERROR(VLOOKUP($A10,Worksheet!$A$5:$I$110,H$4,FALSE),"")</f>
        <v/>
      </c>
    </row>
    <row r="11" spans="1:8" x14ac:dyDescent="0.25">
      <c r="A11" s="124" t="s">
        <v>99</v>
      </c>
      <c r="B11" s="84"/>
      <c r="C11" s="84"/>
      <c r="D11" s="84"/>
      <c r="E11" s="84"/>
      <c r="F11" s="84"/>
      <c r="G11" s="84"/>
    </row>
    <row r="12" spans="1:8" x14ac:dyDescent="0.25">
      <c r="A12" s="126">
        <v>21873872</v>
      </c>
      <c r="B12" s="78" t="str">
        <f>IFERROR(VLOOKUP($A12,Worksheet!$A$5:$I$110,B$4,FALSE),"")</f>
        <v/>
      </c>
      <c r="C12" s="78" t="str">
        <f>IFERROR(VLOOKUP($A12,Worksheet!$A$5:$I$110,C$4,FALSE),"")</f>
        <v/>
      </c>
      <c r="D12" s="78" t="str">
        <f>IFERROR(VLOOKUP($A12,Worksheet!$A$5:$I$110,D$4,FALSE),"")</f>
        <v/>
      </c>
      <c r="E12" s="78" t="str">
        <f>IFERROR(VLOOKUP($A12,Worksheet!$A$5:$I$110,E$4,FALSE),"")</f>
        <v/>
      </c>
      <c r="F12" s="78" t="str">
        <f>IFERROR(VLOOKUP($A12,Worksheet!$A$5:$I$110,F$4,FALSE),"")</f>
        <v/>
      </c>
      <c r="G12" s="78" t="str">
        <f>IFERROR(VLOOKUP($A12,Worksheet!$A$5:$I$110,G$4,FALSE),"")</f>
        <v/>
      </c>
      <c r="H12" t="str">
        <f>IFERROR(VLOOKUP($A12,Worksheet!$A$5:$I$110,H$4,FALSE),"")</f>
        <v/>
      </c>
    </row>
    <row r="13" spans="1:8" x14ac:dyDescent="0.25">
      <c r="A13" s="125">
        <v>143224241</v>
      </c>
      <c r="B13" s="77" t="str">
        <f>IFERROR(VLOOKUP($A13,Worksheet!$A$5:$I$110,B$4,FALSE),"")</f>
        <v/>
      </c>
      <c r="C13" s="77" t="str">
        <f>IFERROR(VLOOKUP($A13,Worksheet!$A$5:$I$110,C$4,FALSE),"")</f>
        <v/>
      </c>
      <c r="D13" s="77" t="str">
        <f>IFERROR(VLOOKUP($A13,Worksheet!$A$5:$I$110,D$4,FALSE),"")</f>
        <v/>
      </c>
      <c r="E13" s="77" t="str">
        <f>IFERROR(VLOOKUP($A13,Worksheet!$A$5:$I$110,E$4,FALSE),"")</f>
        <v/>
      </c>
      <c r="F13" s="77" t="str">
        <f>IFERROR(VLOOKUP($A13,Worksheet!$A$5:$I$110,F$4,FALSE),"")</f>
        <v/>
      </c>
      <c r="G13" s="77" t="str">
        <f>IFERROR(VLOOKUP($A13,Worksheet!$A$5:$I$110,G$4,FALSE),"")</f>
        <v/>
      </c>
      <c r="H13" t="str">
        <f>IFERROR(VLOOKUP($A13,Worksheet!$A$5:$I$110,H$4,FALSE),"")</f>
        <v/>
      </c>
    </row>
    <row r="14" spans="1:8" x14ac:dyDescent="0.25">
      <c r="A14" s="126">
        <v>-360402523</v>
      </c>
      <c r="B14" s="78" t="str">
        <f>IFERROR(VLOOKUP($A14,Worksheet!$A$5:$I$110,B$4,FALSE),"")</f>
        <v/>
      </c>
      <c r="C14" s="78" t="str">
        <f>IFERROR(VLOOKUP($A14,Worksheet!$A$5:$I$110,C$4,FALSE),"")</f>
        <v/>
      </c>
      <c r="D14" s="78" t="str">
        <f>IFERROR(VLOOKUP($A14,Worksheet!$A$5:$I$110,D$4,FALSE),"")</f>
        <v/>
      </c>
      <c r="E14" s="78" t="str">
        <f>IFERROR(VLOOKUP($A14,Worksheet!$A$5:$I$110,E$4,FALSE),"")</f>
        <v/>
      </c>
      <c r="F14" s="78" t="str">
        <f>IFERROR(VLOOKUP($A14,Worksheet!$A$5:$I$110,F$4,FALSE),"")</f>
        <v/>
      </c>
      <c r="G14" s="78" t="str">
        <f>IFERROR(VLOOKUP($A14,Worksheet!$A$5:$I$110,G$4,FALSE),"")</f>
        <v/>
      </c>
      <c r="H14" t="str">
        <f>IFERROR(VLOOKUP($A14,Worksheet!$A$5:$I$110,H$4,FALSE),"")</f>
        <v/>
      </c>
    </row>
    <row r="15" spans="1:8" x14ac:dyDescent="0.25">
      <c r="A15" s="125">
        <v>-306201852</v>
      </c>
      <c r="B15" s="77" t="str">
        <f>IFERROR(VLOOKUP($A15,Worksheet!$A$5:$I$110,B$4,FALSE),"")</f>
        <v/>
      </c>
      <c r="C15" s="77" t="str">
        <f>IFERROR(VLOOKUP($A15,Worksheet!$A$5:$I$110,C$4,FALSE),"")</f>
        <v/>
      </c>
      <c r="D15" s="77" t="str">
        <f>IFERROR(VLOOKUP($A15,Worksheet!$A$5:$I$110,D$4,FALSE),"")</f>
        <v/>
      </c>
      <c r="E15" s="77" t="str">
        <f>IFERROR(VLOOKUP($A15,Worksheet!$A$5:$I$110,E$4,FALSE),"")</f>
        <v/>
      </c>
      <c r="F15" s="77" t="str">
        <f>IFERROR(VLOOKUP($A15,Worksheet!$A$5:$I$110,F$4,FALSE),"")</f>
        <v/>
      </c>
      <c r="G15" s="77" t="str">
        <f>IFERROR(VLOOKUP($A15,Worksheet!$A$5:$I$110,G$4,FALSE),"")</f>
        <v/>
      </c>
      <c r="H15" t="str">
        <f>IFERROR(VLOOKUP($A15,Worksheet!$A$5:$I$110,H$4,FALSE),"")</f>
        <v/>
      </c>
    </row>
    <row r="16" spans="1:8" x14ac:dyDescent="0.25">
      <c r="A16" s="126">
        <v>86489172</v>
      </c>
      <c r="B16" s="78" t="str">
        <f>IFERROR(VLOOKUP($A16,Worksheet!$A$5:$I$110,B$4,FALSE),"")</f>
        <v/>
      </c>
      <c r="C16" s="78" t="str">
        <f>IFERROR(VLOOKUP($A16,Worksheet!$A$5:$I$110,C$4,FALSE),"")</f>
        <v/>
      </c>
      <c r="D16" s="78" t="str">
        <f>IFERROR(VLOOKUP($A16,Worksheet!$A$5:$I$110,D$4,FALSE),"")</f>
        <v/>
      </c>
      <c r="E16" s="78" t="str">
        <f>IFERROR(VLOOKUP($A16,Worksheet!$A$5:$I$110,E$4,FALSE),"")</f>
        <v/>
      </c>
      <c r="F16" s="78" t="str">
        <f>IFERROR(VLOOKUP($A16,Worksheet!$A$5:$I$110,F$4,FALSE),"")</f>
        <v/>
      </c>
      <c r="G16" s="78" t="str">
        <f>IFERROR(VLOOKUP($A16,Worksheet!$A$5:$I$110,G$4,FALSE),"")</f>
        <v/>
      </c>
      <c r="H16" t="str">
        <f>IFERROR(VLOOKUP($A16,Worksheet!$A$5:$I$110,H$4,FALSE),"")</f>
        <v/>
      </c>
    </row>
    <row r="17" spans="1:8" x14ac:dyDescent="0.25">
      <c r="A17" s="124" t="s">
        <v>101</v>
      </c>
      <c r="B17" s="84"/>
      <c r="C17" s="84"/>
      <c r="D17" s="84"/>
      <c r="E17" s="84"/>
      <c r="F17" s="84"/>
      <c r="G17" s="84"/>
    </row>
    <row r="18" spans="1:8" x14ac:dyDescent="0.25">
      <c r="A18" s="126">
        <v>36563959</v>
      </c>
      <c r="B18" s="78" t="str">
        <f>IFERROR(VLOOKUP($A18,Worksheet!$A$5:$I$110,B$4,FALSE),"")</f>
        <v/>
      </c>
      <c r="C18" s="78" t="str">
        <f>IFERROR(VLOOKUP($A18,Worksheet!$A$5:$I$110,C$4,FALSE),"")</f>
        <v/>
      </c>
      <c r="D18" s="78" t="str">
        <f>IFERROR(VLOOKUP($A18,Worksheet!$A$5:$I$110,D$4,FALSE),"")</f>
        <v/>
      </c>
      <c r="E18" s="78" t="str">
        <f>IFERROR(VLOOKUP($A18,Worksheet!$A$5:$I$110,E$4,FALSE),"")</f>
        <v/>
      </c>
      <c r="F18" s="78" t="str">
        <f>IFERROR(VLOOKUP($A18,Worksheet!$A$5:$I$110,F$4,FALSE),"")</f>
        <v/>
      </c>
      <c r="G18" s="78" t="str">
        <f>IFERROR(VLOOKUP($A18,Worksheet!$A$5:$I$110,G$4,FALSE),"")</f>
        <v/>
      </c>
      <c r="H18" t="str">
        <f>IFERROR(VLOOKUP($A18,Worksheet!$A$5:$I$110,H$4,FALSE),"")</f>
        <v/>
      </c>
    </row>
    <row r="19" spans="1:8" x14ac:dyDescent="0.25">
      <c r="A19" s="125">
        <v>-66073833</v>
      </c>
      <c r="B19" s="77" t="str">
        <f>IFERROR(VLOOKUP($A19,Worksheet!$A$5:$I$110,B$4,FALSE),"")</f>
        <v/>
      </c>
      <c r="C19" s="77" t="str">
        <f>IFERROR(VLOOKUP($A19,Worksheet!$A$5:$I$110,C$4,FALSE),"")</f>
        <v/>
      </c>
      <c r="D19" s="77" t="str">
        <f>IFERROR(VLOOKUP($A19,Worksheet!$A$5:$I$110,D$4,FALSE),"")</f>
        <v/>
      </c>
      <c r="E19" s="77" t="str">
        <f>IFERROR(VLOOKUP($A19,Worksheet!$A$5:$I$110,E$4,FALSE),"")</f>
        <v/>
      </c>
      <c r="F19" s="77" t="str">
        <f>IFERROR(VLOOKUP($A19,Worksheet!$A$5:$I$110,F$4,FALSE),"")</f>
        <v/>
      </c>
      <c r="G19" s="77" t="str">
        <f>IFERROR(VLOOKUP($A19,Worksheet!$A$5:$I$110,G$4,FALSE),"")</f>
        <v/>
      </c>
      <c r="H19" t="str">
        <f>IFERROR(VLOOKUP($A19,Worksheet!$A$5:$I$110,H$4,FALSE),"")</f>
        <v/>
      </c>
    </row>
    <row r="20" spans="1:8" x14ac:dyDescent="0.25">
      <c r="A20" s="126">
        <v>465457095</v>
      </c>
      <c r="B20" s="78" t="str">
        <f>IFERROR(VLOOKUP($A20,Worksheet!$A$5:$I$110,B$4,FALSE),"")</f>
        <v/>
      </c>
      <c r="C20" s="78" t="str">
        <f>IFERROR(VLOOKUP($A20,Worksheet!$A$5:$I$110,C$4,FALSE),"")</f>
        <v/>
      </c>
      <c r="D20" s="78" t="str">
        <f>IFERROR(VLOOKUP($A20,Worksheet!$A$5:$I$110,D$4,FALSE),"")</f>
        <v/>
      </c>
      <c r="E20" s="78" t="str">
        <f>IFERROR(VLOOKUP($A20,Worksheet!$A$5:$I$110,E$4,FALSE),"")</f>
        <v/>
      </c>
      <c r="F20" s="78" t="str">
        <f>IFERROR(VLOOKUP($A20,Worksheet!$A$5:$I$110,F$4,FALSE),"")</f>
        <v/>
      </c>
      <c r="G20" s="78" t="str">
        <f>IFERROR(VLOOKUP($A20,Worksheet!$A$5:$I$110,G$4,FALSE),"")</f>
        <v/>
      </c>
      <c r="H20" t="str">
        <f>IFERROR(VLOOKUP($A20,Worksheet!$A$5:$I$110,H$4,FALSE),"")</f>
        <v/>
      </c>
    </row>
    <row r="21" spans="1:8" x14ac:dyDescent="0.25">
      <c r="A21" s="124" t="s">
        <v>14</v>
      </c>
      <c r="B21" s="84"/>
      <c r="C21" s="84"/>
      <c r="D21" s="84"/>
      <c r="E21" s="84"/>
      <c r="F21" s="84"/>
      <c r="G21" s="84"/>
    </row>
    <row r="22" spans="1:8" x14ac:dyDescent="0.25">
      <c r="A22" s="126">
        <v>-57753614</v>
      </c>
      <c r="B22" s="78" t="str">
        <f>IFERROR(VLOOKUP($A22,Worksheet!$A$5:$I$110,B$4,FALSE),"")</f>
        <v/>
      </c>
      <c r="C22" s="78" t="str">
        <f>IFERROR(VLOOKUP($A22,Worksheet!$A$5:$I$110,C$4,FALSE),"")</f>
        <v/>
      </c>
      <c r="D22" s="78" t="str">
        <f>IFERROR(VLOOKUP($A22,Worksheet!$A$5:$I$110,D$4,FALSE),"")</f>
        <v/>
      </c>
      <c r="E22" s="78" t="str">
        <f>IFERROR(VLOOKUP($A22,Worksheet!$A$5:$I$110,E$4,FALSE),"")</f>
        <v/>
      </c>
      <c r="F22" s="78" t="str">
        <f>IFERROR(VLOOKUP($A22,Worksheet!$A$5:$I$110,F$4,FALSE),"")</f>
        <v/>
      </c>
      <c r="G22" s="78" t="str">
        <f>IFERROR(VLOOKUP($A22,Worksheet!$A$5:$I$110,G$4,FALSE),"")</f>
        <v/>
      </c>
      <c r="H22" t="str">
        <f>IFERROR(VLOOKUP($A22,Worksheet!$A$5:$I$110,H$4,FALSE),"")</f>
        <v/>
      </c>
    </row>
    <row r="23" spans="1:8" x14ac:dyDescent="0.25">
      <c r="A23" s="124" t="s">
        <v>7</v>
      </c>
      <c r="B23" s="84"/>
      <c r="C23" s="84"/>
      <c r="D23" s="84"/>
      <c r="E23" s="84"/>
      <c r="F23" s="84"/>
      <c r="G23" s="84"/>
    </row>
    <row r="24" spans="1:8" x14ac:dyDescent="0.25">
      <c r="A24" s="126">
        <v>226361642</v>
      </c>
      <c r="B24" s="78" t="str">
        <f>IFERROR(VLOOKUP($A24,Worksheet!$A$5:$I$110,B$4,FALSE),"")</f>
        <v/>
      </c>
      <c r="C24" s="78" t="str">
        <f>IFERROR(VLOOKUP($A24,Worksheet!$A$5:$I$110,C$4,FALSE),"")</f>
        <v/>
      </c>
      <c r="D24" s="78" t="str">
        <f>IFERROR(VLOOKUP($A24,Worksheet!$A$5:$I$110,D$4,FALSE),"")</f>
        <v/>
      </c>
      <c r="E24" s="78" t="str">
        <f>IFERROR(VLOOKUP($A24,Worksheet!$A$5:$I$110,E$4,FALSE),"")</f>
        <v/>
      </c>
      <c r="F24" s="78" t="str">
        <f>IFERROR(VLOOKUP($A24,Worksheet!$A$5:$I$110,F$4,FALSE),"")</f>
        <v/>
      </c>
      <c r="G24" s="78" t="str">
        <f>IFERROR(VLOOKUP($A24,Worksheet!$A$5:$I$110,G$4,FALSE),"")</f>
        <v/>
      </c>
      <c r="H24" t="str">
        <f>IFERROR(VLOOKUP($A24,Worksheet!$A$5:$I$110,H$4,FALSE),"")</f>
        <v/>
      </c>
    </row>
    <row r="25" spans="1:8" x14ac:dyDescent="0.25">
      <c r="A25" s="125">
        <v>120236181</v>
      </c>
      <c r="B25" s="77" t="str">
        <f>IFERROR(VLOOKUP($A25,Worksheet!$A$5:$I$110,B$4,FALSE),"")</f>
        <v/>
      </c>
      <c r="C25" s="77" t="str">
        <f>IFERROR(VLOOKUP($A25,Worksheet!$A$5:$I$110,C$4,FALSE),"")</f>
        <v/>
      </c>
      <c r="D25" s="77" t="str">
        <f>IFERROR(VLOOKUP($A25,Worksheet!$A$5:$I$110,D$4,FALSE),"")</f>
        <v/>
      </c>
      <c r="E25" s="77" t="str">
        <f>IFERROR(VLOOKUP($A25,Worksheet!$A$5:$I$110,E$4,FALSE),"")</f>
        <v/>
      </c>
      <c r="F25" s="77" t="str">
        <f>IFERROR(VLOOKUP($A25,Worksheet!$A$5:$I$110,F$4,FALSE),"")</f>
        <v/>
      </c>
      <c r="G25" s="77" t="str">
        <f>IFERROR(VLOOKUP($A25,Worksheet!$A$5:$I$110,G$4,FALSE),"")</f>
        <v/>
      </c>
      <c r="H25" t="str">
        <f>IFERROR(VLOOKUP($A25,Worksheet!$A$5:$I$110,H$4,FALSE),"")</f>
        <v/>
      </c>
    </row>
    <row r="26" spans="1:8" x14ac:dyDescent="0.25">
      <c r="A26" s="124" t="s">
        <v>97</v>
      </c>
      <c r="B26" s="84"/>
      <c r="C26" s="84"/>
      <c r="D26" s="84"/>
      <c r="E26" s="84"/>
      <c r="F26" s="84"/>
      <c r="G26" s="84"/>
    </row>
    <row r="27" spans="1:8" x14ac:dyDescent="0.25">
      <c r="A27" s="125">
        <v>-30303541</v>
      </c>
      <c r="B27" s="77" t="str">
        <f>IFERROR(VLOOKUP($A27,Worksheet!$A$5:$I$110,B$4,FALSE),"")</f>
        <v/>
      </c>
      <c r="C27" s="77" t="str">
        <f>IFERROR(VLOOKUP($A27,Worksheet!$A$5:$I$110,C$4,FALSE),"")</f>
        <v/>
      </c>
      <c r="D27" s="77" t="str">
        <f>IFERROR(VLOOKUP($A27,Worksheet!$A$5:$I$110,D$4,FALSE),"")</f>
        <v/>
      </c>
      <c r="E27" s="77" t="str">
        <f>IFERROR(VLOOKUP($A27,Worksheet!$A$5:$I$110,E$4,FALSE),"")</f>
        <v/>
      </c>
      <c r="F27" s="77" t="str">
        <f>IFERROR(VLOOKUP($A27,Worksheet!$A$5:$I$110,F$4,FALSE),"")</f>
        <v/>
      </c>
      <c r="G27" s="77" t="str">
        <f>IFERROR(VLOOKUP($A27,Worksheet!$A$5:$I$110,G$4,FALSE),"")</f>
        <v/>
      </c>
      <c r="H27" t="str">
        <f>IFERROR(VLOOKUP($A27,Worksheet!$A$5:$I$110,H$4,FALSE),"")</f>
        <v/>
      </c>
    </row>
    <row r="28" spans="1:8" x14ac:dyDescent="0.25">
      <c r="A28" s="126">
        <v>-236979795</v>
      </c>
      <c r="B28" s="78" t="str">
        <f>IFERROR(VLOOKUP($A28,Worksheet!$A$5:$I$110,B$4,FALSE),"")</f>
        <v/>
      </c>
      <c r="C28" s="78" t="str">
        <f>IFERROR(VLOOKUP($A28,Worksheet!$A$5:$I$110,C$4,FALSE),"")</f>
        <v/>
      </c>
      <c r="D28" s="78" t="str">
        <f>IFERROR(VLOOKUP($A28,Worksheet!$A$5:$I$110,D$4,FALSE),"")</f>
        <v/>
      </c>
      <c r="E28" s="78" t="str">
        <f>IFERROR(VLOOKUP($A28,Worksheet!$A$5:$I$110,E$4,FALSE),"")</f>
        <v/>
      </c>
      <c r="F28" s="78" t="str">
        <f>IFERROR(VLOOKUP($A28,Worksheet!$A$5:$I$110,F$4,FALSE),"")</f>
        <v/>
      </c>
      <c r="G28" s="78" t="str">
        <f>IFERROR(VLOOKUP($A28,Worksheet!$A$5:$I$110,G$4,FALSE),"")</f>
        <v/>
      </c>
      <c r="H28" t="str">
        <f>IFERROR(VLOOKUP($A28,Worksheet!$A$5:$I$110,H$4,FALSE),"")</f>
        <v/>
      </c>
    </row>
    <row r="29" spans="1:8" x14ac:dyDescent="0.25">
      <c r="A29" s="125">
        <v>-118925506</v>
      </c>
      <c r="B29" s="77" t="str">
        <f>IFERROR(VLOOKUP($A29,Worksheet!$A$5:$I$110,B$4,FALSE),"")</f>
        <v/>
      </c>
      <c r="C29" s="77" t="str">
        <f>IFERROR(VLOOKUP($A29,Worksheet!$A$5:$I$110,C$4,FALSE),"")</f>
        <v/>
      </c>
      <c r="D29" s="77" t="str">
        <f>IFERROR(VLOOKUP($A29,Worksheet!$A$5:$I$110,D$4,FALSE),"")</f>
        <v/>
      </c>
      <c r="E29" s="77" t="str">
        <f>IFERROR(VLOOKUP($A29,Worksheet!$A$5:$I$110,E$4,FALSE),"")</f>
        <v/>
      </c>
      <c r="F29" s="77" t="str">
        <f>IFERROR(VLOOKUP($A29,Worksheet!$A$5:$I$110,F$4,FALSE),"")</f>
        <v/>
      </c>
      <c r="G29" s="77" t="str">
        <f>IFERROR(VLOOKUP($A29,Worksheet!$A$5:$I$110,G$4,FALSE),"")</f>
        <v/>
      </c>
      <c r="H29" t="str">
        <f>IFERROR(VLOOKUP($A29,Worksheet!$A$5:$I$110,H$4,FALSE),"")</f>
        <v/>
      </c>
    </row>
    <row r="30" spans="1:8" x14ac:dyDescent="0.25">
      <c r="A30" s="126">
        <v>-365743965</v>
      </c>
      <c r="B30" s="78" t="str">
        <f>IFERROR(VLOOKUP($A30,Worksheet!$A$5:$I$110,B$4,FALSE),"")</f>
        <v/>
      </c>
      <c r="C30" s="78" t="str">
        <f>IFERROR(VLOOKUP($A30,Worksheet!$A$5:$I$110,C$4,FALSE),"")</f>
        <v/>
      </c>
      <c r="D30" s="78" t="str">
        <f>IFERROR(VLOOKUP($A30,Worksheet!$A$5:$I$110,D$4,FALSE),"")</f>
        <v/>
      </c>
      <c r="E30" s="78" t="str">
        <f>IFERROR(VLOOKUP($A30,Worksheet!$A$5:$I$110,E$4,FALSE),"")</f>
        <v/>
      </c>
      <c r="F30" s="78" t="str">
        <f>IFERROR(VLOOKUP($A30,Worksheet!$A$5:$I$110,F$4,FALSE),"")</f>
        <v/>
      </c>
      <c r="G30" s="78" t="str">
        <f>IFERROR(VLOOKUP($A30,Worksheet!$A$5:$I$110,G$4,FALSE),"")</f>
        <v/>
      </c>
      <c r="H30" t="str">
        <f>IFERROR(VLOOKUP($A30,Worksheet!$A$5:$I$110,H$4,FALSE),"")</f>
        <v/>
      </c>
    </row>
    <row r="31" spans="1:8" x14ac:dyDescent="0.25">
      <c r="A31" s="125">
        <v>286695292</v>
      </c>
      <c r="B31" s="77" t="str">
        <f>IFERROR(VLOOKUP($A31,Worksheet!$A$5:$I$110,B$4,FALSE),"")</f>
        <v/>
      </c>
      <c r="C31" s="77" t="str">
        <f>IFERROR(VLOOKUP($A31,Worksheet!$A$5:$I$110,C$4,FALSE),"")</f>
        <v/>
      </c>
      <c r="D31" s="77" t="str">
        <f>IFERROR(VLOOKUP($A31,Worksheet!$A$5:$I$110,D$4,FALSE),"")</f>
        <v/>
      </c>
      <c r="E31" s="77" t="str">
        <f>IFERROR(VLOOKUP($A31,Worksheet!$A$5:$I$110,E$4,FALSE),"")</f>
        <v/>
      </c>
      <c r="F31" s="77" t="str">
        <f>IFERROR(VLOOKUP($A31,Worksheet!$A$5:$I$110,F$4,FALSE),"")</f>
        <v/>
      </c>
      <c r="G31" s="77" t="str">
        <f>IFERROR(VLOOKUP($A31,Worksheet!$A$5:$I$110,G$4,FALSE),"")</f>
        <v/>
      </c>
      <c r="H31" t="str">
        <f>IFERROR(VLOOKUP($A31,Worksheet!$A$5:$I$110,H$4,FALSE),"")</f>
        <v/>
      </c>
    </row>
    <row r="32" spans="1:8" x14ac:dyDescent="0.25">
      <c r="A32" s="126">
        <v>-55344214</v>
      </c>
      <c r="B32" s="78" t="str">
        <f>IFERROR(VLOOKUP($A32,Worksheet!$A$5:$I$110,B$4,FALSE),"")</f>
        <v/>
      </c>
      <c r="C32" s="78" t="str">
        <f>IFERROR(VLOOKUP($A32,Worksheet!$A$5:$I$110,C$4,FALSE),"")</f>
        <v/>
      </c>
      <c r="D32" s="78" t="str">
        <f>IFERROR(VLOOKUP($A32,Worksheet!$A$5:$I$110,D$4,FALSE),"")</f>
        <v/>
      </c>
      <c r="E32" s="78" t="str">
        <f>IFERROR(VLOOKUP($A32,Worksheet!$A$5:$I$110,E$4,FALSE),"")</f>
        <v/>
      </c>
      <c r="F32" s="78" t="str">
        <f>IFERROR(VLOOKUP($A32,Worksheet!$A$5:$I$110,F$4,FALSE),"")</f>
        <v/>
      </c>
      <c r="G32" s="78" t="str">
        <f>IFERROR(VLOOKUP($A32,Worksheet!$A$5:$I$110,G$4,FALSE),"")</f>
        <v/>
      </c>
      <c r="H32" t="str">
        <f>IFERROR(VLOOKUP($A32,Worksheet!$A$5:$I$110,H$4,FALSE),"")</f>
        <v/>
      </c>
    </row>
    <row r="33" spans="1:8" x14ac:dyDescent="0.25">
      <c r="A33" s="125">
        <v>486644484</v>
      </c>
      <c r="B33" s="77" t="str">
        <f>IFERROR(VLOOKUP($A33,Worksheet!$A$5:$I$110,B$4,FALSE),"")</f>
        <v/>
      </c>
      <c r="C33" s="77" t="str">
        <f>IFERROR(VLOOKUP($A33,Worksheet!$A$5:$I$110,C$4,FALSE),"")</f>
        <v/>
      </c>
      <c r="D33" s="77" t="str">
        <f>IFERROR(VLOOKUP($A33,Worksheet!$A$5:$I$110,D$4,FALSE),"")</f>
        <v/>
      </c>
      <c r="E33" s="77" t="str">
        <f>IFERROR(VLOOKUP($A33,Worksheet!$A$5:$I$110,E$4,FALSE),"")</f>
        <v/>
      </c>
      <c r="F33" s="77" t="str">
        <f>IFERROR(VLOOKUP($A33,Worksheet!$A$5:$I$110,F$4,FALSE),"")</f>
        <v/>
      </c>
      <c r="G33" s="77" t="str">
        <f>IFERROR(VLOOKUP($A33,Worksheet!$A$5:$I$110,G$4,FALSE),"")</f>
        <v/>
      </c>
      <c r="H33" t="str">
        <f>IFERROR(VLOOKUP($A33,Worksheet!$A$5:$I$110,H$4,FALSE),"")</f>
        <v/>
      </c>
    </row>
    <row r="34" spans="1:8" x14ac:dyDescent="0.25">
      <c r="A34" s="126">
        <v>496180124</v>
      </c>
      <c r="B34" s="78" t="str">
        <f>IFERROR(VLOOKUP($A34,Worksheet!$A$5:$I$110,B$4,FALSE),"")</f>
        <v/>
      </c>
      <c r="C34" s="78" t="str">
        <f>IFERROR(VLOOKUP($A34,Worksheet!$A$5:$I$110,C$4,FALSE),"")</f>
        <v/>
      </c>
      <c r="D34" s="78" t="str">
        <f>IFERROR(VLOOKUP($A34,Worksheet!$A$5:$I$110,D$4,FALSE),"")</f>
        <v/>
      </c>
      <c r="E34" s="78" t="str">
        <f>IFERROR(VLOOKUP($A34,Worksheet!$A$5:$I$110,E$4,FALSE),"")</f>
        <v/>
      </c>
      <c r="F34" s="78" t="str">
        <f>IFERROR(VLOOKUP($A34,Worksheet!$A$5:$I$110,F$4,FALSE),"")</f>
        <v/>
      </c>
      <c r="G34" s="78" t="str">
        <f>IFERROR(VLOOKUP($A34,Worksheet!$A$5:$I$110,G$4,FALSE),"")</f>
        <v/>
      </c>
      <c r="H34" t="str">
        <f>IFERROR(VLOOKUP($A34,Worksheet!$A$5:$I$110,H$4,FALSE),"")</f>
        <v/>
      </c>
    </row>
    <row r="35" spans="1:8" x14ac:dyDescent="0.25">
      <c r="A35" s="124" t="s">
        <v>98</v>
      </c>
      <c r="B35" s="84"/>
      <c r="C35" s="84"/>
      <c r="D35" s="84"/>
      <c r="E35" s="84"/>
      <c r="F35" s="84"/>
      <c r="G35" s="84"/>
    </row>
    <row r="36" spans="1:8" x14ac:dyDescent="0.25">
      <c r="A36" s="126">
        <v>276562491</v>
      </c>
      <c r="B36" s="78" t="str">
        <f>IFERROR(VLOOKUP($A36,Worksheet!$A$5:$I$110,B$4,FALSE),"")</f>
        <v/>
      </c>
      <c r="C36" s="78" t="str">
        <f>IFERROR(VLOOKUP($A36,Worksheet!$A$5:$I$110,C$4,FALSE),"")</f>
        <v/>
      </c>
      <c r="D36" s="78" t="str">
        <f>IFERROR(VLOOKUP($A36,Worksheet!$A$5:$I$110,D$4,FALSE),"")</f>
        <v/>
      </c>
      <c r="E36" s="78" t="str">
        <f>IFERROR(VLOOKUP($A36,Worksheet!$A$5:$I$110,E$4,FALSE),"")</f>
        <v/>
      </c>
      <c r="F36" s="78" t="str">
        <f>IFERROR(VLOOKUP($A36,Worksheet!$A$5:$I$110,F$4,FALSE),"")</f>
        <v/>
      </c>
      <c r="G36" s="78" t="str">
        <f>IFERROR(VLOOKUP($A36,Worksheet!$A$5:$I$110,G$4,FALSE),"")</f>
        <v/>
      </c>
      <c r="H36" t="str">
        <f>IFERROR(VLOOKUP($A36,Worksheet!$A$5:$I$110,H$4,FALSE),"")</f>
        <v/>
      </c>
    </row>
    <row r="37" spans="1:8" x14ac:dyDescent="0.25">
      <c r="A37" s="125">
        <v>-306398606</v>
      </c>
      <c r="B37" s="77" t="str">
        <f>IFERROR(VLOOKUP($A37,Worksheet!$A$5:$I$110,B$4,FALSE),"")</f>
        <v/>
      </c>
      <c r="C37" s="77" t="str">
        <f>IFERROR(VLOOKUP($A37,Worksheet!$A$5:$I$110,C$4,FALSE),"")</f>
        <v/>
      </c>
      <c r="D37" s="77" t="str">
        <f>IFERROR(VLOOKUP($A37,Worksheet!$A$5:$I$110,D$4,FALSE),"")</f>
        <v/>
      </c>
      <c r="E37" s="77" t="str">
        <f>IFERROR(VLOOKUP($A37,Worksheet!$A$5:$I$110,E$4,FALSE),"")</f>
        <v/>
      </c>
      <c r="F37" s="77" t="str">
        <f>IFERROR(VLOOKUP($A37,Worksheet!$A$5:$I$110,F$4,FALSE),"")</f>
        <v/>
      </c>
      <c r="G37" s="77" t="str">
        <f>IFERROR(VLOOKUP($A37,Worksheet!$A$5:$I$110,G$4,FALSE),"")</f>
        <v/>
      </c>
      <c r="H37" t="str">
        <f>IFERROR(VLOOKUP($A37,Worksheet!$A$5:$I$110,H$4,FALSE),"")</f>
        <v/>
      </c>
    </row>
    <row r="38" spans="1:8" x14ac:dyDescent="0.25">
      <c r="A38" s="126">
        <v>-110541820</v>
      </c>
      <c r="B38" s="78" t="str">
        <f>IFERROR(VLOOKUP($A38,Worksheet!$A$5:$I$110,B$4,FALSE),"")</f>
        <v/>
      </c>
      <c r="C38" s="78" t="str">
        <f>IFERROR(VLOOKUP($A38,Worksheet!$A$5:$I$110,C$4,FALSE),"")</f>
        <v/>
      </c>
      <c r="D38" s="78" t="str">
        <f>IFERROR(VLOOKUP($A38,Worksheet!$A$5:$I$110,D$4,FALSE),"")</f>
        <v/>
      </c>
      <c r="E38" s="78" t="str">
        <f>IFERROR(VLOOKUP($A38,Worksheet!$A$5:$I$110,E$4,FALSE),"")</f>
        <v/>
      </c>
      <c r="F38" s="78" t="str">
        <f>IFERROR(VLOOKUP($A38,Worksheet!$A$5:$I$110,F$4,FALSE),"")</f>
        <v/>
      </c>
      <c r="G38" s="78" t="str">
        <f>IFERROR(VLOOKUP($A38,Worksheet!$A$5:$I$110,G$4,FALSE),"")</f>
        <v/>
      </c>
      <c r="H38" t="str">
        <f>IFERROR(VLOOKUP($A38,Worksheet!$A$5:$I$110,H$4,FALSE),"")</f>
        <v/>
      </c>
    </row>
    <row r="39" spans="1:8" x14ac:dyDescent="0.25">
      <c r="A39" s="125">
        <v>184256789</v>
      </c>
      <c r="B39" s="77" t="str">
        <f>IFERROR(VLOOKUP($A39,Worksheet!$A$5:$I$110,B$4,FALSE),"")</f>
        <v/>
      </c>
      <c r="C39" s="77" t="str">
        <f>IFERROR(VLOOKUP($A39,Worksheet!$A$5:$I$110,C$4,FALSE),"")</f>
        <v/>
      </c>
      <c r="D39" s="77" t="str">
        <f>IFERROR(VLOOKUP($A39,Worksheet!$A$5:$I$110,D$4,FALSE),"")</f>
        <v/>
      </c>
      <c r="E39" s="77" t="str">
        <f>IFERROR(VLOOKUP($A39,Worksheet!$A$5:$I$110,E$4,FALSE),"")</f>
        <v/>
      </c>
      <c r="F39" s="77" t="str">
        <f>IFERROR(VLOOKUP($A39,Worksheet!$A$5:$I$110,F$4,FALSE),"")</f>
        <v/>
      </c>
      <c r="G39" s="77" t="str">
        <f>IFERROR(VLOOKUP($A39,Worksheet!$A$5:$I$110,G$4,FALSE),"")</f>
        <v/>
      </c>
      <c r="H39" t="str">
        <f>IFERROR(VLOOKUP($A39,Worksheet!$A$5:$I$110,H$4,FALSE),"")</f>
        <v/>
      </c>
    </row>
    <row r="40" spans="1:8" x14ac:dyDescent="0.25">
      <c r="A40" s="126">
        <v>410564501</v>
      </c>
      <c r="B40" s="78" t="str">
        <f>IFERROR(VLOOKUP($A40,Worksheet!$A$5:$I$110,B$4,FALSE),"")</f>
        <v/>
      </c>
      <c r="C40" s="78" t="str">
        <f>IFERROR(VLOOKUP($A40,Worksheet!$A$5:$I$110,C$4,FALSE),"")</f>
        <v/>
      </c>
      <c r="D40" s="78" t="str">
        <f>IFERROR(VLOOKUP($A40,Worksheet!$A$5:$I$110,D$4,FALSE),"")</f>
        <v/>
      </c>
      <c r="E40" s="78" t="str">
        <f>IFERROR(VLOOKUP($A40,Worksheet!$A$5:$I$110,E$4,FALSE),"")</f>
        <v/>
      </c>
      <c r="F40" s="78" t="str">
        <f>IFERROR(VLOOKUP($A40,Worksheet!$A$5:$I$110,F$4,FALSE),"")</f>
        <v/>
      </c>
      <c r="G40" s="78" t="str">
        <f>IFERROR(VLOOKUP($A40,Worksheet!$A$5:$I$110,G$4,FALSE),"")</f>
        <v/>
      </c>
      <c r="H40" t="str">
        <f>IFERROR(VLOOKUP($A40,Worksheet!$A$5:$I$110,H$4,FALSE),"")</f>
        <v/>
      </c>
    </row>
    <row r="41" spans="1:8" x14ac:dyDescent="0.25">
      <c r="A41" s="125">
        <v>269398838</v>
      </c>
      <c r="B41" s="77" t="str">
        <f>IFERROR(VLOOKUP($A41,Worksheet!$A$5:$I$110,B$4,FALSE),"")</f>
        <v/>
      </c>
      <c r="C41" s="77" t="str">
        <f>IFERROR(VLOOKUP($A41,Worksheet!$A$5:$I$110,C$4,FALSE),"")</f>
        <v/>
      </c>
      <c r="D41" s="77" t="str">
        <f>IFERROR(VLOOKUP($A41,Worksheet!$A$5:$I$110,D$4,FALSE),"")</f>
        <v/>
      </c>
      <c r="E41" s="77" t="str">
        <f>IFERROR(VLOOKUP($A41,Worksheet!$A$5:$I$110,E$4,FALSE),"")</f>
        <v/>
      </c>
      <c r="F41" s="77" t="str">
        <f>IFERROR(VLOOKUP($A41,Worksheet!$A$5:$I$110,F$4,FALSE),"")</f>
        <v/>
      </c>
      <c r="G41" s="77" t="str">
        <f>IFERROR(VLOOKUP($A41,Worksheet!$A$5:$I$110,G$4,FALSE),"")</f>
        <v/>
      </c>
      <c r="H41" t="str">
        <f>IFERROR(VLOOKUP($A41,Worksheet!$A$5:$I$110,H$4,FALSE),"")</f>
        <v/>
      </c>
    </row>
    <row r="42" spans="1:8" x14ac:dyDescent="0.25">
      <c r="A42" s="126">
        <v>77639596</v>
      </c>
      <c r="B42" s="78" t="str">
        <f>IFERROR(VLOOKUP($A42,Worksheet!$A$5:$I$110,B$4,FALSE),"")</f>
        <v/>
      </c>
      <c r="C42" s="78" t="str">
        <f>IFERROR(VLOOKUP($A42,Worksheet!$A$5:$I$110,C$4,FALSE),"")</f>
        <v/>
      </c>
      <c r="D42" s="78" t="str">
        <f>IFERROR(VLOOKUP($A42,Worksheet!$A$5:$I$110,D$4,FALSE),"")</f>
        <v/>
      </c>
      <c r="E42" s="78" t="str">
        <f>IFERROR(VLOOKUP($A42,Worksheet!$A$5:$I$110,E$4,FALSE),"")</f>
        <v/>
      </c>
      <c r="F42" s="78" t="str">
        <f>IFERROR(VLOOKUP($A42,Worksheet!$A$5:$I$110,F$4,FALSE),"")</f>
        <v/>
      </c>
      <c r="G42" s="78" t="str">
        <f>IFERROR(VLOOKUP($A42,Worksheet!$A$5:$I$110,G$4,FALSE),"")</f>
        <v/>
      </c>
      <c r="H42" t="str">
        <f>IFERROR(VLOOKUP($A42,Worksheet!$A$5:$I$110,H$4,FALSE),"")</f>
        <v/>
      </c>
    </row>
    <row r="43" spans="1:8" x14ac:dyDescent="0.25">
      <c r="A43" s="125">
        <v>126680872</v>
      </c>
      <c r="B43" s="77" t="str">
        <f>IFERROR(VLOOKUP($A43,Worksheet!$A$5:$I$110,B$4,FALSE),"")</f>
        <v/>
      </c>
      <c r="C43" s="77" t="str">
        <f>IFERROR(VLOOKUP($A43,Worksheet!$A$5:$I$110,C$4,FALSE),"")</f>
        <v/>
      </c>
      <c r="D43" s="77" t="str">
        <f>IFERROR(VLOOKUP($A43,Worksheet!$A$5:$I$110,D$4,FALSE),"")</f>
        <v/>
      </c>
      <c r="E43" s="77" t="str">
        <f>IFERROR(VLOOKUP($A43,Worksheet!$A$5:$I$110,E$4,FALSE),"")</f>
        <v/>
      </c>
      <c r="F43" s="77" t="str">
        <f>IFERROR(VLOOKUP($A43,Worksheet!$A$5:$I$110,F$4,FALSE),"")</f>
        <v/>
      </c>
      <c r="G43" s="77" t="str">
        <f>IFERROR(VLOOKUP($A43,Worksheet!$A$5:$I$110,G$4,FALSE),"")</f>
        <v/>
      </c>
      <c r="H43" t="str">
        <f>IFERROR(VLOOKUP($A43,Worksheet!$A$5:$I$110,H$4,FALSE),"")</f>
        <v/>
      </c>
    </row>
    <row r="44" spans="1:8" x14ac:dyDescent="0.25">
      <c r="A44" s="124" t="s">
        <v>115</v>
      </c>
      <c r="B44" s="84"/>
      <c r="C44" s="84"/>
      <c r="D44" s="84"/>
      <c r="E44" s="84"/>
      <c r="F44" s="84"/>
      <c r="G44" s="84"/>
    </row>
    <row r="45" spans="1:8" x14ac:dyDescent="0.25">
      <c r="A45" s="125">
        <v>-231948203</v>
      </c>
      <c r="B45" s="77" t="str">
        <f>IFERROR(VLOOKUP($A45,Worksheet!$A$5:$I$110,B$4,FALSE),"")</f>
        <v/>
      </c>
      <c r="C45" s="77" t="str">
        <f>IFERROR(VLOOKUP($A45,Worksheet!$A$5:$I$110,C$4,FALSE),"")</f>
        <v/>
      </c>
      <c r="D45" s="77" t="str">
        <f>IFERROR(VLOOKUP($A45,Worksheet!$A$5:$I$110,D$4,FALSE),"")</f>
        <v/>
      </c>
      <c r="E45" s="77" t="str">
        <f>IFERROR(VLOOKUP($A45,Worksheet!$A$5:$I$110,E$4,FALSE),"")</f>
        <v/>
      </c>
      <c r="F45" s="77" t="str">
        <f>IFERROR(VLOOKUP($A45,Worksheet!$A$5:$I$110,F$4,FALSE),"")</f>
        <v/>
      </c>
      <c r="G45" s="77" t="str">
        <f>IFERROR(VLOOKUP($A45,Worksheet!$A$5:$I$110,G$4,FALSE),"")</f>
        <v/>
      </c>
      <c r="H45" t="str">
        <f>IFERROR(VLOOKUP($A45,Worksheet!$A$5:$I$110,H$4,FALSE),"")</f>
        <v/>
      </c>
    </row>
    <row r="46" spans="1:8" x14ac:dyDescent="0.25">
      <c r="B46" s="127"/>
      <c r="C46" s="127"/>
      <c r="D46" s="127"/>
      <c r="E46" s="127"/>
      <c r="F46" s="127"/>
      <c r="G46" s="127"/>
    </row>
    <row r="47" spans="1:8" x14ac:dyDescent="0.25">
      <c r="B47" s="127"/>
      <c r="C47" s="127"/>
      <c r="D47" s="127"/>
      <c r="E47" s="127"/>
      <c r="F47" s="127"/>
      <c r="G47" s="127"/>
    </row>
    <row r="48" spans="1:8" x14ac:dyDescent="0.25">
      <c r="B48" s="127"/>
      <c r="C48" s="127"/>
      <c r="D48" s="127"/>
      <c r="E48" s="127"/>
      <c r="F48" s="127"/>
      <c r="G48" s="127"/>
    </row>
  </sheetData>
  <mergeCells count="1">
    <mergeCell ref="C1:E1"/>
  </mergeCells>
  <pageMargins left="0.7" right="0.7" top="0.75" bottom="0.75" header="0.3" footer="0.3"/>
  <pageSetup scale="90" firstPageNumber="2" fitToHeight="0" orientation="portrait" useFirstPageNumber="1" errors="blank" horizontalDpi="180" verticalDpi="180" r:id="rId2"/>
  <headerFooter>
    <oddHeader>&amp;LJohnson Gage and Inspection Inc.&amp;RPage 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10"/>
  <sheetViews>
    <sheetView tabSelected="1" topLeftCell="L1" zoomScaleNormal="100" workbookViewId="0">
      <selection activeCell="AL14" sqref="AL14"/>
    </sheetView>
  </sheetViews>
  <sheetFormatPr defaultColWidth="9.28515625" defaultRowHeight="15" x14ac:dyDescent="0.25"/>
  <cols>
    <col min="1" max="1" width="10.7109375" style="122" hidden="1" customWidth="1"/>
    <col min="2" max="2" width="17.28515625" customWidth="1"/>
    <col min="3" max="3" width="10" customWidth="1"/>
    <col min="4" max="4" width="26.7109375" customWidth="1"/>
    <col min="5" max="5" width="19" customWidth="1"/>
    <col min="6" max="6" width="18" customWidth="1"/>
    <col min="7" max="7" width="15.28515625" customWidth="1"/>
    <col min="8" max="8" width="18.28515625" customWidth="1"/>
    <col min="9" max="9" width="8.5703125" style="72" customWidth="1"/>
    <col min="10" max="10" width="8.5703125" style="86" hidden="1" customWidth="1"/>
    <col min="11" max="11" width="6" style="54" customWidth="1"/>
    <col min="12" max="12" width="7.5703125" style="54" customWidth="1"/>
    <col min="13" max="13" width="25.7109375" customWidth="1"/>
    <col min="14" max="14" width="7.7109375" customWidth="1"/>
    <col min="15" max="15" width="7.7109375" hidden="1" customWidth="1"/>
    <col min="16" max="16" width="7.5703125" hidden="1" customWidth="1"/>
    <col min="17" max="18" width="2" hidden="1" customWidth="1"/>
    <col min="19" max="19" width="9.85546875" style="102" bestFit="1" customWidth="1"/>
    <col min="20" max="20" width="5.28515625" style="54" bestFit="1" customWidth="1"/>
    <col min="21" max="21" width="12.7109375" style="54" customWidth="1"/>
    <col min="22" max="22" width="10.5703125" style="54" bestFit="1" customWidth="1"/>
    <col min="23" max="23" width="8" style="54" customWidth="1"/>
    <col min="24" max="25" width="9.28515625" style="54"/>
    <col min="26" max="26" width="9.28515625" style="54" bestFit="1" customWidth="1"/>
    <col min="27" max="27" width="10.28515625" style="54" bestFit="1" customWidth="1"/>
    <col min="28" max="28" width="10.7109375" customWidth="1"/>
    <col min="29" max="29" width="11.28515625" customWidth="1"/>
    <col min="30" max="30" width="9.28515625" style="54" bestFit="1" customWidth="1"/>
    <col min="31" max="31" width="10.7109375" style="54" bestFit="1" customWidth="1"/>
    <col min="32" max="32" width="10.28515625" customWidth="1"/>
    <col min="33" max="34" width="21.7109375" hidden="1" customWidth="1"/>
    <col min="35" max="35" width="9.140625" bestFit="1" customWidth="1"/>
    <col min="36" max="38" width="12" customWidth="1"/>
  </cols>
  <sheetData>
    <row r="1" spans="1:38" ht="18.75" x14ac:dyDescent="0.3">
      <c r="A1" s="118"/>
      <c r="B1" s="1"/>
      <c r="C1" s="2"/>
      <c r="D1" s="3" t="s">
        <v>20</v>
      </c>
      <c r="E1" s="2"/>
      <c r="F1" s="2" t="s">
        <v>62</v>
      </c>
      <c r="G1" s="2"/>
      <c r="H1" s="23"/>
      <c r="I1" s="47"/>
      <c r="J1" s="87"/>
      <c r="K1" s="44"/>
      <c r="L1" s="30"/>
      <c r="M1" s="139"/>
      <c r="N1" s="4"/>
      <c r="O1" s="5"/>
      <c r="P1" s="5"/>
      <c r="Q1" s="5"/>
      <c r="R1" s="5"/>
      <c r="S1" s="100"/>
      <c r="T1" s="7"/>
      <c r="U1" s="7"/>
      <c r="V1" s="6"/>
      <c r="W1" s="7"/>
      <c r="X1" s="8" t="s">
        <v>21</v>
      </c>
      <c r="Y1" s="7"/>
      <c r="Z1" s="7"/>
      <c r="AA1" s="7" t="s">
        <v>23</v>
      </c>
      <c r="AB1" s="7"/>
      <c r="AC1" s="7"/>
      <c r="AD1" s="9" t="s">
        <v>16</v>
      </c>
      <c r="AE1" s="9" t="s">
        <v>22</v>
      </c>
      <c r="AF1" s="6"/>
      <c r="AG1" s="29"/>
      <c r="AH1" s="74"/>
    </row>
    <row r="2" spans="1:38" ht="18" x14ac:dyDescent="0.25">
      <c r="A2" s="119"/>
      <c r="B2" s="10"/>
      <c r="C2" s="137" t="s">
        <v>63</v>
      </c>
      <c r="D2" s="138"/>
      <c r="E2" s="138"/>
      <c r="F2" s="45"/>
      <c r="G2" s="11"/>
      <c r="H2" s="24"/>
      <c r="I2" s="48"/>
      <c r="J2" s="85"/>
      <c r="K2" s="42"/>
      <c r="L2" s="31"/>
      <c r="M2" s="139"/>
      <c r="N2" s="12"/>
      <c r="O2" s="5"/>
      <c r="P2" s="5"/>
      <c r="Q2" s="5"/>
      <c r="R2" s="5"/>
      <c r="S2" s="100"/>
      <c r="T2" s="7"/>
      <c r="U2" s="103" t="s">
        <v>24</v>
      </c>
      <c r="V2" s="7"/>
      <c r="W2" s="7"/>
      <c r="X2" s="8"/>
      <c r="Y2" s="7"/>
      <c r="Z2" s="7"/>
      <c r="AA2" s="9" t="s">
        <v>26</v>
      </c>
      <c r="AB2" s="7"/>
      <c r="AC2" s="7"/>
      <c r="AD2" s="7" t="s">
        <v>5</v>
      </c>
      <c r="AE2" s="27" t="s">
        <v>25</v>
      </c>
      <c r="AF2" s="6"/>
      <c r="AG2" s="29"/>
      <c r="AH2" s="74"/>
    </row>
    <row r="3" spans="1:38" ht="16.5" customHeight="1" thickBot="1" x14ac:dyDescent="0.3">
      <c r="A3" s="119"/>
      <c r="B3" s="10"/>
      <c r="C3" s="13"/>
      <c r="D3" s="14"/>
      <c r="E3" s="96"/>
      <c r="F3" s="68"/>
      <c r="G3" s="15"/>
      <c r="H3" s="24"/>
      <c r="I3" s="48"/>
      <c r="J3" s="85"/>
      <c r="K3" s="95"/>
      <c r="L3" s="31"/>
      <c r="M3" s="51"/>
      <c r="N3" s="5"/>
      <c r="O3" s="5"/>
      <c r="P3" s="5"/>
      <c r="Q3" s="5"/>
      <c r="R3" s="5"/>
      <c r="S3" s="100"/>
      <c r="T3" s="7"/>
      <c r="U3" s="104"/>
      <c r="V3" s="26"/>
      <c r="W3" s="7"/>
      <c r="X3" s="8"/>
      <c r="Y3" s="7"/>
      <c r="Z3" s="7" t="s">
        <v>1673</v>
      </c>
      <c r="AA3" s="7"/>
      <c r="AB3" s="7"/>
      <c r="AC3" s="7"/>
      <c r="AD3" s="7" t="s">
        <v>11</v>
      </c>
      <c r="AE3" s="7"/>
      <c r="AF3" s="6"/>
      <c r="AG3" s="135" t="s">
        <v>50</v>
      </c>
      <c r="AH3" s="75"/>
    </row>
    <row r="4" spans="1:38" ht="15.75" x14ac:dyDescent="0.25">
      <c r="A4" s="119"/>
      <c r="B4" s="1"/>
      <c r="C4" s="14"/>
      <c r="E4" s="14"/>
      <c r="F4" s="14"/>
      <c r="G4" s="14"/>
      <c r="H4" s="24"/>
      <c r="I4" s="48"/>
      <c r="J4" s="85"/>
      <c r="K4" s="42"/>
      <c r="L4" s="31"/>
      <c r="M4" s="16"/>
      <c r="N4" s="79" t="s">
        <v>2184</v>
      </c>
      <c r="O4" s="5"/>
      <c r="P4" s="5"/>
      <c r="Q4" s="5"/>
      <c r="R4" s="5"/>
      <c r="S4" s="108"/>
      <c r="T4" s="109"/>
      <c r="U4" s="140" t="s">
        <v>27</v>
      </c>
      <c r="V4" s="105"/>
      <c r="W4" s="109"/>
      <c r="X4" s="109"/>
      <c r="Y4" s="110"/>
      <c r="Z4" s="7" t="s">
        <v>61</v>
      </c>
      <c r="AA4" s="7"/>
      <c r="AB4" s="7"/>
      <c r="AC4" s="7"/>
      <c r="AD4" s="17"/>
      <c r="AE4" s="17"/>
      <c r="AF4" s="6"/>
      <c r="AG4" s="135"/>
      <c r="AH4" s="75"/>
    </row>
    <row r="5" spans="1:38" ht="39" customHeight="1" x14ac:dyDescent="0.25">
      <c r="A5" s="120" t="s">
        <v>2186</v>
      </c>
      <c r="B5" s="128" t="s">
        <v>29</v>
      </c>
      <c r="C5" s="129" t="s">
        <v>18</v>
      </c>
      <c r="D5" s="130" t="s">
        <v>30</v>
      </c>
      <c r="E5" s="129" t="s">
        <v>31</v>
      </c>
      <c r="F5" s="129" t="s">
        <v>32</v>
      </c>
      <c r="G5" s="129" t="s">
        <v>33</v>
      </c>
      <c r="H5" s="131" t="s">
        <v>34</v>
      </c>
      <c r="I5" s="49" t="s">
        <v>96</v>
      </c>
      <c r="J5" s="88" t="s">
        <v>0</v>
      </c>
      <c r="K5" s="33" t="s">
        <v>48</v>
      </c>
      <c r="L5" s="32" t="s">
        <v>49</v>
      </c>
      <c r="M5" s="18" t="s">
        <v>35</v>
      </c>
      <c r="N5" s="19">
        <v>1</v>
      </c>
      <c r="O5" s="19">
        <v>2</v>
      </c>
      <c r="P5" s="19">
        <v>3</v>
      </c>
      <c r="Q5" s="19">
        <v>4</v>
      </c>
      <c r="R5" s="19">
        <v>5</v>
      </c>
      <c r="S5" s="106" t="s">
        <v>112</v>
      </c>
      <c r="T5" s="107" t="s">
        <v>113</v>
      </c>
      <c r="U5" s="141"/>
      <c r="V5" s="97" t="s">
        <v>28</v>
      </c>
      <c r="W5" s="111" t="s">
        <v>18</v>
      </c>
      <c r="X5" s="107" t="s">
        <v>36</v>
      </c>
      <c r="Y5" s="20" t="s">
        <v>37</v>
      </c>
      <c r="Z5" s="20" t="s">
        <v>38</v>
      </c>
      <c r="AA5" s="20" t="s">
        <v>39</v>
      </c>
      <c r="AB5" s="20" t="s">
        <v>41</v>
      </c>
      <c r="AC5" s="20" t="s">
        <v>40</v>
      </c>
      <c r="AD5" s="112" t="s">
        <v>17</v>
      </c>
      <c r="AE5" s="97" t="s">
        <v>42</v>
      </c>
      <c r="AF5" s="117"/>
      <c r="AG5" s="136"/>
      <c r="AH5" s="75" t="s">
        <v>2187</v>
      </c>
      <c r="AI5" s="25"/>
      <c r="AJ5" s="46"/>
      <c r="AK5" s="25"/>
      <c r="AL5" s="25"/>
    </row>
    <row r="6" spans="1:38" x14ac:dyDescent="0.25">
      <c r="A6" s="121" t="str" cm="1">
        <f t="array" ref="A6">IfEmpty(TRIM(_xlfn.CONCAT(C6:H6)),"",CRC32HASH(_xlfn.CONCAT(C6:H6)))</f>
        <v/>
      </c>
      <c r="B6" s="10" t="str">
        <f>IFERROR(VLOOKUP(J6,Items[],2,FALSE),"")</f>
        <v/>
      </c>
      <c r="C6" s="34" t="str" cm="1">
        <f t="array" ref="C6">W6 &amp; " " &amp; IfEmpty(U6, AG6)</f>
        <v xml:space="preserve"> </v>
      </c>
      <c r="D6" s="43" t="str">
        <f>IF(OR(AG6="°C", AG6="°F"), Z6 &amp; " " &amp; AG6, IF(RIGHT(AG6,2)="Hz", AF6 &amp; " @ " &amp; Z6 &amp; " " &amp; AG6, Z6 &amp; AH6 &amp; " " &amp; AF6))</f>
        <v xml:space="preserve">  </v>
      </c>
      <c r="E6" s="57" t="str">
        <f>IFERROR(ROUND(AVERAGE(N6:R6),-LOG10(V6)) &amp; AH6,"")</f>
        <v/>
      </c>
      <c r="F6" s="41" t="str">
        <f>IF(AB6="","",AB6 &amp; $AH6)</f>
        <v/>
      </c>
      <c r="G6" s="41" t="str">
        <f>IF(AC6="","",AC6 &amp; $AH6)</f>
        <v/>
      </c>
      <c r="H6" s="35" t="str" cm="1">
        <f t="array" ref="H6:J6">IFERROR(CalcUnc(K6,L6,S6,T6,V6,X6,AD6,AE6,N6:R6,Z6,AA6),"")</f>
        <v/>
      </c>
      <c r="I6" s="50" t="str">
        <v/>
      </c>
      <c r="J6" s="89" t="str">
        <v/>
      </c>
      <c r="K6" s="55"/>
      <c r="L6" s="56"/>
      <c r="M6" s="22"/>
      <c r="N6" s="52"/>
      <c r="O6" s="53"/>
      <c r="P6" s="53"/>
      <c r="Q6" s="98"/>
      <c r="R6" s="98"/>
      <c r="S6" s="101"/>
      <c r="T6" s="113"/>
      <c r="U6" s="59"/>
      <c r="V6" s="60"/>
      <c r="W6" s="61"/>
      <c r="X6" s="115"/>
      <c r="Y6" s="132"/>
      <c r="Z6" s="62"/>
      <c r="AA6" s="63"/>
      <c r="AB6" s="73" t="str">
        <f t="shared" ref="AB6" si="0">IF(V6&lt;&gt;"",ROUND(Z6-AA6,-LOG10(V6)),"")</f>
        <v/>
      </c>
      <c r="AC6" s="73" t="str">
        <f t="shared" ref="AC6" si="1">IF(V6&lt;&gt;"",ROUND(Z6+AA6,-LOG10(V6)),"")</f>
        <v/>
      </c>
      <c r="AD6" s="66"/>
      <c r="AE6" s="67"/>
      <c r="AF6" s="21" t="str">
        <f>IF(RIGHT(AE6,2)="Hz","@ ","")&amp;AD6&amp;AE6</f>
        <v/>
      </c>
      <c r="AG6" s="28" t="str" cm="1">
        <f t="array" ref="AG6">FilterSpecialCharacters(X6)</f>
        <v/>
      </c>
      <c r="AH6" s="74" t="str">
        <f>" "&amp;AG6&amp;IF($Y6="",""," ("&amp;$Y6&amp;")")</f>
        <v xml:space="preserve"> </v>
      </c>
    </row>
    <row r="7" spans="1:38" x14ac:dyDescent="0.25">
      <c r="A7" s="121" t="str" cm="1">
        <f t="array" ref="A7">IfEmpty(TRIM(_xlfn.CONCAT(C7:H7)),"",CRC32HASH(_xlfn.CONCAT(C7:H7)))</f>
        <v/>
      </c>
      <c r="B7" s="39" t="str">
        <f>IFERROR(VLOOKUP(J7,Items[],2,FALSE),"")</f>
        <v/>
      </c>
      <c r="C7" s="36" t="str" cm="1">
        <f t="array" ref="C7">W7 &amp; " " &amp; IfEmpty(U7, AG7)</f>
        <v xml:space="preserve"> </v>
      </c>
      <c r="D7" s="37" t="str">
        <f>IF(OR(AG7="°C", AG7="°F"), Z7 &amp; " " &amp; AG7, IF(RIGHT(AG7,2)="Hz", AF7 &amp; " @ " &amp; Z7 &amp; " " &amp; AG7, Z7 &amp; AH7 &amp; " " &amp; AF7))</f>
        <v xml:space="preserve">  </v>
      </c>
      <c r="E7" s="58" t="str">
        <f>IFERROR(ROUND(AVERAGE(N7:R7),-LOG10(V7)) &amp; AH7,"")</f>
        <v/>
      </c>
      <c r="F7" s="42" t="str">
        <f>IF(AB7="","",AB7 &amp; $AH7)</f>
        <v/>
      </c>
      <c r="G7" s="42" t="str">
        <f>IF(AC7="","",AC7 &amp; $AH7)</f>
        <v/>
      </c>
      <c r="H7" s="38" t="str" cm="1">
        <f t="array" ref="H7:J7">IFERROR(CalcUnc(K7,L7,S7,T7,V7,X7,AD7,AE7,N7:R7,Z7,AA7),"")</f>
        <v/>
      </c>
      <c r="I7" s="50" t="str">
        <v/>
      </c>
      <c r="J7" s="89" t="str">
        <v/>
      </c>
      <c r="K7" s="55"/>
      <c r="L7" s="56"/>
      <c r="M7" s="22"/>
      <c r="N7" s="52"/>
      <c r="O7" s="53"/>
      <c r="P7" s="53"/>
      <c r="Q7" s="98"/>
      <c r="R7" s="98"/>
      <c r="S7" s="101"/>
      <c r="T7" s="114"/>
      <c r="U7" s="59"/>
      <c r="V7" s="60"/>
      <c r="W7" s="61"/>
      <c r="X7" s="116"/>
      <c r="Y7" s="132"/>
      <c r="Z7" s="62"/>
      <c r="AA7" s="63"/>
      <c r="AB7" s="73" t="str">
        <f t="shared" ref="AB7:AB37" si="2">IF(V7&lt;&gt;"",ROUND(Z7-AA7,-LOG10(V7)),"")</f>
        <v/>
      </c>
      <c r="AC7" s="73" t="str">
        <f t="shared" ref="AC7:AC37" si="3">IF(V7&lt;&gt;"",ROUND(Z7+AA7,-LOG10(V7)),"")</f>
        <v/>
      </c>
      <c r="AD7" s="66"/>
      <c r="AE7" s="67"/>
      <c r="AF7" s="21" t="str">
        <f t="shared" ref="AF7:AF70" si="4">IF(RIGHT(AE7,2)="Hz","@ ","")&amp;AD7&amp;AE7</f>
        <v/>
      </c>
      <c r="AG7" s="28" t="str" cm="1">
        <f t="array" ref="AG7">FilterSpecialCharacters(X7)</f>
        <v/>
      </c>
      <c r="AH7" s="74" t="str">
        <f t="shared" ref="AH7:AH70" si="5">" "&amp;AG7&amp;IF($Y7="",""," ("&amp;$Y7&amp;")")</f>
        <v xml:space="preserve"> </v>
      </c>
    </row>
    <row r="8" spans="1:38" x14ac:dyDescent="0.25">
      <c r="A8" s="121" t="str" cm="1">
        <f t="array" ref="A8">IfEmpty(TRIM(_xlfn.CONCAT(C8:H8)),"",CRC32HASH(_xlfn.CONCAT(C8:H8)))</f>
        <v/>
      </c>
      <c r="B8" s="10" t="str">
        <f>IFERROR(VLOOKUP(J8,Items[],2,FALSE),"")</f>
        <v/>
      </c>
      <c r="C8" s="34" t="str" cm="1">
        <f t="array" ref="C8">W8 &amp; " " &amp; IfEmpty(U8, AG8)</f>
        <v xml:space="preserve"> </v>
      </c>
      <c r="D8" s="43" t="str">
        <f t="shared" ref="D8:D71" si="6">IF(OR(AG8="°C", AG8="°F"), Z8 &amp; " " &amp; AG8, IF(RIGHT(AG8,2)="Hz", AF8 &amp; " @ " &amp; Z8 &amp; " " &amp; AG8, Z8 &amp; AH8 &amp; " " &amp; AF8))</f>
        <v xml:space="preserve">  </v>
      </c>
      <c r="E8" s="57" t="str">
        <f t="shared" ref="E8:E71" si="7">IFERROR(ROUND(AVERAGE(N8:R8),-LOG10(V8)) &amp; AH8,"")</f>
        <v/>
      </c>
      <c r="F8" s="41" t="str">
        <f t="shared" ref="F8:F71" si="8">IF(AB8="","",AB8 &amp; $AH8)</f>
        <v/>
      </c>
      <c r="G8" s="41" t="str">
        <f t="shared" ref="G8:G71" si="9">IF(AC8="","",AC8 &amp; $AH8)</f>
        <v/>
      </c>
      <c r="H8" s="35" t="str" cm="1">
        <f t="array" ref="H8:J8">IFERROR(CalcUnc(K8,L8,S8,T8,V8,X8,AD8,AE8,N8:R8,Z8,AA8),"")</f>
        <v/>
      </c>
      <c r="I8" s="50" t="str">
        <v/>
      </c>
      <c r="J8" s="89" t="str">
        <v/>
      </c>
      <c r="K8" s="55"/>
      <c r="L8" s="56"/>
      <c r="M8" s="22"/>
      <c r="N8" s="52"/>
      <c r="O8" s="53"/>
      <c r="P8" s="53"/>
      <c r="Q8" s="98"/>
      <c r="R8" s="98"/>
      <c r="S8" s="101"/>
      <c r="T8" s="114"/>
      <c r="U8" s="59"/>
      <c r="V8" s="60"/>
      <c r="W8" s="61"/>
      <c r="X8" s="116"/>
      <c r="Y8" s="132"/>
      <c r="Z8" s="62"/>
      <c r="AA8" s="63"/>
      <c r="AB8" s="73" t="str">
        <f t="shared" si="2"/>
        <v/>
      </c>
      <c r="AC8" s="73" t="str">
        <f t="shared" si="3"/>
        <v/>
      </c>
      <c r="AD8" s="66"/>
      <c r="AE8" s="67"/>
      <c r="AF8" s="21" t="str">
        <f t="shared" si="4"/>
        <v/>
      </c>
      <c r="AG8" s="28" t="str" cm="1">
        <f t="array" ref="AG8">FilterSpecialCharacters(X8)</f>
        <v/>
      </c>
      <c r="AH8" s="74" t="str">
        <f t="shared" si="5"/>
        <v xml:space="preserve"> </v>
      </c>
    </row>
    <row r="9" spans="1:38" x14ac:dyDescent="0.25">
      <c r="A9" s="121" t="str" cm="1">
        <f t="array" ref="A9">IfEmpty(TRIM(_xlfn.CONCAT(C9:H9)),"",CRC32HASH(_xlfn.CONCAT(C9:H9)))</f>
        <v/>
      </c>
      <c r="B9" s="39" t="str">
        <f>IFERROR(VLOOKUP(J9,Items[],2,FALSE),"")</f>
        <v/>
      </c>
      <c r="C9" s="36" t="str" cm="1">
        <f t="array" ref="C9">W9 &amp; " " &amp; IfEmpty(U9, FilterSpecialCharacters(X9))</f>
        <v xml:space="preserve"> </v>
      </c>
      <c r="D9" s="37" t="str">
        <f t="shared" si="6"/>
        <v xml:space="preserve">  </v>
      </c>
      <c r="E9" s="58" t="str">
        <f t="shared" si="7"/>
        <v/>
      </c>
      <c r="F9" s="42" t="str">
        <f t="shared" si="8"/>
        <v/>
      </c>
      <c r="G9" s="42" t="str">
        <f t="shared" si="9"/>
        <v/>
      </c>
      <c r="H9" s="38" t="str" cm="1">
        <f t="array" ref="H9:J9">IFERROR(CalcUnc(K9,L9,S9,T9,V9,X9,AD9,AE9,N9:R9,Z9,AA9),"")</f>
        <v/>
      </c>
      <c r="I9" s="50" t="str">
        <v/>
      </c>
      <c r="J9" s="89" t="str">
        <v/>
      </c>
      <c r="K9" s="55"/>
      <c r="L9" s="56"/>
      <c r="M9" s="22"/>
      <c r="N9" s="52"/>
      <c r="O9" s="53"/>
      <c r="P9" s="53"/>
      <c r="Q9" s="98"/>
      <c r="R9" s="98"/>
      <c r="S9" s="101"/>
      <c r="T9" s="114"/>
      <c r="U9" s="59"/>
      <c r="V9" s="60"/>
      <c r="W9" s="61"/>
      <c r="X9" s="116"/>
      <c r="Y9" s="132"/>
      <c r="Z9" s="62"/>
      <c r="AA9" s="63"/>
      <c r="AB9" s="73" t="str">
        <f t="shared" si="2"/>
        <v/>
      </c>
      <c r="AC9" s="73" t="str">
        <f t="shared" si="3"/>
        <v/>
      </c>
      <c r="AD9" s="66"/>
      <c r="AE9" s="67"/>
      <c r="AF9" s="21" t="str">
        <f t="shared" si="4"/>
        <v/>
      </c>
      <c r="AG9" s="28" t="str" cm="1">
        <f t="array" ref="AG9">FilterSpecialCharacters(X9)</f>
        <v/>
      </c>
      <c r="AH9" s="74" t="str">
        <f t="shared" si="5"/>
        <v xml:space="preserve"> </v>
      </c>
    </row>
    <row r="10" spans="1:38" x14ac:dyDescent="0.25">
      <c r="A10" s="121" t="str" cm="1">
        <f t="array" ref="A10">IfEmpty(TRIM(_xlfn.CONCAT(C10:H10)),"",CRC32HASH(_xlfn.CONCAT(C10:H10)))</f>
        <v/>
      </c>
      <c r="B10" s="10" t="str">
        <f>IFERROR(VLOOKUP(J10,Items[],2,FALSE),"")</f>
        <v/>
      </c>
      <c r="C10" s="34" t="str" cm="1">
        <f t="array" ref="C10">W10 &amp; " " &amp; IfEmpty(U10, AG10)</f>
        <v xml:space="preserve"> </v>
      </c>
      <c r="D10" s="43" t="str">
        <f t="shared" si="6"/>
        <v xml:space="preserve">  </v>
      </c>
      <c r="E10" s="57" t="str">
        <f t="shared" si="7"/>
        <v/>
      </c>
      <c r="F10" s="41" t="str">
        <f t="shared" si="8"/>
        <v/>
      </c>
      <c r="G10" s="41" t="str">
        <f t="shared" si="9"/>
        <v/>
      </c>
      <c r="H10" s="35" t="str" cm="1">
        <f t="array" ref="H10:J10">IFERROR(CalcUnc(K10,L10,S10,T10,V10,X10,AD10,AE10,N10:R10,Z10,AA10),"")</f>
        <v/>
      </c>
      <c r="I10" s="50" t="str">
        <v/>
      </c>
      <c r="J10" s="89" t="str">
        <v/>
      </c>
      <c r="K10" s="55"/>
      <c r="L10" s="56"/>
      <c r="M10" s="22"/>
      <c r="N10" s="52"/>
      <c r="O10" s="53"/>
      <c r="P10" s="53"/>
      <c r="Q10" s="98"/>
      <c r="R10" s="98"/>
      <c r="S10" s="101"/>
      <c r="T10" s="114"/>
      <c r="U10" s="59"/>
      <c r="V10" s="60"/>
      <c r="W10" s="61"/>
      <c r="X10" s="116"/>
      <c r="Y10" s="132"/>
      <c r="Z10" s="62"/>
      <c r="AA10" s="63"/>
      <c r="AB10" s="73" t="str">
        <f t="shared" si="2"/>
        <v/>
      </c>
      <c r="AC10" s="73" t="str">
        <f t="shared" si="3"/>
        <v/>
      </c>
      <c r="AD10" s="66"/>
      <c r="AE10" s="67"/>
      <c r="AF10" s="21" t="str">
        <f t="shared" si="4"/>
        <v/>
      </c>
      <c r="AG10" s="28" t="str" cm="1">
        <f t="array" ref="AG10">FilterSpecialCharacters(X10)</f>
        <v/>
      </c>
      <c r="AH10" s="74" t="str">
        <f t="shared" si="5"/>
        <v xml:space="preserve"> </v>
      </c>
    </row>
    <row r="11" spans="1:38" x14ac:dyDescent="0.25">
      <c r="A11" s="121" t="str" cm="1">
        <f t="array" ref="A11">IfEmpty(TRIM(_xlfn.CONCAT(C11:H11)),"",CRC32HASH(_xlfn.CONCAT(C11:H11)))</f>
        <v/>
      </c>
      <c r="B11" s="39" t="str">
        <f>IFERROR(VLOOKUP(J11,Items[],2,FALSE),"")</f>
        <v/>
      </c>
      <c r="C11" s="36" t="str" cm="1">
        <f t="array" ref="C11">W11 &amp; " " &amp; IfEmpty(U11, FilterSpecialCharacters(X11))</f>
        <v xml:space="preserve"> </v>
      </c>
      <c r="D11" s="37" t="str">
        <f t="shared" si="6"/>
        <v xml:space="preserve">  </v>
      </c>
      <c r="E11" s="58" t="str">
        <f t="shared" si="7"/>
        <v/>
      </c>
      <c r="F11" s="42" t="str">
        <f t="shared" si="8"/>
        <v/>
      </c>
      <c r="G11" s="42" t="str">
        <f t="shared" si="9"/>
        <v/>
      </c>
      <c r="H11" s="38" t="str" cm="1">
        <f t="array" ref="H11:J11">IFERROR(CalcUnc(K11,L11,S11,T11,V11,X11,AD11,AE11,N11:R11,Z11,AA11),"")</f>
        <v/>
      </c>
      <c r="I11" s="50" t="str">
        <v/>
      </c>
      <c r="J11" s="89" t="str">
        <v/>
      </c>
      <c r="K11" s="55"/>
      <c r="L11" s="56"/>
      <c r="M11" s="22"/>
      <c r="N11" s="52"/>
      <c r="O11" s="53"/>
      <c r="P11" s="53"/>
      <c r="Q11" s="98"/>
      <c r="R11" s="98"/>
      <c r="S11" s="101"/>
      <c r="T11" s="114"/>
      <c r="U11" s="59"/>
      <c r="V11" s="60"/>
      <c r="W11" s="61"/>
      <c r="X11" s="116"/>
      <c r="Y11" s="132"/>
      <c r="Z11" s="62"/>
      <c r="AA11" s="63"/>
      <c r="AB11" s="73" t="str">
        <f t="shared" si="2"/>
        <v/>
      </c>
      <c r="AC11" s="73" t="str">
        <f t="shared" si="3"/>
        <v/>
      </c>
      <c r="AD11" s="66"/>
      <c r="AE11" s="67"/>
      <c r="AF11" s="21" t="str">
        <f t="shared" si="4"/>
        <v/>
      </c>
      <c r="AG11" s="28" t="str" cm="1">
        <f t="array" ref="AG11">FilterSpecialCharacters(X11)</f>
        <v/>
      </c>
      <c r="AH11" s="74" t="str">
        <f t="shared" si="5"/>
        <v xml:space="preserve"> </v>
      </c>
    </row>
    <row r="12" spans="1:38" x14ac:dyDescent="0.25">
      <c r="A12" s="121" t="str" cm="1">
        <f t="array" ref="A12">IfEmpty(TRIM(_xlfn.CONCAT(C12:H12)),"",CRC32HASH(_xlfn.CONCAT(C12:H12)))</f>
        <v/>
      </c>
      <c r="B12" s="10" t="str">
        <f>IFERROR(VLOOKUP(J12,Items[],2,FALSE),"")</f>
        <v/>
      </c>
      <c r="C12" s="34" t="str" cm="1">
        <f t="array" ref="C12">W12 &amp; " " &amp; IfEmpty(U12, AG12)</f>
        <v xml:space="preserve"> </v>
      </c>
      <c r="D12" s="43" t="str">
        <f t="shared" si="6"/>
        <v xml:space="preserve">  </v>
      </c>
      <c r="E12" s="57" t="str">
        <f t="shared" si="7"/>
        <v/>
      </c>
      <c r="F12" s="41" t="str">
        <f t="shared" si="8"/>
        <v/>
      </c>
      <c r="G12" s="41" t="str">
        <f t="shared" si="9"/>
        <v/>
      </c>
      <c r="H12" s="35" t="str" cm="1">
        <f t="array" ref="H12:J12">IFERROR(CalcUnc(K12,L12,S12,T12,V12,X12,AD12,AE12,N12:R12,Z12,AA12),"")</f>
        <v/>
      </c>
      <c r="I12" s="50" t="str">
        <v/>
      </c>
      <c r="J12" s="89" t="str">
        <v/>
      </c>
      <c r="K12" s="55"/>
      <c r="L12" s="56"/>
      <c r="M12" s="22"/>
      <c r="N12" s="52"/>
      <c r="O12" s="52"/>
      <c r="P12" s="53"/>
      <c r="Q12" s="98"/>
      <c r="R12" s="98"/>
      <c r="S12" s="101"/>
      <c r="T12" s="114"/>
      <c r="U12" s="59"/>
      <c r="V12" s="60"/>
      <c r="W12" s="61"/>
      <c r="X12" s="116"/>
      <c r="Y12" s="132"/>
      <c r="Z12" s="62"/>
      <c r="AA12" s="63"/>
      <c r="AB12" s="73" t="str">
        <f t="shared" si="2"/>
        <v/>
      </c>
      <c r="AC12" s="73" t="str">
        <f t="shared" si="3"/>
        <v/>
      </c>
      <c r="AD12" s="66"/>
      <c r="AE12" s="67"/>
      <c r="AF12" s="21" t="str">
        <f t="shared" si="4"/>
        <v/>
      </c>
      <c r="AG12" s="28" t="str" cm="1">
        <f t="array" ref="AG12">FilterSpecialCharacters(X12)</f>
        <v/>
      </c>
      <c r="AH12" s="74" t="str">
        <f t="shared" si="5"/>
        <v xml:space="preserve"> </v>
      </c>
    </row>
    <row r="13" spans="1:38" x14ac:dyDescent="0.25">
      <c r="A13" s="121" t="str" cm="1">
        <f t="array" ref="A13">IfEmpty(TRIM(_xlfn.CONCAT(C13:H13)),"",CRC32HASH(_xlfn.CONCAT(C13:H13)))</f>
        <v/>
      </c>
      <c r="B13" s="39" t="str">
        <f>IFERROR(VLOOKUP(J13,Items[],2,FALSE),"")</f>
        <v/>
      </c>
      <c r="C13" s="36" t="str" cm="1">
        <f t="array" ref="C13">W13 &amp; " " &amp; IfEmpty(U13, FilterSpecialCharacters(X13))</f>
        <v xml:space="preserve"> </v>
      </c>
      <c r="D13" s="37" t="str">
        <f t="shared" si="6"/>
        <v xml:space="preserve">  </v>
      </c>
      <c r="E13" s="58" t="str">
        <f t="shared" si="7"/>
        <v/>
      </c>
      <c r="F13" s="42" t="str">
        <f t="shared" si="8"/>
        <v/>
      </c>
      <c r="G13" s="42" t="str">
        <f t="shared" si="9"/>
        <v/>
      </c>
      <c r="H13" s="38" t="str" cm="1">
        <f t="array" ref="H13:J13">IFERROR(CalcUnc(K13,L13,S13,T13,V13,X13,AD13,AE13,N13:R13,Z13,AA13),"")</f>
        <v/>
      </c>
      <c r="I13" s="50" t="str">
        <v/>
      </c>
      <c r="J13" s="89" t="str">
        <v/>
      </c>
      <c r="K13" s="55"/>
      <c r="L13" s="56"/>
      <c r="M13" s="22"/>
      <c r="N13" s="52"/>
      <c r="O13" s="53"/>
      <c r="P13" s="53"/>
      <c r="Q13" s="98"/>
      <c r="R13" s="98"/>
      <c r="S13" s="101"/>
      <c r="T13" s="114"/>
      <c r="U13" s="59"/>
      <c r="V13" s="60"/>
      <c r="W13" s="61"/>
      <c r="X13" s="116"/>
      <c r="Y13" s="132"/>
      <c r="Z13" s="62"/>
      <c r="AA13" s="61"/>
      <c r="AB13" s="73" t="str">
        <f t="shared" si="2"/>
        <v/>
      </c>
      <c r="AC13" s="73" t="str">
        <f t="shared" si="3"/>
        <v/>
      </c>
      <c r="AD13" s="62"/>
      <c r="AE13" s="61"/>
      <c r="AF13" s="21" t="str">
        <f t="shared" si="4"/>
        <v/>
      </c>
      <c r="AG13" s="28" t="str" cm="1">
        <f t="array" ref="AG13">FilterSpecialCharacters(X13)</f>
        <v/>
      </c>
      <c r="AH13" s="74" t="str">
        <f t="shared" si="5"/>
        <v xml:space="preserve"> </v>
      </c>
    </row>
    <row r="14" spans="1:38" x14ac:dyDescent="0.25">
      <c r="A14" s="121" t="str" cm="1">
        <f t="array" ref="A14">IfEmpty(TRIM(_xlfn.CONCAT(C14:H14)),"",CRC32HASH(_xlfn.CONCAT(C14:H14)))</f>
        <v/>
      </c>
      <c r="B14" s="10" t="str">
        <f>IFERROR(VLOOKUP(J14,Items[],2,FALSE),"")</f>
        <v/>
      </c>
      <c r="C14" s="34" t="str" cm="1">
        <f t="array" ref="C14">W14 &amp; " " &amp; IfEmpty(U14, AG14)</f>
        <v xml:space="preserve"> </v>
      </c>
      <c r="D14" s="43" t="str">
        <f t="shared" si="6"/>
        <v xml:space="preserve">  </v>
      </c>
      <c r="E14" s="57" t="str">
        <f t="shared" si="7"/>
        <v/>
      </c>
      <c r="F14" s="41" t="str">
        <f t="shared" si="8"/>
        <v/>
      </c>
      <c r="G14" s="41" t="str">
        <f t="shared" si="9"/>
        <v/>
      </c>
      <c r="H14" s="35" t="str" cm="1">
        <f t="array" ref="H14:J14">IFERROR(CalcUnc(K14,L14,S14,T14,V14,X14,AD14,AE14,N14:R14,Z14,AA14),"")</f>
        <v/>
      </c>
      <c r="I14" s="50" t="str">
        <v/>
      </c>
      <c r="J14" s="89" t="str">
        <v/>
      </c>
      <c r="K14" s="55"/>
      <c r="L14" s="56"/>
      <c r="M14" s="22"/>
      <c r="N14" s="52"/>
      <c r="O14" s="53"/>
      <c r="P14" s="53"/>
      <c r="Q14" s="98"/>
      <c r="R14" s="98"/>
      <c r="S14" s="101"/>
      <c r="T14" s="114"/>
      <c r="U14" s="59"/>
      <c r="V14" s="60"/>
      <c r="W14" s="61"/>
      <c r="X14" s="116"/>
      <c r="Y14" s="132"/>
      <c r="Z14" s="62"/>
      <c r="AA14" s="61"/>
      <c r="AB14" s="73" t="str">
        <f t="shared" si="2"/>
        <v/>
      </c>
      <c r="AC14" s="73" t="str">
        <f t="shared" si="3"/>
        <v/>
      </c>
      <c r="AD14" s="62"/>
      <c r="AE14" s="61"/>
      <c r="AF14" s="21" t="str">
        <f t="shared" si="4"/>
        <v/>
      </c>
      <c r="AG14" s="28" t="str" cm="1">
        <f t="array" ref="AG14">FilterSpecialCharacters(X14)</f>
        <v/>
      </c>
      <c r="AH14" s="74" t="str">
        <f t="shared" si="5"/>
        <v xml:space="preserve"> </v>
      </c>
    </row>
    <row r="15" spans="1:38" x14ac:dyDescent="0.25">
      <c r="A15" s="121" t="str" cm="1">
        <f t="array" ref="A15">IfEmpty(TRIM(_xlfn.CONCAT(C15:H15)),"",CRC32HASH(_xlfn.CONCAT(C15:H15)))</f>
        <v/>
      </c>
      <c r="B15" s="39" t="str">
        <f>IFERROR(VLOOKUP(J15,Items[],2,FALSE),"")</f>
        <v/>
      </c>
      <c r="C15" s="36" t="str" cm="1">
        <f t="array" ref="C15">W15 &amp; " " &amp; IfEmpty(U15, FilterSpecialCharacters(X15))</f>
        <v xml:space="preserve"> </v>
      </c>
      <c r="D15" s="37" t="str">
        <f t="shared" si="6"/>
        <v xml:space="preserve">  </v>
      </c>
      <c r="E15" s="58" t="str">
        <f t="shared" si="7"/>
        <v/>
      </c>
      <c r="F15" s="42" t="str">
        <f t="shared" si="8"/>
        <v/>
      </c>
      <c r="G15" s="42" t="str">
        <f t="shared" si="9"/>
        <v/>
      </c>
      <c r="H15" s="38" t="str" cm="1">
        <f t="array" ref="H15:J15">IFERROR(CalcUnc(K15,L15,S15,T15,V15,X15,AD15,AE15,N15:R15,Z15,AA15),"")</f>
        <v/>
      </c>
      <c r="I15" s="50" t="str">
        <v/>
      </c>
      <c r="J15" s="89" t="str">
        <v/>
      </c>
      <c r="K15" s="55"/>
      <c r="L15" s="56"/>
      <c r="M15" s="22"/>
      <c r="N15" s="52"/>
      <c r="O15" s="53"/>
      <c r="P15" s="53"/>
      <c r="Q15" s="98"/>
      <c r="R15" s="98"/>
      <c r="S15" s="101"/>
      <c r="T15" s="114"/>
      <c r="U15" s="59"/>
      <c r="V15" s="60"/>
      <c r="W15" s="61"/>
      <c r="X15" s="116"/>
      <c r="Y15" s="132"/>
      <c r="Z15" s="62"/>
      <c r="AA15" s="61"/>
      <c r="AB15" s="73" t="str">
        <f t="shared" si="2"/>
        <v/>
      </c>
      <c r="AC15" s="73" t="str">
        <f t="shared" si="3"/>
        <v/>
      </c>
      <c r="AD15" s="62"/>
      <c r="AE15" s="61"/>
      <c r="AF15" s="21" t="str">
        <f t="shared" si="4"/>
        <v/>
      </c>
      <c r="AG15" s="28" t="str" cm="1">
        <f t="array" ref="AG15">FilterSpecialCharacters(X15)</f>
        <v/>
      </c>
      <c r="AH15" s="74" t="str">
        <f t="shared" si="5"/>
        <v xml:space="preserve"> </v>
      </c>
      <c r="AI15" s="40"/>
    </row>
    <row r="16" spans="1:38" x14ac:dyDescent="0.25">
      <c r="A16" s="121" t="str" cm="1">
        <f t="array" ref="A16">IfEmpty(TRIM(_xlfn.CONCAT(C16:H16)),"",CRC32HASH(_xlfn.CONCAT(C16:H16)))</f>
        <v/>
      </c>
      <c r="B16" s="10" t="str">
        <f>IFERROR(VLOOKUP(J16,Items[],2,FALSE),"")</f>
        <v/>
      </c>
      <c r="C16" s="34" t="str" cm="1">
        <f t="array" ref="C16">W16 &amp; " " &amp; IfEmpty(U16, AG16)</f>
        <v xml:space="preserve"> </v>
      </c>
      <c r="D16" s="43" t="str">
        <f t="shared" si="6"/>
        <v xml:space="preserve">  </v>
      </c>
      <c r="E16" s="57" t="str">
        <f t="shared" si="7"/>
        <v/>
      </c>
      <c r="F16" s="41" t="str">
        <f t="shared" si="8"/>
        <v/>
      </c>
      <c r="G16" s="41" t="str">
        <f t="shared" si="9"/>
        <v/>
      </c>
      <c r="H16" s="35" t="str" cm="1">
        <f t="array" ref="H16:J16">IFERROR(CalcUnc(K16,L16,S16,T16,V16,X16,AD16,AE16,N16:R16,Z16,AA16),"")</f>
        <v/>
      </c>
      <c r="I16" s="50" t="str">
        <v/>
      </c>
      <c r="J16" s="89" t="str">
        <v/>
      </c>
      <c r="K16" s="55"/>
      <c r="L16" s="56"/>
      <c r="M16" s="22"/>
      <c r="N16" s="52"/>
      <c r="O16" s="53"/>
      <c r="P16" s="53"/>
      <c r="Q16" s="98"/>
      <c r="R16" s="98"/>
      <c r="S16" s="101"/>
      <c r="T16" s="114"/>
      <c r="U16" s="59"/>
      <c r="V16" s="60"/>
      <c r="W16" s="61"/>
      <c r="X16" s="116"/>
      <c r="Y16" s="132"/>
      <c r="Z16" s="62"/>
      <c r="AA16" s="61"/>
      <c r="AB16" s="73" t="str">
        <f t="shared" si="2"/>
        <v/>
      </c>
      <c r="AC16" s="73" t="str">
        <f t="shared" si="3"/>
        <v/>
      </c>
      <c r="AD16" s="62"/>
      <c r="AE16" s="61"/>
      <c r="AF16" s="21" t="str">
        <f t="shared" si="4"/>
        <v/>
      </c>
      <c r="AG16" s="28" t="str" cm="1">
        <f t="array" ref="AG16">FilterSpecialCharacters(X16)</f>
        <v/>
      </c>
      <c r="AH16" s="74" t="str">
        <f t="shared" si="5"/>
        <v xml:space="preserve"> </v>
      </c>
      <c r="AI16" s="40"/>
    </row>
    <row r="17" spans="1:35" x14ac:dyDescent="0.25">
      <c r="A17" s="121" t="str" cm="1">
        <f t="array" ref="A17">IfEmpty(TRIM(_xlfn.CONCAT(C17:H17)),"",CRC32HASH(_xlfn.CONCAT(C17:H17)))</f>
        <v/>
      </c>
      <c r="B17" s="39" t="str">
        <f>IFERROR(VLOOKUP(J17,Items[],2,FALSE),"")</f>
        <v/>
      </c>
      <c r="C17" s="36" t="str" cm="1">
        <f t="array" ref="C17">W17 &amp; " " &amp; IfEmpty(U17, FilterSpecialCharacters(X17))</f>
        <v xml:space="preserve"> </v>
      </c>
      <c r="D17" s="37" t="str">
        <f t="shared" si="6"/>
        <v xml:space="preserve">  </v>
      </c>
      <c r="E17" s="58" t="str">
        <f t="shared" si="7"/>
        <v/>
      </c>
      <c r="F17" s="42" t="str">
        <f t="shared" si="8"/>
        <v/>
      </c>
      <c r="G17" s="42" t="str">
        <f t="shared" si="9"/>
        <v/>
      </c>
      <c r="H17" s="38" t="str" cm="1">
        <f t="array" ref="H17:J17">IFERROR(CalcUnc(K17,L17,S17,T17,V17,X17,AD17,AE17,N17:R17,Z17,AA17),"")</f>
        <v/>
      </c>
      <c r="I17" s="50" t="str">
        <v/>
      </c>
      <c r="J17" s="89" t="str">
        <v/>
      </c>
      <c r="K17" s="55"/>
      <c r="L17" s="56"/>
      <c r="M17" s="22"/>
      <c r="N17" s="52"/>
      <c r="O17" s="53"/>
      <c r="P17" s="53"/>
      <c r="Q17" s="98"/>
      <c r="R17" s="98"/>
      <c r="S17" s="101"/>
      <c r="T17" s="114"/>
      <c r="U17" s="59"/>
      <c r="V17" s="59"/>
      <c r="W17" s="61"/>
      <c r="X17" s="116"/>
      <c r="Y17" s="132"/>
      <c r="Z17" s="62"/>
      <c r="AA17" s="61"/>
      <c r="AB17" s="73" t="str">
        <f t="shared" si="2"/>
        <v/>
      </c>
      <c r="AC17" s="73" t="str">
        <f t="shared" si="3"/>
        <v/>
      </c>
      <c r="AD17" s="62"/>
      <c r="AE17" s="61"/>
      <c r="AF17" s="21" t="str">
        <f t="shared" si="4"/>
        <v/>
      </c>
      <c r="AG17" s="28" t="str" cm="1">
        <f t="array" ref="AG17">FilterSpecialCharacters(X17)</f>
        <v/>
      </c>
      <c r="AH17" s="74" t="str">
        <f t="shared" si="5"/>
        <v xml:space="preserve"> </v>
      </c>
    </row>
    <row r="18" spans="1:35" x14ac:dyDescent="0.25">
      <c r="A18" s="121" t="str" cm="1">
        <f t="array" ref="A18">IfEmpty(TRIM(_xlfn.CONCAT(C18:H18)),"",CRC32HASH(_xlfn.CONCAT(C18:H18)))</f>
        <v/>
      </c>
      <c r="B18" s="10" t="str">
        <f>IFERROR(VLOOKUP(J18,Items[],2,FALSE),"")</f>
        <v/>
      </c>
      <c r="C18" s="34" t="str" cm="1">
        <f t="array" ref="C18">W18 &amp; " " &amp; IfEmpty(U18, AG18)</f>
        <v xml:space="preserve"> </v>
      </c>
      <c r="D18" s="43" t="str">
        <f t="shared" si="6"/>
        <v xml:space="preserve">  </v>
      </c>
      <c r="E18" s="57" t="str">
        <f t="shared" si="7"/>
        <v/>
      </c>
      <c r="F18" s="41" t="str">
        <f t="shared" si="8"/>
        <v/>
      </c>
      <c r="G18" s="41" t="str">
        <f t="shared" si="9"/>
        <v/>
      </c>
      <c r="H18" s="35" t="str" cm="1">
        <f t="array" ref="H18:J18">IFERROR(CalcUnc(K18,L18,S18,T18,V18,X18,AD18,AE18,N18:R18,Z18,AA18),"")</f>
        <v/>
      </c>
      <c r="I18" s="50" t="str">
        <v/>
      </c>
      <c r="J18" s="89" t="str">
        <v/>
      </c>
      <c r="K18" s="55"/>
      <c r="L18" s="56"/>
      <c r="M18" s="22"/>
      <c r="N18" s="52"/>
      <c r="O18" s="53"/>
      <c r="P18" s="53"/>
      <c r="Q18" s="98"/>
      <c r="R18" s="98"/>
      <c r="S18" s="101"/>
      <c r="T18" s="114"/>
      <c r="U18" s="59"/>
      <c r="V18" s="60"/>
      <c r="W18" s="61"/>
      <c r="X18" s="116"/>
      <c r="Y18" s="132"/>
      <c r="Z18" s="62"/>
      <c r="AA18" s="61"/>
      <c r="AB18" s="73" t="str">
        <f t="shared" si="2"/>
        <v/>
      </c>
      <c r="AC18" s="73" t="str">
        <f t="shared" si="3"/>
        <v/>
      </c>
      <c r="AD18" s="62"/>
      <c r="AE18" s="61"/>
      <c r="AF18" s="21" t="str">
        <f t="shared" si="4"/>
        <v/>
      </c>
      <c r="AG18" s="28" t="str" cm="1">
        <f t="array" ref="AG18">FilterSpecialCharacters(X18)</f>
        <v/>
      </c>
      <c r="AH18" s="74" t="str">
        <f t="shared" si="5"/>
        <v xml:space="preserve"> </v>
      </c>
    </row>
    <row r="19" spans="1:35" x14ac:dyDescent="0.25">
      <c r="A19" s="121" t="str" cm="1">
        <f t="array" ref="A19">IfEmpty(TRIM(_xlfn.CONCAT(C19:H19)),"",CRC32HASH(_xlfn.CONCAT(C19:H19)))</f>
        <v/>
      </c>
      <c r="B19" s="39" t="str">
        <f>IFERROR(VLOOKUP(J19,Items[],2,FALSE),"")</f>
        <v/>
      </c>
      <c r="C19" s="36" t="str" cm="1">
        <f t="array" ref="C19">W19 &amp; " " &amp; IfEmpty(U19, FilterSpecialCharacters(X19))</f>
        <v xml:space="preserve"> </v>
      </c>
      <c r="D19" s="37" t="str">
        <f t="shared" si="6"/>
        <v xml:space="preserve">  </v>
      </c>
      <c r="E19" s="58" t="str">
        <f t="shared" si="7"/>
        <v/>
      </c>
      <c r="F19" s="42" t="str">
        <f t="shared" si="8"/>
        <v/>
      </c>
      <c r="G19" s="42" t="str">
        <f t="shared" si="9"/>
        <v/>
      </c>
      <c r="H19" s="38" t="str" cm="1">
        <f t="array" ref="H19:J19">IFERROR(CalcUnc(K19,L19,S19,T19,V19,X19,AD19,AE19,N19:R19,Z19,AA19),"")</f>
        <v/>
      </c>
      <c r="I19" s="50" t="str">
        <v/>
      </c>
      <c r="J19" s="89" t="str">
        <v/>
      </c>
      <c r="K19" s="55"/>
      <c r="L19" s="56"/>
      <c r="M19" s="22"/>
      <c r="N19" s="52"/>
      <c r="O19" s="53"/>
      <c r="P19" s="53"/>
      <c r="Q19" s="98"/>
      <c r="R19" s="98"/>
      <c r="S19" s="101"/>
      <c r="T19" s="114"/>
      <c r="U19" s="59"/>
      <c r="V19" s="60"/>
      <c r="W19" s="61"/>
      <c r="X19" s="116"/>
      <c r="Y19" s="132"/>
      <c r="Z19" s="62"/>
      <c r="AA19" s="61"/>
      <c r="AB19" s="73" t="str">
        <f t="shared" si="2"/>
        <v/>
      </c>
      <c r="AC19" s="73" t="str">
        <f t="shared" si="3"/>
        <v/>
      </c>
      <c r="AD19" s="62"/>
      <c r="AE19" s="61"/>
      <c r="AF19" s="21" t="str">
        <f t="shared" si="4"/>
        <v/>
      </c>
      <c r="AG19" s="28" t="str" cm="1">
        <f t="array" ref="AG19">FilterSpecialCharacters(X19)</f>
        <v/>
      </c>
      <c r="AH19" s="74" t="str">
        <f t="shared" si="5"/>
        <v xml:space="preserve"> </v>
      </c>
    </row>
    <row r="20" spans="1:35" x14ac:dyDescent="0.25">
      <c r="A20" s="121" t="str" cm="1">
        <f t="array" ref="A20">IfEmpty(TRIM(_xlfn.CONCAT(C20:H20)),"",CRC32HASH(_xlfn.CONCAT(C20:H20)))</f>
        <v/>
      </c>
      <c r="B20" s="10" t="str">
        <f>IFERROR(VLOOKUP(J20,Items[],2,FALSE),"")</f>
        <v/>
      </c>
      <c r="C20" s="34" t="str" cm="1">
        <f t="array" ref="C20">W20 &amp; " " &amp; IfEmpty(U20, AG20)</f>
        <v xml:space="preserve"> </v>
      </c>
      <c r="D20" s="43" t="str">
        <f t="shared" si="6"/>
        <v xml:space="preserve">  </v>
      </c>
      <c r="E20" s="57" t="str">
        <f t="shared" si="7"/>
        <v/>
      </c>
      <c r="F20" s="41" t="str">
        <f t="shared" si="8"/>
        <v/>
      </c>
      <c r="G20" s="41" t="str">
        <f t="shared" si="9"/>
        <v/>
      </c>
      <c r="H20" s="35" t="str" cm="1">
        <f t="array" ref="H20:J20">IFERROR(CalcUnc(K20,L20,S20,T20,V20,X20,AD20,AE20,N20:R20,Z20,AA20),"")</f>
        <v/>
      </c>
      <c r="I20" s="50" t="str">
        <v/>
      </c>
      <c r="J20" s="89" t="str">
        <v/>
      </c>
      <c r="K20" s="55"/>
      <c r="L20" s="56"/>
      <c r="M20" s="22"/>
      <c r="N20" s="52"/>
      <c r="O20" s="53"/>
      <c r="P20" s="53"/>
      <c r="Q20" s="98"/>
      <c r="R20" s="98"/>
      <c r="S20" s="101"/>
      <c r="T20" s="114"/>
      <c r="U20" s="59"/>
      <c r="V20" s="60"/>
      <c r="W20" s="61"/>
      <c r="X20" s="116"/>
      <c r="Y20" s="132"/>
      <c r="Z20" s="62"/>
      <c r="AA20" s="61"/>
      <c r="AB20" s="73" t="str">
        <f t="shared" si="2"/>
        <v/>
      </c>
      <c r="AC20" s="73" t="str">
        <f t="shared" si="3"/>
        <v/>
      </c>
      <c r="AD20" s="62"/>
      <c r="AE20" s="61"/>
      <c r="AF20" s="21" t="str">
        <f t="shared" si="4"/>
        <v/>
      </c>
      <c r="AG20" s="28" t="str" cm="1">
        <f t="array" ref="AG20">FilterSpecialCharacters(X20)</f>
        <v/>
      </c>
      <c r="AH20" s="74" t="str">
        <f t="shared" si="5"/>
        <v xml:space="preserve"> </v>
      </c>
    </row>
    <row r="21" spans="1:35" x14ac:dyDescent="0.25">
      <c r="A21" s="121" t="str" cm="1">
        <f t="array" ref="A21">IfEmpty(TRIM(_xlfn.CONCAT(C21:H21)),"",CRC32HASH(_xlfn.CONCAT(C21:H21)))</f>
        <v/>
      </c>
      <c r="B21" s="39" t="str">
        <f>IFERROR(VLOOKUP(J21,Items[],2,FALSE),"")</f>
        <v/>
      </c>
      <c r="C21" s="36" t="str" cm="1">
        <f t="array" ref="C21">W21 &amp; " " &amp; IfEmpty(U21, FilterSpecialCharacters(X21))</f>
        <v xml:space="preserve"> </v>
      </c>
      <c r="D21" s="37" t="str">
        <f t="shared" si="6"/>
        <v xml:space="preserve">  </v>
      </c>
      <c r="E21" s="58" t="str">
        <f t="shared" si="7"/>
        <v/>
      </c>
      <c r="F21" s="42" t="str">
        <f t="shared" si="8"/>
        <v/>
      </c>
      <c r="G21" s="42" t="str">
        <f t="shared" si="9"/>
        <v/>
      </c>
      <c r="H21" s="38" t="str" cm="1">
        <f t="array" ref="H21:J21">IFERROR(CalcUnc(K21,L21,S21,T21,V21,X21,AD21,AE21,N21:R21,Z21,AA21),"")</f>
        <v/>
      </c>
      <c r="I21" s="50" t="str">
        <v/>
      </c>
      <c r="J21" s="89" t="str">
        <v/>
      </c>
      <c r="K21" s="55"/>
      <c r="L21" s="56"/>
      <c r="M21" s="22"/>
      <c r="N21" s="52"/>
      <c r="O21" s="53"/>
      <c r="P21" s="53"/>
      <c r="Q21" s="98"/>
      <c r="R21" s="98"/>
      <c r="S21" s="101"/>
      <c r="T21" s="114"/>
      <c r="U21" s="59"/>
      <c r="V21" s="60"/>
      <c r="W21" s="61"/>
      <c r="X21" s="116"/>
      <c r="Y21" s="132"/>
      <c r="Z21" s="62"/>
      <c r="AA21" s="61"/>
      <c r="AB21" s="73" t="str">
        <f t="shared" si="2"/>
        <v/>
      </c>
      <c r="AC21" s="73" t="str">
        <f t="shared" si="3"/>
        <v/>
      </c>
      <c r="AD21" s="62"/>
      <c r="AE21" s="61"/>
      <c r="AF21" s="21" t="str">
        <f t="shared" si="4"/>
        <v/>
      </c>
      <c r="AG21" s="28" t="str" cm="1">
        <f t="array" ref="AG21">FilterSpecialCharacters(X21)</f>
        <v/>
      </c>
      <c r="AH21" s="74" t="str">
        <f t="shared" si="5"/>
        <v xml:space="preserve"> </v>
      </c>
      <c r="AI21" s="40"/>
    </row>
    <row r="22" spans="1:35" x14ac:dyDescent="0.25">
      <c r="A22" s="121" t="str" cm="1">
        <f t="array" ref="A22">IfEmpty(TRIM(_xlfn.CONCAT(C22:H22)),"",CRC32HASH(_xlfn.CONCAT(C22:H22)))</f>
        <v/>
      </c>
      <c r="B22" s="10" t="str">
        <f>IFERROR(VLOOKUP(J22,Items[],2,FALSE),"")</f>
        <v/>
      </c>
      <c r="C22" s="34" t="str" cm="1">
        <f t="array" ref="C22">W22 &amp; " " &amp; IfEmpty(U22, AG22)</f>
        <v xml:space="preserve"> </v>
      </c>
      <c r="D22" s="43" t="str">
        <f t="shared" si="6"/>
        <v xml:space="preserve">  </v>
      </c>
      <c r="E22" s="57" t="str">
        <f t="shared" si="7"/>
        <v/>
      </c>
      <c r="F22" s="41" t="str">
        <f t="shared" si="8"/>
        <v/>
      </c>
      <c r="G22" s="41" t="str">
        <f t="shared" si="9"/>
        <v/>
      </c>
      <c r="H22" s="35" t="str" cm="1">
        <f t="array" ref="H22:J22">IFERROR(CalcUnc(K22,L22,S22,T22,V22,X22,AD22,AE22,N22:R22,Z22,AA22),"")</f>
        <v/>
      </c>
      <c r="I22" s="50" t="str">
        <v/>
      </c>
      <c r="J22" s="89" t="str">
        <v/>
      </c>
      <c r="K22" s="55"/>
      <c r="L22" s="56"/>
      <c r="M22" s="22"/>
      <c r="N22" s="52"/>
      <c r="O22" s="53"/>
      <c r="P22" s="53"/>
      <c r="Q22" s="98"/>
      <c r="R22" s="98"/>
      <c r="S22" s="101"/>
      <c r="T22" s="114"/>
      <c r="U22" s="59"/>
      <c r="V22" s="60"/>
      <c r="W22" s="61"/>
      <c r="X22" s="116"/>
      <c r="Y22" s="132"/>
      <c r="Z22" s="62"/>
      <c r="AA22" s="61"/>
      <c r="AB22" s="73" t="str">
        <f t="shared" si="2"/>
        <v/>
      </c>
      <c r="AC22" s="73" t="str">
        <f t="shared" si="3"/>
        <v/>
      </c>
      <c r="AD22" s="62"/>
      <c r="AE22" s="61"/>
      <c r="AF22" s="21" t="str">
        <f t="shared" si="4"/>
        <v/>
      </c>
      <c r="AG22" s="28" t="str" cm="1">
        <f t="array" ref="AG22">FilterSpecialCharacters(X22)</f>
        <v/>
      </c>
      <c r="AH22" s="74" t="str">
        <f t="shared" si="5"/>
        <v xml:space="preserve"> </v>
      </c>
      <c r="AI22" s="40"/>
    </row>
    <row r="23" spans="1:35" x14ac:dyDescent="0.25">
      <c r="A23" s="121" t="str" cm="1">
        <f t="array" ref="A23">IfEmpty(TRIM(_xlfn.CONCAT(C23:H23)),"",CRC32HASH(_xlfn.CONCAT(C23:H23)))</f>
        <v/>
      </c>
      <c r="B23" s="39" t="str">
        <f>IFERROR(VLOOKUP(J23,Items[],2,FALSE),"")</f>
        <v/>
      </c>
      <c r="C23" s="36" t="str" cm="1">
        <f t="array" ref="C23">W23 &amp; " " &amp; IfEmpty(U23, FilterSpecialCharacters(X23))</f>
        <v xml:space="preserve"> </v>
      </c>
      <c r="D23" s="37" t="str">
        <f t="shared" si="6"/>
        <v xml:space="preserve">  </v>
      </c>
      <c r="E23" s="58" t="str">
        <f t="shared" si="7"/>
        <v/>
      </c>
      <c r="F23" s="42" t="str">
        <f t="shared" si="8"/>
        <v/>
      </c>
      <c r="G23" s="42" t="str">
        <f t="shared" si="9"/>
        <v/>
      </c>
      <c r="H23" s="38" t="str" cm="1">
        <f t="array" ref="H23:J23">IFERROR(CalcUnc(K23,L23,S23,T23,V23,X23,AD23,AE23,N23:R23,Z23,AA23),"")</f>
        <v/>
      </c>
      <c r="I23" s="50" t="str">
        <v/>
      </c>
      <c r="J23" s="89" t="str">
        <v/>
      </c>
      <c r="K23" s="55"/>
      <c r="L23" s="56"/>
      <c r="M23" s="22"/>
      <c r="N23" s="52"/>
      <c r="O23" s="53"/>
      <c r="P23" s="53"/>
      <c r="Q23" s="98"/>
      <c r="R23" s="98"/>
      <c r="S23" s="101"/>
      <c r="T23" s="114"/>
      <c r="U23" s="59"/>
      <c r="V23" s="60"/>
      <c r="W23" s="61"/>
      <c r="X23" s="116"/>
      <c r="Y23" s="132"/>
      <c r="Z23" s="62"/>
      <c r="AA23" s="61"/>
      <c r="AB23" s="73" t="str">
        <f t="shared" si="2"/>
        <v/>
      </c>
      <c r="AC23" s="73" t="str">
        <f t="shared" si="3"/>
        <v/>
      </c>
      <c r="AD23" s="62"/>
      <c r="AE23" s="61"/>
      <c r="AF23" s="21" t="str">
        <f t="shared" si="4"/>
        <v/>
      </c>
      <c r="AG23" s="28" t="str" cm="1">
        <f t="array" ref="AG23">FilterSpecialCharacters(X23)</f>
        <v/>
      </c>
      <c r="AH23" s="74" t="str">
        <f t="shared" si="5"/>
        <v xml:space="preserve"> </v>
      </c>
    </row>
    <row r="24" spans="1:35" x14ac:dyDescent="0.25">
      <c r="A24" s="121" t="str" cm="1">
        <f t="array" ref="A24">IfEmpty(TRIM(_xlfn.CONCAT(C24:H24)),"",CRC32HASH(_xlfn.CONCAT(C24:H24)))</f>
        <v/>
      </c>
      <c r="B24" s="10" t="str">
        <f>IFERROR(VLOOKUP(J24,Items[],2,FALSE),"")</f>
        <v/>
      </c>
      <c r="C24" s="34" t="str" cm="1">
        <f t="array" ref="C24">W24 &amp; " " &amp; IfEmpty(U24, AG24)</f>
        <v xml:space="preserve"> </v>
      </c>
      <c r="D24" s="43" t="str">
        <f t="shared" si="6"/>
        <v xml:space="preserve">  </v>
      </c>
      <c r="E24" s="57" t="str">
        <f t="shared" si="7"/>
        <v/>
      </c>
      <c r="F24" s="41" t="str">
        <f t="shared" si="8"/>
        <v/>
      </c>
      <c r="G24" s="41" t="str">
        <f t="shared" si="9"/>
        <v/>
      </c>
      <c r="H24" s="35" t="str" cm="1">
        <f t="array" ref="H24:J24">IFERROR(CalcUnc(K24,L24,S24,T24,V24,X24,AD24,AE24,N24:R24,Z24,AA24),"")</f>
        <v/>
      </c>
      <c r="I24" s="50" t="str">
        <v/>
      </c>
      <c r="J24" s="89" t="str">
        <v/>
      </c>
      <c r="K24" s="55"/>
      <c r="L24" s="56"/>
      <c r="M24" s="22"/>
      <c r="N24" s="52"/>
      <c r="O24" s="53"/>
      <c r="P24" s="53"/>
      <c r="Q24" s="98"/>
      <c r="R24" s="98"/>
      <c r="S24" s="101"/>
      <c r="T24" s="114"/>
      <c r="U24" s="59"/>
      <c r="V24" s="60"/>
      <c r="W24" s="61"/>
      <c r="X24" s="116"/>
      <c r="Y24" s="132"/>
      <c r="Z24" s="62"/>
      <c r="AA24" s="61"/>
      <c r="AB24" s="73" t="str">
        <f t="shared" si="2"/>
        <v/>
      </c>
      <c r="AC24" s="73" t="str">
        <f t="shared" si="3"/>
        <v/>
      </c>
      <c r="AD24" s="62"/>
      <c r="AE24" s="61"/>
      <c r="AF24" s="21" t="str">
        <f t="shared" si="4"/>
        <v/>
      </c>
      <c r="AG24" s="28" t="str" cm="1">
        <f t="array" ref="AG24">FilterSpecialCharacters(X24)</f>
        <v/>
      </c>
      <c r="AH24" s="74" t="str">
        <f t="shared" si="5"/>
        <v xml:space="preserve"> </v>
      </c>
    </row>
    <row r="25" spans="1:35" x14ac:dyDescent="0.25">
      <c r="A25" s="121" t="str" cm="1">
        <f t="array" ref="A25">IfEmpty(TRIM(_xlfn.CONCAT(C25:H25)),"",CRC32HASH(_xlfn.CONCAT(C25:H25)))</f>
        <v/>
      </c>
      <c r="B25" s="39" t="str">
        <f>IFERROR(VLOOKUP(J25,Items[],2,FALSE),"")</f>
        <v/>
      </c>
      <c r="C25" s="36" t="str" cm="1">
        <f t="array" ref="C25">W25 &amp; " " &amp; IfEmpty(U25, FilterSpecialCharacters(X25))</f>
        <v xml:space="preserve"> </v>
      </c>
      <c r="D25" s="37" t="str">
        <f t="shared" si="6"/>
        <v xml:space="preserve">  </v>
      </c>
      <c r="E25" s="58" t="str">
        <f t="shared" si="7"/>
        <v/>
      </c>
      <c r="F25" s="42" t="str">
        <f t="shared" si="8"/>
        <v/>
      </c>
      <c r="G25" s="42" t="str">
        <f t="shared" si="9"/>
        <v/>
      </c>
      <c r="H25" s="38" t="str" cm="1">
        <f t="array" ref="H25:J25">IFERROR(CalcUnc(K25,L25,S25,T25,V25,X25,AD25,AE25,N25:R25,Z25,AA25),"")</f>
        <v/>
      </c>
      <c r="I25" s="50" t="str">
        <v/>
      </c>
      <c r="J25" s="89" t="str">
        <v/>
      </c>
      <c r="K25" s="55"/>
      <c r="L25" s="56"/>
      <c r="M25" s="22"/>
      <c r="N25" s="52"/>
      <c r="O25" s="53"/>
      <c r="P25" s="53"/>
      <c r="Q25" s="98"/>
      <c r="R25" s="98"/>
      <c r="S25" s="101"/>
      <c r="T25" s="114"/>
      <c r="U25" s="59"/>
      <c r="V25" s="64"/>
      <c r="W25" s="61"/>
      <c r="X25" s="115"/>
      <c r="Y25" s="132"/>
      <c r="Z25" s="62"/>
      <c r="AA25" s="61"/>
      <c r="AB25" s="73" t="str">
        <f t="shared" si="2"/>
        <v/>
      </c>
      <c r="AC25" s="73" t="str">
        <f t="shared" si="3"/>
        <v/>
      </c>
      <c r="AD25" s="62"/>
      <c r="AE25" s="61"/>
      <c r="AF25" s="21" t="str">
        <f t="shared" si="4"/>
        <v/>
      </c>
      <c r="AG25" s="28" t="str" cm="1">
        <f t="array" ref="AG25">FilterSpecialCharacters(X25)</f>
        <v/>
      </c>
      <c r="AH25" s="74" t="str">
        <f t="shared" si="5"/>
        <v xml:space="preserve"> </v>
      </c>
    </row>
    <row r="26" spans="1:35" x14ac:dyDescent="0.25">
      <c r="A26" s="121" t="str" cm="1">
        <f t="array" ref="A26">IfEmpty(TRIM(_xlfn.CONCAT(C26:H26)),"",CRC32HASH(_xlfn.CONCAT(C26:H26)))</f>
        <v/>
      </c>
      <c r="B26" s="10" t="str">
        <f>IFERROR(VLOOKUP(J26,Items[],2,FALSE),"")</f>
        <v/>
      </c>
      <c r="C26" s="34" t="str" cm="1">
        <f t="array" ref="C26">W26 &amp; " " &amp; IfEmpty(U26, AG26)</f>
        <v xml:space="preserve"> </v>
      </c>
      <c r="D26" s="43" t="str">
        <f t="shared" si="6"/>
        <v xml:space="preserve">  </v>
      </c>
      <c r="E26" s="57" t="str">
        <f t="shared" si="7"/>
        <v/>
      </c>
      <c r="F26" s="41" t="str">
        <f t="shared" si="8"/>
        <v/>
      </c>
      <c r="G26" s="41" t="str">
        <f t="shared" si="9"/>
        <v/>
      </c>
      <c r="H26" s="35" t="str" cm="1">
        <f t="array" ref="H26:J26">IFERROR(CalcUnc(K26,L26,S26,T26,V26,X26,AD26,AE26,N26:R26,Z26,AA26),"")</f>
        <v/>
      </c>
      <c r="I26" s="50" t="str">
        <v/>
      </c>
      <c r="J26" s="89" t="str">
        <v/>
      </c>
      <c r="K26" s="55"/>
      <c r="L26" s="56"/>
      <c r="M26" s="22"/>
      <c r="N26" s="52"/>
      <c r="O26" s="53"/>
      <c r="P26" s="53"/>
      <c r="Q26" s="98"/>
      <c r="R26" s="98"/>
      <c r="S26" s="101"/>
      <c r="T26" s="114"/>
      <c r="U26" s="59"/>
      <c r="V26" s="64"/>
      <c r="W26" s="61"/>
      <c r="X26" s="115"/>
      <c r="Y26" s="132"/>
      <c r="Z26" s="62"/>
      <c r="AA26" s="61"/>
      <c r="AB26" s="73" t="str">
        <f t="shared" si="2"/>
        <v/>
      </c>
      <c r="AC26" s="73" t="str">
        <f t="shared" si="3"/>
        <v/>
      </c>
      <c r="AD26" s="62"/>
      <c r="AE26" s="61"/>
      <c r="AF26" s="21" t="str">
        <f t="shared" si="4"/>
        <v/>
      </c>
      <c r="AG26" s="28" t="str" cm="1">
        <f t="array" ref="AG26">FilterSpecialCharacters(X26)</f>
        <v/>
      </c>
      <c r="AH26" s="74" t="str">
        <f t="shared" si="5"/>
        <v xml:space="preserve"> </v>
      </c>
    </row>
    <row r="27" spans="1:35" x14ac:dyDescent="0.25">
      <c r="A27" s="121" t="str" cm="1">
        <f t="array" ref="A27">IfEmpty(TRIM(_xlfn.CONCAT(C27:H27)),"",CRC32HASH(_xlfn.CONCAT(C27:H27)))</f>
        <v/>
      </c>
      <c r="B27" s="39" t="str">
        <f>IFERROR(VLOOKUP(J27,Items[],2,FALSE),"")</f>
        <v/>
      </c>
      <c r="C27" s="36" t="str" cm="1">
        <f t="array" ref="C27">W27 &amp; " " &amp; IfEmpty(U27, FilterSpecialCharacters(X27))</f>
        <v xml:space="preserve"> </v>
      </c>
      <c r="D27" s="37" t="str">
        <f t="shared" si="6"/>
        <v xml:space="preserve">  </v>
      </c>
      <c r="E27" s="58" t="str">
        <f t="shared" si="7"/>
        <v/>
      </c>
      <c r="F27" s="42" t="str">
        <f t="shared" si="8"/>
        <v/>
      </c>
      <c r="G27" s="42" t="str">
        <f t="shared" si="9"/>
        <v/>
      </c>
      <c r="H27" s="38" t="str" cm="1">
        <f t="array" ref="H27:J27">IFERROR(CalcUnc(K27,L27,S27,T27,V27,X27,AD27,AE27,N27:R27,Z27,AA27),"")</f>
        <v/>
      </c>
      <c r="I27" s="50" t="str">
        <v/>
      </c>
      <c r="J27" s="89" t="str">
        <v/>
      </c>
      <c r="K27" s="55"/>
      <c r="L27" s="56"/>
      <c r="M27" s="22"/>
      <c r="N27" s="52"/>
      <c r="O27" s="53"/>
      <c r="P27" s="53"/>
      <c r="Q27" s="98"/>
      <c r="R27" s="98"/>
      <c r="S27" s="101"/>
      <c r="T27" s="114"/>
      <c r="U27" s="59"/>
      <c r="V27" s="64"/>
      <c r="W27" s="61"/>
      <c r="X27" s="115"/>
      <c r="Y27" s="132"/>
      <c r="Z27" s="62"/>
      <c r="AA27" s="61"/>
      <c r="AB27" s="73" t="str">
        <f t="shared" si="2"/>
        <v/>
      </c>
      <c r="AC27" s="73" t="str">
        <f t="shared" si="3"/>
        <v/>
      </c>
      <c r="AD27" s="62"/>
      <c r="AE27" s="61"/>
      <c r="AF27" s="21" t="str">
        <f t="shared" si="4"/>
        <v/>
      </c>
      <c r="AG27" s="28" t="str" cm="1">
        <f t="array" ref="AG27">FilterSpecialCharacters(X27)</f>
        <v/>
      </c>
      <c r="AH27" s="74" t="str">
        <f t="shared" si="5"/>
        <v xml:space="preserve"> </v>
      </c>
    </row>
    <row r="28" spans="1:35" x14ac:dyDescent="0.25">
      <c r="A28" s="121" t="str" cm="1">
        <f t="array" ref="A28">IfEmpty(TRIM(_xlfn.CONCAT(C28:H28)),"",CRC32HASH(_xlfn.CONCAT(C28:H28)))</f>
        <v/>
      </c>
      <c r="B28" s="10" t="str">
        <f>IFERROR(VLOOKUP(J28,Items[],2,FALSE),"")</f>
        <v/>
      </c>
      <c r="C28" s="34" t="str" cm="1">
        <f t="array" ref="C28">W28 &amp; " " &amp; IfEmpty(U28, AG28)</f>
        <v xml:space="preserve"> </v>
      </c>
      <c r="D28" s="43" t="str">
        <f t="shared" si="6"/>
        <v xml:space="preserve">  </v>
      </c>
      <c r="E28" s="57" t="str">
        <f t="shared" si="7"/>
        <v/>
      </c>
      <c r="F28" s="41" t="str">
        <f t="shared" si="8"/>
        <v/>
      </c>
      <c r="G28" s="41" t="str">
        <f t="shared" si="9"/>
        <v/>
      </c>
      <c r="H28" s="35" t="str" cm="1">
        <f t="array" ref="H28:J28">IFERROR(CalcUnc(K28,L28,S28,T28,V28,X28,AD28,AE28,N28:R28,Z28,AA28),"")</f>
        <v/>
      </c>
      <c r="I28" s="50" t="str">
        <v/>
      </c>
      <c r="J28" s="89" t="str">
        <v/>
      </c>
      <c r="K28" s="55"/>
      <c r="L28" s="56"/>
      <c r="M28" s="22"/>
      <c r="N28" s="52"/>
      <c r="O28" s="53"/>
      <c r="P28" s="53"/>
      <c r="Q28" s="98"/>
      <c r="R28" s="98"/>
      <c r="S28" s="101"/>
      <c r="T28" s="114"/>
      <c r="U28" s="59"/>
      <c r="V28" s="64"/>
      <c r="W28" s="61"/>
      <c r="X28" s="115"/>
      <c r="Y28" s="132"/>
      <c r="Z28" s="62"/>
      <c r="AA28" s="61"/>
      <c r="AB28" s="73" t="str">
        <f t="shared" si="2"/>
        <v/>
      </c>
      <c r="AC28" s="73" t="str">
        <f t="shared" si="3"/>
        <v/>
      </c>
      <c r="AD28" s="62"/>
      <c r="AE28" s="61"/>
      <c r="AF28" s="21" t="str">
        <f t="shared" si="4"/>
        <v/>
      </c>
      <c r="AG28" s="28" t="str" cm="1">
        <f t="array" ref="AG28">FilterSpecialCharacters(X28)</f>
        <v/>
      </c>
      <c r="AH28" s="74" t="str">
        <f t="shared" si="5"/>
        <v xml:space="preserve"> </v>
      </c>
    </row>
    <row r="29" spans="1:35" x14ac:dyDescent="0.25">
      <c r="A29" s="121" t="str" cm="1">
        <f t="array" ref="A29">IfEmpty(TRIM(_xlfn.CONCAT(C29:H29)),"",CRC32HASH(_xlfn.CONCAT(C29:H29)))</f>
        <v/>
      </c>
      <c r="B29" s="39" t="str">
        <f>IFERROR(VLOOKUP(J29,Items[],2,FALSE),"")</f>
        <v/>
      </c>
      <c r="C29" s="36" t="str" cm="1">
        <f t="array" ref="C29">W29 &amp; " " &amp; IfEmpty(U29, FilterSpecialCharacters(X29))</f>
        <v xml:space="preserve"> </v>
      </c>
      <c r="D29" s="37" t="str">
        <f t="shared" si="6"/>
        <v xml:space="preserve">  </v>
      </c>
      <c r="E29" s="58" t="str">
        <f t="shared" si="7"/>
        <v/>
      </c>
      <c r="F29" s="42" t="str">
        <f t="shared" si="8"/>
        <v/>
      </c>
      <c r="G29" s="42" t="str">
        <f t="shared" si="9"/>
        <v/>
      </c>
      <c r="H29" s="38" t="str" cm="1">
        <f t="array" ref="H29:J29">IFERROR(CalcUnc(K29,L29,S29,T29,V29,X29,AD29,AE29,N29:R29,Z29,AA29),"")</f>
        <v/>
      </c>
      <c r="I29" s="50" t="str">
        <v/>
      </c>
      <c r="J29" s="89" t="str">
        <v/>
      </c>
      <c r="K29" s="55"/>
      <c r="L29" s="56"/>
      <c r="M29" s="22"/>
      <c r="N29" s="52"/>
      <c r="O29" s="53"/>
      <c r="P29" s="53"/>
      <c r="Q29" s="98"/>
      <c r="R29" s="98"/>
      <c r="S29" s="101"/>
      <c r="T29" s="114"/>
      <c r="U29" s="59"/>
      <c r="V29" s="64"/>
      <c r="W29" s="61"/>
      <c r="X29" s="115"/>
      <c r="Y29" s="132"/>
      <c r="Z29" s="62"/>
      <c r="AA29" s="61"/>
      <c r="AB29" s="73" t="str">
        <f t="shared" si="2"/>
        <v/>
      </c>
      <c r="AC29" s="73" t="str">
        <f t="shared" si="3"/>
        <v/>
      </c>
      <c r="AD29" s="62"/>
      <c r="AE29" s="61"/>
      <c r="AF29" s="21" t="str">
        <f t="shared" si="4"/>
        <v/>
      </c>
      <c r="AG29" s="28" t="str" cm="1">
        <f t="array" ref="AG29">FilterSpecialCharacters(X29)</f>
        <v/>
      </c>
      <c r="AH29" s="74" t="str">
        <f t="shared" si="5"/>
        <v xml:space="preserve"> </v>
      </c>
    </row>
    <row r="30" spans="1:35" x14ac:dyDescent="0.25">
      <c r="A30" s="121" t="str" cm="1">
        <f t="array" ref="A30">IfEmpty(TRIM(_xlfn.CONCAT(C30:H30)),"",CRC32HASH(_xlfn.CONCAT(C30:H30)))</f>
        <v/>
      </c>
      <c r="B30" s="10" t="str">
        <f>IFERROR(VLOOKUP(J30,Items[],2,FALSE),"")</f>
        <v/>
      </c>
      <c r="C30" s="34" t="str" cm="1">
        <f t="array" ref="C30">W30 &amp; " " &amp; IfEmpty(U30, AG30)</f>
        <v xml:space="preserve"> </v>
      </c>
      <c r="D30" s="43" t="str">
        <f t="shared" si="6"/>
        <v xml:space="preserve">  </v>
      </c>
      <c r="E30" s="57" t="str">
        <f t="shared" si="7"/>
        <v/>
      </c>
      <c r="F30" s="41" t="str">
        <f t="shared" si="8"/>
        <v/>
      </c>
      <c r="G30" s="41" t="str">
        <f t="shared" si="9"/>
        <v/>
      </c>
      <c r="H30" s="35" t="str" cm="1">
        <f t="array" ref="H30:J30">IFERROR(CalcUnc(K30,L30,S30,T30,V30,X30,AD30,AE30,N30:R30,Z30,AA30),"")</f>
        <v/>
      </c>
      <c r="I30" s="50" t="str">
        <v/>
      </c>
      <c r="J30" s="89" t="str">
        <v/>
      </c>
      <c r="K30" s="55"/>
      <c r="L30" s="56"/>
      <c r="M30" s="22"/>
      <c r="N30" s="52"/>
      <c r="O30" s="53"/>
      <c r="P30" s="53"/>
      <c r="Q30" s="98"/>
      <c r="R30" s="98"/>
      <c r="S30" s="101"/>
      <c r="T30" s="114"/>
      <c r="U30" s="59"/>
      <c r="V30" s="64"/>
      <c r="W30" s="61"/>
      <c r="X30" s="115"/>
      <c r="Y30" s="132"/>
      <c r="Z30" s="62"/>
      <c r="AA30" s="61"/>
      <c r="AB30" s="73" t="str">
        <f t="shared" si="2"/>
        <v/>
      </c>
      <c r="AC30" s="73" t="str">
        <f t="shared" si="3"/>
        <v/>
      </c>
      <c r="AD30" s="62"/>
      <c r="AE30" s="61"/>
      <c r="AF30" s="21" t="str">
        <f t="shared" si="4"/>
        <v/>
      </c>
      <c r="AG30" s="28" t="str" cm="1">
        <f t="array" ref="AG30">FilterSpecialCharacters(X30)</f>
        <v/>
      </c>
      <c r="AH30" s="74" t="str">
        <f t="shared" si="5"/>
        <v xml:space="preserve"> </v>
      </c>
    </row>
    <row r="31" spans="1:35" x14ac:dyDescent="0.25">
      <c r="A31" s="121" t="str" cm="1">
        <f t="array" ref="A31">IfEmpty(TRIM(_xlfn.CONCAT(C31:H31)),"",CRC32HASH(_xlfn.CONCAT(C31:H31)))</f>
        <v/>
      </c>
      <c r="B31" s="39" t="str">
        <f>IFERROR(VLOOKUP(J31,Items[],2,FALSE),"")</f>
        <v/>
      </c>
      <c r="C31" s="36" t="str" cm="1">
        <f t="array" ref="C31">W31 &amp; " " &amp; IfEmpty(U31, FilterSpecialCharacters(X31))</f>
        <v xml:space="preserve"> </v>
      </c>
      <c r="D31" s="37" t="str">
        <f t="shared" si="6"/>
        <v xml:space="preserve">  </v>
      </c>
      <c r="E31" s="58" t="str">
        <f t="shared" si="7"/>
        <v/>
      </c>
      <c r="F31" s="42" t="str">
        <f t="shared" si="8"/>
        <v/>
      </c>
      <c r="G31" s="42" t="str">
        <f t="shared" si="9"/>
        <v/>
      </c>
      <c r="H31" s="38" t="str" cm="1">
        <f t="array" ref="H31:J31">IFERROR(CalcUnc(K31,L31,S31,T31,V31,X31,AD31,AE31,N31:R31,Z31,AA31),"")</f>
        <v/>
      </c>
      <c r="I31" s="50" t="str">
        <v/>
      </c>
      <c r="J31" s="89" t="str">
        <v/>
      </c>
      <c r="K31" s="55"/>
      <c r="L31" s="56"/>
      <c r="M31" s="22"/>
      <c r="N31" s="52"/>
      <c r="O31" s="53"/>
      <c r="P31" s="53"/>
      <c r="Q31" s="98"/>
      <c r="R31" s="98"/>
      <c r="S31" s="101"/>
      <c r="T31" s="114"/>
      <c r="U31" s="59"/>
      <c r="V31" s="64"/>
      <c r="W31" s="61"/>
      <c r="X31" s="115"/>
      <c r="Y31" s="132"/>
      <c r="Z31" s="62"/>
      <c r="AA31" s="61"/>
      <c r="AB31" s="73" t="str">
        <f t="shared" si="2"/>
        <v/>
      </c>
      <c r="AC31" s="73" t="str">
        <f t="shared" si="3"/>
        <v/>
      </c>
      <c r="AD31" s="62"/>
      <c r="AE31" s="61"/>
      <c r="AF31" s="21" t="str">
        <f t="shared" si="4"/>
        <v/>
      </c>
      <c r="AG31" s="28" t="str" cm="1">
        <f t="array" ref="AG31">FilterSpecialCharacters(X31)</f>
        <v/>
      </c>
      <c r="AH31" s="74" t="str">
        <f t="shared" si="5"/>
        <v xml:space="preserve"> </v>
      </c>
    </row>
    <row r="32" spans="1:35" x14ac:dyDescent="0.25">
      <c r="A32" s="121" t="str" cm="1">
        <f t="array" ref="A32">IfEmpty(TRIM(_xlfn.CONCAT(C32:H32)),"",CRC32HASH(_xlfn.CONCAT(C32:H32)))</f>
        <v/>
      </c>
      <c r="B32" s="10" t="str">
        <f>IFERROR(VLOOKUP(J32,Items[],2,FALSE),"")</f>
        <v/>
      </c>
      <c r="C32" s="34" t="str" cm="1">
        <f t="array" ref="C32">W32 &amp; " " &amp; IfEmpty(U32, AG32)</f>
        <v xml:space="preserve"> </v>
      </c>
      <c r="D32" s="43" t="str">
        <f t="shared" si="6"/>
        <v xml:space="preserve">  </v>
      </c>
      <c r="E32" s="57" t="str">
        <f t="shared" si="7"/>
        <v/>
      </c>
      <c r="F32" s="41" t="str">
        <f t="shared" si="8"/>
        <v/>
      </c>
      <c r="G32" s="41" t="str">
        <f t="shared" si="9"/>
        <v/>
      </c>
      <c r="H32" s="35" t="str" cm="1">
        <f t="array" ref="H32:J32">IFERROR(CalcUnc(K32,L32,S32,T32,V32,X32,AD32,AE32,N32:R32,Z32,AA32),"")</f>
        <v/>
      </c>
      <c r="I32" s="50" t="str">
        <v/>
      </c>
      <c r="J32" s="89" t="str">
        <v/>
      </c>
      <c r="K32" s="55"/>
      <c r="L32" s="56"/>
      <c r="M32" s="22"/>
      <c r="N32" s="52"/>
      <c r="O32" s="53"/>
      <c r="P32" s="53"/>
      <c r="Q32" s="98"/>
      <c r="R32" s="98"/>
      <c r="S32" s="101"/>
      <c r="T32" s="114"/>
      <c r="U32" s="59"/>
      <c r="V32" s="64"/>
      <c r="W32" s="61"/>
      <c r="X32" s="115"/>
      <c r="Y32" s="132"/>
      <c r="Z32" s="62"/>
      <c r="AA32" s="61"/>
      <c r="AB32" s="73" t="str">
        <f t="shared" si="2"/>
        <v/>
      </c>
      <c r="AC32" s="73" t="str">
        <f t="shared" si="3"/>
        <v/>
      </c>
      <c r="AD32" s="62"/>
      <c r="AE32" s="61"/>
      <c r="AF32" s="21" t="str">
        <f t="shared" si="4"/>
        <v/>
      </c>
      <c r="AG32" s="28" t="str" cm="1">
        <f t="array" ref="AG32">FilterSpecialCharacters(X32)</f>
        <v/>
      </c>
      <c r="AH32" s="74" t="str">
        <f t="shared" si="5"/>
        <v xml:space="preserve"> </v>
      </c>
    </row>
    <row r="33" spans="1:34" x14ac:dyDescent="0.25">
      <c r="A33" s="121" t="str" cm="1">
        <f t="array" ref="A33">IfEmpty(TRIM(_xlfn.CONCAT(C33:H33)),"",CRC32HASH(_xlfn.CONCAT(C33:H33)))</f>
        <v/>
      </c>
      <c r="B33" s="39" t="str">
        <f>IFERROR(VLOOKUP(J33,Items[],2,FALSE),"")</f>
        <v/>
      </c>
      <c r="C33" s="36" t="str" cm="1">
        <f t="array" ref="C33">W33 &amp; " " &amp; IfEmpty(U33, FilterSpecialCharacters(X33))</f>
        <v xml:space="preserve"> </v>
      </c>
      <c r="D33" s="37" t="str">
        <f t="shared" si="6"/>
        <v xml:space="preserve">  </v>
      </c>
      <c r="E33" s="58" t="str">
        <f t="shared" si="7"/>
        <v/>
      </c>
      <c r="F33" s="42" t="str">
        <f t="shared" si="8"/>
        <v/>
      </c>
      <c r="G33" s="42" t="str">
        <f t="shared" si="9"/>
        <v/>
      </c>
      <c r="H33" s="38" t="str" cm="1">
        <f t="array" ref="H33:J33">IFERROR(CalcUnc(K33,L33,S33,T33,V33,X33,AD33,AE33,N33:R33,Z33,AA33),"")</f>
        <v/>
      </c>
      <c r="I33" s="50" t="str">
        <v/>
      </c>
      <c r="J33" s="89" t="str">
        <v/>
      </c>
      <c r="K33" s="55"/>
      <c r="L33" s="56"/>
      <c r="M33" s="22"/>
      <c r="N33" s="52"/>
      <c r="O33" s="53"/>
      <c r="P33" s="53"/>
      <c r="Q33" s="98"/>
      <c r="R33" s="98"/>
      <c r="S33" s="101"/>
      <c r="T33" s="114"/>
      <c r="U33" s="59"/>
      <c r="V33" s="64"/>
      <c r="W33" s="61"/>
      <c r="X33" s="115"/>
      <c r="Y33" s="132"/>
      <c r="Z33" s="62"/>
      <c r="AA33" s="61"/>
      <c r="AB33" s="73" t="str">
        <f t="shared" si="2"/>
        <v/>
      </c>
      <c r="AC33" s="73" t="str">
        <f t="shared" si="3"/>
        <v/>
      </c>
      <c r="AD33" s="62"/>
      <c r="AE33" s="61"/>
      <c r="AF33" s="21" t="str">
        <f t="shared" si="4"/>
        <v/>
      </c>
      <c r="AG33" s="28" t="str" cm="1">
        <f t="array" ref="AG33">FilterSpecialCharacters(X33)</f>
        <v/>
      </c>
      <c r="AH33" s="74" t="str">
        <f t="shared" si="5"/>
        <v xml:space="preserve"> </v>
      </c>
    </row>
    <row r="34" spans="1:34" x14ac:dyDescent="0.25">
      <c r="A34" s="121" t="str" cm="1">
        <f t="array" ref="A34">IfEmpty(TRIM(_xlfn.CONCAT(C34:H34)),"",CRC32HASH(_xlfn.CONCAT(C34:H34)))</f>
        <v/>
      </c>
      <c r="B34" s="10" t="str">
        <f>IFERROR(VLOOKUP(J34,Items[],2,FALSE),"")</f>
        <v/>
      </c>
      <c r="C34" s="34" t="str" cm="1">
        <f t="array" ref="C34">W34 &amp; " " &amp; IfEmpty(U34, AG34)</f>
        <v xml:space="preserve"> </v>
      </c>
      <c r="D34" s="43" t="str">
        <f t="shared" si="6"/>
        <v xml:space="preserve">  </v>
      </c>
      <c r="E34" s="57" t="str">
        <f t="shared" si="7"/>
        <v/>
      </c>
      <c r="F34" s="41" t="str">
        <f t="shared" si="8"/>
        <v/>
      </c>
      <c r="G34" s="41" t="str">
        <f t="shared" si="9"/>
        <v/>
      </c>
      <c r="H34" s="35" t="str" cm="1">
        <f t="array" ref="H34:J34">IFERROR(CalcUnc(K34,L34,S34,T34,V34,X34,AD34,AE34,N34:R34,Z34,AA34),"")</f>
        <v/>
      </c>
      <c r="I34" s="50" t="str">
        <v/>
      </c>
      <c r="J34" s="89" t="str">
        <v/>
      </c>
      <c r="K34" s="55"/>
      <c r="L34" s="56"/>
      <c r="M34" s="22"/>
      <c r="N34" s="52"/>
      <c r="O34" s="53"/>
      <c r="P34" s="53"/>
      <c r="Q34" s="98"/>
      <c r="R34" s="98"/>
      <c r="S34" s="101"/>
      <c r="T34" s="114"/>
      <c r="U34" s="59"/>
      <c r="V34" s="64"/>
      <c r="W34" s="61"/>
      <c r="X34" s="115"/>
      <c r="Y34" s="132"/>
      <c r="Z34" s="62"/>
      <c r="AA34" s="61"/>
      <c r="AB34" s="73" t="str">
        <f t="shared" si="2"/>
        <v/>
      </c>
      <c r="AC34" s="73" t="str">
        <f t="shared" si="3"/>
        <v/>
      </c>
      <c r="AD34" s="62"/>
      <c r="AE34" s="61"/>
      <c r="AF34" s="21" t="str">
        <f t="shared" si="4"/>
        <v/>
      </c>
      <c r="AG34" s="28" t="str" cm="1">
        <f t="array" ref="AG34">FilterSpecialCharacters(X34)</f>
        <v/>
      </c>
      <c r="AH34" s="74" t="str">
        <f t="shared" si="5"/>
        <v xml:space="preserve"> </v>
      </c>
    </row>
    <row r="35" spans="1:34" x14ac:dyDescent="0.25">
      <c r="A35" s="121" t="str" cm="1">
        <f t="array" ref="A35">IfEmpty(TRIM(_xlfn.CONCAT(C35:H35)),"",CRC32HASH(_xlfn.CONCAT(C35:H35)))</f>
        <v/>
      </c>
      <c r="B35" s="39" t="str">
        <f>IFERROR(VLOOKUP(J35,Items[],2,FALSE),"")</f>
        <v/>
      </c>
      <c r="C35" s="36" t="str" cm="1">
        <f t="array" ref="C35">W35 &amp; " " &amp; IfEmpty(U35, FilterSpecialCharacters(X35))</f>
        <v xml:space="preserve"> </v>
      </c>
      <c r="D35" s="37" t="str">
        <f t="shared" si="6"/>
        <v xml:space="preserve">  </v>
      </c>
      <c r="E35" s="58" t="str">
        <f t="shared" si="7"/>
        <v/>
      </c>
      <c r="F35" s="42" t="str">
        <f t="shared" si="8"/>
        <v/>
      </c>
      <c r="G35" s="42" t="str">
        <f t="shared" si="9"/>
        <v/>
      </c>
      <c r="H35" s="38" t="str" cm="1">
        <f t="array" ref="H35:J35">IFERROR(CalcUnc(K35,L35,S35,T35,V35,X35,AD35,AE35,N35:R35,Z35,AA35),"")</f>
        <v/>
      </c>
      <c r="I35" s="50" t="str">
        <v/>
      </c>
      <c r="J35" s="89" t="str">
        <v/>
      </c>
      <c r="K35" s="55"/>
      <c r="L35" s="56"/>
      <c r="M35" s="22"/>
      <c r="N35" s="52"/>
      <c r="O35" s="53"/>
      <c r="P35" s="53"/>
      <c r="Q35" s="98"/>
      <c r="R35" s="98"/>
      <c r="S35" s="101"/>
      <c r="T35" s="114"/>
      <c r="U35" s="59"/>
      <c r="V35" s="64"/>
      <c r="W35" s="61"/>
      <c r="X35" s="115"/>
      <c r="Y35" s="132"/>
      <c r="Z35" s="62"/>
      <c r="AA35" s="61"/>
      <c r="AB35" s="73" t="str">
        <f t="shared" si="2"/>
        <v/>
      </c>
      <c r="AC35" s="73" t="str">
        <f t="shared" si="3"/>
        <v/>
      </c>
      <c r="AD35" s="62"/>
      <c r="AE35" s="61"/>
      <c r="AF35" s="21" t="str">
        <f t="shared" si="4"/>
        <v/>
      </c>
      <c r="AG35" s="28" t="str" cm="1">
        <f t="array" ref="AG35">FilterSpecialCharacters(X35)</f>
        <v/>
      </c>
      <c r="AH35" s="74" t="str">
        <f t="shared" si="5"/>
        <v xml:space="preserve"> </v>
      </c>
    </row>
    <row r="36" spans="1:34" x14ac:dyDescent="0.25">
      <c r="A36" s="121" t="str" cm="1">
        <f t="array" ref="A36">IfEmpty(TRIM(_xlfn.CONCAT(C36:H36)),"",CRC32HASH(_xlfn.CONCAT(C36:H36)))</f>
        <v/>
      </c>
      <c r="B36" s="10" t="str">
        <f>IFERROR(VLOOKUP(J36,Items[],2,FALSE),"")</f>
        <v/>
      </c>
      <c r="C36" s="34" t="str" cm="1">
        <f t="array" ref="C36">W36 &amp; " " &amp; IfEmpty(U36, AG36)</f>
        <v xml:space="preserve"> </v>
      </c>
      <c r="D36" s="43" t="str">
        <f t="shared" si="6"/>
        <v xml:space="preserve">  </v>
      </c>
      <c r="E36" s="57" t="str">
        <f t="shared" si="7"/>
        <v/>
      </c>
      <c r="F36" s="41" t="str">
        <f t="shared" si="8"/>
        <v/>
      </c>
      <c r="G36" s="41" t="str">
        <f t="shared" si="9"/>
        <v/>
      </c>
      <c r="H36" s="35" t="str" cm="1">
        <f t="array" ref="H36:J36">IFERROR(CalcUnc(K36,L36,S36,T36,V36,X36,AD36,AE36,N36:R36,Z36,AA36),"")</f>
        <v/>
      </c>
      <c r="I36" s="50" t="str">
        <v/>
      </c>
      <c r="J36" s="89" t="str">
        <v/>
      </c>
      <c r="K36" s="55"/>
      <c r="L36" s="56"/>
      <c r="M36" s="22"/>
      <c r="N36" s="52"/>
      <c r="O36" s="53"/>
      <c r="P36" s="53"/>
      <c r="Q36" s="98"/>
      <c r="R36" s="98"/>
      <c r="S36" s="101"/>
      <c r="T36" s="114"/>
      <c r="U36" s="59"/>
      <c r="V36" s="64"/>
      <c r="W36" s="61"/>
      <c r="X36" s="115"/>
      <c r="Y36" s="132"/>
      <c r="Z36" s="62"/>
      <c r="AA36" s="61"/>
      <c r="AB36" s="73" t="str">
        <f t="shared" si="2"/>
        <v/>
      </c>
      <c r="AC36" s="73" t="str">
        <f t="shared" si="3"/>
        <v/>
      </c>
      <c r="AD36" s="62"/>
      <c r="AE36" s="61"/>
      <c r="AF36" s="21" t="str">
        <f t="shared" si="4"/>
        <v/>
      </c>
      <c r="AG36" s="28" t="str" cm="1">
        <f t="array" ref="AG36">FilterSpecialCharacters(X36)</f>
        <v/>
      </c>
      <c r="AH36" s="74" t="str">
        <f t="shared" si="5"/>
        <v xml:space="preserve"> </v>
      </c>
    </row>
    <row r="37" spans="1:34" x14ac:dyDescent="0.25">
      <c r="A37" s="121" t="str" cm="1">
        <f t="array" ref="A37">IfEmpty(TRIM(_xlfn.CONCAT(C37:H37)),"",CRC32HASH(_xlfn.CONCAT(C37:H37)))</f>
        <v/>
      </c>
      <c r="B37" s="39" t="str">
        <f>IFERROR(VLOOKUP(J37,Items[],2,FALSE),"")</f>
        <v/>
      </c>
      <c r="C37" s="36" t="str" cm="1">
        <f t="array" ref="C37">W37 &amp; " " &amp; IfEmpty(U37, FilterSpecialCharacters(X37))</f>
        <v xml:space="preserve"> </v>
      </c>
      <c r="D37" s="37" t="str">
        <f t="shared" si="6"/>
        <v xml:space="preserve">  </v>
      </c>
      <c r="E37" s="58" t="str">
        <f t="shared" si="7"/>
        <v/>
      </c>
      <c r="F37" s="42" t="str">
        <f t="shared" si="8"/>
        <v/>
      </c>
      <c r="G37" s="42" t="str">
        <f t="shared" si="9"/>
        <v/>
      </c>
      <c r="H37" s="38" t="str" cm="1">
        <f t="array" ref="H37:J37">IFERROR(CalcUnc(K37,L37,S37,T37,V37,X37,AD37,AE37,N37:R37,Z37,AA37),"")</f>
        <v/>
      </c>
      <c r="I37" s="50" t="str">
        <v/>
      </c>
      <c r="J37" s="89" t="str">
        <v/>
      </c>
      <c r="K37" s="55"/>
      <c r="L37" s="56"/>
      <c r="M37" s="22"/>
      <c r="N37" s="52"/>
      <c r="O37" s="53"/>
      <c r="P37" s="53"/>
      <c r="Q37" s="98"/>
      <c r="R37" s="98"/>
      <c r="S37" s="101"/>
      <c r="T37" s="114"/>
      <c r="U37" s="59"/>
      <c r="V37" s="64"/>
      <c r="W37" s="61"/>
      <c r="X37" s="115"/>
      <c r="Y37" s="132"/>
      <c r="Z37" s="62"/>
      <c r="AA37" s="61"/>
      <c r="AB37" s="73" t="str">
        <f t="shared" si="2"/>
        <v/>
      </c>
      <c r="AC37" s="73" t="str">
        <f t="shared" si="3"/>
        <v/>
      </c>
      <c r="AD37" s="62"/>
      <c r="AE37" s="61"/>
      <c r="AF37" s="21" t="str">
        <f t="shared" si="4"/>
        <v/>
      </c>
      <c r="AG37" s="28" t="str" cm="1">
        <f t="array" ref="AG37">FilterSpecialCharacters(X37)</f>
        <v/>
      </c>
      <c r="AH37" s="74" t="str">
        <f t="shared" si="5"/>
        <v xml:space="preserve"> </v>
      </c>
    </row>
    <row r="38" spans="1:34" x14ac:dyDescent="0.25">
      <c r="A38" s="121" t="str" cm="1">
        <f t="array" ref="A38">IfEmpty(TRIM(_xlfn.CONCAT(C38:H38)),"",CRC32HASH(_xlfn.CONCAT(C38:H38)))</f>
        <v/>
      </c>
      <c r="B38" s="10" t="str">
        <f>IFERROR(VLOOKUP(J38,Items[],2,FALSE),"")</f>
        <v/>
      </c>
      <c r="C38" s="34" t="str" cm="1">
        <f t="array" ref="C38">W38 &amp; " " &amp; IfEmpty(U38, AG38)</f>
        <v xml:space="preserve"> </v>
      </c>
      <c r="D38" s="43" t="str">
        <f t="shared" si="6"/>
        <v xml:space="preserve">  </v>
      </c>
      <c r="E38" s="57" t="str">
        <f t="shared" si="7"/>
        <v/>
      </c>
      <c r="F38" s="41" t="str">
        <f t="shared" si="8"/>
        <v/>
      </c>
      <c r="G38" s="41" t="str">
        <f t="shared" si="9"/>
        <v/>
      </c>
      <c r="H38" s="35" t="str" cm="1">
        <f t="array" ref="H38:J38">IFERROR(CalcUnc(K38,L38,S38,T38,V38,X38,AD38,AE38,N38:R38,Z38,AA38),"")</f>
        <v/>
      </c>
      <c r="I38" s="50" t="str">
        <v/>
      </c>
      <c r="J38" s="89" t="str">
        <v/>
      </c>
      <c r="K38" s="55"/>
      <c r="L38" s="56"/>
      <c r="M38" s="22"/>
      <c r="N38" s="52"/>
      <c r="O38" s="53"/>
      <c r="P38" s="53"/>
      <c r="Q38" s="98"/>
      <c r="R38" s="98"/>
      <c r="S38" s="101"/>
      <c r="T38" s="114"/>
      <c r="U38" s="59"/>
      <c r="V38" s="64"/>
      <c r="W38" s="61"/>
      <c r="X38" s="115"/>
      <c r="Y38" s="132"/>
      <c r="Z38" s="62"/>
      <c r="AA38" s="61"/>
      <c r="AB38" s="73" t="str">
        <f t="shared" ref="AB38:AB69" si="10">IF(V38&lt;&gt;"",ROUND(Z38-AA38,-LOG10(V38)),"")</f>
        <v/>
      </c>
      <c r="AC38" s="73" t="str">
        <f t="shared" ref="AC38:AC69" si="11">IF(V38&lt;&gt;"",ROUND(Z38+AA38,-LOG10(V38)),"")</f>
        <v/>
      </c>
      <c r="AD38" s="62"/>
      <c r="AE38" s="61"/>
      <c r="AF38" s="21" t="str">
        <f t="shared" si="4"/>
        <v/>
      </c>
      <c r="AG38" s="28" t="str" cm="1">
        <f t="array" ref="AG38">FilterSpecialCharacters(X38)</f>
        <v/>
      </c>
      <c r="AH38" s="74" t="str">
        <f t="shared" si="5"/>
        <v xml:space="preserve"> </v>
      </c>
    </row>
    <row r="39" spans="1:34" x14ac:dyDescent="0.25">
      <c r="A39" s="121" t="str" cm="1">
        <f t="array" ref="A39">IfEmpty(TRIM(_xlfn.CONCAT(C39:H39)),"",CRC32HASH(_xlfn.CONCAT(C39:H39)))</f>
        <v/>
      </c>
      <c r="B39" s="39" t="str">
        <f>IFERROR(VLOOKUP(J39,Items[],2,FALSE),"")</f>
        <v/>
      </c>
      <c r="C39" s="36" t="str" cm="1">
        <f t="array" ref="C39">W39 &amp; " " &amp; IfEmpty(U39, FilterSpecialCharacters(X39))</f>
        <v xml:space="preserve"> </v>
      </c>
      <c r="D39" s="37" t="str">
        <f t="shared" si="6"/>
        <v xml:space="preserve">  </v>
      </c>
      <c r="E39" s="58" t="str">
        <f t="shared" si="7"/>
        <v/>
      </c>
      <c r="F39" s="42" t="str">
        <f t="shared" si="8"/>
        <v/>
      </c>
      <c r="G39" s="42" t="str">
        <f t="shared" si="9"/>
        <v/>
      </c>
      <c r="H39" s="38" t="str" cm="1">
        <f t="array" ref="H39:J39">IFERROR(CalcUnc(K39,L39,S39,T39,V39,X39,AD39,AE39,N39:R39,Z39,AA39),"")</f>
        <v/>
      </c>
      <c r="I39" s="50" t="str">
        <v/>
      </c>
      <c r="J39" s="89" t="str">
        <v/>
      </c>
      <c r="K39" s="55"/>
      <c r="L39" s="56"/>
      <c r="M39" s="22"/>
      <c r="N39" s="52"/>
      <c r="O39" s="53"/>
      <c r="P39" s="53"/>
      <c r="Q39" s="98"/>
      <c r="R39" s="98"/>
      <c r="S39" s="101"/>
      <c r="T39" s="114"/>
      <c r="U39" s="59"/>
      <c r="V39" s="64"/>
      <c r="W39" s="61"/>
      <c r="X39" s="115"/>
      <c r="Y39" s="132"/>
      <c r="Z39" s="62"/>
      <c r="AA39" s="61"/>
      <c r="AB39" s="73" t="str">
        <f t="shared" si="10"/>
        <v/>
      </c>
      <c r="AC39" s="73" t="str">
        <f t="shared" si="11"/>
        <v/>
      </c>
      <c r="AD39" s="62"/>
      <c r="AE39" s="61"/>
      <c r="AF39" s="21" t="str">
        <f t="shared" si="4"/>
        <v/>
      </c>
      <c r="AG39" s="28" t="str" cm="1">
        <f t="array" ref="AG39">FilterSpecialCharacters(X39)</f>
        <v/>
      </c>
      <c r="AH39" s="74" t="str">
        <f t="shared" si="5"/>
        <v xml:space="preserve"> </v>
      </c>
    </row>
    <row r="40" spans="1:34" x14ac:dyDescent="0.25">
      <c r="A40" s="121" t="str" cm="1">
        <f t="array" ref="A40">IfEmpty(TRIM(_xlfn.CONCAT(C40:H40)),"",CRC32HASH(_xlfn.CONCAT(C40:H40)))</f>
        <v/>
      </c>
      <c r="B40" s="10" t="str">
        <f>IFERROR(VLOOKUP(J40,Items[],2,FALSE),"")</f>
        <v/>
      </c>
      <c r="C40" s="34" t="str" cm="1">
        <f t="array" ref="C40">W40 &amp; " " &amp; IfEmpty(U40, AG40)</f>
        <v xml:space="preserve"> </v>
      </c>
      <c r="D40" s="43" t="str">
        <f t="shared" si="6"/>
        <v xml:space="preserve">  </v>
      </c>
      <c r="E40" s="57" t="str">
        <f t="shared" si="7"/>
        <v/>
      </c>
      <c r="F40" s="41" t="str">
        <f t="shared" si="8"/>
        <v/>
      </c>
      <c r="G40" s="41" t="str">
        <f t="shared" si="9"/>
        <v/>
      </c>
      <c r="H40" s="35" t="str" cm="1">
        <f t="array" ref="H40:J40">IFERROR(CalcUnc(K40,L40,S40,T40,V40,X40,AD40,AE40,N40:R40,Z40,AA40),"")</f>
        <v/>
      </c>
      <c r="I40" s="50" t="str">
        <v/>
      </c>
      <c r="J40" s="89" t="str">
        <v/>
      </c>
      <c r="K40" s="55"/>
      <c r="L40" s="56"/>
      <c r="M40" s="22"/>
      <c r="N40" s="52"/>
      <c r="O40" s="53"/>
      <c r="P40" s="53"/>
      <c r="Q40" s="98"/>
      <c r="R40" s="98"/>
      <c r="S40" s="101"/>
      <c r="T40" s="114"/>
      <c r="U40" s="59"/>
      <c r="V40" s="64"/>
      <c r="W40" s="61"/>
      <c r="X40" s="115"/>
      <c r="Y40" s="132"/>
      <c r="Z40" s="62"/>
      <c r="AA40" s="61"/>
      <c r="AB40" s="73" t="str">
        <f t="shared" si="10"/>
        <v/>
      </c>
      <c r="AC40" s="73" t="str">
        <f t="shared" si="11"/>
        <v/>
      </c>
      <c r="AD40" s="62"/>
      <c r="AE40" s="61"/>
      <c r="AF40" s="21" t="str">
        <f t="shared" si="4"/>
        <v/>
      </c>
      <c r="AG40" s="28" t="str" cm="1">
        <f t="array" ref="AG40">FilterSpecialCharacters(X40)</f>
        <v/>
      </c>
      <c r="AH40" s="74" t="str">
        <f t="shared" si="5"/>
        <v xml:space="preserve"> </v>
      </c>
    </row>
    <row r="41" spans="1:34" x14ac:dyDescent="0.25">
      <c r="A41" s="121" t="str" cm="1">
        <f t="array" ref="A41">IfEmpty(TRIM(_xlfn.CONCAT(C41:H41)),"",CRC32HASH(_xlfn.CONCAT(C41:H41)))</f>
        <v/>
      </c>
      <c r="B41" s="39" t="str">
        <f>IFERROR(VLOOKUP(J41,Items[],2,FALSE),"")</f>
        <v/>
      </c>
      <c r="C41" s="36" t="str" cm="1">
        <f t="array" ref="C41">W41 &amp; " " &amp; IfEmpty(U41, FilterSpecialCharacters(X41))</f>
        <v xml:space="preserve"> </v>
      </c>
      <c r="D41" s="37" t="str">
        <f t="shared" si="6"/>
        <v xml:space="preserve">  </v>
      </c>
      <c r="E41" s="58" t="str">
        <f t="shared" si="7"/>
        <v/>
      </c>
      <c r="F41" s="42" t="str">
        <f t="shared" si="8"/>
        <v/>
      </c>
      <c r="G41" s="42" t="str">
        <f t="shared" si="9"/>
        <v/>
      </c>
      <c r="H41" s="38" t="str" cm="1">
        <f t="array" ref="H41:J41">IFERROR(CalcUnc(K41,L41,S41,T41,V41,X41,AD41,AE41,N41:R41,Z41,AA41),"")</f>
        <v/>
      </c>
      <c r="I41" s="50" t="str">
        <v/>
      </c>
      <c r="J41" s="89" t="str">
        <v/>
      </c>
      <c r="K41" s="55"/>
      <c r="L41" s="56"/>
      <c r="M41" s="22"/>
      <c r="N41" s="52"/>
      <c r="O41" s="53"/>
      <c r="P41" s="53"/>
      <c r="Q41" s="98"/>
      <c r="R41" s="98"/>
      <c r="S41" s="101"/>
      <c r="T41" s="114"/>
      <c r="U41" s="59"/>
      <c r="V41" s="64"/>
      <c r="W41" s="61"/>
      <c r="X41" s="115"/>
      <c r="Y41" s="132"/>
      <c r="Z41" s="62"/>
      <c r="AA41" s="61"/>
      <c r="AB41" s="73" t="str">
        <f t="shared" si="10"/>
        <v/>
      </c>
      <c r="AC41" s="73" t="str">
        <f t="shared" si="11"/>
        <v/>
      </c>
      <c r="AD41" s="62"/>
      <c r="AE41" s="61"/>
      <c r="AF41" s="21" t="str">
        <f t="shared" si="4"/>
        <v/>
      </c>
      <c r="AG41" s="28" t="str" cm="1">
        <f t="array" ref="AG41">FilterSpecialCharacters(X41)</f>
        <v/>
      </c>
      <c r="AH41" s="74" t="str">
        <f t="shared" si="5"/>
        <v xml:space="preserve"> </v>
      </c>
    </row>
    <row r="42" spans="1:34" x14ac:dyDescent="0.25">
      <c r="A42" s="121" t="str" cm="1">
        <f t="array" ref="A42">IfEmpty(TRIM(_xlfn.CONCAT(C42:H42)),"",CRC32HASH(_xlfn.CONCAT(C42:H42)))</f>
        <v/>
      </c>
      <c r="B42" s="10" t="str">
        <f>IFERROR(VLOOKUP(J42,Items[],2,FALSE),"")</f>
        <v/>
      </c>
      <c r="C42" s="34" t="str" cm="1">
        <f t="array" ref="C42">W42 &amp; " " &amp; IfEmpty(U42, AG42)</f>
        <v xml:space="preserve"> </v>
      </c>
      <c r="D42" s="43" t="str">
        <f t="shared" si="6"/>
        <v xml:space="preserve">  </v>
      </c>
      <c r="E42" s="57" t="str">
        <f t="shared" si="7"/>
        <v/>
      </c>
      <c r="F42" s="41" t="str">
        <f t="shared" si="8"/>
        <v/>
      </c>
      <c r="G42" s="41" t="str">
        <f t="shared" si="9"/>
        <v/>
      </c>
      <c r="H42" s="35" t="str" cm="1">
        <f t="array" ref="H42:J42">IFERROR(CalcUnc(K42,L42,S42,T42,V42,X42,AD42,AE42,N42:R42,Z42,AA42),"")</f>
        <v/>
      </c>
      <c r="I42" s="50" t="str">
        <v/>
      </c>
      <c r="J42" s="89" t="str">
        <v/>
      </c>
      <c r="K42" s="55"/>
      <c r="L42" s="56"/>
      <c r="M42" s="22"/>
      <c r="N42" s="52"/>
      <c r="O42" s="53"/>
      <c r="P42" s="53"/>
      <c r="Q42" s="98"/>
      <c r="R42" s="98"/>
      <c r="S42" s="101"/>
      <c r="T42" s="114"/>
      <c r="U42" s="59"/>
      <c r="V42" s="64"/>
      <c r="W42" s="61"/>
      <c r="X42" s="115"/>
      <c r="Y42" s="132"/>
      <c r="Z42" s="62"/>
      <c r="AA42" s="61"/>
      <c r="AB42" s="73" t="str">
        <f t="shared" si="10"/>
        <v/>
      </c>
      <c r="AC42" s="73" t="str">
        <f t="shared" si="11"/>
        <v/>
      </c>
      <c r="AD42" s="62"/>
      <c r="AE42" s="61"/>
      <c r="AF42" s="21" t="str">
        <f t="shared" si="4"/>
        <v/>
      </c>
      <c r="AG42" s="28" t="str" cm="1">
        <f t="array" ref="AG42">FilterSpecialCharacters(X42)</f>
        <v/>
      </c>
      <c r="AH42" s="74" t="str">
        <f t="shared" si="5"/>
        <v xml:space="preserve"> </v>
      </c>
    </row>
    <row r="43" spans="1:34" x14ac:dyDescent="0.25">
      <c r="A43" s="121" t="str" cm="1">
        <f t="array" ref="A43">IfEmpty(TRIM(_xlfn.CONCAT(C43:H43)),"",CRC32HASH(_xlfn.CONCAT(C43:H43)))</f>
        <v/>
      </c>
      <c r="B43" s="39" t="str">
        <f>IFERROR(VLOOKUP(J43,Items[],2,FALSE),"")</f>
        <v/>
      </c>
      <c r="C43" s="36" t="str" cm="1">
        <f t="array" ref="C43">W43 &amp; " " &amp; IfEmpty(U43, FilterSpecialCharacters(X43))</f>
        <v xml:space="preserve"> </v>
      </c>
      <c r="D43" s="37" t="str">
        <f t="shared" si="6"/>
        <v xml:space="preserve">  </v>
      </c>
      <c r="E43" s="58" t="str">
        <f t="shared" si="7"/>
        <v/>
      </c>
      <c r="F43" s="42" t="str">
        <f t="shared" si="8"/>
        <v/>
      </c>
      <c r="G43" s="42" t="str">
        <f t="shared" si="9"/>
        <v/>
      </c>
      <c r="H43" s="38" t="str" cm="1">
        <f t="array" ref="H43:J43">IFERROR(CalcUnc(K43,L43,S43,T43,V43,X43,AD43,AE43,N43:R43,Z43,AA43),"")</f>
        <v/>
      </c>
      <c r="I43" s="50" t="str">
        <v/>
      </c>
      <c r="J43" s="89" t="str">
        <v/>
      </c>
      <c r="K43" s="55"/>
      <c r="L43" s="56"/>
      <c r="M43" s="22"/>
      <c r="N43" s="52"/>
      <c r="O43" s="53"/>
      <c r="P43" s="53"/>
      <c r="Q43" s="98"/>
      <c r="R43" s="98"/>
      <c r="S43" s="101"/>
      <c r="T43" s="114"/>
      <c r="U43" s="59"/>
      <c r="V43" s="64"/>
      <c r="W43" s="61"/>
      <c r="X43" s="115"/>
      <c r="Y43" s="132"/>
      <c r="Z43" s="62"/>
      <c r="AA43" s="61"/>
      <c r="AB43" s="73" t="str">
        <f t="shared" si="10"/>
        <v/>
      </c>
      <c r="AC43" s="73" t="str">
        <f t="shared" si="11"/>
        <v/>
      </c>
      <c r="AD43" s="62"/>
      <c r="AE43" s="61"/>
      <c r="AF43" s="21" t="str">
        <f t="shared" si="4"/>
        <v/>
      </c>
      <c r="AG43" s="28" t="str" cm="1">
        <f t="array" ref="AG43">FilterSpecialCharacters(X43)</f>
        <v/>
      </c>
      <c r="AH43" s="74" t="str">
        <f t="shared" si="5"/>
        <v xml:space="preserve"> </v>
      </c>
    </row>
    <row r="44" spans="1:34" x14ac:dyDescent="0.25">
      <c r="A44" s="121" t="str" cm="1">
        <f t="array" ref="A44">IfEmpty(TRIM(_xlfn.CONCAT(C44:H44)),"",CRC32HASH(_xlfn.CONCAT(C44:H44)))</f>
        <v/>
      </c>
      <c r="B44" s="10" t="str">
        <f>IFERROR(VLOOKUP(J44,Items[],2,FALSE),"")</f>
        <v/>
      </c>
      <c r="C44" s="34" t="str" cm="1">
        <f t="array" ref="C44">W44 &amp; " " &amp; IfEmpty(U44, AG44)</f>
        <v xml:space="preserve"> </v>
      </c>
      <c r="D44" s="43" t="str">
        <f t="shared" si="6"/>
        <v xml:space="preserve">  </v>
      </c>
      <c r="E44" s="57" t="str">
        <f t="shared" si="7"/>
        <v/>
      </c>
      <c r="F44" s="41" t="str">
        <f t="shared" si="8"/>
        <v/>
      </c>
      <c r="G44" s="41" t="str">
        <f t="shared" si="9"/>
        <v/>
      </c>
      <c r="H44" s="35" t="str" cm="1">
        <f t="array" ref="H44:J44">IFERROR(CalcUnc(K44,L44,S44,T44,V44,X44,AD44,AE44,N44:R44,Z44,AA44),"")</f>
        <v/>
      </c>
      <c r="I44" s="50" t="str">
        <v/>
      </c>
      <c r="J44" s="89" t="str">
        <v/>
      </c>
      <c r="K44" s="55"/>
      <c r="L44" s="56"/>
      <c r="M44" s="22"/>
      <c r="N44" s="52"/>
      <c r="O44" s="53"/>
      <c r="P44" s="53"/>
      <c r="Q44" s="98"/>
      <c r="R44" s="98"/>
      <c r="S44" s="101"/>
      <c r="T44" s="114"/>
      <c r="U44" s="59"/>
      <c r="V44" s="64"/>
      <c r="W44" s="61"/>
      <c r="X44" s="115"/>
      <c r="Y44" s="132"/>
      <c r="Z44" s="62"/>
      <c r="AA44" s="61"/>
      <c r="AB44" s="73" t="str">
        <f t="shared" si="10"/>
        <v/>
      </c>
      <c r="AC44" s="73" t="str">
        <f t="shared" si="11"/>
        <v/>
      </c>
      <c r="AD44" s="62"/>
      <c r="AE44" s="61"/>
      <c r="AF44" s="21" t="str">
        <f t="shared" si="4"/>
        <v/>
      </c>
      <c r="AG44" s="28" t="str" cm="1">
        <f t="array" ref="AG44">FilterSpecialCharacters(X44)</f>
        <v/>
      </c>
      <c r="AH44" s="74" t="str">
        <f t="shared" si="5"/>
        <v xml:space="preserve"> </v>
      </c>
    </row>
    <row r="45" spans="1:34" x14ac:dyDescent="0.25">
      <c r="A45" s="121" t="str" cm="1">
        <f t="array" ref="A45">IfEmpty(TRIM(_xlfn.CONCAT(C45:H45)),"",CRC32HASH(_xlfn.CONCAT(C45:H45)))</f>
        <v/>
      </c>
      <c r="B45" s="39" t="str">
        <f>IFERROR(VLOOKUP(J45,Items[],2,FALSE),"")</f>
        <v/>
      </c>
      <c r="C45" s="36" t="str" cm="1">
        <f t="array" ref="C45">W45 &amp; " " &amp; IfEmpty(U45, FilterSpecialCharacters(X45))</f>
        <v xml:space="preserve"> </v>
      </c>
      <c r="D45" s="37" t="str">
        <f t="shared" si="6"/>
        <v xml:space="preserve">  </v>
      </c>
      <c r="E45" s="58" t="str">
        <f t="shared" si="7"/>
        <v/>
      </c>
      <c r="F45" s="42" t="str">
        <f t="shared" si="8"/>
        <v/>
      </c>
      <c r="G45" s="42" t="str">
        <f t="shared" si="9"/>
        <v/>
      </c>
      <c r="H45" s="38" t="str" cm="1">
        <f t="array" ref="H45:J45">IFERROR(CalcUnc(K45,L45,S45,T45,V45,X45,AD45,AE45,N45:R45,Z45,AA45),"")</f>
        <v/>
      </c>
      <c r="I45" s="50" t="str">
        <v/>
      </c>
      <c r="J45" s="89" t="str">
        <v/>
      </c>
      <c r="K45" s="55"/>
      <c r="L45" s="56"/>
      <c r="M45" s="22"/>
      <c r="N45" s="52"/>
      <c r="O45" s="53"/>
      <c r="P45" s="53"/>
      <c r="Q45" s="98"/>
      <c r="R45" s="98"/>
      <c r="S45" s="101"/>
      <c r="T45" s="114"/>
      <c r="U45" s="59"/>
      <c r="V45" s="64"/>
      <c r="W45" s="61"/>
      <c r="X45" s="115"/>
      <c r="Y45" s="132" t="str" cm="1">
        <f t="array" ref="Y45">GetPolarity(X45,AE45)</f>
        <v/>
      </c>
      <c r="Z45" s="62"/>
      <c r="AA45" s="65"/>
      <c r="AB45" s="73" t="str">
        <f t="shared" si="10"/>
        <v/>
      </c>
      <c r="AC45" s="73" t="str">
        <f t="shared" si="11"/>
        <v/>
      </c>
      <c r="AD45" s="62"/>
      <c r="AE45" s="61"/>
      <c r="AF45" s="21" t="str">
        <f t="shared" si="4"/>
        <v/>
      </c>
      <c r="AG45" s="28" t="str" cm="1">
        <f t="array" ref="AG45">FilterSpecialCharacters(X45)</f>
        <v/>
      </c>
      <c r="AH45" s="74" t="str">
        <f t="shared" si="5"/>
        <v xml:space="preserve"> </v>
      </c>
    </row>
    <row r="46" spans="1:34" x14ac:dyDescent="0.25">
      <c r="A46" s="121" t="str" cm="1">
        <f t="array" ref="A46">IfEmpty(TRIM(_xlfn.CONCAT(C46:H46)),"",CRC32HASH(_xlfn.CONCAT(C46:H46)))</f>
        <v/>
      </c>
      <c r="B46" s="10" t="str">
        <f>IFERROR(VLOOKUP(J46,Items[],2,FALSE),"")</f>
        <v/>
      </c>
      <c r="C46" s="34" t="str" cm="1">
        <f t="array" ref="C46">W46 &amp; " " &amp; IfEmpty(U46, AG46)</f>
        <v xml:space="preserve"> </v>
      </c>
      <c r="D46" s="43" t="str">
        <f t="shared" si="6"/>
        <v xml:space="preserve">  </v>
      </c>
      <c r="E46" s="57" t="str">
        <f t="shared" si="7"/>
        <v/>
      </c>
      <c r="F46" s="41" t="str">
        <f t="shared" si="8"/>
        <v/>
      </c>
      <c r="G46" s="41" t="str">
        <f t="shared" si="9"/>
        <v/>
      </c>
      <c r="H46" s="35" t="str" cm="1">
        <f t="array" ref="H46:J46">IFERROR(CalcUnc(K46,L46,S46,T46,V46,X46,AD46,AE46,N46:R46,Z46,AA46),"")</f>
        <v/>
      </c>
      <c r="I46" s="50" t="str">
        <v/>
      </c>
      <c r="J46" s="89" t="str">
        <v/>
      </c>
      <c r="K46" s="55"/>
      <c r="L46" s="56"/>
      <c r="M46" s="22"/>
      <c r="N46" s="52"/>
      <c r="O46" s="53"/>
      <c r="P46" s="53"/>
      <c r="Q46" s="98"/>
      <c r="R46" s="98"/>
      <c r="S46" s="101"/>
      <c r="T46" s="114"/>
      <c r="U46" s="59"/>
      <c r="V46" s="64"/>
      <c r="W46" s="61"/>
      <c r="X46" s="115"/>
      <c r="Y46" s="132" t="str" cm="1">
        <f t="array" ref="Y46">GetPolarity(X46,AE46)</f>
        <v/>
      </c>
      <c r="Z46" s="62"/>
      <c r="AA46" s="65"/>
      <c r="AB46" s="73" t="str">
        <f t="shared" si="10"/>
        <v/>
      </c>
      <c r="AC46" s="73" t="str">
        <f t="shared" si="11"/>
        <v/>
      </c>
      <c r="AD46" s="62"/>
      <c r="AE46" s="61"/>
      <c r="AF46" s="21" t="str">
        <f t="shared" si="4"/>
        <v/>
      </c>
      <c r="AG46" s="28" t="str" cm="1">
        <f t="array" ref="AG46">FilterSpecialCharacters(X46)</f>
        <v/>
      </c>
      <c r="AH46" s="74" t="str">
        <f t="shared" si="5"/>
        <v xml:space="preserve"> </v>
      </c>
    </row>
    <row r="47" spans="1:34" x14ac:dyDescent="0.25">
      <c r="A47" s="121" t="str" cm="1">
        <f t="array" ref="A47">IfEmpty(TRIM(_xlfn.CONCAT(C47:H47)),"",CRC32HASH(_xlfn.CONCAT(C47:H47)))</f>
        <v/>
      </c>
      <c r="B47" s="39" t="str">
        <f>IFERROR(VLOOKUP(J47,Items[],2,FALSE),"")</f>
        <v/>
      </c>
      <c r="C47" s="36" t="str" cm="1">
        <f t="array" ref="C47">W47 &amp; " " &amp; IfEmpty(U47, FilterSpecialCharacters(X47))</f>
        <v xml:space="preserve"> </v>
      </c>
      <c r="D47" s="37" t="str">
        <f t="shared" si="6"/>
        <v xml:space="preserve">  </v>
      </c>
      <c r="E47" s="58" t="str">
        <f t="shared" si="7"/>
        <v/>
      </c>
      <c r="F47" s="42" t="str">
        <f t="shared" si="8"/>
        <v/>
      </c>
      <c r="G47" s="42" t="str">
        <f t="shared" si="9"/>
        <v/>
      </c>
      <c r="H47" s="38" t="str" cm="1">
        <f t="array" ref="H47:J47">IFERROR(CalcUnc(K47,L47,S47,T47,V47,X47,AD47,AE47,N47:R47,Z47,AA47),"")</f>
        <v/>
      </c>
      <c r="I47" s="50" t="str">
        <v/>
      </c>
      <c r="J47" s="89" t="str">
        <v/>
      </c>
      <c r="K47" s="55"/>
      <c r="L47" s="56"/>
      <c r="M47" s="22"/>
      <c r="N47" s="52"/>
      <c r="O47" s="53"/>
      <c r="P47" s="53"/>
      <c r="Q47" s="98"/>
      <c r="R47" s="98"/>
      <c r="S47" s="101"/>
      <c r="T47" s="114"/>
      <c r="U47" s="59"/>
      <c r="V47" s="64"/>
      <c r="W47" s="61"/>
      <c r="X47" s="115"/>
      <c r="Y47" s="132" t="str" cm="1">
        <f t="array" ref="Y47">GetPolarity(X47,AE47)</f>
        <v/>
      </c>
      <c r="Z47" s="62"/>
      <c r="AA47" s="65"/>
      <c r="AB47" s="73" t="str">
        <f t="shared" si="10"/>
        <v/>
      </c>
      <c r="AC47" s="73" t="str">
        <f t="shared" si="11"/>
        <v/>
      </c>
      <c r="AD47" s="62"/>
      <c r="AE47" s="61"/>
      <c r="AF47" s="21" t="str">
        <f t="shared" si="4"/>
        <v/>
      </c>
      <c r="AG47" s="28" t="str" cm="1">
        <f t="array" ref="AG47">FilterSpecialCharacters(X47)</f>
        <v/>
      </c>
      <c r="AH47" s="74" t="str">
        <f t="shared" si="5"/>
        <v xml:space="preserve"> </v>
      </c>
    </row>
    <row r="48" spans="1:34" x14ac:dyDescent="0.25">
      <c r="A48" s="121" t="str" cm="1">
        <f t="array" ref="A48">IfEmpty(TRIM(_xlfn.CONCAT(C48:H48)),"",CRC32HASH(_xlfn.CONCAT(C48:H48)))</f>
        <v/>
      </c>
      <c r="B48" s="10" t="str">
        <f>IFERROR(VLOOKUP(J48,Items[],2,FALSE),"")</f>
        <v/>
      </c>
      <c r="C48" s="34" t="str" cm="1">
        <f t="array" ref="C48">W48 &amp; " " &amp; IfEmpty(U48, AG48)</f>
        <v xml:space="preserve"> </v>
      </c>
      <c r="D48" s="43" t="str">
        <f t="shared" si="6"/>
        <v xml:space="preserve">  </v>
      </c>
      <c r="E48" s="57" t="str">
        <f t="shared" si="7"/>
        <v/>
      </c>
      <c r="F48" s="41" t="str">
        <f t="shared" si="8"/>
        <v/>
      </c>
      <c r="G48" s="41" t="str">
        <f t="shared" si="9"/>
        <v/>
      </c>
      <c r="H48" s="35" t="str" cm="1">
        <f t="array" ref="H48:J48">IFERROR(CalcUnc(K48,L48,S48,T48,V48,X48,AD48,AE48,N48:R48,Z48,AA48),"")</f>
        <v/>
      </c>
      <c r="I48" s="50" t="str">
        <v/>
      </c>
      <c r="J48" s="89" t="str">
        <v/>
      </c>
      <c r="K48" s="55"/>
      <c r="L48" s="56"/>
      <c r="M48" s="22"/>
      <c r="N48" s="52"/>
      <c r="O48" s="53"/>
      <c r="P48" s="53"/>
      <c r="Q48" s="98"/>
      <c r="R48" s="98"/>
      <c r="S48" s="101"/>
      <c r="T48" s="114"/>
      <c r="U48" s="59"/>
      <c r="V48" s="64"/>
      <c r="W48" s="61"/>
      <c r="X48" s="115"/>
      <c r="Y48" s="132" t="str" cm="1">
        <f t="array" ref="Y48">GetPolarity(X48,AE48)</f>
        <v/>
      </c>
      <c r="Z48" s="62"/>
      <c r="AA48" s="65"/>
      <c r="AB48" s="73" t="str">
        <f t="shared" si="10"/>
        <v/>
      </c>
      <c r="AC48" s="73" t="str">
        <f t="shared" si="11"/>
        <v/>
      </c>
      <c r="AD48" s="62"/>
      <c r="AE48" s="61"/>
      <c r="AF48" s="21" t="str">
        <f t="shared" si="4"/>
        <v/>
      </c>
      <c r="AG48" s="28" t="str" cm="1">
        <f t="array" ref="AG48">FilterSpecialCharacters(X48)</f>
        <v/>
      </c>
      <c r="AH48" s="74" t="str">
        <f t="shared" si="5"/>
        <v xml:space="preserve"> </v>
      </c>
    </row>
    <row r="49" spans="1:34" x14ac:dyDescent="0.25">
      <c r="A49" s="121" t="str" cm="1">
        <f t="array" ref="A49">IfEmpty(TRIM(_xlfn.CONCAT(C49:H49)),"",CRC32HASH(_xlfn.CONCAT(C49:H49)))</f>
        <v/>
      </c>
      <c r="B49" s="39" t="str">
        <f>IFERROR(VLOOKUP(J49,Items[],2,FALSE),"")</f>
        <v/>
      </c>
      <c r="C49" s="36" t="str" cm="1">
        <f t="array" ref="C49">W49 &amp; " " &amp; IfEmpty(U49, FilterSpecialCharacters(X49))</f>
        <v xml:space="preserve"> </v>
      </c>
      <c r="D49" s="37" t="str">
        <f t="shared" si="6"/>
        <v xml:space="preserve">  </v>
      </c>
      <c r="E49" s="58" t="str">
        <f t="shared" si="7"/>
        <v/>
      </c>
      <c r="F49" s="42" t="str">
        <f t="shared" si="8"/>
        <v/>
      </c>
      <c r="G49" s="42" t="str">
        <f t="shared" si="9"/>
        <v/>
      </c>
      <c r="H49" s="38" t="str" cm="1">
        <f t="array" ref="H49:J49">IFERROR(CalcUnc(K49,L49,S49,T49,V49,X49,AD49,AE49,N49:R49,Z49,AA49),"")</f>
        <v/>
      </c>
      <c r="I49" s="50" t="str">
        <v/>
      </c>
      <c r="J49" s="89" t="str">
        <v/>
      </c>
      <c r="K49" s="55"/>
      <c r="L49" s="56"/>
      <c r="M49" s="22"/>
      <c r="N49" s="52"/>
      <c r="O49" s="53"/>
      <c r="P49" s="53"/>
      <c r="Q49" s="98"/>
      <c r="R49" s="98"/>
      <c r="S49" s="101"/>
      <c r="T49" s="114"/>
      <c r="U49" s="59"/>
      <c r="V49" s="64"/>
      <c r="W49" s="61"/>
      <c r="X49" s="115"/>
      <c r="Y49" s="132" t="str" cm="1">
        <f t="array" ref="Y49">GetPolarity(X49,AE49)</f>
        <v/>
      </c>
      <c r="Z49" s="62"/>
      <c r="AA49" s="65"/>
      <c r="AB49" s="73" t="str">
        <f t="shared" si="10"/>
        <v/>
      </c>
      <c r="AC49" s="73" t="str">
        <f t="shared" si="11"/>
        <v/>
      </c>
      <c r="AD49" s="62"/>
      <c r="AE49" s="61"/>
      <c r="AF49" s="21" t="str">
        <f t="shared" si="4"/>
        <v/>
      </c>
      <c r="AG49" s="28" t="str" cm="1">
        <f t="array" ref="AG49">FilterSpecialCharacters(X49)</f>
        <v/>
      </c>
      <c r="AH49" s="74" t="str">
        <f t="shared" si="5"/>
        <v xml:space="preserve"> </v>
      </c>
    </row>
    <row r="50" spans="1:34" x14ac:dyDescent="0.25">
      <c r="A50" s="121" t="str" cm="1">
        <f t="array" ref="A50">IfEmpty(TRIM(_xlfn.CONCAT(C50:H50)),"",CRC32HASH(_xlfn.CONCAT(C50:H50)))</f>
        <v/>
      </c>
      <c r="B50" s="10" t="str">
        <f>IFERROR(VLOOKUP(J50,Items[],2,FALSE),"")</f>
        <v/>
      </c>
      <c r="C50" s="34" t="str" cm="1">
        <f t="array" ref="C50">W50 &amp; " " &amp; IfEmpty(U50, AG50)</f>
        <v xml:space="preserve"> </v>
      </c>
      <c r="D50" s="43" t="str">
        <f t="shared" si="6"/>
        <v xml:space="preserve">  </v>
      </c>
      <c r="E50" s="57" t="str">
        <f t="shared" si="7"/>
        <v/>
      </c>
      <c r="F50" s="41" t="str">
        <f t="shared" si="8"/>
        <v/>
      </c>
      <c r="G50" s="41" t="str">
        <f t="shared" si="9"/>
        <v/>
      </c>
      <c r="H50" s="35" t="str" cm="1">
        <f t="array" ref="H50:J50">IFERROR(CalcUnc(K50,L50,S50,T50,V50,X50,AD50,AE50,N50:R50,Z50,AA50),"")</f>
        <v/>
      </c>
      <c r="I50" s="50" t="str">
        <v/>
      </c>
      <c r="J50" s="89" t="str">
        <v/>
      </c>
      <c r="K50" s="55"/>
      <c r="L50" s="56"/>
      <c r="M50" s="22"/>
      <c r="N50" s="52"/>
      <c r="O50" s="53"/>
      <c r="P50" s="53"/>
      <c r="Q50" s="98"/>
      <c r="R50" s="98"/>
      <c r="S50" s="101"/>
      <c r="T50" s="114"/>
      <c r="U50" s="59"/>
      <c r="V50" s="64"/>
      <c r="W50" s="61"/>
      <c r="X50" s="115"/>
      <c r="Y50" s="132" t="str" cm="1">
        <f t="array" ref="Y50">GetPolarity(X50,AE50)</f>
        <v/>
      </c>
      <c r="Z50" s="62"/>
      <c r="AA50" s="65"/>
      <c r="AB50" s="73" t="str">
        <f t="shared" si="10"/>
        <v/>
      </c>
      <c r="AC50" s="73" t="str">
        <f t="shared" si="11"/>
        <v/>
      </c>
      <c r="AD50" s="62"/>
      <c r="AE50" s="61"/>
      <c r="AF50" s="21" t="str">
        <f t="shared" si="4"/>
        <v/>
      </c>
      <c r="AG50" s="28" t="str" cm="1">
        <f t="array" ref="AG50">FilterSpecialCharacters(X50)</f>
        <v/>
      </c>
      <c r="AH50" s="74" t="str">
        <f t="shared" si="5"/>
        <v xml:space="preserve"> </v>
      </c>
    </row>
    <row r="51" spans="1:34" x14ac:dyDescent="0.25">
      <c r="A51" s="121" t="str" cm="1">
        <f t="array" ref="A51">IfEmpty(TRIM(_xlfn.CONCAT(C51:H51)),"",CRC32HASH(_xlfn.CONCAT(C51:H51)))</f>
        <v/>
      </c>
      <c r="B51" s="39" t="str">
        <f>IFERROR(VLOOKUP(J51,Items[],2,FALSE),"")</f>
        <v/>
      </c>
      <c r="C51" s="36" t="str" cm="1">
        <f t="array" ref="C51">W51 &amp; " " &amp; IfEmpty(U51, FilterSpecialCharacters(X51))</f>
        <v xml:space="preserve"> </v>
      </c>
      <c r="D51" s="37" t="str">
        <f t="shared" si="6"/>
        <v xml:space="preserve">  </v>
      </c>
      <c r="E51" s="58" t="str">
        <f t="shared" si="7"/>
        <v/>
      </c>
      <c r="F51" s="42" t="str">
        <f t="shared" si="8"/>
        <v/>
      </c>
      <c r="G51" s="42" t="str">
        <f t="shared" si="9"/>
        <v/>
      </c>
      <c r="H51" s="38" t="str" cm="1">
        <f t="array" ref="H51:J51">IFERROR(CalcUnc(K51,L51,S51,T51,V51,X51,AD51,AE51,N51:R51,Z51,AA51),"")</f>
        <v/>
      </c>
      <c r="I51" s="50" t="str">
        <v/>
      </c>
      <c r="J51" s="89" t="str">
        <v/>
      </c>
      <c r="K51" s="55"/>
      <c r="L51" s="56"/>
      <c r="M51" s="22"/>
      <c r="N51" s="52"/>
      <c r="O51" s="53"/>
      <c r="P51" s="53"/>
      <c r="Q51" s="98"/>
      <c r="R51" s="98"/>
      <c r="S51" s="101"/>
      <c r="T51" s="114"/>
      <c r="U51" s="59"/>
      <c r="V51" s="64"/>
      <c r="W51" s="61"/>
      <c r="X51" s="115"/>
      <c r="Y51" s="132" t="str" cm="1">
        <f t="array" ref="Y51">GetPolarity(X51,AE51)</f>
        <v/>
      </c>
      <c r="Z51" s="62"/>
      <c r="AA51" s="65"/>
      <c r="AB51" s="73" t="str">
        <f t="shared" si="10"/>
        <v/>
      </c>
      <c r="AC51" s="73" t="str">
        <f t="shared" si="11"/>
        <v/>
      </c>
      <c r="AD51" s="62"/>
      <c r="AE51" s="61"/>
      <c r="AF51" s="21" t="str">
        <f t="shared" si="4"/>
        <v/>
      </c>
      <c r="AG51" s="28" t="str" cm="1">
        <f t="array" ref="AG51">FilterSpecialCharacters(X51)</f>
        <v/>
      </c>
      <c r="AH51" s="74" t="str">
        <f t="shared" si="5"/>
        <v xml:space="preserve"> </v>
      </c>
    </row>
    <row r="52" spans="1:34" x14ac:dyDescent="0.25">
      <c r="A52" s="121" t="str" cm="1">
        <f t="array" ref="A52">IfEmpty(TRIM(_xlfn.CONCAT(C52:H52)),"",CRC32HASH(_xlfn.CONCAT(C52:H52)))</f>
        <v/>
      </c>
      <c r="B52" s="10" t="str">
        <f>IFERROR(VLOOKUP(J52,Items[],2,FALSE),"")</f>
        <v/>
      </c>
      <c r="C52" s="34" t="str" cm="1">
        <f t="array" ref="C52">W52 &amp; " " &amp; IfEmpty(U52, AG52)</f>
        <v xml:space="preserve"> </v>
      </c>
      <c r="D52" s="43" t="str">
        <f t="shared" si="6"/>
        <v xml:space="preserve">  </v>
      </c>
      <c r="E52" s="57" t="str">
        <f t="shared" si="7"/>
        <v/>
      </c>
      <c r="F52" s="41" t="str">
        <f t="shared" si="8"/>
        <v/>
      </c>
      <c r="G52" s="41" t="str">
        <f t="shared" si="9"/>
        <v/>
      </c>
      <c r="H52" s="35" t="str" cm="1">
        <f t="array" ref="H52:J52">IFERROR(CalcUnc(K52,L52,S52,T52,V52,X52,AD52,AE52,N52:R52,Z52,AA52),"")</f>
        <v/>
      </c>
      <c r="I52" s="50" t="str">
        <v/>
      </c>
      <c r="J52" s="89" t="str">
        <v/>
      </c>
      <c r="K52" s="55"/>
      <c r="L52" s="56"/>
      <c r="M52" s="22"/>
      <c r="N52" s="52"/>
      <c r="O52" s="53"/>
      <c r="P52" s="53"/>
      <c r="Q52" s="98"/>
      <c r="R52" s="98"/>
      <c r="S52" s="101"/>
      <c r="T52" s="114"/>
      <c r="U52" s="59"/>
      <c r="V52" s="64"/>
      <c r="W52" s="61"/>
      <c r="X52" s="115"/>
      <c r="Y52" s="132" t="str" cm="1">
        <f t="array" ref="Y52">GetPolarity(X52,AE52)</f>
        <v/>
      </c>
      <c r="Z52" s="62"/>
      <c r="AA52" s="65"/>
      <c r="AB52" s="73" t="str">
        <f t="shared" si="10"/>
        <v/>
      </c>
      <c r="AC52" s="73" t="str">
        <f t="shared" si="11"/>
        <v/>
      </c>
      <c r="AD52" s="62"/>
      <c r="AE52" s="61"/>
      <c r="AF52" s="21" t="str">
        <f t="shared" si="4"/>
        <v/>
      </c>
      <c r="AG52" s="28" t="str" cm="1">
        <f t="array" ref="AG52">FilterSpecialCharacters(X52)</f>
        <v/>
      </c>
      <c r="AH52" s="74" t="str">
        <f t="shared" si="5"/>
        <v xml:space="preserve"> </v>
      </c>
    </row>
    <row r="53" spans="1:34" x14ac:dyDescent="0.25">
      <c r="A53" s="121" t="str" cm="1">
        <f t="array" ref="A53">IfEmpty(TRIM(_xlfn.CONCAT(C53:H53)),"",CRC32HASH(_xlfn.CONCAT(C53:H53)))</f>
        <v/>
      </c>
      <c r="B53" s="39" t="str">
        <f>IFERROR(VLOOKUP(J53,Items[],2,FALSE),"")</f>
        <v/>
      </c>
      <c r="C53" s="36" t="str" cm="1">
        <f t="array" ref="C53">W53 &amp; " " &amp; IfEmpty(U53, FilterSpecialCharacters(X53))</f>
        <v xml:space="preserve"> </v>
      </c>
      <c r="D53" s="37" t="str">
        <f t="shared" si="6"/>
        <v xml:space="preserve">  </v>
      </c>
      <c r="E53" s="58" t="str">
        <f t="shared" si="7"/>
        <v/>
      </c>
      <c r="F53" s="42" t="str">
        <f t="shared" si="8"/>
        <v/>
      </c>
      <c r="G53" s="42" t="str">
        <f t="shared" si="9"/>
        <v/>
      </c>
      <c r="H53" s="38" t="str" cm="1">
        <f t="array" ref="H53:J53">IFERROR(CalcUnc(K53,L53,S53,T53,V53,X53,AD53,AE53,N53:R53,Z53,AA53),"")</f>
        <v/>
      </c>
      <c r="I53" s="50" t="str">
        <v/>
      </c>
      <c r="J53" s="89" t="str">
        <v/>
      </c>
      <c r="K53" s="55"/>
      <c r="L53" s="56"/>
      <c r="M53" s="22"/>
      <c r="N53" s="52"/>
      <c r="O53" s="53"/>
      <c r="P53" s="53"/>
      <c r="Q53" s="98"/>
      <c r="R53" s="98"/>
      <c r="S53" s="101"/>
      <c r="T53" s="114"/>
      <c r="U53" s="59"/>
      <c r="V53" s="64"/>
      <c r="W53" s="61"/>
      <c r="X53" s="115"/>
      <c r="Y53" s="132" t="str" cm="1">
        <f t="array" ref="Y53">GetPolarity(X53,AE53)</f>
        <v/>
      </c>
      <c r="Z53" s="62"/>
      <c r="AA53" s="65"/>
      <c r="AB53" s="73" t="str">
        <f t="shared" si="10"/>
        <v/>
      </c>
      <c r="AC53" s="73" t="str">
        <f t="shared" si="11"/>
        <v/>
      </c>
      <c r="AD53" s="62"/>
      <c r="AE53" s="61"/>
      <c r="AF53" s="21" t="str">
        <f t="shared" si="4"/>
        <v/>
      </c>
      <c r="AG53" s="28" t="str" cm="1">
        <f t="array" ref="AG53">FilterSpecialCharacters(X53)</f>
        <v/>
      </c>
      <c r="AH53" s="74" t="str">
        <f t="shared" si="5"/>
        <v xml:space="preserve"> </v>
      </c>
    </row>
    <row r="54" spans="1:34" x14ac:dyDescent="0.25">
      <c r="A54" s="121" t="str" cm="1">
        <f t="array" ref="A54">IfEmpty(TRIM(_xlfn.CONCAT(C54:H54)),"",CRC32HASH(_xlfn.CONCAT(C54:H54)))</f>
        <v/>
      </c>
      <c r="B54" s="10" t="str">
        <f>IFERROR(VLOOKUP(J54,Items[],2,FALSE),"")</f>
        <v/>
      </c>
      <c r="C54" s="34" t="str" cm="1">
        <f t="array" ref="C54">W54 &amp; " " &amp; IfEmpty(U54, AG54)</f>
        <v xml:space="preserve"> </v>
      </c>
      <c r="D54" s="43" t="str">
        <f t="shared" si="6"/>
        <v xml:space="preserve">  </v>
      </c>
      <c r="E54" s="57" t="str">
        <f t="shared" si="7"/>
        <v/>
      </c>
      <c r="F54" s="41" t="str">
        <f t="shared" si="8"/>
        <v/>
      </c>
      <c r="G54" s="41" t="str">
        <f t="shared" si="9"/>
        <v/>
      </c>
      <c r="H54" s="35" t="str" cm="1">
        <f t="array" ref="H54:J54">IFERROR(CalcUnc(K54,L54,S54,T54,V54,X54,AD54,AE54,N54:R54,Z54,AA54),"")</f>
        <v/>
      </c>
      <c r="I54" s="50" t="str">
        <v/>
      </c>
      <c r="J54" s="89" t="str">
        <v/>
      </c>
      <c r="K54" s="55"/>
      <c r="L54" s="56"/>
      <c r="M54" s="22"/>
      <c r="N54" s="52"/>
      <c r="O54" s="53"/>
      <c r="P54" s="53"/>
      <c r="Q54" s="98"/>
      <c r="R54" s="98"/>
      <c r="S54" s="101"/>
      <c r="T54" s="114"/>
      <c r="U54" s="59"/>
      <c r="V54" s="64"/>
      <c r="W54" s="61"/>
      <c r="X54" s="115"/>
      <c r="Y54" s="132" t="str" cm="1">
        <f t="array" ref="Y54">GetPolarity(X54,AE54)</f>
        <v/>
      </c>
      <c r="Z54" s="62"/>
      <c r="AA54" s="65"/>
      <c r="AB54" s="73" t="str">
        <f t="shared" si="10"/>
        <v/>
      </c>
      <c r="AC54" s="73" t="str">
        <f t="shared" si="11"/>
        <v/>
      </c>
      <c r="AD54" s="62"/>
      <c r="AE54" s="61"/>
      <c r="AF54" s="21" t="str">
        <f t="shared" si="4"/>
        <v/>
      </c>
      <c r="AG54" s="28" t="str" cm="1">
        <f t="array" ref="AG54">FilterSpecialCharacters(X54)</f>
        <v/>
      </c>
      <c r="AH54" s="74" t="str">
        <f t="shared" si="5"/>
        <v xml:space="preserve"> </v>
      </c>
    </row>
    <row r="55" spans="1:34" x14ac:dyDescent="0.25">
      <c r="A55" s="121" t="str" cm="1">
        <f t="array" ref="A55">IfEmpty(TRIM(_xlfn.CONCAT(C55:H55)),"",CRC32HASH(_xlfn.CONCAT(C55:H55)))</f>
        <v/>
      </c>
      <c r="B55" s="39" t="str">
        <f>IFERROR(VLOOKUP(J55,Items[],2,FALSE),"")</f>
        <v/>
      </c>
      <c r="C55" s="36" t="str" cm="1">
        <f t="array" ref="C55">W55 &amp; " " &amp; IfEmpty(U55, FilterSpecialCharacters(X55))</f>
        <v xml:space="preserve"> </v>
      </c>
      <c r="D55" s="37" t="str">
        <f t="shared" si="6"/>
        <v xml:space="preserve">  </v>
      </c>
      <c r="E55" s="58" t="str">
        <f t="shared" si="7"/>
        <v/>
      </c>
      <c r="F55" s="42" t="str">
        <f t="shared" si="8"/>
        <v/>
      </c>
      <c r="G55" s="42" t="str">
        <f t="shared" si="9"/>
        <v/>
      </c>
      <c r="H55" s="38" t="str" cm="1">
        <f t="array" ref="H55:J55">IFERROR(CalcUnc(K55,L55,S55,T55,V55,X55,AD55,AE55,N55:R55,Z55,AA55),"")</f>
        <v/>
      </c>
      <c r="I55" s="50" t="str">
        <v/>
      </c>
      <c r="J55" s="89" t="str">
        <v/>
      </c>
      <c r="K55" s="55"/>
      <c r="L55" s="56"/>
      <c r="M55" s="22"/>
      <c r="N55" s="52"/>
      <c r="O55" s="53"/>
      <c r="P55" s="53"/>
      <c r="Q55" s="98"/>
      <c r="R55" s="98"/>
      <c r="S55" s="101"/>
      <c r="T55" s="114"/>
      <c r="U55" s="59"/>
      <c r="V55" s="64"/>
      <c r="W55" s="61"/>
      <c r="X55" s="115"/>
      <c r="Y55" s="132" t="str" cm="1">
        <f t="array" ref="Y55">GetPolarity(X55,AE55)</f>
        <v/>
      </c>
      <c r="Z55" s="62"/>
      <c r="AA55" s="65"/>
      <c r="AB55" s="73" t="str">
        <f t="shared" si="10"/>
        <v/>
      </c>
      <c r="AC55" s="73" t="str">
        <f t="shared" si="11"/>
        <v/>
      </c>
      <c r="AD55" s="62"/>
      <c r="AE55" s="61"/>
      <c r="AF55" s="21" t="str">
        <f t="shared" si="4"/>
        <v/>
      </c>
      <c r="AG55" s="28" t="str" cm="1">
        <f t="array" ref="AG55">FilterSpecialCharacters(X55)</f>
        <v/>
      </c>
      <c r="AH55" s="74" t="str">
        <f t="shared" si="5"/>
        <v xml:space="preserve"> </v>
      </c>
    </row>
    <row r="56" spans="1:34" x14ac:dyDescent="0.25">
      <c r="A56" s="121" t="str" cm="1">
        <f t="array" ref="A56">IfEmpty(TRIM(_xlfn.CONCAT(C56:H56)),"",CRC32HASH(_xlfn.CONCAT(C56:H56)))</f>
        <v/>
      </c>
      <c r="B56" s="10" t="str">
        <f>IFERROR(VLOOKUP(J56,Items[],2,FALSE),"")</f>
        <v/>
      </c>
      <c r="C56" s="34" t="str" cm="1">
        <f t="array" ref="C56">W56 &amp; " " &amp; IfEmpty(U56, AG56)</f>
        <v xml:space="preserve"> </v>
      </c>
      <c r="D56" s="43" t="str">
        <f t="shared" si="6"/>
        <v xml:space="preserve">  </v>
      </c>
      <c r="E56" s="57" t="str">
        <f t="shared" si="7"/>
        <v/>
      </c>
      <c r="F56" s="41" t="str">
        <f t="shared" si="8"/>
        <v/>
      </c>
      <c r="G56" s="41" t="str">
        <f t="shared" si="9"/>
        <v/>
      </c>
      <c r="H56" s="35" t="str" cm="1">
        <f t="array" ref="H56:J56">IFERROR(CalcUnc(K56,L56,S56,T56,V56,X56,AD56,AE56,N56:R56,Z56,AA56),"")</f>
        <v/>
      </c>
      <c r="I56" s="50" t="str">
        <v/>
      </c>
      <c r="J56" s="89" t="str">
        <v/>
      </c>
      <c r="K56" s="55"/>
      <c r="L56" s="56"/>
      <c r="M56" s="22"/>
      <c r="N56" s="52"/>
      <c r="O56" s="53"/>
      <c r="P56" s="53"/>
      <c r="Q56" s="98"/>
      <c r="R56" s="98"/>
      <c r="S56" s="101"/>
      <c r="T56" s="114"/>
      <c r="U56" s="59"/>
      <c r="V56" s="64"/>
      <c r="W56" s="61"/>
      <c r="X56" s="115"/>
      <c r="Y56" s="132" t="str" cm="1">
        <f t="array" ref="Y56">GetPolarity(X56,AE56)</f>
        <v/>
      </c>
      <c r="Z56" s="62"/>
      <c r="AA56" s="65"/>
      <c r="AB56" s="73" t="str">
        <f t="shared" si="10"/>
        <v/>
      </c>
      <c r="AC56" s="73" t="str">
        <f t="shared" si="11"/>
        <v/>
      </c>
      <c r="AD56" s="62"/>
      <c r="AE56" s="61"/>
      <c r="AF56" s="21" t="str">
        <f t="shared" si="4"/>
        <v/>
      </c>
      <c r="AG56" s="28" t="str" cm="1">
        <f t="array" ref="AG56">FilterSpecialCharacters(X56)</f>
        <v/>
      </c>
      <c r="AH56" s="74" t="str">
        <f t="shared" si="5"/>
        <v xml:space="preserve"> </v>
      </c>
    </row>
    <row r="57" spans="1:34" x14ac:dyDescent="0.25">
      <c r="A57" s="121" t="str" cm="1">
        <f t="array" ref="A57">IfEmpty(TRIM(_xlfn.CONCAT(C57:H57)),"",CRC32HASH(_xlfn.CONCAT(C57:H57)))</f>
        <v/>
      </c>
      <c r="B57" s="39" t="str">
        <f>IFERROR(VLOOKUP(J57,Items[],2,FALSE),"")</f>
        <v/>
      </c>
      <c r="C57" s="36" t="str" cm="1">
        <f t="array" ref="C57">W57 &amp; " " &amp; IfEmpty(U57, FilterSpecialCharacters(X57))</f>
        <v xml:space="preserve"> </v>
      </c>
      <c r="D57" s="37" t="str">
        <f t="shared" si="6"/>
        <v xml:space="preserve">  </v>
      </c>
      <c r="E57" s="58" t="str">
        <f t="shared" si="7"/>
        <v/>
      </c>
      <c r="F57" s="42" t="str">
        <f t="shared" si="8"/>
        <v/>
      </c>
      <c r="G57" s="42" t="str">
        <f t="shared" si="9"/>
        <v/>
      </c>
      <c r="H57" s="38" t="str" cm="1">
        <f t="array" ref="H57:J57">IFERROR(CalcUnc(K57,L57,S57,T57,V57,X57,AD57,AE57,N57:R57,Z57,AA57),"")</f>
        <v/>
      </c>
      <c r="I57" s="50" t="str">
        <v/>
      </c>
      <c r="J57" s="89" t="str">
        <v/>
      </c>
      <c r="K57" s="55"/>
      <c r="L57" s="56"/>
      <c r="M57" s="22"/>
      <c r="N57" s="52"/>
      <c r="O57" s="53"/>
      <c r="P57" s="53"/>
      <c r="Q57" s="98"/>
      <c r="R57" s="98"/>
      <c r="S57" s="101"/>
      <c r="T57" s="114"/>
      <c r="U57" s="59"/>
      <c r="V57" s="64"/>
      <c r="W57" s="61"/>
      <c r="X57" s="115"/>
      <c r="Y57" s="132" t="str" cm="1">
        <f t="array" ref="Y57">GetPolarity(X57,AE57)</f>
        <v/>
      </c>
      <c r="Z57" s="62"/>
      <c r="AA57" s="65"/>
      <c r="AB57" s="73" t="str">
        <f t="shared" si="10"/>
        <v/>
      </c>
      <c r="AC57" s="73" t="str">
        <f t="shared" si="11"/>
        <v/>
      </c>
      <c r="AD57" s="62"/>
      <c r="AE57" s="61"/>
      <c r="AF57" s="21" t="str">
        <f t="shared" si="4"/>
        <v/>
      </c>
      <c r="AG57" s="28" t="str" cm="1">
        <f t="array" ref="AG57">FilterSpecialCharacters(X57)</f>
        <v/>
      </c>
      <c r="AH57" s="74" t="str">
        <f t="shared" si="5"/>
        <v xml:space="preserve"> </v>
      </c>
    </row>
    <row r="58" spans="1:34" x14ac:dyDescent="0.25">
      <c r="A58" s="121" t="str" cm="1">
        <f t="array" ref="A58">IfEmpty(TRIM(_xlfn.CONCAT(C58:H58)),"",CRC32HASH(_xlfn.CONCAT(C58:H58)))</f>
        <v/>
      </c>
      <c r="B58" s="10" t="str">
        <f>IFERROR(VLOOKUP(J58,Items[],2,FALSE),"")</f>
        <v/>
      </c>
      <c r="C58" s="34" t="str" cm="1">
        <f t="array" ref="C58">W58 &amp; " " &amp; IfEmpty(U58, AG58)</f>
        <v xml:space="preserve"> </v>
      </c>
      <c r="D58" s="43" t="str">
        <f t="shared" si="6"/>
        <v xml:space="preserve">  </v>
      </c>
      <c r="E58" s="57" t="str">
        <f t="shared" si="7"/>
        <v/>
      </c>
      <c r="F58" s="41" t="str">
        <f t="shared" si="8"/>
        <v/>
      </c>
      <c r="G58" s="41" t="str">
        <f t="shared" si="9"/>
        <v/>
      </c>
      <c r="H58" s="35" t="str" cm="1">
        <f t="array" ref="H58:J58">IFERROR(CalcUnc(K58,L58,S58,T58,V58,X58,AD58,AE58,N58:R58,Z58,AA58),"")</f>
        <v/>
      </c>
      <c r="I58" s="50" t="str">
        <v/>
      </c>
      <c r="J58" s="89" t="str">
        <v/>
      </c>
      <c r="K58" s="55"/>
      <c r="L58" s="56"/>
      <c r="M58" s="22"/>
      <c r="N58" s="52"/>
      <c r="O58" s="53"/>
      <c r="P58" s="53"/>
      <c r="Q58" s="98"/>
      <c r="R58" s="98"/>
      <c r="S58" s="101"/>
      <c r="T58" s="114"/>
      <c r="U58" s="59"/>
      <c r="V58" s="64"/>
      <c r="W58" s="61"/>
      <c r="X58" s="115"/>
      <c r="Y58" s="132" t="str" cm="1">
        <f t="array" ref="Y58">GetPolarity(X58,AE58)</f>
        <v/>
      </c>
      <c r="Z58" s="62"/>
      <c r="AA58" s="65"/>
      <c r="AB58" s="73" t="str">
        <f t="shared" si="10"/>
        <v/>
      </c>
      <c r="AC58" s="73" t="str">
        <f t="shared" si="11"/>
        <v/>
      </c>
      <c r="AD58" s="62"/>
      <c r="AE58" s="61"/>
      <c r="AF58" s="21" t="str">
        <f t="shared" si="4"/>
        <v/>
      </c>
      <c r="AG58" s="28" t="str" cm="1">
        <f t="array" ref="AG58">FilterSpecialCharacters(X58)</f>
        <v/>
      </c>
      <c r="AH58" s="74" t="str">
        <f t="shared" si="5"/>
        <v xml:space="preserve"> </v>
      </c>
    </row>
    <row r="59" spans="1:34" x14ac:dyDescent="0.25">
      <c r="A59" s="121" t="str" cm="1">
        <f t="array" ref="A59">IfEmpty(TRIM(_xlfn.CONCAT(C59:H59)),"",CRC32HASH(_xlfn.CONCAT(C59:H59)))</f>
        <v/>
      </c>
      <c r="B59" s="39" t="str">
        <f>IFERROR(VLOOKUP(J59,Items[],2,FALSE),"")</f>
        <v/>
      </c>
      <c r="C59" s="36" t="str" cm="1">
        <f t="array" ref="C59">W59 &amp; " " &amp; IfEmpty(U59, FilterSpecialCharacters(X59))</f>
        <v xml:space="preserve"> </v>
      </c>
      <c r="D59" s="37" t="str">
        <f t="shared" si="6"/>
        <v xml:space="preserve">  </v>
      </c>
      <c r="E59" s="58" t="str">
        <f t="shared" si="7"/>
        <v/>
      </c>
      <c r="F59" s="42" t="str">
        <f t="shared" si="8"/>
        <v/>
      </c>
      <c r="G59" s="42" t="str">
        <f t="shared" si="9"/>
        <v/>
      </c>
      <c r="H59" s="38" t="str" cm="1">
        <f t="array" ref="H59:J59">IFERROR(CalcUnc(K59,L59,S59,T59,V59,X59,AD59,AE59,N59:R59,Z59,AA59),"")</f>
        <v/>
      </c>
      <c r="I59" s="50" t="str">
        <v/>
      </c>
      <c r="J59" s="89" t="str">
        <v/>
      </c>
      <c r="K59" s="55"/>
      <c r="L59" s="56"/>
      <c r="M59" s="22"/>
      <c r="N59" s="52"/>
      <c r="O59" s="53"/>
      <c r="P59" s="53"/>
      <c r="Q59" s="98"/>
      <c r="R59" s="98"/>
      <c r="S59" s="101"/>
      <c r="T59" s="114"/>
      <c r="U59" s="59"/>
      <c r="V59" s="64"/>
      <c r="W59" s="61"/>
      <c r="X59" s="115"/>
      <c r="Y59" s="132" t="str" cm="1">
        <f t="array" ref="Y59">GetPolarity(X59,AE59)</f>
        <v/>
      </c>
      <c r="Z59" s="62"/>
      <c r="AA59" s="65"/>
      <c r="AB59" s="73" t="str">
        <f t="shared" si="10"/>
        <v/>
      </c>
      <c r="AC59" s="73" t="str">
        <f t="shared" si="11"/>
        <v/>
      </c>
      <c r="AD59" s="62"/>
      <c r="AE59" s="61"/>
      <c r="AF59" s="21" t="str">
        <f t="shared" si="4"/>
        <v/>
      </c>
      <c r="AG59" s="28" t="str" cm="1">
        <f t="array" ref="AG59">FilterSpecialCharacters(X59)</f>
        <v/>
      </c>
      <c r="AH59" s="74" t="str">
        <f t="shared" si="5"/>
        <v xml:space="preserve"> </v>
      </c>
    </row>
    <row r="60" spans="1:34" x14ac:dyDescent="0.25">
      <c r="A60" s="121" t="str" cm="1">
        <f t="array" ref="A60">IfEmpty(TRIM(_xlfn.CONCAT(C60:H60)),"",CRC32HASH(_xlfn.CONCAT(C60:H60)))</f>
        <v/>
      </c>
      <c r="B60" s="10" t="str">
        <f>IFERROR(VLOOKUP(J60,Items[],2,FALSE),"")</f>
        <v/>
      </c>
      <c r="C60" s="34" t="str" cm="1">
        <f t="array" ref="C60">W60 &amp; " " &amp; IfEmpty(U60, AG60)</f>
        <v xml:space="preserve"> </v>
      </c>
      <c r="D60" s="43" t="str">
        <f t="shared" si="6"/>
        <v xml:space="preserve">  </v>
      </c>
      <c r="E60" s="57" t="str">
        <f t="shared" si="7"/>
        <v/>
      </c>
      <c r="F60" s="41" t="str">
        <f t="shared" si="8"/>
        <v/>
      </c>
      <c r="G60" s="41" t="str">
        <f t="shared" si="9"/>
        <v/>
      </c>
      <c r="H60" s="35" t="str" cm="1">
        <f t="array" ref="H60:J60">IFERROR(CalcUnc(K60,L60,S60,T60,V60,X60,AD60,AE60,N60:R60,Z60,AA60),"")</f>
        <v/>
      </c>
      <c r="I60" s="50" t="str">
        <v/>
      </c>
      <c r="J60" s="89" t="str">
        <v/>
      </c>
      <c r="K60" s="55"/>
      <c r="L60" s="56"/>
      <c r="M60" s="22"/>
      <c r="N60" s="52"/>
      <c r="O60" s="53"/>
      <c r="P60" s="53"/>
      <c r="Q60" s="98"/>
      <c r="R60" s="98"/>
      <c r="S60" s="101"/>
      <c r="T60" s="114"/>
      <c r="U60" s="59"/>
      <c r="V60" s="64"/>
      <c r="W60" s="61"/>
      <c r="X60" s="115"/>
      <c r="Y60" s="132" t="str" cm="1">
        <f t="array" ref="Y60">GetPolarity(X60,AE60)</f>
        <v/>
      </c>
      <c r="Z60" s="62"/>
      <c r="AA60" s="65"/>
      <c r="AB60" s="73" t="str">
        <f t="shared" si="10"/>
        <v/>
      </c>
      <c r="AC60" s="73" t="str">
        <f t="shared" si="11"/>
        <v/>
      </c>
      <c r="AD60" s="62"/>
      <c r="AE60" s="61"/>
      <c r="AF60" s="21" t="str">
        <f t="shared" si="4"/>
        <v/>
      </c>
      <c r="AG60" s="28" t="str" cm="1">
        <f t="array" ref="AG60">FilterSpecialCharacters(X60)</f>
        <v/>
      </c>
      <c r="AH60" s="74" t="str">
        <f t="shared" si="5"/>
        <v xml:space="preserve"> </v>
      </c>
    </row>
    <row r="61" spans="1:34" x14ac:dyDescent="0.25">
      <c r="A61" s="121" t="str" cm="1">
        <f t="array" ref="A61">IfEmpty(TRIM(_xlfn.CONCAT(C61:H61)),"",CRC32HASH(_xlfn.CONCAT(C61:H61)))</f>
        <v/>
      </c>
      <c r="B61" s="39" t="str">
        <f>IFERROR(VLOOKUP(J61,Items[],2,FALSE),"")</f>
        <v/>
      </c>
      <c r="C61" s="36" t="str" cm="1">
        <f t="array" ref="C61">W61 &amp; " " &amp; IfEmpty(U61, FilterSpecialCharacters(X61))</f>
        <v xml:space="preserve"> </v>
      </c>
      <c r="D61" s="37" t="str">
        <f t="shared" si="6"/>
        <v xml:space="preserve">  </v>
      </c>
      <c r="E61" s="58" t="str">
        <f t="shared" si="7"/>
        <v/>
      </c>
      <c r="F61" s="42" t="str">
        <f t="shared" si="8"/>
        <v/>
      </c>
      <c r="G61" s="42" t="str">
        <f t="shared" si="9"/>
        <v/>
      </c>
      <c r="H61" s="38" t="str" cm="1">
        <f t="array" ref="H61:J61">IFERROR(CalcUnc(K61,L61,S61,T61,V61,X61,AD61,AE61,N61:R61,Z61,AA61),"")</f>
        <v/>
      </c>
      <c r="I61" s="50" t="str">
        <v/>
      </c>
      <c r="J61" s="89" t="str">
        <v/>
      </c>
      <c r="K61" s="55"/>
      <c r="L61" s="56"/>
      <c r="M61" s="22"/>
      <c r="N61" s="52"/>
      <c r="O61" s="53"/>
      <c r="P61" s="53"/>
      <c r="Q61" s="98"/>
      <c r="R61" s="98"/>
      <c r="S61" s="101"/>
      <c r="T61" s="114"/>
      <c r="U61" s="59"/>
      <c r="V61" s="64"/>
      <c r="W61" s="61"/>
      <c r="X61" s="115"/>
      <c r="Y61" s="132" t="str" cm="1">
        <f t="array" ref="Y61">GetPolarity(X61,AE61)</f>
        <v/>
      </c>
      <c r="Z61" s="62"/>
      <c r="AA61" s="65"/>
      <c r="AB61" s="73" t="str">
        <f t="shared" si="10"/>
        <v/>
      </c>
      <c r="AC61" s="73" t="str">
        <f t="shared" si="11"/>
        <v/>
      </c>
      <c r="AD61" s="62"/>
      <c r="AE61" s="61"/>
      <c r="AF61" s="21" t="str">
        <f t="shared" si="4"/>
        <v/>
      </c>
      <c r="AG61" s="28" t="str" cm="1">
        <f t="array" ref="AG61">FilterSpecialCharacters(X61)</f>
        <v/>
      </c>
      <c r="AH61" s="74" t="str">
        <f t="shared" si="5"/>
        <v xml:space="preserve"> </v>
      </c>
    </row>
    <row r="62" spans="1:34" x14ac:dyDescent="0.25">
      <c r="A62" s="121" t="str" cm="1">
        <f t="array" ref="A62">IfEmpty(TRIM(_xlfn.CONCAT(C62:H62)),"",CRC32HASH(_xlfn.CONCAT(C62:H62)))</f>
        <v/>
      </c>
      <c r="B62" s="10" t="str">
        <f>IFERROR(VLOOKUP(J62,Items[],2,FALSE),"")</f>
        <v/>
      </c>
      <c r="C62" s="34" t="str" cm="1">
        <f t="array" ref="C62">W62 &amp; " " &amp; IfEmpty(U62, AG62)</f>
        <v xml:space="preserve"> </v>
      </c>
      <c r="D62" s="43" t="str">
        <f t="shared" si="6"/>
        <v xml:space="preserve">  </v>
      </c>
      <c r="E62" s="57" t="str">
        <f t="shared" si="7"/>
        <v/>
      </c>
      <c r="F62" s="41" t="str">
        <f t="shared" si="8"/>
        <v/>
      </c>
      <c r="G62" s="41" t="str">
        <f t="shared" si="9"/>
        <v/>
      </c>
      <c r="H62" s="35" t="str" cm="1">
        <f t="array" ref="H62:J62">IFERROR(CalcUnc(K62,L62,S62,T62,V62,X62,AD62,AE62,N62:R62,Z62,AA62),"")</f>
        <v/>
      </c>
      <c r="I62" s="50" t="str">
        <v/>
      </c>
      <c r="J62" s="89" t="str">
        <v/>
      </c>
      <c r="K62" s="55"/>
      <c r="L62" s="56"/>
      <c r="M62" s="22"/>
      <c r="N62" s="52"/>
      <c r="O62" s="53"/>
      <c r="P62" s="53"/>
      <c r="Q62" s="98"/>
      <c r="R62" s="98"/>
      <c r="S62" s="101"/>
      <c r="T62" s="114"/>
      <c r="U62" s="59"/>
      <c r="V62" s="64"/>
      <c r="W62" s="61"/>
      <c r="X62" s="115"/>
      <c r="Y62" s="132" t="str" cm="1">
        <f t="array" ref="Y62">GetPolarity(X62,AE62)</f>
        <v/>
      </c>
      <c r="Z62" s="62"/>
      <c r="AA62" s="65"/>
      <c r="AB62" s="73" t="str">
        <f t="shared" si="10"/>
        <v/>
      </c>
      <c r="AC62" s="73" t="str">
        <f t="shared" si="11"/>
        <v/>
      </c>
      <c r="AD62" s="62"/>
      <c r="AE62" s="61"/>
      <c r="AF62" s="21" t="str">
        <f t="shared" si="4"/>
        <v/>
      </c>
      <c r="AG62" s="28" t="str" cm="1">
        <f t="array" ref="AG62">FilterSpecialCharacters(X62)</f>
        <v/>
      </c>
      <c r="AH62" s="74" t="str">
        <f t="shared" si="5"/>
        <v xml:space="preserve"> </v>
      </c>
    </row>
    <row r="63" spans="1:34" x14ac:dyDescent="0.25">
      <c r="A63" s="121" t="str" cm="1">
        <f t="array" ref="A63">IfEmpty(TRIM(_xlfn.CONCAT(C63:H63)),"",CRC32HASH(_xlfn.CONCAT(C63:H63)))</f>
        <v/>
      </c>
      <c r="B63" s="39" t="str">
        <f>IFERROR(VLOOKUP(J63,Items[],2,FALSE),"")</f>
        <v/>
      </c>
      <c r="C63" s="36" t="str" cm="1">
        <f t="array" ref="C63">W63 &amp; " " &amp; IfEmpty(U63, FilterSpecialCharacters(X63))</f>
        <v xml:space="preserve"> </v>
      </c>
      <c r="D63" s="37" t="str">
        <f t="shared" si="6"/>
        <v xml:space="preserve">  </v>
      </c>
      <c r="E63" s="58" t="str">
        <f t="shared" si="7"/>
        <v/>
      </c>
      <c r="F63" s="42" t="str">
        <f t="shared" si="8"/>
        <v/>
      </c>
      <c r="G63" s="42" t="str">
        <f t="shared" si="9"/>
        <v/>
      </c>
      <c r="H63" s="38" t="str" cm="1">
        <f t="array" ref="H63:J63">IFERROR(CalcUnc(K63,L63,S63,T63,V63,X63,AD63,AE63,N63:R63,Z63,AA63),"")</f>
        <v/>
      </c>
      <c r="I63" s="50" t="str">
        <v/>
      </c>
      <c r="J63" s="89" t="str">
        <v/>
      </c>
      <c r="K63" s="55"/>
      <c r="L63" s="56"/>
      <c r="M63" s="22"/>
      <c r="N63" s="52"/>
      <c r="O63" s="53"/>
      <c r="P63" s="53"/>
      <c r="Q63" s="98"/>
      <c r="R63" s="98"/>
      <c r="S63" s="101"/>
      <c r="T63" s="114"/>
      <c r="U63" s="59"/>
      <c r="V63" s="64"/>
      <c r="W63" s="61"/>
      <c r="X63" s="115"/>
      <c r="Y63" s="132" t="str" cm="1">
        <f t="array" ref="Y63">GetPolarity(X63,AE63)</f>
        <v/>
      </c>
      <c r="Z63" s="62"/>
      <c r="AA63" s="65"/>
      <c r="AB63" s="73" t="str">
        <f t="shared" si="10"/>
        <v/>
      </c>
      <c r="AC63" s="73" t="str">
        <f t="shared" si="11"/>
        <v/>
      </c>
      <c r="AD63" s="62"/>
      <c r="AE63" s="61"/>
      <c r="AF63" s="21" t="str">
        <f t="shared" si="4"/>
        <v/>
      </c>
      <c r="AG63" s="28" t="str" cm="1">
        <f t="array" ref="AG63">FilterSpecialCharacters(X63)</f>
        <v/>
      </c>
      <c r="AH63" s="74" t="str">
        <f t="shared" si="5"/>
        <v xml:space="preserve"> </v>
      </c>
    </row>
    <row r="64" spans="1:34" x14ac:dyDescent="0.25">
      <c r="A64" s="121" t="str" cm="1">
        <f t="array" ref="A64">IfEmpty(TRIM(_xlfn.CONCAT(C64:H64)),"",CRC32HASH(_xlfn.CONCAT(C64:H64)))</f>
        <v/>
      </c>
      <c r="B64" s="10" t="str">
        <f>IFERROR(VLOOKUP(J64,Items[],2,FALSE),"")</f>
        <v/>
      </c>
      <c r="C64" s="34" t="str" cm="1">
        <f t="array" ref="C64">W64 &amp; " " &amp; IfEmpty(U64, AG64)</f>
        <v xml:space="preserve"> </v>
      </c>
      <c r="D64" s="43" t="str">
        <f t="shared" si="6"/>
        <v xml:space="preserve">  </v>
      </c>
      <c r="E64" s="57" t="str">
        <f t="shared" si="7"/>
        <v/>
      </c>
      <c r="F64" s="41" t="str">
        <f t="shared" si="8"/>
        <v/>
      </c>
      <c r="G64" s="41" t="str">
        <f t="shared" si="9"/>
        <v/>
      </c>
      <c r="H64" s="35" t="str" cm="1">
        <f t="array" ref="H64:J64">IFERROR(CalcUnc(K64,L64,S64,T64,V64,X64,AD64,AE64,N64:R64,Z64,AA64),"")</f>
        <v/>
      </c>
      <c r="I64" s="50" t="str">
        <v/>
      </c>
      <c r="J64" s="89" t="str">
        <v/>
      </c>
      <c r="K64" s="55"/>
      <c r="L64" s="56"/>
      <c r="M64" s="22"/>
      <c r="N64" s="52"/>
      <c r="O64" s="53"/>
      <c r="P64" s="53"/>
      <c r="Q64" s="98"/>
      <c r="R64" s="98"/>
      <c r="S64" s="101"/>
      <c r="T64" s="114"/>
      <c r="U64" s="59"/>
      <c r="V64" s="64"/>
      <c r="W64" s="61"/>
      <c r="X64" s="115"/>
      <c r="Y64" s="132" t="str" cm="1">
        <f t="array" ref="Y64">GetPolarity(X64,AE64)</f>
        <v/>
      </c>
      <c r="Z64" s="62"/>
      <c r="AA64" s="65"/>
      <c r="AB64" s="73" t="str">
        <f t="shared" si="10"/>
        <v/>
      </c>
      <c r="AC64" s="73" t="str">
        <f t="shared" si="11"/>
        <v/>
      </c>
      <c r="AD64" s="62"/>
      <c r="AE64" s="61"/>
      <c r="AF64" s="21" t="str">
        <f t="shared" si="4"/>
        <v/>
      </c>
      <c r="AG64" s="28" t="str" cm="1">
        <f t="array" ref="AG64">FilterSpecialCharacters(X64)</f>
        <v/>
      </c>
      <c r="AH64" s="74" t="str">
        <f t="shared" si="5"/>
        <v xml:space="preserve"> </v>
      </c>
    </row>
    <row r="65" spans="1:34" x14ac:dyDescent="0.25">
      <c r="A65" s="121" t="str" cm="1">
        <f t="array" ref="A65">IfEmpty(TRIM(_xlfn.CONCAT(C65:H65)),"",CRC32HASH(_xlfn.CONCAT(C65:H65)))</f>
        <v/>
      </c>
      <c r="B65" s="39" t="str">
        <f>IFERROR(VLOOKUP(J65,Items[],2,FALSE),"")</f>
        <v/>
      </c>
      <c r="C65" s="36" t="str" cm="1">
        <f t="array" ref="C65">W65 &amp; " " &amp; IfEmpty(U65, FilterSpecialCharacters(X65))</f>
        <v xml:space="preserve"> </v>
      </c>
      <c r="D65" s="37" t="str">
        <f t="shared" si="6"/>
        <v xml:space="preserve">  </v>
      </c>
      <c r="E65" s="58" t="str">
        <f t="shared" si="7"/>
        <v/>
      </c>
      <c r="F65" s="42" t="str">
        <f t="shared" si="8"/>
        <v/>
      </c>
      <c r="G65" s="42" t="str">
        <f t="shared" si="9"/>
        <v/>
      </c>
      <c r="H65" s="38" t="str" cm="1">
        <f t="array" ref="H65:J65">IFERROR(CalcUnc(K65,L65,S65,T65,V65,X65,AD65,AE65,N65:R65,Z65,AA65),"")</f>
        <v/>
      </c>
      <c r="I65" s="50" t="str">
        <v/>
      </c>
      <c r="J65" s="89" t="str">
        <v/>
      </c>
      <c r="K65" s="55"/>
      <c r="L65" s="56"/>
      <c r="M65" s="22"/>
      <c r="N65" s="52"/>
      <c r="O65" s="53"/>
      <c r="P65" s="53"/>
      <c r="Q65" s="98"/>
      <c r="R65" s="98"/>
      <c r="S65" s="101"/>
      <c r="T65" s="114"/>
      <c r="U65" s="59"/>
      <c r="V65" s="64"/>
      <c r="W65" s="61"/>
      <c r="X65" s="115"/>
      <c r="Y65" s="132" t="str" cm="1">
        <f t="array" ref="Y65">GetPolarity(X65,AE65)</f>
        <v/>
      </c>
      <c r="Z65" s="62"/>
      <c r="AA65" s="65"/>
      <c r="AB65" s="73" t="str">
        <f t="shared" si="10"/>
        <v/>
      </c>
      <c r="AC65" s="73" t="str">
        <f t="shared" si="11"/>
        <v/>
      </c>
      <c r="AD65" s="62"/>
      <c r="AE65" s="61"/>
      <c r="AF65" s="21" t="str">
        <f t="shared" si="4"/>
        <v/>
      </c>
      <c r="AG65" s="28" t="str" cm="1">
        <f t="array" ref="AG65">FilterSpecialCharacters(X65)</f>
        <v/>
      </c>
      <c r="AH65" s="74" t="str">
        <f t="shared" si="5"/>
        <v xml:space="preserve"> </v>
      </c>
    </row>
    <row r="66" spans="1:34" x14ac:dyDescent="0.25">
      <c r="A66" s="121" t="str" cm="1">
        <f t="array" ref="A66">IfEmpty(TRIM(_xlfn.CONCAT(C66:H66)),"",CRC32HASH(_xlfn.CONCAT(C66:H66)))</f>
        <v/>
      </c>
      <c r="B66" s="10" t="str">
        <f>IFERROR(VLOOKUP(J66,Items[],2,FALSE),"")</f>
        <v/>
      </c>
      <c r="C66" s="34" t="str" cm="1">
        <f t="array" ref="C66">W66 &amp; " " &amp; IfEmpty(U66, AG66)</f>
        <v xml:space="preserve"> </v>
      </c>
      <c r="D66" s="43" t="str">
        <f t="shared" si="6"/>
        <v xml:space="preserve">  </v>
      </c>
      <c r="E66" s="57" t="str">
        <f t="shared" si="7"/>
        <v/>
      </c>
      <c r="F66" s="41" t="str">
        <f t="shared" si="8"/>
        <v/>
      </c>
      <c r="G66" s="41" t="str">
        <f t="shared" si="9"/>
        <v/>
      </c>
      <c r="H66" s="35" t="str" cm="1">
        <f t="array" ref="H66:J66">IFERROR(CalcUnc(K66,L66,S66,T66,V66,X66,AD66,AE66,N66:R66,Z66,AA66),"")</f>
        <v/>
      </c>
      <c r="I66" s="50" t="str">
        <v/>
      </c>
      <c r="J66" s="89" t="str">
        <v/>
      </c>
      <c r="K66" s="55"/>
      <c r="L66" s="56"/>
      <c r="M66" s="22"/>
      <c r="N66" s="52"/>
      <c r="O66" s="53"/>
      <c r="P66" s="53"/>
      <c r="Q66" s="98"/>
      <c r="R66" s="98"/>
      <c r="S66" s="101"/>
      <c r="T66" s="114"/>
      <c r="U66" s="59"/>
      <c r="V66" s="64"/>
      <c r="W66" s="61"/>
      <c r="X66" s="115"/>
      <c r="Y66" s="132" t="str" cm="1">
        <f t="array" ref="Y66">GetPolarity(X66,AE66)</f>
        <v/>
      </c>
      <c r="Z66" s="62"/>
      <c r="AA66" s="65"/>
      <c r="AB66" s="73" t="str">
        <f t="shared" si="10"/>
        <v/>
      </c>
      <c r="AC66" s="73" t="str">
        <f t="shared" si="11"/>
        <v/>
      </c>
      <c r="AD66" s="62"/>
      <c r="AE66" s="61"/>
      <c r="AF66" s="21" t="str">
        <f t="shared" si="4"/>
        <v/>
      </c>
      <c r="AG66" s="28" t="str" cm="1">
        <f t="array" ref="AG66">FilterSpecialCharacters(X66)</f>
        <v/>
      </c>
      <c r="AH66" s="74" t="str">
        <f t="shared" si="5"/>
        <v xml:space="preserve"> </v>
      </c>
    </row>
    <row r="67" spans="1:34" x14ac:dyDescent="0.25">
      <c r="A67" s="121" t="str" cm="1">
        <f t="array" ref="A67">IfEmpty(TRIM(_xlfn.CONCAT(C67:H67)),"",CRC32HASH(_xlfn.CONCAT(C67:H67)))</f>
        <v/>
      </c>
      <c r="B67" s="39" t="str">
        <f>IFERROR(VLOOKUP(J67,Items[],2,FALSE),"")</f>
        <v/>
      </c>
      <c r="C67" s="36" t="str" cm="1">
        <f t="array" ref="C67">W67 &amp; " " &amp; IfEmpty(U67, FilterSpecialCharacters(X67))</f>
        <v xml:space="preserve"> </v>
      </c>
      <c r="D67" s="37" t="str">
        <f t="shared" si="6"/>
        <v xml:space="preserve">  </v>
      </c>
      <c r="E67" s="58" t="str">
        <f t="shared" si="7"/>
        <v/>
      </c>
      <c r="F67" s="42" t="str">
        <f t="shared" si="8"/>
        <v/>
      </c>
      <c r="G67" s="42" t="str">
        <f t="shared" si="9"/>
        <v/>
      </c>
      <c r="H67" s="38" t="str" cm="1">
        <f t="array" ref="H67:J67">IFERROR(CalcUnc(K67,L67,S67,T67,V67,X67,AD67,AE67,N67:R67,Z67,AA67),"")</f>
        <v/>
      </c>
      <c r="I67" s="50" t="str">
        <v/>
      </c>
      <c r="J67" s="89" t="str">
        <v/>
      </c>
      <c r="K67" s="55"/>
      <c r="L67" s="56"/>
      <c r="M67" s="22"/>
      <c r="N67" s="52"/>
      <c r="O67" s="53"/>
      <c r="P67" s="53"/>
      <c r="Q67" s="98"/>
      <c r="R67" s="98"/>
      <c r="S67" s="101"/>
      <c r="T67" s="114"/>
      <c r="U67" s="59"/>
      <c r="V67" s="64"/>
      <c r="W67" s="61"/>
      <c r="X67" s="115"/>
      <c r="Y67" s="132" t="str" cm="1">
        <f t="array" ref="Y67">GetPolarity(X67,AE67)</f>
        <v/>
      </c>
      <c r="Z67" s="62"/>
      <c r="AA67" s="65"/>
      <c r="AB67" s="73" t="str">
        <f t="shared" si="10"/>
        <v/>
      </c>
      <c r="AC67" s="73" t="str">
        <f t="shared" si="11"/>
        <v/>
      </c>
      <c r="AD67" s="62"/>
      <c r="AE67" s="61"/>
      <c r="AF67" s="21" t="str">
        <f t="shared" si="4"/>
        <v/>
      </c>
      <c r="AG67" s="28" t="str" cm="1">
        <f t="array" ref="AG67">FilterSpecialCharacters(X67)</f>
        <v/>
      </c>
      <c r="AH67" s="74" t="str">
        <f t="shared" si="5"/>
        <v xml:space="preserve"> </v>
      </c>
    </row>
    <row r="68" spans="1:34" x14ac:dyDescent="0.25">
      <c r="A68" s="121" t="str" cm="1">
        <f t="array" ref="A68">IfEmpty(TRIM(_xlfn.CONCAT(C68:H68)),"",CRC32HASH(_xlfn.CONCAT(C68:H68)))</f>
        <v/>
      </c>
      <c r="B68" s="10" t="str">
        <f>IFERROR(VLOOKUP(J68,Items[],2,FALSE),"")</f>
        <v/>
      </c>
      <c r="C68" s="34" t="str" cm="1">
        <f t="array" ref="C68">W68 &amp; " " &amp; IfEmpty(U68, AG68)</f>
        <v xml:space="preserve"> </v>
      </c>
      <c r="D68" s="43" t="str">
        <f t="shared" si="6"/>
        <v xml:space="preserve">  </v>
      </c>
      <c r="E68" s="57" t="str">
        <f t="shared" si="7"/>
        <v/>
      </c>
      <c r="F68" s="41" t="str">
        <f t="shared" si="8"/>
        <v/>
      </c>
      <c r="G68" s="41" t="str">
        <f t="shared" si="9"/>
        <v/>
      </c>
      <c r="H68" s="35" t="str" cm="1">
        <f t="array" ref="H68:J68">IFERROR(CalcUnc(K68,L68,S68,T68,V68,X68,AD68,AE68,N68:R68,Z68,AA68),"")</f>
        <v/>
      </c>
      <c r="I68" s="50" t="str">
        <v/>
      </c>
      <c r="J68" s="89" t="str">
        <v/>
      </c>
      <c r="K68" s="55"/>
      <c r="L68" s="56"/>
      <c r="M68" s="22"/>
      <c r="N68" s="52"/>
      <c r="O68" s="53"/>
      <c r="P68" s="53"/>
      <c r="Q68" s="98"/>
      <c r="R68" s="98"/>
      <c r="S68" s="101"/>
      <c r="T68" s="114"/>
      <c r="U68" s="59"/>
      <c r="V68" s="64"/>
      <c r="W68" s="61"/>
      <c r="X68" s="115"/>
      <c r="Y68" s="132" t="str" cm="1">
        <f t="array" ref="Y68">GetPolarity(X68,AE68)</f>
        <v/>
      </c>
      <c r="Z68" s="62"/>
      <c r="AA68" s="65"/>
      <c r="AB68" s="73" t="str">
        <f t="shared" si="10"/>
        <v/>
      </c>
      <c r="AC68" s="73" t="str">
        <f t="shared" si="11"/>
        <v/>
      </c>
      <c r="AD68" s="62"/>
      <c r="AE68" s="61"/>
      <c r="AF68" s="21" t="str">
        <f t="shared" si="4"/>
        <v/>
      </c>
      <c r="AG68" s="28" t="str" cm="1">
        <f t="array" ref="AG68">FilterSpecialCharacters(X68)</f>
        <v/>
      </c>
      <c r="AH68" s="74" t="str">
        <f t="shared" si="5"/>
        <v xml:space="preserve"> </v>
      </c>
    </row>
    <row r="69" spans="1:34" x14ac:dyDescent="0.25">
      <c r="A69" s="121" t="str" cm="1">
        <f t="array" ref="A69">IfEmpty(TRIM(_xlfn.CONCAT(C69:H69)),"",CRC32HASH(_xlfn.CONCAT(C69:H69)))</f>
        <v/>
      </c>
      <c r="B69" s="39" t="str">
        <f>IFERROR(VLOOKUP(J69,Items[],2,FALSE),"")</f>
        <v/>
      </c>
      <c r="C69" s="36" t="str" cm="1">
        <f t="array" ref="C69">W69 &amp; " " &amp; IfEmpty(U69, FilterSpecialCharacters(X69))</f>
        <v xml:space="preserve"> </v>
      </c>
      <c r="D69" s="37" t="str">
        <f t="shared" si="6"/>
        <v xml:space="preserve">  </v>
      </c>
      <c r="E69" s="58" t="str">
        <f t="shared" si="7"/>
        <v/>
      </c>
      <c r="F69" s="42" t="str">
        <f t="shared" si="8"/>
        <v/>
      </c>
      <c r="G69" s="42" t="str">
        <f t="shared" si="9"/>
        <v/>
      </c>
      <c r="H69" s="38" t="str" cm="1">
        <f t="array" ref="H69:J69">IFERROR(CalcUnc(K69,L69,S69,T69,V69,X69,AD69,AE69,N69:R69,Z69,AA69),"")</f>
        <v/>
      </c>
      <c r="I69" s="50" t="str">
        <v/>
      </c>
      <c r="J69" s="89" t="str">
        <v/>
      </c>
      <c r="K69" s="55"/>
      <c r="L69" s="56"/>
      <c r="M69" s="22"/>
      <c r="N69" s="52"/>
      <c r="O69" s="53"/>
      <c r="P69" s="53"/>
      <c r="Q69" s="98"/>
      <c r="R69" s="98"/>
      <c r="S69" s="101"/>
      <c r="T69" s="114"/>
      <c r="U69" s="59"/>
      <c r="V69" s="64"/>
      <c r="W69" s="61"/>
      <c r="X69" s="115"/>
      <c r="Y69" s="132" t="str" cm="1">
        <f t="array" ref="Y69">GetPolarity(X69,AE69)</f>
        <v/>
      </c>
      <c r="Z69" s="62"/>
      <c r="AA69" s="65"/>
      <c r="AB69" s="73" t="str">
        <f t="shared" si="10"/>
        <v/>
      </c>
      <c r="AC69" s="73" t="str">
        <f t="shared" si="11"/>
        <v/>
      </c>
      <c r="AD69" s="62"/>
      <c r="AE69" s="61"/>
      <c r="AF69" s="21" t="str">
        <f t="shared" si="4"/>
        <v/>
      </c>
      <c r="AG69" s="28" t="str" cm="1">
        <f t="array" ref="AG69">FilterSpecialCharacters(X69)</f>
        <v/>
      </c>
      <c r="AH69" s="74" t="str">
        <f t="shared" si="5"/>
        <v xml:space="preserve"> </v>
      </c>
    </row>
    <row r="70" spans="1:34" x14ac:dyDescent="0.25">
      <c r="A70" s="121" t="str" cm="1">
        <f t="array" ref="A70">IfEmpty(TRIM(_xlfn.CONCAT(C70:H70)),"",CRC32HASH(_xlfn.CONCAT(C70:H70)))</f>
        <v/>
      </c>
      <c r="B70" s="10" t="str">
        <f>IFERROR(VLOOKUP(J70,Items[],2,FALSE),"")</f>
        <v/>
      </c>
      <c r="C70" s="34" t="str" cm="1">
        <f t="array" ref="C70">W70 &amp; " " &amp; IfEmpty(U70, AG70)</f>
        <v xml:space="preserve"> </v>
      </c>
      <c r="D70" s="43" t="str">
        <f t="shared" si="6"/>
        <v xml:space="preserve">  </v>
      </c>
      <c r="E70" s="57" t="str">
        <f t="shared" si="7"/>
        <v/>
      </c>
      <c r="F70" s="41" t="str">
        <f t="shared" si="8"/>
        <v/>
      </c>
      <c r="G70" s="41" t="str">
        <f t="shared" si="9"/>
        <v/>
      </c>
      <c r="H70" s="35" t="str" cm="1">
        <f t="array" ref="H70:J70">IFERROR(CalcUnc(K70,L70,S70,T70,V70,X70,AD70,AE70,N70:R70,Z70,AA70),"")</f>
        <v/>
      </c>
      <c r="I70" s="50" t="str">
        <v/>
      </c>
      <c r="J70" s="89" t="str">
        <v/>
      </c>
      <c r="K70" s="55"/>
      <c r="L70" s="56"/>
      <c r="M70" s="22"/>
      <c r="N70" s="52"/>
      <c r="O70" s="53"/>
      <c r="P70" s="53"/>
      <c r="Q70" s="98"/>
      <c r="R70" s="98"/>
      <c r="S70" s="101"/>
      <c r="T70" s="114"/>
      <c r="U70" s="59"/>
      <c r="V70" s="64"/>
      <c r="W70" s="61"/>
      <c r="X70" s="115"/>
      <c r="Y70" s="132" t="str" cm="1">
        <f t="array" ref="Y70">GetPolarity(X70,AE70)</f>
        <v/>
      </c>
      <c r="Z70" s="62"/>
      <c r="AA70" s="61"/>
      <c r="AB70" s="73" t="str">
        <f t="shared" ref="AB70:AB101" si="12">IF(V70&lt;&gt;"",ROUND(Z70-AA70,-LOG10(V70)),"")</f>
        <v/>
      </c>
      <c r="AC70" s="73" t="str">
        <f t="shared" ref="AC70:AC101" si="13">IF(V70&lt;&gt;"",ROUND(Z70+AA70,-LOG10(V70)),"")</f>
        <v/>
      </c>
      <c r="AD70" s="62"/>
      <c r="AE70" s="61"/>
      <c r="AF70" s="21" t="str">
        <f t="shared" si="4"/>
        <v/>
      </c>
      <c r="AG70" s="28" t="str" cm="1">
        <f t="array" ref="AG70">FilterSpecialCharacters(X70)</f>
        <v/>
      </c>
      <c r="AH70" s="74" t="str">
        <f t="shared" si="5"/>
        <v xml:space="preserve"> </v>
      </c>
    </row>
    <row r="71" spans="1:34" x14ac:dyDescent="0.25">
      <c r="A71" s="121" t="str" cm="1">
        <f t="array" ref="A71">IfEmpty(TRIM(_xlfn.CONCAT(C71:H71)),"",CRC32HASH(_xlfn.CONCAT(C71:H71)))</f>
        <v/>
      </c>
      <c r="B71" s="39" t="str">
        <f>IFERROR(VLOOKUP(J71,Items[],2,FALSE),"")</f>
        <v/>
      </c>
      <c r="C71" s="36" t="str" cm="1">
        <f t="array" ref="C71">W71 &amp; " " &amp; IfEmpty(U71, FilterSpecialCharacters(X71))</f>
        <v xml:space="preserve"> </v>
      </c>
      <c r="D71" s="37" t="str">
        <f t="shared" si="6"/>
        <v xml:space="preserve">  </v>
      </c>
      <c r="E71" s="58" t="str">
        <f t="shared" si="7"/>
        <v/>
      </c>
      <c r="F71" s="42" t="str">
        <f t="shared" si="8"/>
        <v/>
      </c>
      <c r="G71" s="42" t="str">
        <f t="shared" si="9"/>
        <v/>
      </c>
      <c r="H71" s="38" t="str" cm="1">
        <f t="array" ref="H71:J71">IFERROR(CalcUnc(K71,L71,S71,T71,V71,X71,AD71,AE71,N71:R71,Z71,AA71),"")</f>
        <v/>
      </c>
      <c r="I71" s="50" t="str">
        <v/>
      </c>
      <c r="J71" s="89" t="str">
        <v/>
      </c>
      <c r="K71" s="55"/>
      <c r="L71" s="56"/>
      <c r="M71" s="22"/>
      <c r="N71" s="52"/>
      <c r="O71" s="53"/>
      <c r="P71" s="53"/>
      <c r="Q71" s="98"/>
      <c r="R71" s="98"/>
      <c r="S71" s="101"/>
      <c r="T71" s="114"/>
      <c r="U71" s="59"/>
      <c r="V71" s="64"/>
      <c r="W71" s="61"/>
      <c r="X71" s="115"/>
      <c r="Y71" s="132" t="str" cm="1">
        <f t="array" ref="Y71">GetPolarity(X71,AE71)</f>
        <v/>
      </c>
      <c r="Z71" s="62"/>
      <c r="AA71" s="61"/>
      <c r="AB71" s="73" t="str">
        <f t="shared" si="12"/>
        <v/>
      </c>
      <c r="AC71" s="73" t="str">
        <f t="shared" si="13"/>
        <v/>
      </c>
      <c r="AD71" s="62"/>
      <c r="AE71" s="61"/>
      <c r="AF71" s="21" t="str">
        <f t="shared" ref="AF71:AF110" si="14">IF(RIGHT(AE71,2)="Hz","@ ","")&amp;AD71&amp;AE71</f>
        <v/>
      </c>
      <c r="AG71" s="28" t="str" cm="1">
        <f t="array" ref="AG71">FilterSpecialCharacters(X71)</f>
        <v/>
      </c>
      <c r="AH71" s="74" t="str">
        <f t="shared" ref="AH71:AH110" si="15">" "&amp;AG71&amp;IF($Y71="",""," ("&amp;$Y71&amp;")")</f>
        <v xml:space="preserve"> </v>
      </c>
    </row>
    <row r="72" spans="1:34" x14ac:dyDescent="0.25">
      <c r="A72" s="121" t="str" cm="1">
        <f t="array" ref="A72">IfEmpty(TRIM(_xlfn.CONCAT(C72:H72)),"",CRC32HASH(_xlfn.CONCAT(C72:H72)))</f>
        <v/>
      </c>
      <c r="B72" s="10" t="str">
        <f>IFERROR(VLOOKUP(J72,Items[],2,FALSE),"")</f>
        <v/>
      </c>
      <c r="C72" s="34" t="str" cm="1">
        <f t="array" ref="C72">W72 &amp; " " &amp; IfEmpty(U72, AG72)</f>
        <v xml:space="preserve"> </v>
      </c>
      <c r="D72" s="43" t="str">
        <f t="shared" ref="D72:D110" si="16">IF(OR(AG72="°C", AG72="°F"), Z72 &amp; " " &amp; AG72, IF(RIGHT(AG72,2)="Hz", AF72 &amp; " @ " &amp; Z72 &amp; " " &amp; AG72, Z72 &amp; AH72 &amp; " " &amp; AF72))</f>
        <v xml:space="preserve">  </v>
      </c>
      <c r="E72" s="57" t="str">
        <f t="shared" ref="E72:E110" si="17">IFERROR(ROUND(AVERAGE(N72:R72),-LOG10(V72)) &amp; AH72,"")</f>
        <v/>
      </c>
      <c r="F72" s="41" t="str">
        <f t="shared" ref="F72:F110" si="18">IF(AB72="","",AB72 &amp; $AH72)</f>
        <v/>
      </c>
      <c r="G72" s="41" t="str">
        <f t="shared" ref="G72:G110" si="19">IF(AC72="","",AC72 &amp; $AH72)</f>
        <v/>
      </c>
      <c r="H72" s="35" t="str" cm="1">
        <f t="array" ref="H72:J72">IFERROR(CalcUnc(K72,L72,S72,T72,V72,X72,AD72,AE72,N72:R72,Z72,AA72),"")</f>
        <v/>
      </c>
      <c r="I72" s="50" t="str">
        <v/>
      </c>
      <c r="J72" s="89" t="str">
        <v/>
      </c>
      <c r="K72" s="55"/>
      <c r="L72" s="56"/>
      <c r="M72" s="22"/>
      <c r="N72" s="52"/>
      <c r="O72" s="53"/>
      <c r="P72" s="53"/>
      <c r="Q72" s="98"/>
      <c r="R72" s="98"/>
      <c r="S72" s="101"/>
      <c r="T72" s="114"/>
      <c r="U72" s="59"/>
      <c r="V72" s="64"/>
      <c r="W72" s="61"/>
      <c r="X72" s="115"/>
      <c r="Y72" s="132" t="str" cm="1">
        <f t="array" ref="Y72">GetPolarity(X72,AE72)</f>
        <v/>
      </c>
      <c r="Z72" s="62"/>
      <c r="AA72" s="61"/>
      <c r="AB72" s="73" t="str">
        <f t="shared" si="12"/>
        <v/>
      </c>
      <c r="AC72" s="73" t="str">
        <f t="shared" si="13"/>
        <v/>
      </c>
      <c r="AD72" s="62"/>
      <c r="AE72" s="61"/>
      <c r="AF72" s="21" t="str">
        <f t="shared" si="14"/>
        <v/>
      </c>
      <c r="AG72" s="28" t="str" cm="1">
        <f t="array" ref="AG72">FilterSpecialCharacters(X72)</f>
        <v/>
      </c>
      <c r="AH72" s="74" t="str">
        <f t="shared" si="15"/>
        <v xml:space="preserve"> </v>
      </c>
    </row>
    <row r="73" spans="1:34" x14ac:dyDescent="0.25">
      <c r="A73" s="121" t="str" cm="1">
        <f t="array" ref="A73">IfEmpty(TRIM(_xlfn.CONCAT(C73:H73)),"",CRC32HASH(_xlfn.CONCAT(C73:H73)))</f>
        <v/>
      </c>
      <c r="B73" s="39" t="str">
        <f>IFERROR(VLOOKUP(J73,Items[],2,FALSE),"")</f>
        <v/>
      </c>
      <c r="C73" s="36" t="str" cm="1">
        <f t="array" ref="C73">W73 &amp; " " &amp; IfEmpty(U73, FilterSpecialCharacters(X73))</f>
        <v xml:space="preserve"> </v>
      </c>
      <c r="D73" s="37" t="str">
        <f t="shared" si="16"/>
        <v xml:space="preserve">  </v>
      </c>
      <c r="E73" s="58" t="str">
        <f t="shared" si="17"/>
        <v/>
      </c>
      <c r="F73" s="42" t="str">
        <f t="shared" si="18"/>
        <v/>
      </c>
      <c r="G73" s="42" t="str">
        <f t="shared" si="19"/>
        <v/>
      </c>
      <c r="H73" s="38" t="str" cm="1">
        <f t="array" ref="H73:J73">IFERROR(CalcUnc(K73,L73,S73,T73,V73,X73,AD73,AE73,N73:R73,Z73,AA73),"")</f>
        <v/>
      </c>
      <c r="I73" s="50" t="str">
        <v/>
      </c>
      <c r="J73" s="89" t="str">
        <v/>
      </c>
      <c r="K73" s="55"/>
      <c r="L73" s="56"/>
      <c r="M73" s="22"/>
      <c r="N73" s="52"/>
      <c r="O73" s="53"/>
      <c r="P73" s="53"/>
      <c r="Q73" s="98"/>
      <c r="R73" s="98"/>
      <c r="S73" s="101"/>
      <c r="T73" s="114"/>
      <c r="U73" s="59"/>
      <c r="V73" s="64"/>
      <c r="W73" s="61"/>
      <c r="X73" s="115"/>
      <c r="Y73" s="132" t="str" cm="1">
        <f t="array" ref="Y73">GetPolarity(X73,AE73)</f>
        <v/>
      </c>
      <c r="Z73" s="62"/>
      <c r="AA73" s="61"/>
      <c r="AB73" s="73" t="str">
        <f t="shared" si="12"/>
        <v/>
      </c>
      <c r="AC73" s="73" t="str">
        <f t="shared" si="13"/>
        <v/>
      </c>
      <c r="AD73" s="62"/>
      <c r="AE73" s="61"/>
      <c r="AF73" s="21" t="str">
        <f t="shared" si="14"/>
        <v/>
      </c>
      <c r="AG73" s="28" t="str" cm="1">
        <f t="array" ref="AG73">FilterSpecialCharacters(X73)</f>
        <v/>
      </c>
      <c r="AH73" s="74" t="str">
        <f t="shared" si="15"/>
        <v xml:space="preserve"> </v>
      </c>
    </row>
    <row r="74" spans="1:34" x14ac:dyDescent="0.25">
      <c r="A74" s="121" t="str" cm="1">
        <f t="array" ref="A74">IfEmpty(TRIM(_xlfn.CONCAT(C74:H74)),"",CRC32HASH(_xlfn.CONCAT(C74:H74)))</f>
        <v/>
      </c>
      <c r="B74" s="10" t="str">
        <f>IFERROR(VLOOKUP(J74,Items[],2,FALSE),"")</f>
        <v/>
      </c>
      <c r="C74" s="34" t="str" cm="1">
        <f t="array" ref="C74">W74 &amp; " " &amp; IfEmpty(U74, AG74)</f>
        <v xml:space="preserve"> </v>
      </c>
      <c r="D74" s="43" t="str">
        <f t="shared" si="16"/>
        <v xml:space="preserve">  </v>
      </c>
      <c r="E74" s="57" t="str">
        <f t="shared" si="17"/>
        <v/>
      </c>
      <c r="F74" s="41" t="str">
        <f t="shared" si="18"/>
        <v/>
      </c>
      <c r="G74" s="41" t="str">
        <f t="shared" si="19"/>
        <v/>
      </c>
      <c r="H74" s="35" t="str" cm="1">
        <f t="array" ref="H74:J74">IFERROR(CalcUnc(K74,L74,S74,T74,V74,X74,AD74,AE74,N74:R74,Z74,AA74),"")</f>
        <v/>
      </c>
      <c r="I74" s="50" t="str">
        <v/>
      </c>
      <c r="J74" s="89" t="str">
        <v/>
      </c>
      <c r="K74" s="55"/>
      <c r="L74" s="56"/>
      <c r="M74" s="22"/>
      <c r="N74" s="52"/>
      <c r="O74" s="53"/>
      <c r="P74" s="53"/>
      <c r="Q74" s="98"/>
      <c r="R74" s="98"/>
      <c r="S74" s="101"/>
      <c r="T74" s="114"/>
      <c r="U74" s="59"/>
      <c r="V74" s="64"/>
      <c r="W74" s="61"/>
      <c r="X74" s="115"/>
      <c r="Y74" s="132" t="str" cm="1">
        <f t="array" ref="Y74">GetPolarity(X74,AE74)</f>
        <v/>
      </c>
      <c r="Z74" s="62"/>
      <c r="AA74" s="61"/>
      <c r="AB74" s="73" t="str">
        <f t="shared" si="12"/>
        <v/>
      </c>
      <c r="AC74" s="73" t="str">
        <f t="shared" si="13"/>
        <v/>
      </c>
      <c r="AD74" s="62"/>
      <c r="AE74" s="61"/>
      <c r="AF74" s="21" t="str">
        <f t="shared" si="14"/>
        <v/>
      </c>
      <c r="AG74" s="28" t="str" cm="1">
        <f t="array" ref="AG74">FilterSpecialCharacters(X74)</f>
        <v/>
      </c>
      <c r="AH74" s="74" t="str">
        <f t="shared" si="15"/>
        <v xml:space="preserve"> </v>
      </c>
    </row>
    <row r="75" spans="1:34" x14ac:dyDescent="0.25">
      <c r="A75" s="121" t="str" cm="1">
        <f t="array" ref="A75">IfEmpty(TRIM(_xlfn.CONCAT(C75:H75)),"",CRC32HASH(_xlfn.CONCAT(C75:H75)))</f>
        <v/>
      </c>
      <c r="B75" s="39" t="str">
        <f>IFERROR(VLOOKUP(J75,Items[],2,FALSE),"")</f>
        <v/>
      </c>
      <c r="C75" s="36" t="str" cm="1">
        <f t="array" ref="C75">W75 &amp; " " &amp; IfEmpty(U75, FilterSpecialCharacters(X75))</f>
        <v xml:space="preserve"> </v>
      </c>
      <c r="D75" s="37" t="str">
        <f t="shared" si="16"/>
        <v xml:space="preserve">  </v>
      </c>
      <c r="E75" s="58" t="str">
        <f t="shared" si="17"/>
        <v/>
      </c>
      <c r="F75" s="42" t="str">
        <f t="shared" si="18"/>
        <v/>
      </c>
      <c r="G75" s="42" t="str">
        <f t="shared" si="19"/>
        <v/>
      </c>
      <c r="H75" s="38" t="str" cm="1">
        <f t="array" ref="H75:J75">IFERROR(CalcUnc(K75,L75,S75,T75,V75,X75,AD75,AE75,N75:R75,Z75,AA75),"")</f>
        <v/>
      </c>
      <c r="I75" s="50" t="str">
        <v/>
      </c>
      <c r="J75" s="89" t="str">
        <v/>
      </c>
      <c r="K75" s="55"/>
      <c r="L75" s="56"/>
      <c r="M75" s="22"/>
      <c r="N75" s="52"/>
      <c r="O75" s="53"/>
      <c r="P75" s="53"/>
      <c r="Q75" s="98"/>
      <c r="R75" s="98"/>
      <c r="S75" s="101"/>
      <c r="T75" s="114"/>
      <c r="U75" s="59"/>
      <c r="V75" s="64"/>
      <c r="W75" s="61"/>
      <c r="X75" s="115"/>
      <c r="Y75" s="132" t="str" cm="1">
        <f t="array" ref="Y75">GetPolarity(X75,AE75)</f>
        <v/>
      </c>
      <c r="Z75" s="62"/>
      <c r="AA75" s="61"/>
      <c r="AB75" s="73" t="str">
        <f t="shared" si="12"/>
        <v/>
      </c>
      <c r="AC75" s="73" t="str">
        <f t="shared" si="13"/>
        <v/>
      </c>
      <c r="AD75" s="62"/>
      <c r="AE75" s="61"/>
      <c r="AF75" s="21" t="str">
        <f t="shared" si="14"/>
        <v/>
      </c>
      <c r="AG75" s="28" t="str" cm="1">
        <f t="array" ref="AG75">FilterSpecialCharacters(X75)</f>
        <v/>
      </c>
      <c r="AH75" s="74" t="str">
        <f t="shared" si="15"/>
        <v xml:space="preserve"> </v>
      </c>
    </row>
    <row r="76" spans="1:34" x14ac:dyDescent="0.25">
      <c r="A76" s="121" t="str" cm="1">
        <f t="array" ref="A76">IfEmpty(TRIM(_xlfn.CONCAT(C76:H76)),"",CRC32HASH(_xlfn.CONCAT(C76:H76)))</f>
        <v/>
      </c>
      <c r="B76" s="10" t="str">
        <f>IFERROR(VLOOKUP(J76,Items[],2,FALSE),"")</f>
        <v/>
      </c>
      <c r="C76" s="34" t="str" cm="1">
        <f t="array" ref="C76">W76 &amp; " " &amp; IfEmpty(U76, AG76)</f>
        <v xml:space="preserve"> </v>
      </c>
      <c r="D76" s="43" t="str">
        <f t="shared" si="16"/>
        <v xml:space="preserve">  </v>
      </c>
      <c r="E76" s="57" t="str">
        <f t="shared" si="17"/>
        <v/>
      </c>
      <c r="F76" s="41" t="str">
        <f t="shared" si="18"/>
        <v/>
      </c>
      <c r="G76" s="41" t="str">
        <f t="shared" si="19"/>
        <v/>
      </c>
      <c r="H76" s="35" t="str" cm="1">
        <f t="array" ref="H76:J76">IFERROR(CalcUnc(K76,L76,S76,T76,V76,X76,AD76,AE76,N76:R76,Z76,AA76),"")</f>
        <v/>
      </c>
      <c r="I76" s="50" t="str">
        <v/>
      </c>
      <c r="J76" s="89" t="str">
        <v/>
      </c>
      <c r="K76" s="55"/>
      <c r="L76" s="56"/>
      <c r="M76" s="22"/>
      <c r="N76" s="52"/>
      <c r="O76" s="53"/>
      <c r="P76" s="53"/>
      <c r="Q76" s="98"/>
      <c r="R76" s="98"/>
      <c r="S76" s="101"/>
      <c r="T76" s="114"/>
      <c r="U76" s="59"/>
      <c r="V76" s="64"/>
      <c r="W76" s="61"/>
      <c r="X76" s="115"/>
      <c r="Y76" s="132" t="str" cm="1">
        <f t="array" ref="Y76">GetPolarity(X76,AE76)</f>
        <v/>
      </c>
      <c r="Z76" s="62"/>
      <c r="AA76" s="61"/>
      <c r="AB76" s="73" t="str">
        <f t="shared" si="12"/>
        <v/>
      </c>
      <c r="AC76" s="73" t="str">
        <f t="shared" si="13"/>
        <v/>
      </c>
      <c r="AD76" s="62"/>
      <c r="AE76" s="61"/>
      <c r="AF76" s="21" t="str">
        <f t="shared" si="14"/>
        <v/>
      </c>
      <c r="AG76" s="28" t="str" cm="1">
        <f t="array" ref="AG76">FilterSpecialCharacters(X76)</f>
        <v/>
      </c>
      <c r="AH76" s="74" t="str">
        <f t="shared" si="15"/>
        <v xml:space="preserve"> </v>
      </c>
    </row>
    <row r="77" spans="1:34" x14ac:dyDescent="0.25">
      <c r="A77" s="121" t="str" cm="1">
        <f t="array" ref="A77">IfEmpty(TRIM(_xlfn.CONCAT(C77:H77)),"",CRC32HASH(_xlfn.CONCAT(C77:H77)))</f>
        <v/>
      </c>
      <c r="B77" s="39" t="str">
        <f>IFERROR(VLOOKUP(J77,Items[],2,FALSE),"")</f>
        <v/>
      </c>
      <c r="C77" s="36" t="str" cm="1">
        <f t="array" ref="C77">W77 &amp; " " &amp; IfEmpty(U77, FilterSpecialCharacters(X77))</f>
        <v xml:space="preserve"> </v>
      </c>
      <c r="D77" s="37" t="str">
        <f t="shared" si="16"/>
        <v xml:space="preserve">  </v>
      </c>
      <c r="E77" s="58" t="str">
        <f t="shared" si="17"/>
        <v/>
      </c>
      <c r="F77" s="42" t="str">
        <f t="shared" si="18"/>
        <v/>
      </c>
      <c r="G77" s="42" t="str">
        <f t="shared" si="19"/>
        <v/>
      </c>
      <c r="H77" s="38" t="str" cm="1">
        <f t="array" ref="H77:J77">IFERROR(CalcUnc(K77,L77,S77,T77,V77,X77,AD77,AE77,N77:R77,Z77,AA77),"")</f>
        <v/>
      </c>
      <c r="I77" s="50" t="str">
        <v/>
      </c>
      <c r="J77" s="89" t="str">
        <v/>
      </c>
      <c r="K77" s="55"/>
      <c r="L77" s="56"/>
      <c r="M77" s="22"/>
      <c r="N77" s="52"/>
      <c r="O77" s="53"/>
      <c r="P77" s="53"/>
      <c r="Q77" s="98"/>
      <c r="R77" s="98"/>
      <c r="S77" s="101"/>
      <c r="T77" s="114"/>
      <c r="U77" s="59"/>
      <c r="V77" s="64"/>
      <c r="W77" s="61"/>
      <c r="X77" s="115"/>
      <c r="Y77" s="132" t="str" cm="1">
        <f t="array" ref="Y77">GetPolarity(X77,AE77)</f>
        <v/>
      </c>
      <c r="Z77" s="62"/>
      <c r="AA77" s="61"/>
      <c r="AB77" s="73" t="str">
        <f t="shared" si="12"/>
        <v/>
      </c>
      <c r="AC77" s="73" t="str">
        <f t="shared" si="13"/>
        <v/>
      </c>
      <c r="AD77" s="62"/>
      <c r="AE77" s="61"/>
      <c r="AF77" s="21" t="str">
        <f t="shared" si="14"/>
        <v/>
      </c>
      <c r="AG77" s="28" t="str" cm="1">
        <f t="array" ref="AG77">FilterSpecialCharacters(X77)</f>
        <v/>
      </c>
      <c r="AH77" s="74" t="str">
        <f t="shared" si="15"/>
        <v xml:space="preserve"> </v>
      </c>
    </row>
    <row r="78" spans="1:34" x14ac:dyDescent="0.25">
      <c r="A78" s="121" t="str" cm="1">
        <f t="array" ref="A78">IfEmpty(TRIM(_xlfn.CONCAT(C78:H78)),"",CRC32HASH(_xlfn.CONCAT(C78:H78)))</f>
        <v/>
      </c>
      <c r="B78" s="10" t="str">
        <f>IFERROR(VLOOKUP(J78,Items[],2,FALSE),"")</f>
        <v/>
      </c>
      <c r="C78" s="34" t="str" cm="1">
        <f t="array" ref="C78">W78 &amp; " " &amp; IfEmpty(U78, AG78)</f>
        <v xml:space="preserve"> </v>
      </c>
      <c r="D78" s="43" t="str">
        <f t="shared" si="16"/>
        <v xml:space="preserve">  </v>
      </c>
      <c r="E78" s="57" t="str">
        <f t="shared" si="17"/>
        <v/>
      </c>
      <c r="F78" s="41" t="str">
        <f t="shared" si="18"/>
        <v/>
      </c>
      <c r="G78" s="41" t="str">
        <f t="shared" si="19"/>
        <v/>
      </c>
      <c r="H78" s="35" t="str" cm="1">
        <f t="array" ref="H78:J78">IFERROR(CalcUnc(K78,L78,S78,T78,V78,X78,AD78,AE78,N78:R78,Z78,AA78),"")</f>
        <v/>
      </c>
      <c r="I78" s="50" t="str">
        <v/>
      </c>
      <c r="J78" s="89" t="str">
        <v/>
      </c>
      <c r="K78" s="55"/>
      <c r="L78" s="56"/>
      <c r="M78" s="22"/>
      <c r="N78" s="52"/>
      <c r="O78" s="53"/>
      <c r="P78" s="53"/>
      <c r="Q78" s="98"/>
      <c r="R78" s="98"/>
      <c r="S78" s="101"/>
      <c r="T78" s="114"/>
      <c r="U78" s="59"/>
      <c r="V78" s="64"/>
      <c r="W78" s="61"/>
      <c r="X78" s="115"/>
      <c r="Y78" s="132" t="str" cm="1">
        <f t="array" ref="Y78">GetPolarity(X78,AE78)</f>
        <v/>
      </c>
      <c r="Z78" s="62"/>
      <c r="AA78" s="61"/>
      <c r="AB78" s="73" t="str">
        <f t="shared" si="12"/>
        <v/>
      </c>
      <c r="AC78" s="73" t="str">
        <f t="shared" si="13"/>
        <v/>
      </c>
      <c r="AD78" s="62"/>
      <c r="AE78" s="61"/>
      <c r="AF78" s="21" t="str">
        <f t="shared" si="14"/>
        <v/>
      </c>
      <c r="AG78" s="28" t="str" cm="1">
        <f t="array" ref="AG78">FilterSpecialCharacters(X78)</f>
        <v/>
      </c>
      <c r="AH78" s="74" t="str">
        <f t="shared" si="15"/>
        <v xml:space="preserve"> </v>
      </c>
    </row>
    <row r="79" spans="1:34" x14ac:dyDescent="0.25">
      <c r="A79" s="121" t="str" cm="1">
        <f t="array" ref="A79">IfEmpty(TRIM(_xlfn.CONCAT(C79:H79)),"",CRC32HASH(_xlfn.CONCAT(C79:H79)))</f>
        <v/>
      </c>
      <c r="B79" s="39" t="str">
        <f>IFERROR(VLOOKUP(J79,Items[],2,FALSE),"")</f>
        <v/>
      </c>
      <c r="C79" s="36" t="str" cm="1">
        <f t="array" ref="C79">W79 &amp; " " &amp; IfEmpty(U79, FilterSpecialCharacters(X79))</f>
        <v xml:space="preserve"> </v>
      </c>
      <c r="D79" s="37" t="str">
        <f t="shared" si="16"/>
        <v xml:space="preserve">  </v>
      </c>
      <c r="E79" s="58" t="str">
        <f t="shared" si="17"/>
        <v/>
      </c>
      <c r="F79" s="42" t="str">
        <f t="shared" si="18"/>
        <v/>
      </c>
      <c r="G79" s="42" t="str">
        <f t="shared" si="19"/>
        <v/>
      </c>
      <c r="H79" s="38" t="str" cm="1">
        <f t="array" ref="H79:J79">IFERROR(CalcUnc(K79,L79,S79,T79,V79,X79,AD79,AE79,N79:R79,Z79,AA79),"")</f>
        <v/>
      </c>
      <c r="I79" s="50" t="str">
        <v/>
      </c>
      <c r="J79" s="89" t="str">
        <v/>
      </c>
      <c r="K79" s="55"/>
      <c r="L79" s="56"/>
      <c r="M79" s="22"/>
      <c r="N79" s="52"/>
      <c r="O79" s="53"/>
      <c r="P79" s="53"/>
      <c r="Q79" s="98"/>
      <c r="R79" s="98"/>
      <c r="S79" s="101"/>
      <c r="T79" s="114"/>
      <c r="U79" s="59"/>
      <c r="V79" s="64"/>
      <c r="W79" s="61"/>
      <c r="X79" s="115"/>
      <c r="Y79" s="132" t="str" cm="1">
        <f t="array" ref="Y79">GetPolarity(X79,AE79)</f>
        <v/>
      </c>
      <c r="Z79" s="62"/>
      <c r="AA79" s="61"/>
      <c r="AB79" s="73" t="str">
        <f t="shared" si="12"/>
        <v/>
      </c>
      <c r="AC79" s="73" t="str">
        <f t="shared" si="13"/>
        <v/>
      </c>
      <c r="AD79" s="62"/>
      <c r="AE79" s="61"/>
      <c r="AF79" s="21" t="str">
        <f t="shared" si="14"/>
        <v/>
      </c>
      <c r="AG79" s="28" t="str" cm="1">
        <f t="array" ref="AG79">FilterSpecialCharacters(X79)</f>
        <v/>
      </c>
      <c r="AH79" s="74" t="str">
        <f t="shared" si="15"/>
        <v xml:space="preserve"> </v>
      </c>
    </row>
    <row r="80" spans="1:34" x14ac:dyDescent="0.25">
      <c r="A80" s="121" t="str" cm="1">
        <f t="array" ref="A80">IfEmpty(TRIM(_xlfn.CONCAT(C80:H80)),"",CRC32HASH(_xlfn.CONCAT(C80:H80)))</f>
        <v/>
      </c>
      <c r="B80" s="10" t="str">
        <f>IFERROR(VLOOKUP(J80,Items[],2,FALSE),"")</f>
        <v/>
      </c>
      <c r="C80" s="34" t="str" cm="1">
        <f t="array" ref="C80">W80 &amp; " " &amp; IfEmpty(U80, AG80)</f>
        <v xml:space="preserve"> </v>
      </c>
      <c r="D80" s="43" t="str">
        <f t="shared" si="16"/>
        <v xml:space="preserve">  </v>
      </c>
      <c r="E80" s="57" t="str">
        <f t="shared" si="17"/>
        <v/>
      </c>
      <c r="F80" s="41" t="str">
        <f t="shared" si="18"/>
        <v/>
      </c>
      <c r="G80" s="41" t="str">
        <f t="shared" si="19"/>
        <v/>
      </c>
      <c r="H80" s="35" t="str" cm="1">
        <f t="array" ref="H80:J80">IFERROR(CalcUnc(K80,L80,S80,T80,V80,X80,AD80,AE80,N80:R80,Z80,AA80),"")</f>
        <v/>
      </c>
      <c r="I80" s="50" t="str">
        <v/>
      </c>
      <c r="J80" s="89" t="str">
        <v/>
      </c>
      <c r="K80" s="55"/>
      <c r="L80" s="56"/>
      <c r="M80" s="22"/>
      <c r="N80" s="52"/>
      <c r="O80" s="53"/>
      <c r="P80" s="53"/>
      <c r="Q80" s="98"/>
      <c r="R80" s="98"/>
      <c r="S80" s="101"/>
      <c r="T80" s="114"/>
      <c r="U80" s="59"/>
      <c r="V80" s="64"/>
      <c r="W80" s="61"/>
      <c r="X80" s="115"/>
      <c r="Y80" s="132" t="str" cm="1">
        <f t="array" ref="Y80">GetPolarity(X80,AE80)</f>
        <v/>
      </c>
      <c r="Z80" s="62"/>
      <c r="AA80" s="61"/>
      <c r="AB80" s="73" t="str">
        <f t="shared" si="12"/>
        <v/>
      </c>
      <c r="AC80" s="73" t="str">
        <f t="shared" si="13"/>
        <v/>
      </c>
      <c r="AD80" s="62"/>
      <c r="AE80" s="61"/>
      <c r="AF80" s="21" t="str">
        <f t="shared" si="14"/>
        <v/>
      </c>
      <c r="AG80" s="28" t="str" cm="1">
        <f t="array" ref="AG80">FilterSpecialCharacters(X80)</f>
        <v/>
      </c>
      <c r="AH80" s="74" t="str">
        <f t="shared" si="15"/>
        <v xml:space="preserve"> </v>
      </c>
    </row>
    <row r="81" spans="1:34" x14ac:dyDescent="0.25">
      <c r="A81" s="121" t="str" cm="1">
        <f t="array" ref="A81">IfEmpty(TRIM(_xlfn.CONCAT(C81:H81)),"",CRC32HASH(_xlfn.CONCAT(C81:H81)))</f>
        <v/>
      </c>
      <c r="B81" s="39" t="str">
        <f>IFERROR(VLOOKUP(J81,Items[],2,FALSE),"")</f>
        <v/>
      </c>
      <c r="C81" s="36" t="str" cm="1">
        <f t="array" ref="C81">W81 &amp; " " &amp; IfEmpty(U81, FilterSpecialCharacters(X81))</f>
        <v xml:space="preserve"> </v>
      </c>
      <c r="D81" s="37" t="str">
        <f t="shared" si="16"/>
        <v xml:space="preserve">  </v>
      </c>
      <c r="E81" s="58" t="str">
        <f t="shared" si="17"/>
        <v/>
      </c>
      <c r="F81" s="42" t="str">
        <f t="shared" si="18"/>
        <v/>
      </c>
      <c r="G81" s="42" t="str">
        <f t="shared" si="19"/>
        <v/>
      </c>
      <c r="H81" s="38" t="str" cm="1">
        <f t="array" ref="H81:J81">IFERROR(CalcUnc(K81,L81,S81,T81,V81,X81,AD81,AE81,N81:R81,Z81,AA81),"")</f>
        <v/>
      </c>
      <c r="I81" s="50" t="str">
        <v/>
      </c>
      <c r="J81" s="89" t="str">
        <v/>
      </c>
      <c r="K81" s="55"/>
      <c r="L81" s="56"/>
      <c r="M81" s="22"/>
      <c r="N81" s="52"/>
      <c r="O81" s="53"/>
      <c r="P81" s="53"/>
      <c r="Q81" s="98"/>
      <c r="R81" s="98"/>
      <c r="S81" s="101"/>
      <c r="T81" s="114"/>
      <c r="U81" s="59"/>
      <c r="V81" s="64"/>
      <c r="W81" s="61"/>
      <c r="X81" s="115"/>
      <c r="Y81" s="132" t="str" cm="1">
        <f t="array" ref="Y81">GetPolarity(X81,AE81)</f>
        <v/>
      </c>
      <c r="Z81" s="62"/>
      <c r="AA81" s="61"/>
      <c r="AB81" s="73" t="str">
        <f t="shared" si="12"/>
        <v/>
      </c>
      <c r="AC81" s="73" t="str">
        <f t="shared" si="13"/>
        <v/>
      </c>
      <c r="AD81" s="62"/>
      <c r="AE81" s="61"/>
      <c r="AF81" s="21" t="str">
        <f t="shared" si="14"/>
        <v/>
      </c>
      <c r="AG81" s="28" t="str" cm="1">
        <f t="array" ref="AG81">FilterSpecialCharacters(X81)</f>
        <v/>
      </c>
      <c r="AH81" s="74" t="str">
        <f t="shared" si="15"/>
        <v xml:space="preserve"> </v>
      </c>
    </row>
    <row r="82" spans="1:34" x14ac:dyDescent="0.25">
      <c r="A82" s="121" t="str" cm="1">
        <f t="array" ref="A82">IfEmpty(TRIM(_xlfn.CONCAT(C82:H82)),"",CRC32HASH(_xlfn.CONCAT(C82:H82)))</f>
        <v/>
      </c>
      <c r="B82" s="10" t="str">
        <f>IFERROR(VLOOKUP(J82,Items[],2,FALSE),"")</f>
        <v/>
      </c>
      <c r="C82" s="34" t="str" cm="1">
        <f t="array" ref="C82">W82 &amp; " " &amp; IfEmpty(U82, AG82)</f>
        <v xml:space="preserve"> </v>
      </c>
      <c r="D82" s="43" t="str">
        <f t="shared" si="16"/>
        <v xml:space="preserve">  </v>
      </c>
      <c r="E82" s="57" t="str">
        <f t="shared" si="17"/>
        <v/>
      </c>
      <c r="F82" s="41" t="str">
        <f t="shared" si="18"/>
        <v/>
      </c>
      <c r="G82" s="41" t="str">
        <f t="shared" si="19"/>
        <v/>
      </c>
      <c r="H82" s="35" t="str" cm="1">
        <f t="array" ref="H82:J82">IFERROR(CalcUnc(K82,L82,S82,T82,V82,X82,AD82,AE82,N82:R82,Z82,AA82),"")</f>
        <v/>
      </c>
      <c r="I82" s="50" t="str">
        <v/>
      </c>
      <c r="J82" s="89" t="str">
        <v/>
      </c>
      <c r="K82" s="55"/>
      <c r="L82" s="56"/>
      <c r="M82" s="22"/>
      <c r="N82" s="52"/>
      <c r="O82" s="53"/>
      <c r="P82" s="53"/>
      <c r="Q82" s="98"/>
      <c r="R82" s="98"/>
      <c r="S82" s="101"/>
      <c r="T82" s="114"/>
      <c r="U82" s="59"/>
      <c r="V82" s="64"/>
      <c r="W82" s="61"/>
      <c r="X82" s="115"/>
      <c r="Y82" s="132" t="str" cm="1">
        <f t="array" ref="Y82">GetPolarity(X82,AE82)</f>
        <v/>
      </c>
      <c r="Z82" s="62"/>
      <c r="AA82" s="61"/>
      <c r="AB82" s="73" t="str">
        <f t="shared" si="12"/>
        <v/>
      </c>
      <c r="AC82" s="73" t="str">
        <f t="shared" si="13"/>
        <v/>
      </c>
      <c r="AD82" s="62"/>
      <c r="AE82" s="61"/>
      <c r="AF82" s="21" t="str">
        <f t="shared" si="14"/>
        <v/>
      </c>
      <c r="AG82" s="28" t="str" cm="1">
        <f t="array" ref="AG82">FilterSpecialCharacters(X82)</f>
        <v/>
      </c>
      <c r="AH82" s="74" t="str">
        <f t="shared" si="15"/>
        <v xml:space="preserve"> </v>
      </c>
    </row>
    <row r="83" spans="1:34" x14ac:dyDescent="0.25">
      <c r="A83" s="121" t="str" cm="1">
        <f t="array" ref="A83">IfEmpty(TRIM(_xlfn.CONCAT(C83:H83)),"",CRC32HASH(_xlfn.CONCAT(C83:H83)))</f>
        <v/>
      </c>
      <c r="B83" s="39" t="str">
        <f>IFERROR(VLOOKUP(J83,Items[],2,FALSE),"")</f>
        <v/>
      </c>
      <c r="C83" s="36" t="str" cm="1">
        <f t="array" ref="C83">W83 &amp; " " &amp; IfEmpty(U83, FilterSpecialCharacters(X83))</f>
        <v xml:space="preserve"> </v>
      </c>
      <c r="D83" s="37" t="str">
        <f t="shared" si="16"/>
        <v xml:space="preserve">  </v>
      </c>
      <c r="E83" s="58" t="str">
        <f t="shared" si="17"/>
        <v/>
      </c>
      <c r="F83" s="42" t="str">
        <f t="shared" si="18"/>
        <v/>
      </c>
      <c r="G83" s="42" t="str">
        <f t="shared" si="19"/>
        <v/>
      </c>
      <c r="H83" s="38" t="str" cm="1">
        <f t="array" ref="H83:J83">IFERROR(CalcUnc(K83,L83,S83,T83,V83,X83,AD83,AE83,N83:R83,Z83,AA83),"")</f>
        <v/>
      </c>
      <c r="I83" s="50" t="str">
        <v/>
      </c>
      <c r="J83" s="89" t="str">
        <v/>
      </c>
      <c r="K83" s="55"/>
      <c r="L83" s="56"/>
      <c r="M83" s="22"/>
      <c r="N83" s="52"/>
      <c r="O83" s="53"/>
      <c r="P83" s="53"/>
      <c r="Q83" s="98"/>
      <c r="R83" s="98"/>
      <c r="S83" s="101"/>
      <c r="T83" s="114"/>
      <c r="U83" s="59"/>
      <c r="V83" s="64"/>
      <c r="W83" s="61"/>
      <c r="X83" s="115"/>
      <c r="Y83" s="132" t="str" cm="1">
        <f t="array" ref="Y83">GetPolarity(X83,AE83)</f>
        <v/>
      </c>
      <c r="Z83" s="62"/>
      <c r="AA83" s="61"/>
      <c r="AB83" s="73" t="str">
        <f t="shared" si="12"/>
        <v/>
      </c>
      <c r="AC83" s="73" t="str">
        <f t="shared" si="13"/>
        <v/>
      </c>
      <c r="AD83" s="62"/>
      <c r="AE83" s="61"/>
      <c r="AF83" s="21" t="str">
        <f t="shared" si="14"/>
        <v/>
      </c>
      <c r="AG83" s="28" t="str" cm="1">
        <f t="array" ref="AG83">FilterSpecialCharacters(X83)</f>
        <v/>
      </c>
      <c r="AH83" s="74" t="str">
        <f t="shared" si="15"/>
        <v xml:space="preserve"> </v>
      </c>
    </row>
    <row r="84" spans="1:34" x14ac:dyDescent="0.25">
      <c r="A84" s="121" t="str" cm="1">
        <f t="array" ref="A84">IfEmpty(TRIM(_xlfn.CONCAT(C84:H84)),"",CRC32HASH(_xlfn.CONCAT(C84:H84)))</f>
        <v/>
      </c>
      <c r="B84" s="10" t="str">
        <f>IFERROR(VLOOKUP(J84,Items[],2,FALSE),"")</f>
        <v/>
      </c>
      <c r="C84" s="34" t="str" cm="1">
        <f t="array" ref="C84">W84 &amp; " " &amp; IfEmpty(U84, AG84)</f>
        <v xml:space="preserve"> </v>
      </c>
      <c r="D84" s="43" t="str">
        <f t="shared" si="16"/>
        <v xml:space="preserve">  </v>
      </c>
      <c r="E84" s="57" t="str">
        <f t="shared" si="17"/>
        <v/>
      </c>
      <c r="F84" s="41" t="str">
        <f t="shared" si="18"/>
        <v/>
      </c>
      <c r="G84" s="41" t="str">
        <f t="shared" si="19"/>
        <v/>
      </c>
      <c r="H84" s="35" t="str" cm="1">
        <f t="array" ref="H84:J84">IFERROR(CalcUnc(K84,L84,S84,T84,V84,X84,AD84,AE84,N84:R84,Z84,AA84),"")</f>
        <v/>
      </c>
      <c r="I84" s="50" t="str">
        <v/>
      </c>
      <c r="J84" s="89" t="str">
        <v/>
      </c>
      <c r="K84" s="55"/>
      <c r="L84" s="56"/>
      <c r="M84" s="22"/>
      <c r="N84" s="52"/>
      <c r="O84" s="53"/>
      <c r="P84" s="53"/>
      <c r="Q84" s="98"/>
      <c r="R84" s="98"/>
      <c r="S84" s="101"/>
      <c r="T84" s="114"/>
      <c r="U84" s="59"/>
      <c r="V84" s="64"/>
      <c r="W84" s="61"/>
      <c r="X84" s="115"/>
      <c r="Y84" s="132" t="str" cm="1">
        <f t="array" ref="Y84">GetPolarity(X84,AE84)</f>
        <v/>
      </c>
      <c r="Z84" s="62"/>
      <c r="AA84" s="61"/>
      <c r="AB84" s="73" t="str">
        <f t="shared" si="12"/>
        <v/>
      </c>
      <c r="AC84" s="73" t="str">
        <f t="shared" si="13"/>
        <v/>
      </c>
      <c r="AD84" s="62"/>
      <c r="AE84" s="61"/>
      <c r="AF84" s="21" t="str">
        <f t="shared" si="14"/>
        <v/>
      </c>
      <c r="AG84" s="28" t="str" cm="1">
        <f t="array" ref="AG84">FilterSpecialCharacters(X84)</f>
        <v/>
      </c>
      <c r="AH84" s="74" t="str">
        <f t="shared" si="15"/>
        <v xml:space="preserve"> </v>
      </c>
    </row>
    <row r="85" spans="1:34" x14ac:dyDescent="0.25">
      <c r="A85" s="121" t="str" cm="1">
        <f t="array" ref="A85">IfEmpty(TRIM(_xlfn.CONCAT(C85:H85)),"",CRC32HASH(_xlfn.CONCAT(C85:H85)))</f>
        <v/>
      </c>
      <c r="B85" s="39" t="str">
        <f>IFERROR(VLOOKUP(J85,Items[],2,FALSE),"")</f>
        <v/>
      </c>
      <c r="C85" s="36" t="str" cm="1">
        <f t="array" ref="C85">W85 &amp; " " &amp; IfEmpty(U85, FilterSpecialCharacters(X85))</f>
        <v xml:space="preserve"> </v>
      </c>
      <c r="D85" s="37" t="str">
        <f t="shared" si="16"/>
        <v xml:space="preserve">  </v>
      </c>
      <c r="E85" s="58" t="str">
        <f t="shared" si="17"/>
        <v/>
      </c>
      <c r="F85" s="42" t="str">
        <f t="shared" si="18"/>
        <v/>
      </c>
      <c r="G85" s="42" t="str">
        <f t="shared" si="19"/>
        <v/>
      </c>
      <c r="H85" s="38" t="str" cm="1">
        <f t="array" ref="H85:J85">IFERROR(CalcUnc(K85,L85,S85,T85,V85,X85,AD85,AE85,N85:R85,Z85,AA85),"")</f>
        <v/>
      </c>
      <c r="I85" s="50" t="str">
        <v/>
      </c>
      <c r="J85" s="89" t="str">
        <v/>
      </c>
      <c r="K85" s="55"/>
      <c r="L85" s="56"/>
      <c r="M85" s="22"/>
      <c r="N85" s="52"/>
      <c r="O85" s="53"/>
      <c r="P85" s="53"/>
      <c r="Q85" s="98"/>
      <c r="R85" s="98"/>
      <c r="S85" s="101"/>
      <c r="T85" s="114"/>
      <c r="U85" s="59"/>
      <c r="V85" s="64"/>
      <c r="W85" s="61"/>
      <c r="X85" s="115"/>
      <c r="Y85" s="132" t="str" cm="1">
        <f t="array" ref="Y85">GetPolarity(X85,AE85)</f>
        <v/>
      </c>
      <c r="Z85" s="62"/>
      <c r="AA85" s="61"/>
      <c r="AB85" s="73" t="str">
        <f t="shared" si="12"/>
        <v/>
      </c>
      <c r="AC85" s="73" t="str">
        <f t="shared" si="13"/>
        <v/>
      </c>
      <c r="AD85" s="62"/>
      <c r="AE85" s="61"/>
      <c r="AF85" s="21" t="str">
        <f t="shared" si="14"/>
        <v/>
      </c>
      <c r="AG85" s="28" t="str" cm="1">
        <f t="array" ref="AG85">FilterSpecialCharacters(X85)</f>
        <v/>
      </c>
      <c r="AH85" s="74" t="str">
        <f t="shared" si="15"/>
        <v xml:space="preserve"> </v>
      </c>
    </row>
    <row r="86" spans="1:34" x14ac:dyDescent="0.25">
      <c r="A86" s="121" t="str" cm="1">
        <f t="array" ref="A86">IfEmpty(TRIM(_xlfn.CONCAT(C86:H86)),"",CRC32HASH(_xlfn.CONCAT(C86:H86)))</f>
        <v/>
      </c>
      <c r="B86" s="10" t="str">
        <f>IFERROR(VLOOKUP(J86,Items[],2,FALSE),"")</f>
        <v/>
      </c>
      <c r="C86" s="34" t="str" cm="1">
        <f t="array" ref="C86">W86 &amp; " " &amp; IfEmpty(U86, AG86)</f>
        <v xml:space="preserve"> </v>
      </c>
      <c r="D86" s="43" t="str">
        <f t="shared" si="16"/>
        <v xml:space="preserve">  </v>
      </c>
      <c r="E86" s="57" t="str">
        <f t="shared" si="17"/>
        <v/>
      </c>
      <c r="F86" s="41" t="str">
        <f t="shared" si="18"/>
        <v/>
      </c>
      <c r="G86" s="41" t="str">
        <f t="shared" si="19"/>
        <v/>
      </c>
      <c r="H86" s="35" t="str" cm="1">
        <f t="array" ref="H86:J86">IFERROR(CalcUnc(K86,L86,S86,T86,V86,X86,AD86,AE86,N86:R86,Z86,AA86),"")</f>
        <v/>
      </c>
      <c r="I86" s="50" t="str">
        <v/>
      </c>
      <c r="J86" s="89" t="str">
        <v/>
      </c>
      <c r="K86" s="55"/>
      <c r="L86" s="56"/>
      <c r="M86" s="22"/>
      <c r="N86" s="52"/>
      <c r="O86" s="53"/>
      <c r="P86" s="53"/>
      <c r="Q86" s="98"/>
      <c r="R86" s="98"/>
      <c r="S86" s="101"/>
      <c r="T86" s="114"/>
      <c r="U86" s="59"/>
      <c r="V86" s="64"/>
      <c r="W86" s="61"/>
      <c r="X86" s="115"/>
      <c r="Y86" s="132" t="str" cm="1">
        <f t="array" ref="Y86">GetPolarity(X86,AE86)</f>
        <v/>
      </c>
      <c r="Z86" s="62"/>
      <c r="AA86" s="61"/>
      <c r="AB86" s="73" t="str">
        <f t="shared" si="12"/>
        <v/>
      </c>
      <c r="AC86" s="73" t="str">
        <f t="shared" si="13"/>
        <v/>
      </c>
      <c r="AD86" s="62"/>
      <c r="AE86" s="61"/>
      <c r="AF86" s="21" t="str">
        <f t="shared" si="14"/>
        <v/>
      </c>
      <c r="AG86" s="28" t="str" cm="1">
        <f t="array" ref="AG86">FilterSpecialCharacters(X86)</f>
        <v/>
      </c>
      <c r="AH86" s="74" t="str">
        <f t="shared" si="15"/>
        <v xml:space="preserve"> </v>
      </c>
    </row>
    <row r="87" spans="1:34" x14ac:dyDescent="0.25">
      <c r="A87" s="121" t="str" cm="1">
        <f t="array" ref="A87">IfEmpty(TRIM(_xlfn.CONCAT(C87:H87)),"",CRC32HASH(_xlfn.CONCAT(C87:H87)))</f>
        <v/>
      </c>
      <c r="B87" s="39" t="str">
        <f>IFERROR(VLOOKUP(J87,Items[],2,FALSE),"")</f>
        <v/>
      </c>
      <c r="C87" s="36" t="str" cm="1">
        <f t="array" ref="C87">W87 &amp; " " &amp; IfEmpty(U87, FilterSpecialCharacters(X87))</f>
        <v xml:space="preserve"> </v>
      </c>
      <c r="D87" s="37" t="str">
        <f t="shared" si="16"/>
        <v xml:space="preserve">  </v>
      </c>
      <c r="E87" s="58" t="str">
        <f t="shared" si="17"/>
        <v/>
      </c>
      <c r="F87" s="42" t="str">
        <f t="shared" si="18"/>
        <v/>
      </c>
      <c r="G87" s="42" t="str">
        <f t="shared" si="19"/>
        <v/>
      </c>
      <c r="H87" s="38" t="str" cm="1">
        <f t="array" ref="H87:J87">IFERROR(CalcUnc(K87,L87,S87,T87,V87,X87,AD87,AE87,N87:R87,Z87,AA87),"")</f>
        <v/>
      </c>
      <c r="I87" s="50" t="str">
        <v/>
      </c>
      <c r="J87" s="89" t="str">
        <v/>
      </c>
      <c r="K87" s="55"/>
      <c r="L87" s="56"/>
      <c r="M87" s="22"/>
      <c r="N87" s="52"/>
      <c r="O87" s="53"/>
      <c r="P87" s="53"/>
      <c r="Q87" s="98"/>
      <c r="R87" s="98"/>
      <c r="S87" s="101"/>
      <c r="T87" s="114"/>
      <c r="U87" s="59"/>
      <c r="V87" s="64"/>
      <c r="W87" s="61"/>
      <c r="X87" s="115"/>
      <c r="Y87" s="132" t="str" cm="1">
        <f t="array" ref="Y87">GetPolarity(X87,AE87)</f>
        <v/>
      </c>
      <c r="Z87" s="62"/>
      <c r="AA87" s="61"/>
      <c r="AB87" s="73" t="str">
        <f t="shared" si="12"/>
        <v/>
      </c>
      <c r="AC87" s="73" t="str">
        <f t="shared" si="13"/>
        <v/>
      </c>
      <c r="AD87" s="62"/>
      <c r="AE87" s="61"/>
      <c r="AF87" s="21" t="str">
        <f t="shared" si="14"/>
        <v/>
      </c>
      <c r="AG87" s="28" t="str" cm="1">
        <f t="array" ref="AG87">FilterSpecialCharacters(X87)</f>
        <v/>
      </c>
      <c r="AH87" s="74" t="str">
        <f t="shared" si="15"/>
        <v xml:space="preserve"> </v>
      </c>
    </row>
    <row r="88" spans="1:34" x14ac:dyDescent="0.25">
      <c r="A88" s="121" t="str" cm="1">
        <f t="array" ref="A88">IfEmpty(TRIM(_xlfn.CONCAT(C88:H88)),"",CRC32HASH(_xlfn.CONCAT(C88:H88)))</f>
        <v/>
      </c>
      <c r="B88" s="10" t="str">
        <f>IFERROR(VLOOKUP(J88,Items[],2,FALSE),"")</f>
        <v/>
      </c>
      <c r="C88" s="34" t="str" cm="1">
        <f t="array" ref="C88">W88 &amp; " " &amp; IfEmpty(U88, AG88)</f>
        <v xml:space="preserve"> </v>
      </c>
      <c r="D88" s="43" t="str">
        <f t="shared" si="16"/>
        <v xml:space="preserve">  </v>
      </c>
      <c r="E88" s="57" t="str">
        <f t="shared" si="17"/>
        <v/>
      </c>
      <c r="F88" s="41" t="str">
        <f t="shared" si="18"/>
        <v/>
      </c>
      <c r="G88" s="41" t="str">
        <f t="shared" si="19"/>
        <v/>
      </c>
      <c r="H88" s="35" t="str" cm="1">
        <f t="array" ref="H88:J88">IFERROR(CalcUnc(K88,L88,S88,T88,V88,X88,AD88,AE88,N88:R88,Z88,AA88),"")</f>
        <v/>
      </c>
      <c r="I88" s="50" t="str">
        <v/>
      </c>
      <c r="J88" s="89" t="str">
        <v/>
      </c>
      <c r="K88" s="55"/>
      <c r="L88" s="56"/>
      <c r="M88" s="22"/>
      <c r="N88" s="52"/>
      <c r="O88" s="53"/>
      <c r="P88" s="53"/>
      <c r="Q88" s="98"/>
      <c r="R88" s="98"/>
      <c r="S88" s="101"/>
      <c r="T88" s="114"/>
      <c r="U88" s="59"/>
      <c r="V88" s="64"/>
      <c r="W88" s="61"/>
      <c r="X88" s="115"/>
      <c r="Y88" s="132" t="str" cm="1">
        <f t="array" ref="Y88">GetPolarity(X88,AE88)</f>
        <v/>
      </c>
      <c r="Z88" s="62"/>
      <c r="AA88" s="61"/>
      <c r="AB88" s="73" t="str">
        <f t="shared" si="12"/>
        <v/>
      </c>
      <c r="AC88" s="73" t="str">
        <f t="shared" si="13"/>
        <v/>
      </c>
      <c r="AD88" s="62"/>
      <c r="AE88" s="61"/>
      <c r="AF88" s="21" t="str">
        <f t="shared" si="14"/>
        <v/>
      </c>
      <c r="AG88" s="28" t="str" cm="1">
        <f t="array" ref="AG88">FilterSpecialCharacters(X88)</f>
        <v/>
      </c>
      <c r="AH88" s="74" t="str">
        <f t="shared" si="15"/>
        <v xml:space="preserve"> </v>
      </c>
    </row>
    <row r="89" spans="1:34" x14ac:dyDescent="0.25">
      <c r="A89" s="121" t="str" cm="1">
        <f t="array" ref="A89">IfEmpty(TRIM(_xlfn.CONCAT(C89:H89)),"",CRC32HASH(_xlfn.CONCAT(C89:H89)))</f>
        <v/>
      </c>
      <c r="B89" s="39" t="str">
        <f>IFERROR(VLOOKUP(J89,Items[],2,FALSE),"")</f>
        <v/>
      </c>
      <c r="C89" s="36" t="str" cm="1">
        <f t="array" ref="C89">W89 &amp; " " &amp; IfEmpty(U89, FilterSpecialCharacters(X89))</f>
        <v xml:space="preserve"> </v>
      </c>
      <c r="D89" s="37" t="str">
        <f t="shared" si="16"/>
        <v xml:space="preserve">  </v>
      </c>
      <c r="E89" s="58" t="str">
        <f t="shared" si="17"/>
        <v/>
      </c>
      <c r="F89" s="42" t="str">
        <f t="shared" si="18"/>
        <v/>
      </c>
      <c r="G89" s="42" t="str">
        <f t="shared" si="19"/>
        <v/>
      </c>
      <c r="H89" s="38" t="str" cm="1">
        <f t="array" ref="H89:J89">IFERROR(CalcUnc(K89,L89,S89,T89,V89,X89,AD89,AE89,N89:R89,Z89,AA89),"")</f>
        <v/>
      </c>
      <c r="I89" s="50" t="str">
        <v/>
      </c>
      <c r="J89" s="89" t="str">
        <v/>
      </c>
      <c r="K89" s="55"/>
      <c r="L89" s="56"/>
      <c r="M89" s="22"/>
      <c r="N89" s="52"/>
      <c r="O89" s="53"/>
      <c r="P89" s="53"/>
      <c r="Q89" s="98"/>
      <c r="R89" s="98"/>
      <c r="S89" s="101"/>
      <c r="T89" s="114"/>
      <c r="U89" s="59"/>
      <c r="V89" s="64"/>
      <c r="W89" s="61"/>
      <c r="X89" s="115"/>
      <c r="Y89" s="132" t="str" cm="1">
        <f t="array" ref="Y89">GetPolarity(X89,AE89)</f>
        <v/>
      </c>
      <c r="Z89" s="62"/>
      <c r="AA89" s="61"/>
      <c r="AB89" s="73" t="str">
        <f t="shared" si="12"/>
        <v/>
      </c>
      <c r="AC89" s="73" t="str">
        <f t="shared" si="13"/>
        <v/>
      </c>
      <c r="AD89" s="62"/>
      <c r="AE89" s="61"/>
      <c r="AF89" s="21" t="str">
        <f t="shared" si="14"/>
        <v/>
      </c>
      <c r="AG89" s="28" t="str" cm="1">
        <f t="array" ref="AG89">FilterSpecialCharacters(X89)</f>
        <v/>
      </c>
      <c r="AH89" s="74" t="str">
        <f t="shared" si="15"/>
        <v xml:space="preserve"> </v>
      </c>
    </row>
    <row r="90" spans="1:34" x14ac:dyDescent="0.25">
      <c r="A90" s="121" t="str" cm="1">
        <f t="array" ref="A90">IfEmpty(TRIM(_xlfn.CONCAT(C90:H90)),"",CRC32HASH(_xlfn.CONCAT(C90:H90)))</f>
        <v/>
      </c>
      <c r="B90" s="10" t="str">
        <f>IFERROR(VLOOKUP(J90,Items[],2,FALSE),"")</f>
        <v/>
      </c>
      <c r="C90" s="34" t="str" cm="1">
        <f t="array" ref="C90">W90 &amp; " " &amp; IfEmpty(U90, AG90)</f>
        <v xml:space="preserve"> </v>
      </c>
      <c r="D90" s="43" t="str">
        <f t="shared" si="16"/>
        <v xml:space="preserve">  </v>
      </c>
      <c r="E90" s="57" t="str">
        <f t="shared" si="17"/>
        <v/>
      </c>
      <c r="F90" s="41" t="str">
        <f t="shared" si="18"/>
        <v/>
      </c>
      <c r="G90" s="41" t="str">
        <f t="shared" si="19"/>
        <v/>
      </c>
      <c r="H90" s="35" t="str" cm="1">
        <f t="array" ref="H90:J90">IFERROR(CalcUnc(K90,L90,S90,T90,V90,X90,AD90,AE90,N90:R90,Z90,AA90),"")</f>
        <v/>
      </c>
      <c r="I90" s="50" t="str">
        <v/>
      </c>
      <c r="J90" s="89" t="str">
        <v/>
      </c>
      <c r="K90" s="55"/>
      <c r="L90" s="56"/>
      <c r="M90" s="22"/>
      <c r="N90" s="52"/>
      <c r="O90" s="53"/>
      <c r="P90" s="53"/>
      <c r="Q90" s="98"/>
      <c r="R90" s="98"/>
      <c r="S90" s="101"/>
      <c r="T90" s="114"/>
      <c r="U90" s="59"/>
      <c r="V90" s="64"/>
      <c r="W90" s="61"/>
      <c r="X90" s="115"/>
      <c r="Y90" s="132" t="str" cm="1">
        <f t="array" ref="Y90">GetPolarity(X90,AE90)</f>
        <v/>
      </c>
      <c r="Z90" s="62"/>
      <c r="AA90" s="61"/>
      <c r="AB90" s="73" t="str">
        <f t="shared" si="12"/>
        <v/>
      </c>
      <c r="AC90" s="73" t="str">
        <f t="shared" si="13"/>
        <v/>
      </c>
      <c r="AD90" s="62"/>
      <c r="AE90" s="61"/>
      <c r="AF90" s="21" t="str">
        <f t="shared" si="14"/>
        <v/>
      </c>
      <c r="AG90" s="28" t="str" cm="1">
        <f t="array" ref="AG90">FilterSpecialCharacters(X90)</f>
        <v/>
      </c>
      <c r="AH90" s="74" t="str">
        <f t="shared" si="15"/>
        <v xml:space="preserve"> </v>
      </c>
    </row>
    <row r="91" spans="1:34" x14ac:dyDescent="0.25">
      <c r="A91" s="121" t="str" cm="1">
        <f t="array" ref="A91">IfEmpty(TRIM(_xlfn.CONCAT(C91:H91)),"",CRC32HASH(_xlfn.CONCAT(C91:H91)))</f>
        <v/>
      </c>
      <c r="B91" s="39" t="str">
        <f>IFERROR(VLOOKUP(J91,Items[],2,FALSE),"")</f>
        <v/>
      </c>
      <c r="C91" s="36" t="str" cm="1">
        <f t="array" ref="C91">W91 &amp; " " &amp; IfEmpty(U91, FilterSpecialCharacters(X91))</f>
        <v xml:space="preserve"> </v>
      </c>
      <c r="D91" s="37" t="str">
        <f t="shared" si="16"/>
        <v xml:space="preserve">  </v>
      </c>
      <c r="E91" s="58" t="str">
        <f t="shared" si="17"/>
        <v/>
      </c>
      <c r="F91" s="42" t="str">
        <f t="shared" si="18"/>
        <v/>
      </c>
      <c r="G91" s="42" t="str">
        <f t="shared" si="19"/>
        <v/>
      </c>
      <c r="H91" s="38" t="str" cm="1">
        <f t="array" ref="H91:J91">IFERROR(CalcUnc(K91,L91,S91,T91,V91,X91,AD91,AE91,N91:R91,Z91,AA91),"")</f>
        <v/>
      </c>
      <c r="I91" s="50" t="str">
        <v/>
      </c>
      <c r="J91" s="89" t="str">
        <v/>
      </c>
      <c r="K91" s="55"/>
      <c r="L91" s="56"/>
      <c r="M91" s="22"/>
      <c r="N91" s="52"/>
      <c r="O91" s="53"/>
      <c r="P91" s="53"/>
      <c r="Q91" s="98"/>
      <c r="R91" s="98"/>
      <c r="S91" s="101"/>
      <c r="T91" s="114"/>
      <c r="U91" s="59"/>
      <c r="V91" s="64"/>
      <c r="W91" s="61"/>
      <c r="X91" s="115"/>
      <c r="Y91" s="132" t="str" cm="1">
        <f t="array" ref="Y91">GetPolarity(X91,AE91)</f>
        <v/>
      </c>
      <c r="Z91" s="62"/>
      <c r="AA91" s="61"/>
      <c r="AB91" s="73" t="str">
        <f t="shared" si="12"/>
        <v/>
      </c>
      <c r="AC91" s="73" t="str">
        <f t="shared" si="13"/>
        <v/>
      </c>
      <c r="AD91" s="62"/>
      <c r="AE91" s="61"/>
      <c r="AF91" s="21" t="str">
        <f t="shared" si="14"/>
        <v/>
      </c>
      <c r="AG91" s="28" t="str" cm="1">
        <f t="array" ref="AG91">FilterSpecialCharacters(X91)</f>
        <v/>
      </c>
      <c r="AH91" s="74" t="str">
        <f t="shared" si="15"/>
        <v xml:space="preserve"> </v>
      </c>
    </row>
    <row r="92" spans="1:34" x14ac:dyDescent="0.25">
      <c r="A92" s="121" t="str" cm="1">
        <f t="array" ref="A92">IfEmpty(TRIM(_xlfn.CONCAT(C92:H92)),"",CRC32HASH(_xlfn.CONCAT(C92:H92)))</f>
        <v/>
      </c>
      <c r="B92" s="10" t="str">
        <f>IFERROR(VLOOKUP(J92,Items[],2,FALSE),"")</f>
        <v/>
      </c>
      <c r="C92" s="34" t="str" cm="1">
        <f t="array" ref="C92">W92 &amp; " " &amp; IfEmpty(U92, AG92)</f>
        <v xml:space="preserve"> </v>
      </c>
      <c r="D92" s="43" t="str">
        <f t="shared" si="16"/>
        <v xml:space="preserve">  </v>
      </c>
      <c r="E92" s="57" t="str">
        <f t="shared" si="17"/>
        <v/>
      </c>
      <c r="F92" s="41" t="str">
        <f t="shared" si="18"/>
        <v/>
      </c>
      <c r="G92" s="41" t="str">
        <f t="shared" si="19"/>
        <v/>
      </c>
      <c r="H92" s="35" t="str" cm="1">
        <f t="array" ref="H92:J92">IFERROR(CalcUnc(K92,L92,S92,T92,V92,X92,AD92,AE92,N92:R92,Z92,AA92),"")</f>
        <v/>
      </c>
      <c r="I92" s="50" t="str">
        <v/>
      </c>
      <c r="J92" s="89" t="str">
        <v/>
      </c>
      <c r="K92" s="55"/>
      <c r="L92" s="56"/>
      <c r="M92" s="22"/>
      <c r="N92" s="52"/>
      <c r="O92" s="53"/>
      <c r="P92" s="53"/>
      <c r="Q92" s="98"/>
      <c r="R92" s="98"/>
      <c r="S92" s="101"/>
      <c r="T92" s="114"/>
      <c r="U92" s="59"/>
      <c r="V92" s="64"/>
      <c r="W92" s="61"/>
      <c r="X92" s="115"/>
      <c r="Y92" s="132" t="str" cm="1">
        <f t="array" ref="Y92">GetPolarity(X92,AE92)</f>
        <v/>
      </c>
      <c r="Z92" s="62"/>
      <c r="AA92" s="61"/>
      <c r="AB92" s="73" t="str">
        <f t="shared" si="12"/>
        <v/>
      </c>
      <c r="AC92" s="73" t="str">
        <f t="shared" si="13"/>
        <v/>
      </c>
      <c r="AD92" s="62"/>
      <c r="AE92" s="61"/>
      <c r="AF92" s="21" t="str">
        <f t="shared" si="14"/>
        <v/>
      </c>
      <c r="AG92" s="28" t="str" cm="1">
        <f t="array" ref="AG92">FilterSpecialCharacters(X92)</f>
        <v/>
      </c>
      <c r="AH92" s="74" t="str">
        <f t="shared" si="15"/>
        <v xml:space="preserve"> </v>
      </c>
    </row>
    <row r="93" spans="1:34" x14ac:dyDescent="0.25">
      <c r="A93" s="121" t="str" cm="1">
        <f t="array" ref="A93">IfEmpty(TRIM(_xlfn.CONCAT(C93:H93)),"",CRC32HASH(_xlfn.CONCAT(C93:H93)))</f>
        <v/>
      </c>
      <c r="B93" s="39" t="str">
        <f>IFERROR(VLOOKUP(J93,Items[],2,FALSE),"")</f>
        <v/>
      </c>
      <c r="C93" s="36" t="str" cm="1">
        <f t="array" ref="C93">W93 &amp; " " &amp; IfEmpty(U93, FilterSpecialCharacters(X93))</f>
        <v xml:space="preserve"> </v>
      </c>
      <c r="D93" s="37" t="str">
        <f t="shared" si="16"/>
        <v xml:space="preserve">  </v>
      </c>
      <c r="E93" s="58" t="str">
        <f t="shared" si="17"/>
        <v/>
      </c>
      <c r="F93" s="42" t="str">
        <f t="shared" si="18"/>
        <v/>
      </c>
      <c r="G93" s="42" t="str">
        <f t="shared" si="19"/>
        <v/>
      </c>
      <c r="H93" s="38" t="str" cm="1">
        <f t="array" ref="H93:J93">IFERROR(CalcUnc(K93,L93,S93,T93,V93,X93,AD93,AE93,N93:R93,Z93,AA93),"")</f>
        <v/>
      </c>
      <c r="I93" s="50" t="str">
        <v/>
      </c>
      <c r="J93" s="89" t="str">
        <v/>
      </c>
      <c r="K93" s="55"/>
      <c r="L93" s="56"/>
      <c r="M93" s="22"/>
      <c r="N93" s="52"/>
      <c r="O93" s="53"/>
      <c r="P93" s="53"/>
      <c r="Q93" s="98"/>
      <c r="R93" s="98"/>
      <c r="S93" s="101"/>
      <c r="T93" s="114"/>
      <c r="U93" s="59"/>
      <c r="V93" s="64"/>
      <c r="W93" s="61"/>
      <c r="X93" s="115"/>
      <c r="Y93" s="132" t="str" cm="1">
        <f t="array" ref="Y93">GetPolarity(X93,AE93)</f>
        <v/>
      </c>
      <c r="Z93" s="62"/>
      <c r="AA93" s="61"/>
      <c r="AB93" s="73" t="str">
        <f t="shared" si="12"/>
        <v/>
      </c>
      <c r="AC93" s="73" t="str">
        <f t="shared" si="13"/>
        <v/>
      </c>
      <c r="AD93" s="62"/>
      <c r="AE93" s="61"/>
      <c r="AF93" s="21" t="str">
        <f t="shared" si="14"/>
        <v/>
      </c>
      <c r="AG93" s="28" t="str" cm="1">
        <f t="array" ref="AG93">FilterSpecialCharacters(X93)</f>
        <v/>
      </c>
      <c r="AH93" s="74" t="str">
        <f t="shared" si="15"/>
        <v xml:space="preserve"> </v>
      </c>
    </row>
    <row r="94" spans="1:34" x14ac:dyDescent="0.25">
      <c r="A94" s="121" t="str" cm="1">
        <f t="array" ref="A94">IfEmpty(TRIM(_xlfn.CONCAT(C94:H94)),"",CRC32HASH(_xlfn.CONCAT(C94:H94)))</f>
        <v/>
      </c>
      <c r="B94" s="10" t="str">
        <f>IFERROR(VLOOKUP(J94,Items[],2,FALSE),"")</f>
        <v/>
      </c>
      <c r="C94" s="34" t="str" cm="1">
        <f t="array" ref="C94">W94 &amp; " " &amp; IfEmpty(U94, AG94)</f>
        <v xml:space="preserve"> </v>
      </c>
      <c r="D94" s="43" t="str">
        <f t="shared" si="16"/>
        <v xml:space="preserve">  </v>
      </c>
      <c r="E94" s="57" t="str">
        <f t="shared" si="17"/>
        <v/>
      </c>
      <c r="F94" s="41" t="str">
        <f t="shared" si="18"/>
        <v/>
      </c>
      <c r="G94" s="41" t="str">
        <f t="shared" si="19"/>
        <v/>
      </c>
      <c r="H94" s="35" t="str" cm="1">
        <f t="array" ref="H94:J94">IFERROR(CalcUnc(K94,L94,S94,T94,V94,X94,AD94,AE94,N94:R94,Z94,AA94),"")</f>
        <v/>
      </c>
      <c r="I94" s="50" t="str">
        <v/>
      </c>
      <c r="J94" s="89" t="str">
        <v/>
      </c>
      <c r="K94" s="55"/>
      <c r="L94" s="56"/>
      <c r="M94" s="22"/>
      <c r="N94" s="52"/>
      <c r="O94" s="53"/>
      <c r="P94" s="53"/>
      <c r="Q94" s="98"/>
      <c r="R94" s="98"/>
      <c r="S94" s="101"/>
      <c r="T94" s="114"/>
      <c r="U94" s="59"/>
      <c r="V94" s="64"/>
      <c r="W94" s="61"/>
      <c r="X94" s="115"/>
      <c r="Y94" s="132" t="str" cm="1">
        <f t="array" ref="Y94">GetPolarity(X94,AE94)</f>
        <v/>
      </c>
      <c r="Z94" s="62"/>
      <c r="AA94" s="61"/>
      <c r="AB94" s="73" t="str">
        <f t="shared" si="12"/>
        <v/>
      </c>
      <c r="AC94" s="73" t="str">
        <f t="shared" si="13"/>
        <v/>
      </c>
      <c r="AD94" s="62"/>
      <c r="AE94" s="61"/>
      <c r="AF94" s="21" t="str">
        <f t="shared" si="14"/>
        <v/>
      </c>
      <c r="AG94" s="28" t="str" cm="1">
        <f t="array" ref="AG94">FilterSpecialCharacters(X94)</f>
        <v/>
      </c>
      <c r="AH94" s="74" t="str">
        <f t="shared" si="15"/>
        <v xml:space="preserve"> </v>
      </c>
    </row>
    <row r="95" spans="1:34" x14ac:dyDescent="0.25">
      <c r="A95" s="121" t="str" cm="1">
        <f t="array" ref="A95">IfEmpty(TRIM(_xlfn.CONCAT(C95:H95)),"",CRC32HASH(_xlfn.CONCAT(C95:H95)))</f>
        <v/>
      </c>
      <c r="B95" s="39" t="str">
        <f>IFERROR(VLOOKUP(J95,Items[],2,FALSE),"")</f>
        <v/>
      </c>
      <c r="C95" s="36" t="str" cm="1">
        <f t="array" ref="C95">W95 &amp; " " &amp; IfEmpty(U95, FilterSpecialCharacters(X95))</f>
        <v xml:space="preserve"> </v>
      </c>
      <c r="D95" s="37" t="str">
        <f t="shared" si="16"/>
        <v xml:space="preserve">  </v>
      </c>
      <c r="E95" s="58" t="str">
        <f t="shared" si="17"/>
        <v/>
      </c>
      <c r="F95" s="42" t="str">
        <f t="shared" si="18"/>
        <v/>
      </c>
      <c r="G95" s="42" t="str">
        <f t="shared" si="19"/>
        <v/>
      </c>
      <c r="H95" s="38" t="str" cm="1">
        <f t="array" ref="H95:J95">IFERROR(CalcUnc(K95,L95,S95,T95,V95,X95,AD95,AE95,N95:R95,Z95,AA95),"")</f>
        <v/>
      </c>
      <c r="I95" s="50" t="str">
        <v/>
      </c>
      <c r="J95" s="89" t="str">
        <v/>
      </c>
      <c r="K95" s="55"/>
      <c r="L95" s="56"/>
      <c r="M95" s="22"/>
      <c r="N95" s="52"/>
      <c r="O95" s="53"/>
      <c r="P95" s="53"/>
      <c r="Q95" s="98"/>
      <c r="R95" s="98"/>
      <c r="S95" s="101"/>
      <c r="T95" s="114"/>
      <c r="U95" s="59"/>
      <c r="V95" s="64"/>
      <c r="W95" s="61"/>
      <c r="X95" s="115"/>
      <c r="Y95" s="132" t="str" cm="1">
        <f t="array" ref="Y95">GetPolarity(X95,AE95)</f>
        <v/>
      </c>
      <c r="Z95" s="62"/>
      <c r="AA95" s="61"/>
      <c r="AB95" s="73" t="str">
        <f t="shared" si="12"/>
        <v/>
      </c>
      <c r="AC95" s="73" t="str">
        <f t="shared" si="13"/>
        <v/>
      </c>
      <c r="AD95" s="62"/>
      <c r="AE95" s="61"/>
      <c r="AF95" s="21" t="str">
        <f t="shared" si="14"/>
        <v/>
      </c>
      <c r="AG95" s="28" t="str" cm="1">
        <f t="array" ref="AG95">FilterSpecialCharacters(X95)</f>
        <v/>
      </c>
      <c r="AH95" s="74" t="str">
        <f t="shared" si="15"/>
        <v xml:space="preserve"> </v>
      </c>
    </row>
    <row r="96" spans="1:34" x14ac:dyDescent="0.25">
      <c r="A96" s="121" t="str" cm="1">
        <f t="array" ref="A96">IfEmpty(TRIM(_xlfn.CONCAT(C96:H96)),"",CRC32HASH(_xlfn.CONCAT(C96:H96)))</f>
        <v/>
      </c>
      <c r="B96" s="10" t="str">
        <f>IFERROR(VLOOKUP(J96,Items[],2,FALSE),"")</f>
        <v/>
      </c>
      <c r="C96" s="34" t="str" cm="1">
        <f t="array" ref="C96">W96 &amp; " " &amp; IfEmpty(U96, AG96)</f>
        <v xml:space="preserve"> </v>
      </c>
      <c r="D96" s="43" t="str">
        <f t="shared" si="16"/>
        <v xml:space="preserve">  </v>
      </c>
      <c r="E96" s="57" t="str">
        <f t="shared" si="17"/>
        <v/>
      </c>
      <c r="F96" s="41" t="str">
        <f t="shared" si="18"/>
        <v/>
      </c>
      <c r="G96" s="41" t="str">
        <f t="shared" si="19"/>
        <v/>
      </c>
      <c r="H96" s="35" t="str" cm="1">
        <f t="array" ref="H96:J96">IFERROR(CalcUnc(K96,L96,S96,T96,V96,X96,AD96,AE96,N96:R96,Z96,AA96),"")</f>
        <v/>
      </c>
      <c r="I96" s="50" t="str">
        <v/>
      </c>
      <c r="J96" s="89" t="str">
        <v/>
      </c>
      <c r="K96" s="55"/>
      <c r="L96" s="56"/>
      <c r="M96" s="22"/>
      <c r="N96" s="52"/>
      <c r="O96" s="53"/>
      <c r="P96" s="53"/>
      <c r="Q96" s="98"/>
      <c r="R96" s="98"/>
      <c r="S96" s="101"/>
      <c r="T96" s="114"/>
      <c r="U96" s="59"/>
      <c r="V96" s="64"/>
      <c r="W96" s="61"/>
      <c r="X96" s="115"/>
      <c r="Y96" s="132" t="str" cm="1">
        <f t="array" ref="Y96">GetPolarity(X96,AE96)</f>
        <v/>
      </c>
      <c r="Z96" s="62"/>
      <c r="AA96" s="61"/>
      <c r="AB96" s="73" t="str">
        <f t="shared" si="12"/>
        <v/>
      </c>
      <c r="AC96" s="73" t="str">
        <f t="shared" si="13"/>
        <v/>
      </c>
      <c r="AD96" s="62"/>
      <c r="AE96" s="61"/>
      <c r="AF96" s="21" t="str">
        <f t="shared" si="14"/>
        <v/>
      </c>
      <c r="AG96" s="28" t="str" cm="1">
        <f t="array" ref="AG96">FilterSpecialCharacters(X96)</f>
        <v/>
      </c>
      <c r="AH96" s="74" t="str">
        <f t="shared" si="15"/>
        <v xml:space="preserve"> </v>
      </c>
    </row>
    <row r="97" spans="1:34" x14ac:dyDescent="0.25">
      <c r="A97" s="121" t="str" cm="1">
        <f t="array" ref="A97">IfEmpty(TRIM(_xlfn.CONCAT(C97:H97)),"",CRC32HASH(_xlfn.CONCAT(C97:H97)))</f>
        <v/>
      </c>
      <c r="B97" s="39" t="str">
        <f>IFERROR(VLOOKUP(J97,Items[],2,FALSE),"")</f>
        <v/>
      </c>
      <c r="C97" s="36" t="str" cm="1">
        <f t="array" ref="C97">W97 &amp; " " &amp; IfEmpty(U97, FilterSpecialCharacters(X97))</f>
        <v xml:space="preserve"> </v>
      </c>
      <c r="D97" s="37" t="str">
        <f t="shared" si="16"/>
        <v xml:space="preserve">  </v>
      </c>
      <c r="E97" s="58" t="str">
        <f t="shared" si="17"/>
        <v/>
      </c>
      <c r="F97" s="42" t="str">
        <f t="shared" si="18"/>
        <v/>
      </c>
      <c r="G97" s="42" t="str">
        <f t="shared" si="19"/>
        <v/>
      </c>
      <c r="H97" s="38" t="str" cm="1">
        <f t="array" ref="H97:J97">IFERROR(CalcUnc(K97,L97,S97,T97,V97,X97,AD97,AE97,N97:R97,Z97,AA97),"")</f>
        <v/>
      </c>
      <c r="I97" s="50" t="str">
        <v/>
      </c>
      <c r="J97" s="89" t="str">
        <v/>
      </c>
      <c r="K97" s="55"/>
      <c r="L97" s="56"/>
      <c r="M97" s="22"/>
      <c r="N97" s="52"/>
      <c r="O97" s="53"/>
      <c r="P97" s="53"/>
      <c r="Q97" s="98"/>
      <c r="R97" s="98"/>
      <c r="S97" s="101"/>
      <c r="T97" s="114"/>
      <c r="U97" s="59"/>
      <c r="V97" s="64"/>
      <c r="W97" s="61"/>
      <c r="X97" s="115"/>
      <c r="Y97" s="132" t="str" cm="1">
        <f t="array" ref="Y97">GetPolarity(X97,AE97)</f>
        <v/>
      </c>
      <c r="Z97" s="62"/>
      <c r="AA97" s="61"/>
      <c r="AB97" s="73" t="str">
        <f t="shared" si="12"/>
        <v/>
      </c>
      <c r="AC97" s="73" t="str">
        <f t="shared" si="13"/>
        <v/>
      </c>
      <c r="AD97" s="62"/>
      <c r="AE97" s="61"/>
      <c r="AF97" s="21" t="str">
        <f t="shared" si="14"/>
        <v/>
      </c>
      <c r="AG97" s="28" t="str" cm="1">
        <f t="array" ref="AG97">FilterSpecialCharacters(X97)</f>
        <v/>
      </c>
      <c r="AH97" s="74" t="str">
        <f t="shared" si="15"/>
        <v xml:space="preserve"> </v>
      </c>
    </row>
    <row r="98" spans="1:34" x14ac:dyDescent="0.25">
      <c r="A98" s="121" t="str" cm="1">
        <f t="array" ref="A98">IfEmpty(TRIM(_xlfn.CONCAT(C98:H98)),"",CRC32HASH(_xlfn.CONCAT(C98:H98)))</f>
        <v/>
      </c>
      <c r="B98" s="10" t="str">
        <f>IFERROR(VLOOKUP(J98,Items[],2,FALSE),"")</f>
        <v/>
      </c>
      <c r="C98" s="34" t="str" cm="1">
        <f t="array" ref="C98">W98 &amp; " " &amp; IfEmpty(U98, AG98)</f>
        <v xml:space="preserve"> </v>
      </c>
      <c r="D98" s="43" t="str">
        <f t="shared" si="16"/>
        <v xml:space="preserve">  </v>
      </c>
      <c r="E98" s="57" t="str">
        <f t="shared" si="17"/>
        <v/>
      </c>
      <c r="F98" s="41" t="str">
        <f t="shared" si="18"/>
        <v/>
      </c>
      <c r="G98" s="41" t="str">
        <f t="shared" si="19"/>
        <v/>
      </c>
      <c r="H98" s="35" t="str" cm="1">
        <f t="array" ref="H98:J98">IFERROR(CalcUnc(K98,L98,S98,T98,V98,X98,AD98,AE98,N98:R98,Z98,AA98),"")</f>
        <v/>
      </c>
      <c r="I98" s="50" t="str">
        <v/>
      </c>
      <c r="J98" s="89" t="str">
        <v/>
      </c>
      <c r="K98" s="55"/>
      <c r="L98" s="56"/>
      <c r="M98" s="22"/>
      <c r="N98" s="52"/>
      <c r="O98" s="53"/>
      <c r="P98" s="53"/>
      <c r="Q98" s="98"/>
      <c r="R98" s="98"/>
      <c r="S98" s="101"/>
      <c r="T98" s="114"/>
      <c r="U98" s="59"/>
      <c r="V98" s="64"/>
      <c r="W98" s="61"/>
      <c r="X98" s="115"/>
      <c r="Y98" s="132" t="str" cm="1">
        <f t="array" ref="Y98">GetPolarity(X98,AE98)</f>
        <v/>
      </c>
      <c r="Z98" s="62"/>
      <c r="AA98" s="61"/>
      <c r="AB98" s="73" t="str">
        <f t="shared" si="12"/>
        <v/>
      </c>
      <c r="AC98" s="73" t="str">
        <f t="shared" si="13"/>
        <v/>
      </c>
      <c r="AD98" s="62"/>
      <c r="AE98" s="61"/>
      <c r="AF98" s="21" t="str">
        <f t="shared" si="14"/>
        <v/>
      </c>
      <c r="AG98" s="28" t="str" cm="1">
        <f t="array" ref="AG98">FilterSpecialCharacters(X98)</f>
        <v/>
      </c>
      <c r="AH98" s="74" t="str">
        <f t="shared" si="15"/>
        <v xml:space="preserve"> </v>
      </c>
    </row>
    <row r="99" spans="1:34" x14ac:dyDescent="0.25">
      <c r="A99" s="121" t="str" cm="1">
        <f t="array" ref="A99">IfEmpty(TRIM(_xlfn.CONCAT(C99:H99)),"",CRC32HASH(_xlfn.CONCAT(C99:H99)))</f>
        <v/>
      </c>
      <c r="B99" s="39" t="str">
        <f>IFERROR(VLOOKUP(J99,Items[],2,FALSE),"")</f>
        <v/>
      </c>
      <c r="C99" s="36" t="str" cm="1">
        <f t="array" ref="C99">W99 &amp; " " &amp; IfEmpty(U99, FilterSpecialCharacters(X99))</f>
        <v xml:space="preserve"> </v>
      </c>
      <c r="D99" s="37" t="str">
        <f t="shared" si="16"/>
        <v xml:space="preserve">  </v>
      </c>
      <c r="E99" s="58" t="str">
        <f t="shared" si="17"/>
        <v/>
      </c>
      <c r="F99" s="42" t="str">
        <f t="shared" si="18"/>
        <v/>
      </c>
      <c r="G99" s="42" t="str">
        <f t="shared" si="19"/>
        <v/>
      </c>
      <c r="H99" s="38" t="str" cm="1">
        <f t="array" ref="H99:J99">IFERROR(CalcUnc(K99,L99,S99,T99,V99,X99,AD99,AE99,N99:R99,Z99,AA99),"")</f>
        <v/>
      </c>
      <c r="I99" s="50" t="str">
        <v/>
      </c>
      <c r="J99" s="89" t="str">
        <v/>
      </c>
      <c r="K99" s="55"/>
      <c r="L99" s="56"/>
      <c r="M99" s="22"/>
      <c r="N99" s="52"/>
      <c r="O99" s="53"/>
      <c r="P99" s="53"/>
      <c r="Q99" s="98"/>
      <c r="R99" s="98"/>
      <c r="S99" s="101"/>
      <c r="T99" s="114"/>
      <c r="U99" s="59"/>
      <c r="V99" s="64"/>
      <c r="W99" s="61"/>
      <c r="X99" s="115"/>
      <c r="Y99" s="132" t="str" cm="1">
        <f t="array" ref="Y99">GetPolarity(X99,AE99)</f>
        <v/>
      </c>
      <c r="Z99" s="62"/>
      <c r="AA99" s="61"/>
      <c r="AB99" s="73" t="str">
        <f t="shared" si="12"/>
        <v/>
      </c>
      <c r="AC99" s="73" t="str">
        <f t="shared" si="13"/>
        <v/>
      </c>
      <c r="AD99" s="62"/>
      <c r="AE99" s="61"/>
      <c r="AF99" s="21" t="str">
        <f t="shared" si="14"/>
        <v/>
      </c>
      <c r="AG99" s="28" t="str" cm="1">
        <f t="array" ref="AG99">FilterSpecialCharacters(X99)</f>
        <v/>
      </c>
      <c r="AH99" s="74" t="str">
        <f t="shared" si="15"/>
        <v xml:space="preserve"> </v>
      </c>
    </row>
    <row r="100" spans="1:34" x14ac:dyDescent="0.25">
      <c r="A100" s="121" t="str" cm="1">
        <f t="array" ref="A100">IfEmpty(TRIM(_xlfn.CONCAT(C100:H100)),"",CRC32HASH(_xlfn.CONCAT(C100:H100)))</f>
        <v/>
      </c>
      <c r="B100" s="10" t="str">
        <f>IFERROR(VLOOKUP(J100,Items[],2,FALSE),"")</f>
        <v/>
      </c>
      <c r="C100" s="34" t="str" cm="1">
        <f t="array" ref="C100">W100 &amp; " " &amp; IfEmpty(U100, AG100)</f>
        <v xml:space="preserve"> </v>
      </c>
      <c r="D100" s="43" t="str">
        <f t="shared" si="16"/>
        <v xml:space="preserve">  </v>
      </c>
      <c r="E100" s="57" t="str">
        <f t="shared" si="17"/>
        <v/>
      </c>
      <c r="F100" s="41" t="str">
        <f t="shared" si="18"/>
        <v/>
      </c>
      <c r="G100" s="41" t="str">
        <f t="shared" si="19"/>
        <v/>
      </c>
      <c r="H100" s="35" t="str" cm="1">
        <f t="array" ref="H100:J100">IFERROR(CalcUnc(K100,L100,S100,T100,V100,X100,AD100,AE100,N100:R100,Z100,AA100),"")</f>
        <v/>
      </c>
      <c r="I100" s="50" t="str">
        <v/>
      </c>
      <c r="J100" s="89" t="str">
        <v/>
      </c>
      <c r="K100" s="55"/>
      <c r="L100" s="56"/>
      <c r="M100" s="22"/>
      <c r="N100" s="52"/>
      <c r="O100" s="53"/>
      <c r="P100" s="53"/>
      <c r="Q100" s="98"/>
      <c r="R100" s="98"/>
      <c r="S100" s="101"/>
      <c r="T100" s="114"/>
      <c r="U100" s="59"/>
      <c r="V100" s="64"/>
      <c r="W100" s="61"/>
      <c r="X100" s="115"/>
      <c r="Y100" s="132" t="str" cm="1">
        <f t="array" ref="Y100">GetPolarity(X100,AE100)</f>
        <v/>
      </c>
      <c r="Z100" s="62"/>
      <c r="AA100" s="61"/>
      <c r="AB100" s="73" t="str">
        <f t="shared" si="12"/>
        <v/>
      </c>
      <c r="AC100" s="73" t="str">
        <f t="shared" si="13"/>
        <v/>
      </c>
      <c r="AD100" s="62"/>
      <c r="AE100" s="61"/>
      <c r="AF100" s="21" t="str">
        <f t="shared" si="14"/>
        <v/>
      </c>
      <c r="AG100" s="28" t="str" cm="1">
        <f t="array" ref="AG100">FilterSpecialCharacters(X100)</f>
        <v/>
      </c>
      <c r="AH100" s="74" t="str">
        <f t="shared" si="15"/>
        <v xml:space="preserve"> </v>
      </c>
    </row>
    <row r="101" spans="1:34" x14ac:dyDescent="0.25">
      <c r="A101" s="121" t="str" cm="1">
        <f t="array" ref="A101">IfEmpty(TRIM(_xlfn.CONCAT(C101:H101)),"",CRC32HASH(_xlfn.CONCAT(C101:H101)))</f>
        <v/>
      </c>
      <c r="B101" s="39" t="str">
        <f>IFERROR(VLOOKUP(J101,Items[],2,FALSE),"")</f>
        <v/>
      </c>
      <c r="C101" s="36" t="str" cm="1">
        <f t="array" ref="C101">W101 &amp; " " &amp; IfEmpty(U101, FilterSpecialCharacters(X101))</f>
        <v xml:space="preserve"> </v>
      </c>
      <c r="D101" s="37" t="str">
        <f t="shared" si="16"/>
        <v xml:space="preserve">  </v>
      </c>
      <c r="E101" s="58" t="str">
        <f t="shared" si="17"/>
        <v/>
      </c>
      <c r="F101" s="42" t="str">
        <f t="shared" si="18"/>
        <v/>
      </c>
      <c r="G101" s="42" t="str">
        <f t="shared" si="19"/>
        <v/>
      </c>
      <c r="H101" s="38" t="str" cm="1">
        <f t="array" ref="H101:J101">IFERROR(CalcUnc(K101,L101,S101,T101,V101,X101,AD101,AE101,N101:R101,Z101,AA101),"")</f>
        <v/>
      </c>
      <c r="I101" s="50" t="str">
        <v/>
      </c>
      <c r="J101" s="89" t="str">
        <v/>
      </c>
      <c r="K101" s="55"/>
      <c r="L101" s="56"/>
      <c r="M101" s="22"/>
      <c r="N101" s="52"/>
      <c r="O101" s="53"/>
      <c r="P101" s="53"/>
      <c r="Q101" s="98"/>
      <c r="R101" s="98"/>
      <c r="S101" s="101"/>
      <c r="T101" s="114"/>
      <c r="U101" s="59"/>
      <c r="V101" s="64"/>
      <c r="W101" s="61"/>
      <c r="X101" s="115"/>
      <c r="Y101" s="132" t="str" cm="1">
        <f t="array" ref="Y101">GetPolarity(X101,AE101)</f>
        <v/>
      </c>
      <c r="Z101" s="62"/>
      <c r="AA101" s="61"/>
      <c r="AB101" s="73" t="str">
        <f t="shared" si="12"/>
        <v/>
      </c>
      <c r="AC101" s="73" t="str">
        <f t="shared" si="13"/>
        <v/>
      </c>
      <c r="AD101" s="62"/>
      <c r="AE101" s="61"/>
      <c r="AF101" s="21" t="str">
        <f t="shared" si="14"/>
        <v/>
      </c>
      <c r="AG101" s="28" t="str" cm="1">
        <f t="array" ref="AG101">FilterSpecialCharacters(X101)</f>
        <v/>
      </c>
      <c r="AH101" s="74" t="str">
        <f t="shared" si="15"/>
        <v xml:space="preserve"> </v>
      </c>
    </row>
    <row r="102" spans="1:34" x14ac:dyDescent="0.25">
      <c r="A102" s="121" t="str" cm="1">
        <f t="array" ref="A102">IfEmpty(TRIM(_xlfn.CONCAT(C102:H102)),"",CRC32HASH(_xlfn.CONCAT(C102:H102)))</f>
        <v/>
      </c>
      <c r="B102" s="10" t="str">
        <f>IFERROR(VLOOKUP(J102,Items[],2,FALSE),"")</f>
        <v/>
      </c>
      <c r="C102" s="34" t="str" cm="1">
        <f t="array" ref="C102">W102 &amp; " " &amp; IfEmpty(U102, AG102)</f>
        <v xml:space="preserve"> </v>
      </c>
      <c r="D102" s="43" t="str">
        <f t="shared" si="16"/>
        <v xml:space="preserve">  </v>
      </c>
      <c r="E102" s="57" t="str">
        <f t="shared" si="17"/>
        <v/>
      </c>
      <c r="F102" s="41" t="str">
        <f t="shared" si="18"/>
        <v/>
      </c>
      <c r="G102" s="41" t="str">
        <f t="shared" si="19"/>
        <v/>
      </c>
      <c r="H102" s="35" t="str" cm="1">
        <f t="array" ref="H102:J102">IFERROR(CalcUnc(K102,L102,S102,T102,V102,X102,AD102,AE102,N102:R102,Z102,AA102),"")</f>
        <v/>
      </c>
      <c r="I102" s="50" t="str">
        <v/>
      </c>
      <c r="J102" s="89" t="str">
        <v/>
      </c>
      <c r="K102" s="55"/>
      <c r="L102" s="56"/>
      <c r="M102" s="22"/>
      <c r="N102" s="52"/>
      <c r="O102" s="53"/>
      <c r="P102" s="53"/>
      <c r="Q102" s="98"/>
      <c r="R102" s="98"/>
      <c r="S102" s="101"/>
      <c r="T102" s="114"/>
      <c r="U102" s="59"/>
      <c r="V102" s="64"/>
      <c r="W102" s="61"/>
      <c r="X102" s="115"/>
      <c r="Y102" s="132" t="str" cm="1">
        <f t="array" ref="Y102">GetPolarity(X102,AE102)</f>
        <v/>
      </c>
      <c r="Z102" s="62"/>
      <c r="AA102" s="61"/>
      <c r="AB102" s="73" t="str">
        <f t="shared" ref="AB102:AB110" si="20">IF(V102&lt;&gt;"",ROUND(Z102-AA102,-LOG10(V102)),"")</f>
        <v/>
      </c>
      <c r="AC102" s="73" t="str">
        <f t="shared" ref="AC102:AC110" si="21">IF(V102&lt;&gt;"",ROUND(Z102+AA102,-LOG10(V102)),"")</f>
        <v/>
      </c>
      <c r="AD102" s="62"/>
      <c r="AE102" s="61"/>
      <c r="AF102" s="21" t="str">
        <f t="shared" si="14"/>
        <v/>
      </c>
      <c r="AG102" s="28" t="str" cm="1">
        <f t="array" ref="AG102">FilterSpecialCharacters(X102)</f>
        <v/>
      </c>
      <c r="AH102" s="74" t="str">
        <f t="shared" si="15"/>
        <v xml:space="preserve"> </v>
      </c>
    </row>
    <row r="103" spans="1:34" x14ac:dyDescent="0.25">
      <c r="A103" s="121" t="str" cm="1">
        <f t="array" ref="A103">IfEmpty(TRIM(_xlfn.CONCAT(C103:H103)),"",CRC32HASH(_xlfn.CONCAT(C103:H103)))</f>
        <v/>
      </c>
      <c r="B103" s="39" t="str">
        <f>IFERROR(VLOOKUP(J103,Items[],2,FALSE),"")</f>
        <v/>
      </c>
      <c r="C103" s="36" t="str" cm="1">
        <f t="array" ref="C103">W103 &amp; " " &amp; IfEmpty(U103, FilterSpecialCharacters(X103))</f>
        <v xml:space="preserve"> </v>
      </c>
      <c r="D103" s="37" t="str">
        <f t="shared" si="16"/>
        <v xml:space="preserve">  </v>
      </c>
      <c r="E103" s="58" t="str">
        <f t="shared" si="17"/>
        <v/>
      </c>
      <c r="F103" s="42" t="str">
        <f t="shared" si="18"/>
        <v/>
      </c>
      <c r="G103" s="42" t="str">
        <f t="shared" si="19"/>
        <v/>
      </c>
      <c r="H103" s="38" t="str" cm="1">
        <f t="array" ref="H103:J103">IFERROR(CalcUnc(K103,L103,S103,T103,V103,X103,AD103,AE103,N103:R103,Z103,AA103),"")</f>
        <v/>
      </c>
      <c r="I103" s="50" t="str">
        <v/>
      </c>
      <c r="J103" s="89" t="str">
        <v/>
      </c>
      <c r="K103" s="55"/>
      <c r="L103" s="56"/>
      <c r="M103" s="22"/>
      <c r="N103" s="52"/>
      <c r="O103" s="53"/>
      <c r="P103" s="53"/>
      <c r="Q103" s="98"/>
      <c r="R103" s="98"/>
      <c r="S103" s="101"/>
      <c r="T103" s="114"/>
      <c r="U103" s="59"/>
      <c r="V103" s="64"/>
      <c r="W103" s="61"/>
      <c r="X103" s="115"/>
      <c r="Y103" s="132" t="str" cm="1">
        <f t="array" ref="Y103">GetPolarity(X103,AE103)</f>
        <v/>
      </c>
      <c r="Z103" s="62"/>
      <c r="AA103" s="61"/>
      <c r="AB103" s="73" t="str">
        <f t="shared" si="20"/>
        <v/>
      </c>
      <c r="AC103" s="73" t="str">
        <f t="shared" si="21"/>
        <v/>
      </c>
      <c r="AD103" s="62"/>
      <c r="AE103" s="61"/>
      <c r="AF103" s="21" t="str">
        <f t="shared" si="14"/>
        <v/>
      </c>
      <c r="AG103" s="28" t="str" cm="1">
        <f t="array" ref="AG103">FilterSpecialCharacters(X103)</f>
        <v/>
      </c>
      <c r="AH103" s="74" t="str">
        <f t="shared" si="15"/>
        <v xml:space="preserve"> </v>
      </c>
    </row>
    <row r="104" spans="1:34" x14ac:dyDescent="0.25">
      <c r="A104" s="121" t="str" cm="1">
        <f t="array" ref="A104">IfEmpty(TRIM(_xlfn.CONCAT(C104:H104)),"",CRC32HASH(_xlfn.CONCAT(C104:H104)))</f>
        <v/>
      </c>
      <c r="B104" s="10" t="str">
        <f>IFERROR(VLOOKUP(J104,Items[],2,FALSE),"")</f>
        <v/>
      </c>
      <c r="C104" s="34" t="str" cm="1">
        <f t="array" ref="C104">W104 &amp; " " &amp; IfEmpty(U104, AG104)</f>
        <v xml:space="preserve"> </v>
      </c>
      <c r="D104" s="43" t="str">
        <f t="shared" si="16"/>
        <v xml:space="preserve">  </v>
      </c>
      <c r="E104" s="57" t="str">
        <f t="shared" si="17"/>
        <v/>
      </c>
      <c r="F104" s="41" t="str">
        <f t="shared" si="18"/>
        <v/>
      </c>
      <c r="G104" s="41" t="str">
        <f t="shared" si="19"/>
        <v/>
      </c>
      <c r="H104" s="35" t="str" cm="1">
        <f t="array" ref="H104:J104">IFERROR(CalcUnc(K104,L104,S104,T104,V104,X104,AD104,AE104,N104:R104,Z104,AA104),"")</f>
        <v/>
      </c>
      <c r="I104" s="50" t="str">
        <v/>
      </c>
      <c r="J104" s="89" t="str">
        <v/>
      </c>
      <c r="K104" s="55"/>
      <c r="L104" s="56"/>
      <c r="M104" s="22"/>
      <c r="N104" s="52"/>
      <c r="O104" s="53"/>
      <c r="P104" s="53"/>
      <c r="Q104" s="98"/>
      <c r="R104" s="98"/>
      <c r="S104" s="101"/>
      <c r="T104" s="114"/>
      <c r="U104" s="59"/>
      <c r="V104" s="64"/>
      <c r="W104" s="61"/>
      <c r="X104" s="115"/>
      <c r="Y104" s="132" t="str" cm="1">
        <f t="array" ref="Y104">GetPolarity(X104,AE104)</f>
        <v/>
      </c>
      <c r="Z104" s="62"/>
      <c r="AA104" s="61"/>
      <c r="AB104" s="73" t="str">
        <f t="shared" si="20"/>
        <v/>
      </c>
      <c r="AC104" s="73" t="str">
        <f t="shared" si="21"/>
        <v/>
      </c>
      <c r="AD104" s="62"/>
      <c r="AE104" s="61"/>
      <c r="AF104" s="21" t="str">
        <f t="shared" si="14"/>
        <v/>
      </c>
      <c r="AG104" s="28" t="str" cm="1">
        <f t="array" ref="AG104">FilterSpecialCharacters(X104)</f>
        <v/>
      </c>
      <c r="AH104" s="74" t="str">
        <f t="shared" si="15"/>
        <v xml:space="preserve"> </v>
      </c>
    </row>
    <row r="105" spans="1:34" x14ac:dyDescent="0.25">
      <c r="A105" s="121" t="str" cm="1">
        <f t="array" ref="A105">IfEmpty(TRIM(_xlfn.CONCAT(C105:H105)),"",CRC32HASH(_xlfn.CONCAT(C105:H105)))</f>
        <v/>
      </c>
      <c r="B105" s="39" t="str">
        <f>IFERROR(VLOOKUP(J105,Items[],2,FALSE),"")</f>
        <v/>
      </c>
      <c r="C105" s="36" t="str" cm="1">
        <f t="array" ref="C105">W105 &amp; " " &amp; IfEmpty(U105, FilterSpecialCharacters(X105))</f>
        <v xml:space="preserve"> </v>
      </c>
      <c r="D105" s="37" t="str">
        <f t="shared" si="16"/>
        <v xml:space="preserve">  </v>
      </c>
      <c r="E105" s="58" t="str">
        <f t="shared" si="17"/>
        <v/>
      </c>
      <c r="F105" s="42" t="str">
        <f t="shared" si="18"/>
        <v/>
      </c>
      <c r="G105" s="42" t="str">
        <f t="shared" si="19"/>
        <v/>
      </c>
      <c r="H105" s="38" t="str" cm="1">
        <f t="array" ref="H105:J105">IFERROR(CalcUnc(K105,L105,S105,T105,V105,X105,AD105,AE105,N105:R105,Z105,AA105),"")</f>
        <v/>
      </c>
      <c r="I105" s="50" t="str">
        <v/>
      </c>
      <c r="J105" s="89" t="str">
        <v/>
      </c>
      <c r="K105" s="55"/>
      <c r="L105" s="56"/>
      <c r="M105" s="22"/>
      <c r="N105" s="52"/>
      <c r="O105" s="53"/>
      <c r="P105" s="53"/>
      <c r="Q105" s="98"/>
      <c r="R105" s="98"/>
      <c r="S105" s="101"/>
      <c r="T105" s="114"/>
      <c r="U105" s="59"/>
      <c r="V105" s="64"/>
      <c r="W105" s="61"/>
      <c r="X105" s="115"/>
      <c r="Y105" s="132" t="str" cm="1">
        <f t="array" ref="Y105">GetPolarity(X105,AE105)</f>
        <v/>
      </c>
      <c r="Z105" s="62"/>
      <c r="AA105" s="61"/>
      <c r="AB105" s="73" t="str">
        <f t="shared" si="20"/>
        <v/>
      </c>
      <c r="AC105" s="73" t="str">
        <f t="shared" si="21"/>
        <v/>
      </c>
      <c r="AD105" s="62"/>
      <c r="AE105" s="61"/>
      <c r="AF105" s="21" t="str">
        <f t="shared" si="14"/>
        <v/>
      </c>
      <c r="AG105" s="28" t="str" cm="1">
        <f t="array" ref="AG105">FilterSpecialCharacters(X105)</f>
        <v/>
      </c>
      <c r="AH105" s="74" t="str">
        <f t="shared" si="15"/>
        <v xml:space="preserve"> </v>
      </c>
    </row>
    <row r="106" spans="1:34" x14ac:dyDescent="0.25">
      <c r="A106" s="121" t="str" cm="1">
        <f t="array" ref="A106">IfEmpty(TRIM(_xlfn.CONCAT(C106:H106)),"",CRC32HASH(_xlfn.CONCAT(C106:H106)))</f>
        <v/>
      </c>
      <c r="B106" s="10" t="str">
        <f>IFERROR(VLOOKUP(J106,Items[],2,FALSE),"")</f>
        <v/>
      </c>
      <c r="C106" s="34" t="str" cm="1">
        <f t="array" ref="C106">W106 &amp; " " &amp; IfEmpty(U106, AG106)</f>
        <v xml:space="preserve"> </v>
      </c>
      <c r="D106" s="43" t="str">
        <f t="shared" si="16"/>
        <v xml:space="preserve">  </v>
      </c>
      <c r="E106" s="57" t="str">
        <f t="shared" si="17"/>
        <v/>
      </c>
      <c r="F106" s="41" t="str">
        <f t="shared" si="18"/>
        <v/>
      </c>
      <c r="G106" s="41" t="str">
        <f t="shared" si="19"/>
        <v/>
      </c>
      <c r="H106" s="35" t="str" cm="1">
        <f t="array" ref="H106:J106">IFERROR(CalcUnc(K106,L106,S106,T106,V106,X106,AD106,AE106,N106:R106,Z106,AA106),"")</f>
        <v/>
      </c>
      <c r="I106" s="50" t="str">
        <v/>
      </c>
      <c r="J106" s="89" t="str">
        <v/>
      </c>
      <c r="K106" s="55"/>
      <c r="L106" s="56"/>
      <c r="M106" s="22"/>
      <c r="N106" s="52"/>
      <c r="O106" s="53"/>
      <c r="P106" s="53"/>
      <c r="Q106" s="98"/>
      <c r="R106" s="98"/>
      <c r="S106" s="101"/>
      <c r="T106" s="114"/>
      <c r="U106" s="59"/>
      <c r="V106" s="64"/>
      <c r="W106" s="61"/>
      <c r="X106" s="115"/>
      <c r="Y106" s="132" t="str" cm="1">
        <f t="array" ref="Y106">GetPolarity(X106,AE106)</f>
        <v/>
      </c>
      <c r="Z106" s="62"/>
      <c r="AA106" s="61"/>
      <c r="AB106" s="73" t="str">
        <f t="shared" si="20"/>
        <v/>
      </c>
      <c r="AC106" s="73" t="str">
        <f t="shared" si="21"/>
        <v/>
      </c>
      <c r="AD106" s="62"/>
      <c r="AE106" s="61"/>
      <c r="AF106" s="21" t="str">
        <f t="shared" si="14"/>
        <v/>
      </c>
      <c r="AG106" s="28" t="str" cm="1">
        <f t="array" ref="AG106">FilterSpecialCharacters(X106)</f>
        <v/>
      </c>
      <c r="AH106" s="74" t="str">
        <f t="shared" si="15"/>
        <v xml:space="preserve"> </v>
      </c>
    </row>
    <row r="107" spans="1:34" x14ac:dyDescent="0.25">
      <c r="A107" s="121" t="str" cm="1">
        <f t="array" ref="A107">IfEmpty(TRIM(_xlfn.CONCAT(C107:H107)),"",CRC32HASH(_xlfn.CONCAT(C107:H107)))</f>
        <v/>
      </c>
      <c r="B107" s="39" t="str">
        <f>IFERROR(VLOOKUP(J107,Items[],2,FALSE),"")</f>
        <v/>
      </c>
      <c r="C107" s="36" t="str" cm="1">
        <f t="array" ref="C107">W107 &amp; " " &amp; IfEmpty(U107, FilterSpecialCharacters(X107))</f>
        <v xml:space="preserve"> </v>
      </c>
      <c r="D107" s="37" t="str">
        <f t="shared" si="16"/>
        <v xml:space="preserve">  </v>
      </c>
      <c r="E107" s="58" t="str">
        <f t="shared" si="17"/>
        <v/>
      </c>
      <c r="F107" s="42" t="str">
        <f t="shared" si="18"/>
        <v/>
      </c>
      <c r="G107" s="42" t="str">
        <f t="shared" si="19"/>
        <v/>
      </c>
      <c r="H107" s="38" t="str" cm="1">
        <f t="array" ref="H107:J107">IFERROR(CalcUnc(K107,L107,S107,T107,V107,X107,AD107,AE107,N107:R107,Z107,AA107),"")</f>
        <v/>
      </c>
      <c r="I107" s="50" t="str">
        <v/>
      </c>
      <c r="J107" s="89" t="str">
        <v/>
      </c>
      <c r="K107" s="55"/>
      <c r="L107" s="56"/>
      <c r="M107" s="22"/>
      <c r="N107" s="52"/>
      <c r="O107" s="53"/>
      <c r="P107" s="53"/>
      <c r="Q107" s="98"/>
      <c r="R107" s="98"/>
      <c r="S107" s="101"/>
      <c r="T107" s="114"/>
      <c r="U107" s="59"/>
      <c r="V107" s="64"/>
      <c r="W107" s="61"/>
      <c r="X107" s="115"/>
      <c r="Y107" s="132" t="str" cm="1">
        <f t="array" ref="Y107">GetPolarity(X107,AE107)</f>
        <v/>
      </c>
      <c r="Z107" s="62"/>
      <c r="AA107" s="61"/>
      <c r="AB107" s="73" t="str">
        <f t="shared" si="20"/>
        <v/>
      </c>
      <c r="AC107" s="73" t="str">
        <f t="shared" si="21"/>
        <v/>
      </c>
      <c r="AD107" s="62"/>
      <c r="AE107" s="61"/>
      <c r="AF107" s="21" t="str">
        <f t="shared" si="14"/>
        <v/>
      </c>
      <c r="AG107" s="28" t="str" cm="1">
        <f t="array" ref="AG107">FilterSpecialCharacters(X107)</f>
        <v/>
      </c>
      <c r="AH107" s="74" t="str">
        <f t="shared" si="15"/>
        <v xml:space="preserve"> </v>
      </c>
    </row>
    <row r="108" spans="1:34" x14ac:dyDescent="0.25">
      <c r="A108" s="121" t="str" cm="1">
        <f t="array" ref="A108">IfEmpty(TRIM(_xlfn.CONCAT(C108:H108)),"",CRC32HASH(_xlfn.CONCAT(C108:H108)))</f>
        <v/>
      </c>
      <c r="B108" s="10" t="str">
        <f>IFERROR(VLOOKUP(J108,Items[],2,FALSE),"")</f>
        <v/>
      </c>
      <c r="C108" s="34" t="str" cm="1">
        <f t="array" ref="C108">W108 &amp; " " &amp; IfEmpty(U108, AG108)</f>
        <v xml:space="preserve"> </v>
      </c>
      <c r="D108" s="43" t="str">
        <f t="shared" si="16"/>
        <v xml:space="preserve">  </v>
      </c>
      <c r="E108" s="57" t="str">
        <f t="shared" si="17"/>
        <v/>
      </c>
      <c r="F108" s="41" t="str">
        <f t="shared" si="18"/>
        <v/>
      </c>
      <c r="G108" s="41" t="str">
        <f t="shared" si="19"/>
        <v/>
      </c>
      <c r="H108" s="35" t="str" cm="1">
        <f t="array" ref="H108:J108">IFERROR(CalcUnc(K108,L108,S108,T108,V108,X108,AD108,AE108,N108:R108,Z108,AA108),"")</f>
        <v/>
      </c>
      <c r="I108" s="50" t="str">
        <v/>
      </c>
      <c r="J108" s="89" t="str">
        <v/>
      </c>
      <c r="K108" s="55"/>
      <c r="L108" s="56"/>
      <c r="M108" s="22"/>
      <c r="N108" s="52"/>
      <c r="O108" s="53"/>
      <c r="P108" s="53"/>
      <c r="Q108" s="98"/>
      <c r="R108" s="98"/>
      <c r="S108" s="101"/>
      <c r="T108" s="114"/>
      <c r="U108" s="59"/>
      <c r="V108" s="64"/>
      <c r="W108" s="61"/>
      <c r="X108" s="115"/>
      <c r="Y108" s="132" t="str" cm="1">
        <f t="array" ref="Y108">GetPolarity(X108,AE108)</f>
        <v/>
      </c>
      <c r="Z108" s="62"/>
      <c r="AA108" s="61"/>
      <c r="AB108" s="73" t="str">
        <f t="shared" si="20"/>
        <v/>
      </c>
      <c r="AC108" s="73" t="str">
        <f t="shared" si="21"/>
        <v/>
      </c>
      <c r="AD108" s="62"/>
      <c r="AE108" s="61"/>
      <c r="AF108" s="21" t="str">
        <f t="shared" si="14"/>
        <v/>
      </c>
      <c r="AG108" s="28" t="str" cm="1">
        <f t="array" ref="AG108">FilterSpecialCharacters(X108)</f>
        <v/>
      </c>
      <c r="AH108" s="74" t="str">
        <f t="shared" si="15"/>
        <v xml:space="preserve"> </v>
      </c>
    </row>
    <row r="109" spans="1:34" x14ac:dyDescent="0.25">
      <c r="A109" s="121" t="str" cm="1">
        <f t="array" ref="A109">IfEmpty(TRIM(_xlfn.CONCAT(C109:H109)),"",CRC32HASH(_xlfn.CONCAT(C109:H109)))</f>
        <v/>
      </c>
      <c r="B109" s="39" t="str">
        <f>IFERROR(VLOOKUP(J109,Items[],2,FALSE),"")</f>
        <v/>
      </c>
      <c r="C109" s="36" t="str" cm="1">
        <f t="array" ref="C109">W109 &amp; " " &amp; IfEmpty(U109, FilterSpecialCharacters(X109))</f>
        <v xml:space="preserve"> </v>
      </c>
      <c r="D109" s="37" t="str">
        <f t="shared" si="16"/>
        <v xml:space="preserve">  </v>
      </c>
      <c r="E109" s="58" t="str">
        <f t="shared" si="17"/>
        <v/>
      </c>
      <c r="F109" s="42" t="str">
        <f t="shared" si="18"/>
        <v/>
      </c>
      <c r="G109" s="42" t="str">
        <f t="shared" si="19"/>
        <v/>
      </c>
      <c r="H109" s="38" t="str" cm="1">
        <f t="array" ref="H109:J109">IFERROR(CalcUnc(K109,L109,S109,T109,V109,X109,AD109,AE109,N109:R109,Z109,AA109),"")</f>
        <v/>
      </c>
      <c r="I109" s="50" t="str">
        <v/>
      </c>
      <c r="J109" s="89" t="str">
        <v/>
      </c>
      <c r="K109" s="55"/>
      <c r="L109" s="56"/>
      <c r="M109" s="22"/>
      <c r="N109" s="52"/>
      <c r="O109" s="53"/>
      <c r="P109" s="53"/>
      <c r="Q109" s="98"/>
      <c r="R109" s="98"/>
      <c r="S109" s="101"/>
      <c r="T109" s="114"/>
      <c r="U109" s="59"/>
      <c r="V109" s="64"/>
      <c r="W109" s="61"/>
      <c r="X109" s="115"/>
      <c r="Y109" s="132" t="str" cm="1">
        <f t="array" ref="Y109">GetPolarity(X109,AE109)</f>
        <v/>
      </c>
      <c r="Z109" s="62"/>
      <c r="AA109" s="61"/>
      <c r="AB109" s="73" t="str">
        <f t="shared" si="20"/>
        <v/>
      </c>
      <c r="AC109" s="73" t="str">
        <f t="shared" si="21"/>
        <v/>
      </c>
      <c r="AD109" s="62"/>
      <c r="AE109" s="61"/>
      <c r="AF109" s="21" t="str">
        <f t="shared" si="14"/>
        <v/>
      </c>
      <c r="AG109" s="28" t="str" cm="1">
        <f t="array" ref="AG109">FilterSpecialCharacters(X109)</f>
        <v/>
      </c>
      <c r="AH109" s="74" t="str">
        <f t="shared" si="15"/>
        <v xml:space="preserve"> </v>
      </c>
    </row>
    <row r="110" spans="1:34" x14ac:dyDescent="0.25">
      <c r="A110" s="121" t="str" cm="1">
        <f t="array" ref="A110">IfEmpty(TRIM(_xlfn.CONCAT(C110:H110)),"",CRC32HASH(_xlfn.CONCAT(C110:H110)))</f>
        <v/>
      </c>
      <c r="B110" s="10" t="str">
        <f>IFERROR(VLOOKUP(J110,Items[],2,FALSE),"")</f>
        <v/>
      </c>
      <c r="C110" s="34" t="str" cm="1">
        <f t="array" ref="C110">W110 &amp; " " &amp; IfEmpty(U110, AG110)</f>
        <v xml:space="preserve"> </v>
      </c>
      <c r="D110" s="43" t="str">
        <f t="shared" si="16"/>
        <v xml:space="preserve">  </v>
      </c>
      <c r="E110" s="57" t="str">
        <f t="shared" si="17"/>
        <v/>
      </c>
      <c r="F110" s="41" t="str">
        <f t="shared" si="18"/>
        <v/>
      </c>
      <c r="G110" s="41" t="str">
        <f t="shared" si="19"/>
        <v/>
      </c>
      <c r="H110" s="35" t="str" cm="1">
        <f t="array" ref="H110:J110">IFERROR(CalcUnc(K110,L110,S110,T110,V110,X110,AD110,AE110,N110:R110,Z110,AA110),"")</f>
        <v/>
      </c>
      <c r="I110" s="50" t="str">
        <v/>
      </c>
      <c r="J110" s="89" t="str">
        <v/>
      </c>
      <c r="K110" s="55"/>
      <c r="L110" s="56"/>
      <c r="M110" s="69"/>
      <c r="N110" s="70"/>
      <c r="O110" s="71"/>
      <c r="P110" s="71"/>
      <c r="Q110" s="99"/>
      <c r="R110" s="99"/>
      <c r="S110" s="101"/>
      <c r="T110" s="114"/>
      <c r="U110" s="59"/>
      <c r="V110" s="64"/>
      <c r="W110" s="61"/>
      <c r="X110" s="115"/>
      <c r="Y110" s="132" t="str" cm="1">
        <f t="array" ref="Y110">GetPolarity(X110,AE110)</f>
        <v/>
      </c>
      <c r="Z110" s="62"/>
      <c r="AA110" s="61"/>
      <c r="AB110" s="73" t="str">
        <f t="shared" si="20"/>
        <v/>
      </c>
      <c r="AC110" s="73" t="str">
        <f t="shared" si="21"/>
        <v/>
      </c>
      <c r="AD110" s="62"/>
      <c r="AE110" s="61"/>
      <c r="AF110" s="21" t="str">
        <f t="shared" si="14"/>
        <v/>
      </c>
      <c r="AG110" s="28" t="str" cm="1">
        <f t="array" ref="AG110">FilterSpecialCharacters(X110)</f>
        <v/>
      </c>
      <c r="AH110" s="74" t="str">
        <f t="shared" si="15"/>
        <v xml:space="preserve"> </v>
      </c>
    </row>
  </sheetData>
  <sheetProtection selectLockedCells="1" sort="0"/>
  <protectedRanges>
    <protectedRange sqref="AD6:AE110 K6:AA110" name="Range1"/>
  </protectedRanges>
  <mergeCells count="4">
    <mergeCell ref="AG3:AG5"/>
    <mergeCell ref="C2:E2"/>
    <mergeCell ref="M1:M2"/>
    <mergeCell ref="U4:U5"/>
  </mergeCells>
  <conditionalFormatting sqref="E6:E110">
    <cfRule type="expression" dxfId="6" priority="47">
      <formula>ABS(E6:E110-Z6:Z110)&gt;AA6:AA110</formula>
    </cfRule>
  </conditionalFormatting>
  <dataValidations count="10">
    <dataValidation type="list" allowBlank="1" showInputMessage="1" showErrorMessage="1" sqref="S6:S110" xr:uid="{C3D1B1D7-FE3C-40CE-91F2-36F2E7599CBE}">
      <formula1>"Tcindicator,Insulation,meas"</formula1>
    </dataValidation>
    <dataValidation type="list" allowBlank="1" showInputMessage="1" showErrorMessage="1" sqref="T6:T110" xr:uid="{AFE1B96E-0044-411E-92F8-F0BC46E2A71B}">
      <formula1>"E,J,K,N,PT100,PT1000,R,S,T"</formula1>
    </dataValidation>
    <dataValidation type="custom" allowBlank="1" showInputMessage="1" showErrorMessage="1" errorTitle="Invalid Resolution" error="Please enter a power of 10._x000a__x000a_Examples:_x000a_...,0.001, 0.01, 0.1, 1, 10, 100,..." sqref="V18:V110 V6:V16" xr:uid="{10BBA403-DE26-40D9-BFFD-3D8C8BFBEEC1}">
      <formula1>INT(LOG10(V6))=LOG10(V6)</formula1>
    </dataValidation>
    <dataValidation type="list" allowBlank="1" showInputMessage="1" showErrorMessage="1" sqref="L6:L110" xr:uid="{CB9BEFC4-F0A4-46CE-8963-7039299E79CF}">
      <formula1>"5502A,3458A,34420A,Transmille"</formula1>
    </dataValidation>
    <dataValidation type="list" allowBlank="1" showInputMessage="1" showErrorMessage="1" sqref="K6:K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Z6:AA110 W6:W110" xr:uid="{FD1101E6-AB7B-4074-A8A8-59FD51267FFE}">
      <formula1>-1E+21</formula1>
      <formula2>1E+21</formula2>
    </dataValidation>
    <dataValidation type="list" allowBlank="1" showInputMessage="1" showErrorMessage="1" sqref="Y6:Y110" xr:uid="{E2B274EE-394E-4200-A9C5-3BDDAE4B42B5}">
      <formula1>"AC,DC"</formula1>
    </dataValidation>
    <dataValidation type="list" allowBlank="1" showInputMessage="1" showErrorMessage="1" sqref="AE6:AE1048576" xr:uid="{8D9D9D77-A2E4-44FF-87F1-FA368EF171E9}">
      <formula1>"kHz"</formula1>
    </dataValidation>
    <dataValidation type="custom" allowBlank="1" showInputMessage="1" showErrorMessage="1" errorTitle="Invalid Unit Format" error="Valid units: Ω, °C, °F, Hz, WAC, F, W_x000a_Alternates: O = Ω, DGC = °C, DGF = °F_x000a_Valid prefixes: G, M, k, h, da, d, c, m, µ, n, p_x000a__x000a_Make sure your entry follows these formats._x000a_e.g., kΩ, mA, Ohm, °C, WDC" sqref="X6:X13 X15:X1048576" xr:uid="{D65C80C1-ABE8-445A-A22D-4F64FA67B915}">
      <formula1>_xlfn.REGEXTEST(X6,"^(G|M|k|h|da|d|c|m|µ|n|p)?(Ω|O|Ohm|Ohms|°C|DGC|°F|DGF|Hz|WAC|F|W|WDC)$")</formula1>
    </dataValidation>
    <dataValidation type="custom" allowBlank="1" showInputMessage="1" showErrorMessage="1" errorTitle="Invalid Unit Format" error="Valid units: Ω, V, A, W, °C, °F, Hz, WAC, F,_x000a_Alternates: O = Ω, DGC = °C, DGF = °F_x000a_Valid prefixes: G, M, k, h, da, d, c, m, µ, n, p_x000a__x000a_Make sure your entry follows these formats._x000a_e.g., kΩ, mA, Ohm, °C, WDC" sqref="X14" xr:uid="{83B6F737-AE0D-442D-BDCF-5872EC3C49FE}">
      <formula1>_xlfn.REGEXTEST(X14,"^(G|M|k|h|da|d|c|m|µ|n|p)?(Ω|O|Ohm|Ohms|°C|DGC|°F|DGF|Hz|WAC|F|W|WDC)$")</formula1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1C3E8-FA9D-47AE-BAB4-2227D3ED47EA}">
  <sheetPr codeName="Sheet10"/>
  <dimension ref="A1:O2959"/>
  <sheetViews>
    <sheetView workbookViewId="0"/>
  </sheetViews>
  <sheetFormatPr defaultRowHeight="15" x14ac:dyDescent="0.25"/>
  <cols>
    <col min="1" max="1" width="10.5703125" bestFit="1" customWidth="1"/>
    <col min="2" max="2" width="11.140625" bestFit="1" customWidth="1"/>
    <col min="3" max="3" width="14.5703125" bestFit="1" customWidth="1"/>
    <col min="4" max="4" width="14.28515625" bestFit="1" customWidth="1"/>
    <col min="5" max="5" width="14.7109375" bestFit="1" customWidth="1"/>
    <col min="6" max="6" width="12" bestFit="1" customWidth="1"/>
    <col min="7" max="7" width="13.85546875" bestFit="1" customWidth="1"/>
    <col min="8" max="8" width="15" bestFit="1" customWidth="1"/>
    <col min="9" max="9" width="14.28515625" bestFit="1" customWidth="1"/>
    <col min="10" max="10" width="14.7109375" bestFit="1" customWidth="1"/>
    <col min="11" max="11" width="15.5703125" bestFit="1" customWidth="1"/>
    <col min="12" max="12" width="12.7109375" bestFit="1" customWidth="1"/>
    <col min="13" max="13" width="12" bestFit="1" customWidth="1"/>
    <col min="14" max="14" width="12.7109375" bestFit="1" customWidth="1"/>
    <col min="15" max="15" width="12" bestFit="1" customWidth="1"/>
  </cols>
  <sheetData>
    <row r="1" spans="1:15" x14ac:dyDescent="0.25">
      <c r="A1" t="s">
        <v>116</v>
      </c>
      <c r="B1" t="s">
        <v>54</v>
      </c>
      <c r="C1" t="s">
        <v>0</v>
      </c>
      <c r="D1" t="s">
        <v>103</v>
      </c>
      <c r="E1" t="s">
        <v>104</v>
      </c>
      <c r="F1" t="s">
        <v>1</v>
      </c>
      <c r="G1" t="s">
        <v>105</v>
      </c>
      <c r="H1" t="s">
        <v>106</v>
      </c>
      <c r="I1" t="s">
        <v>107</v>
      </c>
      <c r="J1" t="s">
        <v>108</v>
      </c>
      <c r="K1" t="s">
        <v>109</v>
      </c>
      <c r="L1" t="s">
        <v>19</v>
      </c>
      <c r="M1" t="s">
        <v>2</v>
      </c>
      <c r="N1" t="s">
        <v>110</v>
      </c>
      <c r="O1" t="s">
        <v>111</v>
      </c>
    </row>
    <row r="2" spans="1:15" x14ac:dyDescent="0.25">
      <c r="A2" s="142" t="s">
        <v>2334</v>
      </c>
      <c r="B2" s="142" t="s">
        <v>53</v>
      </c>
      <c r="C2" s="142" t="s">
        <v>2333</v>
      </c>
      <c r="D2">
        <v>0</v>
      </c>
      <c r="E2">
        <v>1</v>
      </c>
      <c r="F2">
        <v>1E-4</v>
      </c>
      <c r="G2" s="142" t="s">
        <v>46</v>
      </c>
      <c r="H2" s="142" t="s">
        <v>66</v>
      </c>
      <c r="I2">
        <v>0</v>
      </c>
      <c r="J2">
        <v>0</v>
      </c>
      <c r="K2" s="142" t="s">
        <v>1674</v>
      </c>
      <c r="L2">
        <v>2.7</v>
      </c>
      <c r="M2">
        <v>81</v>
      </c>
      <c r="N2">
        <v>2.3132000000000001</v>
      </c>
      <c r="O2">
        <v>81.343999999999994</v>
      </c>
    </row>
    <row r="3" spans="1:15" x14ac:dyDescent="0.25">
      <c r="A3" s="142" t="s">
        <v>2335</v>
      </c>
      <c r="B3" s="142" t="s">
        <v>53</v>
      </c>
      <c r="C3" s="142" t="s">
        <v>2333</v>
      </c>
      <c r="D3">
        <v>1</v>
      </c>
      <c r="E3">
        <v>10</v>
      </c>
      <c r="F3">
        <v>1E-3</v>
      </c>
      <c r="G3" s="142" t="s">
        <v>46</v>
      </c>
      <c r="H3" s="142" t="s">
        <v>66</v>
      </c>
      <c r="I3">
        <v>0</v>
      </c>
      <c r="J3">
        <v>0</v>
      </c>
      <c r="K3" s="142" t="s">
        <v>1674</v>
      </c>
      <c r="L3">
        <v>23</v>
      </c>
      <c r="M3">
        <v>70</v>
      </c>
      <c r="N3">
        <v>22.802</v>
      </c>
      <c r="O3">
        <v>69.95</v>
      </c>
    </row>
    <row r="4" spans="1:15" x14ac:dyDescent="0.25">
      <c r="A4" s="142" t="s">
        <v>2336</v>
      </c>
      <c r="B4" s="142" t="s">
        <v>53</v>
      </c>
      <c r="C4" s="142" t="s">
        <v>2333</v>
      </c>
      <c r="D4">
        <v>10</v>
      </c>
      <c r="E4">
        <v>100</v>
      </c>
      <c r="F4">
        <v>0.01</v>
      </c>
      <c r="G4" s="142" t="s">
        <v>46</v>
      </c>
      <c r="H4" s="142" t="s">
        <v>66</v>
      </c>
      <c r="I4">
        <v>0</v>
      </c>
      <c r="J4">
        <v>0</v>
      </c>
      <c r="K4" s="142" t="s">
        <v>1674</v>
      </c>
      <c r="L4">
        <v>240</v>
      </c>
      <c r="M4">
        <v>70</v>
      </c>
      <c r="N4">
        <v>230.91</v>
      </c>
      <c r="O4">
        <v>69.661000000000001</v>
      </c>
    </row>
    <row r="5" spans="1:15" x14ac:dyDescent="0.25">
      <c r="A5" s="142" t="s">
        <v>117</v>
      </c>
      <c r="B5" s="142" t="s">
        <v>53</v>
      </c>
      <c r="C5" s="142" t="s">
        <v>64</v>
      </c>
      <c r="D5">
        <v>0</v>
      </c>
      <c r="E5">
        <v>1E-3</v>
      </c>
      <c r="F5">
        <v>1E-8</v>
      </c>
      <c r="G5" s="142" t="s">
        <v>6</v>
      </c>
      <c r="H5" s="142" t="s">
        <v>5</v>
      </c>
      <c r="I5">
        <v>0</v>
      </c>
      <c r="J5">
        <v>0</v>
      </c>
      <c r="K5" s="142" t="s">
        <v>1674</v>
      </c>
      <c r="L5">
        <v>0.62</v>
      </c>
      <c r="M5">
        <v>4.5</v>
      </c>
      <c r="N5">
        <v>2.9314E-2</v>
      </c>
      <c r="O5">
        <v>70.043999999999997</v>
      </c>
    </row>
    <row r="6" spans="1:15" x14ac:dyDescent="0.25">
      <c r="A6" s="142" t="s">
        <v>123</v>
      </c>
      <c r="B6" s="142" t="s">
        <v>53</v>
      </c>
      <c r="C6" s="142" t="s">
        <v>64</v>
      </c>
      <c r="D6">
        <v>1E-3</v>
      </c>
      <c r="E6">
        <v>0.01</v>
      </c>
      <c r="F6">
        <v>1E-8</v>
      </c>
      <c r="G6" s="142" t="s">
        <v>6</v>
      </c>
      <c r="H6" s="142" t="s">
        <v>5</v>
      </c>
      <c r="I6">
        <v>0</v>
      </c>
      <c r="J6">
        <v>0</v>
      </c>
      <c r="K6" s="142" t="s">
        <v>1674</v>
      </c>
      <c r="L6">
        <v>0.62</v>
      </c>
      <c r="M6">
        <v>4.5</v>
      </c>
      <c r="N6">
        <v>6.1574999999999998E-2</v>
      </c>
      <c r="O6">
        <v>48.625999999999998</v>
      </c>
    </row>
    <row r="7" spans="1:15" x14ac:dyDescent="0.25">
      <c r="A7" s="142" t="s">
        <v>118</v>
      </c>
      <c r="B7" s="142" t="s">
        <v>53</v>
      </c>
      <c r="C7" s="142" t="s">
        <v>64</v>
      </c>
      <c r="D7">
        <v>0</v>
      </c>
      <c r="E7">
        <v>1E-3</v>
      </c>
      <c r="F7">
        <v>9.9999999999999995E-8</v>
      </c>
      <c r="G7" s="142" t="s">
        <v>6</v>
      </c>
      <c r="H7" s="142" t="s">
        <v>5</v>
      </c>
      <c r="I7">
        <v>0</v>
      </c>
      <c r="J7">
        <v>0</v>
      </c>
      <c r="K7" s="142" t="s">
        <v>1674</v>
      </c>
      <c r="L7">
        <v>0.62</v>
      </c>
      <c r="M7">
        <v>4.5</v>
      </c>
      <c r="N7">
        <v>6.2995999999999996E-2</v>
      </c>
      <c r="O7">
        <v>51.905999999999999</v>
      </c>
    </row>
    <row r="8" spans="1:15" x14ac:dyDescent="0.25">
      <c r="A8" s="142" t="s">
        <v>124</v>
      </c>
      <c r="B8" s="142" t="s">
        <v>53</v>
      </c>
      <c r="C8" s="142" t="s">
        <v>64</v>
      </c>
      <c r="D8">
        <v>1E-3</v>
      </c>
      <c r="E8">
        <v>0.01</v>
      </c>
      <c r="F8">
        <v>9.9999999999999995E-8</v>
      </c>
      <c r="G8" s="142" t="s">
        <v>6</v>
      </c>
      <c r="H8" s="142" t="s">
        <v>5</v>
      </c>
      <c r="I8">
        <v>0</v>
      </c>
      <c r="J8">
        <v>0</v>
      </c>
      <c r="K8" s="142" t="s">
        <v>1674</v>
      </c>
      <c r="L8">
        <v>0.62</v>
      </c>
      <c r="M8">
        <v>4.5</v>
      </c>
      <c r="N8">
        <v>7.7017000000000002E-2</v>
      </c>
      <c r="O8">
        <v>47.384999999999998</v>
      </c>
    </row>
    <row r="9" spans="1:15" x14ac:dyDescent="0.25">
      <c r="A9" s="142" t="s">
        <v>128</v>
      </c>
      <c r="B9" s="142" t="s">
        <v>53</v>
      </c>
      <c r="C9" s="142" t="s">
        <v>64</v>
      </c>
      <c r="D9">
        <v>0.01</v>
      </c>
      <c r="E9">
        <v>0.1</v>
      </c>
      <c r="F9">
        <v>9.9999999999999995E-8</v>
      </c>
      <c r="G9" s="142" t="s">
        <v>6</v>
      </c>
      <c r="H9" s="142" t="s">
        <v>5</v>
      </c>
      <c r="I9">
        <v>0</v>
      </c>
      <c r="J9">
        <v>0</v>
      </c>
      <c r="K9" s="142" t="s">
        <v>1674</v>
      </c>
      <c r="L9">
        <v>0.48</v>
      </c>
      <c r="M9">
        <v>37</v>
      </c>
      <c r="N9">
        <v>0.47103</v>
      </c>
      <c r="O9">
        <v>36.65</v>
      </c>
    </row>
    <row r="10" spans="1:15" x14ac:dyDescent="0.25">
      <c r="A10" s="142" t="s">
        <v>119</v>
      </c>
      <c r="B10" s="142" t="s">
        <v>53</v>
      </c>
      <c r="C10" s="142" t="s">
        <v>64</v>
      </c>
      <c r="D10">
        <v>0</v>
      </c>
      <c r="E10">
        <v>1E-3</v>
      </c>
      <c r="F10">
        <v>9.9999999999999995E-7</v>
      </c>
      <c r="G10" s="142" t="s">
        <v>6</v>
      </c>
      <c r="H10" s="142" t="s">
        <v>5</v>
      </c>
      <c r="I10">
        <v>0</v>
      </c>
      <c r="J10">
        <v>0</v>
      </c>
      <c r="K10" s="142" t="s">
        <v>1674</v>
      </c>
      <c r="L10">
        <v>0.62</v>
      </c>
      <c r="M10">
        <v>4.5</v>
      </c>
      <c r="N10">
        <v>0.58030000000000004</v>
      </c>
      <c r="O10">
        <v>8.1257999999999999</v>
      </c>
    </row>
    <row r="11" spans="1:15" x14ac:dyDescent="0.25">
      <c r="A11" s="142" t="s">
        <v>2168</v>
      </c>
      <c r="B11" s="142" t="s">
        <v>53</v>
      </c>
      <c r="C11" s="142" t="s">
        <v>64</v>
      </c>
      <c r="D11">
        <v>1E-3</v>
      </c>
      <c r="E11">
        <v>0.01</v>
      </c>
      <c r="F11">
        <v>9.9999999999999995E-7</v>
      </c>
      <c r="G11" s="142" t="s">
        <v>6</v>
      </c>
      <c r="H11" s="142" t="s">
        <v>5</v>
      </c>
      <c r="I11">
        <v>0</v>
      </c>
      <c r="J11">
        <v>0</v>
      </c>
      <c r="K11" s="142" t="s">
        <v>1674</v>
      </c>
      <c r="L11">
        <v>0.62</v>
      </c>
      <c r="M11">
        <v>19.315000000000001</v>
      </c>
      <c r="N11">
        <v>0.56730000000000003</v>
      </c>
      <c r="O11">
        <v>23.050999999999998</v>
      </c>
    </row>
    <row r="12" spans="1:15" x14ac:dyDescent="0.25">
      <c r="A12" s="142" t="s">
        <v>129</v>
      </c>
      <c r="B12" s="142" t="s">
        <v>53</v>
      </c>
      <c r="C12" s="142" t="s">
        <v>64</v>
      </c>
      <c r="D12">
        <v>0.01</v>
      </c>
      <c r="E12">
        <v>0.1</v>
      </c>
      <c r="F12">
        <v>9.9999999999999995E-7</v>
      </c>
      <c r="G12" s="142" t="s">
        <v>6</v>
      </c>
      <c r="H12" s="142" t="s">
        <v>5</v>
      </c>
      <c r="I12">
        <v>0</v>
      </c>
      <c r="J12">
        <v>0</v>
      </c>
      <c r="K12" s="142" t="s">
        <v>1674</v>
      </c>
      <c r="L12">
        <v>0.66749000000000003</v>
      </c>
      <c r="M12">
        <v>35.095999999999997</v>
      </c>
      <c r="N12">
        <v>0.66610000000000003</v>
      </c>
      <c r="O12">
        <v>35.1</v>
      </c>
    </row>
    <row r="13" spans="1:15" x14ac:dyDescent="0.25">
      <c r="A13" s="142" t="s">
        <v>133</v>
      </c>
      <c r="B13" s="142" t="s">
        <v>53</v>
      </c>
      <c r="C13" s="142" t="s">
        <v>64</v>
      </c>
      <c r="D13">
        <v>0.1</v>
      </c>
      <c r="E13">
        <v>1</v>
      </c>
      <c r="F13">
        <v>9.9999999999999995E-7</v>
      </c>
      <c r="G13" s="142" t="s">
        <v>6</v>
      </c>
      <c r="H13" s="142" t="s">
        <v>5</v>
      </c>
      <c r="I13">
        <v>0</v>
      </c>
      <c r="J13">
        <v>0</v>
      </c>
      <c r="K13" s="142" t="s">
        <v>1674</v>
      </c>
      <c r="L13">
        <v>4.7</v>
      </c>
      <c r="M13">
        <v>41</v>
      </c>
      <c r="N13">
        <v>4.6432000000000002</v>
      </c>
      <c r="O13">
        <v>40.673999999999999</v>
      </c>
    </row>
    <row r="14" spans="1:15" x14ac:dyDescent="0.25">
      <c r="A14" s="142" t="s">
        <v>120</v>
      </c>
      <c r="B14" s="142" t="s">
        <v>53</v>
      </c>
      <c r="C14" s="142" t="s">
        <v>64</v>
      </c>
      <c r="D14">
        <v>0</v>
      </c>
      <c r="E14">
        <v>1E-3</v>
      </c>
      <c r="F14">
        <v>1.0000000000000001E-5</v>
      </c>
      <c r="G14" s="142" t="s">
        <v>6</v>
      </c>
      <c r="H14" s="142" t="s">
        <v>5</v>
      </c>
      <c r="I14">
        <v>0</v>
      </c>
      <c r="J14">
        <v>0</v>
      </c>
      <c r="K14" s="142" t="s">
        <v>1674</v>
      </c>
      <c r="L14">
        <v>5.8000999999999996</v>
      </c>
      <c r="M14">
        <v>0.87568999999999997</v>
      </c>
      <c r="N14">
        <v>5.8</v>
      </c>
      <c r="O14">
        <v>0.81918999999999997</v>
      </c>
    </row>
    <row r="15" spans="1:15" x14ac:dyDescent="0.25">
      <c r="A15" s="142" t="s">
        <v>125</v>
      </c>
      <c r="B15" s="142" t="s">
        <v>53</v>
      </c>
      <c r="C15" s="142" t="s">
        <v>64</v>
      </c>
      <c r="D15">
        <v>1E-3</v>
      </c>
      <c r="E15">
        <v>0.01</v>
      </c>
      <c r="F15">
        <v>1.0000000000000001E-5</v>
      </c>
      <c r="G15" s="142" t="s">
        <v>6</v>
      </c>
      <c r="H15" s="142" t="s">
        <v>5</v>
      </c>
      <c r="I15">
        <v>0</v>
      </c>
      <c r="J15">
        <v>0</v>
      </c>
      <c r="K15" s="142" t="s">
        <v>1674</v>
      </c>
      <c r="L15">
        <v>5.7983000000000002</v>
      </c>
      <c r="M15">
        <v>2.7768000000000002</v>
      </c>
      <c r="N15">
        <v>5.7983000000000002</v>
      </c>
      <c r="O15">
        <v>2.7521</v>
      </c>
    </row>
    <row r="16" spans="1:15" x14ac:dyDescent="0.25">
      <c r="A16" s="142" t="s">
        <v>130</v>
      </c>
      <c r="B16" s="142" t="s">
        <v>53</v>
      </c>
      <c r="C16" s="142" t="s">
        <v>64</v>
      </c>
      <c r="D16">
        <v>0.01</v>
      </c>
      <c r="E16">
        <v>0.1</v>
      </c>
      <c r="F16">
        <v>1.0000000000000001E-5</v>
      </c>
      <c r="G16" s="142" t="s">
        <v>6</v>
      </c>
      <c r="H16" s="142" t="s">
        <v>5</v>
      </c>
      <c r="I16">
        <v>0</v>
      </c>
      <c r="J16">
        <v>0</v>
      </c>
      <c r="K16" s="142" t="s">
        <v>1674</v>
      </c>
      <c r="L16">
        <v>5.7202999999999999</v>
      </c>
      <c r="M16">
        <v>14.055</v>
      </c>
      <c r="N16">
        <v>5.7195</v>
      </c>
      <c r="O16">
        <v>14.04</v>
      </c>
    </row>
    <row r="17" spans="1:15" x14ac:dyDescent="0.25">
      <c r="A17" s="142" t="s">
        <v>134</v>
      </c>
      <c r="B17" s="142" t="s">
        <v>53</v>
      </c>
      <c r="C17" s="142" t="s">
        <v>64</v>
      </c>
      <c r="D17">
        <v>0.1</v>
      </c>
      <c r="E17">
        <v>1</v>
      </c>
      <c r="F17">
        <v>1.0000000000000001E-5</v>
      </c>
      <c r="G17" s="142" t="s">
        <v>6</v>
      </c>
      <c r="H17" s="142" t="s">
        <v>5</v>
      </c>
      <c r="I17">
        <v>0</v>
      </c>
      <c r="J17">
        <v>0</v>
      </c>
      <c r="K17" s="142" t="s">
        <v>1674</v>
      </c>
      <c r="L17">
        <v>6.5473999999999997</v>
      </c>
      <c r="M17">
        <v>39.143999999999998</v>
      </c>
      <c r="N17">
        <v>6.5339999999999998</v>
      </c>
      <c r="O17">
        <v>39.149000000000001</v>
      </c>
    </row>
    <row r="18" spans="1:15" x14ac:dyDescent="0.25">
      <c r="A18" s="142" t="s">
        <v>138</v>
      </c>
      <c r="B18" s="142" t="s">
        <v>53</v>
      </c>
      <c r="C18" s="142" t="s">
        <v>64</v>
      </c>
      <c r="D18">
        <v>1</v>
      </c>
      <c r="E18">
        <v>10</v>
      </c>
      <c r="F18">
        <v>1.0000000000000001E-5</v>
      </c>
      <c r="G18" s="142" t="s">
        <v>6</v>
      </c>
      <c r="H18" s="142" t="s">
        <v>5</v>
      </c>
      <c r="I18">
        <v>0</v>
      </c>
      <c r="J18">
        <v>0</v>
      </c>
      <c r="K18" s="142" t="s">
        <v>1674</v>
      </c>
      <c r="L18">
        <v>47</v>
      </c>
      <c r="M18">
        <v>35</v>
      </c>
      <c r="N18">
        <v>46.375</v>
      </c>
      <c r="O18">
        <v>34.768000000000001</v>
      </c>
    </row>
    <row r="19" spans="1:15" x14ac:dyDescent="0.25">
      <c r="A19" s="142" t="s">
        <v>121</v>
      </c>
      <c r="B19" s="142" t="s">
        <v>53</v>
      </c>
      <c r="C19" s="142" t="s">
        <v>64</v>
      </c>
      <c r="D19">
        <v>0</v>
      </c>
      <c r="E19">
        <v>1E-3</v>
      </c>
      <c r="F19">
        <v>1E-4</v>
      </c>
      <c r="G19" s="142" t="s">
        <v>6</v>
      </c>
      <c r="H19" s="142" t="s">
        <v>5</v>
      </c>
      <c r="I19">
        <v>0</v>
      </c>
      <c r="J19">
        <v>0</v>
      </c>
      <c r="K19" s="142" t="s">
        <v>1674</v>
      </c>
      <c r="L19">
        <v>58</v>
      </c>
      <c r="M19">
        <v>0.10453</v>
      </c>
      <c r="N19">
        <v>58</v>
      </c>
      <c r="O19">
        <v>8.1924999999999998E-2</v>
      </c>
    </row>
    <row r="20" spans="1:15" x14ac:dyDescent="0.25">
      <c r="A20" s="142" t="s">
        <v>126</v>
      </c>
      <c r="B20" s="142" t="s">
        <v>53</v>
      </c>
      <c r="C20" s="142" t="s">
        <v>64</v>
      </c>
      <c r="D20">
        <v>1E-3</v>
      </c>
      <c r="E20">
        <v>0.01</v>
      </c>
      <c r="F20">
        <v>1E-4</v>
      </c>
      <c r="G20" s="142" t="s">
        <v>6</v>
      </c>
      <c r="H20" s="142" t="s">
        <v>5</v>
      </c>
      <c r="I20">
        <v>0</v>
      </c>
      <c r="J20">
        <v>0</v>
      </c>
      <c r="K20" s="142" t="s">
        <v>1674</v>
      </c>
      <c r="L20">
        <v>58</v>
      </c>
      <c r="M20">
        <v>0.28577999999999998</v>
      </c>
      <c r="N20">
        <v>58</v>
      </c>
      <c r="O20">
        <v>0.27583999999999997</v>
      </c>
    </row>
    <row r="21" spans="1:15" x14ac:dyDescent="0.25">
      <c r="A21" s="142" t="s">
        <v>131</v>
      </c>
      <c r="B21" s="142" t="s">
        <v>53</v>
      </c>
      <c r="C21" s="142" t="s">
        <v>64</v>
      </c>
      <c r="D21">
        <v>0.01</v>
      </c>
      <c r="E21">
        <v>0.1</v>
      </c>
      <c r="F21">
        <v>1E-4</v>
      </c>
      <c r="G21" s="142" t="s">
        <v>6</v>
      </c>
      <c r="H21" s="142" t="s">
        <v>5</v>
      </c>
      <c r="I21">
        <v>0</v>
      </c>
      <c r="J21">
        <v>0</v>
      </c>
      <c r="K21" s="142" t="s">
        <v>1674</v>
      </c>
      <c r="L21">
        <v>57.991</v>
      </c>
      <c r="M21">
        <v>1.5778000000000001</v>
      </c>
      <c r="N21">
        <v>57.99</v>
      </c>
      <c r="O21">
        <v>1.5692999999999999</v>
      </c>
    </row>
    <row r="22" spans="1:15" x14ac:dyDescent="0.25">
      <c r="A22" s="142" t="s">
        <v>135</v>
      </c>
      <c r="B22" s="142" t="s">
        <v>53</v>
      </c>
      <c r="C22" s="142" t="s">
        <v>64</v>
      </c>
      <c r="D22">
        <v>0.1</v>
      </c>
      <c r="E22">
        <v>1</v>
      </c>
      <c r="F22">
        <v>1E-4</v>
      </c>
      <c r="G22" s="142" t="s">
        <v>6</v>
      </c>
      <c r="H22" s="142" t="s">
        <v>5</v>
      </c>
      <c r="I22">
        <v>0</v>
      </c>
      <c r="J22">
        <v>0</v>
      </c>
      <c r="K22" s="142" t="s">
        <v>1674</v>
      </c>
      <c r="L22">
        <v>56.994</v>
      </c>
      <c r="M22">
        <v>16.628</v>
      </c>
      <c r="N22">
        <v>56.985999999999997</v>
      </c>
      <c r="O22">
        <v>16.616</v>
      </c>
    </row>
    <row r="23" spans="1:15" x14ac:dyDescent="0.25">
      <c r="A23" s="142" t="s">
        <v>139</v>
      </c>
      <c r="B23" s="142" t="s">
        <v>53</v>
      </c>
      <c r="C23" s="142" t="s">
        <v>64</v>
      </c>
      <c r="D23">
        <v>1</v>
      </c>
      <c r="E23">
        <v>10</v>
      </c>
      <c r="F23">
        <v>1E-4</v>
      </c>
      <c r="G23" s="142" t="s">
        <v>6</v>
      </c>
      <c r="H23" s="142" t="s">
        <v>5</v>
      </c>
      <c r="I23">
        <v>0</v>
      </c>
      <c r="J23">
        <v>0</v>
      </c>
      <c r="K23" s="142" t="s">
        <v>1674</v>
      </c>
      <c r="L23">
        <v>66.47</v>
      </c>
      <c r="M23">
        <v>33.186</v>
      </c>
      <c r="N23">
        <v>66.385999999999996</v>
      </c>
      <c r="O23">
        <v>33.186999999999998</v>
      </c>
    </row>
    <row r="24" spans="1:15" x14ac:dyDescent="0.25">
      <c r="A24" s="142" t="s">
        <v>144</v>
      </c>
      <c r="B24" s="142" t="s">
        <v>53</v>
      </c>
      <c r="C24" s="142" t="s">
        <v>64</v>
      </c>
      <c r="D24">
        <v>10</v>
      </c>
      <c r="E24">
        <v>100</v>
      </c>
      <c r="F24">
        <v>1E-4</v>
      </c>
      <c r="G24" s="142" t="s">
        <v>6</v>
      </c>
      <c r="H24" s="142" t="s">
        <v>4</v>
      </c>
      <c r="I24">
        <v>0</v>
      </c>
      <c r="J24">
        <v>0</v>
      </c>
      <c r="K24" s="142" t="s">
        <v>1674</v>
      </c>
      <c r="L24">
        <v>0.57999999999999996</v>
      </c>
      <c r="M24">
        <v>4.1000000000000002E-2</v>
      </c>
      <c r="N24">
        <v>0.57826</v>
      </c>
      <c r="O24">
        <v>4.0627999999999997E-2</v>
      </c>
    </row>
    <row r="25" spans="1:15" x14ac:dyDescent="0.25">
      <c r="A25" s="142" t="s">
        <v>122</v>
      </c>
      <c r="B25" s="142" t="s">
        <v>53</v>
      </c>
      <c r="C25" s="142" t="s">
        <v>64</v>
      </c>
      <c r="D25">
        <v>0</v>
      </c>
      <c r="E25">
        <v>1E-3</v>
      </c>
      <c r="F25">
        <v>1E-3</v>
      </c>
      <c r="G25" s="142" t="s">
        <v>6</v>
      </c>
      <c r="H25" s="142" t="s">
        <v>5</v>
      </c>
      <c r="I25">
        <v>0</v>
      </c>
      <c r="J25">
        <v>0</v>
      </c>
      <c r="K25" s="142" t="s">
        <v>1674</v>
      </c>
      <c r="L25">
        <v>580</v>
      </c>
      <c r="M25">
        <v>1.7235E-2</v>
      </c>
      <c r="N25">
        <v>580</v>
      </c>
      <c r="O25">
        <v>8.1925000000000001E-3</v>
      </c>
    </row>
    <row r="26" spans="1:15" x14ac:dyDescent="0.25">
      <c r="A26" s="142" t="s">
        <v>127</v>
      </c>
      <c r="B26" s="142" t="s">
        <v>53</v>
      </c>
      <c r="C26" s="142" t="s">
        <v>64</v>
      </c>
      <c r="D26">
        <v>1E-3</v>
      </c>
      <c r="E26">
        <v>0.01</v>
      </c>
      <c r="F26">
        <v>1E-3</v>
      </c>
      <c r="G26" s="142" t="s">
        <v>6</v>
      </c>
      <c r="H26" s="142" t="s">
        <v>5</v>
      </c>
      <c r="I26">
        <v>0</v>
      </c>
      <c r="J26">
        <v>0</v>
      </c>
      <c r="K26" s="142" t="s">
        <v>1674</v>
      </c>
      <c r="L26">
        <v>580</v>
      </c>
      <c r="M26">
        <v>3.1563000000000001E-2</v>
      </c>
      <c r="N26">
        <v>580</v>
      </c>
      <c r="O26">
        <v>2.7584000000000001E-2</v>
      </c>
    </row>
    <row r="27" spans="1:15" x14ac:dyDescent="0.25">
      <c r="A27" s="142" t="s">
        <v>2169</v>
      </c>
      <c r="B27" s="142" t="s">
        <v>53</v>
      </c>
      <c r="C27" s="142" t="s">
        <v>64</v>
      </c>
      <c r="D27">
        <v>0.01</v>
      </c>
      <c r="E27">
        <v>0.1</v>
      </c>
      <c r="F27">
        <v>1E-3</v>
      </c>
      <c r="G27" s="142" t="s">
        <v>6</v>
      </c>
      <c r="H27" s="142" t="s">
        <v>5</v>
      </c>
      <c r="I27">
        <v>0</v>
      </c>
      <c r="J27">
        <v>0</v>
      </c>
      <c r="K27" s="142" t="s">
        <v>1674</v>
      </c>
      <c r="L27">
        <v>580</v>
      </c>
      <c r="M27">
        <v>0.16053000000000001</v>
      </c>
      <c r="N27">
        <v>580</v>
      </c>
      <c r="O27">
        <v>0.15714</v>
      </c>
    </row>
    <row r="28" spans="1:15" x14ac:dyDescent="0.25">
      <c r="A28" s="142" t="s">
        <v>136</v>
      </c>
      <c r="B28" s="142" t="s">
        <v>53</v>
      </c>
      <c r="C28" s="142" t="s">
        <v>64</v>
      </c>
      <c r="D28">
        <v>0.1</v>
      </c>
      <c r="E28">
        <v>1</v>
      </c>
      <c r="F28">
        <v>1E-3</v>
      </c>
      <c r="G28" s="142" t="s">
        <v>6</v>
      </c>
      <c r="H28" s="142" t="s">
        <v>5</v>
      </c>
      <c r="I28">
        <v>0</v>
      </c>
      <c r="J28">
        <v>0</v>
      </c>
      <c r="K28" s="142" t="s">
        <v>1674</v>
      </c>
      <c r="L28">
        <v>579.88</v>
      </c>
      <c r="M28">
        <v>1.8986000000000001</v>
      </c>
      <c r="N28">
        <v>579.88</v>
      </c>
      <c r="O28">
        <v>1.8914</v>
      </c>
    </row>
    <row r="29" spans="1:15" x14ac:dyDescent="0.25">
      <c r="A29" s="142" t="s">
        <v>140</v>
      </c>
      <c r="B29" s="142" t="s">
        <v>53</v>
      </c>
      <c r="C29" s="142" t="s">
        <v>64</v>
      </c>
      <c r="D29">
        <v>1</v>
      </c>
      <c r="E29">
        <v>10</v>
      </c>
      <c r="F29">
        <v>1E-3</v>
      </c>
      <c r="G29" s="142" t="s">
        <v>6</v>
      </c>
      <c r="H29" s="142" t="s">
        <v>5</v>
      </c>
      <c r="I29">
        <v>0</v>
      </c>
      <c r="J29">
        <v>0</v>
      </c>
      <c r="K29" s="142" t="s">
        <v>1674</v>
      </c>
      <c r="L29">
        <v>572.82000000000005</v>
      </c>
      <c r="M29">
        <v>12.852</v>
      </c>
      <c r="N29">
        <v>572.78</v>
      </c>
      <c r="O29">
        <v>12.839</v>
      </c>
    </row>
    <row r="30" spans="1:15" x14ac:dyDescent="0.25">
      <c r="A30" s="142" t="s">
        <v>145</v>
      </c>
      <c r="B30" s="142" t="s">
        <v>53</v>
      </c>
      <c r="C30" s="142" t="s">
        <v>64</v>
      </c>
      <c r="D30">
        <v>10</v>
      </c>
      <c r="E30">
        <v>100</v>
      </c>
      <c r="F30">
        <v>1E-3</v>
      </c>
      <c r="G30" s="142" t="s">
        <v>6</v>
      </c>
      <c r="H30" s="142" t="s">
        <v>4</v>
      </c>
      <c r="I30">
        <v>0</v>
      </c>
      <c r="J30">
        <v>0</v>
      </c>
      <c r="K30" s="142" t="s">
        <v>1674</v>
      </c>
      <c r="L30">
        <v>0.74909000000000003</v>
      </c>
      <c r="M30">
        <v>3.9283999999999999E-2</v>
      </c>
      <c r="N30">
        <v>0.74834000000000001</v>
      </c>
      <c r="O30">
        <v>3.9285E-2</v>
      </c>
    </row>
    <row r="31" spans="1:15" x14ac:dyDescent="0.25">
      <c r="A31" s="142" t="s">
        <v>132</v>
      </c>
      <c r="B31" s="142" t="s">
        <v>53</v>
      </c>
      <c r="C31" s="142" t="s">
        <v>64</v>
      </c>
      <c r="D31">
        <v>0.01</v>
      </c>
      <c r="E31">
        <v>0.1</v>
      </c>
      <c r="F31">
        <v>0.01</v>
      </c>
      <c r="G31" s="142" t="s">
        <v>6</v>
      </c>
      <c r="H31" s="142" t="s">
        <v>5</v>
      </c>
      <c r="I31">
        <v>0</v>
      </c>
      <c r="J31">
        <v>0</v>
      </c>
      <c r="K31" s="142" t="s">
        <v>1674</v>
      </c>
      <c r="L31">
        <v>5800</v>
      </c>
      <c r="M31">
        <v>1.7069999999999998E-2</v>
      </c>
      <c r="N31">
        <v>5800</v>
      </c>
      <c r="O31">
        <v>1.5713999999999999E-2</v>
      </c>
    </row>
    <row r="32" spans="1:15" x14ac:dyDescent="0.25">
      <c r="A32" s="142" t="s">
        <v>2170</v>
      </c>
      <c r="B32" s="142" t="s">
        <v>53</v>
      </c>
      <c r="C32" s="142" t="s">
        <v>64</v>
      </c>
      <c r="D32">
        <v>0.1</v>
      </c>
      <c r="E32">
        <v>1</v>
      </c>
      <c r="F32">
        <v>0.01</v>
      </c>
      <c r="G32" s="142" t="s">
        <v>6</v>
      </c>
      <c r="H32" s="142" t="s">
        <v>5</v>
      </c>
      <c r="I32">
        <v>0</v>
      </c>
      <c r="J32">
        <v>0</v>
      </c>
      <c r="K32" s="142" t="s">
        <v>1674</v>
      </c>
      <c r="L32">
        <v>5800</v>
      </c>
      <c r="M32">
        <v>0.1923</v>
      </c>
      <c r="N32">
        <v>5800</v>
      </c>
      <c r="O32">
        <v>0.18944</v>
      </c>
    </row>
    <row r="33" spans="1:15" x14ac:dyDescent="0.25">
      <c r="A33" s="142" t="s">
        <v>141</v>
      </c>
      <c r="B33" s="142" t="s">
        <v>53</v>
      </c>
      <c r="C33" s="142" t="s">
        <v>64</v>
      </c>
      <c r="D33">
        <v>1</v>
      </c>
      <c r="E33">
        <v>10</v>
      </c>
      <c r="F33">
        <v>0.01</v>
      </c>
      <c r="G33" s="142" t="s">
        <v>6</v>
      </c>
      <c r="H33" s="142" t="s">
        <v>5</v>
      </c>
      <c r="I33">
        <v>0</v>
      </c>
      <c r="J33">
        <v>0</v>
      </c>
      <c r="K33" s="142" t="s">
        <v>1674</v>
      </c>
      <c r="L33">
        <v>5799.2</v>
      </c>
      <c r="M33">
        <v>1.4291</v>
      </c>
      <c r="N33">
        <v>5799.2</v>
      </c>
      <c r="O33">
        <v>1.4226000000000001</v>
      </c>
    </row>
    <row r="34" spans="1:15" x14ac:dyDescent="0.25">
      <c r="A34" s="142" t="s">
        <v>146</v>
      </c>
      <c r="B34" s="142" t="s">
        <v>53</v>
      </c>
      <c r="C34" s="142" t="s">
        <v>64</v>
      </c>
      <c r="D34">
        <v>10</v>
      </c>
      <c r="E34">
        <v>100</v>
      </c>
      <c r="F34">
        <v>0.01</v>
      </c>
      <c r="G34" s="142" t="s">
        <v>6</v>
      </c>
      <c r="H34" s="142" t="s">
        <v>4</v>
      </c>
      <c r="I34">
        <v>0</v>
      </c>
      <c r="J34">
        <v>0</v>
      </c>
      <c r="K34" s="142" t="s">
        <v>1674</v>
      </c>
      <c r="L34">
        <v>5.7114000000000003</v>
      </c>
      <c r="M34">
        <v>1.7184000000000001E-2</v>
      </c>
      <c r="N34">
        <v>5.7110000000000003</v>
      </c>
      <c r="O34">
        <v>1.7170999999999999E-2</v>
      </c>
    </row>
    <row r="35" spans="1:15" x14ac:dyDescent="0.25">
      <c r="A35" s="142" t="s">
        <v>137</v>
      </c>
      <c r="B35" s="142" t="s">
        <v>53</v>
      </c>
      <c r="C35" s="142" t="s">
        <v>64</v>
      </c>
      <c r="D35">
        <v>0.1</v>
      </c>
      <c r="E35">
        <v>1</v>
      </c>
      <c r="F35">
        <v>0.1</v>
      </c>
      <c r="G35" s="142" t="s">
        <v>6</v>
      </c>
      <c r="H35" s="142" t="s">
        <v>5</v>
      </c>
      <c r="I35">
        <v>0</v>
      </c>
      <c r="J35">
        <v>0</v>
      </c>
      <c r="K35" s="142" t="s">
        <v>1674</v>
      </c>
      <c r="L35">
        <v>58000</v>
      </c>
      <c r="M35">
        <v>2.009E-2</v>
      </c>
      <c r="N35">
        <v>58000</v>
      </c>
      <c r="O35">
        <v>1.8943999999999999E-2</v>
      </c>
    </row>
    <row r="36" spans="1:15" x14ac:dyDescent="0.25">
      <c r="A36" s="142" t="s">
        <v>142</v>
      </c>
      <c r="B36" s="142" t="s">
        <v>53</v>
      </c>
      <c r="C36" s="142" t="s">
        <v>64</v>
      </c>
      <c r="D36">
        <v>1</v>
      </c>
      <c r="E36">
        <v>10</v>
      </c>
      <c r="F36">
        <v>0.1</v>
      </c>
      <c r="G36" s="142" t="s">
        <v>6</v>
      </c>
      <c r="H36" s="142" t="s">
        <v>5</v>
      </c>
      <c r="I36">
        <v>0</v>
      </c>
      <c r="J36">
        <v>0</v>
      </c>
      <c r="K36" s="142" t="s">
        <v>1674</v>
      </c>
      <c r="L36">
        <v>58000</v>
      </c>
      <c r="M36">
        <v>0.14505999999999999</v>
      </c>
      <c r="N36">
        <v>58000</v>
      </c>
      <c r="O36">
        <v>0.14243</v>
      </c>
    </row>
    <row r="37" spans="1:15" x14ac:dyDescent="0.25">
      <c r="A37" s="142" t="s">
        <v>147</v>
      </c>
      <c r="B37" s="142" t="s">
        <v>53</v>
      </c>
      <c r="C37" s="142" t="s">
        <v>64</v>
      </c>
      <c r="D37">
        <v>10</v>
      </c>
      <c r="E37">
        <v>100</v>
      </c>
      <c r="F37">
        <v>0.1</v>
      </c>
      <c r="G37" s="142" t="s">
        <v>6</v>
      </c>
      <c r="H37" s="142" t="s">
        <v>4</v>
      </c>
      <c r="I37">
        <v>0</v>
      </c>
      <c r="J37">
        <v>0</v>
      </c>
      <c r="K37" s="142" t="s">
        <v>1674</v>
      </c>
      <c r="L37">
        <v>57.988999999999997</v>
      </c>
      <c r="M37">
        <v>1.9743999999999999E-3</v>
      </c>
      <c r="N37">
        <v>57.988999999999997</v>
      </c>
      <c r="O37">
        <v>1.9670999999999998E-3</v>
      </c>
    </row>
    <row r="38" spans="1:15" x14ac:dyDescent="0.25">
      <c r="A38" s="142" t="s">
        <v>143</v>
      </c>
      <c r="B38" s="142" t="s">
        <v>53</v>
      </c>
      <c r="C38" s="142" t="s">
        <v>64</v>
      </c>
      <c r="D38">
        <v>1</v>
      </c>
      <c r="E38">
        <v>10</v>
      </c>
      <c r="F38">
        <v>1</v>
      </c>
      <c r="G38" s="142" t="s">
        <v>6</v>
      </c>
      <c r="H38" s="142" t="s">
        <v>5</v>
      </c>
      <c r="I38">
        <v>0</v>
      </c>
      <c r="J38">
        <v>0</v>
      </c>
      <c r="K38" s="142" t="s">
        <v>1674</v>
      </c>
      <c r="L38">
        <v>580000</v>
      </c>
      <c r="M38">
        <v>1.5298000000000001E-2</v>
      </c>
      <c r="N38">
        <v>580000</v>
      </c>
      <c r="O38">
        <v>1.4243E-2</v>
      </c>
    </row>
    <row r="39" spans="1:15" x14ac:dyDescent="0.25">
      <c r="A39" s="142" t="s">
        <v>2171</v>
      </c>
      <c r="B39" s="142" t="s">
        <v>53</v>
      </c>
      <c r="C39" s="142" t="s">
        <v>64</v>
      </c>
      <c r="D39">
        <v>10</v>
      </c>
      <c r="E39">
        <v>100</v>
      </c>
      <c r="F39">
        <v>1</v>
      </c>
      <c r="G39" s="142" t="s">
        <v>6</v>
      </c>
      <c r="H39" s="142" t="s">
        <v>4</v>
      </c>
      <c r="I39">
        <v>0</v>
      </c>
      <c r="J39">
        <v>0</v>
      </c>
      <c r="K39" s="142" t="s">
        <v>1674</v>
      </c>
      <c r="L39">
        <v>580</v>
      </c>
      <c r="M39">
        <v>1.9997E-4</v>
      </c>
      <c r="N39">
        <v>580</v>
      </c>
      <c r="O39">
        <v>1.9703E-4</v>
      </c>
    </row>
    <row r="40" spans="1:15" x14ac:dyDescent="0.25">
      <c r="A40" s="142" t="s">
        <v>2337</v>
      </c>
      <c r="B40" s="142" t="s">
        <v>53</v>
      </c>
      <c r="C40" s="142" t="s">
        <v>7</v>
      </c>
      <c r="D40">
        <v>0</v>
      </c>
      <c r="E40">
        <v>1</v>
      </c>
      <c r="F40">
        <v>9.9999999999999995E-7</v>
      </c>
      <c r="G40" s="142" t="s">
        <v>46</v>
      </c>
      <c r="H40" s="142" t="s">
        <v>66</v>
      </c>
      <c r="I40">
        <v>0</v>
      </c>
      <c r="J40">
        <v>0</v>
      </c>
      <c r="K40" s="142" t="s">
        <v>1674</v>
      </c>
      <c r="L40">
        <v>2.7</v>
      </c>
      <c r="M40">
        <v>81</v>
      </c>
      <c r="N40">
        <v>2.3856999999999999</v>
      </c>
      <c r="O40">
        <v>81.274000000000001</v>
      </c>
    </row>
    <row r="41" spans="1:15" x14ac:dyDescent="0.25">
      <c r="A41" s="142" t="s">
        <v>2338</v>
      </c>
      <c r="B41" s="142" t="s">
        <v>53</v>
      </c>
      <c r="C41" s="142" t="s">
        <v>7</v>
      </c>
      <c r="D41">
        <v>1</v>
      </c>
      <c r="E41">
        <v>10</v>
      </c>
      <c r="F41">
        <v>9.9999999999999995E-7</v>
      </c>
      <c r="G41" s="142" t="s">
        <v>46</v>
      </c>
      <c r="H41" s="142" t="s">
        <v>66</v>
      </c>
      <c r="I41">
        <v>0</v>
      </c>
      <c r="J41">
        <v>0</v>
      </c>
      <c r="K41" s="142" t="s">
        <v>1674</v>
      </c>
      <c r="L41">
        <v>23</v>
      </c>
      <c r="M41">
        <v>70</v>
      </c>
      <c r="N41">
        <v>22.975000000000001</v>
      </c>
      <c r="O41">
        <v>69.897999999999996</v>
      </c>
    </row>
    <row r="42" spans="1:15" x14ac:dyDescent="0.25">
      <c r="A42" s="142" t="s">
        <v>2339</v>
      </c>
      <c r="B42" s="142" t="s">
        <v>53</v>
      </c>
      <c r="C42" s="142" t="s">
        <v>7</v>
      </c>
      <c r="D42">
        <v>0</v>
      </c>
      <c r="E42">
        <v>1</v>
      </c>
      <c r="F42">
        <v>1.0000000000000001E-5</v>
      </c>
      <c r="G42" s="142" t="s">
        <v>46</v>
      </c>
      <c r="H42" s="142" t="s">
        <v>66</v>
      </c>
      <c r="I42">
        <v>0</v>
      </c>
      <c r="J42">
        <v>0</v>
      </c>
      <c r="K42" s="142" t="s">
        <v>1674</v>
      </c>
      <c r="L42">
        <v>6.2016999999999998</v>
      </c>
      <c r="M42">
        <v>77.664000000000001</v>
      </c>
      <c r="N42">
        <v>6.1745999999999999</v>
      </c>
      <c r="O42">
        <v>77.682000000000002</v>
      </c>
    </row>
    <row r="43" spans="1:15" x14ac:dyDescent="0.25">
      <c r="A43" s="142" t="s">
        <v>2340</v>
      </c>
      <c r="B43" s="142" t="s">
        <v>53</v>
      </c>
      <c r="C43" s="142" t="s">
        <v>7</v>
      </c>
      <c r="D43">
        <v>1</v>
      </c>
      <c r="E43">
        <v>10</v>
      </c>
      <c r="F43">
        <v>1.0000000000000001E-5</v>
      </c>
      <c r="G43" s="142" t="s">
        <v>46</v>
      </c>
      <c r="H43" s="142" t="s">
        <v>66</v>
      </c>
      <c r="I43">
        <v>0</v>
      </c>
      <c r="J43">
        <v>0</v>
      </c>
      <c r="K43" s="142" t="s">
        <v>1674</v>
      </c>
      <c r="L43">
        <v>23.152000000000001</v>
      </c>
      <c r="M43">
        <v>69.881</v>
      </c>
      <c r="N43">
        <v>23.143999999999998</v>
      </c>
      <c r="O43">
        <v>69.881</v>
      </c>
    </row>
    <row r="44" spans="1:15" x14ac:dyDescent="0.25">
      <c r="A44" s="142" t="s">
        <v>2341</v>
      </c>
      <c r="B44" s="142" t="s">
        <v>53</v>
      </c>
      <c r="C44" s="142" t="s">
        <v>7</v>
      </c>
      <c r="D44">
        <v>10</v>
      </c>
      <c r="E44">
        <v>100</v>
      </c>
      <c r="F44">
        <v>1.0000000000000001E-5</v>
      </c>
      <c r="G44" s="142" t="s">
        <v>46</v>
      </c>
      <c r="H44" s="142" t="s">
        <v>66</v>
      </c>
      <c r="I44">
        <v>0</v>
      </c>
      <c r="J44">
        <v>0</v>
      </c>
      <c r="K44" s="142" t="s">
        <v>1674</v>
      </c>
      <c r="L44">
        <v>26</v>
      </c>
      <c r="M44">
        <v>70</v>
      </c>
      <c r="N44">
        <v>25.960999999999999</v>
      </c>
      <c r="O44">
        <v>69.605000000000004</v>
      </c>
    </row>
    <row r="45" spans="1:15" x14ac:dyDescent="0.25">
      <c r="A45" s="142" t="s">
        <v>2342</v>
      </c>
      <c r="B45" s="142" t="s">
        <v>53</v>
      </c>
      <c r="C45" s="142" t="s">
        <v>7</v>
      </c>
      <c r="D45">
        <v>0</v>
      </c>
      <c r="E45">
        <v>1</v>
      </c>
      <c r="F45">
        <v>1E-4</v>
      </c>
      <c r="G45" s="142" t="s">
        <v>46</v>
      </c>
      <c r="H45" s="142" t="s">
        <v>66</v>
      </c>
      <c r="I45">
        <v>0</v>
      </c>
      <c r="J45">
        <v>0</v>
      </c>
      <c r="K45" s="142" t="s">
        <v>1674</v>
      </c>
      <c r="L45">
        <v>57.753</v>
      </c>
      <c r="M45">
        <v>43.921999999999997</v>
      </c>
      <c r="N45">
        <v>57.741999999999997</v>
      </c>
      <c r="O45">
        <v>43.905000000000001</v>
      </c>
    </row>
    <row r="46" spans="1:15" x14ac:dyDescent="0.25">
      <c r="A46" s="142" t="s">
        <v>2343</v>
      </c>
      <c r="B46" s="142" t="s">
        <v>53</v>
      </c>
      <c r="C46" s="142" t="s">
        <v>7</v>
      </c>
      <c r="D46">
        <v>1</v>
      </c>
      <c r="E46">
        <v>10</v>
      </c>
      <c r="F46">
        <v>1E-4</v>
      </c>
      <c r="G46" s="142" t="s">
        <v>46</v>
      </c>
      <c r="H46" s="142" t="s">
        <v>66</v>
      </c>
      <c r="I46">
        <v>0</v>
      </c>
      <c r="J46">
        <v>0</v>
      </c>
      <c r="K46" s="142" t="s">
        <v>1674</v>
      </c>
      <c r="L46">
        <v>41.042000000000002</v>
      </c>
      <c r="M46">
        <v>68.320999999999998</v>
      </c>
      <c r="N46">
        <v>41.01</v>
      </c>
      <c r="O46">
        <v>68.322999999999993</v>
      </c>
    </row>
    <row r="47" spans="1:15" x14ac:dyDescent="0.25">
      <c r="A47" s="142" t="s">
        <v>2344</v>
      </c>
      <c r="B47" s="142" t="s">
        <v>53</v>
      </c>
      <c r="C47" s="142" t="s">
        <v>7</v>
      </c>
      <c r="D47">
        <v>10</v>
      </c>
      <c r="E47">
        <v>100</v>
      </c>
      <c r="F47">
        <v>1E-4</v>
      </c>
      <c r="G47" s="142" t="s">
        <v>46</v>
      </c>
      <c r="H47" s="142" t="s">
        <v>66</v>
      </c>
      <c r="I47">
        <v>0</v>
      </c>
      <c r="J47">
        <v>0</v>
      </c>
      <c r="K47" s="142" t="s">
        <v>1674</v>
      </c>
      <c r="L47">
        <v>28.568000000000001</v>
      </c>
      <c r="M47">
        <v>69.581999999999994</v>
      </c>
      <c r="N47">
        <v>28.436</v>
      </c>
      <c r="O47">
        <v>69.582999999999998</v>
      </c>
    </row>
    <row r="48" spans="1:15" x14ac:dyDescent="0.25">
      <c r="A48" s="142" t="s">
        <v>2345</v>
      </c>
      <c r="B48" s="142" t="s">
        <v>53</v>
      </c>
      <c r="C48" s="142" t="s">
        <v>7</v>
      </c>
      <c r="D48">
        <v>100</v>
      </c>
      <c r="E48">
        <v>1000</v>
      </c>
      <c r="F48">
        <v>1E-4</v>
      </c>
      <c r="G48" s="142" t="s">
        <v>46</v>
      </c>
      <c r="H48" s="142" t="s">
        <v>45</v>
      </c>
      <c r="I48">
        <v>0</v>
      </c>
      <c r="J48">
        <v>0</v>
      </c>
      <c r="K48" s="142" t="s">
        <v>1674</v>
      </c>
      <c r="L48">
        <v>2.4</v>
      </c>
      <c r="M48">
        <v>7.0000000000000007E-2</v>
      </c>
      <c r="N48">
        <v>2.3031999999999999</v>
      </c>
      <c r="O48">
        <v>6.9641999999999996E-2</v>
      </c>
    </row>
    <row r="49" spans="1:15" x14ac:dyDescent="0.25">
      <c r="A49" s="142" t="s">
        <v>2346</v>
      </c>
      <c r="B49" s="142" t="s">
        <v>53</v>
      </c>
      <c r="C49" s="142" t="s">
        <v>7</v>
      </c>
      <c r="D49">
        <v>0</v>
      </c>
      <c r="E49">
        <v>1</v>
      </c>
      <c r="F49">
        <v>1E-3</v>
      </c>
      <c r="G49" s="142" t="s">
        <v>46</v>
      </c>
      <c r="H49" s="142" t="s">
        <v>66</v>
      </c>
      <c r="I49">
        <v>0</v>
      </c>
      <c r="J49">
        <v>0</v>
      </c>
      <c r="K49" s="142" t="s">
        <v>1674</v>
      </c>
      <c r="L49">
        <v>577.36</v>
      </c>
      <c r="M49">
        <v>6.0457000000000001</v>
      </c>
      <c r="N49">
        <v>577.35</v>
      </c>
      <c r="O49">
        <v>6.0305</v>
      </c>
    </row>
    <row r="50" spans="1:15" x14ac:dyDescent="0.25">
      <c r="A50" s="142" t="s">
        <v>2347</v>
      </c>
      <c r="B50" s="142" t="s">
        <v>53</v>
      </c>
      <c r="C50" s="142" t="s">
        <v>7</v>
      </c>
      <c r="D50">
        <v>1</v>
      </c>
      <c r="E50">
        <v>10</v>
      </c>
      <c r="F50">
        <v>1E-3</v>
      </c>
      <c r="G50" s="142" t="s">
        <v>46</v>
      </c>
      <c r="H50" s="142" t="s">
        <v>66</v>
      </c>
      <c r="I50">
        <v>0</v>
      </c>
      <c r="J50">
        <v>0</v>
      </c>
      <c r="K50" s="142" t="s">
        <v>1674</v>
      </c>
      <c r="L50">
        <v>547.05999999999995</v>
      </c>
      <c r="M50">
        <v>37.74</v>
      </c>
      <c r="N50">
        <v>547.04</v>
      </c>
      <c r="O50">
        <v>37.737000000000002</v>
      </c>
    </row>
    <row r="51" spans="1:15" x14ac:dyDescent="0.25">
      <c r="A51" s="142" t="s">
        <v>2348</v>
      </c>
      <c r="B51" s="142" t="s">
        <v>53</v>
      </c>
      <c r="C51" s="142" t="s">
        <v>7</v>
      </c>
      <c r="D51">
        <v>10</v>
      </c>
      <c r="E51">
        <v>100</v>
      </c>
      <c r="F51">
        <v>1E-3</v>
      </c>
      <c r="G51" s="142" t="s">
        <v>46</v>
      </c>
      <c r="H51" s="142" t="s">
        <v>66</v>
      </c>
      <c r="I51">
        <v>0</v>
      </c>
      <c r="J51">
        <v>0</v>
      </c>
      <c r="K51" s="142" t="s">
        <v>1674</v>
      </c>
      <c r="L51">
        <v>248.62</v>
      </c>
      <c r="M51">
        <v>67.619</v>
      </c>
      <c r="N51">
        <v>248.22</v>
      </c>
      <c r="O51">
        <v>67.620999999999995</v>
      </c>
    </row>
    <row r="52" spans="1:15" x14ac:dyDescent="0.25">
      <c r="A52" s="142" t="s">
        <v>2349</v>
      </c>
      <c r="B52" s="142" t="s">
        <v>53</v>
      </c>
      <c r="C52" s="142" t="s">
        <v>7</v>
      </c>
      <c r="D52">
        <v>100</v>
      </c>
      <c r="E52">
        <v>1000</v>
      </c>
      <c r="F52">
        <v>1E-3</v>
      </c>
      <c r="G52" s="142" t="s">
        <v>46</v>
      </c>
      <c r="H52" s="142" t="s">
        <v>45</v>
      </c>
      <c r="I52">
        <v>0</v>
      </c>
      <c r="J52">
        <v>0</v>
      </c>
      <c r="K52" s="142" t="s">
        <v>1674</v>
      </c>
      <c r="L52">
        <v>2.4</v>
      </c>
      <c r="M52">
        <v>6.9624000000000005E-2</v>
      </c>
      <c r="N52">
        <v>2.3201000000000001</v>
      </c>
      <c r="O52">
        <v>6.9625000000000006E-2</v>
      </c>
    </row>
    <row r="53" spans="1:15" x14ac:dyDescent="0.25">
      <c r="A53" s="142" t="s">
        <v>2193</v>
      </c>
      <c r="B53" s="142" t="s">
        <v>53</v>
      </c>
      <c r="C53" s="142" t="s">
        <v>7</v>
      </c>
      <c r="D53">
        <v>1000</v>
      </c>
      <c r="E53">
        <v>10000</v>
      </c>
      <c r="F53">
        <v>1E-3</v>
      </c>
      <c r="G53" s="142" t="s">
        <v>46</v>
      </c>
      <c r="H53" s="142" t="s">
        <v>45</v>
      </c>
      <c r="I53">
        <v>0</v>
      </c>
      <c r="J53">
        <v>0</v>
      </c>
      <c r="K53" s="142" t="s">
        <v>1674</v>
      </c>
      <c r="L53">
        <v>51</v>
      </c>
      <c r="M53">
        <v>6.9000000000000006E-2</v>
      </c>
      <c r="N53">
        <v>46.273000000000003</v>
      </c>
      <c r="O53">
        <v>6.9422999999999999E-2</v>
      </c>
    </row>
    <row r="54" spans="1:15" x14ac:dyDescent="0.25">
      <c r="A54" s="142" t="s">
        <v>2350</v>
      </c>
      <c r="B54" s="142" t="s">
        <v>53</v>
      </c>
      <c r="C54" s="142" t="s">
        <v>7</v>
      </c>
      <c r="D54">
        <v>0</v>
      </c>
      <c r="E54">
        <v>1</v>
      </c>
      <c r="F54">
        <v>0.01</v>
      </c>
      <c r="G54" s="142" t="s">
        <v>46</v>
      </c>
      <c r="H54" s="142" t="s">
        <v>66</v>
      </c>
      <c r="I54">
        <v>0</v>
      </c>
      <c r="J54">
        <v>0</v>
      </c>
      <c r="K54" s="142" t="s">
        <v>1674</v>
      </c>
      <c r="L54">
        <v>5773.6</v>
      </c>
      <c r="M54">
        <v>0.61231000000000002</v>
      </c>
      <c r="N54">
        <v>5773.6</v>
      </c>
      <c r="O54">
        <v>0.60616999999999999</v>
      </c>
    </row>
    <row r="55" spans="1:15" x14ac:dyDescent="0.25">
      <c r="A55" s="142" t="s">
        <v>2351</v>
      </c>
      <c r="B55" s="142" t="s">
        <v>53</v>
      </c>
      <c r="C55" s="142" t="s">
        <v>7</v>
      </c>
      <c r="D55">
        <v>1</v>
      </c>
      <c r="E55">
        <v>10</v>
      </c>
      <c r="F55">
        <v>0.01</v>
      </c>
      <c r="G55" s="142" t="s">
        <v>46</v>
      </c>
      <c r="H55" s="142" t="s">
        <v>66</v>
      </c>
      <c r="I55">
        <v>0</v>
      </c>
      <c r="J55">
        <v>0</v>
      </c>
      <c r="K55" s="142" t="s">
        <v>1674</v>
      </c>
      <c r="L55">
        <v>5769.4</v>
      </c>
      <c r="M55">
        <v>4.9153000000000002</v>
      </c>
      <c r="N55">
        <v>5769.4</v>
      </c>
      <c r="O55">
        <v>4.9127000000000001</v>
      </c>
    </row>
    <row r="56" spans="1:15" x14ac:dyDescent="0.25">
      <c r="A56" s="142" t="s">
        <v>2352</v>
      </c>
      <c r="B56" s="142" t="s">
        <v>53</v>
      </c>
      <c r="C56" s="142" t="s">
        <v>7</v>
      </c>
      <c r="D56">
        <v>10</v>
      </c>
      <c r="E56">
        <v>100</v>
      </c>
      <c r="F56">
        <v>0.01</v>
      </c>
      <c r="G56" s="142" t="s">
        <v>46</v>
      </c>
      <c r="H56" s="142" t="s">
        <v>66</v>
      </c>
      <c r="I56">
        <v>0</v>
      </c>
      <c r="J56">
        <v>0</v>
      </c>
      <c r="K56" s="142" t="s">
        <v>1674</v>
      </c>
      <c r="L56">
        <v>5458.2</v>
      </c>
      <c r="M56">
        <v>36.058</v>
      </c>
      <c r="N56">
        <v>5458</v>
      </c>
      <c r="O56">
        <v>36.054000000000002</v>
      </c>
    </row>
    <row r="57" spans="1:15" x14ac:dyDescent="0.25">
      <c r="A57" s="142" t="s">
        <v>2353</v>
      </c>
      <c r="B57" s="142" t="s">
        <v>53</v>
      </c>
      <c r="C57" s="142" t="s">
        <v>7</v>
      </c>
      <c r="D57">
        <v>100</v>
      </c>
      <c r="E57">
        <v>1000</v>
      </c>
      <c r="F57">
        <v>0.01</v>
      </c>
      <c r="G57" s="142" t="s">
        <v>46</v>
      </c>
      <c r="H57" s="142" t="s">
        <v>45</v>
      </c>
      <c r="I57">
        <v>0</v>
      </c>
      <c r="J57">
        <v>0</v>
      </c>
      <c r="K57" s="142" t="s">
        <v>1674</v>
      </c>
      <c r="L57">
        <v>4.1157000000000004</v>
      </c>
      <c r="M57">
        <v>6.8061999999999998E-2</v>
      </c>
      <c r="N57">
        <v>4.1101000000000001</v>
      </c>
      <c r="O57">
        <v>6.8064E-2</v>
      </c>
    </row>
    <row r="58" spans="1:15" x14ac:dyDescent="0.25">
      <c r="A58" s="142" t="s">
        <v>2194</v>
      </c>
      <c r="B58" s="142" t="s">
        <v>53</v>
      </c>
      <c r="C58" s="142" t="s">
        <v>7</v>
      </c>
      <c r="D58">
        <v>1000</v>
      </c>
      <c r="E58">
        <v>10000</v>
      </c>
      <c r="F58">
        <v>0.01</v>
      </c>
      <c r="G58" s="142" t="s">
        <v>46</v>
      </c>
      <c r="H58" s="142" t="s">
        <v>45</v>
      </c>
      <c r="I58">
        <v>0</v>
      </c>
      <c r="J58">
        <v>0</v>
      </c>
      <c r="K58" s="142" t="s">
        <v>1674</v>
      </c>
      <c r="L58">
        <v>51</v>
      </c>
      <c r="M58">
        <v>6.9408999999999998E-2</v>
      </c>
      <c r="N58">
        <v>46.426000000000002</v>
      </c>
      <c r="O58">
        <v>6.9409999999999999E-2</v>
      </c>
    </row>
    <row r="59" spans="1:15" x14ac:dyDescent="0.25">
      <c r="A59" s="142" t="s">
        <v>2195</v>
      </c>
      <c r="B59" s="142" t="s">
        <v>53</v>
      </c>
      <c r="C59" s="142" t="s">
        <v>7</v>
      </c>
      <c r="D59">
        <v>10000</v>
      </c>
      <c r="E59">
        <v>100000</v>
      </c>
      <c r="F59">
        <v>0.01</v>
      </c>
      <c r="G59" s="142" t="s">
        <v>46</v>
      </c>
      <c r="H59" s="142" t="s">
        <v>45</v>
      </c>
      <c r="I59">
        <v>0</v>
      </c>
      <c r="J59">
        <v>0</v>
      </c>
      <c r="K59" s="142" t="s">
        <v>1674</v>
      </c>
      <c r="L59">
        <v>480</v>
      </c>
      <c r="M59">
        <v>8.1000000000000003E-2</v>
      </c>
      <c r="N59">
        <v>460.34</v>
      </c>
      <c r="O59">
        <v>8.1173999999999996E-2</v>
      </c>
    </row>
    <row r="60" spans="1:15" x14ac:dyDescent="0.25">
      <c r="A60" s="142" t="s">
        <v>2354</v>
      </c>
      <c r="B60" s="142" t="s">
        <v>53</v>
      </c>
      <c r="C60" s="142" t="s">
        <v>7</v>
      </c>
      <c r="D60">
        <v>0</v>
      </c>
      <c r="E60">
        <v>1</v>
      </c>
      <c r="F60">
        <v>0.1</v>
      </c>
      <c r="G60" s="142" t="s">
        <v>46</v>
      </c>
      <c r="H60" s="142" t="s">
        <v>66</v>
      </c>
      <c r="I60">
        <v>0</v>
      </c>
      <c r="J60">
        <v>0</v>
      </c>
      <c r="K60" s="142" t="s">
        <v>1674</v>
      </c>
      <c r="L60">
        <v>57736</v>
      </c>
      <c r="M60">
        <v>6.3075000000000006E-2</v>
      </c>
      <c r="N60">
        <v>57736</v>
      </c>
      <c r="O60">
        <v>6.062E-2</v>
      </c>
    </row>
    <row r="61" spans="1:15" x14ac:dyDescent="0.25">
      <c r="A61" s="142" t="s">
        <v>2355</v>
      </c>
      <c r="B61" s="142" t="s">
        <v>53</v>
      </c>
      <c r="C61" s="142" t="s">
        <v>7</v>
      </c>
      <c r="D61">
        <v>1</v>
      </c>
      <c r="E61">
        <v>10</v>
      </c>
      <c r="F61">
        <v>0.1</v>
      </c>
      <c r="G61" s="142" t="s">
        <v>46</v>
      </c>
      <c r="H61" s="142" t="s">
        <v>66</v>
      </c>
      <c r="I61">
        <v>0</v>
      </c>
      <c r="J61">
        <v>0</v>
      </c>
      <c r="K61" s="142" t="s">
        <v>1674</v>
      </c>
      <c r="L61">
        <v>57735</v>
      </c>
      <c r="M61">
        <v>0.49426999999999999</v>
      </c>
      <c r="N61">
        <v>57731</v>
      </c>
      <c r="O61">
        <v>0.49319000000000002</v>
      </c>
    </row>
    <row r="62" spans="1:15" x14ac:dyDescent="0.25">
      <c r="A62" s="142" t="s">
        <v>2356</v>
      </c>
      <c r="B62" s="142" t="s">
        <v>53</v>
      </c>
      <c r="C62" s="142" t="s">
        <v>7</v>
      </c>
      <c r="D62">
        <v>10</v>
      </c>
      <c r="E62">
        <v>100</v>
      </c>
      <c r="F62">
        <v>0.1</v>
      </c>
      <c r="G62" s="142" t="s">
        <v>46</v>
      </c>
      <c r="H62" s="142" t="s">
        <v>66</v>
      </c>
      <c r="I62">
        <v>0</v>
      </c>
      <c r="J62">
        <v>0</v>
      </c>
      <c r="K62" s="142" t="s">
        <v>1674</v>
      </c>
      <c r="L62">
        <v>57694</v>
      </c>
      <c r="M62">
        <v>4.6327999999999996</v>
      </c>
      <c r="N62">
        <v>57694</v>
      </c>
      <c r="O62">
        <v>4.6295999999999999</v>
      </c>
    </row>
    <row r="63" spans="1:15" x14ac:dyDescent="0.25">
      <c r="A63" s="142" t="s">
        <v>2357</v>
      </c>
      <c r="B63" s="142" t="s">
        <v>53</v>
      </c>
      <c r="C63" s="142" t="s">
        <v>7</v>
      </c>
      <c r="D63">
        <v>100</v>
      </c>
      <c r="E63">
        <v>1000</v>
      </c>
      <c r="F63">
        <v>0.1</v>
      </c>
      <c r="G63" s="142" t="s">
        <v>46</v>
      </c>
      <c r="H63" s="142" t="s">
        <v>45</v>
      </c>
      <c r="I63">
        <v>0</v>
      </c>
      <c r="J63">
        <v>0</v>
      </c>
      <c r="K63" s="142" t="s">
        <v>1674</v>
      </c>
      <c r="L63">
        <v>54.725000000000001</v>
      </c>
      <c r="M63">
        <v>3.7531000000000002E-2</v>
      </c>
      <c r="N63">
        <v>54.722000000000001</v>
      </c>
      <c r="O63">
        <v>3.7523000000000001E-2</v>
      </c>
    </row>
    <row r="64" spans="1:15" x14ac:dyDescent="0.25">
      <c r="A64" s="142" t="s">
        <v>2196</v>
      </c>
      <c r="B64" s="142" t="s">
        <v>53</v>
      </c>
      <c r="C64" s="142" t="s">
        <v>7</v>
      </c>
      <c r="D64">
        <v>1000</v>
      </c>
      <c r="E64">
        <v>10000</v>
      </c>
      <c r="F64">
        <v>0.1</v>
      </c>
      <c r="G64" s="142" t="s">
        <v>46</v>
      </c>
      <c r="H64" s="142" t="s">
        <v>45</v>
      </c>
      <c r="I64">
        <v>0</v>
      </c>
      <c r="J64">
        <v>0</v>
      </c>
      <c r="K64" s="142" t="s">
        <v>1674</v>
      </c>
      <c r="L64">
        <v>61.234000000000002</v>
      </c>
      <c r="M64">
        <v>6.8157999999999996E-2</v>
      </c>
      <c r="N64">
        <v>61.14</v>
      </c>
      <c r="O64">
        <v>6.8160999999999999E-2</v>
      </c>
    </row>
    <row r="65" spans="1:15" x14ac:dyDescent="0.25">
      <c r="A65" s="142" t="s">
        <v>2197</v>
      </c>
      <c r="B65" s="142" t="s">
        <v>53</v>
      </c>
      <c r="C65" s="142" t="s">
        <v>7</v>
      </c>
      <c r="D65">
        <v>10000</v>
      </c>
      <c r="E65">
        <v>100000</v>
      </c>
      <c r="F65">
        <v>0.1</v>
      </c>
      <c r="G65" s="142" t="s">
        <v>46</v>
      </c>
      <c r="H65" s="142" t="s">
        <v>45</v>
      </c>
      <c r="I65">
        <v>0</v>
      </c>
      <c r="J65">
        <v>0</v>
      </c>
      <c r="K65" s="142" t="s">
        <v>1674</v>
      </c>
      <c r="L65">
        <v>480</v>
      </c>
      <c r="M65">
        <v>8.1160999999999997E-2</v>
      </c>
      <c r="N65">
        <v>461.26</v>
      </c>
      <c r="O65">
        <v>8.1161999999999998E-2</v>
      </c>
    </row>
    <row r="66" spans="1:15" x14ac:dyDescent="0.25">
      <c r="A66" s="142" t="s">
        <v>2358</v>
      </c>
      <c r="B66" s="142" t="s">
        <v>53</v>
      </c>
      <c r="C66" s="142" t="s">
        <v>7</v>
      </c>
      <c r="D66">
        <v>100000</v>
      </c>
      <c r="E66">
        <v>1000000</v>
      </c>
      <c r="F66">
        <v>0.1</v>
      </c>
      <c r="G66" s="142" t="s">
        <v>46</v>
      </c>
      <c r="H66" s="142" t="s">
        <v>46</v>
      </c>
      <c r="I66">
        <v>0</v>
      </c>
      <c r="J66">
        <v>0</v>
      </c>
      <c r="K66" s="142" t="s">
        <v>1674</v>
      </c>
      <c r="L66">
        <v>18</v>
      </c>
      <c r="M66">
        <v>6.8999999999999997E-5</v>
      </c>
      <c r="N66">
        <v>17.332999999999998</v>
      </c>
      <c r="O66">
        <v>6.9272999999999999E-5</v>
      </c>
    </row>
    <row r="67" spans="1:15" x14ac:dyDescent="0.25">
      <c r="A67" s="142" t="s">
        <v>2359</v>
      </c>
      <c r="B67" s="142" t="s">
        <v>53</v>
      </c>
      <c r="C67" s="142" t="s">
        <v>7</v>
      </c>
      <c r="D67">
        <v>0</v>
      </c>
      <c r="E67">
        <v>1</v>
      </c>
      <c r="F67">
        <v>1</v>
      </c>
      <c r="G67" s="142" t="s">
        <v>46</v>
      </c>
      <c r="H67" s="142" t="s">
        <v>66</v>
      </c>
      <c r="I67">
        <v>0</v>
      </c>
      <c r="J67">
        <v>0</v>
      </c>
      <c r="K67" s="142" t="s">
        <v>1674</v>
      </c>
      <c r="L67">
        <v>577360</v>
      </c>
      <c r="M67">
        <v>7.0441000000000002E-3</v>
      </c>
      <c r="N67">
        <v>577360</v>
      </c>
      <c r="O67">
        <v>6.0619999999999997E-3</v>
      </c>
    </row>
    <row r="68" spans="1:15" x14ac:dyDescent="0.25">
      <c r="A68" s="142" t="s">
        <v>2360</v>
      </c>
      <c r="B68" s="142" t="s">
        <v>53</v>
      </c>
      <c r="C68" s="142" t="s">
        <v>7</v>
      </c>
      <c r="D68">
        <v>10</v>
      </c>
      <c r="E68">
        <v>100</v>
      </c>
      <c r="F68">
        <v>1</v>
      </c>
      <c r="G68" s="142" t="s">
        <v>46</v>
      </c>
      <c r="H68" s="142" t="s">
        <v>66</v>
      </c>
      <c r="I68">
        <v>0</v>
      </c>
      <c r="J68">
        <v>0</v>
      </c>
      <c r="K68" s="142" t="s">
        <v>1674</v>
      </c>
      <c r="L68">
        <v>577350</v>
      </c>
      <c r="M68">
        <v>0.46594000000000002</v>
      </c>
      <c r="N68">
        <v>577310</v>
      </c>
      <c r="O68">
        <v>0.46465000000000001</v>
      </c>
    </row>
    <row r="69" spans="1:15" x14ac:dyDescent="0.25">
      <c r="A69" s="142" t="s">
        <v>2361</v>
      </c>
      <c r="B69" s="142" t="s">
        <v>53</v>
      </c>
      <c r="C69" s="142" t="s">
        <v>7</v>
      </c>
      <c r="D69">
        <v>100</v>
      </c>
      <c r="E69">
        <v>1000</v>
      </c>
      <c r="F69">
        <v>1</v>
      </c>
      <c r="G69" s="142" t="s">
        <v>46</v>
      </c>
      <c r="H69" s="142" t="s">
        <v>45</v>
      </c>
      <c r="I69">
        <v>0</v>
      </c>
      <c r="J69">
        <v>0</v>
      </c>
      <c r="K69" s="142" t="s">
        <v>1674</v>
      </c>
      <c r="L69">
        <v>576.94000000000005</v>
      </c>
      <c r="M69">
        <v>4.8843000000000003E-3</v>
      </c>
      <c r="N69">
        <v>576.94000000000005</v>
      </c>
      <c r="O69">
        <v>4.8786000000000003E-3</v>
      </c>
    </row>
    <row r="70" spans="1:15" x14ac:dyDescent="0.25">
      <c r="A70" s="142" t="s">
        <v>2362</v>
      </c>
      <c r="B70" s="142" t="s">
        <v>53</v>
      </c>
      <c r="C70" s="142" t="s">
        <v>7</v>
      </c>
      <c r="D70">
        <v>1000</v>
      </c>
      <c r="E70">
        <v>10000</v>
      </c>
      <c r="F70">
        <v>1</v>
      </c>
      <c r="G70" s="142" t="s">
        <v>46</v>
      </c>
      <c r="H70" s="142" t="s">
        <v>45</v>
      </c>
      <c r="I70">
        <v>0</v>
      </c>
      <c r="J70">
        <v>0</v>
      </c>
      <c r="K70" s="142" t="s">
        <v>1674</v>
      </c>
      <c r="L70">
        <v>549.99</v>
      </c>
      <c r="M70">
        <v>3.8919000000000002E-2</v>
      </c>
      <c r="N70">
        <v>549.92999999999995</v>
      </c>
      <c r="O70">
        <v>3.8905000000000002E-2</v>
      </c>
    </row>
    <row r="71" spans="1:15" x14ac:dyDescent="0.25">
      <c r="A71" s="142" t="s">
        <v>2198</v>
      </c>
      <c r="B71" s="142" t="s">
        <v>53</v>
      </c>
      <c r="C71" s="142" t="s">
        <v>7</v>
      </c>
      <c r="D71">
        <v>10000</v>
      </c>
      <c r="E71">
        <v>100000</v>
      </c>
      <c r="F71">
        <v>1</v>
      </c>
      <c r="G71" s="142" t="s">
        <v>46</v>
      </c>
      <c r="H71" s="142" t="s">
        <v>45</v>
      </c>
      <c r="I71">
        <v>0</v>
      </c>
      <c r="J71">
        <v>0</v>
      </c>
      <c r="K71" s="142" t="s">
        <v>1674</v>
      </c>
      <c r="L71">
        <v>596.95000000000005</v>
      </c>
      <c r="M71">
        <v>7.9998E-2</v>
      </c>
      <c r="N71">
        <v>596.03</v>
      </c>
      <c r="O71">
        <v>8.0002000000000004E-2</v>
      </c>
    </row>
    <row r="72" spans="1:15" x14ac:dyDescent="0.25">
      <c r="A72" s="142" t="s">
        <v>2363</v>
      </c>
      <c r="B72" s="142" t="s">
        <v>53</v>
      </c>
      <c r="C72" s="142" t="s">
        <v>7</v>
      </c>
      <c r="D72">
        <v>100000</v>
      </c>
      <c r="E72">
        <v>1000000</v>
      </c>
      <c r="F72">
        <v>1</v>
      </c>
      <c r="G72" s="142" t="s">
        <v>46</v>
      </c>
      <c r="H72" s="142" t="s">
        <v>46</v>
      </c>
      <c r="I72">
        <v>0</v>
      </c>
      <c r="J72">
        <v>0</v>
      </c>
      <c r="K72" s="142" t="s">
        <v>1674</v>
      </c>
      <c r="L72">
        <v>18</v>
      </c>
      <c r="M72">
        <v>6.9268000000000002E-5</v>
      </c>
      <c r="N72">
        <v>17.341000000000001</v>
      </c>
      <c r="O72">
        <v>6.9266999999999999E-5</v>
      </c>
    </row>
    <row r="73" spans="1:15" x14ac:dyDescent="0.25">
      <c r="A73" s="142" t="s">
        <v>2364</v>
      </c>
      <c r="B73" s="142" t="s">
        <v>53</v>
      </c>
      <c r="C73" s="142" t="s">
        <v>7</v>
      </c>
      <c r="D73">
        <v>0</v>
      </c>
      <c r="E73">
        <v>1</v>
      </c>
      <c r="F73">
        <v>10</v>
      </c>
      <c r="G73" s="142" t="s">
        <v>46</v>
      </c>
      <c r="H73" s="142" t="s">
        <v>66</v>
      </c>
      <c r="I73">
        <v>0</v>
      </c>
      <c r="J73">
        <v>0</v>
      </c>
      <c r="K73" s="142" t="s">
        <v>1674</v>
      </c>
      <c r="L73">
        <v>5773600</v>
      </c>
      <c r="M73">
        <v>9.9901999999999999E-4</v>
      </c>
      <c r="N73">
        <v>5773600</v>
      </c>
      <c r="O73">
        <v>6.0619999999999999E-4</v>
      </c>
    </row>
    <row r="74" spans="1:15" x14ac:dyDescent="0.25">
      <c r="A74" s="142" t="s">
        <v>2365</v>
      </c>
      <c r="B74" s="142" t="s">
        <v>53</v>
      </c>
      <c r="C74" s="142" t="s">
        <v>7</v>
      </c>
      <c r="D74">
        <v>100</v>
      </c>
      <c r="E74">
        <v>1000</v>
      </c>
      <c r="F74">
        <v>10</v>
      </c>
      <c r="G74" s="142" t="s">
        <v>46</v>
      </c>
      <c r="H74" s="142" t="s">
        <v>45</v>
      </c>
      <c r="I74">
        <v>0</v>
      </c>
      <c r="J74">
        <v>0</v>
      </c>
      <c r="K74" s="142" t="s">
        <v>1674</v>
      </c>
      <c r="L74">
        <v>5773.5</v>
      </c>
      <c r="M74">
        <v>4.9206E-4</v>
      </c>
      <c r="N74">
        <v>5773.1</v>
      </c>
      <c r="O74">
        <v>4.8976E-4</v>
      </c>
    </row>
    <row r="75" spans="1:15" x14ac:dyDescent="0.25">
      <c r="A75" s="142" t="s">
        <v>2199</v>
      </c>
      <c r="B75" s="142" t="s">
        <v>53</v>
      </c>
      <c r="C75" s="142" t="s">
        <v>7</v>
      </c>
      <c r="D75">
        <v>1000</v>
      </c>
      <c r="E75">
        <v>10000</v>
      </c>
      <c r="F75">
        <v>10</v>
      </c>
      <c r="G75" s="142" t="s">
        <v>46</v>
      </c>
      <c r="H75" s="142" t="s">
        <v>45</v>
      </c>
      <c r="I75">
        <v>0</v>
      </c>
      <c r="J75">
        <v>0</v>
      </c>
      <c r="K75" s="142" t="s">
        <v>1674</v>
      </c>
      <c r="L75">
        <v>5769.6</v>
      </c>
      <c r="M75">
        <v>5.1370000000000001E-3</v>
      </c>
      <c r="N75">
        <v>5769.6</v>
      </c>
      <c r="O75">
        <v>5.1260999999999998E-3</v>
      </c>
    </row>
    <row r="76" spans="1:15" x14ac:dyDescent="0.25">
      <c r="A76" s="142" t="s">
        <v>2366</v>
      </c>
      <c r="B76" s="142" t="s">
        <v>53</v>
      </c>
      <c r="C76" s="142" t="s">
        <v>7</v>
      </c>
      <c r="D76">
        <v>10000</v>
      </c>
      <c r="E76">
        <v>100000</v>
      </c>
      <c r="F76">
        <v>10</v>
      </c>
      <c r="G76" s="142" t="s">
        <v>46</v>
      </c>
      <c r="H76" s="142" t="s">
        <v>45</v>
      </c>
      <c r="I76">
        <v>0</v>
      </c>
      <c r="J76">
        <v>0</v>
      </c>
      <c r="K76" s="142" t="s">
        <v>1674</v>
      </c>
      <c r="L76">
        <v>5420.6</v>
      </c>
      <c r="M76">
        <v>4.9202999999999997E-2</v>
      </c>
      <c r="N76">
        <v>5419.9</v>
      </c>
      <c r="O76">
        <v>4.9190999999999999E-2</v>
      </c>
    </row>
    <row r="77" spans="1:15" x14ac:dyDescent="0.25">
      <c r="A77" s="142" t="s">
        <v>2367</v>
      </c>
      <c r="B77" s="142" t="s">
        <v>53</v>
      </c>
      <c r="C77" s="142" t="s">
        <v>7</v>
      </c>
      <c r="D77">
        <v>100000</v>
      </c>
      <c r="E77">
        <v>1000000</v>
      </c>
      <c r="F77">
        <v>10</v>
      </c>
      <c r="G77" s="142" t="s">
        <v>46</v>
      </c>
      <c r="H77" s="142" t="s">
        <v>46</v>
      </c>
      <c r="I77">
        <v>0</v>
      </c>
      <c r="J77">
        <v>0</v>
      </c>
      <c r="K77" s="142" t="s">
        <v>1674</v>
      </c>
      <c r="L77">
        <v>18.068999999999999</v>
      </c>
      <c r="M77">
        <v>6.8734999999999998E-5</v>
      </c>
      <c r="N77">
        <v>18.065000000000001</v>
      </c>
      <c r="O77">
        <v>6.8733999999999996E-5</v>
      </c>
    </row>
    <row r="78" spans="1:15" x14ac:dyDescent="0.25">
      <c r="A78" s="142" t="s">
        <v>2368</v>
      </c>
      <c r="B78" s="142" t="s">
        <v>53</v>
      </c>
      <c r="C78" s="142" t="s">
        <v>7</v>
      </c>
      <c r="D78">
        <v>0</v>
      </c>
      <c r="E78">
        <v>1</v>
      </c>
      <c r="F78">
        <v>100</v>
      </c>
      <c r="G78" s="142" t="s">
        <v>46</v>
      </c>
      <c r="H78" s="142" t="s">
        <v>66</v>
      </c>
      <c r="I78">
        <v>0</v>
      </c>
      <c r="J78">
        <v>0</v>
      </c>
      <c r="K78" s="142" t="s">
        <v>1674</v>
      </c>
      <c r="L78">
        <v>57736000</v>
      </c>
      <c r="M78">
        <v>2.1775000000000001E-4</v>
      </c>
      <c r="N78">
        <v>57736000</v>
      </c>
      <c r="O78">
        <v>6.0625999999999999E-5</v>
      </c>
    </row>
    <row r="79" spans="1:15" x14ac:dyDescent="0.25">
      <c r="A79" s="142" t="s">
        <v>2200</v>
      </c>
      <c r="B79" s="142" t="s">
        <v>53</v>
      </c>
      <c r="C79" s="142" t="s">
        <v>7</v>
      </c>
      <c r="D79">
        <v>1000</v>
      </c>
      <c r="E79">
        <v>10000</v>
      </c>
      <c r="F79">
        <v>100</v>
      </c>
      <c r="G79" s="142" t="s">
        <v>46</v>
      </c>
      <c r="H79" s="142" t="s">
        <v>45</v>
      </c>
      <c r="I79">
        <v>0</v>
      </c>
      <c r="J79">
        <v>0</v>
      </c>
      <c r="K79" s="142" t="s">
        <v>1674</v>
      </c>
      <c r="L79">
        <v>57735</v>
      </c>
      <c r="M79">
        <v>5.1913000000000003E-4</v>
      </c>
      <c r="N79">
        <v>57731</v>
      </c>
      <c r="O79">
        <v>5.1473999999999997E-4</v>
      </c>
    </row>
    <row r="80" spans="1:15" x14ac:dyDescent="0.25">
      <c r="A80" s="142" t="s">
        <v>2201</v>
      </c>
      <c r="B80" s="142" t="s">
        <v>53</v>
      </c>
      <c r="C80" s="142" t="s">
        <v>7</v>
      </c>
      <c r="D80">
        <v>10000</v>
      </c>
      <c r="E80">
        <v>100000</v>
      </c>
      <c r="F80">
        <v>100</v>
      </c>
      <c r="G80" s="142" t="s">
        <v>46</v>
      </c>
      <c r="H80" s="142" t="s">
        <v>45</v>
      </c>
      <c r="I80">
        <v>0</v>
      </c>
      <c r="J80">
        <v>0</v>
      </c>
      <c r="K80" s="142" t="s">
        <v>1674</v>
      </c>
      <c r="L80">
        <v>57681</v>
      </c>
      <c r="M80">
        <v>6.8951999999999998E-3</v>
      </c>
      <c r="N80">
        <v>57681</v>
      </c>
      <c r="O80">
        <v>6.8843999999999997E-3</v>
      </c>
    </row>
    <row r="81" spans="1:15" x14ac:dyDescent="0.25">
      <c r="A81" s="142" t="s">
        <v>2369</v>
      </c>
      <c r="B81" s="142" t="s">
        <v>53</v>
      </c>
      <c r="C81" s="142" t="s">
        <v>7</v>
      </c>
      <c r="D81">
        <v>100000</v>
      </c>
      <c r="E81">
        <v>1000000</v>
      </c>
      <c r="F81">
        <v>100</v>
      </c>
      <c r="G81" s="142" t="s">
        <v>46</v>
      </c>
      <c r="H81" s="142" t="s">
        <v>46</v>
      </c>
      <c r="I81">
        <v>0</v>
      </c>
      <c r="J81">
        <v>0</v>
      </c>
      <c r="K81" s="142" t="s">
        <v>1674</v>
      </c>
      <c r="L81">
        <v>58.024999999999999</v>
      </c>
      <c r="M81">
        <v>4.6079999999999999E-5</v>
      </c>
      <c r="N81">
        <v>58.018999999999998</v>
      </c>
      <c r="O81">
        <v>4.6068E-5</v>
      </c>
    </row>
    <row r="82" spans="1:15" x14ac:dyDescent="0.25">
      <c r="A82" s="142" t="s">
        <v>2370</v>
      </c>
      <c r="B82" s="142" t="s">
        <v>53</v>
      </c>
      <c r="C82" s="142" t="s">
        <v>7</v>
      </c>
      <c r="D82">
        <v>0</v>
      </c>
      <c r="E82">
        <v>1</v>
      </c>
      <c r="F82">
        <v>1000</v>
      </c>
      <c r="G82" s="142" t="s">
        <v>46</v>
      </c>
      <c r="H82" s="142" t="s">
        <v>66</v>
      </c>
      <c r="I82">
        <v>0</v>
      </c>
      <c r="J82">
        <v>0</v>
      </c>
      <c r="K82" s="142" t="s">
        <v>1674</v>
      </c>
      <c r="L82">
        <v>577360000</v>
      </c>
      <c r="M82">
        <v>6.8853E-5</v>
      </c>
      <c r="N82">
        <v>577360000</v>
      </c>
      <c r="O82">
        <v>6.0858000000000002E-6</v>
      </c>
    </row>
    <row r="83" spans="1:15" x14ac:dyDescent="0.25">
      <c r="A83" s="142" t="s">
        <v>2202</v>
      </c>
      <c r="B83" s="142" t="s">
        <v>53</v>
      </c>
      <c r="C83" s="142" t="s">
        <v>7</v>
      </c>
      <c r="D83">
        <v>10000</v>
      </c>
      <c r="E83">
        <v>100000</v>
      </c>
      <c r="F83">
        <v>1000</v>
      </c>
      <c r="G83" s="142" t="s">
        <v>46</v>
      </c>
      <c r="H83" s="142" t="s">
        <v>45</v>
      </c>
      <c r="I83">
        <v>0</v>
      </c>
      <c r="J83">
        <v>0</v>
      </c>
      <c r="K83" s="142" t="s">
        <v>1674</v>
      </c>
      <c r="L83">
        <v>577350</v>
      </c>
      <c r="M83">
        <v>6.9664E-4</v>
      </c>
      <c r="N83">
        <v>577290</v>
      </c>
      <c r="O83">
        <v>6.9225999999999999E-4</v>
      </c>
    </row>
    <row r="84" spans="1:15" x14ac:dyDescent="0.25">
      <c r="A84" s="142" t="s">
        <v>2371</v>
      </c>
      <c r="B84" s="142" t="s">
        <v>53</v>
      </c>
      <c r="C84" s="142" t="s">
        <v>7</v>
      </c>
      <c r="D84">
        <v>100000</v>
      </c>
      <c r="E84">
        <v>1000000</v>
      </c>
      <c r="F84">
        <v>1000</v>
      </c>
      <c r="G84" s="142" t="s">
        <v>46</v>
      </c>
      <c r="H84" s="142" t="s">
        <v>46</v>
      </c>
      <c r="I84">
        <v>0</v>
      </c>
      <c r="J84">
        <v>0</v>
      </c>
      <c r="K84" s="142" t="s">
        <v>1674</v>
      </c>
      <c r="L84">
        <v>577.21</v>
      </c>
      <c r="M84">
        <v>6.6220000000000003E-6</v>
      </c>
      <c r="N84">
        <v>577.20000000000005</v>
      </c>
      <c r="O84">
        <v>6.6112000000000003E-6</v>
      </c>
    </row>
    <row r="85" spans="1:15" x14ac:dyDescent="0.25">
      <c r="A85" s="142" t="s">
        <v>2372</v>
      </c>
      <c r="B85" s="142" t="s">
        <v>53</v>
      </c>
      <c r="C85" s="142" t="s">
        <v>7</v>
      </c>
      <c r="D85">
        <v>100000</v>
      </c>
      <c r="E85">
        <v>1000000</v>
      </c>
      <c r="F85">
        <v>10000</v>
      </c>
      <c r="G85" s="142" t="s">
        <v>46</v>
      </c>
      <c r="H85" s="142" t="s">
        <v>46</v>
      </c>
      <c r="I85">
        <v>0</v>
      </c>
      <c r="J85">
        <v>0</v>
      </c>
      <c r="K85" s="142" t="s">
        <v>1674</v>
      </c>
      <c r="L85">
        <v>5773.5</v>
      </c>
      <c r="M85">
        <v>6.6945999999999996E-7</v>
      </c>
      <c r="N85">
        <v>5772.9</v>
      </c>
      <c r="O85">
        <v>6.6507000000000001E-7</v>
      </c>
    </row>
    <row r="86" spans="1:15" x14ac:dyDescent="0.25">
      <c r="A86" s="142" t="s">
        <v>2090</v>
      </c>
      <c r="B86" s="142" t="s">
        <v>52</v>
      </c>
      <c r="C86" s="142" t="s">
        <v>44</v>
      </c>
      <c r="D86">
        <v>0</v>
      </c>
      <c r="E86">
        <v>1E-4</v>
      </c>
      <c r="F86">
        <v>1E-10</v>
      </c>
      <c r="G86" s="142" t="s">
        <v>13</v>
      </c>
      <c r="H86" s="142" t="s">
        <v>11</v>
      </c>
      <c r="I86">
        <v>1E-3</v>
      </c>
      <c r="J86">
        <v>0.02</v>
      </c>
      <c r="K86" s="142" t="s">
        <v>10</v>
      </c>
      <c r="L86">
        <v>7.6999999999999999E-2</v>
      </c>
      <c r="M86">
        <v>4200</v>
      </c>
      <c r="N86">
        <v>7.6631000000000005E-2</v>
      </c>
      <c r="O86">
        <v>4198.8999999999996</v>
      </c>
    </row>
    <row r="87" spans="1:15" x14ac:dyDescent="0.25">
      <c r="A87" s="142" t="s">
        <v>981</v>
      </c>
      <c r="B87" s="142" t="s">
        <v>52</v>
      </c>
      <c r="C87" s="142" t="s">
        <v>44</v>
      </c>
      <c r="D87">
        <v>0</v>
      </c>
      <c r="E87">
        <v>1E-4</v>
      </c>
      <c r="F87">
        <v>1E-10</v>
      </c>
      <c r="G87" s="142" t="s">
        <v>13</v>
      </c>
      <c r="H87" s="142" t="s">
        <v>11</v>
      </c>
      <c r="I87">
        <v>0.02</v>
      </c>
      <c r="J87">
        <v>4.4999999999999998E-2</v>
      </c>
      <c r="K87" s="142" t="s">
        <v>10</v>
      </c>
      <c r="L87">
        <v>3.7999999999999999E-2</v>
      </c>
      <c r="M87">
        <v>1700</v>
      </c>
      <c r="N87">
        <v>3.4646999999999997E-2</v>
      </c>
      <c r="O87">
        <v>1732</v>
      </c>
    </row>
    <row r="88" spans="1:15" x14ac:dyDescent="0.25">
      <c r="A88" s="142" t="s">
        <v>982</v>
      </c>
      <c r="B88" s="142" t="s">
        <v>52</v>
      </c>
      <c r="C88" s="142" t="s">
        <v>44</v>
      </c>
      <c r="D88">
        <v>0</v>
      </c>
      <c r="E88">
        <v>1E-4</v>
      </c>
      <c r="F88">
        <v>1E-10</v>
      </c>
      <c r="G88" s="142" t="s">
        <v>13</v>
      </c>
      <c r="H88" s="142" t="s">
        <v>11</v>
      </c>
      <c r="I88">
        <v>4.4999999999999998E-2</v>
      </c>
      <c r="J88">
        <v>5</v>
      </c>
      <c r="K88" s="142" t="s">
        <v>10</v>
      </c>
      <c r="L88">
        <v>3.5999999999999997E-2</v>
      </c>
      <c r="M88">
        <v>690</v>
      </c>
      <c r="N88">
        <v>3.4922000000000002E-2</v>
      </c>
      <c r="O88">
        <v>691.22</v>
      </c>
    </row>
    <row r="89" spans="1:15" x14ac:dyDescent="0.25">
      <c r="A89" s="142" t="s">
        <v>1007</v>
      </c>
      <c r="B89" s="142" t="s">
        <v>52</v>
      </c>
      <c r="C89" s="142" t="s">
        <v>44</v>
      </c>
      <c r="D89">
        <v>1E-4</v>
      </c>
      <c r="E89">
        <v>1E-3</v>
      </c>
      <c r="F89">
        <v>1E-10</v>
      </c>
      <c r="G89" s="142" t="s">
        <v>13</v>
      </c>
      <c r="H89" s="142" t="s">
        <v>11</v>
      </c>
      <c r="I89">
        <v>1E-3</v>
      </c>
      <c r="J89">
        <v>0.02</v>
      </c>
      <c r="K89" s="142" t="s">
        <v>10</v>
      </c>
      <c r="L89">
        <v>0.25</v>
      </c>
      <c r="M89">
        <v>4600</v>
      </c>
      <c r="N89">
        <v>0.23094000000000001</v>
      </c>
      <c r="O89">
        <v>4618.8</v>
      </c>
    </row>
    <row r="90" spans="1:15" x14ac:dyDescent="0.25">
      <c r="A90" s="142" t="s">
        <v>1008</v>
      </c>
      <c r="B90" s="142" t="s">
        <v>52</v>
      </c>
      <c r="C90" s="142" t="s">
        <v>44</v>
      </c>
      <c r="D90">
        <v>1E-4</v>
      </c>
      <c r="E90">
        <v>1E-3</v>
      </c>
      <c r="F90">
        <v>1E-10</v>
      </c>
      <c r="G90" s="142" t="s">
        <v>13</v>
      </c>
      <c r="H90" s="142" t="s">
        <v>11</v>
      </c>
      <c r="I90">
        <v>0.02</v>
      </c>
      <c r="J90">
        <v>4.4999999999999998E-2</v>
      </c>
      <c r="K90" s="142" t="s">
        <v>10</v>
      </c>
      <c r="L90">
        <v>0.27</v>
      </c>
      <c r="M90">
        <v>1700</v>
      </c>
      <c r="N90">
        <v>0.23094000000000001</v>
      </c>
      <c r="O90">
        <v>1732.1</v>
      </c>
    </row>
    <row r="91" spans="1:15" x14ac:dyDescent="0.25">
      <c r="A91" s="142" t="s">
        <v>1010</v>
      </c>
      <c r="B91" s="142" t="s">
        <v>52</v>
      </c>
      <c r="C91" s="142" t="s">
        <v>44</v>
      </c>
      <c r="D91">
        <v>1E-4</v>
      </c>
      <c r="E91">
        <v>1E-3</v>
      </c>
      <c r="F91">
        <v>1E-10</v>
      </c>
      <c r="G91" s="142" t="s">
        <v>13</v>
      </c>
      <c r="H91" s="142" t="s">
        <v>11</v>
      </c>
      <c r="I91">
        <v>4.4999999999999998E-2</v>
      </c>
      <c r="J91">
        <v>0.1</v>
      </c>
      <c r="K91" s="142" t="s">
        <v>10</v>
      </c>
      <c r="L91">
        <v>0.24</v>
      </c>
      <c r="M91">
        <v>690</v>
      </c>
      <c r="N91">
        <v>0.23094000000000001</v>
      </c>
      <c r="O91">
        <v>692.84</v>
      </c>
    </row>
    <row r="92" spans="1:15" x14ac:dyDescent="0.25">
      <c r="A92" s="142" t="s">
        <v>1005</v>
      </c>
      <c r="B92" s="142" t="s">
        <v>52</v>
      </c>
      <c r="C92" s="142" t="s">
        <v>44</v>
      </c>
      <c r="D92">
        <v>1E-4</v>
      </c>
      <c r="E92">
        <v>1E-3</v>
      </c>
      <c r="F92">
        <v>1E-10</v>
      </c>
      <c r="G92" s="142" t="s">
        <v>13</v>
      </c>
      <c r="H92" s="142" t="s">
        <v>11</v>
      </c>
      <c r="I92">
        <v>0.1</v>
      </c>
      <c r="J92">
        <v>5</v>
      </c>
      <c r="K92" s="142" t="s">
        <v>10</v>
      </c>
      <c r="L92">
        <v>0.24</v>
      </c>
      <c r="M92">
        <v>350</v>
      </c>
      <c r="N92">
        <v>0.23082</v>
      </c>
      <c r="O92">
        <v>348.15</v>
      </c>
    </row>
    <row r="93" spans="1:15" x14ac:dyDescent="0.25">
      <c r="A93" s="142" t="s">
        <v>1006</v>
      </c>
      <c r="B93" s="142" t="s">
        <v>52</v>
      </c>
      <c r="C93" s="142" t="s">
        <v>44</v>
      </c>
      <c r="D93">
        <v>1E-4</v>
      </c>
      <c r="E93">
        <v>1E-3</v>
      </c>
      <c r="F93">
        <v>1E-10</v>
      </c>
      <c r="G93" s="142" t="s">
        <v>13</v>
      </c>
      <c r="H93" s="142" t="s">
        <v>11</v>
      </c>
      <c r="I93">
        <v>5</v>
      </c>
      <c r="J93">
        <v>20</v>
      </c>
      <c r="K93" s="142" t="s">
        <v>10</v>
      </c>
      <c r="L93">
        <v>0.24</v>
      </c>
      <c r="M93">
        <v>700</v>
      </c>
      <c r="N93">
        <v>0.23105000000000001</v>
      </c>
      <c r="O93">
        <v>695.28</v>
      </c>
    </row>
    <row r="94" spans="1:15" x14ac:dyDescent="0.25">
      <c r="A94" s="142" t="s">
        <v>1009</v>
      </c>
      <c r="B94" s="142" t="s">
        <v>52</v>
      </c>
      <c r="C94" s="142" t="s">
        <v>44</v>
      </c>
      <c r="D94">
        <v>1E-4</v>
      </c>
      <c r="E94">
        <v>1E-3</v>
      </c>
      <c r="F94">
        <v>1E-10</v>
      </c>
      <c r="G94" s="142" t="s">
        <v>13</v>
      </c>
      <c r="H94" s="142" t="s">
        <v>11</v>
      </c>
      <c r="I94">
        <v>20</v>
      </c>
      <c r="J94">
        <v>50</v>
      </c>
      <c r="K94" s="142" t="s">
        <v>10</v>
      </c>
      <c r="L94">
        <v>0.47</v>
      </c>
      <c r="M94">
        <v>4700</v>
      </c>
      <c r="N94">
        <v>0.46156000000000003</v>
      </c>
      <c r="O94">
        <v>4633.2</v>
      </c>
    </row>
    <row r="95" spans="1:15" x14ac:dyDescent="0.25">
      <c r="A95" s="142" t="s">
        <v>2100</v>
      </c>
      <c r="B95" s="142" t="s">
        <v>52</v>
      </c>
      <c r="C95" s="142" t="s">
        <v>44</v>
      </c>
      <c r="D95">
        <v>1E-4</v>
      </c>
      <c r="E95">
        <v>1E-3</v>
      </c>
      <c r="F95">
        <v>1E-10</v>
      </c>
      <c r="G95" s="142" t="s">
        <v>13</v>
      </c>
      <c r="H95" s="142" t="s">
        <v>11</v>
      </c>
      <c r="I95">
        <v>50</v>
      </c>
      <c r="J95">
        <v>100</v>
      </c>
      <c r="K95" s="142" t="s">
        <v>10</v>
      </c>
      <c r="L95">
        <v>1.8</v>
      </c>
      <c r="M95">
        <v>6400</v>
      </c>
      <c r="N95">
        <v>1.7326999999999999</v>
      </c>
      <c r="O95">
        <v>6372.7</v>
      </c>
    </row>
    <row r="96" spans="1:15" x14ac:dyDescent="0.25">
      <c r="A96" s="142" t="s">
        <v>985</v>
      </c>
      <c r="B96" s="142" t="s">
        <v>52</v>
      </c>
      <c r="C96" s="142" t="s">
        <v>44</v>
      </c>
      <c r="D96">
        <v>0</v>
      </c>
      <c r="E96">
        <v>1E-4</v>
      </c>
      <c r="F96">
        <v>1.0000000000000001E-9</v>
      </c>
      <c r="G96" s="142" t="s">
        <v>13</v>
      </c>
      <c r="H96" s="142" t="s">
        <v>11</v>
      </c>
      <c r="I96">
        <v>1E-3</v>
      </c>
      <c r="J96">
        <v>0.02</v>
      </c>
      <c r="K96" s="142" t="s">
        <v>10</v>
      </c>
      <c r="L96">
        <v>7.6999999999999999E-2</v>
      </c>
      <c r="M96">
        <v>4200</v>
      </c>
      <c r="N96">
        <v>7.6633000000000007E-2</v>
      </c>
      <c r="O96">
        <v>4198.8999999999996</v>
      </c>
    </row>
    <row r="97" spans="1:15" x14ac:dyDescent="0.25">
      <c r="A97" s="142" t="s">
        <v>984</v>
      </c>
      <c r="B97" s="142" t="s">
        <v>52</v>
      </c>
      <c r="C97" s="142" t="s">
        <v>44</v>
      </c>
      <c r="D97">
        <v>0</v>
      </c>
      <c r="E97">
        <v>1E-4</v>
      </c>
      <c r="F97">
        <v>1.0000000000000001E-9</v>
      </c>
      <c r="G97" s="142" t="s">
        <v>13</v>
      </c>
      <c r="H97" s="142" t="s">
        <v>11</v>
      </c>
      <c r="I97">
        <v>0.02</v>
      </c>
      <c r="J97">
        <v>4.4999999999999998E-2</v>
      </c>
      <c r="K97" s="142" t="s">
        <v>10</v>
      </c>
      <c r="L97">
        <v>3.7999999999999999E-2</v>
      </c>
      <c r="M97">
        <v>1700</v>
      </c>
      <c r="N97">
        <v>3.4648999999999999E-2</v>
      </c>
      <c r="O97">
        <v>1732</v>
      </c>
    </row>
    <row r="98" spans="1:15" x14ac:dyDescent="0.25">
      <c r="A98" s="142" t="s">
        <v>983</v>
      </c>
      <c r="B98" s="142" t="s">
        <v>52</v>
      </c>
      <c r="C98" s="142" t="s">
        <v>44</v>
      </c>
      <c r="D98">
        <v>0</v>
      </c>
      <c r="E98">
        <v>1E-4</v>
      </c>
      <c r="F98">
        <v>1.0000000000000001E-9</v>
      </c>
      <c r="G98" s="142" t="s">
        <v>13</v>
      </c>
      <c r="H98" s="142" t="s">
        <v>11</v>
      </c>
      <c r="I98">
        <v>4.4999999999999998E-2</v>
      </c>
      <c r="J98">
        <v>5</v>
      </c>
      <c r="K98" s="142" t="s">
        <v>10</v>
      </c>
      <c r="L98">
        <v>3.5999999999999997E-2</v>
      </c>
      <c r="M98">
        <v>690</v>
      </c>
      <c r="N98">
        <v>3.4928000000000001E-2</v>
      </c>
      <c r="O98">
        <v>691.21</v>
      </c>
    </row>
    <row r="99" spans="1:15" x14ac:dyDescent="0.25">
      <c r="A99" s="142" t="s">
        <v>1016</v>
      </c>
      <c r="B99" s="142" t="s">
        <v>52</v>
      </c>
      <c r="C99" s="142" t="s">
        <v>44</v>
      </c>
      <c r="D99">
        <v>1E-4</v>
      </c>
      <c r="E99">
        <v>1E-3</v>
      </c>
      <c r="F99">
        <v>1.0000000000000001E-9</v>
      </c>
      <c r="G99" s="142" t="s">
        <v>13</v>
      </c>
      <c r="H99" s="142" t="s">
        <v>11</v>
      </c>
      <c r="I99">
        <v>1E-3</v>
      </c>
      <c r="J99">
        <v>0.02</v>
      </c>
      <c r="K99" s="142" t="s">
        <v>10</v>
      </c>
      <c r="L99">
        <v>0.25</v>
      </c>
      <c r="M99">
        <v>4600</v>
      </c>
      <c r="N99">
        <v>0.23097999999999999</v>
      </c>
      <c r="O99">
        <v>4618.8</v>
      </c>
    </row>
    <row r="100" spans="1:15" x14ac:dyDescent="0.25">
      <c r="A100" s="142" t="s">
        <v>1015</v>
      </c>
      <c r="B100" s="142" t="s">
        <v>52</v>
      </c>
      <c r="C100" s="142" t="s">
        <v>44</v>
      </c>
      <c r="D100">
        <v>1E-4</v>
      </c>
      <c r="E100">
        <v>1E-3</v>
      </c>
      <c r="F100">
        <v>1.0000000000000001E-9</v>
      </c>
      <c r="G100" s="142" t="s">
        <v>13</v>
      </c>
      <c r="H100" s="142" t="s">
        <v>11</v>
      </c>
      <c r="I100">
        <v>0.02</v>
      </c>
      <c r="J100">
        <v>4.4999999999999998E-2</v>
      </c>
      <c r="K100" s="142" t="s">
        <v>10</v>
      </c>
      <c r="L100">
        <v>0.27</v>
      </c>
      <c r="M100">
        <v>1700</v>
      </c>
      <c r="N100">
        <v>0.23102</v>
      </c>
      <c r="O100">
        <v>1732</v>
      </c>
    </row>
    <row r="101" spans="1:15" x14ac:dyDescent="0.25">
      <c r="A101" s="142" t="s">
        <v>2099</v>
      </c>
      <c r="B101" s="142" t="s">
        <v>52</v>
      </c>
      <c r="C101" s="142" t="s">
        <v>44</v>
      </c>
      <c r="D101">
        <v>1E-4</v>
      </c>
      <c r="E101">
        <v>1E-3</v>
      </c>
      <c r="F101">
        <v>1.0000000000000001E-9</v>
      </c>
      <c r="G101" s="142" t="s">
        <v>13</v>
      </c>
      <c r="H101" s="142" t="s">
        <v>11</v>
      </c>
      <c r="I101">
        <v>4.4999999999999998E-2</v>
      </c>
      <c r="J101">
        <v>0.1</v>
      </c>
      <c r="K101" s="142" t="s">
        <v>10</v>
      </c>
      <c r="L101">
        <v>0.24</v>
      </c>
      <c r="M101">
        <v>690</v>
      </c>
      <c r="N101">
        <v>0.23102</v>
      </c>
      <c r="O101">
        <v>692.81</v>
      </c>
    </row>
    <row r="102" spans="1:15" x14ac:dyDescent="0.25">
      <c r="A102" s="142" t="s">
        <v>1011</v>
      </c>
      <c r="B102" s="142" t="s">
        <v>52</v>
      </c>
      <c r="C102" s="142" t="s">
        <v>44</v>
      </c>
      <c r="D102">
        <v>1E-4</v>
      </c>
      <c r="E102">
        <v>1E-3</v>
      </c>
      <c r="F102">
        <v>1.0000000000000001E-9</v>
      </c>
      <c r="G102" s="142" t="s">
        <v>13</v>
      </c>
      <c r="H102" s="142" t="s">
        <v>11</v>
      </c>
      <c r="I102">
        <v>0.1</v>
      </c>
      <c r="J102">
        <v>5</v>
      </c>
      <c r="K102" s="142" t="s">
        <v>10</v>
      </c>
      <c r="L102">
        <v>0.24</v>
      </c>
      <c r="M102">
        <v>350</v>
      </c>
      <c r="N102">
        <v>0.23091</v>
      </c>
      <c r="O102">
        <v>348.14</v>
      </c>
    </row>
    <row r="103" spans="1:15" x14ac:dyDescent="0.25">
      <c r="A103" s="142" t="s">
        <v>1013</v>
      </c>
      <c r="B103" s="142" t="s">
        <v>52</v>
      </c>
      <c r="C103" s="142" t="s">
        <v>44</v>
      </c>
      <c r="D103">
        <v>1E-4</v>
      </c>
      <c r="E103">
        <v>1E-3</v>
      </c>
      <c r="F103">
        <v>1.0000000000000001E-9</v>
      </c>
      <c r="G103" s="142" t="s">
        <v>13</v>
      </c>
      <c r="H103" s="142" t="s">
        <v>11</v>
      </c>
      <c r="I103">
        <v>5</v>
      </c>
      <c r="J103">
        <v>20</v>
      </c>
      <c r="K103" s="142" t="s">
        <v>10</v>
      </c>
      <c r="L103">
        <v>0.24</v>
      </c>
      <c r="M103">
        <v>700</v>
      </c>
      <c r="N103">
        <v>0.23111999999999999</v>
      </c>
      <c r="O103">
        <v>695.26</v>
      </c>
    </row>
    <row r="104" spans="1:15" x14ac:dyDescent="0.25">
      <c r="A104" s="142" t="s">
        <v>1014</v>
      </c>
      <c r="B104" s="142" t="s">
        <v>52</v>
      </c>
      <c r="C104" s="142" t="s">
        <v>44</v>
      </c>
      <c r="D104">
        <v>1E-4</v>
      </c>
      <c r="E104">
        <v>1E-3</v>
      </c>
      <c r="F104">
        <v>1.0000000000000001E-9</v>
      </c>
      <c r="G104" s="142" t="s">
        <v>13</v>
      </c>
      <c r="H104" s="142" t="s">
        <v>11</v>
      </c>
      <c r="I104">
        <v>20</v>
      </c>
      <c r="J104">
        <v>50</v>
      </c>
      <c r="K104" s="142" t="s">
        <v>10</v>
      </c>
      <c r="L104">
        <v>0.47</v>
      </c>
      <c r="M104">
        <v>4700</v>
      </c>
      <c r="N104">
        <v>0.46160000000000001</v>
      </c>
      <c r="O104">
        <v>4633.2</v>
      </c>
    </row>
    <row r="105" spans="1:15" x14ac:dyDescent="0.25">
      <c r="A105" s="142" t="s">
        <v>1012</v>
      </c>
      <c r="B105" s="142" t="s">
        <v>52</v>
      </c>
      <c r="C105" s="142" t="s">
        <v>44</v>
      </c>
      <c r="D105">
        <v>1E-4</v>
      </c>
      <c r="E105">
        <v>1E-3</v>
      </c>
      <c r="F105">
        <v>1.0000000000000001E-9</v>
      </c>
      <c r="G105" s="142" t="s">
        <v>13</v>
      </c>
      <c r="H105" s="142" t="s">
        <v>11</v>
      </c>
      <c r="I105">
        <v>50</v>
      </c>
      <c r="J105">
        <v>100</v>
      </c>
      <c r="K105" s="142" t="s">
        <v>10</v>
      </c>
      <c r="L105">
        <v>1.8</v>
      </c>
      <c r="M105">
        <v>6400</v>
      </c>
      <c r="N105">
        <v>1.7329000000000001</v>
      </c>
      <c r="O105">
        <v>6372.8</v>
      </c>
    </row>
    <row r="106" spans="1:15" x14ac:dyDescent="0.25">
      <c r="A106" s="142" t="s">
        <v>986</v>
      </c>
      <c r="B106" s="142" t="s">
        <v>52</v>
      </c>
      <c r="C106" s="142" t="s">
        <v>44</v>
      </c>
      <c r="D106">
        <v>0</v>
      </c>
      <c r="E106">
        <v>1E-4</v>
      </c>
      <c r="F106">
        <v>1E-8</v>
      </c>
      <c r="G106" s="142" t="s">
        <v>13</v>
      </c>
      <c r="H106" s="142" t="s">
        <v>11</v>
      </c>
      <c r="I106">
        <v>1E-3</v>
      </c>
      <c r="J106">
        <v>0.02</v>
      </c>
      <c r="K106" s="142" t="s">
        <v>10</v>
      </c>
      <c r="L106">
        <v>7.6999999999999999E-2</v>
      </c>
      <c r="M106">
        <v>4200</v>
      </c>
      <c r="N106">
        <v>7.6839000000000005E-2</v>
      </c>
      <c r="O106">
        <v>4197.2</v>
      </c>
    </row>
    <row r="107" spans="1:15" x14ac:dyDescent="0.25">
      <c r="A107" s="142" t="s">
        <v>2094</v>
      </c>
      <c r="B107" s="142" t="s">
        <v>52</v>
      </c>
      <c r="C107" s="142" t="s">
        <v>44</v>
      </c>
      <c r="D107">
        <v>0</v>
      </c>
      <c r="E107">
        <v>1E-4</v>
      </c>
      <c r="F107">
        <v>1E-8</v>
      </c>
      <c r="G107" s="142" t="s">
        <v>13</v>
      </c>
      <c r="H107" s="142" t="s">
        <v>11</v>
      </c>
      <c r="I107">
        <v>0.02</v>
      </c>
      <c r="J107">
        <v>4.4999999999999998E-2</v>
      </c>
      <c r="K107" s="142" t="s">
        <v>10</v>
      </c>
      <c r="L107">
        <v>3.7999999999999999E-2</v>
      </c>
      <c r="M107">
        <v>1700</v>
      </c>
      <c r="N107">
        <v>3.4993999999999997E-2</v>
      </c>
      <c r="O107">
        <v>1729.4</v>
      </c>
    </row>
    <row r="108" spans="1:15" x14ac:dyDescent="0.25">
      <c r="A108" s="142" t="s">
        <v>987</v>
      </c>
      <c r="B108" s="142" t="s">
        <v>52</v>
      </c>
      <c r="C108" s="142" t="s">
        <v>44</v>
      </c>
      <c r="D108">
        <v>0</v>
      </c>
      <c r="E108">
        <v>1E-4</v>
      </c>
      <c r="F108">
        <v>1E-8</v>
      </c>
      <c r="G108" s="142" t="s">
        <v>13</v>
      </c>
      <c r="H108" s="142" t="s">
        <v>11</v>
      </c>
      <c r="I108">
        <v>4.4999999999999998E-2</v>
      </c>
      <c r="J108">
        <v>5</v>
      </c>
      <c r="K108" s="142" t="s">
        <v>10</v>
      </c>
      <c r="L108">
        <v>3.5999999999999997E-2</v>
      </c>
      <c r="M108">
        <v>690</v>
      </c>
      <c r="N108">
        <v>3.5349999999999999E-2</v>
      </c>
      <c r="O108">
        <v>688.67</v>
      </c>
    </row>
    <row r="109" spans="1:15" x14ac:dyDescent="0.25">
      <c r="A109" s="142" t="s">
        <v>1021</v>
      </c>
      <c r="B109" s="142" t="s">
        <v>52</v>
      </c>
      <c r="C109" s="142" t="s">
        <v>44</v>
      </c>
      <c r="D109">
        <v>1E-4</v>
      </c>
      <c r="E109">
        <v>1E-3</v>
      </c>
      <c r="F109">
        <v>1E-8</v>
      </c>
      <c r="G109" s="142" t="s">
        <v>13</v>
      </c>
      <c r="H109" s="142" t="s">
        <v>11</v>
      </c>
      <c r="I109">
        <v>1E-3</v>
      </c>
      <c r="J109">
        <v>0.02</v>
      </c>
      <c r="K109" s="142" t="s">
        <v>10</v>
      </c>
      <c r="L109">
        <v>0.25</v>
      </c>
      <c r="M109">
        <v>4600.3</v>
      </c>
      <c r="N109">
        <v>0.23361999999999999</v>
      </c>
      <c r="O109">
        <v>4616.5</v>
      </c>
    </row>
    <row r="110" spans="1:15" x14ac:dyDescent="0.25">
      <c r="A110" s="142" t="s">
        <v>1022</v>
      </c>
      <c r="B110" s="142" t="s">
        <v>52</v>
      </c>
      <c r="C110" s="142" t="s">
        <v>44</v>
      </c>
      <c r="D110">
        <v>1E-4</v>
      </c>
      <c r="E110">
        <v>1E-3</v>
      </c>
      <c r="F110">
        <v>1E-8</v>
      </c>
      <c r="G110" s="142" t="s">
        <v>13</v>
      </c>
      <c r="H110" s="142" t="s">
        <v>11</v>
      </c>
      <c r="I110">
        <v>0.02</v>
      </c>
      <c r="J110">
        <v>4.4999999999999998E-2</v>
      </c>
      <c r="K110" s="142" t="s">
        <v>10</v>
      </c>
      <c r="L110">
        <v>0.27</v>
      </c>
      <c r="M110">
        <v>1700</v>
      </c>
      <c r="N110">
        <v>0.23546</v>
      </c>
      <c r="O110">
        <v>1728.5</v>
      </c>
    </row>
    <row r="111" spans="1:15" x14ac:dyDescent="0.25">
      <c r="A111" s="142" t="s">
        <v>1018</v>
      </c>
      <c r="B111" s="142" t="s">
        <v>52</v>
      </c>
      <c r="C111" s="142" t="s">
        <v>44</v>
      </c>
      <c r="D111">
        <v>1E-4</v>
      </c>
      <c r="E111">
        <v>1E-3</v>
      </c>
      <c r="F111">
        <v>1E-8</v>
      </c>
      <c r="G111" s="142" t="s">
        <v>13</v>
      </c>
      <c r="H111" s="142" t="s">
        <v>11</v>
      </c>
      <c r="I111">
        <v>4.4999999999999998E-2</v>
      </c>
      <c r="J111">
        <v>0.1</v>
      </c>
      <c r="K111" s="142" t="s">
        <v>10</v>
      </c>
      <c r="L111">
        <v>0.24</v>
      </c>
      <c r="M111">
        <v>690</v>
      </c>
      <c r="N111">
        <v>0.23691999999999999</v>
      </c>
      <c r="O111">
        <v>688.82</v>
      </c>
    </row>
    <row r="112" spans="1:15" x14ac:dyDescent="0.25">
      <c r="A112" s="142" t="s">
        <v>1019</v>
      </c>
      <c r="B112" s="142" t="s">
        <v>52</v>
      </c>
      <c r="C112" s="142" t="s">
        <v>44</v>
      </c>
      <c r="D112">
        <v>1E-4</v>
      </c>
      <c r="E112">
        <v>1E-3</v>
      </c>
      <c r="F112">
        <v>1E-8</v>
      </c>
      <c r="G112" s="142" t="s">
        <v>13</v>
      </c>
      <c r="H112" s="142" t="s">
        <v>11</v>
      </c>
      <c r="I112">
        <v>0.1</v>
      </c>
      <c r="J112">
        <v>5</v>
      </c>
      <c r="K112" s="142" t="s">
        <v>10</v>
      </c>
      <c r="L112">
        <v>0.24</v>
      </c>
      <c r="M112">
        <v>350</v>
      </c>
      <c r="N112">
        <v>0.23746</v>
      </c>
      <c r="O112">
        <v>344.62</v>
      </c>
    </row>
    <row r="113" spans="1:15" x14ac:dyDescent="0.25">
      <c r="A113" s="142" t="s">
        <v>1023</v>
      </c>
      <c r="B113" s="142" t="s">
        <v>52</v>
      </c>
      <c r="C113" s="142" t="s">
        <v>44</v>
      </c>
      <c r="D113">
        <v>1E-4</v>
      </c>
      <c r="E113">
        <v>1E-3</v>
      </c>
      <c r="F113">
        <v>1E-8</v>
      </c>
      <c r="G113" s="142" t="s">
        <v>13</v>
      </c>
      <c r="H113" s="142" t="s">
        <v>11</v>
      </c>
      <c r="I113">
        <v>5</v>
      </c>
      <c r="J113">
        <v>20</v>
      </c>
      <c r="K113" s="142" t="s">
        <v>10</v>
      </c>
      <c r="L113">
        <v>0.24</v>
      </c>
      <c r="M113">
        <v>700</v>
      </c>
      <c r="N113">
        <v>0.23702000000000001</v>
      </c>
      <c r="O113">
        <v>691.26</v>
      </c>
    </row>
    <row r="114" spans="1:15" x14ac:dyDescent="0.25">
      <c r="A114" s="142" t="s">
        <v>1017</v>
      </c>
      <c r="B114" s="142" t="s">
        <v>52</v>
      </c>
      <c r="C114" s="142" t="s">
        <v>44</v>
      </c>
      <c r="D114">
        <v>1E-4</v>
      </c>
      <c r="E114">
        <v>1E-3</v>
      </c>
      <c r="F114">
        <v>1E-8</v>
      </c>
      <c r="G114" s="142" t="s">
        <v>13</v>
      </c>
      <c r="H114" s="142" t="s">
        <v>11</v>
      </c>
      <c r="I114">
        <v>20</v>
      </c>
      <c r="J114">
        <v>50</v>
      </c>
      <c r="K114" s="142" t="s">
        <v>10</v>
      </c>
      <c r="L114">
        <v>0.47</v>
      </c>
      <c r="M114">
        <v>4700</v>
      </c>
      <c r="N114">
        <v>0.46362999999999999</v>
      </c>
      <c r="O114">
        <v>4631.6000000000004</v>
      </c>
    </row>
    <row r="115" spans="1:15" x14ac:dyDescent="0.25">
      <c r="A115" s="142" t="s">
        <v>1020</v>
      </c>
      <c r="B115" s="142" t="s">
        <v>52</v>
      </c>
      <c r="C115" s="142" t="s">
        <v>44</v>
      </c>
      <c r="D115">
        <v>1E-4</v>
      </c>
      <c r="E115">
        <v>1E-3</v>
      </c>
      <c r="F115">
        <v>1E-8</v>
      </c>
      <c r="G115" s="142" t="s">
        <v>13</v>
      </c>
      <c r="H115" s="142" t="s">
        <v>11</v>
      </c>
      <c r="I115">
        <v>50</v>
      </c>
      <c r="J115">
        <v>100</v>
      </c>
      <c r="K115" s="142" t="s">
        <v>10</v>
      </c>
      <c r="L115">
        <v>1.8</v>
      </c>
      <c r="M115">
        <v>6400</v>
      </c>
      <c r="N115">
        <v>1.7342</v>
      </c>
      <c r="O115">
        <v>6372.7</v>
      </c>
    </row>
    <row r="116" spans="1:15" x14ac:dyDescent="0.25">
      <c r="A116" s="142" t="s">
        <v>1039</v>
      </c>
      <c r="B116" s="142" t="s">
        <v>52</v>
      </c>
      <c r="C116" s="142" t="s">
        <v>44</v>
      </c>
      <c r="D116">
        <v>1E-3</v>
      </c>
      <c r="E116">
        <v>0.01</v>
      </c>
      <c r="F116">
        <v>1E-8</v>
      </c>
      <c r="G116" s="142" t="s">
        <v>13</v>
      </c>
      <c r="H116" s="142" t="s">
        <v>11</v>
      </c>
      <c r="I116">
        <v>1E-3</v>
      </c>
      <c r="J116">
        <v>0.02</v>
      </c>
      <c r="K116" s="142" t="s">
        <v>10</v>
      </c>
      <c r="L116">
        <v>2.5</v>
      </c>
      <c r="M116">
        <v>4600</v>
      </c>
      <c r="N116">
        <v>2.3094999999999999</v>
      </c>
      <c r="O116">
        <v>4618.8</v>
      </c>
    </row>
    <row r="117" spans="1:15" x14ac:dyDescent="0.25">
      <c r="A117" s="142" t="s">
        <v>1042</v>
      </c>
      <c r="B117" s="142" t="s">
        <v>52</v>
      </c>
      <c r="C117" s="142" t="s">
        <v>44</v>
      </c>
      <c r="D117">
        <v>1E-3</v>
      </c>
      <c r="E117">
        <v>0.01</v>
      </c>
      <c r="F117">
        <v>1E-8</v>
      </c>
      <c r="G117" s="142" t="s">
        <v>13</v>
      </c>
      <c r="H117" s="142" t="s">
        <v>11</v>
      </c>
      <c r="I117">
        <v>0.02</v>
      </c>
      <c r="J117">
        <v>4.4999999999999998E-2</v>
      </c>
      <c r="K117" s="142" t="s">
        <v>10</v>
      </c>
      <c r="L117">
        <v>2.7</v>
      </c>
      <c r="M117">
        <v>1700</v>
      </c>
      <c r="N117">
        <v>2.3094999999999999</v>
      </c>
      <c r="O117">
        <v>1732.1</v>
      </c>
    </row>
    <row r="118" spans="1:15" x14ac:dyDescent="0.25">
      <c r="A118" s="142" t="s">
        <v>2105</v>
      </c>
      <c r="B118" s="142" t="s">
        <v>52</v>
      </c>
      <c r="C118" s="142" t="s">
        <v>44</v>
      </c>
      <c r="D118">
        <v>1E-3</v>
      </c>
      <c r="E118">
        <v>0.01</v>
      </c>
      <c r="F118">
        <v>1E-8</v>
      </c>
      <c r="G118" s="142" t="s">
        <v>13</v>
      </c>
      <c r="H118" s="142" t="s">
        <v>11</v>
      </c>
      <c r="I118">
        <v>4.4999999999999998E-2</v>
      </c>
      <c r="J118">
        <v>0.1</v>
      </c>
      <c r="K118" s="142" t="s">
        <v>10</v>
      </c>
      <c r="L118">
        <v>2.4</v>
      </c>
      <c r="M118">
        <v>690</v>
      </c>
      <c r="N118">
        <v>2.3096999999999999</v>
      </c>
      <c r="O118">
        <v>692.84</v>
      </c>
    </row>
    <row r="119" spans="1:15" x14ac:dyDescent="0.25">
      <c r="A119" s="142" t="s">
        <v>1038</v>
      </c>
      <c r="B119" s="142" t="s">
        <v>52</v>
      </c>
      <c r="C119" s="142" t="s">
        <v>44</v>
      </c>
      <c r="D119">
        <v>1E-3</v>
      </c>
      <c r="E119">
        <v>0.01</v>
      </c>
      <c r="F119">
        <v>1E-8</v>
      </c>
      <c r="G119" s="142" t="s">
        <v>13</v>
      </c>
      <c r="H119" s="142" t="s">
        <v>11</v>
      </c>
      <c r="I119">
        <v>0.1</v>
      </c>
      <c r="J119">
        <v>5</v>
      </c>
      <c r="K119" s="142" t="s">
        <v>10</v>
      </c>
      <c r="L119">
        <v>2.4</v>
      </c>
      <c r="M119">
        <v>350</v>
      </c>
      <c r="N119">
        <v>2.3083</v>
      </c>
      <c r="O119">
        <v>348.1</v>
      </c>
    </row>
    <row r="120" spans="1:15" x14ac:dyDescent="0.25">
      <c r="A120" s="142" t="s">
        <v>1040</v>
      </c>
      <c r="B120" s="142" t="s">
        <v>52</v>
      </c>
      <c r="C120" s="142" t="s">
        <v>44</v>
      </c>
      <c r="D120">
        <v>1E-3</v>
      </c>
      <c r="E120">
        <v>0.01</v>
      </c>
      <c r="F120">
        <v>1E-8</v>
      </c>
      <c r="G120" s="142" t="s">
        <v>13</v>
      </c>
      <c r="H120" s="142" t="s">
        <v>11</v>
      </c>
      <c r="I120">
        <v>5</v>
      </c>
      <c r="J120">
        <v>20</v>
      </c>
      <c r="K120" s="142" t="s">
        <v>10</v>
      </c>
      <c r="L120">
        <v>2.4</v>
      </c>
      <c r="M120">
        <v>700</v>
      </c>
      <c r="N120">
        <v>2.3077999999999999</v>
      </c>
      <c r="O120">
        <v>695.46</v>
      </c>
    </row>
    <row r="121" spans="1:15" x14ac:dyDescent="0.25">
      <c r="A121" s="142" t="s">
        <v>1041</v>
      </c>
      <c r="B121" s="142" t="s">
        <v>52</v>
      </c>
      <c r="C121" s="142" t="s">
        <v>44</v>
      </c>
      <c r="D121">
        <v>1E-3</v>
      </c>
      <c r="E121">
        <v>0.01</v>
      </c>
      <c r="F121">
        <v>1E-8</v>
      </c>
      <c r="G121" s="142" t="s">
        <v>13</v>
      </c>
      <c r="H121" s="142" t="s">
        <v>11</v>
      </c>
      <c r="I121">
        <v>20</v>
      </c>
      <c r="J121">
        <v>50</v>
      </c>
      <c r="K121" s="142" t="s">
        <v>10</v>
      </c>
      <c r="L121">
        <v>4.7</v>
      </c>
      <c r="M121">
        <v>4700</v>
      </c>
      <c r="N121">
        <v>4.6151</v>
      </c>
      <c r="O121">
        <v>4630.5</v>
      </c>
    </row>
    <row r="122" spans="1:15" x14ac:dyDescent="0.25">
      <c r="A122" s="142" t="s">
        <v>1043</v>
      </c>
      <c r="B122" s="142" t="s">
        <v>52</v>
      </c>
      <c r="C122" s="142" t="s">
        <v>44</v>
      </c>
      <c r="D122">
        <v>1E-3</v>
      </c>
      <c r="E122">
        <v>0.01</v>
      </c>
      <c r="F122">
        <v>1E-8</v>
      </c>
      <c r="G122" s="142" t="s">
        <v>13</v>
      </c>
      <c r="H122" s="142" t="s">
        <v>11</v>
      </c>
      <c r="I122">
        <v>50</v>
      </c>
      <c r="J122">
        <v>100</v>
      </c>
      <c r="K122" s="142" t="s">
        <v>10</v>
      </c>
      <c r="L122">
        <v>18</v>
      </c>
      <c r="M122">
        <v>6400</v>
      </c>
      <c r="N122">
        <v>17.306000000000001</v>
      </c>
      <c r="O122">
        <v>6373.7</v>
      </c>
    </row>
    <row r="123" spans="1:15" x14ac:dyDescent="0.25">
      <c r="A123" s="142" t="s">
        <v>2091</v>
      </c>
      <c r="B123" s="142" t="s">
        <v>52</v>
      </c>
      <c r="C123" s="142" t="s">
        <v>44</v>
      </c>
      <c r="D123">
        <v>0</v>
      </c>
      <c r="E123">
        <v>1E-4</v>
      </c>
      <c r="F123">
        <v>9.9999999999999995E-8</v>
      </c>
      <c r="G123" s="142" t="s">
        <v>13</v>
      </c>
      <c r="H123" s="142" t="s">
        <v>11</v>
      </c>
      <c r="I123">
        <v>1E-3</v>
      </c>
      <c r="J123">
        <v>0.02</v>
      </c>
      <c r="K123" s="142" t="s">
        <v>10</v>
      </c>
      <c r="L123">
        <v>9.5324999999999993E-2</v>
      </c>
      <c r="M123">
        <v>4045.9</v>
      </c>
      <c r="N123">
        <v>9.5286999999999997E-2</v>
      </c>
      <c r="O123">
        <v>4045.8</v>
      </c>
    </row>
    <row r="124" spans="1:15" x14ac:dyDescent="0.25">
      <c r="A124" s="142" t="s">
        <v>989</v>
      </c>
      <c r="B124" s="142" t="s">
        <v>52</v>
      </c>
      <c r="C124" s="142" t="s">
        <v>44</v>
      </c>
      <c r="D124">
        <v>0</v>
      </c>
      <c r="E124">
        <v>1E-4</v>
      </c>
      <c r="F124">
        <v>9.9999999999999995E-8</v>
      </c>
      <c r="G124" s="142" t="s">
        <v>13</v>
      </c>
      <c r="H124" s="142" t="s">
        <v>11</v>
      </c>
      <c r="I124">
        <v>0.02</v>
      </c>
      <c r="J124">
        <v>4.4999999999999998E-2</v>
      </c>
      <c r="K124" s="142" t="s">
        <v>10</v>
      </c>
      <c r="L124">
        <v>6.2393999999999998E-2</v>
      </c>
      <c r="M124">
        <v>1534.5</v>
      </c>
      <c r="N124">
        <v>6.2351999999999998E-2</v>
      </c>
      <c r="O124">
        <v>1533.9</v>
      </c>
    </row>
    <row r="125" spans="1:15" x14ac:dyDescent="0.25">
      <c r="A125" s="142" t="s">
        <v>988</v>
      </c>
      <c r="B125" s="142" t="s">
        <v>52</v>
      </c>
      <c r="C125" s="142" t="s">
        <v>44</v>
      </c>
      <c r="D125">
        <v>0</v>
      </c>
      <c r="E125">
        <v>1E-4</v>
      </c>
      <c r="F125">
        <v>9.9999999999999995E-8</v>
      </c>
      <c r="G125" s="142" t="s">
        <v>13</v>
      </c>
      <c r="H125" s="142" t="s">
        <v>11</v>
      </c>
      <c r="I125">
        <v>4.4999999999999998E-2</v>
      </c>
      <c r="J125">
        <v>5</v>
      </c>
      <c r="K125" s="142" t="s">
        <v>10</v>
      </c>
      <c r="L125">
        <v>6.6049999999999998E-2</v>
      </c>
      <c r="M125">
        <v>531.70000000000005</v>
      </c>
      <c r="N125">
        <v>6.6009999999999999E-2</v>
      </c>
      <c r="O125">
        <v>530.26</v>
      </c>
    </row>
    <row r="126" spans="1:15" x14ac:dyDescent="0.25">
      <c r="A126" s="142" t="s">
        <v>1027</v>
      </c>
      <c r="B126" s="142" t="s">
        <v>52</v>
      </c>
      <c r="C126" s="142" t="s">
        <v>44</v>
      </c>
      <c r="D126">
        <v>1E-4</v>
      </c>
      <c r="E126">
        <v>1E-3</v>
      </c>
      <c r="F126">
        <v>9.9999999999999995E-8</v>
      </c>
      <c r="G126" s="142" t="s">
        <v>13</v>
      </c>
      <c r="H126" s="142" t="s">
        <v>11</v>
      </c>
      <c r="I126">
        <v>1E-3</v>
      </c>
      <c r="J126">
        <v>0.02</v>
      </c>
      <c r="K126" s="142" t="s">
        <v>10</v>
      </c>
      <c r="L126">
        <v>0.45989000000000002</v>
      </c>
      <c r="M126">
        <v>4424.7</v>
      </c>
      <c r="N126">
        <v>0.45950999999999997</v>
      </c>
      <c r="O126">
        <v>4424.6000000000004</v>
      </c>
    </row>
    <row r="127" spans="1:15" x14ac:dyDescent="0.25">
      <c r="A127" s="142" t="s">
        <v>1024</v>
      </c>
      <c r="B127" s="142" t="s">
        <v>52</v>
      </c>
      <c r="C127" s="142" t="s">
        <v>44</v>
      </c>
      <c r="D127">
        <v>1E-4</v>
      </c>
      <c r="E127">
        <v>1E-3</v>
      </c>
      <c r="F127">
        <v>9.9999999999999995E-8</v>
      </c>
      <c r="G127" s="142" t="s">
        <v>13</v>
      </c>
      <c r="H127" s="142" t="s">
        <v>11</v>
      </c>
      <c r="I127">
        <v>0.02</v>
      </c>
      <c r="J127">
        <v>4.4999999999999998E-2</v>
      </c>
      <c r="K127" s="142" t="s">
        <v>10</v>
      </c>
      <c r="L127">
        <v>0.55627000000000004</v>
      </c>
      <c r="M127">
        <v>1491.3</v>
      </c>
      <c r="N127">
        <v>0.55583000000000005</v>
      </c>
      <c r="O127">
        <v>1490.6</v>
      </c>
    </row>
    <row r="128" spans="1:15" x14ac:dyDescent="0.25">
      <c r="A128" s="142" t="s">
        <v>1029</v>
      </c>
      <c r="B128" s="142" t="s">
        <v>52</v>
      </c>
      <c r="C128" s="142" t="s">
        <v>44</v>
      </c>
      <c r="D128">
        <v>1E-4</v>
      </c>
      <c r="E128">
        <v>1E-3</v>
      </c>
      <c r="F128">
        <v>9.9999999999999995E-8</v>
      </c>
      <c r="G128" s="142" t="s">
        <v>13</v>
      </c>
      <c r="H128" s="142" t="s">
        <v>11</v>
      </c>
      <c r="I128">
        <v>4.4999999999999998E-2</v>
      </c>
      <c r="J128">
        <v>0.1</v>
      </c>
      <c r="K128" s="142" t="s">
        <v>10</v>
      </c>
      <c r="L128">
        <v>0.60248999999999997</v>
      </c>
      <c r="M128">
        <v>489.55</v>
      </c>
      <c r="N128">
        <v>0.60211000000000003</v>
      </c>
      <c r="O128">
        <v>487.78</v>
      </c>
    </row>
    <row r="129" spans="1:15" x14ac:dyDescent="0.25">
      <c r="A129" s="142" t="s">
        <v>1026</v>
      </c>
      <c r="B129" s="142" t="s">
        <v>52</v>
      </c>
      <c r="C129" s="142" t="s">
        <v>44</v>
      </c>
      <c r="D129">
        <v>1E-4</v>
      </c>
      <c r="E129">
        <v>1E-3</v>
      </c>
      <c r="F129">
        <v>9.9999999999999995E-8</v>
      </c>
      <c r="G129" s="142" t="s">
        <v>13</v>
      </c>
      <c r="H129" s="142" t="s">
        <v>11</v>
      </c>
      <c r="I129">
        <v>0.1</v>
      </c>
      <c r="J129">
        <v>5</v>
      </c>
      <c r="K129" s="142" t="s">
        <v>10</v>
      </c>
      <c r="L129">
        <v>0.61568999999999996</v>
      </c>
      <c r="M129">
        <v>205.51</v>
      </c>
      <c r="N129">
        <v>0.61538000000000004</v>
      </c>
      <c r="O129">
        <v>202.97</v>
      </c>
    </row>
    <row r="130" spans="1:15" x14ac:dyDescent="0.25">
      <c r="A130" s="142" t="s">
        <v>1030</v>
      </c>
      <c r="B130" s="142" t="s">
        <v>52</v>
      </c>
      <c r="C130" s="142" t="s">
        <v>44</v>
      </c>
      <c r="D130">
        <v>1E-4</v>
      </c>
      <c r="E130">
        <v>1E-3</v>
      </c>
      <c r="F130">
        <v>9.9999999999999995E-8</v>
      </c>
      <c r="G130" s="142" t="s">
        <v>13</v>
      </c>
      <c r="H130" s="142" t="s">
        <v>11</v>
      </c>
      <c r="I130">
        <v>5</v>
      </c>
      <c r="J130">
        <v>20</v>
      </c>
      <c r="K130" s="142" t="s">
        <v>10</v>
      </c>
      <c r="L130">
        <v>0.60243000000000002</v>
      </c>
      <c r="M130">
        <v>491.76</v>
      </c>
      <c r="N130">
        <v>0.60204999999999997</v>
      </c>
      <c r="O130">
        <v>490.01</v>
      </c>
    </row>
    <row r="131" spans="1:15" x14ac:dyDescent="0.25">
      <c r="A131" s="142" t="s">
        <v>1028</v>
      </c>
      <c r="B131" s="142" t="s">
        <v>52</v>
      </c>
      <c r="C131" s="142" t="s">
        <v>44</v>
      </c>
      <c r="D131">
        <v>1E-4</v>
      </c>
      <c r="E131">
        <v>1E-3</v>
      </c>
      <c r="F131">
        <v>9.9999999999999995E-8</v>
      </c>
      <c r="G131" s="142" t="s">
        <v>13</v>
      </c>
      <c r="H131" s="142" t="s">
        <v>11</v>
      </c>
      <c r="I131">
        <v>20</v>
      </c>
      <c r="J131">
        <v>50</v>
      </c>
      <c r="K131" s="142" t="s">
        <v>10</v>
      </c>
      <c r="L131">
        <v>0.63993</v>
      </c>
      <c r="M131">
        <v>4530.1000000000004</v>
      </c>
      <c r="N131">
        <v>0.64222000000000001</v>
      </c>
      <c r="O131">
        <v>4485.7</v>
      </c>
    </row>
    <row r="132" spans="1:15" x14ac:dyDescent="0.25">
      <c r="A132" s="142" t="s">
        <v>1025</v>
      </c>
      <c r="B132" s="142" t="s">
        <v>52</v>
      </c>
      <c r="C132" s="142" t="s">
        <v>44</v>
      </c>
      <c r="D132">
        <v>1E-4</v>
      </c>
      <c r="E132">
        <v>1E-3</v>
      </c>
      <c r="F132">
        <v>9.9999999999999995E-8</v>
      </c>
      <c r="G132" s="142" t="s">
        <v>13</v>
      </c>
      <c r="H132" s="142" t="s">
        <v>11</v>
      </c>
      <c r="I132">
        <v>50</v>
      </c>
      <c r="J132">
        <v>100</v>
      </c>
      <c r="K132" s="142" t="s">
        <v>10</v>
      </c>
      <c r="L132">
        <v>1.8159000000000001</v>
      </c>
      <c r="M132">
        <v>6384.2</v>
      </c>
      <c r="N132">
        <v>1.8102</v>
      </c>
      <c r="O132">
        <v>6320.9</v>
      </c>
    </row>
    <row r="133" spans="1:15" x14ac:dyDescent="0.25">
      <c r="A133" s="142" t="s">
        <v>1047</v>
      </c>
      <c r="B133" s="142" t="s">
        <v>52</v>
      </c>
      <c r="C133" s="142" t="s">
        <v>44</v>
      </c>
      <c r="D133">
        <v>1E-3</v>
      </c>
      <c r="E133">
        <v>0.01</v>
      </c>
      <c r="F133">
        <v>9.9999999999999995E-8</v>
      </c>
      <c r="G133" s="142" t="s">
        <v>13</v>
      </c>
      <c r="H133" s="142" t="s">
        <v>11</v>
      </c>
      <c r="I133">
        <v>1E-3</v>
      </c>
      <c r="J133">
        <v>0.02</v>
      </c>
      <c r="K133" s="142" t="s">
        <v>10</v>
      </c>
      <c r="L133">
        <v>2.5</v>
      </c>
      <c r="M133">
        <v>4600</v>
      </c>
      <c r="N133">
        <v>2.3100999999999998</v>
      </c>
      <c r="O133">
        <v>4618.8</v>
      </c>
    </row>
    <row r="134" spans="1:15" x14ac:dyDescent="0.25">
      <c r="A134" s="142" t="s">
        <v>2103</v>
      </c>
      <c r="B134" s="142" t="s">
        <v>52</v>
      </c>
      <c r="C134" s="142" t="s">
        <v>44</v>
      </c>
      <c r="D134">
        <v>1E-3</v>
      </c>
      <c r="E134">
        <v>0.01</v>
      </c>
      <c r="F134">
        <v>9.9999999999999995E-8</v>
      </c>
      <c r="G134" s="142" t="s">
        <v>13</v>
      </c>
      <c r="H134" s="142" t="s">
        <v>11</v>
      </c>
      <c r="I134">
        <v>0.02</v>
      </c>
      <c r="J134">
        <v>4.4999999999999998E-2</v>
      </c>
      <c r="K134" s="142" t="s">
        <v>10</v>
      </c>
      <c r="L134">
        <v>2.7</v>
      </c>
      <c r="M134">
        <v>1700</v>
      </c>
      <c r="N134">
        <v>2.3107000000000002</v>
      </c>
      <c r="O134">
        <v>1732</v>
      </c>
    </row>
    <row r="135" spans="1:15" x14ac:dyDescent="0.25">
      <c r="A135" s="142" t="s">
        <v>1048</v>
      </c>
      <c r="B135" s="142" t="s">
        <v>52</v>
      </c>
      <c r="C135" s="142" t="s">
        <v>44</v>
      </c>
      <c r="D135">
        <v>1E-3</v>
      </c>
      <c r="E135">
        <v>0.01</v>
      </c>
      <c r="F135">
        <v>9.9999999999999995E-8</v>
      </c>
      <c r="G135" s="142" t="s">
        <v>13</v>
      </c>
      <c r="H135" s="142" t="s">
        <v>11</v>
      </c>
      <c r="I135">
        <v>4.4999999999999998E-2</v>
      </c>
      <c r="J135">
        <v>0.1</v>
      </c>
      <c r="K135" s="142" t="s">
        <v>10</v>
      </c>
      <c r="L135">
        <v>2.4</v>
      </c>
      <c r="M135">
        <v>690</v>
      </c>
      <c r="N135">
        <v>2.3109000000000002</v>
      </c>
      <c r="O135">
        <v>692.84</v>
      </c>
    </row>
    <row r="136" spans="1:15" x14ac:dyDescent="0.25">
      <c r="A136" s="142" t="s">
        <v>1044</v>
      </c>
      <c r="B136" s="142" t="s">
        <v>52</v>
      </c>
      <c r="C136" s="142" t="s">
        <v>44</v>
      </c>
      <c r="D136">
        <v>1E-3</v>
      </c>
      <c r="E136">
        <v>0.01</v>
      </c>
      <c r="F136">
        <v>9.9999999999999995E-8</v>
      </c>
      <c r="G136" s="142" t="s">
        <v>13</v>
      </c>
      <c r="H136" s="142" t="s">
        <v>11</v>
      </c>
      <c r="I136">
        <v>0.1</v>
      </c>
      <c r="J136">
        <v>5</v>
      </c>
      <c r="K136" s="142" t="s">
        <v>10</v>
      </c>
      <c r="L136">
        <v>2.4</v>
      </c>
      <c r="M136">
        <v>350</v>
      </c>
      <c r="N136">
        <v>2.3096999999999999</v>
      </c>
      <c r="O136">
        <v>348.16</v>
      </c>
    </row>
    <row r="137" spans="1:15" x14ac:dyDescent="0.25">
      <c r="A137" s="142" t="s">
        <v>1049</v>
      </c>
      <c r="B137" s="142" t="s">
        <v>52</v>
      </c>
      <c r="C137" s="142" t="s">
        <v>44</v>
      </c>
      <c r="D137">
        <v>1E-3</v>
      </c>
      <c r="E137">
        <v>0.01</v>
      </c>
      <c r="F137">
        <v>9.9999999999999995E-8</v>
      </c>
      <c r="G137" s="142" t="s">
        <v>13</v>
      </c>
      <c r="H137" s="142" t="s">
        <v>11</v>
      </c>
      <c r="I137">
        <v>5</v>
      </c>
      <c r="J137">
        <v>20</v>
      </c>
      <c r="K137" s="142" t="s">
        <v>10</v>
      </c>
      <c r="L137">
        <v>2.4</v>
      </c>
      <c r="M137">
        <v>700</v>
      </c>
      <c r="N137">
        <v>2.3090000000000002</v>
      </c>
      <c r="O137">
        <v>695.46</v>
      </c>
    </row>
    <row r="138" spans="1:15" x14ac:dyDescent="0.25">
      <c r="A138" s="142" t="s">
        <v>1045</v>
      </c>
      <c r="B138" s="142" t="s">
        <v>52</v>
      </c>
      <c r="C138" s="142" t="s">
        <v>44</v>
      </c>
      <c r="D138">
        <v>1E-3</v>
      </c>
      <c r="E138">
        <v>0.01</v>
      </c>
      <c r="F138">
        <v>9.9999999999999995E-8</v>
      </c>
      <c r="G138" s="142" t="s">
        <v>13</v>
      </c>
      <c r="H138" s="142" t="s">
        <v>11</v>
      </c>
      <c r="I138">
        <v>20</v>
      </c>
      <c r="J138">
        <v>50</v>
      </c>
      <c r="K138" s="142" t="s">
        <v>10</v>
      </c>
      <c r="L138">
        <v>4.7</v>
      </c>
      <c r="M138">
        <v>4700</v>
      </c>
      <c r="N138">
        <v>4.6154000000000002</v>
      </c>
      <c r="O138">
        <v>4630.5</v>
      </c>
    </row>
    <row r="139" spans="1:15" x14ac:dyDescent="0.25">
      <c r="A139" s="142" t="s">
        <v>1046</v>
      </c>
      <c r="B139" s="142" t="s">
        <v>52</v>
      </c>
      <c r="C139" s="142" t="s">
        <v>44</v>
      </c>
      <c r="D139">
        <v>1E-3</v>
      </c>
      <c r="E139">
        <v>0.01</v>
      </c>
      <c r="F139">
        <v>9.9999999999999995E-8</v>
      </c>
      <c r="G139" s="142" t="s">
        <v>13</v>
      </c>
      <c r="H139" s="142" t="s">
        <v>11</v>
      </c>
      <c r="I139">
        <v>50</v>
      </c>
      <c r="J139">
        <v>100</v>
      </c>
      <c r="K139" s="142" t="s">
        <v>10</v>
      </c>
      <c r="L139">
        <v>18</v>
      </c>
      <c r="M139">
        <v>6400</v>
      </c>
      <c r="N139">
        <v>17.306999999999999</v>
      </c>
      <c r="O139">
        <v>6373.8</v>
      </c>
    </row>
    <row r="140" spans="1:15" x14ac:dyDescent="0.25">
      <c r="A140" s="142" t="s">
        <v>1071</v>
      </c>
      <c r="B140" s="142" t="s">
        <v>52</v>
      </c>
      <c r="C140" s="142" t="s">
        <v>44</v>
      </c>
      <c r="D140">
        <v>0.01</v>
      </c>
      <c r="E140">
        <v>0.1</v>
      </c>
      <c r="F140">
        <v>9.9999999999999995E-8</v>
      </c>
      <c r="G140" s="142" t="s">
        <v>13</v>
      </c>
      <c r="H140" s="142" t="s">
        <v>11</v>
      </c>
      <c r="I140">
        <v>1E-3</v>
      </c>
      <c r="J140">
        <v>0.02</v>
      </c>
      <c r="K140" s="142" t="s">
        <v>10</v>
      </c>
      <c r="L140">
        <v>25</v>
      </c>
      <c r="M140">
        <v>4600</v>
      </c>
      <c r="N140">
        <v>23.094999999999999</v>
      </c>
      <c r="O140">
        <v>4618.8</v>
      </c>
    </row>
    <row r="141" spans="1:15" x14ac:dyDescent="0.25">
      <c r="A141" s="142" t="s">
        <v>1070</v>
      </c>
      <c r="B141" s="142" t="s">
        <v>52</v>
      </c>
      <c r="C141" s="142" t="s">
        <v>44</v>
      </c>
      <c r="D141">
        <v>0.01</v>
      </c>
      <c r="E141">
        <v>0.1</v>
      </c>
      <c r="F141">
        <v>9.9999999999999995E-8</v>
      </c>
      <c r="G141" s="142" t="s">
        <v>13</v>
      </c>
      <c r="H141" s="142" t="s">
        <v>11</v>
      </c>
      <c r="I141">
        <v>0.02</v>
      </c>
      <c r="J141">
        <v>4.4999999999999998E-2</v>
      </c>
      <c r="K141" s="142" t="s">
        <v>10</v>
      </c>
      <c r="L141">
        <v>27</v>
      </c>
      <c r="M141">
        <v>1700</v>
      </c>
      <c r="N141">
        <v>23.094000000000001</v>
      </c>
      <c r="O141">
        <v>1732.1</v>
      </c>
    </row>
    <row r="142" spans="1:15" x14ac:dyDescent="0.25">
      <c r="A142" s="142" t="s">
        <v>1069</v>
      </c>
      <c r="B142" s="142" t="s">
        <v>52</v>
      </c>
      <c r="C142" s="142" t="s">
        <v>44</v>
      </c>
      <c r="D142">
        <v>0.01</v>
      </c>
      <c r="E142">
        <v>0.1</v>
      </c>
      <c r="F142">
        <v>9.9999999999999995E-8</v>
      </c>
      <c r="G142" s="142" t="s">
        <v>13</v>
      </c>
      <c r="H142" s="142" t="s">
        <v>11</v>
      </c>
      <c r="I142">
        <v>4.4999999999999998E-2</v>
      </c>
      <c r="J142">
        <v>0.1</v>
      </c>
      <c r="K142" s="142" t="s">
        <v>10</v>
      </c>
      <c r="L142">
        <v>24</v>
      </c>
      <c r="M142">
        <v>690</v>
      </c>
      <c r="N142">
        <v>23.094999999999999</v>
      </c>
      <c r="O142">
        <v>692.84</v>
      </c>
    </row>
    <row r="143" spans="1:15" x14ac:dyDescent="0.25">
      <c r="A143" s="142" t="s">
        <v>1067</v>
      </c>
      <c r="B143" s="142" t="s">
        <v>52</v>
      </c>
      <c r="C143" s="142" t="s">
        <v>44</v>
      </c>
      <c r="D143">
        <v>0.01</v>
      </c>
      <c r="E143">
        <v>0.1</v>
      </c>
      <c r="F143">
        <v>9.9999999999999995E-8</v>
      </c>
      <c r="G143" s="142" t="s">
        <v>13</v>
      </c>
      <c r="H143" s="142" t="s">
        <v>11</v>
      </c>
      <c r="I143">
        <v>0.1</v>
      </c>
      <c r="J143">
        <v>5</v>
      </c>
      <c r="K143" s="142" t="s">
        <v>10</v>
      </c>
      <c r="L143">
        <v>24</v>
      </c>
      <c r="M143">
        <v>350</v>
      </c>
      <c r="N143">
        <v>23.082999999999998</v>
      </c>
      <c r="O143">
        <v>348</v>
      </c>
    </row>
    <row r="144" spans="1:15" x14ac:dyDescent="0.25">
      <c r="A144" s="142" t="s">
        <v>1068</v>
      </c>
      <c r="B144" s="142" t="s">
        <v>52</v>
      </c>
      <c r="C144" s="142" t="s">
        <v>44</v>
      </c>
      <c r="D144">
        <v>0.01</v>
      </c>
      <c r="E144">
        <v>0.1</v>
      </c>
      <c r="F144">
        <v>9.9999999999999995E-8</v>
      </c>
      <c r="G144" s="142" t="s">
        <v>13</v>
      </c>
      <c r="H144" s="142" t="s">
        <v>11</v>
      </c>
      <c r="I144">
        <v>5</v>
      </c>
      <c r="J144">
        <v>20</v>
      </c>
      <c r="K144" s="142" t="s">
        <v>10</v>
      </c>
      <c r="L144">
        <v>24</v>
      </c>
      <c r="M144">
        <v>700</v>
      </c>
      <c r="N144">
        <v>23.077999999999999</v>
      </c>
      <c r="O144">
        <v>695.33</v>
      </c>
    </row>
    <row r="145" spans="1:15" x14ac:dyDescent="0.25">
      <c r="A145" s="142" t="s">
        <v>1072</v>
      </c>
      <c r="B145" s="142" t="s">
        <v>52</v>
      </c>
      <c r="C145" s="142" t="s">
        <v>44</v>
      </c>
      <c r="D145">
        <v>0.01</v>
      </c>
      <c r="E145">
        <v>0.1</v>
      </c>
      <c r="F145">
        <v>9.9999999999999995E-8</v>
      </c>
      <c r="G145" s="142" t="s">
        <v>13</v>
      </c>
      <c r="H145" s="142" t="s">
        <v>11</v>
      </c>
      <c r="I145">
        <v>20</v>
      </c>
      <c r="J145">
        <v>50</v>
      </c>
      <c r="K145" s="142" t="s">
        <v>10</v>
      </c>
      <c r="L145">
        <v>47</v>
      </c>
      <c r="M145">
        <v>4700</v>
      </c>
      <c r="N145">
        <v>46.140999999999998</v>
      </c>
      <c r="O145">
        <v>4629.8999999999996</v>
      </c>
    </row>
    <row r="146" spans="1:15" x14ac:dyDescent="0.25">
      <c r="A146" s="142" t="s">
        <v>1066</v>
      </c>
      <c r="B146" s="142" t="s">
        <v>52</v>
      </c>
      <c r="C146" s="142" t="s">
        <v>44</v>
      </c>
      <c r="D146">
        <v>0.01</v>
      </c>
      <c r="E146">
        <v>0.1</v>
      </c>
      <c r="F146">
        <v>9.9999999999999995E-8</v>
      </c>
      <c r="G146" s="142" t="s">
        <v>13</v>
      </c>
      <c r="H146" s="142" t="s">
        <v>11</v>
      </c>
      <c r="I146">
        <v>50</v>
      </c>
      <c r="J146">
        <v>100</v>
      </c>
      <c r="K146" s="142" t="s">
        <v>10</v>
      </c>
      <c r="L146">
        <v>180</v>
      </c>
      <c r="M146">
        <v>6400</v>
      </c>
      <c r="N146">
        <v>173.06</v>
      </c>
      <c r="O146">
        <v>6372.7</v>
      </c>
    </row>
    <row r="147" spans="1:15" x14ac:dyDescent="0.25">
      <c r="A147" s="142" t="s">
        <v>2092</v>
      </c>
      <c r="B147" s="142" t="s">
        <v>52</v>
      </c>
      <c r="C147" s="142" t="s">
        <v>44</v>
      </c>
      <c r="D147">
        <v>0</v>
      </c>
      <c r="E147">
        <v>1E-4</v>
      </c>
      <c r="F147">
        <v>9.9999999999999995E-7</v>
      </c>
      <c r="G147" s="142" t="s">
        <v>13</v>
      </c>
      <c r="H147" s="142" t="s">
        <v>11</v>
      </c>
      <c r="I147">
        <v>1E-3</v>
      </c>
      <c r="J147">
        <v>0.02</v>
      </c>
      <c r="K147" s="142" t="s">
        <v>10</v>
      </c>
      <c r="L147">
        <v>0.58121</v>
      </c>
      <c r="M147">
        <v>1804</v>
      </c>
      <c r="N147">
        <v>0.58118000000000003</v>
      </c>
      <c r="O147">
        <v>1803.1</v>
      </c>
    </row>
    <row r="148" spans="1:15" x14ac:dyDescent="0.25">
      <c r="A148" s="142" t="s">
        <v>990</v>
      </c>
      <c r="B148" s="142" t="s">
        <v>52</v>
      </c>
      <c r="C148" s="142" t="s">
        <v>44</v>
      </c>
      <c r="D148">
        <v>0</v>
      </c>
      <c r="E148">
        <v>1E-4</v>
      </c>
      <c r="F148">
        <v>9.9999999999999995E-7</v>
      </c>
      <c r="G148" s="142" t="s">
        <v>13</v>
      </c>
      <c r="H148" s="142" t="s">
        <v>11</v>
      </c>
      <c r="I148">
        <v>0.02</v>
      </c>
      <c r="J148">
        <v>4.4999999999999998E-2</v>
      </c>
      <c r="K148" s="142" t="s">
        <v>10</v>
      </c>
      <c r="L148">
        <v>0.57594000000000001</v>
      </c>
      <c r="M148">
        <v>378.72</v>
      </c>
      <c r="N148">
        <v>0.57591999999999999</v>
      </c>
      <c r="O148">
        <v>377.43</v>
      </c>
    </row>
    <row r="149" spans="1:15" x14ac:dyDescent="0.25">
      <c r="A149" s="142" t="s">
        <v>991</v>
      </c>
      <c r="B149" s="142" t="s">
        <v>52</v>
      </c>
      <c r="C149" s="142" t="s">
        <v>44</v>
      </c>
      <c r="D149">
        <v>0</v>
      </c>
      <c r="E149">
        <v>1E-4</v>
      </c>
      <c r="F149">
        <v>9.9999999999999995E-7</v>
      </c>
      <c r="G149" s="142" t="s">
        <v>13</v>
      </c>
      <c r="H149" s="142" t="s">
        <v>11</v>
      </c>
      <c r="I149">
        <v>4.4999999999999998E-2</v>
      </c>
      <c r="J149">
        <v>5</v>
      </c>
      <c r="K149" s="142" t="s">
        <v>10</v>
      </c>
      <c r="L149">
        <v>0.57801999999999998</v>
      </c>
      <c r="M149">
        <v>88.221999999999994</v>
      </c>
      <c r="N149">
        <v>0.57801000000000002</v>
      </c>
      <c r="O149">
        <v>86.855000000000004</v>
      </c>
    </row>
    <row r="150" spans="1:15" x14ac:dyDescent="0.25">
      <c r="A150" s="142" t="s">
        <v>1032</v>
      </c>
      <c r="B150" s="142" t="s">
        <v>52</v>
      </c>
      <c r="C150" s="142" t="s">
        <v>44</v>
      </c>
      <c r="D150">
        <v>1E-4</v>
      </c>
      <c r="E150">
        <v>1E-3</v>
      </c>
      <c r="F150">
        <v>9.9999999999999995E-7</v>
      </c>
      <c r="G150" s="142" t="s">
        <v>13</v>
      </c>
      <c r="H150" s="142" t="s">
        <v>11</v>
      </c>
      <c r="I150">
        <v>1E-3</v>
      </c>
      <c r="J150">
        <v>0.02</v>
      </c>
      <c r="K150" s="142" t="s">
        <v>10</v>
      </c>
      <c r="L150">
        <v>5.6234999999999999</v>
      </c>
      <c r="M150">
        <v>1918.3</v>
      </c>
      <c r="N150">
        <v>5.6233000000000004</v>
      </c>
      <c r="O150">
        <v>1917.2</v>
      </c>
    </row>
    <row r="151" spans="1:15" x14ac:dyDescent="0.25">
      <c r="A151" s="142" t="s">
        <v>1036</v>
      </c>
      <c r="B151" s="142" t="s">
        <v>52</v>
      </c>
      <c r="C151" s="142" t="s">
        <v>44</v>
      </c>
      <c r="D151">
        <v>1E-4</v>
      </c>
      <c r="E151">
        <v>1E-3</v>
      </c>
      <c r="F151">
        <v>9.9999999999999995E-7</v>
      </c>
      <c r="G151" s="142" t="s">
        <v>13</v>
      </c>
      <c r="H151" s="142" t="s">
        <v>11</v>
      </c>
      <c r="I151">
        <v>0.02</v>
      </c>
      <c r="J151">
        <v>4.4999999999999998E-2</v>
      </c>
      <c r="K151" s="142" t="s">
        <v>10</v>
      </c>
      <c r="L151">
        <v>5.7533000000000003</v>
      </c>
      <c r="M151">
        <v>346.73</v>
      </c>
      <c r="N151">
        <v>5.7531999999999996</v>
      </c>
      <c r="O151">
        <v>345.31</v>
      </c>
    </row>
    <row r="152" spans="1:15" x14ac:dyDescent="0.25">
      <c r="A152" s="142" t="s">
        <v>1035</v>
      </c>
      <c r="B152" s="142" t="s">
        <v>52</v>
      </c>
      <c r="C152" s="142" t="s">
        <v>44</v>
      </c>
      <c r="D152">
        <v>1E-4</v>
      </c>
      <c r="E152">
        <v>1E-3</v>
      </c>
      <c r="F152">
        <v>9.9999999999999995E-7</v>
      </c>
      <c r="G152" s="142" t="s">
        <v>13</v>
      </c>
      <c r="H152" s="142" t="s">
        <v>11</v>
      </c>
      <c r="I152">
        <v>4.4999999999999998E-2</v>
      </c>
      <c r="J152">
        <v>0.1</v>
      </c>
      <c r="K152" s="142" t="s">
        <v>10</v>
      </c>
      <c r="L152">
        <v>5.7742000000000004</v>
      </c>
      <c r="M152">
        <v>74.802000000000007</v>
      </c>
      <c r="N152">
        <v>5.7740999999999998</v>
      </c>
      <c r="O152">
        <v>73.302999999999997</v>
      </c>
    </row>
    <row r="153" spans="1:15" x14ac:dyDescent="0.25">
      <c r="A153" s="142" t="s">
        <v>1037</v>
      </c>
      <c r="B153" s="142" t="s">
        <v>52</v>
      </c>
      <c r="C153" s="142" t="s">
        <v>44</v>
      </c>
      <c r="D153">
        <v>1E-4</v>
      </c>
      <c r="E153">
        <v>1E-3</v>
      </c>
      <c r="F153">
        <v>9.9999999999999995E-7</v>
      </c>
      <c r="G153" s="142" t="s">
        <v>13</v>
      </c>
      <c r="H153" s="142" t="s">
        <v>11</v>
      </c>
      <c r="I153">
        <v>0.1</v>
      </c>
      <c r="J153">
        <v>5</v>
      </c>
      <c r="K153" s="142" t="s">
        <v>10</v>
      </c>
      <c r="L153">
        <v>5.7771999999999997</v>
      </c>
      <c r="M153">
        <v>27.277000000000001</v>
      </c>
      <c r="N153">
        <v>5.7770999999999999</v>
      </c>
      <c r="O153">
        <v>25.765000000000001</v>
      </c>
    </row>
    <row r="154" spans="1:15" x14ac:dyDescent="0.25">
      <c r="A154" s="142" t="s">
        <v>1031</v>
      </c>
      <c r="B154" s="142" t="s">
        <v>52</v>
      </c>
      <c r="C154" s="142" t="s">
        <v>44</v>
      </c>
      <c r="D154">
        <v>1E-4</v>
      </c>
      <c r="E154">
        <v>1E-3</v>
      </c>
      <c r="F154">
        <v>9.9999999999999995E-7</v>
      </c>
      <c r="G154" s="142" t="s">
        <v>13</v>
      </c>
      <c r="H154" s="142" t="s">
        <v>11</v>
      </c>
      <c r="I154">
        <v>5</v>
      </c>
      <c r="J154">
        <v>20</v>
      </c>
      <c r="K154" s="142" t="s">
        <v>10</v>
      </c>
      <c r="L154">
        <v>5.7742000000000004</v>
      </c>
      <c r="M154">
        <v>75.228999999999999</v>
      </c>
      <c r="N154">
        <v>5.7740999999999998</v>
      </c>
      <c r="O154">
        <v>73.73</v>
      </c>
    </row>
    <row r="155" spans="1:15" x14ac:dyDescent="0.25">
      <c r="A155" s="142" t="s">
        <v>1033</v>
      </c>
      <c r="B155" s="142" t="s">
        <v>52</v>
      </c>
      <c r="C155" s="142" t="s">
        <v>44</v>
      </c>
      <c r="D155">
        <v>1E-4</v>
      </c>
      <c r="E155">
        <v>1E-3</v>
      </c>
      <c r="F155">
        <v>9.9999999999999995E-7</v>
      </c>
      <c r="G155" s="142" t="s">
        <v>13</v>
      </c>
      <c r="H155" s="142" t="s">
        <v>11</v>
      </c>
      <c r="I155">
        <v>20</v>
      </c>
      <c r="J155">
        <v>50</v>
      </c>
      <c r="K155" s="142" t="s">
        <v>10</v>
      </c>
      <c r="L155">
        <v>5.6426999999999996</v>
      </c>
      <c r="M155">
        <v>2064.3000000000002</v>
      </c>
      <c r="N155">
        <v>5.6416000000000004</v>
      </c>
      <c r="O155">
        <v>2059.9</v>
      </c>
    </row>
    <row r="156" spans="1:15" x14ac:dyDescent="0.25">
      <c r="A156" s="142" t="s">
        <v>1034</v>
      </c>
      <c r="B156" s="142" t="s">
        <v>52</v>
      </c>
      <c r="C156" s="142" t="s">
        <v>44</v>
      </c>
      <c r="D156">
        <v>1E-4</v>
      </c>
      <c r="E156">
        <v>1E-3</v>
      </c>
      <c r="F156">
        <v>9.9999999999999995E-7</v>
      </c>
      <c r="G156" s="142" t="s">
        <v>13</v>
      </c>
      <c r="H156" s="142" t="s">
        <v>11</v>
      </c>
      <c r="I156">
        <v>50</v>
      </c>
      <c r="J156">
        <v>100</v>
      </c>
      <c r="K156" s="142" t="s">
        <v>10</v>
      </c>
      <c r="L156">
        <v>5.8456000000000001</v>
      </c>
      <c r="M156">
        <v>4190.3999999999996</v>
      </c>
      <c r="N156">
        <v>5.8320999999999996</v>
      </c>
      <c r="O156">
        <v>4136.3</v>
      </c>
    </row>
    <row r="157" spans="1:15" x14ac:dyDescent="0.25">
      <c r="A157" s="142" t="s">
        <v>2101</v>
      </c>
      <c r="B157" s="142" t="s">
        <v>52</v>
      </c>
      <c r="C157" s="142" t="s">
        <v>44</v>
      </c>
      <c r="D157">
        <v>1E-3</v>
      </c>
      <c r="E157">
        <v>0.01</v>
      </c>
      <c r="F157">
        <v>9.9999999999999995E-7</v>
      </c>
      <c r="G157" s="142" t="s">
        <v>13</v>
      </c>
      <c r="H157" s="142" t="s">
        <v>11</v>
      </c>
      <c r="I157">
        <v>1E-3</v>
      </c>
      <c r="J157">
        <v>0.02</v>
      </c>
      <c r="K157" s="142" t="s">
        <v>10</v>
      </c>
      <c r="L157">
        <v>2.5</v>
      </c>
      <c r="M157">
        <v>4600.7</v>
      </c>
      <c r="N157">
        <v>2.3372999999999999</v>
      </c>
      <c r="O157">
        <v>4616.5</v>
      </c>
    </row>
    <row r="158" spans="1:15" x14ac:dyDescent="0.25">
      <c r="A158" s="142" t="s">
        <v>2104</v>
      </c>
      <c r="B158" s="142" t="s">
        <v>52</v>
      </c>
      <c r="C158" s="142" t="s">
        <v>44</v>
      </c>
      <c r="D158">
        <v>1E-3</v>
      </c>
      <c r="E158">
        <v>0.01</v>
      </c>
      <c r="F158">
        <v>9.9999999999999995E-7</v>
      </c>
      <c r="G158" s="142" t="s">
        <v>13</v>
      </c>
      <c r="H158" s="142" t="s">
        <v>11</v>
      </c>
      <c r="I158">
        <v>0.02</v>
      </c>
      <c r="J158">
        <v>4.4999999999999998E-2</v>
      </c>
      <c r="K158" s="142" t="s">
        <v>10</v>
      </c>
      <c r="L158">
        <v>2.7</v>
      </c>
      <c r="M158">
        <v>1700</v>
      </c>
      <c r="N158">
        <v>2.3570000000000002</v>
      </c>
      <c r="O158">
        <v>1728.4</v>
      </c>
    </row>
    <row r="159" spans="1:15" x14ac:dyDescent="0.25">
      <c r="A159" s="142" t="s">
        <v>2106</v>
      </c>
      <c r="B159" s="142" t="s">
        <v>52</v>
      </c>
      <c r="C159" s="142" t="s">
        <v>44</v>
      </c>
      <c r="D159">
        <v>1E-3</v>
      </c>
      <c r="E159">
        <v>0.01</v>
      </c>
      <c r="F159">
        <v>9.9999999999999995E-7</v>
      </c>
      <c r="G159" s="142" t="s">
        <v>13</v>
      </c>
      <c r="H159" s="142" t="s">
        <v>11</v>
      </c>
      <c r="I159">
        <v>4.4999999999999998E-2</v>
      </c>
      <c r="J159">
        <v>0.1</v>
      </c>
      <c r="K159" s="142" t="s">
        <v>10</v>
      </c>
      <c r="L159">
        <v>2.4</v>
      </c>
      <c r="M159">
        <v>690</v>
      </c>
      <c r="N159">
        <v>2.3717999999999999</v>
      </c>
      <c r="O159">
        <v>688.94</v>
      </c>
    </row>
    <row r="160" spans="1:15" x14ac:dyDescent="0.25">
      <c r="A160" s="142" t="s">
        <v>1052</v>
      </c>
      <c r="B160" s="142" t="s">
        <v>52</v>
      </c>
      <c r="C160" s="142" t="s">
        <v>44</v>
      </c>
      <c r="D160">
        <v>1E-3</v>
      </c>
      <c r="E160">
        <v>0.01</v>
      </c>
      <c r="F160">
        <v>9.9999999999999995E-7</v>
      </c>
      <c r="G160" s="142" t="s">
        <v>13</v>
      </c>
      <c r="H160" s="142" t="s">
        <v>11</v>
      </c>
      <c r="I160">
        <v>0.1</v>
      </c>
      <c r="J160">
        <v>5</v>
      </c>
      <c r="K160" s="142" t="s">
        <v>10</v>
      </c>
      <c r="L160">
        <v>2.4</v>
      </c>
      <c r="M160">
        <v>350</v>
      </c>
      <c r="N160">
        <v>2.3772000000000002</v>
      </c>
      <c r="O160">
        <v>344.9</v>
      </c>
    </row>
    <row r="161" spans="1:15" x14ac:dyDescent="0.25">
      <c r="A161" s="142" t="s">
        <v>1050</v>
      </c>
      <c r="B161" s="142" t="s">
        <v>52</v>
      </c>
      <c r="C161" s="142" t="s">
        <v>44</v>
      </c>
      <c r="D161">
        <v>1E-3</v>
      </c>
      <c r="E161">
        <v>0.01</v>
      </c>
      <c r="F161">
        <v>9.9999999999999995E-7</v>
      </c>
      <c r="G161" s="142" t="s">
        <v>13</v>
      </c>
      <c r="H161" s="142" t="s">
        <v>11</v>
      </c>
      <c r="I161">
        <v>5</v>
      </c>
      <c r="J161">
        <v>20</v>
      </c>
      <c r="K161" s="142" t="s">
        <v>10</v>
      </c>
      <c r="L161">
        <v>2.4</v>
      </c>
      <c r="M161">
        <v>700</v>
      </c>
      <c r="N161">
        <v>2.37</v>
      </c>
      <c r="O161">
        <v>691.55</v>
      </c>
    </row>
    <row r="162" spans="1:15" x14ac:dyDescent="0.25">
      <c r="A162" s="142" t="s">
        <v>2107</v>
      </c>
      <c r="B162" s="142" t="s">
        <v>52</v>
      </c>
      <c r="C162" s="142" t="s">
        <v>44</v>
      </c>
      <c r="D162">
        <v>1E-3</v>
      </c>
      <c r="E162">
        <v>0.01</v>
      </c>
      <c r="F162">
        <v>9.9999999999999995E-7</v>
      </c>
      <c r="G162" s="142" t="s">
        <v>13</v>
      </c>
      <c r="H162" s="142" t="s">
        <v>11</v>
      </c>
      <c r="I162">
        <v>20</v>
      </c>
      <c r="J162">
        <v>50</v>
      </c>
      <c r="K162" s="142" t="s">
        <v>10</v>
      </c>
      <c r="L162">
        <v>4.7</v>
      </c>
      <c r="M162">
        <v>4700</v>
      </c>
      <c r="N162">
        <v>4.6356999999999999</v>
      </c>
      <c r="O162">
        <v>4628.8999999999996</v>
      </c>
    </row>
    <row r="163" spans="1:15" x14ac:dyDescent="0.25">
      <c r="A163" s="142" t="s">
        <v>1051</v>
      </c>
      <c r="B163" s="142" t="s">
        <v>52</v>
      </c>
      <c r="C163" s="142" t="s">
        <v>44</v>
      </c>
      <c r="D163">
        <v>1E-3</v>
      </c>
      <c r="E163">
        <v>0.01</v>
      </c>
      <c r="F163">
        <v>9.9999999999999995E-7</v>
      </c>
      <c r="G163" s="142" t="s">
        <v>13</v>
      </c>
      <c r="H163" s="142" t="s">
        <v>11</v>
      </c>
      <c r="I163">
        <v>50</v>
      </c>
      <c r="J163">
        <v>100</v>
      </c>
      <c r="K163" s="142" t="s">
        <v>10</v>
      </c>
      <c r="L163">
        <v>18</v>
      </c>
      <c r="M163">
        <v>6400</v>
      </c>
      <c r="N163">
        <v>17.318999999999999</v>
      </c>
      <c r="O163">
        <v>6373.3</v>
      </c>
    </row>
    <row r="164" spans="1:15" x14ac:dyDescent="0.25">
      <c r="A164" s="142" t="s">
        <v>2108</v>
      </c>
      <c r="B164" s="142" t="s">
        <v>52</v>
      </c>
      <c r="C164" s="142" t="s">
        <v>44</v>
      </c>
      <c r="D164">
        <v>0.01</v>
      </c>
      <c r="E164">
        <v>0.1</v>
      </c>
      <c r="F164">
        <v>9.9999999999999995E-7</v>
      </c>
      <c r="G164" s="142" t="s">
        <v>13</v>
      </c>
      <c r="H164" s="142" t="s">
        <v>11</v>
      </c>
      <c r="I164">
        <v>1E-3</v>
      </c>
      <c r="J164">
        <v>0.02</v>
      </c>
      <c r="K164" s="142" t="s">
        <v>10</v>
      </c>
      <c r="L164">
        <v>25</v>
      </c>
      <c r="M164">
        <v>4600</v>
      </c>
      <c r="N164">
        <v>23.099</v>
      </c>
      <c r="O164">
        <v>4618.8</v>
      </c>
    </row>
    <row r="165" spans="1:15" x14ac:dyDescent="0.25">
      <c r="A165" s="142" t="s">
        <v>1073</v>
      </c>
      <c r="B165" s="142" t="s">
        <v>52</v>
      </c>
      <c r="C165" s="142" t="s">
        <v>44</v>
      </c>
      <c r="D165">
        <v>0.01</v>
      </c>
      <c r="E165">
        <v>0.1</v>
      </c>
      <c r="F165">
        <v>9.9999999999999995E-7</v>
      </c>
      <c r="G165" s="142" t="s">
        <v>13</v>
      </c>
      <c r="H165" s="142" t="s">
        <v>11</v>
      </c>
      <c r="I165">
        <v>0.02</v>
      </c>
      <c r="J165">
        <v>4.4999999999999998E-2</v>
      </c>
      <c r="K165" s="142" t="s">
        <v>10</v>
      </c>
      <c r="L165">
        <v>27</v>
      </c>
      <c r="M165">
        <v>1700</v>
      </c>
      <c r="N165">
        <v>23.103999999999999</v>
      </c>
      <c r="O165">
        <v>1732</v>
      </c>
    </row>
    <row r="166" spans="1:15" x14ac:dyDescent="0.25">
      <c r="A166" s="142" t="s">
        <v>1076</v>
      </c>
      <c r="B166" s="142" t="s">
        <v>52</v>
      </c>
      <c r="C166" s="142" t="s">
        <v>44</v>
      </c>
      <c r="D166">
        <v>0.01</v>
      </c>
      <c r="E166">
        <v>0.1</v>
      </c>
      <c r="F166">
        <v>9.9999999999999995E-7</v>
      </c>
      <c r="G166" s="142" t="s">
        <v>13</v>
      </c>
      <c r="H166" s="142" t="s">
        <v>11</v>
      </c>
      <c r="I166">
        <v>4.4999999999999998E-2</v>
      </c>
      <c r="J166">
        <v>0.1</v>
      </c>
      <c r="K166" s="142" t="s">
        <v>10</v>
      </c>
      <c r="L166">
        <v>24</v>
      </c>
      <c r="M166">
        <v>690</v>
      </c>
      <c r="N166">
        <v>23.105</v>
      </c>
      <c r="O166">
        <v>692.82</v>
      </c>
    </row>
    <row r="167" spans="1:15" x14ac:dyDescent="0.25">
      <c r="A167" s="142" t="s">
        <v>2112</v>
      </c>
      <c r="B167" s="142" t="s">
        <v>52</v>
      </c>
      <c r="C167" s="142" t="s">
        <v>44</v>
      </c>
      <c r="D167">
        <v>0.01</v>
      </c>
      <c r="E167">
        <v>0.1</v>
      </c>
      <c r="F167">
        <v>9.9999999999999995E-7</v>
      </c>
      <c r="G167" s="142" t="s">
        <v>13</v>
      </c>
      <c r="H167" s="142" t="s">
        <v>11</v>
      </c>
      <c r="I167">
        <v>0.1</v>
      </c>
      <c r="J167">
        <v>5</v>
      </c>
      <c r="K167" s="142" t="s">
        <v>10</v>
      </c>
      <c r="L167">
        <v>24</v>
      </c>
      <c r="M167">
        <v>350</v>
      </c>
      <c r="N167">
        <v>23.093</v>
      </c>
      <c r="O167">
        <v>348.02</v>
      </c>
    </row>
    <row r="168" spans="1:15" x14ac:dyDescent="0.25">
      <c r="A168" s="142" t="s">
        <v>1075</v>
      </c>
      <c r="B168" s="142" t="s">
        <v>52</v>
      </c>
      <c r="C168" s="142" t="s">
        <v>44</v>
      </c>
      <c r="D168">
        <v>0.01</v>
      </c>
      <c r="E168">
        <v>0.1</v>
      </c>
      <c r="F168">
        <v>9.9999999999999995E-7</v>
      </c>
      <c r="G168" s="142" t="s">
        <v>13</v>
      </c>
      <c r="H168" s="142" t="s">
        <v>11</v>
      </c>
      <c r="I168">
        <v>5</v>
      </c>
      <c r="J168">
        <v>20</v>
      </c>
      <c r="K168" s="142" t="s">
        <v>10</v>
      </c>
      <c r="L168">
        <v>24</v>
      </c>
      <c r="M168">
        <v>700</v>
      </c>
      <c r="N168">
        <v>23.087</v>
      </c>
      <c r="O168">
        <v>695.31</v>
      </c>
    </row>
    <row r="169" spans="1:15" x14ac:dyDescent="0.25">
      <c r="A169" s="142" t="s">
        <v>1074</v>
      </c>
      <c r="B169" s="142" t="s">
        <v>52</v>
      </c>
      <c r="C169" s="142" t="s">
        <v>44</v>
      </c>
      <c r="D169">
        <v>0.01</v>
      </c>
      <c r="E169">
        <v>0.1</v>
      </c>
      <c r="F169">
        <v>9.9999999999999995E-7</v>
      </c>
      <c r="G169" s="142" t="s">
        <v>13</v>
      </c>
      <c r="H169" s="142" t="s">
        <v>11</v>
      </c>
      <c r="I169">
        <v>20</v>
      </c>
      <c r="J169">
        <v>50</v>
      </c>
      <c r="K169" s="142" t="s">
        <v>10</v>
      </c>
      <c r="L169">
        <v>47</v>
      </c>
      <c r="M169">
        <v>4700</v>
      </c>
      <c r="N169">
        <v>46.154000000000003</v>
      </c>
      <c r="O169">
        <v>4629.8</v>
      </c>
    </row>
    <row r="170" spans="1:15" x14ac:dyDescent="0.25">
      <c r="A170" s="142" t="s">
        <v>1077</v>
      </c>
      <c r="B170" s="142" t="s">
        <v>52</v>
      </c>
      <c r="C170" s="142" t="s">
        <v>44</v>
      </c>
      <c r="D170">
        <v>0.01</v>
      </c>
      <c r="E170">
        <v>0.1</v>
      </c>
      <c r="F170">
        <v>9.9999999999999995E-7</v>
      </c>
      <c r="G170" s="142" t="s">
        <v>13</v>
      </c>
      <c r="H170" s="142" t="s">
        <v>11</v>
      </c>
      <c r="I170">
        <v>50</v>
      </c>
      <c r="J170">
        <v>100</v>
      </c>
      <c r="K170" s="142" t="s">
        <v>10</v>
      </c>
      <c r="L170">
        <v>180</v>
      </c>
      <c r="M170">
        <v>6400</v>
      </c>
      <c r="N170">
        <v>173.19</v>
      </c>
      <c r="O170">
        <v>6373</v>
      </c>
    </row>
    <row r="171" spans="1:15" x14ac:dyDescent="0.25">
      <c r="A171" s="142" t="s">
        <v>1094</v>
      </c>
      <c r="B171" s="142" t="s">
        <v>52</v>
      </c>
      <c r="C171" s="142" t="s">
        <v>44</v>
      </c>
      <c r="D171">
        <v>0.1</v>
      </c>
      <c r="E171">
        <v>1</v>
      </c>
      <c r="F171">
        <v>9.9999999999999995E-7</v>
      </c>
      <c r="G171" s="142" t="s">
        <v>13</v>
      </c>
      <c r="H171" s="142" t="s">
        <v>12</v>
      </c>
      <c r="I171">
        <v>1E-3</v>
      </c>
      <c r="J171">
        <v>0.02</v>
      </c>
      <c r="K171" s="142" t="s">
        <v>10</v>
      </c>
      <c r="L171">
        <v>0.25</v>
      </c>
      <c r="M171">
        <v>4.5999999999999996</v>
      </c>
      <c r="N171">
        <v>0.23094999999999999</v>
      </c>
      <c r="O171">
        <v>4.6188000000000002</v>
      </c>
    </row>
    <row r="172" spans="1:15" x14ac:dyDescent="0.25">
      <c r="A172" s="142" t="s">
        <v>1097</v>
      </c>
      <c r="B172" s="142" t="s">
        <v>52</v>
      </c>
      <c r="C172" s="142" t="s">
        <v>44</v>
      </c>
      <c r="D172">
        <v>0.1</v>
      </c>
      <c r="E172">
        <v>1</v>
      </c>
      <c r="F172">
        <v>9.9999999999999995E-7</v>
      </c>
      <c r="G172" s="142" t="s">
        <v>13</v>
      </c>
      <c r="H172" s="142" t="s">
        <v>12</v>
      </c>
      <c r="I172">
        <v>0.02</v>
      </c>
      <c r="J172">
        <v>4.4999999999999998E-2</v>
      </c>
      <c r="K172" s="142" t="s">
        <v>10</v>
      </c>
      <c r="L172">
        <v>0.28000000000000003</v>
      </c>
      <c r="M172">
        <v>1.8</v>
      </c>
      <c r="N172">
        <v>0.23097000000000001</v>
      </c>
      <c r="O172">
        <v>1.8474999999999999</v>
      </c>
    </row>
    <row r="173" spans="1:15" x14ac:dyDescent="0.25">
      <c r="A173" s="142" t="s">
        <v>1095</v>
      </c>
      <c r="B173" s="142" t="s">
        <v>52</v>
      </c>
      <c r="C173" s="142" t="s">
        <v>44</v>
      </c>
      <c r="D173">
        <v>0.1</v>
      </c>
      <c r="E173">
        <v>1</v>
      </c>
      <c r="F173">
        <v>9.9999999999999995E-7</v>
      </c>
      <c r="G173" s="142" t="s">
        <v>13</v>
      </c>
      <c r="H173" s="142" t="s">
        <v>12</v>
      </c>
      <c r="I173">
        <v>4.4999999999999998E-2</v>
      </c>
      <c r="J173">
        <v>0.1</v>
      </c>
      <c r="K173" s="142" t="s">
        <v>10</v>
      </c>
      <c r="L173">
        <v>0.24</v>
      </c>
      <c r="M173">
        <v>0.92</v>
      </c>
      <c r="N173">
        <v>0.23094999999999999</v>
      </c>
      <c r="O173">
        <v>0.92378000000000005</v>
      </c>
    </row>
    <row r="174" spans="1:15" x14ac:dyDescent="0.25">
      <c r="A174" s="142" t="s">
        <v>1098</v>
      </c>
      <c r="B174" s="142" t="s">
        <v>52</v>
      </c>
      <c r="C174" s="142" t="s">
        <v>44</v>
      </c>
      <c r="D174">
        <v>0.1</v>
      </c>
      <c r="E174">
        <v>1</v>
      </c>
      <c r="F174">
        <v>9.9999999999999995E-7</v>
      </c>
      <c r="G174" s="142" t="s">
        <v>13</v>
      </c>
      <c r="H174" s="142" t="s">
        <v>12</v>
      </c>
      <c r="I174">
        <v>0.1</v>
      </c>
      <c r="J174">
        <v>5</v>
      </c>
      <c r="K174" s="142" t="s">
        <v>10</v>
      </c>
      <c r="L174">
        <v>0.24</v>
      </c>
      <c r="M174">
        <v>1.2</v>
      </c>
      <c r="N174">
        <v>0.23086999999999999</v>
      </c>
      <c r="O174">
        <v>1.1557999999999999</v>
      </c>
    </row>
    <row r="175" spans="1:15" x14ac:dyDescent="0.25">
      <c r="A175" s="142" t="s">
        <v>1096</v>
      </c>
      <c r="B175" s="142" t="s">
        <v>52</v>
      </c>
      <c r="C175" s="142" t="s">
        <v>44</v>
      </c>
      <c r="D175">
        <v>0.1</v>
      </c>
      <c r="E175">
        <v>1</v>
      </c>
      <c r="F175">
        <v>9.9999999999999995E-7</v>
      </c>
      <c r="G175" s="142" t="s">
        <v>13</v>
      </c>
      <c r="H175" s="142" t="s">
        <v>12</v>
      </c>
      <c r="I175">
        <v>5</v>
      </c>
      <c r="J175">
        <v>20</v>
      </c>
      <c r="K175" s="142" t="s">
        <v>10</v>
      </c>
      <c r="L175">
        <v>0.24</v>
      </c>
      <c r="M175">
        <v>3.5</v>
      </c>
      <c r="N175">
        <v>0.23069000000000001</v>
      </c>
      <c r="O175">
        <v>3.4670999999999998</v>
      </c>
    </row>
    <row r="176" spans="1:15" x14ac:dyDescent="0.25">
      <c r="A176" s="142" t="s">
        <v>1099</v>
      </c>
      <c r="B176" s="142" t="s">
        <v>52</v>
      </c>
      <c r="C176" s="142" t="s">
        <v>44</v>
      </c>
      <c r="D176">
        <v>0.1</v>
      </c>
      <c r="E176">
        <v>1</v>
      </c>
      <c r="F176">
        <v>9.9999999999999995E-7</v>
      </c>
      <c r="G176" s="142" t="s">
        <v>13</v>
      </c>
      <c r="H176" s="142" t="s">
        <v>12</v>
      </c>
      <c r="I176">
        <v>20</v>
      </c>
      <c r="J176">
        <v>50</v>
      </c>
      <c r="K176" s="142" t="s">
        <v>10</v>
      </c>
      <c r="L176">
        <v>0.47</v>
      </c>
      <c r="M176">
        <v>12</v>
      </c>
      <c r="N176">
        <v>0.46134999999999998</v>
      </c>
      <c r="O176">
        <v>11.555999999999999</v>
      </c>
    </row>
    <row r="177" spans="1:15" x14ac:dyDescent="0.25">
      <c r="A177" s="142" t="s">
        <v>992</v>
      </c>
      <c r="B177" s="142" t="s">
        <v>52</v>
      </c>
      <c r="C177" s="142" t="s">
        <v>44</v>
      </c>
      <c r="D177">
        <v>0</v>
      </c>
      <c r="E177">
        <v>1E-4</v>
      </c>
      <c r="F177">
        <v>1.0000000000000001E-5</v>
      </c>
      <c r="G177" s="142" t="s">
        <v>13</v>
      </c>
      <c r="H177" s="142" t="s">
        <v>11</v>
      </c>
      <c r="I177">
        <v>1E-3</v>
      </c>
      <c r="J177">
        <v>0.02</v>
      </c>
      <c r="K177" s="142" t="s">
        <v>10</v>
      </c>
      <c r="L177">
        <v>5.7739000000000003</v>
      </c>
      <c r="M177">
        <v>210.05</v>
      </c>
      <c r="N177">
        <v>5.7723000000000004</v>
      </c>
      <c r="O177">
        <v>209.55</v>
      </c>
    </row>
    <row r="178" spans="1:15" x14ac:dyDescent="0.25">
      <c r="A178" s="142" t="s">
        <v>2095</v>
      </c>
      <c r="B178" s="142" t="s">
        <v>52</v>
      </c>
      <c r="C178" s="142" t="s">
        <v>44</v>
      </c>
      <c r="D178">
        <v>0</v>
      </c>
      <c r="E178">
        <v>1E-4</v>
      </c>
      <c r="F178">
        <v>1.0000000000000001E-5</v>
      </c>
      <c r="G178" s="142" t="s">
        <v>13</v>
      </c>
      <c r="H178" s="142" t="s">
        <v>11</v>
      </c>
      <c r="I178">
        <v>0.02</v>
      </c>
      <c r="J178">
        <v>4.4999999999999998E-2</v>
      </c>
      <c r="K178" s="142" t="s">
        <v>10</v>
      </c>
      <c r="L178">
        <v>5.7733999999999996</v>
      </c>
      <c r="M178">
        <v>39.654000000000003</v>
      </c>
      <c r="N178">
        <v>5.77</v>
      </c>
      <c r="O178">
        <v>39.097000000000001</v>
      </c>
    </row>
    <row r="179" spans="1:15" x14ac:dyDescent="0.25">
      <c r="A179" s="142" t="s">
        <v>2097</v>
      </c>
      <c r="B179" s="142" t="s">
        <v>52</v>
      </c>
      <c r="C179" s="142" t="s">
        <v>44</v>
      </c>
      <c r="D179">
        <v>0</v>
      </c>
      <c r="E179">
        <v>1E-4</v>
      </c>
      <c r="F179">
        <v>1.0000000000000001E-5</v>
      </c>
      <c r="G179" s="142" t="s">
        <v>13</v>
      </c>
      <c r="H179" s="142" t="s">
        <v>11</v>
      </c>
      <c r="I179">
        <v>4.4999999999999998E-2</v>
      </c>
      <c r="J179">
        <v>5</v>
      </c>
      <c r="K179" s="142" t="s">
        <v>10</v>
      </c>
      <c r="L179">
        <v>5.7736000000000001</v>
      </c>
      <c r="M179">
        <v>9.4280000000000008</v>
      </c>
      <c r="N179">
        <v>5.7728000000000002</v>
      </c>
      <c r="O179">
        <v>8.8707999999999991</v>
      </c>
    </row>
    <row r="180" spans="1:15" x14ac:dyDescent="0.25">
      <c r="A180" s="142" t="s">
        <v>1053</v>
      </c>
      <c r="B180" s="142" t="s">
        <v>52</v>
      </c>
      <c r="C180" s="142" t="s">
        <v>44</v>
      </c>
      <c r="D180">
        <v>1E-3</v>
      </c>
      <c r="E180">
        <v>0.01</v>
      </c>
      <c r="F180">
        <v>1.0000000000000001E-5</v>
      </c>
      <c r="G180" s="142" t="s">
        <v>13</v>
      </c>
      <c r="H180" s="142" t="s">
        <v>11</v>
      </c>
      <c r="I180">
        <v>1E-3</v>
      </c>
      <c r="J180">
        <v>0.02</v>
      </c>
      <c r="K180" s="142" t="s">
        <v>10</v>
      </c>
      <c r="L180">
        <v>4.6177000000000001</v>
      </c>
      <c r="M180">
        <v>4424.3</v>
      </c>
      <c r="N180">
        <v>4.5991</v>
      </c>
      <c r="O180">
        <v>4424.5</v>
      </c>
    </row>
    <row r="181" spans="1:15" x14ac:dyDescent="0.25">
      <c r="A181" s="142" t="s">
        <v>1058</v>
      </c>
      <c r="B181" s="142" t="s">
        <v>52</v>
      </c>
      <c r="C181" s="142" t="s">
        <v>44</v>
      </c>
      <c r="D181">
        <v>1E-3</v>
      </c>
      <c r="E181">
        <v>0.01</v>
      </c>
      <c r="F181">
        <v>1.0000000000000001E-5</v>
      </c>
      <c r="G181" s="142" t="s">
        <v>13</v>
      </c>
      <c r="H181" s="142" t="s">
        <v>11</v>
      </c>
      <c r="I181">
        <v>0.02</v>
      </c>
      <c r="J181">
        <v>4.4999999999999998E-2</v>
      </c>
      <c r="K181" s="142" t="s">
        <v>10</v>
      </c>
      <c r="L181">
        <v>5.5849000000000002</v>
      </c>
      <c r="M181">
        <v>1492.6</v>
      </c>
      <c r="N181">
        <v>5.5625999999999998</v>
      </c>
      <c r="O181">
        <v>1490.9</v>
      </c>
    </row>
    <row r="182" spans="1:15" x14ac:dyDescent="0.25">
      <c r="A182" s="142" t="s">
        <v>1056</v>
      </c>
      <c r="B182" s="142" t="s">
        <v>52</v>
      </c>
      <c r="C182" s="142" t="s">
        <v>44</v>
      </c>
      <c r="D182">
        <v>1E-3</v>
      </c>
      <c r="E182">
        <v>0.01</v>
      </c>
      <c r="F182">
        <v>1.0000000000000001E-5</v>
      </c>
      <c r="G182" s="142" t="s">
        <v>13</v>
      </c>
      <c r="H182" s="142" t="s">
        <v>11</v>
      </c>
      <c r="I182">
        <v>4.4999999999999998E-2</v>
      </c>
      <c r="J182">
        <v>0.1</v>
      </c>
      <c r="K182" s="142" t="s">
        <v>10</v>
      </c>
      <c r="L182">
        <v>6.0458999999999996</v>
      </c>
      <c r="M182">
        <v>494</v>
      </c>
      <c r="N182">
        <v>6.0252999999999997</v>
      </c>
      <c r="O182">
        <v>488.68</v>
      </c>
    </row>
    <row r="183" spans="1:15" x14ac:dyDescent="0.25">
      <c r="A183" s="142" t="s">
        <v>1057</v>
      </c>
      <c r="B183" s="142" t="s">
        <v>52</v>
      </c>
      <c r="C183" s="142" t="s">
        <v>44</v>
      </c>
      <c r="D183">
        <v>1E-3</v>
      </c>
      <c r="E183">
        <v>0.01</v>
      </c>
      <c r="F183">
        <v>1.0000000000000001E-5</v>
      </c>
      <c r="G183" s="142" t="s">
        <v>13</v>
      </c>
      <c r="H183" s="142" t="s">
        <v>11</v>
      </c>
      <c r="I183">
        <v>0.1</v>
      </c>
      <c r="J183">
        <v>5</v>
      </c>
      <c r="K183" s="142" t="s">
        <v>10</v>
      </c>
      <c r="L183">
        <v>6.1761999999999997</v>
      </c>
      <c r="M183">
        <v>212.23</v>
      </c>
      <c r="N183">
        <v>6.1576000000000004</v>
      </c>
      <c r="O183">
        <v>204.29</v>
      </c>
    </row>
    <row r="184" spans="1:15" x14ac:dyDescent="0.25">
      <c r="A184" s="142" t="s">
        <v>1059</v>
      </c>
      <c r="B184" s="142" t="s">
        <v>52</v>
      </c>
      <c r="C184" s="142" t="s">
        <v>44</v>
      </c>
      <c r="D184">
        <v>1E-3</v>
      </c>
      <c r="E184">
        <v>0.01</v>
      </c>
      <c r="F184">
        <v>1.0000000000000001E-5</v>
      </c>
      <c r="G184" s="142" t="s">
        <v>13</v>
      </c>
      <c r="H184" s="142" t="s">
        <v>11</v>
      </c>
      <c r="I184">
        <v>5</v>
      </c>
      <c r="J184">
        <v>20</v>
      </c>
      <c r="K184" s="142" t="s">
        <v>10</v>
      </c>
      <c r="L184">
        <v>6.0439999999999996</v>
      </c>
      <c r="M184">
        <v>496.24</v>
      </c>
      <c r="N184">
        <v>6.0233999999999996</v>
      </c>
      <c r="O184">
        <v>490.93</v>
      </c>
    </row>
    <row r="185" spans="1:15" x14ac:dyDescent="0.25">
      <c r="A185" s="142" t="s">
        <v>1054</v>
      </c>
      <c r="B185" s="142" t="s">
        <v>52</v>
      </c>
      <c r="C185" s="142" t="s">
        <v>44</v>
      </c>
      <c r="D185">
        <v>1E-3</v>
      </c>
      <c r="E185">
        <v>0.01</v>
      </c>
      <c r="F185">
        <v>1.0000000000000001E-5</v>
      </c>
      <c r="G185" s="142" t="s">
        <v>13</v>
      </c>
      <c r="H185" s="142" t="s">
        <v>11</v>
      </c>
      <c r="I185">
        <v>20</v>
      </c>
      <c r="J185">
        <v>50</v>
      </c>
      <c r="K185" s="142" t="s">
        <v>10</v>
      </c>
      <c r="L185">
        <v>6.3882000000000003</v>
      </c>
      <c r="M185">
        <v>4531.2</v>
      </c>
      <c r="N185">
        <v>6.4212999999999996</v>
      </c>
      <c r="O185">
        <v>4482.8999999999996</v>
      </c>
    </row>
    <row r="186" spans="1:15" x14ac:dyDescent="0.25">
      <c r="A186" s="142" t="s">
        <v>1055</v>
      </c>
      <c r="B186" s="142" t="s">
        <v>52</v>
      </c>
      <c r="C186" s="142" t="s">
        <v>44</v>
      </c>
      <c r="D186">
        <v>1E-3</v>
      </c>
      <c r="E186">
        <v>0.01</v>
      </c>
      <c r="F186">
        <v>1.0000000000000001E-5</v>
      </c>
      <c r="G186" s="142" t="s">
        <v>13</v>
      </c>
      <c r="H186" s="142" t="s">
        <v>11</v>
      </c>
      <c r="I186">
        <v>50</v>
      </c>
      <c r="J186">
        <v>100</v>
      </c>
      <c r="K186" s="142" t="s">
        <v>10</v>
      </c>
      <c r="L186">
        <v>18.093</v>
      </c>
      <c r="M186">
        <v>6390.7</v>
      </c>
      <c r="N186">
        <v>18.076000000000001</v>
      </c>
      <c r="O186">
        <v>6320</v>
      </c>
    </row>
    <row r="187" spans="1:15" x14ac:dyDescent="0.25">
      <c r="A187" s="142" t="s">
        <v>2109</v>
      </c>
      <c r="B187" s="142" t="s">
        <v>52</v>
      </c>
      <c r="C187" s="142" t="s">
        <v>44</v>
      </c>
      <c r="D187">
        <v>0.01</v>
      </c>
      <c r="E187">
        <v>0.1</v>
      </c>
      <c r="F187">
        <v>1.0000000000000001E-5</v>
      </c>
      <c r="G187" s="142" t="s">
        <v>13</v>
      </c>
      <c r="H187" s="142" t="s">
        <v>11</v>
      </c>
      <c r="I187">
        <v>1E-3</v>
      </c>
      <c r="J187">
        <v>0.02</v>
      </c>
      <c r="K187" s="142" t="s">
        <v>10</v>
      </c>
      <c r="L187">
        <v>25</v>
      </c>
      <c r="M187">
        <v>4600.3999999999996</v>
      </c>
      <c r="N187">
        <v>23.366</v>
      </c>
      <c r="O187">
        <v>4616.5</v>
      </c>
    </row>
    <row r="188" spans="1:15" x14ac:dyDescent="0.25">
      <c r="A188" s="142" t="s">
        <v>1078</v>
      </c>
      <c r="B188" s="142" t="s">
        <v>52</v>
      </c>
      <c r="C188" s="142" t="s">
        <v>44</v>
      </c>
      <c r="D188">
        <v>0.01</v>
      </c>
      <c r="E188">
        <v>0.1</v>
      </c>
      <c r="F188">
        <v>1.0000000000000001E-5</v>
      </c>
      <c r="G188" s="142" t="s">
        <v>13</v>
      </c>
      <c r="H188" s="142" t="s">
        <v>11</v>
      </c>
      <c r="I188">
        <v>0.02</v>
      </c>
      <c r="J188">
        <v>4.4999999999999998E-2</v>
      </c>
      <c r="K188" s="142" t="s">
        <v>10</v>
      </c>
      <c r="L188">
        <v>27</v>
      </c>
      <c r="M188">
        <v>1700</v>
      </c>
      <c r="N188">
        <v>23.558</v>
      </c>
      <c r="O188">
        <v>1728.4</v>
      </c>
    </row>
    <row r="189" spans="1:15" x14ac:dyDescent="0.25">
      <c r="A189" s="142" t="s">
        <v>1082</v>
      </c>
      <c r="B189" s="142" t="s">
        <v>52</v>
      </c>
      <c r="C189" s="142" t="s">
        <v>44</v>
      </c>
      <c r="D189">
        <v>0.01</v>
      </c>
      <c r="E189">
        <v>0.1</v>
      </c>
      <c r="F189">
        <v>1.0000000000000001E-5</v>
      </c>
      <c r="G189" s="142" t="s">
        <v>13</v>
      </c>
      <c r="H189" s="142" t="s">
        <v>11</v>
      </c>
      <c r="I189">
        <v>4.4999999999999998E-2</v>
      </c>
      <c r="J189">
        <v>0.1</v>
      </c>
      <c r="K189" s="142" t="s">
        <v>10</v>
      </c>
      <c r="L189">
        <v>24</v>
      </c>
      <c r="M189">
        <v>690</v>
      </c>
      <c r="N189">
        <v>23.702999999999999</v>
      </c>
      <c r="O189">
        <v>688.83</v>
      </c>
    </row>
    <row r="190" spans="1:15" x14ac:dyDescent="0.25">
      <c r="A190" s="142" t="s">
        <v>1081</v>
      </c>
      <c r="B190" s="142" t="s">
        <v>52</v>
      </c>
      <c r="C190" s="142" t="s">
        <v>44</v>
      </c>
      <c r="D190">
        <v>0.01</v>
      </c>
      <c r="E190">
        <v>0.1</v>
      </c>
      <c r="F190">
        <v>1.0000000000000001E-5</v>
      </c>
      <c r="G190" s="142" t="s">
        <v>13</v>
      </c>
      <c r="H190" s="142" t="s">
        <v>11</v>
      </c>
      <c r="I190">
        <v>0.1</v>
      </c>
      <c r="J190">
        <v>5</v>
      </c>
      <c r="K190" s="142" t="s">
        <v>10</v>
      </c>
      <c r="L190">
        <v>24</v>
      </c>
      <c r="M190">
        <v>350</v>
      </c>
      <c r="N190">
        <v>23.757000000000001</v>
      </c>
      <c r="O190">
        <v>344.56</v>
      </c>
    </row>
    <row r="191" spans="1:15" x14ac:dyDescent="0.25">
      <c r="A191" s="142" t="s">
        <v>2113</v>
      </c>
      <c r="B191" s="142" t="s">
        <v>52</v>
      </c>
      <c r="C191" s="142" t="s">
        <v>44</v>
      </c>
      <c r="D191">
        <v>0.01</v>
      </c>
      <c r="E191">
        <v>0.1</v>
      </c>
      <c r="F191">
        <v>1.0000000000000001E-5</v>
      </c>
      <c r="G191" s="142" t="s">
        <v>13</v>
      </c>
      <c r="H191" s="142" t="s">
        <v>11</v>
      </c>
      <c r="I191">
        <v>5</v>
      </c>
      <c r="J191">
        <v>20</v>
      </c>
      <c r="K191" s="142" t="s">
        <v>10</v>
      </c>
      <c r="L191">
        <v>24</v>
      </c>
      <c r="M191">
        <v>700</v>
      </c>
      <c r="N191">
        <v>23.684999999999999</v>
      </c>
      <c r="O191">
        <v>691.32</v>
      </c>
    </row>
    <row r="192" spans="1:15" x14ac:dyDescent="0.25">
      <c r="A192" s="142" t="s">
        <v>1080</v>
      </c>
      <c r="B192" s="142" t="s">
        <v>52</v>
      </c>
      <c r="C192" s="142" t="s">
        <v>44</v>
      </c>
      <c r="D192">
        <v>0.01</v>
      </c>
      <c r="E192">
        <v>0.1</v>
      </c>
      <c r="F192">
        <v>1.0000000000000001E-5</v>
      </c>
      <c r="G192" s="142" t="s">
        <v>13</v>
      </c>
      <c r="H192" s="142" t="s">
        <v>11</v>
      </c>
      <c r="I192">
        <v>20</v>
      </c>
      <c r="J192">
        <v>50</v>
      </c>
      <c r="K192" s="142" t="s">
        <v>10</v>
      </c>
      <c r="L192">
        <v>47</v>
      </c>
      <c r="M192">
        <v>4700</v>
      </c>
      <c r="N192">
        <v>46.365000000000002</v>
      </c>
      <c r="O192">
        <v>4628.2</v>
      </c>
    </row>
    <row r="193" spans="1:15" x14ac:dyDescent="0.25">
      <c r="A193" s="142" t="s">
        <v>1079</v>
      </c>
      <c r="B193" s="142" t="s">
        <v>52</v>
      </c>
      <c r="C193" s="142" t="s">
        <v>44</v>
      </c>
      <c r="D193">
        <v>0.01</v>
      </c>
      <c r="E193">
        <v>0.1</v>
      </c>
      <c r="F193">
        <v>1.0000000000000001E-5</v>
      </c>
      <c r="G193" s="142" t="s">
        <v>13</v>
      </c>
      <c r="H193" s="142" t="s">
        <v>11</v>
      </c>
      <c r="I193">
        <v>50</v>
      </c>
      <c r="J193">
        <v>100</v>
      </c>
      <c r="K193" s="142" t="s">
        <v>10</v>
      </c>
      <c r="L193">
        <v>180.93</v>
      </c>
      <c r="M193">
        <v>6390.8</v>
      </c>
      <c r="N193">
        <v>180.73</v>
      </c>
      <c r="O193">
        <v>6322.2</v>
      </c>
    </row>
    <row r="194" spans="1:15" x14ac:dyDescent="0.25">
      <c r="A194" s="142" t="s">
        <v>1102</v>
      </c>
      <c r="B194" s="142" t="s">
        <v>52</v>
      </c>
      <c r="C194" s="142" t="s">
        <v>44</v>
      </c>
      <c r="D194">
        <v>0.1</v>
      </c>
      <c r="E194">
        <v>1</v>
      </c>
      <c r="F194">
        <v>1.0000000000000001E-5</v>
      </c>
      <c r="G194" s="142" t="s">
        <v>13</v>
      </c>
      <c r="H194" s="142" t="s">
        <v>12</v>
      </c>
      <c r="I194">
        <v>1E-3</v>
      </c>
      <c r="J194">
        <v>0.02</v>
      </c>
      <c r="K194" s="142" t="s">
        <v>10</v>
      </c>
      <c r="L194">
        <v>0.25</v>
      </c>
      <c r="M194">
        <v>4.5999999999999996</v>
      </c>
      <c r="N194">
        <v>0.23099</v>
      </c>
      <c r="O194">
        <v>4.6188000000000002</v>
      </c>
    </row>
    <row r="195" spans="1:15" x14ac:dyDescent="0.25">
      <c r="A195" s="142" t="s">
        <v>1101</v>
      </c>
      <c r="B195" s="142" t="s">
        <v>52</v>
      </c>
      <c r="C195" s="142" t="s">
        <v>44</v>
      </c>
      <c r="D195">
        <v>0.1</v>
      </c>
      <c r="E195">
        <v>1</v>
      </c>
      <c r="F195">
        <v>1.0000000000000001E-5</v>
      </c>
      <c r="G195" s="142" t="s">
        <v>13</v>
      </c>
      <c r="H195" s="142" t="s">
        <v>12</v>
      </c>
      <c r="I195">
        <v>0.02</v>
      </c>
      <c r="J195">
        <v>4.4999999999999998E-2</v>
      </c>
      <c r="K195" s="142" t="s">
        <v>10</v>
      </c>
      <c r="L195">
        <v>0.28000000000000003</v>
      </c>
      <c r="M195">
        <v>1.8</v>
      </c>
      <c r="N195">
        <v>0.23103000000000001</v>
      </c>
      <c r="O195">
        <v>1.8474999999999999</v>
      </c>
    </row>
    <row r="196" spans="1:15" x14ac:dyDescent="0.25">
      <c r="A196" s="142" t="s">
        <v>1100</v>
      </c>
      <c r="B196" s="142" t="s">
        <v>52</v>
      </c>
      <c r="C196" s="142" t="s">
        <v>44</v>
      </c>
      <c r="D196">
        <v>0.1</v>
      </c>
      <c r="E196">
        <v>1</v>
      </c>
      <c r="F196">
        <v>1.0000000000000001E-5</v>
      </c>
      <c r="G196" s="142" t="s">
        <v>13</v>
      </c>
      <c r="H196" s="142" t="s">
        <v>12</v>
      </c>
      <c r="I196">
        <v>4.4999999999999998E-2</v>
      </c>
      <c r="J196">
        <v>0.1</v>
      </c>
      <c r="K196" s="142" t="s">
        <v>10</v>
      </c>
      <c r="L196">
        <v>0.24</v>
      </c>
      <c r="M196">
        <v>0.92</v>
      </c>
      <c r="N196">
        <v>0.23105999999999999</v>
      </c>
      <c r="O196">
        <v>0.92371999999999999</v>
      </c>
    </row>
    <row r="197" spans="1:15" x14ac:dyDescent="0.25">
      <c r="A197" s="142" t="s">
        <v>2118</v>
      </c>
      <c r="B197" s="142" t="s">
        <v>52</v>
      </c>
      <c r="C197" s="142" t="s">
        <v>44</v>
      </c>
      <c r="D197">
        <v>0.1</v>
      </c>
      <c r="E197">
        <v>1</v>
      </c>
      <c r="F197">
        <v>1.0000000000000001E-5</v>
      </c>
      <c r="G197" s="142" t="s">
        <v>13</v>
      </c>
      <c r="H197" s="142" t="s">
        <v>12</v>
      </c>
      <c r="I197">
        <v>0.1</v>
      </c>
      <c r="J197">
        <v>5</v>
      </c>
      <c r="K197" s="142" t="s">
        <v>10</v>
      </c>
      <c r="L197">
        <v>0.24</v>
      </c>
      <c r="M197">
        <v>1.2</v>
      </c>
      <c r="N197">
        <v>0.23100000000000001</v>
      </c>
      <c r="O197">
        <v>1.1556999999999999</v>
      </c>
    </row>
    <row r="198" spans="1:15" x14ac:dyDescent="0.25">
      <c r="A198" s="142" t="s">
        <v>1103</v>
      </c>
      <c r="B198" s="142" t="s">
        <v>52</v>
      </c>
      <c r="C198" s="142" t="s">
        <v>44</v>
      </c>
      <c r="D198">
        <v>0.1</v>
      </c>
      <c r="E198">
        <v>1</v>
      </c>
      <c r="F198">
        <v>1.0000000000000001E-5</v>
      </c>
      <c r="G198" s="142" t="s">
        <v>13</v>
      </c>
      <c r="H198" s="142" t="s">
        <v>12</v>
      </c>
      <c r="I198">
        <v>5</v>
      </c>
      <c r="J198">
        <v>20</v>
      </c>
      <c r="K198" s="142" t="s">
        <v>10</v>
      </c>
      <c r="L198">
        <v>0.24</v>
      </c>
      <c r="M198">
        <v>3.5</v>
      </c>
      <c r="N198">
        <v>0.23077</v>
      </c>
      <c r="O198">
        <v>3.4670000000000001</v>
      </c>
    </row>
    <row r="199" spans="1:15" x14ac:dyDescent="0.25">
      <c r="A199" s="142" t="s">
        <v>1104</v>
      </c>
      <c r="B199" s="142" t="s">
        <v>52</v>
      </c>
      <c r="C199" s="142" t="s">
        <v>44</v>
      </c>
      <c r="D199">
        <v>0.1</v>
      </c>
      <c r="E199">
        <v>1</v>
      </c>
      <c r="F199">
        <v>1.0000000000000001E-5</v>
      </c>
      <c r="G199" s="142" t="s">
        <v>13</v>
      </c>
      <c r="H199" s="142" t="s">
        <v>12</v>
      </c>
      <c r="I199">
        <v>20</v>
      </c>
      <c r="J199">
        <v>50</v>
      </c>
      <c r="K199" s="142" t="s">
        <v>10</v>
      </c>
      <c r="L199">
        <v>0.47</v>
      </c>
      <c r="M199">
        <v>12</v>
      </c>
      <c r="N199">
        <v>0.46145000000000003</v>
      </c>
      <c r="O199">
        <v>11.555999999999999</v>
      </c>
    </row>
    <row r="200" spans="1:15" x14ac:dyDescent="0.25">
      <c r="A200" s="142" t="s">
        <v>2121</v>
      </c>
      <c r="B200" s="142" t="s">
        <v>52</v>
      </c>
      <c r="C200" s="142" t="s">
        <v>44</v>
      </c>
      <c r="D200">
        <v>1</v>
      </c>
      <c r="E200">
        <v>10</v>
      </c>
      <c r="F200">
        <v>1.0000000000000001E-5</v>
      </c>
      <c r="G200" s="142" t="s">
        <v>13</v>
      </c>
      <c r="H200" s="142" t="s">
        <v>12</v>
      </c>
      <c r="I200">
        <v>1E-3</v>
      </c>
      <c r="J200">
        <v>0.05</v>
      </c>
      <c r="K200" s="142" t="s">
        <v>10</v>
      </c>
      <c r="L200">
        <v>0.25</v>
      </c>
      <c r="M200">
        <v>0.42</v>
      </c>
      <c r="N200">
        <v>0.24496000000000001</v>
      </c>
      <c r="O200">
        <v>0.41588999999999998</v>
      </c>
    </row>
    <row r="201" spans="1:15" x14ac:dyDescent="0.25">
      <c r="A201" s="142" t="s">
        <v>1119</v>
      </c>
      <c r="B201" s="142" t="s">
        <v>52</v>
      </c>
      <c r="C201" s="142" t="s">
        <v>44</v>
      </c>
      <c r="D201">
        <v>1</v>
      </c>
      <c r="E201">
        <v>10</v>
      </c>
      <c r="F201">
        <v>1.0000000000000001E-5</v>
      </c>
      <c r="G201" s="142" t="s">
        <v>13</v>
      </c>
      <c r="H201" s="142" t="s">
        <v>12</v>
      </c>
      <c r="I201">
        <v>0.05</v>
      </c>
      <c r="J201">
        <v>1</v>
      </c>
      <c r="K201" s="142" t="s">
        <v>10</v>
      </c>
      <c r="L201">
        <v>0.45</v>
      </c>
      <c r="M201">
        <v>0.12</v>
      </c>
      <c r="N201">
        <v>0.43987999999999999</v>
      </c>
      <c r="O201">
        <v>0.10967</v>
      </c>
    </row>
    <row r="202" spans="1:15" x14ac:dyDescent="0.25">
      <c r="A202" s="142" t="s">
        <v>1118</v>
      </c>
      <c r="B202" s="142" t="s">
        <v>52</v>
      </c>
      <c r="C202" s="142" t="s">
        <v>44</v>
      </c>
      <c r="D202">
        <v>1</v>
      </c>
      <c r="E202">
        <v>10</v>
      </c>
      <c r="F202">
        <v>1.0000000000000001E-5</v>
      </c>
      <c r="G202" s="142" t="s">
        <v>13</v>
      </c>
      <c r="H202" s="142" t="s">
        <v>12</v>
      </c>
      <c r="I202">
        <v>1</v>
      </c>
      <c r="J202">
        <v>5</v>
      </c>
      <c r="K202" s="142" t="s">
        <v>10</v>
      </c>
      <c r="L202">
        <v>1.3</v>
      </c>
      <c r="M202">
        <v>0.67</v>
      </c>
      <c r="N202">
        <v>1.3044</v>
      </c>
      <c r="O202">
        <v>0.66259000000000001</v>
      </c>
    </row>
    <row r="203" spans="1:15" x14ac:dyDescent="0.25">
      <c r="A203" s="142" t="s">
        <v>1129</v>
      </c>
      <c r="B203" s="142" t="s">
        <v>52</v>
      </c>
      <c r="C203" s="142" t="s">
        <v>44</v>
      </c>
      <c r="D203">
        <v>10</v>
      </c>
      <c r="E203">
        <v>20</v>
      </c>
      <c r="F203">
        <v>1.0000000000000001E-5</v>
      </c>
      <c r="G203" s="142" t="s">
        <v>13</v>
      </c>
      <c r="H203" s="142" t="s">
        <v>12</v>
      </c>
      <c r="I203">
        <v>1E-3</v>
      </c>
      <c r="J203">
        <v>0.05</v>
      </c>
      <c r="K203" s="142" t="s">
        <v>10</v>
      </c>
      <c r="L203">
        <v>4.7</v>
      </c>
      <c r="M203">
        <v>8.3000000000000004E-2</v>
      </c>
      <c r="N203">
        <v>4.6337999999999999</v>
      </c>
      <c r="O203">
        <v>8.1275E-2</v>
      </c>
    </row>
    <row r="204" spans="1:15" x14ac:dyDescent="0.25">
      <c r="A204" s="142" t="s">
        <v>1130</v>
      </c>
      <c r="B204" s="142" t="s">
        <v>52</v>
      </c>
      <c r="C204" s="142" t="s">
        <v>44</v>
      </c>
      <c r="D204">
        <v>10</v>
      </c>
      <c r="E204">
        <v>20</v>
      </c>
      <c r="F204">
        <v>1.0000000000000001E-5</v>
      </c>
      <c r="G204" s="142" t="s">
        <v>13</v>
      </c>
      <c r="H204" s="142" t="s">
        <v>12</v>
      </c>
      <c r="I204">
        <v>0.05</v>
      </c>
      <c r="J204">
        <v>1</v>
      </c>
      <c r="K204" s="142" t="s">
        <v>10</v>
      </c>
      <c r="L204">
        <v>2.2000000000000002</v>
      </c>
      <c r="M204">
        <v>0.12</v>
      </c>
      <c r="N204">
        <v>2.1377000000000002</v>
      </c>
      <c r="O204">
        <v>0.11529</v>
      </c>
    </row>
    <row r="205" spans="1:15" x14ac:dyDescent="0.25">
      <c r="A205" s="142" t="s">
        <v>1131</v>
      </c>
      <c r="B205" s="142" t="s">
        <v>52</v>
      </c>
      <c r="C205" s="142" t="s">
        <v>44</v>
      </c>
      <c r="D205">
        <v>10</v>
      </c>
      <c r="E205">
        <v>20</v>
      </c>
      <c r="F205">
        <v>1.0000000000000001E-5</v>
      </c>
      <c r="G205" s="142" t="s">
        <v>13</v>
      </c>
      <c r="H205" s="142" t="s">
        <v>12</v>
      </c>
      <c r="I205">
        <v>1</v>
      </c>
      <c r="J205">
        <v>5</v>
      </c>
      <c r="K205" s="142" t="s">
        <v>10</v>
      </c>
      <c r="L205">
        <v>1.1000000000000001</v>
      </c>
      <c r="M205">
        <v>0.66</v>
      </c>
      <c r="N205">
        <v>1.0490999999999999</v>
      </c>
      <c r="O205">
        <v>0.66076000000000001</v>
      </c>
    </row>
    <row r="206" spans="1:15" x14ac:dyDescent="0.25">
      <c r="A206" s="142" t="s">
        <v>993</v>
      </c>
      <c r="B206" s="142" t="s">
        <v>52</v>
      </c>
      <c r="C206" s="142" t="s">
        <v>44</v>
      </c>
      <c r="D206">
        <v>0</v>
      </c>
      <c r="E206">
        <v>1E-4</v>
      </c>
      <c r="F206">
        <v>1E-4</v>
      </c>
      <c r="G206" s="142" t="s">
        <v>13</v>
      </c>
      <c r="H206" s="142" t="s">
        <v>11</v>
      </c>
      <c r="I206">
        <v>1E-3</v>
      </c>
      <c r="J206">
        <v>0.02</v>
      </c>
      <c r="K206" s="142" t="s">
        <v>10</v>
      </c>
      <c r="L206">
        <v>57.735999999999997</v>
      </c>
      <c r="M206">
        <v>21.196999999999999</v>
      </c>
      <c r="N206">
        <v>57.734000000000002</v>
      </c>
      <c r="O206">
        <v>20.994</v>
      </c>
    </row>
    <row r="207" spans="1:15" x14ac:dyDescent="0.25">
      <c r="A207" s="142" t="s">
        <v>2096</v>
      </c>
      <c r="B207" s="142" t="s">
        <v>52</v>
      </c>
      <c r="C207" s="142" t="s">
        <v>44</v>
      </c>
      <c r="D207">
        <v>0</v>
      </c>
      <c r="E207">
        <v>1E-4</v>
      </c>
      <c r="F207">
        <v>1E-4</v>
      </c>
      <c r="G207" s="142" t="s">
        <v>13</v>
      </c>
      <c r="H207" s="142" t="s">
        <v>11</v>
      </c>
      <c r="I207">
        <v>0.02</v>
      </c>
      <c r="J207">
        <v>4.4999999999999998E-2</v>
      </c>
      <c r="K207" s="142" t="s">
        <v>10</v>
      </c>
      <c r="L207">
        <v>57.735999999999997</v>
      </c>
      <c r="M207">
        <v>4.1757</v>
      </c>
      <c r="N207">
        <v>57.731999999999999</v>
      </c>
      <c r="O207">
        <v>3.9527999999999999</v>
      </c>
    </row>
    <row r="208" spans="1:15" x14ac:dyDescent="0.25">
      <c r="A208" s="142" t="s">
        <v>994</v>
      </c>
      <c r="B208" s="142" t="s">
        <v>52</v>
      </c>
      <c r="C208" s="142" t="s">
        <v>44</v>
      </c>
      <c r="D208">
        <v>0</v>
      </c>
      <c r="E208">
        <v>1E-4</v>
      </c>
      <c r="F208">
        <v>1E-4</v>
      </c>
      <c r="G208" s="142" t="s">
        <v>13</v>
      </c>
      <c r="H208" s="142" t="s">
        <v>11</v>
      </c>
      <c r="I208">
        <v>4.4999999999999998E-2</v>
      </c>
      <c r="J208">
        <v>5</v>
      </c>
      <c r="K208" s="142" t="s">
        <v>10</v>
      </c>
      <c r="L208">
        <v>57.735999999999997</v>
      </c>
      <c r="M208">
        <v>1.1518999999999999</v>
      </c>
      <c r="N208">
        <v>57.734999999999999</v>
      </c>
      <c r="O208">
        <v>0.92896000000000001</v>
      </c>
    </row>
    <row r="209" spans="1:15" x14ac:dyDescent="0.25">
      <c r="A209" s="142" t="s">
        <v>2102</v>
      </c>
      <c r="B209" s="142" t="s">
        <v>52</v>
      </c>
      <c r="C209" s="142" t="s">
        <v>44</v>
      </c>
      <c r="D209">
        <v>1E-3</v>
      </c>
      <c r="E209">
        <v>0.01</v>
      </c>
      <c r="F209">
        <v>1E-4</v>
      </c>
      <c r="G209" s="142" t="s">
        <v>13</v>
      </c>
      <c r="H209" s="142" t="s">
        <v>11</v>
      </c>
      <c r="I209">
        <v>1E-3</v>
      </c>
      <c r="J209">
        <v>0.02</v>
      </c>
      <c r="K209" s="142" t="s">
        <v>10</v>
      </c>
      <c r="L209">
        <v>56.243000000000002</v>
      </c>
      <c r="M209">
        <v>1921.2</v>
      </c>
      <c r="N209">
        <v>56.234999999999999</v>
      </c>
      <c r="O209">
        <v>1917.7</v>
      </c>
    </row>
    <row r="210" spans="1:15" x14ac:dyDescent="0.25">
      <c r="A210" s="142" t="s">
        <v>1062</v>
      </c>
      <c r="B210" s="142" t="s">
        <v>52</v>
      </c>
      <c r="C210" s="142" t="s">
        <v>44</v>
      </c>
      <c r="D210">
        <v>1E-3</v>
      </c>
      <c r="E210">
        <v>0.01</v>
      </c>
      <c r="F210">
        <v>1E-4</v>
      </c>
      <c r="G210" s="142" t="s">
        <v>13</v>
      </c>
      <c r="H210" s="142" t="s">
        <v>11</v>
      </c>
      <c r="I210">
        <v>0.02</v>
      </c>
      <c r="J210">
        <v>4.4999999999999998E-2</v>
      </c>
      <c r="K210" s="142" t="s">
        <v>10</v>
      </c>
      <c r="L210">
        <v>57.540999999999997</v>
      </c>
      <c r="M210">
        <v>350.69</v>
      </c>
      <c r="N210">
        <v>57.533999999999999</v>
      </c>
      <c r="O210">
        <v>346.1</v>
      </c>
    </row>
    <row r="211" spans="1:15" x14ac:dyDescent="0.25">
      <c r="A211" s="142" t="s">
        <v>1061</v>
      </c>
      <c r="B211" s="142" t="s">
        <v>52</v>
      </c>
      <c r="C211" s="142" t="s">
        <v>44</v>
      </c>
      <c r="D211">
        <v>1E-3</v>
      </c>
      <c r="E211">
        <v>0.01</v>
      </c>
      <c r="F211">
        <v>1E-4</v>
      </c>
      <c r="G211" s="142" t="s">
        <v>13</v>
      </c>
      <c r="H211" s="142" t="s">
        <v>11</v>
      </c>
      <c r="I211">
        <v>4.4999999999999998E-2</v>
      </c>
      <c r="J211">
        <v>0.1</v>
      </c>
      <c r="K211" s="142" t="s">
        <v>10</v>
      </c>
      <c r="L211">
        <v>57.749000000000002</v>
      </c>
      <c r="M211">
        <v>78.978999999999999</v>
      </c>
      <c r="N211">
        <v>57.741999999999997</v>
      </c>
      <c r="O211">
        <v>74.138999999999996</v>
      </c>
    </row>
    <row r="212" spans="1:15" x14ac:dyDescent="0.25">
      <c r="A212" s="142" t="s">
        <v>1063</v>
      </c>
      <c r="B212" s="142" t="s">
        <v>52</v>
      </c>
      <c r="C212" s="142" t="s">
        <v>44</v>
      </c>
      <c r="D212">
        <v>1E-3</v>
      </c>
      <c r="E212">
        <v>0.01</v>
      </c>
      <c r="F212">
        <v>1E-4</v>
      </c>
      <c r="G212" s="142" t="s">
        <v>13</v>
      </c>
      <c r="H212" s="142" t="s">
        <v>11</v>
      </c>
      <c r="I212">
        <v>0.1</v>
      </c>
      <c r="J212">
        <v>5</v>
      </c>
      <c r="K212" s="142" t="s">
        <v>10</v>
      </c>
      <c r="L212">
        <v>57.78</v>
      </c>
      <c r="M212">
        <v>31.488</v>
      </c>
      <c r="N212">
        <v>57.773000000000003</v>
      </c>
      <c r="O212">
        <v>26.600999999999999</v>
      </c>
    </row>
    <row r="213" spans="1:15" x14ac:dyDescent="0.25">
      <c r="A213" s="142" t="s">
        <v>1060</v>
      </c>
      <c r="B213" s="142" t="s">
        <v>52</v>
      </c>
      <c r="C213" s="142" t="s">
        <v>44</v>
      </c>
      <c r="D213">
        <v>1E-3</v>
      </c>
      <c r="E213">
        <v>0.01</v>
      </c>
      <c r="F213">
        <v>1E-4</v>
      </c>
      <c r="G213" s="142" t="s">
        <v>13</v>
      </c>
      <c r="H213" s="142" t="s">
        <v>11</v>
      </c>
      <c r="I213">
        <v>5</v>
      </c>
      <c r="J213">
        <v>20</v>
      </c>
      <c r="K213" s="142" t="s">
        <v>10</v>
      </c>
      <c r="L213">
        <v>57.749000000000002</v>
      </c>
      <c r="M213">
        <v>79.400999999999996</v>
      </c>
      <c r="N213">
        <v>57.741999999999997</v>
      </c>
      <c r="O213">
        <v>74.561000000000007</v>
      </c>
    </row>
    <row r="214" spans="1:15" x14ac:dyDescent="0.25">
      <c r="A214" s="142" t="s">
        <v>1065</v>
      </c>
      <c r="B214" s="142" t="s">
        <v>52</v>
      </c>
      <c r="C214" s="142" t="s">
        <v>44</v>
      </c>
      <c r="D214">
        <v>1E-3</v>
      </c>
      <c r="E214">
        <v>0.01</v>
      </c>
      <c r="F214">
        <v>1E-4</v>
      </c>
      <c r="G214" s="142" t="s">
        <v>13</v>
      </c>
      <c r="H214" s="142" t="s">
        <v>11</v>
      </c>
      <c r="I214">
        <v>20</v>
      </c>
      <c r="J214">
        <v>50</v>
      </c>
      <c r="K214" s="142" t="s">
        <v>10</v>
      </c>
      <c r="L214">
        <v>56.424999999999997</v>
      </c>
      <c r="M214">
        <v>2061</v>
      </c>
      <c r="N214">
        <v>56.417000000000002</v>
      </c>
      <c r="O214">
        <v>2057.6</v>
      </c>
    </row>
    <row r="215" spans="1:15" x14ac:dyDescent="0.25">
      <c r="A215" s="142" t="s">
        <v>1064</v>
      </c>
      <c r="B215" s="142" t="s">
        <v>52</v>
      </c>
      <c r="C215" s="142" t="s">
        <v>44</v>
      </c>
      <c r="D215">
        <v>1E-3</v>
      </c>
      <c r="E215">
        <v>0.01</v>
      </c>
      <c r="F215">
        <v>1E-4</v>
      </c>
      <c r="G215" s="142" t="s">
        <v>13</v>
      </c>
      <c r="H215" s="142" t="s">
        <v>11</v>
      </c>
      <c r="I215">
        <v>50</v>
      </c>
      <c r="J215">
        <v>100</v>
      </c>
      <c r="K215" s="142" t="s">
        <v>10</v>
      </c>
      <c r="L215">
        <v>58.423000000000002</v>
      </c>
      <c r="M215">
        <v>4152.6000000000004</v>
      </c>
      <c r="N215">
        <v>58.308999999999997</v>
      </c>
      <c r="O215">
        <v>4128.6000000000004</v>
      </c>
    </row>
    <row r="216" spans="1:15" x14ac:dyDescent="0.25">
      <c r="A216" s="142" t="s">
        <v>1086</v>
      </c>
      <c r="B216" s="142" t="s">
        <v>52</v>
      </c>
      <c r="C216" s="142" t="s">
        <v>44</v>
      </c>
      <c r="D216">
        <v>0.01</v>
      </c>
      <c r="E216">
        <v>0.1</v>
      </c>
      <c r="F216">
        <v>1E-4</v>
      </c>
      <c r="G216" s="142" t="s">
        <v>13</v>
      </c>
      <c r="H216" s="142" t="s">
        <v>11</v>
      </c>
      <c r="I216">
        <v>1E-3</v>
      </c>
      <c r="J216">
        <v>0.02</v>
      </c>
      <c r="K216" s="142" t="s">
        <v>10</v>
      </c>
      <c r="L216">
        <v>46.066000000000003</v>
      </c>
      <c r="M216">
        <v>4424.3999999999996</v>
      </c>
      <c r="N216">
        <v>45.963999999999999</v>
      </c>
      <c r="O216">
        <v>4424.6000000000004</v>
      </c>
    </row>
    <row r="217" spans="1:15" x14ac:dyDescent="0.25">
      <c r="A217" s="142" t="s">
        <v>2110</v>
      </c>
      <c r="B217" s="142" t="s">
        <v>52</v>
      </c>
      <c r="C217" s="142" t="s">
        <v>44</v>
      </c>
      <c r="D217">
        <v>0.01</v>
      </c>
      <c r="E217">
        <v>0.1</v>
      </c>
      <c r="F217">
        <v>1E-4</v>
      </c>
      <c r="G217" s="142" t="s">
        <v>13</v>
      </c>
      <c r="H217" s="142" t="s">
        <v>11</v>
      </c>
      <c r="I217">
        <v>0.02</v>
      </c>
      <c r="J217">
        <v>4.4999999999999998E-2</v>
      </c>
      <c r="K217" s="142" t="s">
        <v>10</v>
      </c>
      <c r="L217">
        <v>55.718000000000004</v>
      </c>
      <c r="M217">
        <v>1491.5</v>
      </c>
      <c r="N217">
        <v>55.604999999999997</v>
      </c>
      <c r="O217">
        <v>1490.6</v>
      </c>
    </row>
    <row r="218" spans="1:15" x14ac:dyDescent="0.25">
      <c r="A218" s="142" t="s">
        <v>2111</v>
      </c>
      <c r="B218" s="142" t="s">
        <v>52</v>
      </c>
      <c r="C218" s="142" t="s">
        <v>44</v>
      </c>
      <c r="D218">
        <v>0.01</v>
      </c>
      <c r="E218">
        <v>0.1</v>
      </c>
      <c r="F218">
        <v>1E-4</v>
      </c>
      <c r="G218" s="142" t="s">
        <v>13</v>
      </c>
      <c r="H218" s="142" t="s">
        <v>11</v>
      </c>
      <c r="I218">
        <v>4.4999999999999998E-2</v>
      </c>
      <c r="J218">
        <v>0.1</v>
      </c>
      <c r="K218" s="142" t="s">
        <v>10</v>
      </c>
      <c r="L218">
        <v>60.337000000000003</v>
      </c>
      <c r="M218">
        <v>490.75</v>
      </c>
      <c r="N218">
        <v>60.228999999999999</v>
      </c>
      <c r="O218">
        <v>488.03</v>
      </c>
    </row>
    <row r="219" spans="1:15" x14ac:dyDescent="0.25">
      <c r="A219" s="142" t="s">
        <v>1085</v>
      </c>
      <c r="B219" s="142" t="s">
        <v>52</v>
      </c>
      <c r="C219" s="142" t="s">
        <v>44</v>
      </c>
      <c r="D219">
        <v>0.01</v>
      </c>
      <c r="E219">
        <v>0.1</v>
      </c>
      <c r="F219">
        <v>1E-4</v>
      </c>
      <c r="G219" s="142" t="s">
        <v>13</v>
      </c>
      <c r="H219" s="142" t="s">
        <v>11</v>
      </c>
      <c r="I219">
        <v>0.1</v>
      </c>
      <c r="J219">
        <v>5</v>
      </c>
      <c r="K219" s="142" t="s">
        <v>10</v>
      </c>
      <c r="L219">
        <v>61.652999999999999</v>
      </c>
      <c r="M219">
        <v>207.34</v>
      </c>
      <c r="N219">
        <v>61.555</v>
      </c>
      <c r="O219">
        <v>203.25</v>
      </c>
    </row>
    <row r="220" spans="1:15" x14ac:dyDescent="0.25">
      <c r="A220" s="142" t="s">
        <v>1083</v>
      </c>
      <c r="B220" s="142" t="s">
        <v>52</v>
      </c>
      <c r="C220" s="142" t="s">
        <v>44</v>
      </c>
      <c r="D220">
        <v>0.01</v>
      </c>
      <c r="E220">
        <v>0.1</v>
      </c>
      <c r="F220">
        <v>1E-4</v>
      </c>
      <c r="G220" s="142" t="s">
        <v>13</v>
      </c>
      <c r="H220" s="142" t="s">
        <v>11</v>
      </c>
      <c r="I220">
        <v>5</v>
      </c>
      <c r="J220">
        <v>20</v>
      </c>
      <c r="K220" s="142" t="s">
        <v>10</v>
      </c>
      <c r="L220">
        <v>60.32</v>
      </c>
      <c r="M220">
        <v>492.88</v>
      </c>
      <c r="N220">
        <v>60.210999999999999</v>
      </c>
      <c r="O220">
        <v>490.17</v>
      </c>
    </row>
    <row r="221" spans="1:15" x14ac:dyDescent="0.25">
      <c r="A221" s="142" t="s">
        <v>2114</v>
      </c>
      <c r="B221" s="142" t="s">
        <v>52</v>
      </c>
      <c r="C221" s="142" t="s">
        <v>44</v>
      </c>
      <c r="D221">
        <v>0.01</v>
      </c>
      <c r="E221">
        <v>0.1</v>
      </c>
      <c r="F221">
        <v>1E-4</v>
      </c>
      <c r="G221" s="142" t="s">
        <v>13</v>
      </c>
      <c r="H221" s="142" t="s">
        <v>11</v>
      </c>
      <c r="I221">
        <v>20</v>
      </c>
      <c r="J221">
        <v>50</v>
      </c>
      <c r="K221" s="142" t="s">
        <v>10</v>
      </c>
      <c r="L221">
        <v>64.182000000000002</v>
      </c>
      <c r="M221">
        <v>4528.2</v>
      </c>
      <c r="N221">
        <v>64.262</v>
      </c>
      <c r="O221">
        <v>4482.1000000000004</v>
      </c>
    </row>
    <row r="222" spans="1:15" x14ac:dyDescent="0.25">
      <c r="A222" s="142" t="s">
        <v>1084</v>
      </c>
      <c r="B222" s="142" t="s">
        <v>52</v>
      </c>
      <c r="C222" s="142" t="s">
        <v>44</v>
      </c>
      <c r="D222">
        <v>0.01</v>
      </c>
      <c r="E222">
        <v>0.1</v>
      </c>
      <c r="F222">
        <v>1E-4</v>
      </c>
      <c r="G222" s="142" t="s">
        <v>13</v>
      </c>
      <c r="H222" s="142" t="s">
        <v>11</v>
      </c>
      <c r="I222">
        <v>50</v>
      </c>
      <c r="J222">
        <v>100</v>
      </c>
      <c r="K222" s="142" t="s">
        <v>10</v>
      </c>
      <c r="L222">
        <v>583.71</v>
      </c>
      <c r="M222">
        <v>4204.6000000000004</v>
      </c>
      <c r="N222">
        <v>582.99</v>
      </c>
      <c r="O222">
        <v>4138.3</v>
      </c>
    </row>
    <row r="223" spans="1:15" x14ac:dyDescent="0.25">
      <c r="A223" s="142" t="s">
        <v>2115</v>
      </c>
      <c r="B223" s="142" t="s">
        <v>52</v>
      </c>
      <c r="C223" s="142" t="s">
        <v>44</v>
      </c>
      <c r="D223">
        <v>0.1</v>
      </c>
      <c r="E223">
        <v>1</v>
      </c>
      <c r="F223">
        <v>1E-4</v>
      </c>
      <c r="G223" s="142" t="s">
        <v>13</v>
      </c>
      <c r="H223" s="142" t="s">
        <v>12</v>
      </c>
      <c r="I223">
        <v>1E-3</v>
      </c>
      <c r="J223">
        <v>0.02</v>
      </c>
      <c r="K223" s="142" t="s">
        <v>10</v>
      </c>
      <c r="L223">
        <v>0.25</v>
      </c>
      <c r="M223">
        <v>4.6002999999999998</v>
      </c>
      <c r="N223">
        <v>0.23372999999999999</v>
      </c>
      <c r="O223">
        <v>4.6163999999999996</v>
      </c>
    </row>
    <row r="224" spans="1:15" x14ac:dyDescent="0.25">
      <c r="A224" s="142" t="s">
        <v>1109</v>
      </c>
      <c r="B224" s="142" t="s">
        <v>52</v>
      </c>
      <c r="C224" s="142" t="s">
        <v>44</v>
      </c>
      <c r="D224">
        <v>0.1</v>
      </c>
      <c r="E224">
        <v>1</v>
      </c>
      <c r="F224">
        <v>1E-4</v>
      </c>
      <c r="G224" s="142" t="s">
        <v>13</v>
      </c>
      <c r="H224" s="142" t="s">
        <v>12</v>
      </c>
      <c r="I224">
        <v>0.02</v>
      </c>
      <c r="J224">
        <v>4.4999999999999998E-2</v>
      </c>
      <c r="K224" s="142" t="s">
        <v>10</v>
      </c>
      <c r="L224">
        <v>0.28000000000000003</v>
      </c>
      <c r="M224">
        <v>1.8</v>
      </c>
      <c r="N224">
        <v>0.23546</v>
      </c>
      <c r="O224">
        <v>1.8439000000000001</v>
      </c>
    </row>
    <row r="225" spans="1:15" x14ac:dyDescent="0.25">
      <c r="A225" s="142" t="s">
        <v>1106</v>
      </c>
      <c r="B225" s="142" t="s">
        <v>52</v>
      </c>
      <c r="C225" s="142" t="s">
        <v>44</v>
      </c>
      <c r="D225">
        <v>0.1</v>
      </c>
      <c r="E225">
        <v>1</v>
      </c>
      <c r="F225">
        <v>1E-4</v>
      </c>
      <c r="G225" s="142" t="s">
        <v>13</v>
      </c>
      <c r="H225" s="142" t="s">
        <v>12</v>
      </c>
      <c r="I225">
        <v>4.4999999999999998E-2</v>
      </c>
      <c r="J225">
        <v>0.1</v>
      </c>
      <c r="K225" s="142" t="s">
        <v>10</v>
      </c>
      <c r="L225">
        <v>0.24</v>
      </c>
      <c r="M225">
        <v>0.92</v>
      </c>
      <c r="N225">
        <v>0.23668</v>
      </c>
      <c r="O225">
        <v>0.91964000000000001</v>
      </c>
    </row>
    <row r="226" spans="1:15" x14ac:dyDescent="0.25">
      <c r="A226" s="142" t="s">
        <v>1107</v>
      </c>
      <c r="B226" s="142" t="s">
        <v>52</v>
      </c>
      <c r="C226" s="142" t="s">
        <v>44</v>
      </c>
      <c r="D226">
        <v>0.1</v>
      </c>
      <c r="E226">
        <v>1</v>
      </c>
      <c r="F226">
        <v>1E-4</v>
      </c>
      <c r="G226" s="142" t="s">
        <v>13</v>
      </c>
      <c r="H226" s="142" t="s">
        <v>12</v>
      </c>
      <c r="I226">
        <v>0.1</v>
      </c>
      <c r="J226">
        <v>5</v>
      </c>
      <c r="K226" s="142" t="s">
        <v>10</v>
      </c>
      <c r="L226">
        <v>0.24</v>
      </c>
      <c r="M226">
        <v>1.2</v>
      </c>
      <c r="N226">
        <v>0.23629</v>
      </c>
      <c r="O226">
        <v>1.1516999999999999</v>
      </c>
    </row>
    <row r="227" spans="1:15" x14ac:dyDescent="0.25">
      <c r="A227" s="142" t="s">
        <v>1105</v>
      </c>
      <c r="B227" s="142" t="s">
        <v>52</v>
      </c>
      <c r="C227" s="142" t="s">
        <v>44</v>
      </c>
      <c r="D227">
        <v>0.1</v>
      </c>
      <c r="E227">
        <v>1</v>
      </c>
      <c r="F227">
        <v>1E-4</v>
      </c>
      <c r="G227" s="142" t="s">
        <v>13</v>
      </c>
      <c r="H227" s="142" t="s">
        <v>12</v>
      </c>
      <c r="I227">
        <v>5</v>
      </c>
      <c r="J227">
        <v>20</v>
      </c>
      <c r="K227" s="142" t="s">
        <v>10</v>
      </c>
      <c r="L227">
        <v>0.24</v>
      </c>
      <c r="M227">
        <v>3.5</v>
      </c>
      <c r="N227">
        <v>0.23396</v>
      </c>
      <c r="O227">
        <v>3.4643000000000002</v>
      </c>
    </row>
    <row r="228" spans="1:15" x14ac:dyDescent="0.25">
      <c r="A228" s="142" t="s">
        <v>1108</v>
      </c>
      <c r="B228" s="142" t="s">
        <v>52</v>
      </c>
      <c r="C228" s="142" t="s">
        <v>44</v>
      </c>
      <c r="D228">
        <v>0.1</v>
      </c>
      <c r="E228">
        <v>1</v>
      </c>
      <c r="F228">
        <v>1E-4</v>
      </c>
      <c r="G228" s="142" t="s">
        <v>13</v>
      </c>
      <c r="H228" s="142" t="s">
        <v>12</v>
      </c>
      <c r="I228">
        <v>20</v>
      </c>
      <c r="J228">
        <v>50</v>
      </c>
      <c r="K228" s="142" t="s">
        <v>10</v>
      </c>
      <c r="L228">
        <v>0.47</v>
      </c>
      <c r="M228">
        <v>12</v>
      </c>
      <c r="N228">
        <v>0.46294000000000002</v>
      </c>
      <c r="O228">
        <v>11.555</v>
      </c>
    </row>
    <row r="229" spans="1:15" x14ac:dyDescent="0.25">
      <c r="A229" s="142" t="s">
        <v>1122</v>
      </c>
      <c r="B229" s="142" t="s">
        <v>52</v>
      </c>
      <c r="C229" s="142" t="s">
        <v>44</v>
      </c>
      <c r="D229">
        <v>1</v>
      </c>
      <c r="E229">
        <v>10</v>
      </c>
      <c r="F229">
        <v>1E-4</v>
      </c>
      <c r="G229" s="142" t="s">
        <v>13</v>
      </c>
      <c r="H229" s="142" t="s">
        <v>12</v>
      </c>
      <c r="I229">
        <v>1E-3</v>
      </c>
      <c r="J229">
        <v>0.05</v>
      </c>
      <c r="K229" s="142" t="s">
        <v>10</v>
      </c>
      <c r="L229">
        <v>0.25308999999999998</v>
      </c>
      <c r="M229">
        <v>0.41519</v>
      </c>
      <c r="N229">
        <v>0.24856</v>
      </c>
      <c r="O229">
        <v>0.41558</v>
      </c>
    </row>
    <row r="230" spans="1:15" x14ac:dyDescent="0.25">
      <c r="A230" s="142" t="s">
        <v>1121</v>
      </c>
      <c r="B230" s="142" t="s">
        <v>52</v>
      </c>
      <c r="C230" s="142" t="s">
        <v>44</v>
      </c>
      <c r="D230">
        <v>1</v>
      </c>
      <c r="E230">
        <v>10</v>
      </c>
      <c r="F230">
        <v>1E-4</v>
      </c>
      <c r="G230" s="142" t="s">
        <v>13</v>
      </c>
      <c r="H230" s="142" t="s">
        <v>12</v>
      </c>
      <c r="I230">
        <v>0.05</v>
      </c>
      <c r="J230">
        <v>1</v>
      </c>
      <c r="K230" s="142" t="s">
        <v>10</v>
      </c>
      <c r="L230">
        <v>0.45</v>
      </c>
      <c r="M230">
        <v>0.12</v>
      </c>
      <c r="N230">
        <v>0.44408999999999998</v>
      </c>
      <c r="O230">
        <v>0.10939</v>
      </c>
    </row>
    <row r="231" spans="1:15" x14ac:dyDescent="0.25">
      <c r="A231" s="142" t="s">
        <v>1120</v>
      </c>
      <c r="B231" s="142" t="s">
        <v>52</v>
      </c>
      <c r="C231" s="142" t="s">
        <v>44</v>
      </c>
      <c r="D231">
        <v>1</v>
      </c>
      <c r="E231">
        <v>10</v>
      </c>
      <c r="F231">
        <v>1E-4</v>
      </c>
      <c r="G231" s="142" t="s">
        <v>13</v>
      </c>
      <c r="H231" s="142" t="s">
        <v>12</v>
      </c>
      <c r="I231">
        <v>1</v>
      </c>
      <c r="J231">
        <v>5</v>
      </c>
      <c r="K231" s="142" t="s">
        <v>10</v>
      </c>
      <c r="L231">
        <v>1.3</v>
      </c>
      <c r="M231">
        <v>0.67</v>
      </c>
      <c r="N231">
        <v>1.3064</v>
      </c>
      <c r="O231">
        <v>0.66235999999999995</v>
      </c>
    </row>
    <row r="232" spans="1:15" x14ac:dyDescent="0.25">
      <c r="A232" s="142" t="s">
        <v>1134</v>
      </c>
      <c r="B232" s="142" t="s">
        <v>52</v>
      </c>
      <c r="C232" s="142" t="s">
        <v>44</v>
      </c>
      <c r="D232">
        <v>10</v>
      </c>
      <c r="E232">
        <v>20</v>
      </c>
      <c r="F232">
        <v>1E-4</v>
      </c>
      <c r="G232" s="142" t="s">
        <v>13</v>
      </c>
      <c r="H232" s="142" t="s">
        <v>12</v>
      </c>
      <c r="I232">
        <v>1E-3</v>
      </c>
      <c r="J232">
        <v>0.05</v>
      </c>
      <c r="K232" s="142" t="s">
        <v>10</v>
      </c>
      <c r="L232">
        <v>4.7</v>
      </c>
      <c r="M232">
        <v>8.3000000000000004E-2</v>
      </c>
      <c r="N232">
        <v>4.6342999999999996</v>
      </c>
      <c r="O232">
        <v>8.1269999999999995E-2</v>
      </c>
    </row>
    <row r="233" spans="1:15" x14ac:dyDescent="0.25">
      <c r="A233" s="142" t="s">
        <v>1132</v>
      </c>
      <c r="B233" s="142" t="s">
        <v>52</v>
      </c>
      <c r="C233" s="142" t="s">
        <v>44</v>
      </c>
      <c r="D233">
        <v>10</v>
      </c>
      <c r="E233">
        <v>20</v>
      </c>
      <c r="F233">
        <v>1E-4</v>
      </c>
      <c r="G233" s="142" t="s">
        <v>13</v>
      </c>
      <c r="H233" s="142" t="s">
        <v>12</v>
      </c>
      <c r="I233">
        <v>0.05</v>
      </c>
      <c r="J233">
        <v>1</v>
      </c>
      <c r="K233" s="142" t="s">
        <v>10</v>
      </c>
      <c r="L233">
        <v>2.2000000000000002</v>
      </c>
      <c r="M233">
        <v>0.12</v>
      </c>
      <c r="N233">
        <v>2.1383999999999999</v>
      </c>
      <c r="O233">
        <v>0.11527999999999999</v>
      </c>
    </row>
    <row r="234" spans="1:15" x14ac:dyDescent="0.25">
      <c r="A234" s="142" t="s">
        <v>1133</v>
      </c>
      <c r="B234" s="142" t="s">
        <v>52</v>
      </c>
      <c r="C234" s="142" t="s">
        <v>44</v>
      </c>
      <c r="D234">
        <v>10</v>
      </c>
      <c r="E234">
        <v>20</v>
      </c>
      <c r="F234">
        <v>1E-4</v>
      </c>
      <c r="G234" s="142" t="s">
        <v>13</v>
      </c>
      <c r="H234" s="142" t="s">
        <v>12</v>
      </c>
      <c r="I234">
        <v>1</v>
      </c>
      <c r="J234">
        <v>5</v>
      </c>
      <c r="K234" s="142" t="s">
        <v>10</v>
      </c>
      <c r="L234">
        <v>1.1000000000000001</v>
      </c>
      <c r="M234">
        <v>0.66</v>
      </c>
      <c r="N234">
        <v>1.0495000000000001</v>
      </c>
      <c r="O234">
        <v>0.66074999999999995</v>
      </c>
    </row>
    <row r="235" spans="1:15" x14ac:dyDescent="0.25">
      <c r="A235" s="142" t="s">
        <v>2093</v>
      </c>
      <c r="B235" s="142" t="s">
        <v>52</v>
      </c>
      <c r="C235" s="142" t="s">
        <v>44</v>
      </c>
      <c r="D235">
        <v>0</v>
      </c>
      <c r="E235">
        <v>1E-4</v>
      </c>
      <c r="F235">
        <v>1E-3</v>
      </c>
      <c r="G235" s="142" t="s">
        <v>13</v>
      </c>
      <c r="H235" s="142" t="s">
        <v>11</v>
      </c>
      <c r="I235">
        <v>1E-3</v>
      </c>
      <c r="J235">
        <v>0.02</v>
      </c>
      <c r="K235" s="142" t="s">
        <v>10</v>
      </c>
      <c r="L235">
        <v>577.36</v>
      </c>
      <c r="M235">
        <v>2.1804999999999999</v>
      </c>
      <c r="N235">
        <v>577.35</v>
      </c>
      <c r="O235">
        <v>2.0994999999999999</v>
      </c>
    </row>
    <row r="236" spans="1:15" x14ac:dyDescent="0.25">
      <c r="A236" s="142" t="s">
        <v>996</v>
      </c>
      <c r="B236" s="142" t="s">
        <v>52</v>
      </c>
      <c r="C236" s="142" t="s">
        <v>44</v>
      </c>
      <c r="D236">
        <v>0</v>
      </c>
      <c r="E236">
        <v>1E-4</v>
      </c>
      <c r="F236">
        <v>1E-3</v>
      </c>
      <c r="G236" s="142" t="s">
        <v>13</v>
      </c>
      <c r="H236" s="142" t="s">
        <v>11</v>
      </c>
      <c r="I236">
        <v>0.02</v>
      </c>
      <c r="J236">
        <v>4.4999999999999998E-2</v>
      </c>
      <c r="K236" s="142" t="s">
        <v>10</v>
      </c>
      <c r="L236">
        <v>577.36</v>
      </c>
      <c r="M236">
        <v>0.50116000000000005</v>
      </c>
      <c r="N236">
        <v>577.35</v>
      </c>
      <c r="O236">
        <v>0.41199999999999998</v>
      </c>
    </row>
    <row r="237" spans="1:15" x14ac:dyDescent="0.25">
      <c r="A237" s="142" t="s">
        <v>995</v>
      </c>
      <c r="B237" s="142" t="s">
        <v>52</v>
      </c>
      <c r="C237" s="142" t="s">
        <v>44</v>
      </c>
      <c r="D237">
        <v>0</v>
      </c>
      <c r="E237">
        <v>1E-4</v>
      </c>
      <c r="F237">
        <v>1E-3</v>
      </c>
      <c r="G237" s="142" t="s">
        <v>13</v>
      </c>
      <c r="H237" s="142" t="s">
        <v>11</v>
      </c>
      <c r="I237">
        <v>4.4999999999999998E-2</v>
      </c>
      <c r="J237">
        <v>5</v>
      </c>
      <c r="K237" s="142" t="s">
        <v>10</v>
      </c>
      <c r="L237">
        <v>577.36</v>
      </c>
      <c r="M237">
        <v>0.19878000000000001</v>
      </c>
      <c r="N237">
        <v>577.35</v>
      </c>
      <c r="O237">
        <v>0.10961</v>
      </c>
    </row>
    <row r="238" spans="1:15" x14ac:dyDescent="0.25">
      <c r="A238" s="142" t="s">
        <v>1092</v>
      </c>
      <c r="B238" s="142" t="s">
        <v>52</v>
      </c>
      <c r="C238" s="142" t="s">
        <v>44</v>
      </c>
      <c r="D238">
        <v>0.01</v>
      </c>
      <c r="E238">
        <v>0.1</v>
      </c>
      <c r="F238">
        <v>1E-3</v>
      </c>
      <c r="G238" s="142" t="s">
        <v>13</v>
      </c>
      <c r="H238" s="142" t="s">
        <v>11</v>
      </c>
      <c r="I238">
        <v>1E-3</v>
      </c>
      <c r="J238">
        <v>0.02</v>
      </c>
      <c r="K238" s="142" t="s">
        <v>10</v>
      </c>
      <c r="L238">
        <v>562.38</v>
      </c>
      <c r="M238">
        <v>1919.1</v>
      </c>
      <c r="N238">
        <v>562.34</v>
      </c>
      <c r="O238">
        <v>1917.3</v>
      </c>
    </row>
    <row r="239" spans="1:15" x14ac:dyDescent="0.25">
      <c r="A239" s="142" t="s">
        <v>1091</v>
      </c>
      <c r="B239" s="142" t="s">
        <v>52</v>
      </c>
      <c r="C239" s="142" t="s">
        <v>44</v>
      </c>
      <c r="D239">
        <v>0.01</v>
      </c>
      <c r="E239">
        <v>0.1</v>
      </c>
      <c r="F239">
        <v>1E-3</v>
      </c>
      <c r="G239" s="142" t="s">
        <v>13</v>
      </c>
      <c r="H239" s="142" t="s">
        <v>11</v>
      </c>
      <c r="I239">
        <v>0.02</v>
      </c>
      <c r="J239">
        <v>4.4999999999999998E-2</v>
      </c>
      <c r="K239" s="142" t="s">
        <v>10</v>
      </c>
      <c r="L239">
        <v>575.37</v>
      </c>
      <c r="M239">
        <v>347.89</v>
      </c>
      <c r="N239">
        <v>575.33000000000004</v>
      </c>
      <c r="O239">
        <v>345.54</v>
      </c>
    </row>
    <row r="240" spans="1:15" x14ac:dyDescent="0.25">
      <c r="A240" s="142" t="s">
        <v>1088</v>
      </c>
      <c r="B240" s="142" t="s">
        <v>52</v>
      </c>
      <c r="C240" s="142" t="s">
        <v>44</v>
      </c>
      <c r="D240">
        <v>0.01</v>
      </c>
      <c r="E240">
        <v>0.1</v>
      </c>
      <c r="F240">
        <v>1E-3</v>
      </c>
      <c r="G240" s="142" t="s">
        <v>13</v>
      </c>
      <c r="H240" s="142" t="s">
        <v>11</v>
      </c>
      <c r="I240">
        <v>4.4999999999999998E-2</v>
      </c>
      <c r="J240">
        <v>0.1</v>
      </c>
      <c r="K240" s="142" t="s">
        <v>10</v>
      </c>
      <c r="L240">
        <v>577.45000000000005</v>
      </c>
      <c r="M240">
        <v>76.028999999999996</v>
      </c>
      <c r="N240">
        <v>577.41999999999996</v>
      </c>
      <c r="O240">
        <v>73.548000000000002</v>
      </c>
    </row>
    <row r="241" spans="1:15" x14ac:dyDescent="0.25">
      <c r="A241" s="142" t="s">
        <v>1093</v>
      </c>
      <c r="B241" s="142" t="s">
        <v>52</v>
      </c>
      <c r="C241" s="142" t="s">
        <v>44</v>
      </c>
      <c r="D241">
        <v>0.01</v>
      </c>
      <c r="E241">
        <v>0.1</v>
      </c>
      <c r="F241">
        <v>1E-3</v>
      </c>
      <c r="G241" s="142" t="s">
        <v>13</v>
      </c>
      <c r="H241" s="142" t="s">
        <v>11</v>
      </c>
      <c r="I241">
        <v>0.1</v>
      </c>
      <c r="J241">
        <v>5</v>
      </c>
      <c r="K241" s="142" t="s">
        <v>10</v>
      </c>
      <c r="L241">
        <v>577.76</v>
      </c>
      <c r="M241">
        <v>28.501999999999999</v>
      </c>
      <c r="N241">
        <v>577.72</v>
      </c>
      <c r="O241">
        <v>25.997</v>
      </c>
    </row>
    <row r="242" spans="1:15" x14ac:dyDescent="0.25">
      <c r="A242" s="142" t="s">
        <v>1087</v>
      </c>
      <c r="B242" s="142" t="s">
        <v>52</v>
      </c>
      <c r="C242" s="142" t="s">
        <v>44</v>
      </c>
      <c r="D242">
        <v>0.01</v>
      </c>
      <c r="E242">
        <v>0.1</v>
      </c>
      <c r="F242">
        <v>1E-3</v>
      </c>
      <c r="G242" s="142" t="s">
        <v>13</v>
      </c>
      <c r="H242" s="142" t="s">
        <v>11</v>
      </c>
      <c r="I242">
        <v>5</v>
      </c>
      <c r="J242">
        <v>20</v>
      </c>
      <c r="K242" s="142" t="s">
        <v>10</v>
      </c>
      <c r="L242">
        <v>577.45000000000005</v>
      </c>
      <c r="M242">
        <v>76.430999999999997</v>
      </c>
      <c r="N242">
        <v>577.41</v>
      </c>
      <c r="O242">
        <v>73.950999999999993</v>
      </c>
    </row>
    <row r="243" spans="1:15" x14ac:dyDescent="0.25">
      <c r="A243" s="142" t="s">
        <v>1089</v>
      </c>
      <c r="B243" s="142" t="s">
        <v>52</v>
      </c>
      <c r="C243" s="142" t="s">
        <v>44</v>
      </c>
      <c r="D243">
        <v>0.01</v>
      </c>
      <c r="E243">
        <v>0.1</v>
      </c>
      <c r="F243">
        <v>1E-3</v>
      </c>
      <c r="G243" s="142" t="s">
        <v>13</v>
      </c>
      <c r="H243" s="142" t="s">
        <v>11</v>
      </c>
      <c r="I243">
        <v>20</v>
      </c>
      <c r="J243">
        <v>50</v>
      </c>
      <c r="K243" s="142" t="s">
        <v>10</v>
      </c>
      <c r="L243">
        <v>564.42999999999995</v>
      </c>
      <c r="M243">
        <v>2063.9</v>
      </c>
      <c r="N243">
        <v>564.20000000000005</v>
      </c>
      <c r="O243">
        <v>2057.8000000000002</v>
      </c>
    </row>
    <row r="244" spans="1:15" x14ac:dyDescent="0.25">
      <c r="A244" s="142" t="s">
        <v>1090</v>
      </c>
      <c r="B244" s="142" t="s">
        <v>52</v>
      </c>
      <c r="C244" s="142" t="s">
        <v>44</v>
      </c>
      <c r="D244">
        <v>0.01</v>
      </c>
      <c r="E244">
        <v>0.1</v>
      </c>
      <c r="F244">
        <v>1E-3</v>
      </c>
      <c r="G244" s="142" t="s">
        <v>13</v>
      </c>
      <c r="H244" s="142" t="s">
        <v>11</v>
      </c>
      <c r="I244">
        <v>50</v>
      </c>
      <c r="J244">
        <v>100</v>
      </c>
      <c r="K244" s="142" t="s">
        <v>10</v>
      </c>
      <c r="L244">
        <v>5772.8</v>
      </c>
      <c r="M244">
        <v>636.57000000000005</v>
      </c>
      <c r="N244">
        <v>5772.7</v>
      </c>
      <c r="O244">
        <v>587.17999999999995</v>
      </c>
    </row>
    <row r="245" spans="1:15" x14ac:dyDescent="0.25">
      <c r="A245" s="142" t="s">
        <v>2116</v>
      </c>
      <c r="B245" s="142" t="s">
        <v>52</v>
      </c>
      <c r="C245" s="142" t="s">
        <v>44</v>
      </c>
      <c r="D245">
        <v>0.1</v>
      </c>
      <c r="E245">
        <v>1</v>
      </c>
      <c r="F245">
        <v>1E-3</v>
      </c>
      <c r="G245" s="142" t="s">
        <v>13</v>
      </c>
      <c r="H245" s="142" t="s">
        <v>12</v>
      </c>
      <c r="I245">
        <v>1E-3</v>
      </c>
      <c r="J245">
        <v>0.02</v>
      </c>
      <c r="K245" s="142" t="s">
        <v>10</v>
      </c>
      <c r="L245">
        <v>0.46101999999999999</v>
      </c>
      <c r="M245">
        <v>4.4237000000000002</v>
      </c>
      <c r="N245">
        <v>0.45973999999999998</v>
      </c>
      <c r="O245">
        <v>4.4244000000000003</v>
      </c>
    </row>
    <row r="246" spans="1:15" x14ac:dyDescent="0.25">
      <c r="A246" s="142" t="s">
        <v>1110</v>
      </c>
      <c r="B246" s="142" t="s">
        <v>52</v>
      </c>
      <c r="C246" s="142" t="s">
        <v>44</v>
      </c>
      <c r="D246">
        <v>0.1</v>
      </c>
      <c r="E246">
        <v>1</v>
      </c>
      <c r="F246">
        <v>1E-3</v>
      </c>
      <c r="G246" s="142" t="s">
        <v>13</v>
      </c>
      <c r="H246" s="142" t="s">
        <v>12</v>
      </c>
      <c r="I246">
        <v>0.02</v>
      </c>
      <c r="J246">
        <v>4.4999999999999998E-2</v>
      </c>
      <c r="K246" s="142" t="s">
        <v>10</v>
      </c>
      <c r="L246">
        <v>0.55281000000000002</v>
      </c>
      <c r="M246">
        <v>1.6060000000000001</v>
      </c>
      <c r="N246">
        <v>0.55120000000000002</v>
      </c>
      <c r="O246">
        <v>1.6063000000000001</v>
      </c>
    </row>
    <row r="247" spans="1:15" x14ac:dyDescent="0.25">
      <c r="A247" s="142" t="s">
        <v>1113</v>
      </c>
      <c r="B247" s="142" t="s">
        <v>52</v>
      </c>
      <c r="C247" s="142" t="s">
        <v>44</v>
      </c>
      <c r="D247">
        <v>0.1</v>
      </c>
      <c r="E247">
        <v>1</v>
      </c>
      <c r="F247">
        <v>1E-3</v>
      </c>
      <c r="G247" s="142" t="s">
        <v>13</v>
      </c>
      <c r="H247" s="142" t="s">
        <v>12</v>
      </c>
      <c r="I247">
        <v>4.4999999999999998E-2</v>
      </c>
      <c r="J247">
        <v>0.1</v>
      </c>
      <c r="K247" s="142" t="s">
        <v>10</v>
      </c>
      <c r="L247">
        <v>0.59380999999999995</v>
      </c>
      <c r="M247">
        <v>0.69994999999999996</v>
      </c>
      <c r="N247">
        <v>0.59219999999999995</v>
      </c>
      <c r="O247">
        <v>0.69935999999999998</v>
      </c>
    </row>
    <row r="248" spans="1:15" x14ac:dyDescent="0.25">
      <c r="A248" s="142" t="s">
        <v>1112</v>
      </c>
      <c r="B248" s="142" t="s">
        <v>52</v>
      </c>
      <c r="C248" s="142" t="s">
        <v>44</v>
      </c>
      <c r="D248">
        <v>0.1</v>
      </c>
      <c r="E248">
        <v>1</v>
      </c>
      <c r="F248">
        <v>1E-3</v>
      </c>
      <c r="G248" s="142" t="s">
        <v>13</v>
      </c>
      <c r="H248" s="142" t="s">
        <v>12</v>
      </c>
      <c r="I248">
        <v>0.1</v>
      </c>
      <c r="J248">
        <v>5</v>
      </c>
      <c r="K248" s="142" t="s">
        <v>10</v>
      </c>
      <c r="L248">
        <v>0.58325000000000005</v>
      </c>
      <c r="M248">
        <v>0.92115999999999998</v>
      </c>
      <c r="N248">
        <v>0.58164000000000005</v>
      </c>
      <c r="O248">
        <v>0.92088000000000003</v>
      </c>
    </row>
    <row r="249" spans="1:15" x14ac:dyDescent="0.25">
      <c r="A249" s="142" t="s">
        <v>2119</v>
      </c>
      <c r="B249" s="142" t="s">
        <v>52</v>
      </c>
      <c r="C249" s="142" t="s">
        <v>44</v>
      </c>
      <c r="D249">
        <v>0.1</v>
      </c>
      <c r="E249">
        <v>1</v>
      </c>
      <c r="F249">
        <v>1E-3</v>
      </c>
      <c r="G249" s="142" t="s">
        <v>13</v>
      </c>
      <c r="H249" s="142" t="s">
        <v>12</v>
      </c>
      <c r="I249">
        <v>5</v>
      </c>
      <c r="J249">
        <v>20</v>
      </c>
      <c r="K249" s="142" t="s">
        <v>10</v>
      </c>
      <c r="L249">
        <v>0.49320000000000003</v>
      </c>
      <c r="M249">
        <v>3.2503000000000002</v>
      </c>
      <c r="N249">
        <v>0.49176999999999998</v>
      </c>
      <c r="O249">
        <v>3.2509999999999999</v>
      </c>
    </row>
    <row r="250" spans="1:15" x14ac:dyDescent="0.25">
      <c r="A250" s="142" t="s">
        <v>1111</v>
      </c>
      <c r="B250" s="142" t="s">
        <v>52</v>
      </c>
      <c r="C250" s="142" t="s">
        <v>44</v>
      </c>
      <c r="D250">
        <v>0.1</v>
      </c>
      <c r="E250">
        <v>1</v>
      </c>
      <c r="F250">
        <v>1E-3</v>
      </c>
      <c r="G250" s="142" t="s">
        <v>13</v>
      </c>
      <c r="H250" s="142" t="s">
        <v>12</v>
      </c>
      <c r="I250">
        <v>20</v>
      </c>
      <c r="J250">
        <v>50</v>
      </c>
      <c r="K250" s="142" t="s">
        <v>10</v>
      </c>
      <c r="L250">
        <v>0.53242999999999996</v>
      </c>
      <c r="M250">
        <v>11.938000000000001</v>
      </c>
      <c r="N250">
        <v>0.57284999999999997</v>
      </c>
      <c r="O250">
        <v>11.46</v>
      </c>
    </row>
    <row r="251" spans="1:15" x14ac:dyDescent="0.25">
      <c r="A251" s="142" t="s">
        <v>2122</v>
      </c>
      <c r="B251" s="142" t="s">
        <v>52</v>
      </c>
      <c r="C251" s="142" t="s">
        <v>44</v>
      </c>
      <c r="D251">
        <v>1</v>
      </c>
      <c r="E251">
        <v>10</v>
      </c>
      <c r="F251">
        <v>1E-3</v>
      </c>
      <c r="G251" s="142" t="s">
        <v>13</v>
      </c>
      <c r="H251" s="142" t="s">
        <v>12</v>
      </c>
      <c r="I251">
        <v>1E-3</v>
      </c>
      <c r="J251">
        <v>0.05</v>
      </c>
      <c r="K251" s="142" t="s">
        <v>10</v>
      </c>
      <c r="L251">
        <v>0.49831999999999999</v>
      </c>
      <c r="M251">
        <v>0.39462999999999998</v>
      </c>
      <c r="N251">
        <v>0.48472999999999999</v>
      </c>
      <c r="O251">
        <v>0.39573999999999998</v>
      </c>
    </row>
    <row r="252" spans="1:15" x14ac:dyDescent="0.25">
      <c r="A252" s="142" t="s">
        <v>2124</v>
      </c>
      <c r="B252" s="142" t="s">
        <v>52</v>
      </c>
      <c r="C252" s="142" t="s">
        <v>44</v>
      </c>
      <c r="D252">
        <v>1</v>
      </c>
      <c r="E252">
        <v>10</v>
      </c>
      <c r="F252">
        <v>1E-3</v>
      </c>
      <c r="G252" s="142" t="s">
        <v>13</v>
      </c>
      <c r="H252" s="142" t="s">
        <v>12</v>
      </c>
      <c r="I252">
        <v>0.05</v>
      </c>
      <c r="J252">
        <v>1</v>
      </c>
      <c r="K252" s="142" t="s">
        <v>10</v>
      </c>
      <c r="L252">
        <v>0.72113000000000005</v>
      </c>
      <c r="M252">
        <v>9.2887999999999998E-2</v>
      </c>
      <c r="N252">
        <v>0.70667999999999997</v>
      </c>
      <c r="O252">
        <v>9.3635999999999997E-2</v>
      </c>
    </row>
    <row r="253" spans="1:15" x14ac:dyDescent="0.25">
      <c r="A253" s="142" t="s">
        <v>1123</v>
      </c>
      <c r="B253" s="142" t="s">
        <v>52</v>
      </c>
      <c r="C253" s="142" t="s">
        <v>44</v>
      </c>
      <c r="D253">
        <v>1</v>
      </c>
      <c r="E253">
        <v>10</v>
      </c>
      <c r="F253">
        <v>1E-3</v>
      </c>
      <c r="G253" s="142" t="s">
        <v>13</v>
      </c>
      <c r="H253" s="142" t="s">
        <v>12</v>
      </c>
      <c r="I253">
        <v>1</v>
      </c>
      <c r="J253">
        <v>5</v>
      </c>
      <c r="K253" s="142" t="s">
        <v>10</v>
      </c>
      <c r="L253">
        <v>1.3</v>
      </c>
      <c r="M253">
        <v>0.67</v>
      </c>
      <c r="N253">
        <v>1.4428000000000001</v>
      </c>
      <c r="O253">
        <v>0.64632999999999996</v>
      </c>
    </row>
    <row r="254" spans="1:15" x14ac:dyDescent="0.25">
      <c r="A254" s="142" t="s">
        <v>1136</v>
      </c>
      <c r="B254" s="142" t="s">
        <v>52</v>
      </c>
      <c r="C254" s="142" t="s">
        <v>44</v>
      </c>
      <c r="D254">
        <v>10</v>
      </c>
      <c r="E254">
        <v>20</v>
      </c>
      <c r="F254">
        <v>1E-3</v>
      </c>
      <c r="G254" s="142" t="s">
        <v>13</v>
      </c>
      <c r="H254" s="142" t="s">
        <v>12</v>
      </c>
      <c r="I254">
        <v>1E-3</v>
      </c>
      <c r="J254">
        <v>0.05</v>
      </c>
      <c r="K254" s="142" t="s">
        <v>10</v>
      </c>
      <c r="L254">
        <v>4.7</v>
      </c>
      <c r="M254">
        <v>8.3000000000000004E-2</v>
      </c>
      <c r="N254">
        <v>4.6688000000000001</v>
      </c>
      <c r="O254">
        <v>8.0873E-2</v>
      </c>
    </row>
    <row r="255" spans="1:15" x14ac:dyDescent="0.25">
      <c r="A255" s="142" t="s">
        <v>1135</v>
      </c>
      <c r="B255" s="142" t="s">
        <v>52</v>
      </c>
      <c r="C255" s="142" t="s">
        <v>44</v>
      </c>
      <c r="D255">
        <v>10</v>
      </c>
      <c r="E255">
        <v>20</v>
      </c>
      <c r="F255">
        <v>1E-3</v>
      </c>
      <c r="G255" s="142" t="s">
        <v>13</v>
      </c>
      <c r="H255" s="142" t="s">
        <v>12</v>
      </c>
      <c r="I255">
        <v>0.05</v>
      </c>
      <c r="J255">
        <v>1</v>
      </c>
      <c r="K255" s="142" t="s">
        <v>10</v>
      </c>
      <c r="L255">
        <v>2.2000000000000002</v>
      </c>
      <c r="M255">
        <v>0.12</v>
      </c>
      <c r="N255">
        <v>2.2018</v>
      </c>
      <c r="O255">
        <v>0.11398</v>
      </c>
    </row>
    <row r="256" spans="1:15" x14ac:dyDescent="0.25">
      <c r="A256" s="142" t="s">
        <v>1137</v>
      </c>
      <c r="B256" s="142" t="s">
        <v>52</v>
      </c>
      <c r="C256" s="142" t="s">
        <v>44</v>
      </c>
      <c r="D256">
        <v>10</v>
      </c>
      <c r="E256">
        <v>20</v>
      </c>
      <c r="F256">
        <v>1E-3</v>
      </c>
      <c r="G256" s="142" t="s">
        <v>13</v>
      </c>
      <c r="H256" s="142" t="s">
        <v>12</v>
      </c>
      <c r="I256">
        <v>1</v>
      </c>
      <c r="J256">
        <v>5</v>
      </c>
      <c r="K256" s="142" t="s">
        <v>10</v>
      </c>
      <c r="L256">
        <v>1.1000000000000001</v>
      </c>
      <c r="M256">
        <v>0.66</v>
      </c>
      <c r="N256">
        <v>1.0813999999999999</v>
      </c>
      <c r="O256">
        <v>0.65973999999999999</v>
      </c>
    </row>
    <row r="257" spans="1:15" x14ac:dyDescent="0.25">
      <c r="A257" s="142" t="s">
        <v>999</v>
      </c>
      <c r="B257" s="142" t="s">
        <v>52</v>
      </c>
      <c r="C257" s="142" t="s">
        <v>44</v>
      </c>
      <c r="D257">
        <v>0</v>
      </c>
      <c r="E257">
        <v>1E-4</v>
      </c>
      <c r="F257">
        <v>0.01</v>
      </c>
      <c r="G257" s="142" t="s">
        <v>13</v>
      </c>
      <c r="H257" s="142" t="s">
        <v>11</v>
      </c>
      <c r="I257">
        <v>1E-3</v>
      </c>
      <c r="J257">
        <v>0.02</v>
      </c>
      <c r="K257" s="142" t="s">
        <v>10</v>
      </c>
      <c r="L257">
        <v>5773.6</v>
      </c>
      <c r="M257">
        <v>0.24237</v>
      </c>
      <c r="N257">
        <v>5773.6</v>
      </c>
      <c r="O257">
        <v>0.20995</v>
      </c>
    </row>
    <row r="258" spans="1:15" x14ac:dyDescent="0.25">
      <c r="A258" s="142" t="s">
        <v>997</v>
      </c>
      <c r="B258" s="142" t="s">
        <v>52</v>
      </c>
      <c r="C258" s="142" t="s">
        <v>44</v>
      </c>
      <c r="D258">
        <v>0</v>
      </c>
      <c r="E258">
        <v>1E-4</v>
      </c>
      <c r="F258">
        <v>0.01</v>
      </c>
      <c r="G258" s="142" t="s">
        <v>13</v>
      </c>
      <c r="H258" s="142" t="s">
        <v>11</v>
      </c>
      <c r="I258">
        <v>0.02</v>
      </c>
      <c r="J258">
        <v>4.4999999999999998E-2</v>
      </c>
      <c r="K258" s="142" t="s">
        <v>10</v>
      </c>
      <c r="L258">
        <v>5773.6</v>
      </c>
      <c r="M258">
        <v>8.3552000000000001E-2</v>
      </c>
      <c r="N258">
        <v>5773.5</v>
      </c>
      <c r="O258">
        <v>4.7886999999999999E-2</v>
      </c>
    </row>
    <row r="259" spans="1:15" x14ac:dyDescent="0.25">
      <c r="A259" s="142" t="s">
        <v>998</v>
      </c>
      <c r="B259" s="142" t="s">
        <v>52</v>
      </c>
      <c r="C259" s="142" t="s">
        <v>44</v>
      </c>
      <c r="D259">
        <v>0</v>
      </c>
      <c r="E259">
        <v>1E-4</v>
      </c>
      <c r="F259">
        <v>0.01</v>
      </c>
      <c r="G259" s="142" t="s">
        <v>13</v>
      </c>
      <c r="H259" s="142" t="s">
        <v>11</v>
      </c>
      <c r="I259">
        <v>4.4999999999999998E-2</v>
      </c>
      <c r="J259">
        <v>5</v>
      </c>
      <c r="K259" s="142" t="s">
        <v>10</v>
      </c>
      <c r="L259">
        <v>5773.6</v>
      </c>
      <c r="M259">
        <v>5.3314E-2</v>
      </c>
      <c r="N259">
        <v>5773.6</v>
      </c>
      <c r="O259">
        <v>1.7649000000000001E-2</v>
      </c>
    </row>
    <row r="260" spans="1:15" x14ac:dyDescent="0.25">
      <c r="A260" s="142" t="s">
        <v>2117</v>
      </c>
      <c r="B260" s="142" t="s">
        <v>52</v>
      </c>
      <c r="C260" s="142" t="s">
        <v>44</v>
      </c>
      <c r="D260">
        <v>0.1</v>
      </c>
      <c r="E260">
        <v>1</v>
      </c>
      <c r="F260">
        <v>0.01</v>
      </c>
      <c r="G260" s="142" t="s">
        <v>13</v>
      </c>
      <c r="H260" s="142" t="s">
        <v>12</v>
      </c>
      <c r="I260">
        <v>1E-3</v>
      </c>
      <c r="J260">
        <v>0.02</v>
      </c>
      <c r="K260" s="142" t="s">
        <v>10</v>
      </c>
      <c r="L260">
        <v>5.6241000000000003</v>
      </c>
      <c r="M260">
        <v>1.9178999999999999</v>
      </c>
      <c r="N260">
        <v>5.6234999999999999</v>
      </c>
      <c r="O260">
        <v>1.9171</v>
      </c>
    </row>
    <row r="261" spans="1:15" x14ac:dyDescent="0.25">
      <c r="A261" s="142" t="s">
        <v>1116</v>
      </c>
      <c r="B261" s="142" t="s">
        <v>52</v>
      </c>
      <c r="C261" s="142" t="s">
        <v>44</v>
      </c>
      <c r="D261">
        <v>0.1</v>
      </c>
      <c r="E261">
        <v>1</v>
      </c>
      <c r="F261">
        <v>0.01</v>
      </c>
      <c r="G261" s="142" t="s">
        <v>13</v>
      </c>
      <c r="H261" s="142" t="s">
        <v>12</v>
      </c>
      <c r="I261">
        <v>0.02</v>
      </c>
      <c r="J261">
        <v>4.4999999999999998E-2</v>
      </c>
      <c r="K261" s="142" t="s">
        <v>10</v>
      </c>
      <c r="L261">
        <v>5.7507000000000001</v>
      </c>
      <c r="M261">
        <v>0.38793</v>
      </c>
      <c r="N261">
        <v>5.75</v>
      </c>
      <c r="O261">
        <v>0.38673000000000002</v>
      </c>
    </row>
    <row r="262" spans="1:15" x14ac:dyDescent="0.25">
      <c r="A262" s="142" t="s">
        <v>1115</v>
      </c>
      <c r="B262" s="142" t="s">
        <v>52</v>
      </c>
      <c r="C262" s="142" t="s">
        <v>44</v>
      </c>
      <c r="D262">
        <v>0.1</v>
      </c>
      <c r="E262">
        <v>1</v>
      </c>
      <c r="F262">
        <v>0.01</v>
      </c>
      <c r="G262" s="142" t="s">
        <v>13</v>
      </c>
      <c r="H262" s="142" t="s">
        <v>12</v>
      </c>
      <c r="I262">
        <v>4.4999999999999998E-2</v>
      </c>
      <c r="J262">
        <v>0.1</v>
      </c>
      <c r="K262" s="142" t="s">
        <v>10</v>
      </c>
      <c r="L262">
        <v>5.7717000000000001</v>
      </c>
      <c r="M262">
        <v>0.11860999999999999</v>
      </c>
      <c r="N262">
        <v>5.7710999999999997</v>
      </c>
      <c r="O262">
        <v>0.11731999999999999</v>
      </c>
    </row>
    <row r="263" spans="1:15" x14ac:dyDescent="0.25">
      <c r="A263" s="142" t="s">
        <v>1114</v>
      </c>
      <c r="B263" s="142" t="s">
        <v>52</v>
      </c>
      <c r="C263" s="142" t="s">
        <v>44</v>
      </c>
      <c r="D263">
        <v>0.1</v>
      </c>
      <c r="E263">
        <v>1</v>
      </c>
      <c r="F263">
        <v>0.01</v>
      </c>
      <c r="G263" s="142" t="s">
        <v>13</v>
      </c>
      <c r="H263" s="142" t="s">
        <v>12</v>
      </c>
      <c r="I263">
        <v>0.1</v>
      </c>
      <c r="J263">
        <v>5</v>
      </c>
      <c r="K263" s="142" t="s">
        <v>10</v>
      </c>
      <c r="L263">
        <v>5.7675999999999998</v>
      </c>
      <c r="M263">
        <v>0.17247999999999999</v>
      </c>
      <c r="N263">
        <v>5.7670000000000003</v>
      </c>
      <c r="O263">
        <v>0.17121</v>
      </c>
    </row>
    <row r="264" spans="1:15" x14ac:dyDescent="0.25">
      <c r="A264" s="142" t="s">
        <v>2120</v>
      </c>
      <c r="B264" s="142" t="s">
        <v>52</v>
      </c>
      <c r="C264" s="142" t="s">
        <v>44</v>
      </c>
      <c r="D264">
        <v>0.1</v>
      </c>
      <c r="E264">
        <v>1</v>
      </c>
      <c r="F264">
        <v>0.01</v>
      </c>
      <c r="G264" s="142" t="s">
        <v>13</v>
      </c>
      <c r="H264" s="142" t="s">
        <v>12</v>
      </c>
      <c r="I264">
        <v>5</v>
      </c>
      <c r="J264">
        <v>20</v>
      </c>
      <c r="K264" s="142" t="s">
        <v>10</v>
      </c>
      <c r="L264">
        <v>5.6860999999999997</v>
      </c>
      <c r="M264">
        <v>1.1721999999999999</v>
      </c>
      <c r="N264">
        <v>5.6853999999999996</v>
      </c>
      <c r="O264">
        <v>1.1712</v>
      </c>
    </row>
    <row r="265" spans="1:15" x14ac:dyDescent="0.25">
      <c r="A265" s="142" t="s">
        <v>1117</v>
      </c>
      <c r="B265" s="142" t="s">
        <v>52</v>
      </c>
      <c r="C265" s="142" t="s">
        <v>44</v>
      </c>
      <c r="D265">
        <v>0.1</v>
      </c>
      <c r="E265">
        <v>1</v>
      </c>
      <c r="F265">
        <v>0.01</v>
      </c>
      <c r="G265" s="142" t="s">
        <v>13</v>
      </c>
      <c r="H265" s="142" t="s">
        <v>12</v>
      </c>
      <c r="I265">
        <v>20</v>
      </c>
      <c r="J265">
        <v>50</v>
      </c>
      <c r="K265" s="142" t="s">
        <v>10</v>
      </c>
      <c r="L265">
        <v>5.1885000000000003</v>
      </c>
      <c r="M265">
        <v>8.1792999999999996</v>
      </c>
      <c r="N265">
        <v>5.1821000000000002</v>
      </c>
      <c r="O265">
        <v>8.1570999999999998</v>
      </c>
    </row>
    <row r="266" spans="1:15" x14ac:dyDescent="0.25">
      <c r="A266" s="142" t="s">
        <v>1124</v>
      </c>
      <c r="B266" s="142" t="s">
        <v>52</v>
      </c>
      <c r="C266" s="142" t="s">
        <v>44</v>
      </c>
      <c r="D266">
        <v>1</v>
      </c>
      <c r="E266">
        <v>10</v>
      </c>
      <c r="F266">
        <v>0.01</v>
      </c>
      <c r="G266" s="142" t="s">
        <v>13</v>
      </c>
      <c r="H266" s="142" t="s">
        <v>12</v>
      </c>
      <c r="I266">
        <v>1E-3</v>
      </c>
      <c r="J266">
        <v>0.05</v>
      </c>
      <c r="K266" s="142" t="s">
        <v>10</v>
      </c>
      <c r="L266">
        <v>5.6597999999999997</v>
      </c>
      <c r="M266">
        <v>0.16092000000000001</v>
      </c>
      <c r="N266">
        <v>5.6520000000000001</v>
      </c>
      <c r="O266">
        <v>0.16109000000000001</v>
      </c>
    </row>
    <row r="267" spans="1:15" x14ac:dyDescent="0.25">
      <c r="A267" s="142" t="s">
        <v>1126</v>
      </c>
      <c r="B267" s="142" t="s">
        <v>52</v>
      </c>
      <c r="C267" s="142" t="s">
        <v>44</v>
      </c>
      <c r="D267">
        <v>1</v>
      </c>
      <c r="E267">
        <v>10</v>
      </c>
      <c r="F267">
        <v>0.01</v>
      </c>
      <c r="G267" s="142" t="s">
        <v>13</v>
      </c>
      <c r="H267" s="142" t="s">
        <v>12</v>
      </c>
      <c r="I267">
        <v>0.05</v>
      </c>
      <c r="J267">
        <v>1</v>
      </c>
      <c r="K267" s="142" t="s">
        <v>10</v>
      </c>
      <c r="L267">
        <v>5.7896999999999998</v>
      </c>
      <c r="M267">
        <v>1.9400000000000001E-2</v>
      </c>
      <c r="N267">
        <v>5.7820999999999998</v>
      </c>
      <c r="O267">
        <v>1.9425000000000001E-2</v>
      </c>
    </row>
    <row r="268" spans="1:15" x14ac:dyDescent="0.25">
      <c r="A268" s="142" t="s">
        <v>1125</v>
      </c>
      <c r="B268" s="142" t="s">
        <v>52</v>
      </c>
      <c r="C268" s="142" t="s">
        <v>44</v>
      </c>
      <c r="D268">
        <v>1</v>
      </c>
      <c r="E268">
        <v>10</v>
      </c>
      <c r="F268">
        <v>0.01</v>
      </c>
      <c r="G268" s="142" t="s">
        <v>13</v>
      </c>
      <c r="H268" s="142" t="s">
        <v>12</v>
      </c>
      <c r="I268">
        <v>1</v>
      </c>
      <c r="J268">
        <v>5</v>
      </c>
      <c r="K268" s="142" t="s">
        <v>10</v>
      </c>
      <c r="L268">
        <v>5.8243</v>
      </c>
      <c r="M268">
        <v>0.34723999999999999</v>
      </c>
      <c r="N268">
        <v>5.8169000000000004</v>
      </c>
      <c r="O268">
        <v>0.34753000000000001</v>
      </c>
    </row>
    <row r="269" spans="1:15" x14ac:dyDescent="0.25">
      <c r="A269" s="142" t="s">
        <v>1139</v>
      </c>
      <c r="B269" s="142" t="s">
        <v>52</v>
      </c>
      <c r="C269" s="142" t="s">
        <v>44</v>
      </c>
      <c r="D269">
        <v>10</v>
      </c>
      <c r="E269">
        <v>20</v>
      </c>
      <c r="F269">
        <v>0.01</v>
      </c>
      <c r="G269" s="142" t="s">
        <v>13</v>
      </c>
      <c r="H269" s="142" t="s">
        <v>12</v>
      </c>
      <c r="I269">
        <v>1E-3</v>
      </c>
      <c r="J269">
        <v>0.05</v>
      </c>
      <c r="K269" s="142" t="s">
        <v>10</v>
      </c>
      <c r="L269">
        <v>7.3632</v>
      </c>
      <c r="M269">
        <v>5.7709000000000003E-2</v>
      </c>
      <c r="N269">
        <v>7.3573000000000004</v>
      </c>
      <c r="O269">
        <v>5.7747E-2</v>
      </c>
    </row>
    <row r="270" spans="1:15" x14ac:dyDescent="0.25">
      <c r="A270" s="142" t="s">
        <v>2125</v>
      </c>
      <c r="B270" s="142" t="s">
        <v>52</v>
      </c>
      <c r="C270" s="142" t="s">
        <v>44</v>
      </c>
      <c r="D270">
        <v>10</v>
      </c>
      <c r="E270">
        <v>20</v>
      </c>
      <c r="F270">
        <v>0.01</v>
      </c>
      <c r="G270" s="142" t="s">
        <v>13</v>
      </c>
      <c r="H270" s="142" t="s">
        <v>12</v>
      </c>
      <c r="I270">
        <v>0.05</v>
      </c>
      <c r="J270">
        <v>1</v>
      </c>
      <c r="K270" s="142" t="s">
        <v>10</v>
      </c>
      <c r="L270">
        <v>6.0144000000000002</v>
      </c>
      <c r="M270">
        <v>6.3935000000000006E-2</v>
      </c>
      <c r="N270">
        <v>6.0071000000000003</v>
      </c>
      <c r="O270">
        <v>6.3993999999999995E-2</v>
      </c>
    </row>
    <row r="271" spans="1:15" x14ac:dyDescent="0.25">
      <c r="A271" s="142" t="s">
        <v>1138</v>
      </c>
      <c r="B271" s="142" t="s">
        <v>52</v>
      </c>
      <c r="C271" s="142" t="s">
        <v>44</v>
      </c>
      <c r="D271">
        <v>10</v>
      </c>
      <c r="E271">
        <v>20</v>
      </c>
      <c r="F271">
        <v>0.01</v>
      </c>
      <c r="G271" s="142" t="s">
        <v>13</v>
      </c>
      <c r="H271" s="142" t="s">
        <v>12</v>
      </c>
      <c r="I271">
        <v>1</v>
      </c>
      <c r="J271">
        <v>5</v>
      </c>
      <c r="K271" s="142" t="s">
        <v>10</v>
      </c>
      <c r="L271">
        <v>3.7984</v>
      </c>
      <c r="M271">
        <v>0.57967999999999997</v>
      </c>
      <c r="N271">
        <v>3.7921999999999998</v>
      </c>
      <c r="O271">
        <v>0.57984999999999998</v>
      </c>
    </row>
    <row r="272" spans="1:15" x14ac:dyDescent="0.25">
      <c r="A272" s="142" t="s">
        <v>1000</v>
      </c>
      <c r="B272" s="142" t="s">
        <v>52</v>
      </c>
      <c r="C272" s="142" t="s">
        <v>44</v>
      </c>
      <c r="D272">
        <v>0</v>
      </c>
      <c r="E272">
        <v>1E-4</v>
      </c>
      <c r="F272">
        <v>0.1</v>
      </c>
      <c r="G272" s="142" t="s">
        <v>13</v>
      </c>
      <c r="H272" s="142" t="s">
        <v>11</v>
      </c>
      <c r="I272">
        <v>1E-3</v>
      </c>
      <c r="J272">
        <v>0.02</v>
      </c>
      <c r="K272" s="142" t="s">
        <v>10</v>
      </c>
      <c r="L272">
        <v>57736</v>
      </c>
      <c r="M272">
        <v>3.3964000000000001E-2</v>
      </c>
      <c r="N272">
        <v>57736</v>
      </c>
      <c r="O272">
        <v>2.0995E-2</v>
      </c>
    </row>
    <row r="273" spans="1:15" x14ac:dyDescent="0.25">
      <c r="A273" s="142" t="s">
        <v>1001</v>
      </c>
      <c r="B273" s="142" t="s">
        <v>52</v>
      </c>
      <c r="C273" s="142" t="s">
        <v>44</v>
      </c>
      <c r="D273">
        <v>0</v>
      </c>
      <c r="E273">
        <v>1E-4</v>
      </c>
      <c r="F273">
        <v>0.1</v>
      </c>
      <c r="G273" s="142" t="s">
        <v>13</v>
      </c>
      <c r="H273" s="142" t="s">
        <v>11</v>
      </c>
      <c r="I273">
        <v>0.02</v>
      </c>
      <c r="J273">
        <v>4.4999999999999998E-2</v>
      </c>
      <c r="K273" s="142" t="s">
        <v>10</v>
      </c>
      <c r="L273">
        <v>57736</v>
      </c>
      <c r="M273">
        <v>2.1729999999999999E-2</v>
      </c>
      <c r="N273">
        <v>57736</v>
      </c>
      <c r="O273">
        <v>7.4635999999999999E-3</v>
      </c>
    </row>
    <row r="274" spans="1:15" x14ac:dyDescent="0.25">
      <c r="A274" s="142" t="s">
        <v>2098</v>
      </c>
      <c r="B274" s="142" t="s">
        <v>52</v>
      </c>
      <c r="C274" s="142" t="s">
        <v>44</v>
      </c>
      <c r="D274">
        <v>0</v>
      </c>
      <c r="E274">
        <v>1E-4</v>
      </c>
      <c r="F274">
        <v>0.1</v>
      </c>
      <c r="G274" s="142" t="s">
        <v>13</v>
      </c>
      <c r="H274" s="142" t="s">
        <v>11</v>
      </c>
      <c r="I274">
        <v>4.4999999999999998E-2</v>
      </c>
      <c r="J274">
        <v>5</v>
      </c>
      <c r="K274" s="142" t="s">
        <v>10</v>
      </c>
      <c r="L274">
        <v>57736</v>
      </c>
      <c r="M274">
        <v>1.8706E-2</v>
      </c>
      <c r="N274">
        <v>57736</v>
      </c>
      <c r="O274">
        <v>4.4397999999999998E-3</v>
      </c>
    </row>
    <row r="275" spans="1:15" x14ac:dyDescent="0.25">
      <c r="A275" s="142" t="s">
        <v>2123</v>
      </c>
      <c r="B275" s="142" t="s">
        <v>52</v>
      </c>
      <c r="C275" s="142" t="s">
        <v>44</v>
      </c>
      <c r="D275">
        <v>1</v>
      </c>
      <c r="E275">
        <v>10</v>
      </c>
      <c r="F275">
        <v>0.1</v>
      </c>
      <c r="G275" s="142" t="s">
        <v>13</v>
      </c>
      <c r="H275" s="142" t="s">
        <v>12</v>
      </c>
      <c r="I275">
        <v>1E-3</v>
      </c>
      <c r="J275">
        <v>0.05</v>
      </c>
      <c r="K275" s="142" t="s">
        <v>10</v>
      </c>
      <c r="L275">
        <v>57.725000000000001</v>
      </c>
      <c r="M275">
        <v>1.8213E-2</v>
      </c>
      <c r="N275">
        <v>57.722000000000001</v>
      </c>
      <c r="O275">
        <v>1.8214000000000001E-2</v>
      </c>
    </row>
    <row r="276" spans="1:15" x14ac:dyDescent="0.25">
      <c r="A276" s="142" t="s">
        <v>1127</v>
      </c>
      <c r="B276" s="142" t="s">
        <v>52</v>
      </c>
      <c r="C276" s="142" t="s">
        <v>44</v>
      </c>
      <c r="D276">
        <v>1</v>
      </c>
      <c r="E276">
        <v>10</v>
      </c>
      <c r="F276">
        <v>0.1</v>
      </c>
      <c r="G276" s="142" t="s">
        <v>13</v>
      </c>
      <c r="H276" s="142" t="s">
        <v>12</v>
      </c>
      <c r="I276">
        <v>0.05</v>
      </c>
      <c r="J276">
        <v>1</v>
      </c>
      <c r="K276" s="142" t="s">
        <v>10</v>
      </c>
      <c r="L276">
        <v>57.74</v>
      </c>
      <c r="M276">
        <v>1.9808E-3</v>
      </c>
      <c r="N276">
        <v>57.737000000000002</v>
      </c>
      <c r="O276">
        <v>1.9808999999999998E-3</v>
      </c>
    </row>
    <row r="277" spans="1:15" x14ac:dyDescent="0.25">
      <c r="A277" s="142" t="s">
        <v>1128</v>
      </c>
      <c r="B277" s="142" t="s">
        <v>52</v>
      </c>
      <c r="C277" s="142" t="s">
        <v>44</v>
      </c>
      <c r="D277">
        <v>1</v>
      </c>
      <c r="E277">
        <v>10</v>
      </c>
      <c r="F277">
        <v>0.1</v>
      </c>
      <c r="G277" s="142" t="s">
        <v>13</v>
      </c>
      <c r="H277" s="142" t="s">
        <v>12</v>
      </c>
      <c r="I277">
        <v>1</v>
      </c>
      <c r="J277">
        <v>5</v>
      </c>
      <c r="K277" s="142" t="s">
        <v>10</v>
      </c>
      <c r="L277">
        <v>57.726999999999997</v>
      </c>
      <c r="M277">
        <v>4.444E-2</v>
      </c>
      <c r="N277">
        <v>57.723999999999997</v>
      </c>
      <c r="O277">
        <v>4.4442000000000002E-2</v>
      </c>
    </row>
    <row r="278" spans="1:15" x14ac:dyDescent="0.25">
      <c r="A278" s="142" t="s">
        <v>1140</v>
      </c>
      <c r="B278" s="142" t="s">
        <v>52</v>
      </c>
      <c r="C278" s="142" t="s">
        <v>44</v>
      </c>
      <c r="D278">
        <v>10</v>
      </c>
      <c r="E278">
        <v>20</v>
      </c>
      <c r="F278">
        <v>0.1</v>
      </c>
      <c r="G278" s="142" t="s">
        <v>13</v>
      </c>
      <c r="H278" s="142" t="s">
        <v>12</v>
      </c>
      <c r="I278">
        <v>1E-3</v>
      </c>
      <c r="J278">
        <v>0.05</v>
      </c>
      <c r="K278" s="142" t="s">
        <v>10</v>
      </c>
      <c r="L278">
        <v>57.912999999999997</v>
      </c>
      <c r="M278">
        <v>8.1765999999999991E-3</v>
      </c>
      <c r="N278">
        <v>57.91</v>
      </c>
      <c r="O278">
        <v>8.1770000000000002E-3</v>
      </c>
    </row>
    <row r="279" spans="1:15" x14ac:dyDescent="0.25">
      <c r="A279" s="142" t="s">
        <v>1142</v>
      </c>
      <c r="B279" s="142" t="s">
        <v>52</v>
      </c>
      <c r="C279" s="142" t="s">
        <v>44</v>
      </c>
      <c r="D279">
        <v>10</v>
      </c>
      <c r="E279">
        <v>20</v>
      </c>
      <c r="F279">
        <v>0.1</v>
      </c>
      <c r="G279" s="142" t="s">
        <v>13</v>
      </c>
      <c r="H279" s="142" t="s">
        <v>12</v>
      </c>
      <c r="I279">
        <v>0.05</v>
      </c>
      <c r="J279">
        <v>1</v>
      </c>
      <c r="K279" s="142" t="s">
        <v>10</v>
      </c>
      <c r="L279">
        <v>57.756</v>
      </c>
      <c r="M279">
        <v>7.7041000000000002E-3</v>
      </c>
      <c r="N279">
        <v>57.753</v>
      </c>
      <c r="O279">
        <v>7.7045000000000004E-3</v>
      </c>
    </row>
    <row r="280" spans="1:15" x14ac:dyDescent="0.25">
      <c r="A280" s="142" t="s">
        <v>1141</v>
      </c>
      <c r="B280" s="142" t="s">
        <v>52</v>
      </c>
      <c r="C280" s="142" t="s">
        <v>44</v>
      </c>
      <c r="D280">
        <v>10</v>
      </c>
      <c r="E280">
        <v>20</v>
      </c>
      <c r="F280">
        <v>0.1</v>
      </c>
      <c r="G280" s="142" t="s">
        <v>13</v>
      </c>
      <c r="H280" s="142" t="s">
        <v>12</v>
      </c>
      <c r="I280">
        <v>1</v>
      </c>
      <c r="J280">
        <v>5</v>
      </c>
      <c r="K280" s="142" t="s">
        <v>10</v>
      </c>
      <c r="L280">
        <v>57.014000000000003</v>
      </c>
      <c r="M280">
        <v>0.12304</v>
      </c>
      <c r="N280">
        <v>57.011000000000003</v>
      </c>
      <c r="O280">
        <v>0.12305000000000001</v>
      </c>
    </row>
    <row r="281" spans="1:15" x14ac:dyDescent="0.25">
      <c r="A281" s="142" t="s">
        <v>1002</v>
      </c>
      <c r="B281" s="142" t="s">
        <v>52</v>
      </c>
      <c r="C281" s="142" t="s">
        <v>44</v>
      </c>
      <c r="D281">
        <v>0</v>
      </c>
      <c r="E281">
        <v>1E-4</v>
      </c>
      <c r="F281">
        <v>1</v>
      </c>
      <c r="G281" s="142" t="s">
        <v>13</v>
      </c>
      <c r="H281" s="142" t="s">
        <v>11</v>
      </c>
      <c r="I281">
        <v>1E-3</v>
      </c>
      <c r="J281">
        <v>0.02</v>
      </c>
      <c r="K281" s="142" t="s">
        <v>10</v>
      </c>
      <c r="L281">
        <v>577360</v>
      </c>
      <c r="M281">
        <v>7.2871000000000003E-3</v>
      </c>
      <c r="N281">
        <v>577360</v>
      </c>
      <c r="O281">
        <v>2.0990000000000002E-3</v>
      </c>
    </row>
    <row r="282" spans="1:15" x14ac:dyDescent="0.25">
      <c r="A282" s="142" t="s">
        <v>1004</v>
      </c>
      <c r="B282" s="142" t="s">
        <v>52</v>
      </c>
      <c r="C282" s="142" t="s">
        <v>44</v>
      </c>
      <c r="D282">
        <v>0</v>
      </c>
      <c r="E282">
        <v>1E-4</v>
      </c>
      <c r="F282">
        <v>1</v>
      </c>
      <c r="G282" s="142" t="s">
        <v>13</v>
      </c>
      <c r="H282" s="142" t="s">
        <v>11</v>
      </c>
      <c r="I282">
        <v>0.02</v>
      </c>
      <c r="J282">
        <v>4.4999999999999998E-2</v>
      </c>
      <c r="K282" s="142" t="s">
        <v>10</v>
      </c>
      <c r="L282">
        <v>577360</v>
      </c>
      <c r="M282">
        <v>7.5230000000000002E-3</v>
      </c>
      <c r="N282">
        <v>577360</v>
      </c>
      <c r="O282">
        <v>1.8174E-3</v>
      </c>
    </row>
    <row r="283" spans="1:15" x14ac:dyDescent="0.25">
      <c r="A283" s="142" t="s">
        <v>1003</v>
      </c>
      <c r="B283" s="142" t="s">
        <v>52</v>
      </c>
      <c r="C283" s="142" t="s">
        <v>44</v>
      </c>
      <c r="D283">
        <v>0</v>
      </c>
      <c r="E283">
        <v>1E-4</v>
      </c>
      <c r="F283">
        <v>1</v>
      </c>
      <c r="G283" s="142" t="s">
        <v>13</v>
      </c>
      <c r="H283" s="142" t="s">
        <v>11</v>
      </c>
      <c r="I283">
        <v>4.4999999999999998E-2</v>
      </c>
      <c r="J283">
        <v>5</v>
      </c>
      <c r="K283" s="142" t="s">
        <v>10</v>
      </c>
      <c r="L283">
        <v>577360</v>
      </c>
      <c r="M283">
        <v>7.2202999999999998E-3</v>
      </c>
      <c r="N283">
        <v>577360</v>
      </c>
      <c r="O283">
        <v>1.5134E-3</v>
      </c>
    </row>
    <row r="284" spans="1:15" x14ac:dyDescent="0.25">
      <c r="A284" s="142" t="s">
        <v>779</v>
      </c>
      <c r="B284" s="142" t="s">
        <v>52</v>
      </c>
      <c r="C284" s="142" t="s">
        <v>8</v>
      </c>
      <c r="D284">
        <v>0</v>
      </c>
      <c r="E284">
        <v>0.01</v>
      </c>
      <c r="F284">
        <v>1E-8</v>
      </c>
      <c r="G284" s="142" t="s">
        <v>6</v>
      </c>
      <c r="H284" s="142" t="s">
        <v>5</v>
      </c>
      <c r="I284">
        <v>1E-3</v>
      </c>
      <c r="J284">
        <v>0.04</v>
      </c>
      <c r="K284" s="142" t="s">
        <v>10</v>
      </c>
      <c r="L284">
        <v>3.6</v>
      </c>
      <c r="M284">
        <v>340</v>
      </c>
      <c r="N284">
        <v>3.5352000000000001</v>
      </c>
      <c r="O284">
        <v>343.19</v>
      </c>
    </row>
    <row r="285" spans="1:15" x14ac:dyDescent="0.25">
      <c r="A285" s="142" t="s">
        <v>781</v>
      </c>
      <c r="B285" s="142" t="s">
        <v>52</v>
      </c>
      <c r="C285" s="142" t="s">
        <v>8</v>
      </c>
      <c r="D285">
        <v>0</v>
      </c>
      <c r="E285">
        <v>0.01</v>
      </c>
      <c r="F285">
        <v>1E-8</v>
      </c>
      <c r="G285" s="142" t="s">
        <v>6</v>
      </c>
      <c r="H285" s="142" t="s">
        <v>5</v>
      </c>
      <c r="I285">
        <v>0.04</v>
      </c>
      <c r="J285">
        <v>1</v>
      </c>
      <c r="K285" s="142" t="s">
        <v>10</v>
      </c>
      <c r="L285">
        <v>1.5</v>
      </c>
      <c r="M285">
        <v>220</v>
      </c>
      <c r="N285">
        <v>1.4520999999999999</v>
      </c>
      <c r="O285">
        <v>219.82</v>
      </c>
    </row>
    <row r="286" spans="1:15" x14ac:dyDescent="0.25">
      <c r="A286" s="142" t="s">
        <v>2018</v>
      </c>
      <c r="B286" s="142" t="s">
        <v>52</v>
      </c>
      <c r="C286" s="142" t="s">
        <v>8</v>
      </c>
      <c r="D286">
        <v>0</v>
      </c>
      <c r="E286">
        <v>0.01</v>
      </c>
      <c r="F286">
        <v>1E-8</v>
      </c>
      <c r="G286" s="142" t="s">
        <v>6</v>
      </c>
      <c r="H286" s="142" t="s">
        <v>5</v>
      </c>
      <c r="I286">
        <v>1</v>
      </c>
      <c r="J286">
        <v>20</v>
      </c>
      <c r="K286" s="142" t="s">
        <v>10</v>
      </c>
      <c r="L286">
        <v>1.5</v>
      </c>
      <c r="M286">
        <v>330</v>
      </c>
      <c r="N286">
        <v>1.452</v>
      </c>
      <c r="O286">
        <v>333.8</v>
      </c>
    </row>
    <row r="287" spans="1:15" x14ac:dyDescent="0.25">
      <c r="A287" s="142" t="s">
        <v>782</v>
      </c>
      <c r="B287" s="142" t="s">
        <v>52</v>
      </c>
      <c r="C287" s="142" t="s">
        <v>8</v>
      </c>
      <c r="D287">
        <v>0</v>
      </c>
      <c r="E287">
        <v>0.01</v>
      </c>
      <c r="F287">
        <v>1E-8</v>
      </c>
      <c r="G287" s="142" t="s">
        <v>6</v>
      </c>
      <c r="H287" s="142" t="s">
        <v>5</v>
      </c>
      <c r="I287">
        <v>20</v>
      </c>
      <c r="J287">
        <v>50</v>
      </c>
      <c r="K287" s="142" t="s">
        <v>10</v>
      </c>
      <c r="L287">
        <v>1.9</v>
      </c>
      <c r="M287">
        <v>1100</v>
      </c>
      <c r="N287">
        <v>1.4421999999999999</v>
      </c>
      <c r="O287">
        <v>1139.7</v>
      </c>
    </row>
    <row r="288" spans="1:15" x14ac:dyDescent="0.25">
      <c r="A288" s="142" t="s">
        <v>780</v>
      </c>
      <c r="B288" s="142" t="s">
        <v>52</v>
      </c>
      <c r="C288" s="142" t="s">
        <v>8</v>
      </c>
      <c r="D288">
        <v>0</v>
      </c>
      <c r="E288">
        <v>0.01</v>
      </c>
      <c r="F288">
        <v>1E-8</v>
      </c>
      <c r="G288" s="142" t="s">
        <v>6</v>
      </c>
      <c r="H288" s="142" t="s">
        <v>5</v>
      </c>
      <c r="I288">
        <v>50</v>
      </c>
      <c r="J288">
        <v>100</v>
      </c>
      <c r="K288" s="142" t="s">
        <v>10</v>
      </c>
      <c r="L288">
        <v>1.5</v>
      </c>
      <c r="M288">
        <v>5800</v>
      </c>
      <c r="N288">
        <v>1.4029</v>
      </c>
      <c r="O288">
        <v>5760.7</v>
      </c>
    </row>
    <row r="289" spans="1:15" x14ac:dyDescent="0.25">
      <c r="A289" s="142" t="s">
        <v>2021</v>
      </c>
      <c r="B289" s="142" t="s">
        <v>52</v>
      </c>
      <c r="C289" s="142" t="s">
        <v>8</v>
      </c>
      <c r="D289">
        <v>0</v>
      </c>
      <c r="E289">
        <v>0.01</v>
      </c>
      <c r="F289">
        <v>1E-8</v>
      </c>
      <c r="G289" s="142" t="s">
        <v>6</v>
      </c>
      <c r="H289" s="142" t="s">
        <v>5</v>
      </c>
      <c r="I289">
        <v>100</v>
      </c>
      <c r="J289">
        <v>300</v>
      </c>
      <c r="K289" s="142" t="s">
        <v>10</v>
      </c>
      <c r="L289">
        <v>4.2</v>
      </c>
      <c r="M289">
        <v>46000</v>
      </c>
      <c r="N289">
        <v>2.3504</v>
      </c>
      <c r="O289">
        <v>46184</v>
      </c>
    </row>
    <row r="290" spans="1:15" x14ac:dyDescent="0.25">
      <c r="A290" s="142" t="s">
        <v>778</v>
      </c>
      <c r="B290" s="142" t="s">
        <v>52</v>
      </c>
      <c r="C290" s="142" t="s">
        <v>8</v>
      </c>
      <c r="D290">
        <v>0</v>
      </c>
      <c r="E290">
        <v>0.01</v>
      </c>
      <c r="F290">
        <v>1E-8</v>
      </c>
      <c r="G290" s="142" t="s">
        <v>6</v>
      </c>
      <c r="H290" s="142" t="s">
        <v>5</v>
      </c>
      <c r="I290">
        <v>300</v>
      </c>
      <c r="J290">
        <v>1000</v>
      </c>
      <c r="K290" s="142" t="s">
        <v>10</v>
      </c>
      <c r="L290">
        <v>7.7</v>
      </c>
      <c r="M290">
        <v>46000</v>
      </c>
      <c r="N290">
        <v>5.8776999999999999</v>
      </c>
      <c r="O290">
        <v>46178</v>
      </c>
    </row>
    <row r="291" spans="1:15" x14ac:dyDescent="0.25">
      <c r="A291" s="142" t="s">
        <v>811</v>
      </c>
      <c r="B291" s="142" t="s">
        <v>52</v>
      </c>
      <c r="C291" s="142" t="s">
        <v>8</v>
      </c>
      <c r="D291">
        <v>0.01</v>
      </c>
      <c r="E291">
        <v>0.1</v>
      </c>
      <c r="F291">
        <v>1E-8</v>
      </c>
      <c r="G291" s="142" t="s">
        <v>6</v>
      </c>
      <c r="H291" s="142" t="s">
        <v>5</v>
      </c>
      <c r="I291">
        <v>1E-3</v>
      </c>
      <c r="J291">
        <v>0.04</v>
      </c>
      <c r="K291" s="142" t="s">
        <v>10</v>
      </c>
      <c r="L291">
        <v>4.7</v>
      </c>
      <c r="M291">
        <v>83</v>
      </c>
      <c r="N291">
        <v>4.6487999999999996</v>
      </c>
      <c r="O291">
        <v>82.789000000000001</v>
      </c>
    </row>
    <row r="292" spans="1:15" x14ac:dyDescent="0.25">
      <c r="A292" s="142" t="s">
        <v>2025</v>
      </c>
      <c r="B292" s="142" t="s">
        <v>52</v>
      </c>
      <c r="C292" s="142" t="s">
        <v>8</v>
      </c>
      <c r="D292">
        <v>0.01</v>
      </c>
      <c r="E292">
        <v>0.1</v>
      </c>
      <c r="F292">
        <v>1E-8</v>
      </c>
      <c r="G292" s="142" t="s">
        <v>6</v>
      </c>
      <c r="H292" s="142" t="s">
        <v>5</v>
      </c>
      <c r="I292">
        <v>0.04</v>
      </c>
      <c r="J292">
        <v>1</v>
      </c>
      <c r="K292" s="142" t="s">
        <v>10</v>
      </c>
      <c r="L292">
        <v>2.4</v>
      </c>
      <c r="M292">
        <v>83</v>
      </c>
      <c r="N292">
        <v>2.3685999999999998</v>
      </c>
      <c r="O292">
        <v>82.986999999999995</v>
      </c>
    </row>
    <row r="293" spans="1:15" x14ac:dyDescent="0.25">
      <c r="A293" s="142" t="s">
        <v>2029</v>
      </c>
      <c r="B293" s="142" t="s">
        <v>52</v>
      </c>
      <c r="C293" s="142" t="s">
        <v>8</v>
      </c>
      <c r="D293">
        <v>0.01</v>
      </c>
      <c r="E293">
        <v>0.1</v>
      </c>
      <c r="F293">
        <v>1E-8</v>
      </c>
      <c r="G293" s="142" t="s">
        <v>6</v>
      </c>
      <c r="H293" s="142" t="s">
        <v>5</v>
      </c>
      <c r="I293">
        <v>1</v>
      </c>
      <c r="J293">
        <v>20</v>
      </c>
      <c r="K293" s="142" t="s">
        <v>10</v>
      </c>
      <c r="L293">
        <v>2.7</v>
      </c>
      <c r="M293">
        <v>160</v>
      </c>
      <c r="N293">
        <v>2.3672</v>
      </c>
      <c r="O293">
        <v>162.52000000000001</v>
      </c>
    </row>
    <row r="294" spans="1:15" x14ac:dyDescent="0.25">
      <c r="A294" s="142" t="s">
        <v>814</v>
      </c>
      <c r="B294" s="142" t="s">
        <v>52</v>
      </c>
      <c r="C294" s="142" t="s">
        <v>8</v>
      </c>
      <c r="D294">
        <v>0.01</v>
      </c>
      <c r="E294">
        <v>0.1</v>
      </c>
      <c r="F294">
        <v>1E-8</v>
      </c>
      <c r="G294" s="142" t="s">
        <v>6</v>
      </c>
      <c r="H294" s="142" t="s">
        <v>5</v>
      </c>
      <c r="I294">
        <v>20</v>
      </c>
      <c r="J294">
        <v>50</v>
      </c>
      <c r="K294" s="142" t="s">
        <v>10</v>
      </c>
      <c r="L294">
        <v>2.4</v>
      </c>
      <c r="M294">
        <v>350</v>
      </c>
      <c r="N294">
        <v>2.3540999999999999</v>
      </c>
      <c r="O294">
        <v>346.81</v>
      </c>
    </row>
    <row r="295" spans="1:15" x14ac:dyDescent="0.25">
      <c r="A295" s="142" t="s">
        <v>812</v>
      </c>
      <c r="B295" s="142" t="s">
        <v>52</v>
      </c>
      <c r="C295" s="142" t="s">
        <v>8</v>
      </c>
      <c r="D295">
        <v>0.01</v>
      </c>
      <c r="E295">
        <v>0.1</v>
      </c>
      <c r="F295">
        <v>1E-8</v>
      </c>
      <c r="G295" s="142" t="s">
        <v>6</v>
      </c>
      <c r="H295" s="142" t="s">
        <v>5</v>
      </c>
      <c r="I295">
        <v>50</v>
      </c>
      <c r="J295">
        <v>100</v>
      </c>
      <c r="K295" s="142" t="s">
        <v>10</v>
      </c>
      <c r="L295">
        <v>2.8</v>
      </c>
      <c r="M295">
        <v>920</v>
      </c>
      <c r="N295">
        <v>2.3328000000000002</v>
      </c>
      <c r="O295">
        <v>923.81</v>
      </c>
    </row>
    <row r="296" spans="1:15" x14ac:dyDescent="0.25">
      <c r="A296" s="142" t="s">
        <v>2033</v>
      </c>
      <c r="B296" s="142" t="s">
        <v>52</v>
      </c>
      <c r="C296" s="142" t="s">
        <v>8</v>
      </c>
      <c r="D296">
        <v>0.01</v>
      </c>
      <c r="E296">
        <v>0.1</v>
      </c>
      <c r="F296">
        <v>1E-8</v>
      </c>
      <c r="G296" s="142" t="s">
        <v>6</v>
      </c>
      <c r="H296" s="142" t="s">
        <v>5</v>
      </c>
      <c r="I296">
        <v>100</v>
      </c>
      <c r="J296">
        <v>300</v>
      </c>
      <c r="K296" s="142" t="s">
        <v>10</v>
      </c>
      <c r="L296">
        <v>12</v>
      </c>
      <c r="M296">
        <v>3500</v>
      </c>
      <c r="N296">
        <v>11.555999999999999</v>
      </c>
      <c r="O296">
        <v>3464.1</v>
      </c>
    </row>
    <row r="297" spans="1:15" x14ac:dyDescent="0.25">
      <c r="A297" s="142" t="s">
        <v>813</v>
      </c>
      <c r="B297" s="142" t="s">
        <v>52</v>
      </c>
      <c r="C297" s="142" t="s">
        <v>8</v>
      </c>
      <c r="D297">
        <v>0.01</v>
      </c>
      <c r="E297">
        <v>0.1</v>
      </c>
      <c r="F297">
        <v>1E-8</v>
      </c>
      <c r="G297" s="142" t="s">
        <v>6</v>
      </c>
      <c r="H297" s="142" t="s">
        <v>5</v>
      </c>
      <c r="I297">
        <v>300</v>
      </c>
      <c r="J297">
        <v>1000</v>
      </c>
      <c r="K297" s="142" t="s">
        <v>10</v>
      </c>
      <c r="L297">
        <v>12</v>
      </c>
      <c r="M297">
        <v>12000</v>
      </c>
      <c r="N297">
        <v>11.566000000000001</v>
      </c>
      <c r="O297">
        <v>11547</v>
      </c>
    </row>
    <row r="298" spans="1:15" x14ac:dyDescent="0.25">
      <c r="A298" s="142" t="s">
        <v>784</v>
      </c>
      <c r="B298" s="142" t="s">
        <v>52</v>
      </c>
      <c r="C298" s="142" t="s">
        <v>8</v>
      </c>
      <c r="D298">
        <v>0</v>
      </c>
      <c r="E298">
        <v>0.01</v>
      </c>
      <c r="F298">
        <v>9.9999999999999995E-8</v>
      </c>
      <c r="G298" s="142" t="s">
        <v>6</v>
      </c>
      <c r="H298" s="142" t="s">
        <v>5</v>
      </c>
      <c r="I298">
        <v>1E-3</v>
      </c>
      <c r="J298">
        <v>0.04</v>
      </c>
      <c r="K298" s="142" t="s">
        <v>10</v>
      </c>
      <c r="L298">
        <v>3.6</v>
      </c>
      <c r="M298">
        <v>340</v>
      </c>
      <c r="N298">
        <v>3.5356999999999998</v>
      </c>
      <c r="O298">
        <v>343.17</v>
      </c>
    </row>
    <row r="299" spans="1:15" x14ac:dyDescent="0.25">
      <c r="A299" s="142" t="s">
        <v>789</v>
      </c>
      <c r="B299" s="142" t="s">
        <v>52</v>
      </c>
      <c r="C299" s="142" t="s">
        <v>8</v>
      </c>
      <c r="D299">
        <v>0</v>
      </c>
      <c r="E299">
        <v>0.01</v>
      </c>
      <c r="F299">
        <v>9.9999999999999995E-8</v>
      </c>
      <c r="G299" s="142" t="s">
        <v>6</v>
      </c>
      <c r="H299" s="142" t="s">
        <v>5</v>
      </c>
      <c r="I299">
        <v>0.04</v>
      </c>
      <c r="J299">
        <v>1</v>
      </c>
      <c r="K299" s="142" t="s">
        <v>10</v>
      </c>
      <c r="L299">
        <v>1.5</v>
      </c>
      <c r="M299">
        <v>220</v>
      </c>
      <c r="N299">
        <v>1.4532</v>
      </c>
      <c r="O299">
        <v>219.75</v>
      </c>
    </row>
    <row r="300" spans="1:15" x14ac:dyDescent="0.25">
      <c r="A300" s="142" t="s">
        <v>786</v>
      </c>
      <c r="B300" s="142" t="s">
        <v>52</v>
      </c>
      <c r="C300" s="142" t="s">
        <v>8</v>
      </c>
      <c r="D300">
        <v>0</v>
      </c>
      <c r="E300">
        <v>0.01</v>
      </c>
      <c r="F300">
        <v>9.9999999999999995E-8</v>
      </c>
      <c r="G300" s="142" t="s">
        <v>6</v>
      </c>
      <c r="H300" s="142" t="s">
        <v>5</v>
      </c>
      <c r="I300">
        <v>1</v>
      </c>
      <c r="J300">
        <v>20</v>
      </c>
      <c r="K300" s="142" t="s">
        <v>10</v>
      </c>
      <c r="L300">
        <v>1.5</v>
      </c>
      <c r="M300">
        <v>330</v>
      </c>
      <c r="N300">
        <v>1.4508000000000001</v>
      </c>
      <c r="O300">
        <v>333.88</v>
      </c>
    </row>
    <row r="301" spans="1:15" x14ac:dyDescent="0.25">
      <c r="A301" s="142" t="s">
        <v>788</v>
      </c>
      <c r="B301" s="142" t="s">
        <v>52</v>
      </c>
      <c r="C301" s="142" t="s">
        <v>8</v>
      </c>
      <c r="D301">
        <v>0</v>
      </c>
      <c r="E301">
        <v>0.01</v>
      </c>
      <c r="F301">
        <v>9.9999999999999995E-8</v>
      </c>
      <c r="G301" s="142" t="s">
        <v>6</v>
      </c>
      <c r="H301" s="142" t="s">
        <v>5</v>
      </c>
      <c r="I301">
        <v>20</v>
      </c>
      <c r="J301">
        <v>50</v>
      </c>
      <c r="K301" s="142" t="s">
        <v>10</v>
      </c>
      <c r="L301">
        <v>1.9</v>
      </c>
      <c r="M301">
        <v>1100</v>
      </c>
      <c r="N301">
        <v>1.4433</v>
      </c>
      <c r="O301">
        <v>1139.5999999999999</v>
      </c>
    </row>
    <row r="302" spans="1:15" x14ac:dyDescent="0.25">
      <c r="A302" s="142" t="s">
        <v>787</v>
      </c>
      <c r="B302" s="142" t="s">
        <v>52</v>
      </c>
      <c r="C302" s="142" t="s">
        <v>8</v>
      </c>
      <c r="D302">
        <v>0</v>
      </c>
      <c r="E302">
        <v>0.01</v>
      </c>
      <c r="F302">
        <v>9.9999999999999995E-8</v>
      </c>
      <c r="G302" s="142" t="s">
        <v>6</v>
      </c>
      <c r="H302" s="142" t="s">
        <v>5</v>
      </c>
      <c r="I302">
        <v>50</v>
      </c>
      <c r="J302">
        <v>100</v>
      </c>
      <c r="K302" s="142" t="s">
        <v>10</v>
      </c>
      <c r="L302">
        <v>1.5</v>
      </c>
      <c r="M302">
        <v>5800</v>
      </c>
      <c r="N302">
        <v>1.4034</v>
      </c>
      <c r="O302">
        <v>5760.7</v>
      </c>
    </row>
    <row r="303" spans="1:15" x14ac:dyDescent="0.25">
      <c r="A303" s="142" t="s">
        <v>783</v>
      </c>
      <c r="B303" s="142" t="s">
        <v>52</v>
      </c>
      <c r="C303" s="142" t="s">
        <v>8</v>
      </c>
      <c r="D303">
        <v>0</v>
      </c>
      <c r="E303">
        <v>0.01</v>
      </c>
      <c r="F303">
        <v>9.9999999999999995E-8</v>
      </c>
      <c r="G303" s="142" t="s">
        <v>6</v>
      </c>
      <c r="H303" s="142" t="s">
        <v>5</v>
      </c>
      <c r="I303">
        <v>100</v>
      </c>
      <c r="J303">
        <v>300</v>
      </c>
      <c r="K303" s="142" t="s">
        <v>10</v>
      </c>
      <c r="L303">
        <v>4.2</v>
      </c>
      <c r="M303">
        <v>46000</v>
      </c>
      <c r="N303">
        <v>2.3504</v>
      </c>
      <c r="O303">
        <v>46184</v>
      </c>
    </row>
    <row r="304" spans="1:15" x14ac:dyDescent="0.25">
      <c r="A304" s="142" t="s">
        <v>785</v>
      </c>
      <c r="B304" s="142" t="s">
        <v>52</v>
      </c>
      <c r="C304" s="142" t="s">
        <v>8</v>
      </c>
      <c r="D304">
        <v>0</v>
      </c>
      <c r="E304">
        <v>0.01</v>
      </c>
      <c r="F304">
        <v>9.9999999999999995E-8</v>
      </c>
      <c r="G304" s="142" t="s">
        <v>6</v>
      </c>
      <c r="H304" s="142" t="s">
        <v>5</v>
      </c>
      <c r="I304">
        <v>300</v>
      </c>
      <c r="J304">
        <v>1000</v>
      </c>
      <c r="K304" s="142" t="s">
        <v>10</v>
      </c>
      <c r="L304">
        <v>7.7</v>
      </c>
      <c r="M304">
        <v>46000</v>
      </c>
      <c r="N304">
        <v>5.8777999999999997</v>
      </c>
      <c r="O304">
        <v>46178</v>
      </c>
    </row>
    <row r="305" spans="1:15" x14ac:dyDescent="0.25">
      <c r="A305" s="142" t="s">
        <v>815</v>
      </c>
      <c r="B305" s="142" t="s">
        <v>52</v>
      </c>
      <c r="C305" s="142" t="s">
        <v>8</v>
      </c>
      <c r="D305">
        <v>0.01</v>
      </c>
      <c r="E305">
        <v>0.1</v>
      </c>
      <c r="F305">
        <v>9.9999999999999995E-8</v>
      </c>
      <c r="G305" s="142" t="s">
        <v>6</v>
      </c>
      <c r="H305" s="142" t="s">
        <v>5</v>
      </c>
      <c r="I305">
        <v>1E-3</v>
      </c>
      <c r="J305">
        <v>0.04</v>
      </c>
      <c r="K305" s="142" t="s">
        <v>10</v>
      </c>
      <c r="L305">
        <v>4.7</v>
      </c>
      <c r="M305">
        <v>83</v>
      </c>
      <c r="N305">
        <v>4.6490999999999998</v>
      </c>
      <c r="O305">
        <v>82.787000000000006</v>
      </c>
    </row>
    <row r="306" spans="1:15" x14ac:dyDescent="0.25">
      <c r="A306" s="142" t="s">
        <v>817</v>
      </c>
      <c r="B306" s="142" t="s">
        <v>52</v>
      </c>
      <c r="C306" s="142" t="s">
        <v>8</v>
      </c>
      <c r="D306">
        <v>0.01</v>
      </c>
      <c r="E306">
        <v>0.1</v>
      </c>
      <c r="F306">
        <v>9.9999999999999995E-8</v>
      </c>
      <c r="G306" s="142" t="s">
        <v>6</v>
      </c>
      <c r="H306" s="142" t="s">
        <v>5</v>
      </c>
      <c r="I306">
        <v>0.04</v>
      </c>
      <c r="J306">
        <v>1</v>
      </c>
      <c r="K306" s="142" t="s">
        <v>10</v>
      </c>
      <c r="L306">
        <v>2.4</v>
      </c>
      <c r="M306">
        <v>83</v>
      </c>
      <c r="N306">
        <v>2.3692000000000002</v>
      </c>
      <c r="O306">
        <v>82.983000000000004</v>
      </c>
    </row>
    <row r="307" spans="1:15" x14ac:dyDescent="0.25">
      <c r="A307" s="142" t="s">
        <v>818</v>
      </c>
      <c r="B307" s="142" t="s">
        <v>52</v>
      </c>
      <c r="C307" s="142" t="s">
        <v>8</v>
      </c>
      <c r="D307">
        <v>0.01</v>
      </c>
      <c r="E307">
        <v>0.1</v>
      </c>
      <c r="F307">
        <v>9.9999999999999995E-8</v>
      </c>
      <c r="G307" s="142" t="s">
        <v>6</v>
      </c>
      <c r="H307" s="142" t="s">
        <v>5</v>
      </c>
      <c r="I307">
        <v>1</v>
      </c>
      <c r="J307">
        <v>20</v>
      </c>
      <c r="K307" s="142" t="s">
        <v>10</v>
      </c>
      <c r="L307">
        <v>2.7</v>
      </c>
      <c r="M307">
        <v>160</v>
      </c>
      <c r="N307">
        <v>2.3677000000000001</v>
      </c>
      <c r="O307">
        <v>162.52000000000001</v>
      </c>
    </row>
    <row r="308" spans="1:15" x14ac:dyDescent="0.25">
      <c r="A308" s="142" t="s">
        <v>816</v>
      </c>
      <c r="B308" s="142" t="s">
        <v>52</v>
      </c>
      <c r="C308" s="142" t="s">
        <v>8</v>
      </c>
      <c r="D308">
        <v>0.01</v>
      </c>
      <c r="E308">
        <v>0.1</v>
      </c>
      <c r="F308">
        <v>9.9999999999999995E-8</v>
      </c>
      <c r="G308" s="142" t="s">
        <v>6</v>
      </c>
      <c r="H308" s="142" t="s">
        <v>5</v>
      </c>
      <c r="I308">
        <v>20</v>
      </c>
      <c r="J308">
        <v>50</v>
      </c>
      <c r="K308" s="142" t="s">
        <v>10</v>
      </c>
      <c r="L308">
        <v>2.4</v>
      </c>
      <c r="M308">
        <v>350</v>
      </c>
      <c r="N308">
        <v>2.3542999999999998</v>
      </c>
      <c r="O308">
        <v>346.81</v>
      </c>
    </row>
    <row r="309" spans="1:15" x14ac:dyDescent="0.25">
      <c r="A309" s="142" t="s">
        <v>819</v>
      </c>
      <c r="B309" s="142" t="s">
        <v>52</v>
      </c>
      <c r="C309" s="142" t="s">
        <v>8</v>
      </c>
      <c r="D309">
        <v>0.01</v>
      </c>
      <c r="E309">
        <v>0.1</v>
      </c>
      <c r="F309">
        <v>9.9999999999999995E-8</v>
      </c>
      <c r="G309" s="142" t="s">
        <v>6</v>
      </c>
      <c r="H309" s="142" t="s">
        <v>5</v>
      </c>
      <c r="I309">
        <v>50</v>
      </c>
      <c r="J309">
        <v>100</v>
      </c>
      <c r="K309" s="142" t="s">
        <v>10</v>
      </c>
      <c r="L309">
        <v>2.8</v>
      </c>
      <c r="M309">
        <v>920</v>
      </c>
      <c r="N309">
        <v>2.3330000000000002</v>
      </c>
      <c r="O309">
        <v>923.81</v>
      </c>
    </row>
    <row r="310" spans="1:15" x14ac:dyDescent="0.25">
      <c r="A310" s="142" t="s">
        <v>2034</v>
      </c>
      <c r="B310" s="142" t="s">
        <v>52</v>
      </c>
      <c r="C310" s="142" t="s">
        <v>8</v>
      </c>
      <c r="D310">
        <v>0.01</v>
      </c>
      <c r="E310">
        <v>0.1</v>
      </c>
      <c r="F310">
        <v>9.9999999999999995E-8</v>
      </c>
      <c r="G310" s="142" t="s">
        <v>6</v>
      </c>
      <c r="H310" s="142" t="s">
        <v>5</v>
      </c>
      <c r="I310">
        <v>100</v>
      </c>
      <c r="J310">
        <v>300</v>
      </c>
      <c r="K310" s="142" t="s">
        <v>10</v>
      </c>
      <c r="L310">
        <v>12</v>
      </c>
      <c r="M310">
        <v>3500</v>
      </c>
      <c r="N310">
        <v>11.555999999999999</v>
      </c>
      <c r="O310">
        <v>3464.1</v>
      </c>
    </row>
    <row r="311" spans="1:15" x14ac:dyDescent="0.25">
      <c r="A311" s="142" t="s">
        <v>820</v>
      </c>
      <c r="B311" s="142" t="s">
        <v>52</v>
      </c>
      <c r="C311" s="142" t="s">
        <v>8</v>
      </c>
      <c r="D311">
        <v>0.01</v>
      </c>
      <c r="E311">
        <v>0.1</v>
      </c>
      <c r="F311">
        <v>9.9999999999999995E-8</v>
      </c>
      <c r="G311" s="142" t="s">
        <v>6</v>
      </c>
      <c r="H311" s="142" t="s">
        <v>5</v>
      </c>
      <c r="I311">
        <v>300</v>
      </c>
      <c r="J311">
        <v>1000</v>
      </c>
      <c r="K311" s="142" t="s">
        <v>10</v>
      </c>
      <c r="L311">
        <v>12</v>
      </c>
      <c r="M311">
        <v>12000</v>
      </c>
      <c r="N311">
        <v>11.566000000000001</v>
      </c>
      <c r="O311">
        <v>11547</v>
      </c>
    </row>
    <row r="312" spans="1:15" x14ac:dyDescent="0.25">
      <c r="A312" s="142" t="s">
        <v>2036</v>
      </c>
      <c r="B312" s="142" t="s">
        <v>52</v>
      </c>
      <c r="C312" s="142" t="s">
        <v>8</v>
      </c>
      <c r="D312">
        <v>0.1</v>
      </c>
      <c r="E312">
        <v>1</v>
      </c>
      <c r="F312">
        <v>9.9999999999999995E-8</v>
      </c>
      <c r="G312" s="142" t="s">
        <v>6</v>
      </c>
      <c r="H312" s="142" t="s">
        <v>5</v>
      </c>
      <c r="I312">
        <v>1E-3</v>
      </c>
      <c r="J312">
        <v>0.04</v>
      </c>
      <c r="K312" s="142" t="s">
        <v>10</v>
      </c>
      <c r="L312">
        <v>47</v>
      </c>
      <c r="M312">
        <v>82</v>
      </c>
      <c r="N312">
        <v>81.527000000000001</v>
      </c>
      <c r="O312">
        <v>81.527000000000001</v>
      </c>
    </row>
    <row r="313" spans="1:15" x14ac:dyDescent="0.25">
      <c r="A313" s="142" t="s">
        <v>843</v>
      </c>
      <c r="B313" s="142" t="s">
        <v>52</v>
      </c>
      <c r="C313" s="142" t="s">
        <v>8</v>
      </c>
      <c r="D313">
        <v>0.1</v>
      </c>
      <c r="E313">
        <v>1</v>
      </c>
      <c r="F313">
        <v>9.9999999999999995E-8</v>
      </c>
      <c r="G313" s="142" t="s">
        <v>6</v>
      </c>
      <c r="H313" s="142" t="s">
        <v>5</v>
      </c>
      <c r="I313">
        <v>0.04</v>
      </c>
      <c r="J313">
        <v>1</v>
      </c>
      <c r="K313" s="142" t="s">
        <v>10</v>
      </c>
      <c r="L313">
        <v>24</v>
      </c>
      <c r="M313">
        <v>82</v>
      </c>
      <c r="N313">
        <v>23.117999999999999</v>
      </c>
      <c r="O313">
        <v>81.516999999999996</v>
      </c>
    </row>
    <row r="314" spans="1:15" x14ac:dyDescent="0.25">
      <c r="A314" s="142" t="s">
        <v>840</v>
      </c>
      <c r="B314" s="142" t="s">
        <v>52</v>
      </c>
      <c r="C314" s="142" t="s">
        <v>8</v>
      </c>
      <c r="D314">
        <v>0.1</v>
      </c>
      <c r="E314">
        <v>1</v>
      </c>
      <c r="F314">
        <v>9.9999999999999995E-8</v>
      </c>
      <c r="G314" s="142" t="s">
        <v>6</v>
      </c>
      <c r="H314" s="142" t="s">
        <v>5</v>
      </c>
      <c r="I314">
        <v>1</v>
      </c>
      <c r="J314">
        <v>20</v>
      </c>
      <c r="K314" s="142" t="s">
        <v>10</v>
      </c>
      <c r="L314">
        <v>26</v>
      </c>
      <c r="M314">
        <v>160</v>
      </c>
      <c r="N314">
        <v>23.114000000000001</v>
      </c>
      <c r="O314">
        <v>162.18</v>
      </c>
    </row>
    <row r="315" spans="1:15" x14ac:dyDescent="0.25">
      <c r="A315" s="142" t="s">
        <v>841</v>
      </c>
      <c r="B315" s="142" t="s">
        <v>52</v>
      </c>
      <c r="C315" s="142" t="s">
        <v>8</v>
      </c>
      <c r="D315">
        <v>0.1</v>
      </c>
      <c r="E315">
        <v>1</v>
      </c>
      <c r="F315">
        <v>9.9999999999999995E-8</v>
      </c>
      <c r="G315" s="142" t="s">
        <v>6</v>
      </c>
      <c r="H315" s="142" t="s">
        <v>5</v>
      </c>
      <c r="I315">
        <v>20</v>
      </c>
      <c r="J315">
        <v>50</v>
      </c>
      <c r="K315" s="142" t="s">
        <v>10</v>
      </c>
      <c r="L315">
        <v>24</v>
      </c>
      <c r="M315">
        <v>350</v>
      </c>
      <c r="N315">
        <v>23.111999999999998</v>
      </c>
      <c r="O315">
        <v>346.79</v>
      </c>
    </row>
    <row r="316" spans="1:15" x14ac:dyDescent="0.25">
      <c r="A316" s="142" t="s">
        <v>2040</v>
      </c>
      <c r="B316" s="142" t="s">
        <v>52</v>
      </c>
      <c r="C316" s="142" t="s">
        <v>8</v>
      </c>
      <c r="D316">
        <v>0.1</v>
      </c>
      <c r="E316">
        <v>1</v>
      </c>
      <c r="F316">
        <v>9.9999999999999995E-8</v>
      </c>
      <c r="G316" s="142" t="s">
        <v>6</v>
      </c>
      <c r="H316" s="142" t="s">
        <v>5</v>
      </c>
      <c r="I316">
        <v>50</v>
      </c>
      <c r="J316">
        <v>100</v>
      </c>
      <c r="K316" s="142" t="s">
        <v>10</v>
      </c>
      <c r="L316">
        <v>28</v>
      </c>
      <c r="M316">
        <v>920</v>
      </c>
      <c r="N316">
        <v>23.100999999999999</v>
      </c>
      <c r="O316">
        <v>923.95</v>
      </c>
    </row>
    <row r="317" spans="1:15" x14ac:dyDescent="0.25">
      <c r="A317" s="142" t="s">
        <v>842</v>
      </c>
      <c r="B317" s="142" t="s">
        <v>52</v>
      </c>
      <c r="C317" s="142" t="s">
        <v>8</v>
      </c>
      <c r="D317">
        <v>0.1</v>
      </c>
      <c r="E317">
        <v>1</v>
      </c>
      <c r="F317">
        <v>9.9999999999999995E-8</v>
      </c>
      <c r="G317" s="142" t="s">
        <v>6</v>
      </c>
      <c r="H317" s="142" t="s">
        <v>5</v>
      </c>
      <c r="I317">
        <v>100</v>
      </c>
      <c r="J317">
        <v>300</v>
      </c>
      <c r="K317" s="142" t="s">
        <v>10</v>
      </c>
      <c r="L317">
        <v>120</v>
      </c>
      <c r="M317">
        <v>3500</v>
      </c>
      <c r="N317">
        <v>115.46</v>
      </c>
      <c r="O317">
        <v>3464.3</v>
      </c>
    </row>
    <row r="318" spans="1:15" x14ac:dyDescent="0.25">
      <c r="A318" s="142" t="s">
        <v>2373</v>
      </c>
      <c r="B318" s="142" t="s">
        <v>52</v>
      </c>
      <c r="C318" s="142" t="s">
        <v>8</v>
      </c>
      <c r="D318">
        <v>0.1</v>
      </c>
      <c r="E318">
        <v>1</v>
      </c>
      <c r="F318">
        <v>9.9999999999999995E-8</v>
      </c>
      <c r="G318" s="142" t="s">
        <v>6</v>
      </c>
      <c r="H318" s="142" t="s">
        <v>5</v>
      </c>
      <c r="I318">
        <v>300</v>
      </c>
      <c r="J318">
        <v>1000</v>
      </c>
      <c r="K318" s="142" t="s">
        <v>10</v>
      </c>
      <c r="L318">
        <v>120</v>
      </c>
      <c r="M318">
        <v>12000</v>
      </c>
      <c r="N318">
        <v>115.2</v>
      </c>
      <c r="O318">
        <v>11550</v>
      </c>
    </row>
    <row r="319" spans="1:15" x14ac:dyDescent="0.25">
      <c r="A319" s="142" t="s">
        <v>793</v>
      </c>
      <c r="B319" s="142" t="s">
        <v>52</v>
      </c>
      <c r="C319" s="142" t="s">
        <v>8</v>
      </c>
      <c r="D319">
        <v>0</v>
      </c>
      <c r="E319">
        <v>0.01</v>
      </c>
      <c r="F319">
        <v>9.9999999999999995E-7</v>
      </c>
      <c r="G319" s="142" t="s">
        <v>6</v>
      </c>
      <c r="H319" s="142" t="s">
        <v>5</v>
      </c>
      <c r="I319">
        <v>1E-3</v>
      </c>
      <c r="J319">
        <v>0.04</v>
      </c>
      <c r="K319" s="142" t="s">
        <v>10</v>
      </c>
      <c r="L319">
        <v>3.6</v>
      </c>
      <c r="M319">
        <v>340</v>
      </c>
      <c r="N319">
        <v>3.5819000000000001</v>
      </c>
      <c r="O319">
        <v>340.92</v>
      </c>
    </row>
    <row r="320" spans="1:15" x14ac:dyDescent="0.25">
      <c r="A320" s="142" t="s">
        <v>2017</v>
      </c>
      <c r="B320" s="142" t="s">
        <v>52</v>
      </c>
      <c r="C320" s="142" t="s">
        <v>8</v>
      </c>
      <c r="D320">
        <v>0</v>
      </c>
      <c r="E320">
        <v>0.01</v>
      </c>
      <c r="F320">
        <v>9.9999999999999995E-7</v>
      </c>
      <c r="G320" s="142" t="s">
        <v>6</v>
      </c>
      <c r="H320" s="142" t="s">
        <v>5</v>
      </c>
      <c r="I320">
        <v>0.04</v>
      </c>
      <c r="J320">
        <v>1</v>
      </c>
      <c r="K320" s="142" t="s">
        <v>10</v>
      </c>
      <c r="L320">
        <v>1.5664</v>
      </c>
      <c r="M320">
        <v>213.67</v>
      </c>
      <c r="N320">
        <v>1.5618000000000001</v>
      </c>
      <c r="O320">
        <v>213.39</v>
      </c>
    </row>
    <row r="321" spans="1:15" x14ac:dyDescent="0.25">
      <c r="A321" s="142" t="s">
        <v>791</v>
      </c>
      <c r="B321" s="142" t="s">
        <v>52</v>
      </c>
      <c r="C321" s="142" t="s">
        <v>8</v>
      </c>
      <c r="D321">
        <v>0</v>
      </c>
      <c r="E321">
        <v>0.01</v>
      </c>
      <c r="F321">
        <v>9.9999999999999995E-7</v>
      </c>
      <c r="G321" s="142" t="s">
        <v>6</v>
      </c>
      <c r="H321" s="142" t="s">
        <v>5</v>
      </c>
      <c r="I321">
        <v>1</v>
      </c>
      <c r="J321">
        <v>20</v>
      </c>
      <c r="K321" s="142" t="s">
        <v>10</v>
      </c>
      <c r="L321">
        <v>1.5646</v>
      </c>
      <c r="M321">
        <v>326.54000000000002</v>
      </c>
      <c r="N321">
        <v>1.56</v>
      </c>
      <c r="O321">
        <v>326.43</v>
      </c>
    </row>
    <row r="322" spans="1:15" x14ac:dyDescent="0.25">
      <c r="A322" s="142" t="s">
        <v>794</v>
      </c>
      <c r="B322" s="142" t="s">
        <v>52</v>
      </c>
      <c r="C322" s="142" t="s">
        <v>8</v>
      </c>
      <c r="D322">
        <v>0</v>
      </c>
      <c r="E322">
        <v>0.01</v>
      </c>
      <c r="F322">
        <v>9.9999999999999995E-7</v>
      </c>
      <c r="G322" s="142" t="s">
        <v>6</v>
      </c>
      <c r="H322" s="142" t="s">
        <v>5</v>
      </c>
      <c r="I322">
        <v>20</v>
      </c>
      <c r="J322">
        <v>50</v>
      </c>
      <c r="K322" s="142" t="s">
        <v>10</v>
      </c>
      <c r="L322">
        <v>1.9</v>
      </c>
      <c r="M322">
        <v>1100</v>
      </c>
      <c r="N322">
        <v>1.5466</v>
      </c>
      <c r="O322">
        <v>1130.5999999999999</v>
      </c>
    </row>
    <row r="323" spans="1:15" x14ac:dyDescent="0.25">
      <c r="A323" s="142" t="s">
        <v>2020</v>
      </c>
      <c r="B323" s="142" t="s">
        <v>52</v>
      </c>
      <c r="C323" s="142" t="s">
        <v>8</v>
      </c>
      <c r="D323">
        <v>0</v>
      </c>
      <c r="E323">
        <v>0.01</v>
      </c>
      <c r="F323">
        <v>9.9999999999999995E-7</v>
      </c>
      <c r="G323" s="142" t="s">
        <v>6</v>
      </c>
      <c r="H323" s="142" t="s">
        <v>5</v>
      </c>
      <c r="I323">
        <v>50</v>
      </c>
      <c r="J323">
        <v>100</v>
      </c>
      <c r="K323" s="142" t="s">
        <v>10</v>
      </c>
      <c r="L323">
        <v>1.5016</v>
      </c>
      <c r="M323">
        <v>5799.8</v>
      </c>
      <c r="N323">
        <v>1.4859</v>
      </c>
      <c r="O323">
        <v>5752.7</v>
      </c>
    </row>
    <row r="324" spans="1:15" x14ac:dyDescent="0.25">
      <c r="A324" s="142" t="s">
        <v>792</v>
      </c>
      <c r="B324" s="142" t="s">
        <v>52</v>
      </c>
      <c r="C324" s="142" t="s">
        <v>8</v>
      </c>
      <c r="D324">
        <v>0</v>
      </c>
      <c r="E324">
        <v>0.01</v>
      </c>
      <c r="F324">
        <v>9.9999999999999995E-7</v>
      </c>
      <c r="G324" s="142" t="s">
        <v>6</v>
      </c>
      <c r="H324" s="142" t="s">
        <v>5</v>
      </c>
      <c r="I324">
        <v>100</v>
      </c>
      <c r="J324">
        <v>300</v>
      </c>
      <c r="K324" s="142" t="s">
        <v>10</v>
      </c>
      <c r="L324">
        <v>4.2</v>
      </c>
      <c r="M324">
        <v>46000</v>
      </c>
      <c r="N324">
        <v>2.3732000000000002</v>
      </c>
      <c r="O324">
        <v>46182</v>
      </c>
    </row>
    <row r="325" spans="1:15" x14ac:dyDescent="0.25">
      <c r="A325" s="142" t="s">
        <v>790</v>
      </c>
      <c r="B325" s="142" t="s">
        <v>52</v>
      </c>
      <c r="C325" s="142" t="s">
        <v>8</v>
      </c>
      <c r="D325">
        <v>0</v>
      </c>
      <c r="E325">
        <v>0.01</v>
      </c>
      <c r="F325">
        <v>9.9999999999999995E-7</v>
      </c>
      <c r="G325" s="142" t="s">
        <v>6</v>
      </c>
      <c r="H325" s="142" t="s">
        <v>5</v>
      </c>
      <c r="I325">
        <v>300</v>
      </c>
      <c r="J325">
        <v>1000</v>
      </c>
      <c r="K325" s="142" t="s">
        <v>10</v>
      </c>
      <c r="L325">
        <v>7.7</v>
      </c>
      <c r="M325">
        <v>46000</v>
      </c>
      <c r="N325">
        <v>5.8981000000000003</v>
      </c>
      <c r="O325">
        <v>46176</v>
      </c>
    </row>
    <row r="326" spans="1:15" x14ac:dyDescent="0.25">
      <c r="A326" s="142" t="s">
        <v>822</v>
      </c>
      <c r="B326" s="142" t="s">
        <v>52</v>
      </c>
      <c r="C326" s="142" t="s">
        <v>8</v>
      </c>
      <c r="D326">
        <v>0.01</v>
      </c>
      <c r="E326">
        <v>0.1</v>
      </c>
      <c r="F326">
        <v>9.9999999999999995E-7</v>
      </c>
      <c r="G326" s="142" t="s">
        <v>6</v>
      </c>
      <c r="H326" s="142" t="s">
        <v>5</v>
      </c>
      <c r="I326">
        <v>1E-3</v>
      </c>
      <c r="J326">
        <v>0.04</v>
      </c>
      <c r="K326" s="142" t="s">
        <v>10</v>
      </c>
      <c r="L326">
        <v>4.7</v>
      </c>
      <c r="M326">
        <v>83</v>
      </c>
      <c r="N326">
        <v>4.6810999999999998</v>
      </c>
      <c r="O326">
        <v>82.594999999999999</v>
      </c>
    </row>
    <row r="327" spans="1:15" x14ac:dyDescent="0.25">
      <c r="A327" s="142" t="s">
        <v>824</v>
      </c>
      <c r="B327" s="142" t="s">
        <v>52</v>
      </c>
      <c r="C327" s="142" t="s">
        <v>8</v>
      </c>
      <c r="D327">
        <v>0.01</v>
      </c>
      <c r="E327">
        <v>0.1</v>
      </c>
      <c r="F327">
        <v>9.9999999999999995E-7</v>
      </c>
      <c r="G327" s="142" t="s">
        <v>6</v>
      </c>
      <c r="H327" s="142" t="s">
        <v>5</v>
      </c>
      <c r="I327">
        <v>0.04</v>
      </c>
      <c r="J327">
        <v>1</v>
      </c>
      <c r="K327" s="142" t="s">
        <v>10</v>
      </c>
      <c r="L327">
        <v>2.4247999999999998</v>
      </c>
      <c r="M327">
        <v>82.751999999999995</v>
      </c>
      <c r="N327">
        <v>2.4243999999999999</v>
      </c>
      <c r="O327">
        <v>82.585999999999999</v>
      </c>
    </row>
    <row r="328" spans="1:15" x14ac:dyDescent="0.25">
      <c r="A328" s="142" t="s">
        <v>2030</v>
      </c>
      <c r="B328" s="142" t="s">
        <v>52</v>
      </c>
      <c r="C328" s="142" t="s">
        <v>8</v>
      </c>
      <c r="D328">
        <v>0.01</v>
      </c>
      <c r="E328">
        <v>0.1</v>
      </c>
      <c r="F328">
        <v>9.9999999999999995E-7</v>
      </c>
      <c r="G328" s="142" t="s">
        <v>6</v>
      </c>
      <c r="H328" s="142" t="s">
        <v>5</v>
      </c>
      <c r="I328">
        <v>1</v>
      </c>
      <c r="J328">
        <v>20</v>
      </c>
      <c r="K328" s="142" t="s">
        <v>10</v>
      </c>
      <c r="L328">
        <v>2.7</v>
      </c>
      <c r="M328">
        <v>160</v>
      </c>
      <c r="N328">
        <v>2.4123999999999999</v>
      </c>
      <c r="O328">
        <v>162.16</v>
      </c>
    </row>
    <row r="329" spans="1:15" x14ac:dyDescent="0.25">
      <c r="A329" s="142" t="s">
        <v>825</v>
      </c>
      <c r="B329" s="142" t="s">
        <v>52</v>
      </c>
      <c r="C329" s="142" t="s">
        <v>8</v>
      </c>
      <c r="D329">
        <v>0.01</v>
      </c>
      <c r="E329">
        <v>0.1</v>
      </c>
      <c r="F329">
        <v>9.9999999999999995E-7</v>
      </c>
      <c r="G329" s="142" t="s">
        <v>6</v>
      </c>
      <c r="H329" s="142" t="s">
        <v>5</v>
      </c>
      <c r="I329">
        <v>20</v>
      </c>
      <c r="J329">
        <v>50</v>
      </c>
      <c r="K329" s="142" t="s">
        <v>10</v>
      </c>
      <c r="L329">
        <v>2.4</v>
      </c>
      <c r="M329">
        <v>350</v>
      </c>
      <c r="N329">
        <v>2.3856000000000002</v>
      </c>
      <c r="O329">
        <v>346.54</v>
      </c>
    </row>
    <row r="330" spans="1:15" x14ac:dyDescent="0.25">
      <c r="A330" s="142" t="s">
        <v>2032</v>
      </c>
      <c r="B330" s="142" t="s">
        <v>52</v>
      </c>
      <c r="C330" s="142" t="s">
        <v>8</v>
      </c>
      <c r="D330">
        <v>0.01</v>
      </c>
      <c r="E330">
        <v>0.1</v>
      </c>
      <c r="F330">
        <v>9.9999999999999995E-7</v>
      </c>
      <c r="G330" s="142" t="s">
        <v>6</v>
      </c>
      <c r="H330" s="142" t="s">
        <v>5</v>
      </c>
      <c r="I330">
        <v>50</v>
      </c>
      <c r="J330">
        <v>100</v>
      </c>
      <c r="K330" s="142" t="s">
        <v>10</v>
      </c>
      <c r="L330">
        <v>2.8</v>
      </c>
      <c r="M330">
        <v>920</v>
      </c>
      <c r="N330">
        <v>2.3485999999999998</v>
      </c>
      <c r="O330">
        <v>923.67</v>
      </c>
    </row>
    <row r="331" spans="1:15" x14ac:dyDescent="0.25">
      <c r="A331" s="142" t="s">
        <v>821</v>
      </c>
      <c r="B331" s="142" t="s">
        <v>52</v>
      </c>
      <c r="C331" s="142" t="s">
        <v>8</v>
      </c>
      <c r="D331">
        <v>0.01</v>
      </c>
      <c r="E331">
        <v>0.1</v>
      </c>
      <c r="F331">
        <v>9.9999999999999995E-7</v>
      </c>
      <c r="G331" s="142" t="s">
        <v>6</v>
      </c>
      <c r="H331" s="142" t="s">
        <v>5</v>
      </c>
      <c r="I331">
        <v>100</v>
      </c>
      <c r="J331">
        <v>300</v>
      </c>
      <c r="K331" s="142" t="s">
        <v>10</v>
      </c>
      <c r="L331">
        <v>12</v>
      </c>
      <c r="M331">
        <v>3500</v>
      </c>
      <c r="N331">
        <v>11.558999999999999</v>
      </c>
      <c r="O331">
        <v>3464.1</v>
      </c>
    </row>
    <row r="332" spans="1:15" x14ac:dyDescent="0.25">
      <c r="A332" s="142" t="s">
        <v>823</v>
      </c>
      <c r="B332" s="142" t="s">
        <v>52</v>
      </c>
      <c r="C332" s="142" t="s">
        <v>8</v>
      </c>
      <c r="D332">
        <v>0.01</v>
      </c>
      <c r="E332">
        <v>0.1</v>
      </c>
      <c r="F332">
        <v>9.9999999999999995E-7</v>
      </c>
      <c r="G332" s="142" t="s">
        <v>6</v>
      </c>
      <c r="H332" s="142" t="s">
        <v>5</v>
      </c>
      <c r="I332">
        <v>300</v>
      </c>
      <c r="J332">
        <v>1000</v>
      </c>
      <c r="K332" s="142" t="s">
        <v>10</v>
      </c>
      <c r="L332">
        <v>12</v>
      </c>
      <c r="M332">
        <v>12000</v>
      </c>
      <c r="N332">
        <v>11.567</v>
      </c>
      <c r="O332">
        <v>11547</v>
      </c>
    </row>
    <row r="333" spans="1:15" x14ac:dyDescent="0.25">
      <c r="A333" s="142" t="s">
        <v>845</v>
      </c>
      <c r="B333" s="142" t="s">
        <v>52</v>
      </c>
      <c r="C333" s="142" t="s">
        <v>8</v>
      </c>
      <c r="D333">
        <v>0.1</v>
      </c>
      <c r="E333">
        <v>1</v>
      </c>
      <c r="F333">
        <v>9.9999999999999995E-7</v>
      </c>
      <c r="G333" s="142" t="s">
        <v>6</v>
      </c>
      <c r="H333" s="142" t="s">
        <v>5</v>
      </c>
      <c r="I333">
        <v>1E-3</v>
      </c>
      <c r="J333">
        <v>0.04</v>
      </c>
      <c r="K333" s="142" t="s">
        <v>10</v>
      </c>
      <c r="L333">
        <v>47</v>
      </c>
      <c r="M333">
        <v>82</v>
      </c>
      <c r="N333">
        <v>81.525000000000006</v>
      </c>
      <c r="O333">
        <v>81.525000000000006</v>
      </c>
    </row>
    <row r="334" spans="1:15" x14ac:dyDescent="0.25">
      <c r="A334" s="142" t="s">
        <v>848</v>
      </c>
      <c r="B334" s="142" t="s">
        <v>52</v>
      </c>
      <c r="C334" s="142" t="s">
        <v>8</v>
      </c>
      <c r="D334">
        <v>0.1</v>
      </c>
      <c r="E334">
        <v>1</v>
      </c>
      <c r="F334">
        <v>9.9999999999999995E-7</v>
      </c>
      <c r="G334" s="142" t="s">
        <v>6</v>
      </c>
      <c r="H334" s="142" t="s">
        <v>5</v>
      </c>
      <c r="I334">
        <v>0.04</v>
      </c>
      <c r="J334">
        <v>1</v>
      </c>
      <c r="K334" s="142" t="s">
        <v>10</v>
      </c>
      <c r="L334">
        <v>24</v>
      </c>
      <c r="M334">
        <v>82</v>
      </c>
      <c r="N334">
        <v>23.125</v>
      </c>
      <c r="O334">
        <v>81.513000000000005</v>
      </c>
    </row>
    <row r="335" spans="1:15" x14ac:dyDescent="0.25">
      <c r="A335" s="142" t="s">
        <v>847</v>
      </c>
      <c r="B335" s="142" t="s">
        <v>52</v>
      </c>
      <c r="C335" s="142" t="s">
        <v>8</v>
      </c>
      <c r="D335">
        <v>0.1</v>
      </c>
      <c r="E335">
        <v>1</v>
      </c>
      <c r="F335">
        <v>9.9999999999999995E-7</v>
      </c>
      <c r="G335" s="142" t="s">
        <v>6</v>
      </c>
      <c r="H335" s="142" t="s">
        <v>5</v>
      </c>
      <c r="I335">
        <v>1</v>
      </c>
      <c r="J335">
        <v>20</v>
      </c>
      <c r="K335" s="142" t="s">
        <v>10</v>
      </c>
      <c r="L335">
        <v>26</v>
      </c>
      <c r="M335">
        <v>160</v>
      </c>
      <c r="N335">
        <v>23.116</v>
      </c>
      <c r="O335">
        <v>162.18</v>
      </c>
    </row>
    <row r="336" spans="1:15" x14ac:dyDescent="0.25">
      <c r="A336" s="142" t="s">
        <v>849</v>
      </c>
      <c r="B336" s="142" t="s">
        <v>52</v>
      </c>
      <c r="C336" s="142" t="s">
        <v>8</v>
      </c>
      <c r="D336">
        <v>0.1</v>
      </c>
      <c r="E336">
        <v>1</v>
      </c>
      <c r="F336">
        <v>9.9999999999999995E-7</v>
      </c>
      <c r="G336" s="142" t="s">
        <v>6</v>
      </c>
      <c r="H336" s="142" t="s">
        <v>5</v>
      </c>
      <c r="I336">
        <v>20</v>
      </c>
      <c r="J336">
        <v>50</v>
      </c>
      <c r="K336" s="142" t="s">
        <v>10</v>
      </c>
      <c r="L336">
        <v>24</v>
      </c>
      <c r="M336">
        <v>350</v>
      </c>
      <c r="N336">
        <v>23.114999999999998</v>
      </c>
      <c r="O336">
        <v>346.79</v>
      </c>
    </row>
    <row r="337" spans="1:15" x14ac:dyDescent="0.25">
      <c r="A337" s="142" t="s">
        <v>844</v>
      </c>
      <c r="B337" s="142" t="s">
        <v>52</v>
      </c>
      <c r="C337" s="142" t="s">
        <v>8</v>
      </c>
      <c r="D337">
        <v>0.1</v>
      </c>
      <c r="E337">
        <v>1</v>
      </c>
      <c r="F337">
        <v>9.9999999999999995E-7</v>
      </c>
      <c r="G337" s="142" t="s">
        <v>6</v>
      </c>
      <c r="H337" s="142" t="s">
        <v>5</v>
      </c>
      <c r="I337">
        <v>50</v>
      </c>
      <c r="J337">
        <v>100</v>
      </c>
      <c r="K337" s="142" t="s">
        <v>10</v>
      </c>
      <c r="L337">
        <v>28</v>
      </c>
      <c r="M337">
        <v>920</v>
      </c>
      <c r="N337">
        <v>23.103000000000002</v>
      </c>
      <c r="O337">
        <v>923.95</v>
      </c>
    </row>
    <row r="338" spans="1:15" x14ac:dyDescent="0.25">
      <c r="A338" s="142" t="s">
        <v>846</v>
      </c>
      <c r="B338" s="142" t="s">
        <v>52</v>
      </c>
      <c r="C338" s="142" t="s">
        <v>8</v>
      </c>
      <c r="D338">
        <v>0.1</v>
      </c>
      <c r="E338">
        <v>1</v>
      </c>
      <c r="F338">
        <v>9.9999999999999995E-7</v>
      </c>
      <c r="G338" s="142" t="s">
        <v>6</v>
      </c>
      <c r="H338" s="142" t="s">
        <v>5</v>
      </c>
      <c r="I338">
        <v>100</v>
      </c>
      <c r="J338">
        <v>300</v>
      </c>
      <c r="K338" s="142" t="s">
        <v>10</v>
      </c>
      <c r="L338">
        <v>120</v>
      </c>
      <c r="M338">
        <v>3500</v>
      </c>
      <c r="N338">
        <v>115.46</v>
      </c>
      <c r="O338">
        <v>3464.3</v>
      </c>
    </row>
    <row r="339" spans="1:15" x14ac:dyDescent="0.25">
      <c r="A339" s="142" t="s">
        <v>1784</v>
      </c>
      <c r="B339" s="142" t="s">
        <v>52</v>
      </c>
      <c r="C339" s="142" t="s">
        <v>8</v>
      </c>
      <c r="D339">
        <v>0.1</v>
      </c>
      <c r="E339">
        <v>1</v>
      </c>
      <c r="F339">
        <v>9.9999999999999995E-7</v>
      </c>
      <c r="G339" s="142" t="s">
        <v>6</v>
      </c>
      <c r="H339" s="142" t="s">
        <v>5</v>
      </c>
      <c r="I339">
        <v>300</v>
      </c>
      <c r="J339">
        <v>1000</v>
      </c>
      <c r="K339" s="142" t="s">
        <v>10</v>
      </c>
      <c r="L339">
        <v>120</v>
      </c>
      <c r="M339">
        <v>12000</v>
      </c>
      <c r="N339">
        <v>115.2</v>
      </c>
      <c r="O339">
        <v>11550</v>
      </c>
    </row>
    <row r="340" spans="1:15" x14ac:dyDescent="0.25">
      <c r="A340" s="142" t="s">
        <v>2044</v>
      </c>
      <c r="B340" s="142" t="s">
        <v>52</v>
      </c>
      <c r="C340" s="142" t="s">
        <v>8</v>
      </c>
      <c r="D340">
        <v>1</v>
      </c>
      <c r="E340">
        <v>10</v>
      </c>
      <c r="F340">
        <v>9.9999999999999995E-7</v>
      </c>
      <c r="G340" s="142" t="s">
        <v>6</v>
      </c>
      <c r="H340" s="142" t="s">
        <v>4</v>
      </c>
      <c r="I340">
        <v>1E-3</v>
      </c>
      <c r="J340">
        <v>0.04</v>
      </c>
      <c r="K340" s="142" t="s">
        <v>10</v>
      </c>
      <c r="L340">
        <v>0.47</v>
      </c>
      <c r="M340">
        <v>8.3000000000000004E-2</v>
      </c>
      <c r="N340">
        <v>0.46033000000000002</v>
      </c>
      <c r="O340">
        <v>8.2552E-2</v>
      </c>
    </row>
    <row r="341" spans="1:15" x14ac:dyDescent="0.25">
      <c r="A341" s="142" t="s">
        <v>873</v>
      </c>
      <c r="B341" s="142" t="s">
        <v>52</v>
      </c>
      <c r="C341" s="142" t="s">
        <v>8</v>
      </c>
      <c r="D341">
        <v>1</v>
      </c>
      <c r="E341">
        <v>10</v>
      </c>
      <c r="F341">
        <v>9.9999999999999995E-7</v>
      </c>
      <c r="G341" s="142" t="s">
        <v>6</v>
      </c>
      <c r="H341" s="142" t="s">
        <v>4</v>
      </c>
      <c r="I341">
        <v>0.04</v>
      </c>
      <c r="J341">
        <v>1</v>
      </c>
      <c r="K341" s="142" t="s">
        <v>10</v>
      </c>
      <c r="L341">
        <v>0.24</v>
      </c>
      <c r="M341">
        <v>8.2000000000000003E-2</v>
      </c>
      <c r="N341">
        <v>0.23017000000000001</v>
      </c>
      <c r="O341">
        <v>8.1848000000000004E-2</v>
      </c>
    </row>
    <row r="342" spans="1:15" x14ac:dyDescent="0.25">
      <c r="A342" s="142" t="s">
        <v>2050</v>
      </c>
      <c r="B342" s="142" t="s">
        <v>52</v>
      </c>
      <c r="C342" s="142" t="s">
        <v>8</v>
      </c>
      <c r="D342">
        <v>1</v>
      </c>
      <c r="E342">
        <v>10</v>
      </c>
      <c r="F342">
        <v>9.9999999999999995E-7</v>
      </c>
      <c r="G342" s="142" t="s">
        <v>6</v>
      </c>
      <c r="H342" s="142" t="s">
        <v>4</v>
      </c>
      <c r="I342">
        <v>1</v>
      </c>
      <c r="J342">
        <v>20</v>
      </c>
      <c r="K342" s="142" t="s">
        <v>10</v>
      </c>
      <c r="L342">
        <v>0.26</v>
      </c>
      <c r="M342">
        <v>0.16</v>
      </c>
      <c r="N342">
        <v>0.23066999999999999</v>
      </c>
      <c r="O342">
        <v>0.16222</v>
      </c>
    </row>
    <row r="343" spans="1:15" x14ac:dyDescent="0.25">
      <c r="A343" s="142" t="s">
        <v>2052</v>
      </c>
      <c r="B343" s="142" t="s">
        <v>52</v>
      </c>
      <c r="C343" s="142" t="s">
        <v>8</v>
      </c>
      <c r="D343">
        <v>1</v>
      </c>
      <c r="E343">
        <v>10</v>
      </c>
      <c r="F343">
        <v>9.9999999999999995E-7</v>
      </c>
      <c r="G343" s="142" t="s">
        <v>6</v>
      </c>
      <c r="H343" s="142" t="s">
        <v>4</v>
      </c>
      <c r="I343">
        <v>20</v>
      </c>
      <c r="J343">
        <v>50</v>
      </c>
      <c r="K343" s="142" t="s">
        <v>10</v>
      </c>
      <c r="L343">
        <v>0.24</v>
      </c>
      <c r="M343">
        <v>0.35</v>
      </c>
      <c r="N343">
        <v>0.23069000000000001</v>
      </c>
      <c r="O343">
        <v>0.34698000000000001</v>
      </c>
    </row>
    <row r="344" spans="1:15" x14ac:dyDescent="0.25">
      <c r="A344" s="142" t="s">
        <v>874</v>
      </c>
      <c r="B344" s="142" t="s">
        <v>52</v>
      </c>
      <c r="C344" s="142" t="s">
        <v>8</v>
      </c>
      <c r="D344">
        <v>1</v>
      </c>
      <c r="E344">
        <v>10</v>
      </c>
      <c r="F344">
        <v>9.9999999999999995E-7</v>
      </c>
      <c r="G344" s="142" t="s">
        <v>6</v>
      </c>
      <c r="H344" s="142" t="s">
        <v>4</v>
      </c>
      <c r="I344">
        <v>50</v>
      </c>
      <c r="J344">
        <v>100</v>
      </c>
      <c r="K344" s="142" t="s">
        <v>10</v>
      </c>
      <c r="L344">
        <v>0.28000000000000003</v>
      </c>
      <c r="M344">
        <v>0.92</v>
      </c>
      <c r="N344">
        <v>0.23091</v>
      </c>
      <c r="O344">
        <v>0.92401999999999995</v>
      </c>
    </row>
    <row r="345" spans="1:15" x14ac:dyDescent="0.25">
      <c r="A345" s="142" t="s">
        <v>875</v>
      </c>
      <c r="B345" s="142" t="s">
        <v>52</v>
      </c>
      <c r="C345" s="142" t="s">
        <v>8</v>
      </c>
      <c r="D345">
        <v>1</v>
      </c>
      <c r="E345">
        <v>10</v>
      </c>
      <c r="F345">
        <v>9.9999999999999995E-7</v>
      </c>
      <c r="G345" s="142" t="s">
        <v>6</v>
      </c>
      <c r="H345" s="142" t="s">
        <v>4</v>
      </c>
      <c r="I345">
        <v>100</v>
      </c>
      <c r="J345">
        <v>300</v>
      </c>
      <c r="K345" s="142" t="s">
        <v>10</v>
      </c>
      <c r="L345">
        <v>1.2</v>
      </c>
      <c r="M345">
        <v>3.5</v>
      </c>
      <c r="N345">
        <v>1.1546000000000001</v>
      </c>
      <c r="O345">
        <v>3.4643999999999999</v>
      </c>
    </row>
    <row r="346" spans="1:15" x14ac:dyDescent="0.25">
      <c r="A346" s="142" t="s">
        <v>2058</v>
      </c>
      <c r="B346" s="142" t="s">
        <v>52</v>
      </c>
      <c r="C346" s="142" t="s">
        <v>8</v>
      </c>
      <c r="D346">
        <v>1</v>
      </c>
      <c r="E346">
        <v>10</v>
      </c>
      <c r="F346">
        <v>9.9999999999999995E-7</v>
      </c>
      <c r="G346" s="142" t="s">
        <v>6</v>
      </c>
      <c r="H346" s="142" t="s">
        <v>4</v>
      </c>
      <c r="I346">
        <v>300</v>
      </c>
      <c r="J346">
        <v>1000</v>
      </c>
      <c r="K346" s="142" t="s">
        <v>10</v>
      </c>
      <c r="L346">
        <v>0.72</v>
      </c>
      <c r="M346">
        <v>12</v>
      </c>
      <c r="N346">
        <v>1.1532</v>
      </c>
      <c r="O346">
        <v>11.551</v>
      </c>
    </row>
    <row r="347" spans="1:15" x14ac:dyDescent="0.25">
      <c r="A347" s="142" t="s">
        <v>2014</v>
      </c>
      <c r="B347" s="142" t="s">
        <v>52</v>
      </c>
      <c r="C347" s="142" t="s">
        <v>8</v>
      </c>
      <c r="D347">
        <v>0</v>
      </c>
      <c r="E347">
        <v>0.01</v>
      </c>
      <c r="F347">
        <v>1.0000000000000001E-5</v>
      </c>
      <c r="G347" s="142" t="s">
        <v>6</v>
      </c>
      <c r="H347" s="142" t="s">
        <v>5</v>
      </c>
      <c r="I347">
        <v>1E-3</v>
      </c>
      <c r="J347">
        <v>0.04</v>
      </c>
      <c r="K347" s="142" t="s">
        <v>10</v>
      </c>
      <c r="L347">
        <v>6.7694000000000001</v>
      </c>
      <c r="M347">
        <v>229.13</v>
      </c>
      <c r="N347">
        <v>6.7651000000000003</v>
      </c>
      <c r="O347">
        <v>228.34</v>
      </c>
    </row>
    <row r="348" spans="1:15" x14ac:dyDescent="0.25">
      <c r="A348" s="142" t="s">
        <v>798</v>
      </c>
      <c r="B348" s="142" t="s">
        <v>52</v>
      </c>
      <c r="C348" s="142" t="s">
        <v>8</v>
      </c>
      <c r="D348">
        <v>0</v>
      </c>
      <c r="E348">
        <v>0.01</v>
      </c>
      <c r="F348">
        <v>1.0000000000000001E-5</v>
      </c>
      <c r="G348" s="142" t="s">
        <v>6</v>
      </c>
      <c r="H348" s="142" t="s">
        <v>5</v>
      </c>
      <c r="I348">
        <v>0.04</v>
      </c>
      <c r="J348">
        <v>1</v>
      </c>
      <c r="K348" s="142" t="s">
        <v>10</v>
      </c>
      <c r="L348">
        <v>5.9547999999999996</v>
      </c>
      <c r="M348">
        <v>89.200999999999993</v>
      </c>
      <c r="N348">
        <v>5.9499000000000004</v>
      </c>
      <c r="O348">
        <v>88.073999999999998</v>
      </c>
    </row>
    <row r="349" spans="1:15" x14ac:dyDescent="0.25">
      <c r="A349" s="142" t="s">
        <v>2019</v>
      </c>
      <c r="B349" s="142" t="s">
        <v>52</v>
      </c>
      <c r="C349" s="142" t="s">
        <v>8</v>
      </c>
      <c r="D349">
        <v>0</v>
      </c>
      <c r="E349">
        <v>0.01</v>
      </c>
      <c r="F349">
        <v>1.0000000000000001E-5</v>
      </c>
      <c r="G349" s="142" t="s">
        <v>6</v>
      </c>
      <c r="H349" s="142" t="s">
        <v>5</v>
      </c>
      <c r="I349">
        <v>1</v>
      </c>
      <c r="J349">
        <v>20</v>
      </c>
      <c r="K349" s="142" t="s">
        <v>10</v>
      </c>
      <c r="L349">
        <v>5.9505999999999997</v>
      </c>
      <c r="M349">
        <v>156.57</v>
      </c>
      <c r="N349">
        <v>5.9457000000000004</v>
      </c>
      <c r="O349">
        <v>155.59</v>
      </c>
    </row>
    <row r="350" spans="1:15" x14ac:dyDescent="0.25">
      <c r="A350" s="142" t="s">
        <v>797</v>
      </c>
      <c r="B350" s="142" t="s">
        <v>52</v>
      </c>
      <c r="C350" s="142" t="s">
        <v>8</v>
      </c>
      <c r="D350">
        <v>0</v>
      </c>
      <c r="E350">
        <v>0.01</v>
      </c>
      <c r="F350">
        <v>1.0000000000000001E-5</v>
      </c>
      <c r="G350" s="142" t="s">
        <v>6</v>
      </c>
      <c r="H350" s="142" t="s">
        <v>5</v>
      </c>
      <c r="I350">
        <v>20</v>
      </c>
      <c r="J350">
        <v>50</v>
      </c>
      <c r="K350" s="142" t="s">
        <v>10</v>
      </c>
      <c r="L350">
        <v>5.9105999999999996</v>
      </c>
      <c r="M350">
        <v>817.91</v>
      </c>
      <c r="N350">
        <v>5.8977000000000004</v>
      </c>
      <c r="O350">
        <v>817.99</v>
      </c>
    </row>
    <row r="351" spans="1:15" x14ac:dyDescent="0.25">
      <c r="A351" s="142" t="s">
        <v>795</v>
      </c>
      <c r="B351" s="142" t="s">
        <v>52</v>
      </c>
      <c r="C351" s="142" t="s">
        <v>8</v>
      </c>
      <c r="D351">
        <v>0</v>
      </c>
      <c r="E351">
        <v>0.01</v>
      </c>
      <c r="F351">
        <v>1.0000000000000001E-5</v>
      </c>
      <c r="G351" s="142" t="s">
        <v>6</v>
      </c>
      <c r="H351" s="142" t="s">
        <v>5</v>
      </c>
      <c r="I351">
        <v>50</v>
      </c>
      <c r="J351">
        <v>100</v>
      </c>
      <c r="K351" s="142" t="s">
        <v>10</v>
      </c>
      <c r="L351">
        <v>5.5917000000000003</v>
      </c>
      <c r="M351">
        <v>5390.8</v>
      </c>
      <c r="N351">
        <v>5.5659000000000001</v>
      </c>
      <c r="O351">
        <v>5372.6</v>
      </c>
    </row>
    <row r="352" spans="1:15" x14ac:dyDescent="0.25">
      <c r="A352" s="142" t="s">
        <v>796</v>
      </c>
      <c r="B352" s="142" t="s">
        <v>52</v>
      </c>
      <c r="C352" s="142" t="s">
        <v>8</v>
      </c>
      <c r="D352">
        <v>0</v>
      </c>
      <c r="E352">
        <v>0.01</v>
      </c>
      <c r="F352">
        <v>1.0000000000000001E-5</v>
      </c>
      <c r="G352" s="142" t="s">
        <v>6</v>
      </c>
      <c r="H352" s="142" t="s">
        <v>5</v>
      </c>
      <c r="I352">
        <v>100</v>
      </c>
      <c r="J352">
        <v>300</v>
      </c>
      <c r="K352" s="142" t="s">
        <v>10</v>
      </c>
      <c r="L352">
        <v>4.5244999999999997</v>
      </c>
      <c r="M352">
        <v>45971</v>
      </c>
      <c r="N352">
        <v>4.4509999999999996</v>
      </c>
      <c r="O352">
        <v>45978</v>
      </c>
    </row>
    <row r="353" spans="1:15" x14ac:dyDescent="0.25">
      <c r="A353" s="142" t="s">
        <v>799</v>
      </c>
      <c r="B353" s="142" t="s">
        <v>52</v>
      </c>
      <c r="C353" s="142" t="s">
        <v>8</v>
      </c>
      <c r="D353">
        <v>0</v>
      </c>
      <c r="E353">
        <v>0.01</v>
      </c>
      <c r="F353">
        <v>1.0000000000000001E-5</v>
      </c>
      <c r="G353" s="142" t="s">
        <v>6</v>
      </c>
      <c r="H353" s="142" t="s">
        <v>5</v>
      </c>
      <c r="I353">
        <v>300</v>
      </c>
      <c r="J353">
        <v>1000</v>
      </c>
      <c r="K353" s="142" t="s">
        <v>10</v>
      </c>
      <c r="L353">
        <v>7.7</v>
      </c>
      <c r="M353">
        <v>46000</v>
      </c>
      <c r="N353">
        <v>7.3754</v>
      </c>
      <c r="O353">
        <v>46032</v>
      </c>
    </row>
    <row r="354" spans="1:15" x14ac:dyDescent="0.25">
      <c r="A354" s="142" t="s">
        <v>828</v>
      </c>
      <c r="B354" s="142" t="s">
        <v>52</v>
      </c>
      <c r="C354" s="142" t="s">
        <v>8</v>
      </c>
      <c r="D354">
        <v>0.01</v>
      </c>
      <c r="E354">
        <v>0.1</v>
      </c>
      <c r="F354">
        <v>1.0000000000000001E-5</v>
      </c>
      <c r="G354" s="142" t="s">
        <v>6</v>
      </c>
      <c r="H354" s="142" t="s">
        <v>5</v>
      </c>
      <c r="I354">
        <v>1E-3</v>
      </c>
      <c r="J354">
        <v>0.04</v>
      </c>
      <c r="K354" s="142" t="s">
        <v>10</v>
      </c>
      <c r="L354">
        <v>7.2718999999999996</v>
      </c>
      <c r="M354">
        <v>68.941999999999993</v>
      </c>
      <c r="N354">
        <v>7.2690000000000001</v>
      </c>
      <c r="O354">
        <v>68.894000000000005</v>
      </c>
    </row>
    <row r="355" spans="1:15" x14ac:dyDescent="0.25">
      <c r="A355" s="142" t="s">
        <v>2026</v>
      </c>
      <c r="B355" s="142" t="s">
        <v>52</v>
      </c>
      <c r="C355" s="142" t="s">
        <v>8</v>
      </c>
      <c r="D355">
        <v>0.01</v>
      </c>
      <c r="E355">
        <v>0.1</v>
      </c>
      <c r="F355">
        <v>1.0000000000000001E-5</v>
      </c>
      <c r="G355" s="142" t="s">
        <v>6</v>
      </c>
      <c r="H355" s="142" t="s">
        <v>5</v>
      </c>
      <c r="I355">
        <v>0.04</v>
      </c>
      <c r="J355">
        <v>1</v>
      </c>
      <c r="K355" s="142" t="s">
        <v>10</v>
      </c>
      <c r="L355">
        <v>5.9896000000000003</v>
      </c>
      <c r="M355">
        <v>61.49</v>
      </c>
      <c r="N355">
        <v>5.9859999999999998</v>
      </c>
      <c r="O355">
        <v>61.436</v>
      </c>
    </row>
    <row r="356" spans="1:15" x14ac:dyDescent="0.25">
      <c r="A356" s="142" t="s">
        <v>827</v>
      </c>
      <c r="B356" s="142" t="s">
        <v>52</v>
      </c>
      <c r="C356" s="142" t="s">
        <v>8</v>
      </c>
      <c r="D356">
        <v>0.01</v>
      </c>
      <c r="E356">
        <v>0.1</v>
      </c>
      <c r="F356">
        <v>1.0000000000000001E-5</v>
      </c>
      <c r="G356" s="142" t="s">
        <v>6</v>
      </c>
      <c r="H356" s="142" t="s">
        <v>5</v>
      </c>
      <c r="I356">
        <v>1</v>
      </c>
      <c r="J356">
        <v>20</v>
      </c>
      <c r="K356" s="142" t="s">
        <v>10</v>
      </c>
      <c r="L356">
        <v>5.6375000000000002</v>
      </c>
      <c r="M356">
        <v>138.62</v>
      </c>
      <c r="N356">
        <v>5.6337999999999999</v>
      </c>
      <c r="O356">
        <v>138.6</v>
      </c>
    </row>
    <row r="357" spans="1:15" x14ac:dyDescent="0.25">
      <c r="A357" s="142" t="s">
        <v>830</v>
      </c>
      <c r="B357" s="142" t="s">
        <v>52</v>
      </c>
      <c r="C357" s="142" t="s">
        <v>8</v>
      </c>
      <c r="D357">
        <v>0.01</v>
      </c>
      <c r="E357">
        <v>0.1</v>
      </c>
      <c r="F357">
        <v>1.0000000000000001E-5</v>
      </c>
      <c r="G357" s="142" t="s">
        <v>6</v>
      </c>
      <c r="H357" s="142" t="s">
        <v>5</v>
      </c>
      <c r="I357">
        <v>20</v>
      </c>
      <c r="J357">
        <v>50</v>
      </c>
      <c r="K357" s="142" t="s">
        <v>10</v>
      </c>
      <c r="L357">
        <v>4.9595000000000002</v>
      </c>
      <c r="M357">
        <v>325.33999999999997</v>
      </c>
      <c r="N357">
        <v>4.9457000000000004</v>
      </c>
      <c r="O357">
        <v>325.37</v>
      </c>
    </row>
    <row r="358" spans="1:15" x14ac:dyDescent="0.25">
      <c r="A358" s="142" t="s">
        <v>831</v>
      </c>
      <c r="B358" s="142" t="s">
        <v>52</v>
      </c>
      <c r="C358" s="142" t="s">
        <v>8</v>
      </c>
      <c r="D358">
        <v>0.01</v>
      </c>
      <c r="E358">
        <v>0.1</v>
      </c>
      <c r="F358">
        <v>1.0000000000000001E-5</v>
      </c>
      <c r="G358" s="142" t="s">
        <v>6</v>
      </c>
      <c r="H358" s="142" t="s">
        <v>5</v>
      </c>
      <c r="I358">
        <v>50</v>
      </c>
      <c r="J358">
        <v>100</v>
      </c>
      <c r="K358" s="142" t="s">
        <v>10</v>
      </c>
      <c r="L358">
        <v>3.8582999999999998</v>
      </c>
      <c r="M358">
        <v>910.48</v>
      </c>
      <c r="N358">
        <v>3.8248000000000002</v>
      </c>
      <c r="O358">
        <v>910.65</v>
      </c>
    </row>
    <row r="359" spans="1:15" x14ac:dyDescent="0.25">
      <c r="A359" s="142" t="s">
        <v>829</v>
      </c>
      <c r="B359" s="142" t="s">
        <v>52</v>
      </c>
      <c r="C359" s="142" t="s">
        <v>8</v>
      </c>
      <c r="D359">
        <v>0.01</v>
      </c>
      <c r="E359">
        <v>0.1</v>
      </c>
      <c r="F359">
        <v>1.0000000000000001E-5</v>
      </c>
      <c r="G359" s="142" t="s">
        <v>6</v>
      </c>
      <c r="H359" s="142" t="s">
        <v>5</v>
      </c>
      <c r="I359">
        <v>100</v>
      </c>
      <c r="J359">
        <v>300</v>
      </c>
      <c r="K359" s="142" t="s">
        <v>10</v>
      </c>
      <c r="L359">
        <v>12</v>
      </c>
      <c r="M359">
        <v>3500</v>
      </c>
      <c r="N359">
        <v>11.952999999999999</v>
      </c>
      <c r="O359">
        <v>3460.6</v>
      </c>
    </row>
    <row r="360" spans="1:15" x14ac:dyDescent="0.25">
      <c r="A360" s="142" t="s">
        <v>826</v>
      </c>
      <c r="B360" s="142" t="s">
        <v>52</v>
      </c>
      <c r="C360" s="142" t="s">
        <v>8</v>
      </c>
      <c r="D360">
        <v>0.01</v>
      </c>
      <c r="E360">
        <v>0.1</v>
      </c>
      <c r="F360">
        <v>1.0000000000000001E-5</v>
      </c>
      <c r="G360" s="142" t="s">
        <v>6</v>
      </c>
      <c r="H360" s="142" t="s">
        <v>5</v>
      </c>
      <c r="I360">
        <v>300</v>
      </c>
      <c r="J360">
        <v>1000</v>
      </c>
      <c r="K360" s="142" t="s">
        <v>10</v>
      </c>
      <c r="L360">
        <v>12</v>
      </c>
      <c r="M360">
        <v>12000</v>
      </c>
      <c r="N360">
        <v>11.704000000000001</v>
      </c>
      <c r="O360">
        <v>11546</v>
      </c>
    </row>
    <row r="361" spans="1:15" x14ac:dyDescent="0.25">
      <c r="A361" s="142" t="s">
        <v>850</v>
      </c>
      <c r="B361" s="142" t="s">
        <v>52</v>
      </c>
      <c r="C361" s="142" t="s">
        <v>8</v>
      </c>
      <c r="D361">
        <v>0.1</v>
      </c>
      <c r="E361">
        <v>1</v>
      </c>
      <c r="F361">
        <v>1.0000000000000001E-5</v>
      </c>
      <c r="G361" s="142" t="s">
        <v>6</v>
      </c>
      <c r="H361" s="142" t="s">
        <v>5</v>
      </c>
      <c r="I361">
        <v>1E-3</v>
      </c>
      <c r="J361">
        <v>0.04</v>
      </c>
      <c r="K361" s="142" t="s">
        <v>10</v>
      </c>
      <c r="L361">
        <v>47</v>
      </c>
      <c r="M361">
        <v>82</v>
      </c>
      <c r="N361">
        <v>81.331999999999994</v>
      </c>
      <c r="O361">
        <v>81.331999999999994</v>
      </c>
    </row>
    <row r="362" spans="1:15" x14ac:dyDescent="0.25">
      <c r="A362" s="142" t="s">
        <v>2037</v>
      </c>
      <c r="B362" s="142" t="s">
        <v>52</v>
      </c>
      <c r="C362" s="142" t="s">
        <v>8</v>
      </c>
      <c r="D362">
        <v>0.1</v>
      </c>
      <c r="E362">
        <v>1</v>
      </c>
      <c r="F362">
        <v>1.0000000000000001E-5</v>
      </c>
      <c r="G362" s="142" t="s">
        <v>6</v>
      </c>
      <c r="H362" s="142" t="s">
        <v>5</v>
      </c>
      <c r="I362">
        <v>0.04</v>
      </c>
      <c r="J362">
        <v>1</v>
      </c>
      <c r="K362" s="142" t="s">
        <v>10</v>
      </c>
      <c r="L362">
        <v>24</v>
      </c>
      <c r="M362">
        <v>82</v>
      </c>
      <c r="N362">
        <v>23.687999999999999</v>
      </c>
      <c r="O362">
        <v>81.106999999999999</v>
      </c>
    </row>
    <row r="363" spans="1:15" x14ac:dyDescent="0.25">
      <c r="A363" s="142" t="s">
        <v>851</v>
      </c>
      <c r="B363" s="142" t="s">
        <v>52</v>
      </c>
      <c r="C363" s="142" t="s">
        <v>8</v>
      </c>
      <c r="D363">
        <v>0.1</v>
      </c>
      <c r="E363">
        <v>1</v>
      </c>
      <c r="F363">
        <v>1.0000000000000001E-5</v>
      </c>
      <c r="G363" s="142" t="s">
        <v>6</v>
      </c>
      <c r="H363" s="142" t="s">
        <v>5</v>
      </c>
      <c r="I363">
        <v>1</v>
      </c>
      <c r="J363">
        <v>20</v>
      </c>
      <c r="K363" s="142" t="s">
        <v>10</v>
      </c>
      <c r="L363">
        <v>26</v>
      </c>
      <c r="M363">
        <v>160</v>
      </c>
      <c r="N363">
        <v>23.568999999999999</v>
      </c>
      <c r="O363">
        <v>161.82</v>
      </c>
    </row>
    <row r="364" spans="1:15" x14ac:dyDescent="0.25">
      <c r="A364" s="142" t="s">
        <v>852</v>
      </c>
      <c r="B364" s="142" t="s">
        <v>52</v>
      </c>
      <c r="C364" s="142" t="s">
        <v>8</v>
      </c>
      <c r="D364">
        <v>0.1</v>
      </c>
      <c r="E364">
        <v>1</v>
      </c>
      <c r="F364">
        <v>1.0000000000000001E-5</v>
      </c>
      <c r="G364" s="142" t="s">
        <v>6</v>
      </c>
      <c r="H364" s="142" t="s">
        <v>5</v>
      </c>
      <c r="I364">
        <v>20</v>
      </c>
      <c r="J364">
        <v>50</v>
      </c>
      <c r="K364" s="142" t="s">
        <v>10</v>
      </c>
      <c r="L364">
        <v>24</v>
      </c>
      <c r="M364">
        <v>350</v>
      </c>
      <c r="N364">
        <v>23.427</v>
      </c>
      <c r="O364">
        <v>346.52</v>
      </c>
    </row>
    <row r="365" spans="1:15" x14ac:dyDescent="0.25">
      <c r="A365" s="142" t="s">
        <v>854</v>
      </c>
      <c r="B365" s="142" t="s">
        <v>52</v>
      </c>
      <c r="C365" s="142" t="s">
        <v>8</v>
      </c>
      <c r="D365">
        <v>0.1</v>
      </c>
      <c r="E365">
        <v>1</v>
      </c>
      <c r="F365">
        <v>1.0000000000000001E-5</v>
      </c>
      <c r="G365" s="142" t="s">
        <v>6</v>
      </c>
      <c r="H365" s="142" t="s">
        <v>5</v>
      </c>
      <c r="I365">
        <v>50</v>
      </c>
      <c r="J365">
        <v>100</v>
      </c>
      <c r="K365" s="142" t="s">
        <v>10</v>
      </c>
      <c r="L365">
        <v>28</v>
      </c>
      <c r="M365">
        <v>920</v>
      </c>
      <c r="N365">
        <v>23.259</v>
      </c>
      <c r="O365">
        <v>923.81</v>
      </c>
    </row>
    <row r="366" spans="1:15" x14ac:dyDescent="0.25">
      <c r="A366" s="142" t="s">
        <v>2041</v>
      </c>
      <c r="B366" s="142" t="s">
        <v>52</v>
      </c>
      <c r="C366" s="142" t="s">
        <v>8</v>
      </c>
      <c r="D366">
        <v>0.1</v>
      </c>
      <c r="E366">
        <v>1</v>
      </c>
      <c r="F366">
        <v>1.0000000000000001E-5</v>
      </c>
      <c r="G366" s="142" t="s">
        <v>6</v>
      </c>
      <c r="H366" s="142" t="s">
        <v>5</v>
      </c>
      <c r="I366">
        <v>100</v>
      </c>
      <c r="J366">
        <v>300</v>
      </c>
      <c r="K366" s="142" t="s">
        <v>10</v>
      </c>
      <c r="L366">
        <v>120</v>
      </c>
      <c r="M366">
        <v>3500</v>
      </c>
      <c r="N366">
        <v>115.55</v>
      </c>
      <c r="O366">
        <v>3464.2</v>
      </c>
    </row>
    <row r="367" spans="1:15" x14ac:dyDescent="0.25">
      <c r="A367" s="142" t="s">
        <v>853</v>
      </c>
      <c r="B367" s="142" t="s">
        <v>52</v>
      </c>
      <c r="C367" s="142" t="s">
        <v>8</v>
      </c>
      <c r="D367">
        <v>0.1</v>
      </c>
      <c r="E367">
        <v>1</v>
      </c>
      <c r="F367">
        <v>1.0000000000000001E-5</v>
      </c>
      <c r="G367" s="142" t="s">
        <v>6</v>
      </c>
      <c r="H367" s="142" t="s">
        <v>5</v>
      </c>
      <c r="I367">
        <v>300</v>
      </c>
      <c r="J367">
        <v>1000</v>
      </c>
      <c r="K367" s="142" t="s">
        <v>10</v>
      </c>
      <c r="L367">
        <v>120</v>
      </c>
      <c r="M367">
        <v>12000</v>
      </c>
      <c r="N367">
        <v>115.21</v>
      </c>
      <c r="O367">
        <v>11550</v>
      </c>
    </row>
    <row r="368" spans="1:15" x14ac:dyDescent="0.25">
      <c r="A368" s="142" t="s">
        <v>878</v>
      </c>
      <c r="B368" s="142" t="s">
        <v>52</v>
      </c>
      <c r="C368" s="142" t="s">
        <v>8</v>
      </c>
      <c r="D368">
        <v>1</v>
      </c>
      <c r="E368">
        <v>10</v>
      </c>
      <c r="F368">
        <v>1.0000000000000001E-5</v>
      </c>
      <c r="G368" s="142" t="s">
        <v>6</v>
      </c>
      <c r="H368" s="142" t="s">
        <v>4</v>
      </c>
      <c r="I368">
        <v>1E-3</v>
      </c>
      <c r="J368">
        <v>0.04</v>
      </c>
      <c r="K368" s="142" t="s">
        <v>10</v>
      </c>
      <c r="L368">
        <v>0.47</v>
      </c>
      <c r="M368">
        <v>8.3000000000000004E-2</v>
      </c>
      <c r="N368">
        <v>0.46037</v>
      </c>
      <c r="O368">
        <v>8.2549999999999998E-2</v>
      </c>
    </row>
    <row r="369" spans="1:15" x14ac:dyDescent="0.25">
      <c r="A369" s="142" t="s">
        <v>877</v>
      </c>
      <c r="B369" s="142" t="s">
        <v>52</v>
      </c>
      <c r="C369" s="142" t="s">
        <v>8</v>
      </c>
      <c r="D369">
        <v>1</v>
      </c>
      <c r="E369">
        <v>10</v>
      </c>
      <c r="F369">
        <v>1.0000000000000001E-5</v>
      </c>
      <c r="G369" s="142" t="s">
        <v>6</v>
      </c>
      <c r="H369" s="142" t="s">
        <v>4</v>
      </c>
      <c r="I369">
        <v>0.04</v>
      </c>
      <c r="J369">
        <v>1</v>
      </c>
      <c r="K369" s="142" t="s">
        <v>10</v>
      </c>
      <c r="L369">
        <v>0.24</v>
      </c>
      <c r="M369">
        <v>8.2000000000000003E-2</v>
      </c>
      <c r="N369">
        <v>0.23024</v>
      </c>
      <c r="O369">
        <v>8.1844E-2</v>
      </c>
    </row>
    <row r="370" spans="1:15" x14ac:dyDescent="0.25">
      <c r="A370" s="142" t="s">
        <v>879</v>
      </c>
      <c r="B370" s="142" t="s">
        <v>52</v>
      </c>
      <c r="C370" s="142" t="s">
        <v>8</v>
      </c>
      <c r="D370">
        <v>1</v>
      </c>
      <c r="E370">
        <v>10</v>
      </c>
      <c r="F370">
        <v>1.0000000000000001E-5</v>
      </c>
      <c r="G370" s="142" t="s">
        <v>6</v>
      </c>
      <c r="H370" s="142" t="s">
        <v>4</v>
      </c>
      <c r="I370">
        <v>1</v>
      </c>
      <c r="J370">
        <v>20</v>
      </c>
      <c r="K370" s="142" t="s">
        <v>10</v>
      </c>
      <c r="L370">
        <v>0.26</v>
      </c>
      <c r="M370">
        <v>0.16</v>
      </c>
      <c r="N370">
        <v>0.23075999999999999</v>
      </c>
      <c r="O370">
        <v>0.16220999999999999</v>
      </c>
    </row>
    <row r="371" spans="1:15" x14ac:dyDescent="0.25">
      <c r="A371" s="142" t="s">
        <v>882</v>
      </c>
      <c r="B371" s="142" t="s">
        <v>52</v>
      </c>
      <c r="C371" s="142" t="s">
        <v>8</v>
      </c>
      <c r="D371">
        <v>1</v>
      </c>
      <c r="E371">
        <v>10</v>
      </c>
      <c r="F371">
        <v>1.0000000000000001E-5</v>
      </c>
      <c r="G371" s="142" t="s">
        <v>6</v>
      </c>
      <c r="H371" s="142" t="s">
        <v>4</v>
      </c>
      <c r="I371">
        <v>20</v>
      </c>
      <c r="J371">
        <v>50</v>
      </c>
      <c r="K371" s="142" t="s">
        <v>10</v>
      </c>
      <c r="L371">
        <v>0.24</v>
      </c>
      <c r="M371">
        <v>0.35</v>
      </c>
      <c r="N371">
        <v>0.23072999999999999</v>
      </c>
      <c r="O371">
        <v>0.34698000000000001</v>
      </c>
    </row>
    <row r="372" spans="1:15" x14ac:dyDescent="0.25">
      <c r="A372" s="142" t="s">
        <v>876</v>
      </c>
      <c r="B372" s="142" t="s">
        <v>52</v>
      </c>
      <c r="C372" s="142" t="s">
        <v>8</v>
      </c>
      <c r="D372">
        <v>1</v>
      </c>
      <c r="E372">
        <v>10</v>
      </c>
      <c r="F372">
        <v>1.0000000000000001E-5</v>
      </c>
      <c r="G372" s="142" t="s">
        <v>6</v>
      </c>
      <c r="H372" s="142" t="s">
        <v>4</v>
      </c>
      <c r="I372">
        <v>50</v>
      </c>
      <c r="J372">
        <v>100</v>
      </c>
      <c r="K372" s="142" t="s">
        <v>10</v>
      </c>
      <c r="L372">
        <v>0.28000000000000003</v>
      </c>
      <c r="M372">
        <v>0.92</v>
      </c>
      <c r="N372">
        <v>0.23091999999999999</v>
      </c>
      <c r="O372">
        <v>0.92401999999999995</v>
      </c>
    </row>
    <row r="373" spans="1:15" x14ac:dyDescent="0.25">
      <c r="A373" s="142" t="s">
        <v>880</v>
      </c>
      <c r="B373" s="142" t="s">
        <v>52</v>
      </c>
      <c r="C373" s="142" t="s">
        <v>8</v>
      </c>
      <c r="D373">
        <v>1</v>
      </c>
      <c r="E373">
        <v>10</v>
      </c>
      <c r="F373">
        <v>1.0000000000000001E-5</v>
      </c>
      <c r="G373" s="142" t="s">
        <v>6</v>
      </c>
      <c r="H373" s="142" t="s">
        <v>4</v>
      </c>
      <c r="I373">
        <v>100</v>
      </c>
      <c r="J373">
        <v>300</v>
      </c>
      <c r="K373" s="142" t="s">
        <v>10</v>
      </c>
      <c r="L373">
        <v>1.2</v>
      </c>
      <c r="M373">
        <v>3.5</v>
      </c>
      <c r="N373">
        <v>1.1546000000000001</v>
      </c>
      <c r="O373">
        <v>3.4643999999999999</v>
      </c>
    </row>
    <row r="374" spans="1:15" x14ac:dyDescent="0.25">
      <c r="A374" s="142" t="s">
        <v>881</v>
      </c>
      <c r="B374" s="142" t="s">
        <v>52</v>
      </c>
      <c r="C374" s="142" t="s">
        <v>8</v>
      </c>
      <c r="D374">
        <v>1</v>
      </c>
      <c r="E374">
        <v>10</v>
      </c>
      <c r="F374">
        <v>1.0000000000000001E-5</v>
      </c>
      <c r="G374" s="142" t="s">
        <v>6</v>
      </c>
      <c r="H374" s="142" t="s">
        <v>4</v>
      </c>
      <c r="I374">
        <v>300</v>
      </c>
      <c r="J374">
        <v>1000</v>
      </c>
      <c r="K374" s="142" t="s">
        <v>10</v>
      </c>
      <c r="L374">
        <v>0.72</v>
      </c>
      <c r="M374">
        <v>12</v>
      </c>
      <c r="N374">
        <v>1.1533</v>
      </c>
      <c r="O374">
        <v>11.551</v>
      </c>
    </row>
    <row r="375" spans="1:15" x14ac:dyDescent="0.25">
      <c r="A375" s="142" t="s">
        <v>903</v>
      </c>
      <c r="B375" s="142" t="s">
        <v>52</v>
      </c>
      <c r="C375" s="142" t="s">
        <v>8</v>
      </c>
      <c r="D375">
        <v>10</v>
      </c>
      <c r="E375">
        <v>20</v>
      </c>
      <c r="F375">
        <v>1.0000000000000001E-5</v>
      </c>
      <c r="G375" s="142" t="s">
        <v>6</v>
      </c>
      <c r="H375" s="142" t="s">
        <v>4</v>
      </c>
      <c r="I375">
        <v>1E-3</v>
      </c>
      <c r="J375">
        <v>0.04</v>
      </c>
      <c r="K375" s="142" t="s">
        <v>10</v>
      </c>
      <c r="L375">
        <v>4.7</v>
      </c>
      <c r="M375">
        <v>0.23</v>
      </c>
      <c r="N375">
        <v>4.6177000000000001</v>
      </c>
      <c r="O375">
        <v>0.23133999999999999</v>
      </c>
    </row>
    <row r="376" spans="1:15" x14ac:dyDescent="0.25">
      <c r="A376" s="142" t="s">
        <v>904</v>
      </c>
      <c r="B376" s="142" t="s">
        <v>52</v>
      </c>
      <c r="C376" s="142" t="s">
        <v>8</v>
      </c>
      <c r="D376">
        <v>10</v>
      </c>
      <c r="E376">
        <v>20</v>
      </c>
      <c r="F376">
        <v>1.0000000000000001E-5</v>
      </c>
      <c r="G376" s="142" t="s">
        <v>6</v>
      </c>
      <c r="H376" s="142" t="s">
        <v>4</v>
      </c>
      <c r="I376">
        <v>0.04</v>
      </c>
      <c r="J376">
        <v>1</v>
      </c>
      <c r="K376" s="142" t="s">
        <v>10</v>
      </c>
      <c r="L376">
        <v>2.4</v>
      </c>
      <c r="M376">
        <v>0.23</v>
      </c>
      <c r="N376">
        <v>2.3079999999999998</v>
      </c>
      <c r="O376">
        <v>0.23130000000000001</v>
      </c>
    </row>
    <row r="377" spans="1:15" x14ac:dyDescent="0.25">
      <c r="A377" s="142" t="s">
        <v>900</v>
      </c>
      <c r="B377" s="142" t="s">
        <v>52</v>
      </c>
      <c r="C377" s="142" t="s">
        <v>8</v>
      </c>
      <c r="D377">
        <v>10</v>
      </c>
      <c r="E377">
        <v>20</v>
      </c>
      <c r="F377">
        <v>1.0000000000000001E-5</v>
      </c>
      <c r="G377" s="142" t="s">
        <v>6</v>
      </c>
      <c r="H377" s="142" t="s">
        <v>4</v>
      </c>
      <c r="I377">
        <v>1</v>
      </c>
      <c r="J377">
        <v>20</v>
      </c>
      <c r="K377" s="142" t="s">
        <v>10</v>
      </c>
      <c r="L377">
        <v>2.4</v>
      </c>
      <c r="M377">
        <v>0.23</v>
      </c>
      <c r="N377">
        <v>2.3071000000000002</v>
      </c>
      <c r="O377">
        <v>0.23139000000000001</v>
      </c>
    </row>
    <row r="378" spans="1:15" x14ac:dyDescent="0.25">
      <c r="A378" s="142" t="s">
        <v>2065</v>
      </c>
      <c r="B378" s="142" t="s">
        <v>52</v>
      </c>
      <c r="C378" s="142" t="s">
        <v>8</v>
      </c>
      <c r="D378">
        <v>10</v>
      </c>
      <c r="E378">
        <v>20</v>
      </c>
      <c r="F378">
        <v>1.0000000000000001E-5</v>
      </c>
      <c r="G378" s="142" t="s">
        <v>6</v>
      </c>
      <c r="H378" s="142" t="s">
        <v>4</v>
      </c>
      <c r="I378">
        <v>20</v>
      </c>
      <c r="J378">
        <v>50</v>
      </c>
      <c r="K378" s="142" t="s">
        <v>10</v>
      </c>
      <c r="L378">
        <v>2.5</v>
      </c>
      <c r="M378">
        <v>0.4</v>
      </c>
      <c r="N378">
        <v>2.3077000000000001</v>
      </c>
      <c r="O378">
        <v>0.40464</v>
      </c>
    </row>
    <row r="379" spans="1:15" x14ac:dyDescent="0.25">
      <c r="A379" s="142" t="s">
        <v>901</v>
      </c>
      <c r="B379" s="142" t="s">
        <v>52</v>
      </c>
      <c r="C379" s="142" t="s">
        <v>8</v>
      </c>
      <c r="D379">
        <v>10</v>
      </c>
      <c r="E379">
        <v>20</v>
      </c>
      <c r="F379">
        <v>1.0000000000000001E-5</v>
      </c>
      <c r="G379" s="142" t="s">
        <v>6</v>
      </c>
      <c r="H379" s="142" t="s">
        <v>4</v>
      </c>
      <c r="I379">
        <v>50</v>
      </c>
      <c r="J379">
        <v>100</v>
      </c>
      <c r="K379" s="142" t="s">
        <v>10</v>
      </c>
      <c r="L379">
        <v>2.4</v>
      </c>
      <c r="M379">
        <v>1.4</v>
      </c>
      <c r="N379">
        <v>2.3087</v>
      </c>
      <c r="O379">
        <v>1.3858999999999999</v>
      </c>
    </row>
    <row r="380" spans="1:15" x14ac:dyDescent="0.25">
      <c r="A380" s="142" t="s">
        <v>905</v>
      </c>
      <c r="B380" s="142" t="s">
        <v>52</v>
      </c>
      <c r="C380" s="142" t="s">
        <v>8</v>
      </c>
      <c r="D380">
        <v>10</v>
      </c>
      <c r="E380">
        <v>20</v>
      </c>
      <c r="F380">
        <v>1.0000000000000001E-5</v>
      </c>
      <c r="G380" s="142" t="s">
        <v>6</v>
      </c>
      <c r="H380" s="142" t="s">
        <v>4</v>
      </c>
      <c r="I380">
        <v>100</v>
      </c>
      <c r="J380">
        <v>300</v>
      </c>
      <c r="K380" s="142" t="s">
        <v>10</v>
      </c>
      <c r="L380">
        <v>12</v>
      </c>
      <c r="M380">
        <v>4.5999999999999996</v>
      </c>
      <c r="N380">
        <v>11.491</v>
      </c>
      <c r="O380">
        <v>4.6246</v>
      </c>
    </row>
    <row r="381" spans="1:15" x14ac:dyDescent="0.25">
      <c r="A381" s="142" t="s">
        <v>902</v>
      </c>
      <c r="B381" s="142" t="s">
        <v>52</v>
      </c>
      <c r="C381" s="142" t="s">
        <v>8</v>
      </c>
      <c r="D381">
        <v>10</v>
      </c>
      <c r="E381">
        <v>20</v>
      </c>
      <c r="F381">
        <v>1.0000000000000001E-5</v>
      </c>
      <c r="G381" s="142" t="s">
        <v>6</v>
      </c>
      <c r="H381" s="142" t="s">
        <v>4</v>
      </c>
      <c r="I381">
        <v>300</v>
      </c>
      <c r="J381">
        <v>1000</v>
      </c>
      <c r="K381" s="142" t="s">
        <v>10</v>
      </c>
      <c r="L381">
        <v>19</v>
      </c>
      <c r="M381">
        <v>17</v>
      </c>
      <c r="N381">
        <v>11.385</v>
      </c>
      <c r="O381">
        <v>17.338999999999999</v>
      </c>
    </row>
    <row r="382" spans="1:15" x14ac:dyDescent="0.25">
      <c r="A382" s="142" t="s">
        <v>927</v>
      </c>
      <c r="B382" s="142" t="s">
        <v>52</v>
      </c>
      <c r="C382" s="142" t="s">
        <v>8</v>
      </c>
      <c r="D382">
        <v>20</v>
      </c>
      <c r="E382">
        <v>100</v>
      </c>
      <c r="F382">
        <v>1.0000000000000001E-5</v>
      </c>
      <c r="G382" s="142" t="s">
        <v>6</v>
      </c>
      <c r="H382" s="142" t="s">
        <v>4</v>
      </c>
      <c r="I382">
        <v>1E-3</v>
      </c>
      <c r="J382">
        <v>0.04</v>
      </c>
      <c r="K382" s="142" t="s">
        <v>10</v>
      </c>
      <c r="L382">
        <v>4.8</v>
      </c>
      <c r="M382">
        <v>0.23</v>
      </c>
      <c r="N382">
        <v>4.6134000000000004</v>
      </c>
      <c r="O382">
        <v>0.23149</v>
      </c>
    </row>
    <row r="383" spans="1:15" x14ac:dyDescent="0.25">
      <c r="A383" s="142" t="s">
        <v>2076</v>
      </c>
      <c r="B383" s="142" t="s">
        <v>52</v>
      </c>
      <c r="C383" s="142" t="s">
        <v>8</v>
      </c>
      <c r="D383">
        <v>20</v>
      </c>
      <c r="E383">
        <v>100</v>
      </c>
      <c r="F383">
        <v>1.0000000000000001E-5</v>
      </c>
      <c r="G383" s="142" t="s">
        <v>6</v>
      </c>
      <c r="H383" s="142" t="s">
        <v>4</v>
      </c>
      <c r="I383">
        <v>0.04</v>
      </c>
      <c r="J383">
        <v>1</v>
      </c>
      <c r="K383" s="142" t="s">
        <v>10</v>
      </c>
      <c r="L383">
        <v>2.5</v>
      </c>
      <c r="M383">
        <v>0.23</v>
      </c>
      <c r="N383">
        <v>2.2999999999999998</v>
      </c>
      <c r="O383">
        <v>0.23155000000000001</v>
      </c>
    </row>
    <row r="384" spans="1:15" x14ac:dyDescent="0.25">
      <c r="A384" s="142" t="s">
        <v>926</v>
      </c>
      <c r="B384" s="142" t="s">
        <v>52</v>
      </c>
      <c r="C384" s="142" t="s">
        <v>8</v>
      </c>
      <c r="D384">
        <v>20</v>
      </c>
      <c r="E384">
        <v>100</v>
      </c>
      <c r="F384">
        <v>1.0000000000000001E-5</v>
      </c>
      <c r="G384" s="142" t="s">
        <v>6</v>
      </c>
      <c r="H384" s="142" t="s">
        <v>4</v>
      </c>
      <c r="I384">
        <v>1</v>
      </c>
      <c r="J384">
        <v>20</v>
      </c>
      <c r="K384" s="142" t="s">
        <v>10</v>
      </c>
      <c r="L384">
        <v>4.9000000000000004</v>
      </c>
      <c r="M384">
        <v>0.21</v>
      </c>
      <c r="N384">
        <v>4.8718000000000004</v>
      </c>
      <c r="O384">
        <v>0.20582</v>
      </c>
    </row>
    <row r="385" spans="1:15" x14ac:dyDescent="0.25">
      <c r="A385" s="142" t="s">
        <v>2078</v>
      </c>
      <c r="B385" s="142" t="s">
        <v>52</v>
      </c>
      <c r="C385" s="142" t="s">
        <v>8</v>
      </c>
      <c r="D385">
        <v>20</v>
      </c>
      <c r="E385">
        <v>100</v>
      </c>
      <c r="F385">
        <v>1.0000000000000001E-5</v>
      </c>
      <c r="G385" s="142" t="s">
        <v>6</v>
      </c>
      <c r="H385" s="142" t="s">
        <v>4</v>
      </c>
      <c r="I385">
        <v>20</v>
      </c>
      <c r="J385">
        <v>50</v>
      </c>
      <c r="K385" s="142" t="s">
        <v>10</v>
      </c>
      <c r="L385">
        <v>6.8</v>
      </c>
      <c r="M385">
        <v>0.36</v>
      </c>
      <c r="N385">
        <v>6.7965</v>
      </c>
      <c r="O385">
        <v>0.35979</v>
      </c>
    </row>
    <row r="386" spans="1:15" x14ac:dyDescent="0.25">
      <c r="A386" s="142" t="s">
        <v>928</v>
      </c>
      <c r="B386" s="142" t="s">
        <v>52</v>
      </c>
      <c r="C386" s="142" t="s">
        <v>8</v>
      </c>
      <c r="D386">
        <v>20</v>
      </c>
      <c r="E386">
        <v>100</v>
      </c>
      <c r="F386">
        <v>1.0000000000000001E-5</v>
      </c>
      <c r="G386" s="142" t="s">
        <v>6</v>
      </c>
      <c r="H386" s="142" t="s">
        <v>4</v>
      </c>
      <c r="I386">
        <v>50</v>
      </c>
      <c r="J386">
        <v>100</v>
      </c>
      <c r="K386" s="142" t="s">
        <v>10</v>
      </c>
      <c r="L386">
        <v>21</v>
      </c>
      <c r="M386">
        <v>1.2</v>
      </c>
      <c r="N386">
        <v>17.702999999999999</v>
      </c>
      <c r="O386">
        <v>1.232</v>
      </c>
    </row>
    <row r="387" spans="1:15" x14ac:dyDescent="0.25">
      <c r="A387" s="142" t="s">
        <v>2015</v>
      </c>
      <c r="B387" s="142" t="s">
        <v>52</v>
      </c>
      <c r="C387" s="142" t="s">
        <v>8</v>
      </c>
      <c r="D387">
        <v>0</v>
      </c>
      <c r="E387">
        <v>0.01</v>
      </c>
      <c r="F387">
        <v>1E-4</v>
      </c>
      <c r="G387" s="142" t="s">
        <v>6</v>
      </c>
      <c r="H387" s="142" t="s">
        <v>5</v>
      </c>
      <c r="I387">
        <v>1E-3</v>
      </c>
      <c r="J387">
        <v>0.04</v>
      </c>
      <c r="K387" s="142" t="s">
        <v>10</v>
      </c>
      <c r="L387">
        <v>57.844999999999999</v>
      </c>
      <c r="M387">
        <v>31.733000000000001</v>
      </c>
      <c r="N387">
        <v>57.843000000000004</v>
      </c>
      <c r="O387">
        <v>31.173999999999999</v>
      </c>
    </row>
    <row r="388" spans="1:15" x14ac:dyDescent="0.25">
      <c r="A388" s="142" t="s">
        <v>801</v>
      </c>
      <c r="B388" s="142" t="s">
        <v>52</v>
      </c>
      <c r="C388" s="142" t="s">
        <v>8</v>
      </c>
      <c r="D388">
        <v>0</v>
      </c>
      <c r="E388">
        <v>0.01</v>
      </c>
      <c r="F388">
        <v>1E-4</v>
      </c>
      <c r="G388" s="142" t="s">
        <v>6</v>
      </c>
      <c r="H388" s="142" t="s">
        <v>5</v>
      </c>
      <c r="I388">
        <v>0.04</v>
      </c>
      <c r="J388">
        <v>1</v>
      </c>
      <c r="K388" s="142" t="s">
        <v>10</v>
      </c>
      <c r="L388">
        <v>57.755000000000003</v>
      </c>
      <c r="M388">
        <v>10.305999999999999</v>
      </c>
      <c r="N388">
        <v>57.753</v>
      </c>
      <c r="O388">
        <v>9.7437000000000005</v>
      </c>
    </row>
    <row r="389" spans="1:15" x14ac:dyDescent="0.25">
      <c r="A389" s="142" t="s">
        <v>804</v>
      </c>
      <c r="B389" s="142" t="s">
        <v>52</v>
      </c>
      <c r="C389" s="142" t="s">
        <v>8</v>
      </c>
      <c r="D389">
        <v>0</v>
      </c>
      <c r="E389">
        <v>0.01</v>
      </c>
      <c r="F389">
        <v>1E-4</v>
      </c>
      <c r="G389" s="142" t="s">
        <v>6</v>
      </c>
      <c r="H389" s="142" t="s">
        <v>5</v>
      </c>
      <c r="I389">
        <v>1</v>
      </c>
      <c r="J389">
        <v>20</v>
      </c>
      <c r="K389" s="142" t="s">
        <v>10</v>
      </c>
      <c r="L389">
        <v>57.755000000000003</v>
      </c>
      <c r="M389">
        <v>18.667999999999999</v>
      </c>
      <c r="N389">
        <v>57.753</v>
      </c>
      <c r="O389">
        <v>18.106000000000002</v>
      </c>
    </row>
    <row r="390" spans="1:15" x14ac:dyDescent="0.25">
      <c r="A390" s="142" t="s">
        <v>802</v>
      </c>
      <c r="B390" s="142" t="s">
        <v>52</v>
      </c>
      <c r="C390" s="142" t="s">
        <v>8</v>
      </c>
      <c r="D390">
        <v>0</v>
      </c>
      <c r="E390">
        <v>0.01</v>
      </c>
      <c r="F390">
        <v>1E-4</v>
      </c>
      <c r="G390" s="142" t="s">
        <v>6</v>
      </c>
      <c r="H390" s="142" t="s">
        <v>5</v>
      </c>
      <c r="I390">
        <v>20</v>
      </c>
      <c r="J390">
        <v>50</v>
      </c>
      <c r="K390" s="142" t="s">
        <v>10</v>
      </c>
      <c r="L390">
        <v>57.747999999999998</v>
      </c>
      <c r="M390">
        <v>140.96</v>
      </c>
      <c r="N390">
        <v>57.741999999999997</v>
      </c>
      <c r="O390">
        <v>140.34</v>
      </c>
    </row>
    <row r="391" spans="1:15" x14ac:dyDescent="0.25">
      <c r="A391" s="142" t="s">
        <v>800</v>
      </c>
      <c r="B391" s="142" t="s">
        <v>52</v>
      </c>
      <c r="C391" s="142" t="s">
        <v>8</v>
      </c>
      <c r="D391">
        <v>0</v>
      </c>
      <c r="E391">
        <v>0.01</v>
      </c>
      <c r="F391">
        <v>1E-4</v>
      </c>
      <c r="G391" s="142" t="s">
        <v>6</v>
      </c>
      <c r="H391" s="142" t="s">
        <v>5</v>
      </c>
      <c r="I391">
        <v>50</v>
      </c>
      <c r="J391">
        <v>100</v>
      </c>
      <c r="K391" s="142" t="s">
        <v>10</v>
      </c>
      <c r="L391">
        <v>57.530999999999999</v>
      </c>
      <c r="M391">
        <v>2505.8000000000002</v>
      </c>
      <c r="N391">
        <v>57.52</v>
      </c>
      <c r="O391">
        <v>2503.6999999999998</v>
      </c>
    </row>
    <row r="392" spans="1:15" x14ac:dyDescent="0.25">
      <c r="A392" s="142" t="s">
        <v>2022</v>
      </c>
      <c r="B392" s="142" t="s">
        <v>52</v>
      </c>
      <c r="C392" s="142" t="s">
        <v>8</v>
      </c>
      <c r="D392">
        <v>0</v>
      </c>
      <c r="E392">
        <v>0.01</v>
      </c>
      <c r="F392">
        <v>1E-4</v>
      </c>
      <c r="G392" s="142" t="s">
        <v>6</v>
      </c>
      <c r="H392" s="142" t="s">
        <v>5</v>
      </c>
      <c r="I392">
        <v>100</v>
      </c>
      <c r="J392">
        <v>300</v>
      </c>
      <c r="K392" s="142" t="s">
        <v>10</v>
      </c>
      <c r="L392">
        <v>54.063000000000002</v>
      </c>
      <c r="M392">
        <v>41373</v>
      </c>
      <c r="N392">
        <v>54.018000000000001</v>
      </c>
      <c r="O392">
        <v>41375</v>
      </c>
    </row>
    <row r="393" spans="1:15" x14ac:dyDescent="0.25">
      <c r="A393" s="142" t="s">
        <v>803</v>
      </c>
      <c r="B393" s="142" t="s">
        <v>52</v>
      </c>
      <c r="C393" s="142" t="s">
        <v>8</v>
      </c>
      <c r="D393">
        <v>0</v>
      </c>
      <c r="E393">
        <v>0.01</v>
      </c>
      <c r="F393">
        <v>1E-4</v>
      </c>
      <c r="G393" s="142" t="s">
        <v>6</v>
      </c>
      <c r="H393" s="142" t="s">
        <v>5</v>
      </c>
      <c r="I393">
        <v>300</v>
      </c>
      <c r="J393">
        <v>1000</v>
      </c>
      <c r="K393" s="142" t="s">
        <v>10</v>
      </c>
      <c r="L393">
        <v>54.561</v>
      </c>
      <c r="M393">
        <v>41667</v>
      </c>
      <c r="N393">
        <v>54.518999999999998</v>
      </c>
      <c r="O393">
        <v>41669</v>
      </c>
    </row>
    <row r="394" spans="1:15" x14ac:dyDescent="0.25">
      <c r="A394" s="142" t="s">
        <v>2023</v>
      </c>
      <c r="B394" s="142" t="s">
        <v>52</v>
      </c>
      <c r="C394" s="142" t="s">
        <v>8</v>
      </c>
      <c r="D394">
        <v>0.01</v>
      </c>
      <c r="E394">
        <v>0.1</v>
      </c>
      <c r="F394">
        <v>1E-4</v>
      </c>
      <c r="G394" s="142" t="s">
        <v>6</v>
      </c>
      <c r="H394" s="142" t="s">
        <v>5</v>
      </c>
      <c r="I394">
        <v>1E-3</v>
      </c>
      <c r="J394">
        <v>0.04</v>
      </c>
      <c r="K394" s="142" t="s">
        <v>10</v>
      </c>
      <c r="L394">
        <v>57.866</v>
      </c>
      <c r="M394">
        <v>13.067</v>
      </c>
      <c r="N394">
        <v>57.865000000000002</v>
      </c>
      <c r="O394">
        <v>13.005000000000001</v>
      </c>
    </row>
    <row r="395" spans="1:15" x14ac:dyDescent="0.25">
      <c r="A395" s="142" t="s">
        <v>2027</v>
      </c>
      <c r="B395" s="142" t="s">
        <v>52</v>
      </c>
      <c r="C395" s="142" t="s">
        <v>8</v>
      </c>
      <c r="D395">
        <v>0.01</v>
      </c>
      <c r="E395">
        <v>0.1</v>
      </c>
      <c r="F395">
        <v>1E-4</v>
      </c>
      <c r="G395" s="142" t="s">
        <v>6</v>
      </c>
      <c r="H395" s="142" t="s">
        <v>5</v>
      </c>
      <c r="I395">
        <v>0.04</v>
      </c>
      <c r="J395">
        <v>1</v>
      </c>
      <c r="K395" s="142" t="s">
        <v>10</v>
      </c>
      <c r="L395">
        <v>57.726999999999997</v>
      </c>
      <c r="M395">
        <v>9.9361999999999995</v>
      </c>
      <c r="N395">
        <v>57.725000000000001</v>
      </c>
      <c r="O395">
        <v>9.8740000000000006</v>
      </c>
    </row>
    <row r="396" spans="1:15" x14ac:dyDescent="0.25">
      <c r="A396" s="142" t="s">
        <v>832</v>
      </c>
      <c r="B396" s="142" t="s">
        <v>52</v>
      </c>
      <c r="C396" s="142" t="s">
        <v>8</v>
      </c>
      <c r="D396">
        <v>0.01</v>
      </c>
      <c r="E396">
        <v>0.1</v>
      </c>
      <c r="F396">
        <v>1E-4</v>
      </c>
      <c r="G396" s="142" t="s">
        <v>6</v>
      </c>
      <c r="H396" s="142" t="s">
        <v>5</v>
      </c>
      <c r="I396">
        <v>1</v>
      </c>
      <c r="J396">
        <v>20</v>
      </c>
      <c r="K396" s="142" t="s">
        <v>10</v>
      </c>
      <c r="L396">
        <v>57.564999999999998</v>
      </c>
      <c r="M396">
        <v>31.061</v>
      </c>
      <c r="N396">
        <v>57.563000000000002</v>
      </c>
      <c r="O396">
        <v>31.001999999999999</v>
      </c>
    </row>
    <row r="397" spans="1:15" x14ac:dyDescent="0.25">
      <c r="A397" s="142" t="s">
        <v>833</v>
      </c>
      <c r="B397" s="142" t="s">
        <v>52</v>
      </c>
      <c r="C397" s="142" t="s">
        <v>8</v>
      </c>
      <c r="D397">
        <v>0.01</v>
      </c>
      <c r="E397">
        <v>0.1</v>
      </c>
      <c r="F397">
        <v>1E-4</v>
      </c>
      <c r="G397" s="142" t="s">
        <v>6</v>
      </c>
      <c r="H397" s="142" t="s">
        <v>5</v>
      </c>
      <c r="I397">
        <v>20</v>
      </c>
      <c r="J397">
        <v>50</v>
      </c>
      <c r="K397" s="142" t="s">
        <v>10</v>
      </c>
      <c r="L397">
        <v>56.86</v>
      </c>
      <c r="M397">
        <v>117.57</v>
      </c>
      <c r="N397">
        <v>56.853999999999999</v>
      </c>
      <c r="O397">
        <v>117.39</v>
      </c>
    </row>
    <row r="398" spans="1:15" x14ac:dyDescent="0.25">
      <c r="A398" s="142" t="s">
        <v>834</v>
      </c>
      <c r="B398" s="142" t="s">
        <v>52</v>
      </c>
      <c r="C398" s="142" t="s">
        <v>8</v>
      </c>
      <c r="D398">
        <v>0.01</v>
      </c>
      <c r="E398">
        <v>0.1</v>
      </c>
      <c r="F398">
        <v>1E-4</v>
      </c>
      <c r="G398" s="142" t="s">
        <v>6</v>
      </c>
      <c r="H398" s="142" t="s">
        <v>5</v>
      </c>
      <c r="I398">
        <v>50</v>
      </c>
      <c r="J398">
        <v>100</v>
      </c>
      <c r="K398" s="142" t="s">
        <v>10</v>
      </c>
      <c r="L398">
        <v>53.125999999999998</v>
      </c>
      <c r="M398">
        <v>578.54999999999995</v>
      </c>
      <c r="N398">
        <v>53.100999999999999</v>
      </c>
      <c r="O398">
        <v>578.23</v>
      </c>
    </row>
    <row r="399" spans="1:15" x14ac:dyDescent="0.25">
      <c r="A399" s="142" t="s">
        <v>2035</v>
      </c>
      <c r="B399" s="142" t="s">
        <v>52</v>
      </c>
      <c r="C399" s="142" t="s">
        <v>8</v>
      </c>
      <c r="D399">
        <v>0.01</v>
      </c>
      <c r="E399">
        <v>0.1</v>
      </c>
      <c r="F399">
        <v>1E-4</v>
      </c>
      <c r="G399" s="142" t="s">
        <v>6</v>
      </c>
      <c r="H399" s="142" t="s">
        <v>5</v>
      </c>
      <c r="I399">
        <v>100</v>
      </c>
      <c r="J399">
        <v>300</v>
      </c>
      <c r="K399" s="142" t="s">
        <v>10</v>
      </c>
      <c r="L399">
        <v>41.973999999999997</v>
      </c>
      <c r="M399">
        <v>3206.8</v>
      </c>
      <c r="N399">
        <v>41.872999999999998</v>
      </c>
      <c r="O399">
        <v>3207.2</v>
      </c>
    </row>
    <row r="400" spans="1:15" x14ac:dyDescent="0.25">
      <c r="A400" s="142" t="s">
        <v>835</v>
      </c>
      <c r="B400" s="142" t="s">
        <v>52</v>
      </c>
      <c r="C400" s="142" t="s">
        <v>8</v>
      </c>
      <c r="D400">
        <v>0.01</v>
      </c>
      <c r="E400">
        <v>0.1</v>
      </c>
      <c r="F400">
        <v>1E-4</v>
      </c>
      <c r="G400" s="142" t="s">
        <v>6</v>
      </c>
      <c r="H400" s="142" t="s">
        <v>5</v>
      </c>
      <c r="I400">
        <v>300</v>
      </c>
      <c r="J400">
        <v>1000</v>
      </c>
      <c r="K400" s="142" t="s">
        <v>10</v>
      </c>
      <c r="L400">
        <v>20.544</v>
      </c>
      <c r="M400">
        <v>11915</v>
      </c>
      <c r="N400">
        <v>25.297000000000001</v>
      </c>
      <c r="O400">
        <v>11424</v>
      </c>
    </row>
    <row r="401" spans="1:15" x14ac:dyDescent="0.25">
      <c r="A401" s="142" t="s">
        <v>855</v>
      </c>
      <c r="B401" s="142" t="s">
        <v>52</v>
      </c>
      <c r="C401" s="142" t="s">
        <v>8</v>
      </c>
      <c r="D401">
        <v>0.1</v>
      </c>
      <c r="E401">
        <v>1</v>
      </c>
      <c r="F401">
        <v>1E-4</v>
      </c>
      <c r="G401" s="142" t="s">
        <v>6</v>
      </c>
      <c r="H401" s="142" t="s">
        <v>5</v>
      </c>
      <c r="I401">
        <v>1E-3</v>
      </c>
      <c r="J401">
        <v>0.04</v>
      </c>
      <c r="K401" s="142" t="s">
        <v>10</v>
      </c>
      <c r="L401">
        <v>72.546999999999997</v>
      </c>
      <c r="M401">
        <v>67.655000000000001</v>
      </c>
      <c r="N401">
        <v>67.632000000000005</v>
      </c>
      <c r="O401">
        <v>67.632000000000005</v>
      </c>
    </row>
    <row r="402" spans="1:15" x14ac:dyDescent="0.25">
      <c r="A402" s="142" t="s">
        <v>2038</v>
      </c>
      <c r="B402" s="142" t="s">
        <v>52</v>
      </c>
      <c r="C402" s="142" t="s">
        <v>8</v>
      </c>
      <c r="D402">
        <v>0.1</v>
      </c>
      <c r="E402">
        <v>1</v>
      </c>
      <c r="F402">
        <v>1E-4</v>
      </c>
      <c r="G402" s="142" t="s">
        <v>6</v>
      </c>
      <c r="H402" s="142" t="s">
        <v>5</v>
      </c>
      <c r="I402">
        <v>0.04</v>
      </c>
      <c r="J402">
        <v>1</v>
      </c>
      <c r="K402" s="142" t="s">
        <v>10</v>
      </c>
      <c r="L402">
        <v>59.719000000000001</v>
      </c>
      <c r="M402">
        <v>59.856000000000002</v>
      </c>
      <c r="N402">
        <v>59.677</v>
      </c>
      <c r="O402">
        <v>59.831000000000003</v>
      </c>
    </row>
    <row r="403" spans="1:15" x14ac:dyDescent="0.25">
      <c r="A403" s="142" t="s">
        <v>2039</v>
      </c>
      <c r="B403" s="142" t="s">
        <v>52</v>
      </c>
      <c r="C403" s="142" t="s">
        <v>8</v>
      </c>
      <c r="D403">
        <v>0.1</v>
      </c>
      <c r="E403">
        <v>1</v>
      </c>
      <c r="F403">
        <v>1E-4</v>
      </c>
      <c r="G403" s="142" t="s">
        <v>6</v>
      </c>
      <c r="H403" s="142" t="s">
        <v>5</v>
      </c>
      <c r="I403">
        <v>1</v>
      </c>
      <c r="J403">
        <v>20</v>
      </c>
      <c r="K403" s="142" t="s">
        <v>10</v>
      </c>
      <c r="L403">
        <v>56.17</v>
      </c>
      <c r="M403">
        <v>138.05000000000001</v>
      </c>
      <c r="N403">
        <v>56.055</v>
      </c>
      <c r="O403">
        <v>138.03</v>
      </c>
    </row>
    <row r="404" spans="1:15" x14ac:dyDescent="0.25">
      <c r="A404" s="142" t="s">
        <v>859</v>
      </c>
      <c r="B404" s="142" t="s">
        <v>52</v>
      </c>
      <c r="C404" s="142" t="s">
        <v>8</v>
      </c>
      <c r="D404">
        <v>0.1</v>
      </c>
      <c r="E404">
        <v>1</v>
      </c>
      <c r="F404">
        <v>1E-4</v>
      </c>
      <c r="G404" s="142" t="s">
        <v>6</v>
      </c>
      <c r="H404" s="142" t="s">
        <v>5</v>
      </c>
      <c r="I404">
        <v>20</v>
      </c>
      <c r="J404">
        <v>50</v>
      </c>
      <c r="K404" s="142" t="s">
        <v>10</v>
      </c>
      <c r="L404">
        <v>49.512999999999998</v>
      </c>
      <c r="M404">
        <v>325.06</v>
      </c>
      <c r="N404">
        <v>49.170999999999999</v>
      </c>
      <c r="O404">
        <v>325.20999999999998</v>
      </c>
    </row>
    <row r="405" spans="1:15" x14ac:dyDescent="0.25">
      <c r="A405" s="142" t="s">
        <v>858</v>
      </c>
      <c r="B405" s="142" t="s">
        <v>52</v>
      </c>
      <c r="C405" s="142" t="s">
        <v>8</v>
      </c>
      <c r="D405">
        <v>0.1</v>
      </c>
      <c r="E405">
        <v>1</v>
      </c>
      <c r="F405">
        <v>1E-4</v>
      </c>
      <c r="G405" s="142" t="s">
        <v>6</v>
      </c>
      <c r="H405" s="142" t="s">
        <v>5</v>
      </c>
      <c r="I405">
        <v>50</v>
      </c>
      <c r="J405">
        <v>100</v>
      </c>
      <c r="K405" s="142" t="s">
        <v>10</v>
      </c>
      <c r="L405">
        <v>38.646999999999998</v>
      </c>
      <c r="M405">
        <v>910.33</v>
      </c>
      <c r="N405">
        <v>38.046999999999997</v>
      </c>
      <c r="O405">
        <v>910.76</v>
      </c>
    </row>
    <row r="406" spans="1:15" x14ac:dyDescent="0.25">
      <c r="A406" s="142" t="s">
        <v>856</v>
      </c>
      <c r="B406" s="142" t="s">
        <v>52</v>
      </c>
      <c r="C406" s="142" t="s">
        <v>8</v>
      </c>
      <c r="D406">
        <v>0.1</v>
      </c>
      <c r="E406">
        <v>1</v>
      </c>
      <c r="F406">
        <v>1E-4</v>
      </c>
      <c r="G406" s="142" t="s">
        <v>6</v>
      </c>
      <c r="H406" s="142" t="s">
        <v>5</v>
      </c>
      <c r="I406">
        <v>100</v>
      </c>
      <c r="J406">
        <v>300</v>
      </c>
      <c r="K406" s="142" t="s">
        <v>10</v>
      </c>
      <c r="L406">
        <v>120</v>
      </c>
      <c r="M406">
        <v>3500</v>
      </c>
      <c r="N406">
        <v>119.41</v>
      </c>
      <c r="O406">
        <v>3460.8</v>
      </c>
    </row>
    <row r="407" spans="1:15" x14ac:dyDescent="0.25">
      <c r="A407" s="142" t="s">
        <v>857</v>
      </c>
      <c r="B407" s="142" t="s">
        <v>52</v>
      </c>
      <c r="C407" s="142" t="s">
        <v>8</v>
      </c>
      <c r="D407">
        <v>0.1</v>
      </c>
      <c r="E407">
        <v>1</v>
      </c>
      <c r="F407">
        <v>1E-4</v>
      </c>
      <c r="G407" s="142" t="s">
        <v>6</v>
      </c>
      <c r="H407" s="142" t="s">
        <v>5</v>
      </c>
      <c r="I407">
        <v>300</v>
      </c>
      <c r="J407">
        <v>1000</v>
      </c>
      <c r="K407" s="142" t="s">
        <v>10</v>
      </c>
      <c r="L407">
        <v>120</v>
      </c>
      <c r="M407">
        <v>12000</v>
      </c>
      <c r="N407">
        <v>116.61</v>
      </c>
      <c r="O407">
        <v>11549</v>
      </c>
    </row>
    <row r="408" spans="1:15" x14ac:dyDescent="0.25">
      <c r="A408" s="142" t="s">
        <v>884</v>
      </c>
      <c r="B408" s="142" t="s">
        <v>52</v>
      </c>
      <c r="C408" s="142" t="s">
        <v>8</v>
      </c>
      <c r="D408">
        <v>1</v>
      </c>
      <c r="E408">
        <v>10</v>
      </c>
      <c r="F408">
        <v>1E-4</v>
      </c>
      <c r="G408" s="142" t="s">
        <v>6</v>
      </c>
      <c r="H408" s="142" t="s">
        <v>4</v>
      </c>
      <c r="I408">
        <v>1E-3</v>
      </c>
      <c r="J408">
        <v>0.04</v>
      </c>
      <c r="K408" s="142" t="s">
        <v>10</v>
      </c>
      <c r="L408">
        <v>0.47</v>
      </c>
      <c r="M408">
        <v>8.3000000000000004E-2</v>
      </c>
      <c r="N408">
        <v>0.46359</v>
      </c>
      <c r="O408">
        <v>8.2355999999999999E-2</v>
      </c>
    </row>
    <row r="409" spans="1:15" x14ac:dyDescent="0.25">
      <c r="A409" s="142" t="s">
        <v>2047</v>
      </c>
      <c r="B409" s="142" t="s">
        <v>52</v>
      </c>
      <c r="C409" s="142" t="s">
        <v>8</v>
      </c>
      <c r="D409">
        <v>1</v>
      </c>
      <c r="E409">
        <v>10</v>
      </c>
      <c r="F409">
        <v>1E-4</v>
      </c>
      <c r="G409" s="142" t="s">
        <v>6</v>
      </c>
      <c r="H409" s="142" t="s">
        <v>4</v>
      </c>
      <c r="I409">
        <v>0.04</v>
      </c>
      <c r="J409">
        <v>1</v>
      </c>
      <c r="K409" s="142" t="s">
        <v>10</v>
      </c>
      <c r="L409">
        <v>0.24</v>
      </c>
      <c r="M409">
        <v>8.2000000000000003E-2</v>
      </c>
      <c r="N409">
        <v>0.23588999999999999</v>
      </c>
      <c r="O409">
        <v>8.1435999999999995E-2</v>
      </c>
    </row>
    <row r="410" spans="1:15" x14ac:dyDescent="0.25">
      <c r="A410" s="142" t="s">
        <v>885</v>
      </c>
      <c r="B410" s="142" t="s">
        <v>52</v>
      </c>
      <c r="C410" s="142" t="s">
        <v>8</v>
      </c>
      <c r="D410">
        <v>1</v>
      </c>
      <c r="E410">
        <v>10</v>
      </c>
      <c r="F410">
        <v>1E-4</v>
      </c>
      <c r="G410" s="142" t="s">
        <v>6</v>
      </c>
      <c r="H410" s="142" t="s">
        <v>4</v>
      </c>
      <c r="I410">
        <v>1</v>
      </c>
      <c r="J410">
        <v>20</v>
      </c>
      <c r="K410" s="142" t="s">
        <v>10</v>
      </c>
      <c r="L410">
        <v>0.26</v>
      </c>
      <c r="M410">
        <v>0.16</v>
      </c>
      <c r="N410">
        <v>0.23527000000000001</v>
      </c>
      <c r="O410">
        <v>0.16184999999999999</v>
      </c>
    </row>
    <row r="411" spans="1:15" x14ac:dyDescent="0.25">
      <c r="A411" s="142" t="s">
        <v>887</v>
      </c>
      <c r="B411" s="142" t="s">
        <v>52</v>
      </c>
      <c r="C411" s="142" t="s">
        <v>8</v>
      </c>
      <c r="D411">
        <v>1</v>
      </c>
      <c r="E411">
        <v>10</v>
      </c>
      <c r="F411">
        <v>1E-4</v>
      </c>
      <c r="G411" s="142" t="s">
        <v>6</v>
      </c>
      <c r="H411" s="142" t="s">
        <v>4</v>
      </c>
      <c r="I411">
        <v>20</v>
      </c>
      <c r="J411">
        <v>50</v>
      </c>
      <c r="K411" s="142" t="s">
        <v>10</v>
      </c>
      <c r="L411">
        <v>0.24</v>
      </c>
      <c r="M411">
        <v>0.35</v>
      </c>
      <c r="N411">
        <v>0.23385</v>
      </c>
      <c r="O411">
        <v>0.34671000000000002</v>
      </c>
    </row>
    <row r="412" spans="1:15" x14ac:dyDescent="0.25">
      <c r="A412" s="142" t="s">
        <v>2054</v>
      </c>
      <c r="B412" s="142" t="s">
        <v>52</v>
      </c>
      <c r="C412" s="142" t="s">
        <v>8</v>
      </c>
      <c r="D412">
        <v>1</v>
      </c>
      <c r="E412">
        <v>10</v>
      </c>
      <c r="F412">
        <v>1E-4</v>
      </c>
      <c r="G412" s="142" t="s">
        <v>6</v>
      </c>
      <c r="H412" s="142" t="s">
        <v>4</v>
      </c>
      <c r="I412">
        <v>50</v>
      </c>
      <c r="J412">
        <v>100</v>
      </c>
      <c r="K412" s="142" t="s">
        <v>10</v>
      </c>
      <c r="L412">
        <v>0.28000000000000003</v>
      </c>
      <c r="M412">
        <v>0.92</v>
      </c>
      <c r="N412">
        <v>0.23250000000000001</v>
      </c>
      <c r="O412">
        <v>0.92388000000000003</v>
      </c>
    </row>
    <row r="413" spans="1:15" x14ac:dyDescent="0.25">
      <c r="A413" s="142" t="s">
        <v>886</v>
      </c>
      <c r="B413" s="142" t="s">
        <v>52</v>
      </c>
      <c r="C413" s="142" t="s">
        <v>8</v>
      </c>
      <c r="D413">
        <v>1</v>
      </c>
      <c r="E413">
        <v>10</v>
      </c>
      <c r="F413">
        <v>1E-4</v>
      </c>
      <c r="G413" s="142" t="s">
        <v>6</v>
      </c>
      <c r="H413" s="142" t="s">
        <v>4</v>
      </c>
      <c r="I413">
        <v>100</v>
      </c>
      <c r="J413">
        <v>300</v>
      </c>
      <c r="K413" s="142" t="s">
        <v>10</v>
      </c>
      <c r="L413">
        <v>1.2</v>
      </c>
      <c r="M413">
        <v>3.5</v>
      </c>
      <c r="N413">
        <v>1.155</v>
      </c>
      <c r="O413">
        <v>3.4643999999999999</v>
      </c>
    </row>
    <row r="414" spans="1:15" x14ac:dyDescent="0.25">
      <c r="A414" s="142" t="s">
        <v>883</v>
      </c>
      <c r="B414" s="142" t="s">
        <v>52</v>
      </c>
      <c r="C414" s="142" t="s">
        <v>8</v>
      </c>
      <c r="D414">
        <v>1</v>
      </c>
      <c r="E414">
        <v>10</v>
      </c>
      <c r="F414">
        <v>1E-4</v>
      </c>
      <c r="G414" s="142" t="s">
        <v>6</v>
      </c>
      <c r="H414" s="142" t="s">
        <v>4</v>
      </c>
      <c r="I414">
        <v>300</v>
      </c>
      <c r="J414">
        <v>1000</v>
      </c>
      <c r="K414" s="142" t="s">
        <v>10</v>
      </c>
      <c r="L414">
        <v>0.72</v>
      </c>
      <c r="M414">
        <v>12</v>
      </c>
      <c r="N414">
        <v>1.1534</v>
      </c>
      <c r="O414">
        <v>11.551</v>
      </c>
    </row>
    <row r="415" spans="1:15" x14ac:dyDescent="0.25">
      <c r="A415" s="142" t="s">
        <v>2059</v>
      </c>
      <c r="B415" s="142" t="s">
        <v>52</v>
      </c>
      <c r="C415" s="142" t="s">
        <v>8</v>
      </c>
      <c r="D415">
        <v>10</v>
      </c>
      <c r="E415">
        <v>20</v>
      </c>
      <c r="F415">
        <v>1E-4</v>
      </c>
      <c r="G415" s="142" t="s">
        <v>6</v>
      </c>
      <c r="H415" s="142" t="s">
        <v>4</v>
      </c>
      <c r="I415">
        <v>1E-3</v>
      </c>
      <c r="J415">
        <v>0.04</v>
      </c>
      <c r="K415" s="142" t="s">
        <v>10</v>
      </c>
      <c r="L415">
        <v>4.7</v>
      </c>
      <c r="M415">
        <v>0.23</v>
      </c>
      <c r="N415">
        <v>4.6181000000000001</v>
      </c>
      <c r="O415">
        <v>0.23133000000000001</v>
      </c>
    </row>
    <row r="416" spans="1:15" x14ac:dyDescent="0.25">
      <c r="A416" s="142" t="s">
        <v>906</v>
      </c>
      <c r="B416" s="142" t="s">
        <v>52</v>
      </c>
      <c r="C416" s="142" t="s">
        <v>8</v>
      </c>
      <c r="D416">
        <v>10</v>
      </c>
      <c r="E416">
        <v>20</v>
      </c>
      <c r="F416">
        <v>1E-4</v>
      </c>
      <c r="G416" s="142" t="s">
        <v>6</v>
      </c>
      <c r="H416" s="142" t="s">
        <v>4</v>
      </c>
      <c r="I416">
        <v>0.04</v>
      </c>
      <c r="J416">
        <v>1</v>
      </c>
      <c r="K416" s="142" t="s">
        <v>10</v>
      </c>
      <c r="L416">
        <v>2.4</v>
      </c>
      <c r="M416">
        <v>0.23</v>
      </c>
      <c r="N416">
        <v>2.3086000000000002</v>
      </c>
      <c r="O416">
        <v>0.23128000000000001</v>
      </c>
    </row>
    <row r="417" spans="1:15" x14ac:dyDescent="0.25">
      <c r="A417" s="142" t="s">
        <v>2062</v>
      </c>
      <c r="B417" s="142" t="s">
        <v>52</v>
      </c>
      <c r="C417" s="142" t="s">
        <v>8</v>
      </c>
      <c r="D417">
        <v>10</v>
      </c>
      <c r="E417">
        <v>20</v>
      </c>
      <c r="F417">
        <v>1E-4</v>
      </c>
      <c r="G417" s="142" t="s">
        <v>6</v>
      </c>
      <c r="H417" s="142" t="s">
        <v>4</v>
      </c>
      <c r="I417">
        <v>1</v>
      </c>
      <c r="J417">
        <v>20</v>
      </c>
      <c r="K417" s="142" t="s">
        <v>10</v>
      </c>
      <c r="L417">
        <v>2.4</v>
      </c>
      <c r="M417">
        <v>0.23</v>
      </c>
      <c r="N417">
        <v>2.3075999999999999</v>
      </c>
      <c r="O417">
        <v>0.23138</v>
      </c>
    </row>
    <row r="418" spans="1:15" x14ac:dyDescent="0.25">
      <c r="A418" s="142" t="s">
        <v>2066</v>
      </c>
      <c r="B418" s="142" t="s">
        <v>52</v>
      </c>
      <c r="C418" s="142" t="s">
        <v>8</v>
      </c>
      <c r="D418">
        <v>10</v>
      </c>
      <c r="E418">
        <v>20</v>
      </c>
      <c r="F418">
        <v>1E-4</v>
      </c>
      <c r="G418" s="142" t="s">
        <v>6</v>
      </c>
      <c r="H418" s="142" t="s">
        <v>4</v>
      </c>
      <c r="I418">
        <v>20</v>
      </c>
      <c r="J418">
        <v>50</v>
      </c>
      <c r="K418" s="142" t="s">
        <v>10</v>
      </c>
      <c r="L418">
        <v>2.5</v>
      </c>
      <c r="M418">
        <v>0.4</v>
      </c>
      <c r="N418">
        <v>2.3081</v>
      </c>
      <c r="O418">
        <v>0.40462999999999999</v>
      </c>
    </row>
    <row r="419" spans="1:15" x14ac:dyDescent="0.25">
      <c r="A419" s="142" t="s">
        <v>2067</v>
      </c>
      <c r="B419" s="142" t="s">
        <v>52</v>
      </c>
      <c r="C419" s="142" t="s">
        <v>8</v>
      </c>
      <c r="D419">
        <v>10</v>
      </c>
      <c r="E419">
        <v>20</v>
      </c>
      <c r="F419">
        <v>1E-4</v>
      </c>
      <c r="G419" s="142" t="s">
        <v>6</v>
      </c>
      <c r="H419" s="142" t="s">
        <v>4</v>
      </c>
      <c r="I419">
        <v>50</v>
      </c>
      <c r="J419">
        <v>100</v>
      </c>
      <c r="K419" s="142" t="s">
        <v>10</v>
      </c>
      <c r="L419">
        <v>2.4</v>
      </c>
      <c r="M419">
        <v>1.4</v>
      </c>
      <c r="N419">
        <v>2.3088000000000002</v>
      </c>
      <c r="O419">
        <v>1.3858999999999999</v>
      </c>
    </row>
    <row r="420" spans="1:15" x14ac:dyDescent="0.25">
      <c r="A420" s="142" t="s">
        <v>2068</v>
      </c>
      <c r="B420" s="142" t="s">
        <v>52</v>
      </c>
      <c r="C420" s="142" t="s">
        <v>8</v>
      </c>
      <c r="D420">
        <v>10</v>
      </c>
      <c r="E420">
        <v>20</v>
      </c>
      <c r="F420">
        <v>1E-4</v>
      </c>
      <c r="G420" s="142" t="s">
        <v>6</v>
      </c>
      <c r="H420" s="142" t="s">
        <v>4</v>
      </c>
      <c r="I420">
        <v>100</v>
      </c>
      <c r="J420">
        <v>300</v>
      </c>
      <c r="K420" s="142" t="s">
        <v>10</v>
      </c>
      <c r="L420">
        <v>12</v>
      </c>
      <c r="M420">
        <v>4.5999999999999996</v>
      </c>
      <c r="N420">
        <v>11.491</v>
      </c>
      <c r="O420">
        <v>4.6246</v>
      </c>
    </row>
    <row r="421" spans="1:15" x14ac:dyDescent="0.25">
      <c r="A421" s="142" t="s">
        <v>2072</v>
      </c>
      <c r="B421" s="142" t="s">
        <v>52</v>
      </c>
      <c r="C421" s="142" t="s">
        <v>8</v>
      </c>
      <c r="D421">
        <v>10</v>
      </c>
      <c r="E421">
        <v>20</v>
      </c>
      <c r="F421">
        <v>1E-4</v>
      </c>
      <c r="G421" s="142" t="s">
        <v>6</v>
      </c>
      <c r="H421" s="142" t="s">
        <v>4</v>
      </c>
      <c r="I421">
        <v>300</v>
      </c>
      <c r="J421">
        <v>1000</v>
      </c>
      <c r="K421" s="142" t="s">
        <v>10</v>
      </c>
      <c r="L421">
        <v>19</v>
      </c>
      <c r="M421">
        <v>17</v>
      </c>
      <c r="N421">
        <v>11.385999999999999</v>
      </c>
      <c r="O421">
        <v>17.338999999999999</v>
      </c>
    </row>
    <row r="422" spans="1:15" x14ac:dyDescent="0.25">
      <c r="A422" s="142" t="s">
        <v>931</v>
      </c>
      <c r="B422" s="142" t="s">
        <v>52</v>
      </c>
      <c r="C422" s="142" t="s">
        <v>8</v>
      </c>
      <c r="D422">
        <v>20</v>
      </c>
      <c r="E422">
        <v>100</v>
      </c>
      <c r="F422">
        <v>1E-4</v>
      </c>
      <c r="G422" s="142" t="s">
        <v>6</v>
      </c>
      <c r="H422" s="142" t="s">
        <v>4</v>
      </c>
      <c r="I422">
        <v>1E-3</v>
      </c>
      <c r="J422">
        <v>0.04</v>
      </c>
      <c r="K422" s="142" t="s">
        <v>10</v>
      </c>
      <c r="L422">
        <v>4.8</v>
      </c>
      <c r="M422">
        <v>0.23</v>
      </c>
      <c r="N422">
        <v>4.6135999999999999</v>
      </c>
      <c r="O422">
        <v>0.23149</v>
      </c>
    </row>
    <row r="423" spans="1:15" x14ac:dyDescent="0.25">
      <c r="A423" s="142" t="s">
        <v>929</v>
      </c>
      <c r="B423" s="142" t="s">
        <v>52</v>
      </c>
      <c r="C423" s="142" t="s">
        <v>8</v>
      </c>
      <c r="D423">
        <v>20</v>
      </c>
      <c r="E423">
        <v>100</v>
      </c>
      <c r="F423">
        <v>1E-4</v>
      </c>
      <c r="G423" s="142" t="s">
        <v>6</v>
      </c>
      <c r="H423" s="142" t="s">
        <v>4</v>
      </c>
      <c r="I423">
        <v>0.04</v>
      </c>
      <c r="J423">
        <v>1</v>
      </c>
      <c r="K423" s="142" t="s">
        <v>10</v>
      </c>
      <c r="L423">
        <v>2.5</v>
      </c>
      <c r="M423">
        <v>0.23</v>
      </c>
      <c r="N423">
        <v>2.3003</v>
      </c>
      <c r="O423">
        <v>0.23155000000000001</v>
      </c>
    </row>
    <row r="424" spans="1:15" x14ac:dyDescent="0.25">
      <c r="A424" s="142" t="s">
        <v>932</v>
      </c>
      <c r="B424" s="142" t="s">
        <v>52</v>
      </c>
      <c r="C424" s="142" t="s">
        <v>8</v>
      </c>
      <c r="D424">
        <v>20</v>
      </c>
      <c r="E424">
        <v>100</v>
      </c>
      <c r="F424">
        <v>1E-4</v>
      </c>
      <c r="G424" s="142" t="s">
        <v>6</v>
      </c>
      <c r="H424" s="142" t="s">
        <v>4</v>
      </c>
      <c r="I424">
        <v>1</v>
      </c>
      <c r="J424">
        <v>20</v>
      </c>
      <c r="K424" s="142" t="s">
        <v>10</v>
      </c>
      <c r="L424">
        <v>4.9000000000000004</v>
      </c>
      <c r="M424">
        <v>0.21</v>
      </c>
      <c r="N424">
        <v>4.8719000000000001</v>
      </c>
      <c r="O424">
        <v>0.20582</v>
      </c>
    </row>
    <row r="425" spans="1:15" x14ac:dyDescent="0.25">
      <c r="A425" s="142" t="s">
        <v>2079</v>
      </c>
      <c r="B425" s="142" t="s">
        <v>52</v>
      </c>
      <c r="C425" s="142" t="s">
        <v>8</v>
      </c>
      <c r="D425">
        <v>20</v>
      </c>
      <c r="E425">
        <v>100</v>
      </c>
      <c r="F425">
        <v>1E-4</v>
      </c>
      <c r="G425" s="142" t="s">
        <v>6</v>
      </c>
      <c r="H425" s="142" t="s">
        <v>4</v>
      </c>
      <c r="I425">
        <v>20</v>
      </c>
      <c r="J425">
        <v>50</v>
      </c>
      <c r="K425" s="142" t="s">
        <v>10</v>
      </c>
      <c r="L425">
        <v>6.8</v>
      </c>
      <c r="M425">
        <v>0.36</v>
      </c>
      <c r="N425">
        <v>6.7965999999999998</v>
      </c>
      <c r="O425">
        <v>0.35979</v>
      </c>
    </row>
    <row r="426" spans="1:15" x14ac:dyDescent="0.25">
      <c r="A426" s="142" t="s">
        <v>930</v>
      </c>
      <c r="B426" s="142" t="s">
        <v>52</v>
      </c>
      <c r="C426" s="142" t="s">
        <v>8</v>
      </c>
      <c r="D426">
        <v>20</v>
      </c>
      <c r="E426">
        <v>100</v>
      </c>
      <c r="F426">
        <v>1E-4</v>
      </c>
      <c r="G426" s="142" t="s">
        <v>6</v>
      </c>
      <c r="H426" s="142" t="s">
        <v>4</v>
      </c>
      <c r="I426">
        <v>50</v>
      </c>
      <c r="J426">
        <v>100</v>
      </c>
      <c r="K426" s="142" t="s">
        <v>10</v>
      </c>
      <c r="L426">
        <v>21</v>
      </c>
      <c r="M426">
        <v>1.2</v>
      </c>
      <c r="N426">
        <v>17.704000000000001</v>
      </c>
      <c r="O426">
        <v>1.232</v>
      </c>
    </row>
    <row r="427" spans="1:15" x14ac:dyDescent="0.25">
      <c r="A427" s="142" t="s">
        <v>951</v>
      </c>
      <c r="B427" s="142" t="s">
        <v>52</v>
      </c>
      <c r="C427" s="142" t="s">
        <v>8</v>
      </c>
      <c r="D427">
        <v>100</v>
      </c>
      <c r="E427">
        <v>330</v>
      </c>
      <c r="F427">
        <v>1E-4</v>
      </c>
      <c r="G427" s="142" t="s">
        <v>6</v>
      </c>
      <c r="H427" s="142" t="s">
        <v>4</v>
      </c>
      <c r="I427">
        <v>1E-3</v>
      </c>
      <c r="J427">
        <v>0.04</v>
      </c>
      <c r="K427" s="142" t="s">
        <v>10</v>
      </c>
      <c r="L427">
        <v>47</v>
      </c>
      <c r="M427">
        <v>0.46</v>
      </c>
      <c r="N427">
        <v>46.174999999999997</v>
      </c>
      <c r="O427">
        <v>0.46216000000000002</v>
      </c>
    </row>
    <row r="428" spans="1:15" x14ac:dyDescent="0.25">
      <c r="A428" s="142" t="s">
        <v>2082</v>
      </c>
      <c r="B428" s="142" t="s">
        <v>52</v>
      </c>
      <c r="C428" s="142" t="s">
        <v>8</v>
      </c>
      <c r="D428">
        <v>100</v>
      </c>
      <c r="E428">
        <v>330</v>
      </c>
      <c r="F428">
        <v>1E-4</v>
      </c>
      <c r="G428" s="142" t="s">
        <v>6</v>
      </c>
      <c r="H428" s="142" t="s">
        <v>4</v>
      </c>
      <c r="I428">
        <v>0.04</v>
      </c>
      <c r="J428">
        <v>1</v>
      </c>
      <c r="K428" s="142" t="s">
        <v>10</v>
      </c>
      <c r="L428">
        <v>24</v>
      </c>
      <c r="M428">
        <v>0.46</v>
      </c>
      <c r="N428">
        <v>23.076000000000001</v>
      </c>
      <c r="O428">
        <v>0.46221000000000001</v>
      </c>
    </row>
    <row r="429" spans="1:15" x14ac:dyDescent="0.25">
      <c r="A429" s="142" t="s">
        <v>949</v>
      </c>
      <c r="B429" s="142" t="s">
        <v>52</v>
      </c>
      <c r="C429" s="142" t="s">
        <v>8</v>
      </c>
      <c r="D429">
        <v>100</v>
      </c>
      <c r="E429">
        <v>330</v>
      </c>
      <c r="F429">
        <v>1E-4</v>
      </c>
      <c r="G429" s="142" t="s">
        <v>6</v>
      </c>
      <c r="H429" s="142" t="s">
        <v>4</v>
      </c>
      <c r="I429">
        <v>1</v>
      </c>
      <c r="J429">
        <v>20</v>
      </c>
      <c r="K429" s="142" t="s">
        <v>10</v>
      </c>
      <c r="L429">
        <v>23</v>
      </c>
      <c r="M429">
        <v>0.7</v>
      </c>
      <c r="N429">
        <v>22.826000000000001</v>
      </c>
      <c r="O429">
        <v>0.69564999999999999</v>
      </c>
    </row>
    <row r="430" spans="1:15" x14ac:dyDescent="0.25">
      <c r="A430" s="142" t="s">
        <v>950</v>
      </c>
      <c r="B430" s="142" t="s">
        <v>52</v>
      </c>
      <c r="C430" s="142" t="s">
        <v>8</v>
      </c>
      <c r="D430">
        <v>100</v>
      </c>
      <c r="E430">
        <v>330</v>
      </c>
      <c r="F430">
        <v>1E-4</v>
      </c>
      <c r="G430" s="142" t="s">
        <v>6</v>
      </c>
      <c r="H430" s="142" t="s">
        <v>4</v>
      </c>
      <c r="I430">
        <v>20</v>
      </c>
      <c r="J430">
        <v>50</v>
      </c>
      <c r="K430" s="142" t="s">
        <v>10</v>
      </c>
      <c r="L430">
        <v>23</v>
      </c>
      <c r="M430">
        <v>1.4</v>
      </c>
      <c r="N430">
        <v>22.88</v>
      </c>
      <c r="O430">
        <v>1.3879999999999999</v>
      </c>
    </row>
    <row r="431" spans="1:15" x14ac:dyDescent="0.25">
      <c r="A431" s="142" t="s">
        <v>2086</v>
      </c>
      <c r="B431" s="142" t="s">
        <v>52</v>
      </c>
      <c r="C431" s="142" t="s">
        <v>8</v>
      </c>
      <c r="D431">
        <v>100</v>
      </c>
      <c r="E431">
        <v>330</v>
      </c>
      <c r="F431">
        <v>1E-4</v>
      </c>
      <c r="G431" s="142" t="s">
        <v>6</v>
      </c>
      <c r="H431" s="142" t="s">
        <v>4</v>
      </c>
      <c r="I431">
        <v>50</v>
      </c>
      <c r="J431">
        <v>100</v>
      </c>
      <c r="K431" s="142" t="s">
        <v>10</v>
      </c>
      <c r="L431">
        <v>23</v>
      </c>
      <c r="M431">
        <v>3.5</v>
      </c>
      <c r="N431">
        <v>22.927</v>
      </c>
      <c r="O431">
        <v>3.4659</v>
      </c>
    </row>
    <row r="432" spans="1:15" x14ac:dyDescent="0.25">
      <c r="A432" s="142" t="s">
        <v>970</v>
      </c>
      <c r="B432" s="142" t="s">
        <v>52</v>
      </c>
      <c r="C432" s="142" t="s">
        <v>8</v>
      </c>
      <c r="D432">
        <v>330</v>
      </c>
      <c r="E432">
        <v>1000</v>
      </c>
      <c r="F432">
        <v>1E-4</v>
      </c>
      <c r="G432" s="142" t="s">
        <v>6</v>
      </c>
      <c r="H432" s="142" t="s">
        <v>4</v>
      </c>
      <c r="I432">
        <v>1E-3</v>
      </c>
      <c r="J432">
        <v>0.04</v>
      </c>
      <c r="K432" s="142" t="s">
        <v>10</v>
      </c>
      <c r="L432">
        <v>49</v>
      </c>
      <c r="M432">
        <v>0.46</v>
      </c>
      <c r="N432">
        <v>46.170999999999999</v>
      </c>
      <c r="O432">
        <v>0.46218999999999999</v>
      </c>
    </row>
    <row r="433" spans="1:15" x14ac:dyDescent="0.25">
      <c r="A433" s="142" t="s">
        <v>971</v>
      </c>
      <c r="B433" s="142" t="s">
        <v>52</v>
      </c>
      <c r="C433" s="142" t="s">
        <v>8</v>
      </c>
      <c r="D433">
        <v>330</v>
      </c>
      <c r="E433">
        <v>1000</v>
      </c>
      <c r="F433">
        <v>1E-4</v>
      </c>
      <c r="G433" s="142" t="s">
        <v>6</v>
      </c>
      <c r="H433" s="142" t="s">
        <v>4</v>
      </c>
      <c r="I433">
        <v>0.04</v>
      </c>
      <c r="J433">
        <v>1</v>
      </c>
      <c r="K433" s="142" t="s">
        <v>10</v>
      </c>
      <c r="L433">
        <v>26</v>
      </c>
      <c r="M433">
        <v>0.46</v>
      </c>
      <c r="N433">
        <v>23.079000000000001</v>
      </c>
      <c r="O433">
        <v>0.4622</v>
      </c>
    </row>
    <row r="434" spans="1:15" x14ac:dyDescent="0.25">
      <c r="A434" s="142" t="s">
        <v>969</v>
      </c>
      <c r="B434" s="142" t="s">
        <v>52</v>
      </c>
      <c r="C434" s="142" t="s">
        <v>8</v>
      </c>
      <c r="D434">
        <v>330</v>
      </c>
      <c r="E434">
        <v>1000</v>
      </c>
      <c r="F434">
        <v>1E-4</v>
      </c>
      <c r="G434" s="142" t="s">
        <v>6</v>
      </c>
      <c r="H434" s="142" t="s">
        <v>4</v>
      </c>
      <c r="I434">
        <v>1</v>
      </c>
      <c r="J434">
        <v>10</v>
      </c>
      <c r="K434" s="142" t="s">
        <v>10</v>
      </c>
      <c r="L434">
        <v>23</v>
      </c>
      <c r="M434">
        <v>0.7</v>
      </c>
      <c r="N434">
        <v>22.763000000000002</v>
      </c>
      <c r="O434">
        <v>0.69628000000000001</v>
      </c>
    </row>
    <row r="435" spans="1:15" x14ac:dyDescent="0.25">
      <c r="A435" s="142" t="s">
        <v>2016</v>
      </c>
      <c r="B435" s="142" t="s">
        <v>52</v>
      </c>
      <c r="C435" s="142" t="s">
        <v>8</v>
      </c>
      <c r="D435">
        <v>0</v>
      </c>
      <c r="E435">
        <v>0.01</v>
      </c>
      <c r="F435">
        <v>1E-3</v>
      </c>
      <c r="G435" s="142" t="s">
        <v>6</v>
      </c>
      <c r="H435" s="142" t="s">
        <v>5</v>
      </c>
      <c r="I435">
        <v>1E-3</v>
      </c>
      <c r="J435">
        <v>0.04</v>
      </c>
      <c r="K435" s="142" t="s">
        <v>10</v>
      </c>
      <c r="L435">
        <v>577.37</v>
      </c>
      <c r="M435">
        <v>3.3572000000000002</v>
      </c>
      <c r="N435">
        <v>577.36</v>
      </c>
      <c r="O435">
        <v>3.1315</v>
      </c>
    </row>
    <row r="436" spans="1:15" x14ac:dyDescent="0.25">
      <c r="A436" s="142" t="s">
        <v>805</v>
      </c>
      <c r="B436" s="142" t="s">
        <v>52</v>
      </c>
      <c r="C436" s="142" t="s">
        <v>8</v>
      </c>
      <c r="D436">
        <v>0</v>
      </c>
      <c r="E436">
        <v>0.01</v>
      </c>
      <c r="F436">
        <v>1E-3</v>
      </c>
      <c r="G436" s="142" t="s">
        <v>6</v>
      </c>
      <c r="H436" s="142" t="s">
        <v>5</v>
      </c>
      <c r="I436">
        <v>0.04</v>
      </c>
      <c r="J436">
        <v>1</v>
      </c>
      <c r="K436" s="142" t="s">
        <v>10</v>
      </c>
      <c r="L436">
        <v>577.36</v>
      </c>
      <c r="M436">
        <v>1.2012</v>
      </c>
      <c r="N436">
        <v>577.36</v>
      </c>
      <c r="O436">
        <v>0.97548999999999997</v>
      </c>
    </row>
    <row r="437" spans="1:15" x14ac:dyDescent="0.25">
      <c r="A437" s="142" t="s">
        <v>807</v>
      </c>
      <c r="B437" s="142" t="s">
        <v>52</v>
      </c>
      <c r="C437" s="142" t="s">
        <v>8</v>
      </c>
      <c r="D437">
        <v>0</v>
      </c>
      <c r="E437">
        <v>0.01</v>
      </c>
      <c r="F437">
        <v>1E-3</v>
      </c>
      <c r="G437" s="142" t="s">
        <v>6</v>
      </c>
      <c r="H437" s="142" t="s">
        <v>5</v>
      </c>
      <c r="I437">
        <v>1</v>
      </c>
      <c r="J437">
        <v>20</v>
      </c>
      <c r="K437" s="142" t="s">
        <v>10</v>
      </c>
      <c r="L437">
        <v>577.36</v>
      </c>
      <c r="M437">
        <v>2.0396999999999998</v>
      </c>
      <c r="N437">
        <v>577.36</v>
      </c>
      <c r="O437">
        <v>1.8140000000000001</v>
      </c>
    </row>
    <row r="438" spans="1:15" x14ac:dyDescent="0.25">
      <c r="A438" s="142" t="s">
        <v>808</v>
      </c>
      <c r="B438" s="142" t="s">
        <v>52</v>
      </c>
      <c r="C438" s="142" t="s">
        <v>8</v>
      </c>
      <c r="D438">
        <v>0</v>
      </c>
      <c r="E438">
        <v>0.01</v>
      </c>
      <c r="F438">
        <v>1E-3</v>
      </c>
      <c r="G438" s="142" t="s">
        <v>6</v>
      </c>
      <c r="H438" s="142" t="s">
        <v>5</v>
      </c>
      <c r="I438">
        <v>20</v>
      </c>
      <c r="J438">
        <v>50</v>
      </c>
      <c r="K438" s="142" t="s">
        <v>10</v>
      </c>
      <c r="L438">
        <v>577.36</v>
      </c>
      <c r="M438">
        <v>14.465</v>
      </c>
      <c r="N438">
        <v>577.34</v>
      </c>
      <c r="O438">
        <v>14.207000000000001</v>
      </c>
    </row>
    <row r="439" spans="1:15" x14ac:dyDescent="0.25">
      <c r="A439" s="142" t="s">
        <v>809</v>
      </c>
      <c r="B439" s="142" t="s">
        <v>52</v>
      </c>
      <c r="C439" s="142" t="s">
        <v>8</v>
      </c>
      <c r="D439">
        <v>0</v>
      </c>
      <c r="E439">
        <v>0.01</v>
      </c>
      <c r="F439">
        <v>1E-3</v>
      </c>
      <c r="G439" s="142" t="s">
        <v>6</v>
      </c>
      <c r="H439" s="142" t="s">
        <v>5</v>
      </c>
      <c r="I439">
        <v>50</v>
      </c>
      <c r="J439">
        <v>100</v>
      </c>
      <c r="K439" s="142" t="s">
        <v>10</v>
      </c>
      <c r="L439">
        <v>577.33000000000004</v>
      </c>
      <c r="M439">
        <v>304.85000000000002</v>
      </c>
      <c r="N439">
        <v>577.11</v>
      </c>
      <c r="O439">
        <v>303.48</v>
      </c>
    </row>
    <row r="440" spans="1:15" x14ac:dyDescent="0.25">
      <c r="A440" s="142" t="s">
        <v>806</v>
      </c>
      <c r="B440" s="142" t="s">
        <v>52</v>
      </c>
      <c r="C440" s="142" t="s">
        <v>8</v>
      </c>
      <c r="D440">
        <v>0</v>
      </c>
      <c r="E440">
        <v>0.01</v>
      </c>
      <c r="F440">
        <v>1E-3</v>
      </c>
      <c r="G440" s="142" t="s">
        <v>6</v>
      </c>
      <c r="H440" s="142" t="s">
        <v>5</v>
      </c>
      <c r="I440">
        <v>100</v>
      </c>
      <c r="J440">
        <v>300</v>
      </c>
      <c r="K440" s="142" t="s">
        <v>10</v>
      </c>
      <c r="L440">
        <v>575.76</v>
      </c>
      <c r="M440">
        <v>16511</v>
      </c>
      <c r="N440">
        <v>573.26</v>
      </c>
      <c r="O440">
        <v>16507</v>
      </c>
    </row>
    <row r="441" spans="1:15" x14ac:dyDescent="0.25">
      <c r="A441" s="142" t="s">
        <v>810</v>
      </c>
      <c r="B441" s="142" t="s">
        <v>52</v>
      </c>
      <c r="C441" s="142" t="s">
        <v>8</v>
      </c>
      <c r="D441">
        <v>0</v>
      </c>
      <c r="E441">
        <v>0.01</v>
      </c>
      <c r="F441">
        <v>1E-3</v>
      </c>
      <c r="G441" s="142" t="s">
        <v>6</v>
      </c>
      <c r="H441" s="142" t="s">
        <v>5</v>
      </c>
      <c r="I441">
        <v>300</v>
      </c>
      <c r="J441">
        <v>1000</v>
      </c>
      <c r="K441" s="142" t="s">
        <v>10</v>
      </c>
      <c r="L441">
        <v>575.79999999999995</v>
      </c>
      <c r="M441">
        <v>16726</v>
      </c>
      <c r="N441">
        <v>573.28</v>
      </c>
      <c r="O441">
        <v>16722</v>
      </c>
    </row>
    <row r="442" spans="1:15" x14ac:dyDescent="0.25">
      <c r="A442" s="142" t="s">
        <v>2024</v>
      </c>
      <c r="B442" s="142" t="s">
        <v>52</v>
      </c>
      <c r="C442" s="142" t="s">
        <v>8</v>
      </c>
      <c r="D442">
        <v>0.01</v>
      </c>
      <c r="E442">
        <v>0.1</v>
      </c>
      <c r="F442">
        <v>1E-3</v>
      </c>
      <c r="G442" s="142" t="s">
        <v>6</v>
      </c>
      <c r="H442" s="142" t="s">
        <v>5</v>
      </c>
      <c r="I442">
        <v>1E-3</v>
      </c>
      <c r="J442">
        <v>0.04</v>
      </c>
      <c r="K442" s="142" t="s">
        <v>10</v>
      </c>
      <c r="L442">
        <v>577.37</v>
      </c>
      <c r="M442">
        <v>1.3448</v>
      </c>
      <c r="N442">
        <v>577.25</v>
      </c>
      <c r="O442">
        <v>1.3192999999999999</v>
      </c>
    </row>
    <row r="443" spans="1:15" x14ac:dyDescent="0.25">
      <c r="A443" s="142" t="s">
        <v>2028</v>
      </c>
      <c r="B443" s="142" t="s">
        <v>52</v>
      </c>
      <c r="C443" s="142" t="s">
        <v>8</v>
      </c>
      <c r="D443">
        <v>0.01</v>
      </c>
      <c r="E443">
        <v>0.1</v>
      </c>
      <c r="F443">
        <v>1E-3</v>
      </c>
      <c r="G443" s="142" t="s">
        <v>6</v>
      </c>
      <c r="H443" s="142" t="s">
        <v>5</v>
      </c>
      <c r="I443">
        <v>0.04</v>
      </c>
      <c r="J443">
        <v>1</v>
      </c>
      <c r="K443" s="142" t="s">
        <v>10</v>
      </c>
      <c r="L443">
        <v>577.35</v>
      </c>
      <c r="M443">
        <v>1.0218</v>
      </c>
      <c r="N443">
        <v>577.27</v>
      </c>
      <c r="O443">
        <v>0.99641999999999997</v>
      </c>
    </row>
    <row r="444" spans="1:15" x14ac:dyDescent="0.25">
      <c r="A444" s="142" t="s">
        <v>2031</v>
      </c>
      <c r="B444" s="142" t="s">
        <v>52</v>
      </c>
      <c r="C444" s="142" t="s">
        <v>8</v>
      </c>
      <c r="D444">
        <v>0.01</v>
      </c>
      <c r="E444">
        <v>0.1</v>
      </c>
      <c r="F444">
        <v>1E-3</v>
      </c>
      <c r="G444" s="142" t="s">
        <v>6</v>
      </c>
      <c r="H444" s="142" t="s">
        <v>5</v>
      </c>
      <c r="I444">
        <v>1</v>
      </c>
      <c r="J444">
        <v>20</v>
      </c>
      <c r="K444" s="142" t="s">
        <v>10</v>
      </c>
      <c r="L444">
        <v>577.34</v>
      </c>
      <c r="M444">
        <v>3.2071000000000001</v>
      </c>
      <c r="N444">
        <v>577.05999999999995</v>
      </c>
      <c r="O444">
        <v>3.1816</v>
      </c>
    </row>
    <row r="445" spans="1:15" x14ac:dyDescent="0.25">
      <c r="A445" s="142" t="s">
        <v>837</v>
      </c>
      <c r="B445" s="142" t="s">
        <v>52</v>
      </c>
      <c r="C445" s="142" t="s">
        <v>8</v>
      </c>
      <c r="D445">
        <v>0.01</v>
      </c>
      <c r="E445">
        <v>0.1</v>
      </c>
      <c r="F445">
        <v>1E-3</v>
      </c>
      <c r="G445" s="142" t="s">
        <v>6</v>
      </c>
      <c r="H445" s="142" t="s">
        <v>5</v>
      </c>
      <c r="I445">
        <v>20</v>
      </c>
      <c r="J445">
        <v>50</v>
      </c>
      <c r="K445" s="142" t="s">
        <v>10</v>
      </c>
      <c r="L445">
        <v>577.26</v>
      </c>
      <c r="M445">
        <v>12.951000000000001</v>
      </c>
      <c r="N445">
        <v>576.21</v>
      </c>
      <c r="O445">
        <v>12.858000000000001</v>
      </c>
    </row>
    <row r="446" spans="1:15" x14ac:dyDescent="0.25">
      <c r="A446" s="142" t="s">
        <v>838</v>
      </c>
      <c r="B446" s="142" t="s">
        <v>52</v>
      </c>
      <c r="C446" s="142" t="s">
        <v>8</v>
      </c>
      <c r="D446">
        <v>0.01</v>
      </c>
      <c r="E446">
        <v>0.1</v>
      </c>
      <c r="F446">
        <v>1E-3</v>
      </c>
      <c r="G446" s="142" t="s">
        <v>6</v>
      </c>
      <c r="H446" s="142" t="s">
        <v>5</v>
      </c>
      <c r="I446">
        <v>50</v>
      </c>
      <c r="J446">
        <v>100</v>
      </c>
      <c r="K446" s="142" t="s">
        <v>10</v>
      </c>
      <c r="L446">
        <v>576.63</v>
      </c>
      <c r="M446">
        <v>84.811000000000007</v>
      </c>
      <c r="N446">
        <v>571.69000000000005</v>
      </c>
      <c r="O446">
        <v>84.459000000000003</v>
      </c>
    </row>
    <row r="447" spans="1:15" x14ac:dyDescent="0.25">
      <c r="A447" s="142" t="s">
        <v>836</v>
      </c>
      <c r="B447" s="142" t="s">
        <v>52</v>
      </c>
      <c r="C447" s="142" t="s">
        <v>8</v>
      </c>
      <c r="D447">
        <v>0.01</v>
      </c>
      <c r="E447">
        <v>0.1</v>
      </c>
      <c r="F447">
        <v>1E-3</v>
      </c>
      <c r="G447" s="142" t="s">
        <v>6</v>
      </c>
      <c r="H447" s="142" t="s">
        <v>5</v>
      </c>
      <c r="I447">
        <v>100</v>
      </c>
      <c r="J447">
        <v>300</v>
      </c>
      <c r="K447" s="142" t="s">
        <v>10</v>
      </c>
      <c r="L447">
        <v>568.12</v>
      </c>
      <c r="M447">
        <v>1113.3</v>
      </c>
      <c r="N447">
        <v>547.13</v>
      </c>
      <c r="O447">
        <v>1112.5</v>
      </c>
    </row>
    <row r="448" spans="1:15" x14ac:dyDescent="0.25">
      <c r="A448" s="142" t="s">
        <v>839</v>
      </c>
      <c r="B448" s="142" t="s">
        <v>52</v>
      </c>
      <c r="C448" s="142" t="s">
        <v>8</v>
      </c>
      <c r="D448">
        <v>0.01</v>
      </c>
      <c r="E448">
        <v>0.1</v>
      </c>
      <c r="F448">
        <v>1E-3</v>
      </c>
      <c r="G448" s="142" t="s">
        <v>6</v>
      </c>
      <c r="H448" s="142" t="s">
        <v>5</v>
      </c>
      <c r="I448">
        <v>300</v>
      </c>
      <c r="J448">
        <v>1000</v>
      </c>
      <c r="K448" s="142" t="s">
        <v>10</v>
      </c>
      <c r="L448">
        <v>512.4</v>
      </c>
      <c r="M448">
        <v>7891.2</v>
      </c>
      <c r="N448">
        <v>476.93</v>
      </c>
      <c r="O448">
        <v>7891</v>
      </c>
    </row>
    <row r="449" spans="1:15" x14ac:dyDescent="0.25">
      <c r="A449" s="142" t="s">
        <v>864</v>
      </c>
      <c r="B449" s="142" t="s">
        <v>52</v>
      </c>
      <c r="C449" s="142" t="s">
        <v>8</v>
      </c>
      <c r="D449">
        <v>0.1</v>
      </c>
      <c r="E449">
        <v>1</v>
      </c>
      <c r="F449">
        <v>1E-3</v>
      </c>
      <c r="G449" s="142" t="s">
        <v>6</v>
      </c>
      <c r="H449" s="142" t="s">
        <v>5</v>
      </c>
      <c r="I449">
        <v>1E-3</v>
      </c>
      <c r="J449">
        <v>0.04</v>
      </c>
      <c r="K449" s="142" t="s">
        <v>10</v>
      </c>
      <c r="L449">
        <v>578.66</v>
      </c>
      <c r="M449">
        <v>12.708</v>
      </c>
      <c r="N449">
        <v>12.67</v>
      </c>
      <c r="O449">
        <v>12.67</v>
      </c>
    </row>
    <row r="450" spans="1:15" x14ac:dyDescent="0.25">
      <c r="A450" s="142" t="s">
        <v>861</v>
      </c>
      <c r="B450" s="142" t="s">
        <v>52</v>
      </c>
      <c r="C450" s="142" t="s">
        <v>8</v>
      </c>
      <c r="D450">
        <v>0.1</v>
      </c>
      <c r="E450">
        <v>1</v>
      </c>
      <c r="F450">
        <v>1E-3</v>
      </c>
      <c r="G450" s="142" t="s">
        <v>6</v>
      </c>
      <c r="H450" s="142" t="s">
        <v>5</v>
      </c>
      <c r="I450">
        <v>0.04</v>
      </c>
      <c r="J450">
        <v>1</v>
      </c>
      <c r="K450" s="142" t="s">
        <v>10</v>
      </c>
      <c r="L450">
        <v>577.27</v>
      </c>
      <c r="M450">
        <v>9.5482999999999993</v>
      </c>
      <c r="N450">
        <v>577.25</v>
      </c>
      <c r="O450">
        <v>9.5099</v>
      </c>
    </row>
    <row r="451" spans="1:15" x14ac:dyDescent="0.25">
      <c r="A451" s="142" t="s">
        <v>860</v>
      </c>
      <c r="B451" s="142" t="s">
        <v>52</v>
      </c>
      <c r="C451" s="142" t="s">
        <v>8</v>
      </c>
      <c r="D451">
        <v>0.1</v>
      </c>
      <c r="E451">
        <v>1</v>
      </c>
      <c r="F451">
        <v>1E-3</v>
      </c>
      <c r="G451" s="142" t="s">
        <v>6</v>
      </c>
      <c r="H451" s="142" t="s">
        <v>5</v>
      </c>
      <c r="I451">
        <v>1</v>
      </c>
      <c r="J451">
        <v>20</v>
      </c>
      <c r="K451" s="142" t="s">
        <v>10</v>
      </c>
      <c r="L451">
        <v>575.66</v>
      </c>
      <c r="M451">
        <v>30.876999999999999</v>
      </c>
      <c r="N451">
        <v>575.62</v>
      </c>
      <c r="O451">
        <v>30.742000000000001</v>
      </c>
    </row>
    <row r="452" spans="1:15" x14ac:dyDescent="0.25">
      <c r="A452" s="142" t="s">
        <v>863</v>
      </c>
      <c r="B452" s="142" t="s">
        <v>52</v>
      </c>
      <c r="C452" s="142" t="s">
        <v>8</v>
      </c>
      <c r="D452">
        <v>0.1</v>
      </c>
      <c r="E452">
        <v>1</v>
      </c>
      <c r="F452">
        <v>1E-3</v>
      </c>
      <c r="G452" s="142" t="s">
        <v>6</v>
      </c>
      <c r="H452" s="142" t="s">
        <v>5</v>
      </c>
      <c r="I452">
        <v>20</v>
      </c>
      <c r="J452">
        <v>50</v>
      </c>
      <c r="K452" s="142" t="s">
        <v>10</v>
      </c>
      <c r="L452">
        <v>568.69000000000005</v>
      </c>
      <c r="M452">
        <v>117.42</v>
      </c>
      <c r="N452">
        <v>568.53</v>
      </c>
      <c r="O452">
        <v>117.16</v>
      </c>
    </row>
    <row r="453" spans="1:15" x14ac:dyDescent="0.25">
      <c r="A453" s="142" t="s">
        <v>865</v>
      </c>
      <c r="B453" s="142" t="s">
        <v>52</v>
      </c>
      <c r="C453" s="142" t="s">
        <v>8</v>
      </c>
      <c r="D453">
        <v>0.1</v>
      </c>
      <c r="E453">
        <v>1</v>
      </c>
      <c r="F453">
        <v>1E-3</v>
      </c>
      <c r="G453" s="142" t="s">
        <v>6</v>
      </c>
      <c r="H453" s="142" t="s">
        <v>5</v>
      </c>
      <c r="I453">
        <v>50</v>
      </c>
      <c r="J453">
        <v>100</v>
      </c>
      <c r="K453" s="142" t="s">
        <v>10</v>
      </c>
      <c r="L453">
        <v>531.46</v>
      </c>
      <c r="M453">
        <v>578.29</v>
      </c>
      <c r="N453">
        <v>530.98</v>
      </c>
      <c r="O453">
        <v>578.19000000000005</v>
      </c>
    </row>
    <row r="454" spans="1:15" x14ac:dyDescent="0.25">
      <c r="A454" s="142" t="s">
        <v>2042</v>
      </c>
      <c r="B454" s="142" t="s">
        <v>52</v>
      </c>
      <c r="C454" s="142" t="s">
        <v>8</v>
      </c>
      <c r="D454">
        <v>0.1</v>
      </c>
      <c r="E454">
        <v>1</v>
      </c>
      <c r="F454">
        <v>1E-3</v>
      </c>
      <c r="G454" s="142" t="s">
        <v>6</v>
      </c>
      <c r="H454" s="142" t="s">
        <v>5</v>
      </c>
      <c r="I454">
        <v>100</v>
      </c>
      <c r="J454">
        <v>300</v>
      </c>
      <c r="K454" s="142" t="s">
        <v>10</v>
      </c>
      <c r="L454">
        <v>419.94</v>
      </c>
      <c r="M454">
        <v>3206.5</v>
      </c>
      <c r="N454">
        <v>418.64</v>
      </c>
      <c r="O454">
        <v>3207.4</v>
      </c>
    </row>
    <row r="455" spans="1:15" x14ac:dyDescent="0.25">
      <c r="A455" s="142" t="s">
        <v>862</v>
      </c>
      <c r="B455" s="142" t="s">
        <v>52</v>
      </c>
      <c r="C455" s="142" t="s">
        <v>8</v>
      </c>
      <c r="D455">
        <v>0.1</v>
      </c>
      <c r="E455">
        <v>1</v>
      </c>
      <c r="F455">
        <v>1E-3</v>
      </c>
      <c r="G455" s="142" t="s">
        <v>6</v>
      </c>
      <c r="H455" s="142" t="s">
        <v>5</v>
      </c>
      <c r="I455">
        <v>300</v>
      </c>
      <c r="J455">
        <v>1000</v>
      </c>
      <c r="K455" s="142" t="s">
        <v>10</v>
      </c>
      <c r="L455">
        <v>204.88</v>
      </c>
      <c r="M455">
        <v>11915</v>
      </c>
      <c r="N455">
        <v>252.55</v>
      </c>
      <c r="O455">
        <v>11427</v>
      </c>
    </row>
    <row r="456" spans="1:15" x14ac:dyDescent="0.25">
      <c r="A456" s="142" t="s">
        <v>2045</v>
      </c>
      <c r="B456" s="142" t="s">
        <v>52</v>
      </c>
      <c r="C456" s="142" t="s">
        <v>8</v>
      </c>
      <c r="D456">
        <v>1</v>
      </c>
      <c r="E456">
        <v>10</v>
      </c>
      <c r="F456">
        <v>1E-3</v>
      </c>
      <c r="G456" s="142" t="s">
        <v>6</v>
      </c>
      <c r="H456" s="142" t="s">
        <v>4</v>
      </c>
      <c r="I456">
        <v>1E-3</v>
      </c>
      <c r="J456">
        <v>0.04</v>
      </c>
      <c r="K456" s="142" t="s">
        <v>10</v>
      </c>
      <c r="L456">
        <v>0.72511999999999999</v>
      </c>
      <c r="M456">
        <v>6.8719000000000002E-2</v>
      </c>
      <c r="N456">
        <v>0.72394000000000003</v>
      </c>
      <c r="O456">
        <v>6.8557999999999994E-2</v>
      </c>
    </row>
    <row r="457" spans="1:15" x14ac:dyDescent="0.25">
      <c r="A457" s="142" t="s">
        <v>889</v>
      </c>
      <c r="B457" s="142" t="s">
        <v>52</v>
      </c>
      <c r="C457" s="142" t="s">
        <v>8</v>
      </c>
      <c r="D457">
        <v>1</v>
      </c>
      <c r="E457">
        <v>10</v>
      </c>
      <c r="F457">
        <v>1E-3</v>
      </c>
      <c r="G457" s="142" t="s">
        <v>6</v>
      </c>
      <c r="H457" s="142" t="s">
        <v>4</v>
      </c>
      <c r="I457">
        <v>0.04</v>
      </c>
      <c r="J457">
        <v>1</v>
      </c>
      <c r="K457" s="142" t="s">
        <v>10</v>
      </c>
      <c r="L457">
        <v>0.59762000000000004</v>
      </c>
      <c r="M457">
        <v>6.0275000000000002E-2</v>
      </c>
      <c r="N457">
        <v>0.59619</v>
      </c>
      <c r="O457">
        <v>6.0089999999999998E-2</v>
      </c>
    </row>
    <row r="458" spans="1:15" x14ac:dyDescent="0.25">
      <c r="A458" s="142" t="s">
        <v>891</v>
      </c>
      <c r="B458" s="142" t="s">
        <v>52</v>
      </c>
      <c r="C458" s="142" t="s">
        <v>8</v>
      </c>
      <c r="D458">
        <v>1</v>
      </c>
      <c r="E458">
        <v>10</v>
      </c>
      <c r="F458">
        <v>1E-3</v>
      </c>
      <c r="G458" s="142" t="s">
        <v>6</v>
      </c>
      <c r="H458" s="142" t="s">
        <v>4</v>
      </c>
      <c r="I458">
        <v>1</v>
      </c>
      <c r="J458">
        <v>20</v>
      </c>
      <c r="K458" s="142" t="s">
        <v>10</v>
      </c>
      <c r="L458">
        <v>0.56596999999999997</v>
      </c>
      <c r="M458">
        <v>0.13800000000000001</v>
      </c>
      <c r="N458">
        <v>0.56032000000000004</v>
      </c>
      <c r="O458">
        <v>0.13804</v>
      </c>
    </row>
    <row r="459" spans="1:15" x14ac:dyDescent="0.25">
      <c r="A459" s="142" t="s">
        <v>2053</v>
      </c>
      <c r="B459" s="142" t="s">
        <v>52</v>
      </c>
      <c r="C459" s="142" t="s">
        <v>8</v>
      </c>
      <c r="D459">
        <v>1</v>
      </c>
      <c r="E459">
        <v>10</v>
      </c>
      <c r="F459">
        <v>1E-3</v>
      </c>
      <c r="G459" s="142" t="s">
        <v>6</v>
      </c>
      <c r="H459" s="142" t="s">
        <v>4</v>
      </c>
      <c r="I459">
        <v>20</v>
      </c>
      <c r="J459">
        <v>50</v>
      </c>
      <c r="K459" s="142" t="s">
        <v>10</v>
      </c>
      <c r="L459">
        <v>0.50451000000000001</v>
      </c>
      <c r="M459">
        <v>0.32457000000000003</v>
      </c>
      <c r="N459">
        <v>0.49135000000000001</v>
      </c>
      <c r="O459">
        <v>0.32539000000000001</v>
      </c>
    </row>
    <row r="460" spans="1:15" x14ac:dyDescent="0.25">
      <c r="A460" s="142" t="s">
        <v>888</v>
      </c>
      <c r="B460" s="142" t="s">
        <v>52</v>
      </c>
      <c r="C460" s="142" t="s">
        <v>8</v>
      </c>
      <c r="D460">
        <v>1</v>
      </c>
      <c r="E460">
        <v>10</v>
      </c>
      <c r="F460">
        <v>1E-3</v>
      </c>
      <c r="G460" s="142" t="s">
        <v>6</v>
      </c>
      <c r="H460" s="142" t="s">
        <v>4</v>
      </c>
      <c r="I460">
        <v>50</v>
      </c>
      <c r="J460">
        <v>100</v>
      </c>
      <c r="K460" s="142" t="s">
        <v>10</v>
      </c>
      <c r="L460">
        <v>0.39584000000000003</v>
      </c>
      <c r="M460">
        <v>0.90961000000000003</v>
      </c>
      <c r="N460">
        <v>0.38040000000000002</v>
      </c>
      <c r="O460">
        <v>0.91083000000000003</v>
      </c>
    </row>
    <row r="461" spans="1:15" x14ac:dyDescent="0.25">
      <c r="A461" s="142" t="s">
        <v>2056</v>
      </c>
      <c r="B461" s="142" t="s">
        <v>52</v>
      </c>
      <c r="C461" s="142" t="s">
        <v>8</v>
      </c>
      <c r="D461">
        <v>1</v>
      </c>
      <c r="E461">
        <v>10</v>
      </c>
      <c r="F461">
        <v>1E-3</v>
      </c>
      <c r="G461" s="142" t="s">
        <v>6</v>
      </c>
      <c r="H461" s="142" t="s">
        <v>4</v>
      </c>
      <c r="I461">
        <v>100</v>
      </c>
      <c r="J461">
        <v>300</v>
      </c>
      <c r="K461" s="142" t="s">
        <v>10</v>
      </c>
      <c r="L461">
        <v>1.2</v>
      </c>
      <c r="M461">
        <v>3.5</v>
      </c>
      <c r="N461">
        <v>1.1942999999999999</v>
      </c>
      <c r="O461">
        <v>3.4609000000000001</v>
      </c>
    </row>
    <row r="462" spans="1:15" x14ac:dyDescent="0.25">
      <c r="A462" s="142" t="s">
        <v>890</v>
      </c>
      <c r="B462" s="142" t="s">
        <v>52</v>
      </c>
      <c r="C462" s="142" t="s">
        <v>8</v>
      </c>
      <c r="D462">
        <v>1</v>
      </c>
      <c r="E462">
        <v>10</v>
      </c>
      <c r="F462">
        <v>1E-3</v>
      </c>
      <c r="G462" s="142" t="s">
        <v>6</v>
      </c>
      <c r="H462" s="142" t="s">
        <v>4</v>
      </c>
      <c r="I462">
        <v>300</v>
      </c>
      <c r="J462">
        <v>1000</v>
      </c>
      <c r="K462" s="142" t="s">
        <v>10</v>
      </c>
      <c r="L462">
        <v>0.72336</v>
      </c>
      <c r="M462">
        <v>11.999000000000001</v>
      </c>
      <c r="N462">
        <v>1.1674</v>
      </c>
      <c r="O462">
        <v>11.55</v>
      </c>
    </row>
    <row r="463" spans="1:15" x14ac:dyDescent="0.25">
      <c r="A463" s="142" t="s">
        <v>907</v>
      </c>
      <c r="B463" s="142" t="s">
        <v>52</v>
      </c>
      <c r="C463" s="142" t="s">
        <v>8</v>
      </c>
      <c r="D463">
        <v>10</v>
      </c>
      <c r="E463">
        <v>20</v>
      </c>
      <c r="F463">
        <v>1E-3</v>
      </c>
      <c r="G463" s="142" t="s">
        <v>6</v>
      </c>
      <c r="H463" s="142" t="s">
        <v>4</v>
      </c>
      <c r="I463">
        <v>1E-3</v>
      </c>
      <c r="J463">
        <v>0.04</v>
      </c>
      <c r="K463" s="142" t="s">
        <v>10</v>
      </c>
      <c r="L463">
        <v>4.7</v>
      </c>
      <c r="M463">
        <v>0.23</v>
      </c>
      <c r="N463">
        <v>4.6478000000000002</v>
      </c>
      <c r="O463">
        <v>0.23074</v>
      </c>
    </row>
    <row r="464" spans="1:15" x14ac:dyDescent="0.25">
      <c r="A464" s="142" t="s">
        <v>2061</v>
      </c>
      <c r="B464" s="142" t="s">
        <v>52</v>
      </c>
      <c r="C464" s="142" t="s">
        <v>8</v>
      </c>
      <c r="D464">
        <v>10</v>
      </c>
      <c r="E464">
        <v>20</v>
      </c>
      <c r="F464">
        <v>1E-3</v>
      </c>
      <c r="G464" s="142" t="s">
        <v>6</v>
      </c>
      <c r="H464" s="142" t="s">
        <v>4</v>
      </c>
      <c r="I464">
        <v>0.04</v>
      </c>
      <c r="J464">
        <v>1</v>
      </c>
      <c r="K464" s="142" t="s">
        <v>10</v>
      </c>
      <c r="L464">
        <v>2.4</v>
      </c>
      <c r="M464">
        <v>0.23</v>
      </c>
      <c r="N464">
        <v>2.3559999999999999</v>
      </c>
      <c r="O464">
        <v>0.2301</v>
      </c>
    </row>
    <row r="465" spans="1:15" x14ac:dyDescent="0.25">
      <c r="A465" s="142" t="s">
        <v>2063</v>
      </c>
      <c r="B465" s="142" t="s">
        <v>52</v>
      </c>
      <c r="C465" s="142" t="s">
        <v>8</v>
      </c>
      <c r="D465">
        <v>10</v>
      </c>
      <c r="E465">
        <v>20</v>
      </c>
      <c r="F465">
        <v>1E-3</v>
      </c>
      <c r="G465" s="142" t="s">
        <v>6</v>
      </c>
      <c r="H465" s="142" t="s">
        <v>4</v>
      </c>
      <c r="I465">
        <v>1</v>
      </c>
      <c r="J465">
        <v>20</v>
      </c>
      <c r="K465" s="142" t="s">
        <v>10</v>
      </c>
      <c r="L465">
        <v>2.4</v>
      </c>
      <c r="M465">
        <v>0.23</v>
      </c>
      <c r="N465">
        <v>2.3551000000000002</v>
      </c>
      <c r="O465">
        <v>0.23019000000000001</v>
      </c>
    </row>
    <row r="466" spans="1:15" x14ac:dyDescent="0.25">
      <c r="A466" s="142" t="s">
        <v>910</v>
      </c>
      <c r="B466" s="142" t="s">
        <v>52</v>
      </c>
      <c r="C466" s="142" t="s">
        <v>8</v>
      </c>
      <c r="D466">
        <v>10</v>
      </c>
      <c r="E466">
        <v>20</v>
      </c>
      <c r="F466">
        <v>1E-3</v>
      </c>
      <c r="G466" s="142" t="s">
        <v>6</v>
      </c>
      <c r="H466" s="142" t="s">
        <v>4</v>
      </c>
      <c r="I466">
        <v>20</v>
      </c>
      <c r="J466">
        <v>50</v>
      </c>
      <c r="K466" s="142" t="s">
        <v>10</v>
      </c>
      <c r="L466">
        <v>2.5</v>
      </c>
      <c r="M466">
        <v>0.4</v>
      </c>
      <c r="N466">
        <v>2.3439999999999999</v>
      </c>
      <c r="O466">
        <v>0.40362999999999999</v>
      </c>
    </row>
    <row r="467" spans="1:15" x14ac:dyDescent="0.25">
      <c r="A467" s="142" t="s">
        <v>908</v>
      </c>
      <c r="B467" s="142" t="s">
        <v>52</v>
      </c>
      <c r="C467" s="142" t="s">
        <v>8</v>
      </c>
      <c r="D467">
        <v>10</v>
      </c>
      <c r="E467">
        <v>20</v>
      </c>
      <c r="F467">
        <v>1E-3</v>
      </c>
      <c r="G467" s="142" t="s">
        <v>6</v>
      </c>
      <c r="H467" s="142" t="s">
        <v>4</v>
      </c>
      <c r="I467">
        <v>50</v>
      </c>
      <c r="J467">
        <v>100</v>
      </c>
      <c r="K467" s="142" t="s">
        <v>10</v>
      </c>
      <c r="L467">
        <v>2.4</v>
      </c>
      <c r="M467">
        <v>1.4</v>
      </c>
      <c r="N467">
        <v>2.3227000000000002</v>
      </c>
      <c r="O467">
        <v>1.3855</v>
      </c>
    </row>
    <row r="468" spans="1:15" x14ac:dyDescent="0.25">
      <c r="A468" s="142" t="s">
        <v>2069</v>
      </c>
      <c r="B468" s="142" t="s">
        <v>52</v>
      </c>
      <c r="C468" s="142" t="s">
        <v>8</v>
      </c>
      <c r="D468">
        <v>10</v>
      </c>
      <c r="E468">
        <v>20</v>
      </c>
      <c r="F468">
        <v>1E-3</v>
      </c>
      <c r="G468" s="142" t="s">
        <v>6</v>
      </c>
      <c r="H468" s="142" t="s">
        <v>4</v>
      </c>
      <c r="I468">
        <v>100</v>
      </c>
      <c r="J468">
        <v>300</v>
      </c>
      <c r="K468" s="142" t="s">
        <v>10</v>
      </c>
      <c r="L468">
        <v>12</v>
      </c>
      <c r="M468">
        <v>4.5999999999999996</v>
      </c>
      <c r="N468">
        <v>11.496</v>
      </c>
      <c r="O468">
        <v>4.6243999999999996</v>
      </c>
    </row>
    <row r="469" spans="1:15" x14ac:dyDescent="0.25">
      <c r="A469" s="142" t="s">
        <v>909</v>
      </c>
      <c r="B469" s="142" t="s">
        <v>52</v>
      </c>
      <c r="C469" s="142" t="s">
        <v>8</v>
      </c>
      <c r="D469">
        <v>10</v>
      </c>
      <c r="E469">
        <v>20</v>
      </c>
      <c r="F469">
        <v>1E-3</v>
      </c>
      <c r="G469" s="142" t="s">
        <v>6</v>
      </c>
      <c r="H469" s="142" t="s">
        <v>4</v>
      </c>
      <c r="I469">
        <v>300</v>
      </c>
      <c r="J469">
        <v>1000</v>
      </c>
      <c r="K469" s="142" t="s">
        <v>10</v>
      </c>
      <c r="L469">
        <v>19</v>
      </c>
      <c r="M469">
        <v>17</v>
      </c>
      <c r="N469">
        <v>11.387</v>
      </c>
      <c r="O469">
        <v>17.338999999999999</v>
      </c>
    </row>
    <row r="470" spans="1:15" x14ac:dyDescent="0.25">
      <c r="A470" s="142" t="s">
        <v>933</v>
      </c>
      <c r="B470" s="142" t="s">
        <v>52</v>
      </c>
      <c r="C470" s="142" t="s">
        <v>8</v>
      </c>
      <c r="D470">
        <v>20</v>
      </c>
      <c r="E470">
        <v>100</v>
      </c>
      <c r="F470">
        <v>1E-3</v>
      </c>
      <c r="G470" s="142" t="s">
        <v>6</v>
      </c>
      <c r="H470" s="142" t="s">
        <v>4</v>
      </c>
      <c r="I470">
        <v>1E-3</v>
      </c>
      <c r="J470">
        <v>0.04</v>
      </c>
      <c r="K470" s="142" t="s">
        <v>10</v>
      </c>
      <c r="L470">
        <v>4.8</v>
      </c>
      <c r="M470">
        <v>0.23</v>
      </c>
      <c r="N470">
        <v>4.6319999999999997</v>
      </c>
      <c r="O470">
        <v>0.23133999999999999</v>
      </c>
    </row>
    <row r="471" spans="1:15" x14ac:dyDescent="0.25">
      <c r="A471" s="142" t="s">
        <v>934</v>
      </c>
      <c r="B471" s="142" t="s">
        <v>52</v>
      </c>
      <c r="C471" s="142" t="s">
        <v>8</v>
      </c>
      <c r="D471">
        <v>20</v>
      </c>
      <c r="E471">
        <v>100</v>
      </c>
      <c r="F471">
        <v>1E-3</v>
      </c>
      <c r="G471" s="142" t="s">
        <v>6</v>
      </c>
      <c r="H471" s="142" t="s">
        <v>4</v>
      </c>
      <c r="I471">
        <v>0.04</v>
      </c>
      <c r="J471">
        <v>1</v>
      </c>
      <c r="K471" s="142" t="s">
        <v>10</v>
      </c>
      <c r="L471">
        <v>2.5</v>
      </c>
      <c r="M471">
        <v>0.23</v>
      </c>
      <c r="N471">
        <v>2.3273999999999999</v>
      </c>
      <c r="O471">
        <v>0.23133000000000001</v>
      </c>
    </row>
    <row r="472" spans="1:15" x14ac:dyDescent="0.25">
      <c r="A472" s="142" t="s">
        <v>936</v>
      </c>
      <c r="B472" s="142" t="s">
        <v>52</v>
      </c>
      <c r="C472" s="142" t="s">
        <v>8</v>
      </c>
      <c r="D472">
        <v>20</v>
      </c>
      <c r="E472">
        <v>100</v>
      </c>
      <c r="F472">
        <v>1E-3</v>
      </c>
      <c r="G472" s="142" t="s">
        <v>6</v>
      </c>
      <c r="H472" s="142" t="s">
        <v>4</v>
      </c>
      <c r="I472">
        <v>1</v>
      </c>
      <c r="J472">
        <v>20</v>
      </c>
      <c r="K472" s="142" t="s">
        <v>10</v>
      </c>
      <c r="L472">
        <v>4.9000000000000004</v>
      </c>
      <c r="M472">
        <v>0.21</v>
      </c>
      <c r="N472">
        <v>4.8974000000000002</v>
      </c>
      <c r="O472">
        <v>0.20563000000000001</v>
      </c>
    </row>
    <row r="473" spans="1:15" x14ac:dyDescent="0.25">
      <c r="A473" s="142" t="s">
        <v>2080</v>
      </c>
      <c r="B473" s="142" t="s">
        <v>52</v>
      </c>
      <c r="C473" s="142" t="s">
        <v>8</v>
      </c>
      <c r="D473">
        <v>20</v>
      </c>
      <c r="E473">
        <v>100</v>
      </c>
      <c r="F473">
        <v>1E-3</v>
      </c>
      <c r="G473" s="142" t="s">
        <v>6</v>
      </c>
      <c r="H473" s="142" t="s">
        <v>4</v>
      </c>
      <c r="I473">
        <v>20</v>
      </c>
      <c r="J473">
        <v>50</v>
      </c>
      <c r="K473" s="142" t="s">
        <v>10</v>
      </c>
      <c r="L473">
        <v>6.8135000000000003</v>
      </c>
      <c r="M473">
        <v>0.35987000000000002</v>
      </c>
      <c r="N473">
        <v>6.8136999999999999</v>
      </c>
      <c r="O473">
        <v>0.35965999999999998</v>
      </c>
    </row>
    <row r="474" spans="1:15" x14ac:dyDescent="0.25">
      <c r="A474" s="142" t="s">
        <v>935</v>
      </c>
      <c r="B474" s="142" t="s">
        <v>52</v>
      </c>
      <c r="C474" s="142" t="s">
        <v>8</v>
      </c>
      <c r="D474">
        <v>20</v>
      </c>
      <c r="E474">
        <v>100</v>
      </c>
      <c r="F474">
        <v>1E-3</v>
      </c>
      <c r="G474" s="142" t="s">
        <v>6</v>
      </c>
      <c r="H474" s="142" t="s">
        <v>4</v>
      </c>
      <c r="I474">
        <v>50</v>
      </c>
      <c r="J474">
        <v>100</v>
      </c>
      <c r="K474" s="142" t="s">
        <v>10</v>
      </c>
      <c r="L474">
        <v>21</v>
      </c>
      <c r="M474">
        <v>1.2</v>
      </c>
      <c r="N474">
        <v>17.709</v>
      </c>
      <c r="O474">
        <v>1.232</v>
      </c>
    </row>
    <row r="475" spans="1:15" x14ac:dyDescent="0.25">
      <c r="A475" s="142" t="s">
        <v>955</v>
      </c>
      <c r="B475" s="142" t="s">
        <v>52</v>
      </c>
      <c r="C475" s="142" t="s">
        <v>8</v>
      </c>
      <c r="D475">
        <v>100</v>
      </c>
      <c r="E475">
        <v>330</v>
      </c>
      <c r="F475">
        <v>1E-3</v>
      </c>
      <c r="G475" s="142" t="s">
        <v>6</v>
      </c>
      <c r="H475" s="142" t="s">
        <v>4</v>
      </c>
      <c r="I475">
        <v>1E-3</v>
      </c>
      <c r="J475">
        <v>0.04</v>
      </c>
      <c r="K475" s="142" t="s">
        <v>10</v>
      </c>
      <c r="L475">
        <v>47</v>
      </c>
      <c r="M475">
        <v>0.46</v>
      </c>
      <c r="N475">
        <v>46.176000000000002</v>
      </c>
      <c r="O475">
        <v>0.46216000000000002</v>
      </c>
    </row>
    <row r="476" spans="1:15" x14ac:dyDescent="0.25">
      <c r="A476" s="142" t="s">
        <v>956</v>
      </c>
      <c r="B476" s="142" t="s">
        <v>52</v>
      </c>
      <c r="C476" s="142" t="s">
        <v>8</v>
      </c>
      <c r="D476">
        <v>100</v>
      </c>
      <c r="E476">
        <v>330</v>
      </c>
      <c r="F476">
        <v>1E-3</v>
      </c>
      <c r="G476" s="142" t="s">
        <v>6</v>
      </c>
      <c r="H476" s="142" t="s">
        <v>4</v>
      </c>
      <c r="I476">
        <v>0.04</v>
      </c>
      <c r="J476">
        <v>1</v>
      </c>
      <c r="K476" s="142" t="s">
        <v>10</v>
      </c>
      <c r="L476">
        <v>24</v>
      </c>
      <c r="M476">
        <v>0.46</v>
      </c>
      <c r="N476">
        <v>23.079000000000001</v>
      </c>
      <c r="O476">
        <v>0.4622</v>
      </c>
    </row>
    <row r="477" spans="1:15" x14ac:dyDescent="0.25">
      <c r="A477" s="142" t="s">
        <v>952</v>
      </c>
      <c r="B477" s="142" t="s">
        <v>52</v>
      </c>
      <c r="C477" s="142" t="s">
        <v>8</v>
      </c>
      <c r="D477">
        <v>100</v>
      </c>
      <c r="E477">
        <v>330</v>
      </c>
      <c r="F477">
        <v>1E-3</v>
      </c>
      <c r="G477" s="142" t="s">
        <v>6</v>
      </c>
      <c r="H477" s="142" t="s">
        <v>4</v>
      </c>
      <c r="I477">
        <v>1</v>
      </c>
      <c r="J477">
        <v>20</v>
      </c>
      <c r="K477" s="142" t="s">
        <v>10</v>
      </c>
      <c r="L477">
        <v>23</v>
      </c>
      <c r="M477">
        <v>0.7</v>
      </c>
      <c r="N477">
        <v>22.827999999999999</v>
      </c>
      <c r="O477">
        <v>0.69564999999999999</v>
      </c>
    </row>
    <row r="478" spans="1:15" x14ac:dyDescent="0.25">
      <c r="A478" s="142" t="s">
        <v>953</v>
      </c>
      <c r="B478" s="142" t="s">
        <v>52</v>
      </c>
      <c r="C478" s="142" t="s">
        <v>8</v>
      </c>
      <c r="D478">
        <v>100</v>
      </c>
      <c r="E478">
        <v>330</v>
      </c>
      <c r="F478">
        <v>1E-3</v>
      </c>
      <c r="G478" s="142" t="s">
        <v>6</v>
      </c>
      <c r="H478" s="142" t="s">
        <v>4</v>
      </c>
      <c r="I478">
        <v>20</v>
      </c>
      <c r="J478">
        <v>50</v>
      </c>
      <c r="K478" s="142" t="s">
        <v>10</v>
      </c>
      <c r="L478">
        <v>23</v>
      </c>
      <c r="M478">
        <v>1.4</v>
      </c>
      <c r="N478">
        <v>22.881</v>
      </c>
      <c r="O478">
        <v>1.3879999999999999</v>
      </c>
    </row>
    <row r="479" spans="1:15" x14ac:dyDescent="0.25">
      <c r="A479" s="142" t="s">
        <v>954</v>
      </c>
      <c r="B479" s="142" t="s">
        <v>52</v>
      </c>
      <c r="C479" s="142" t="s">
        <v>8</v>
      </c>
      <c r="D479">
        <v>100</v>
      </c>
      <c r="E479">
        <v>330</v>
      </c>
      <c r="F479">
        <v>1E-3</v>
      </c>
      <c r="G479" s="142" t="s">
        <v>6</v>
      </c>
      <c r="H479" s="142" t="s">
        <v>4</v>
      </c>
      <c r="I479">
        <v>50</v>
      </c>
      <c r="J479">
        <v>100</v>
      </c>
      <c r="K479" s="142" t="s">
        <v>10</v>
      </c>
      <c r="L479">
        <v>23</v>
      </c>
      <c r="M479">
        <v>3.5</v>
      </c>
      <c r="N479">
        <v>22.928000000000001</v>
      </c>
      <c r="O479">
        <v>3.4659</v>
      </c>
    </row>
    <row r="480" spans="1:15" x14ac:dyDescent="0.25">
      <c r="A480" s="142" t="s">
        <v>973</v>
      </c>
      <c r="B480" s="142" t="s">
        <v>52</v>
      </c>
      <c r="C480" s="142" t="s">
        <v>8</v>
      </c>
      <c r="D480">
        <v>330</v>
      </c>
      <c r="E480">
        <v>1000</v>
      </c>
      <c r="F480">
        <v>1E-3</v>
      </c>
      <c r="G480" s="142" t="s">
        <v>6</v>
      </c>
      <c r="H480" s="142" t="s">
        <v>4</v>
      </c>
      <c r="I480">
        <v>1E-3</v>
      </c>
      <c r="J480">
        <v>0.04</v>
      </c>
      <c r="K480" s="142" t="s">
        <v>10</v>
      </c>
      <c r="L480">
        <v>49</v>
      </c>
      <c r="M480">
        <v>0.46</v>
      </c>
      <c r="N480">
        <v>46.173000000000002</v>
      </c>
      <c r="O480">
        <v>0.46218999999999999</v>
      </c>
    </row>
    <row r="481" spans="1:15" x14ac:dyDescent="0.25">
      <c r="A481" s="142" t="s">
        <v>972</v>
      </c>
      <c r="B481" s="142" t="s">
        <v>52</v>
      </c>
      <c r="C481" s="142" t="s">
        <v>8</v>
      </c>
      <c r="D481">
        <v>330</v>
      </c>
      <c r="E481">
        <v>1000</v>
      </c>
      <c r="F481">
        <v>1E-3</v>
      </c>
      <c r="G481" s="142" t="s">
        <v>6</v>
      </c>
      <c r="H481" s="142" t="s">
        <v>4</v>
      </c>
      <c r="I481">
        <v>0.04</v>
      </c>
      <c r="J481">
        <v>1</v>
      </c>
      <c r="K481" s="142" t="s">
        <v>10</v>
      </c>
      <c r="L481">
        <v>26</v>
      </c>
      <c r="M481">
        <v>0.46</v>
      </c>
      <c r="N481">
        <v>23.08</v>
      </c>
      <c r="O481">
        <v>0.4622</v>
      </c>
    </row>
    <row r="482" spans="1:15" x14ac:dyDescent="0.25">
      <c r="A482" s="142" t="s">
        <v>2089</v>
      </c>
      <c r="B482" s="142" t="s">
        <v>52</v>
      </c>
      <c r="C482" s="142" t="s">
        <v>8</v>
      </c>
      <c r="D482">
        <v>330</v>
      </c>
      <c r="E482">
        <v>1000</v>
      </c>
      <c r="F482">
        <v>1E-3</v>
      </c>
      <c r="G482" s="142" t="s">
        <v>6</v>
      </c>
      <c r="H482" s="142" t="s">
        <v>4</v>
      </c>
      <c r="I482">
        <v>1</v>
      </c>
      <c r="J482">
        <v>10</v>
      </c>
      <c r="K482" s="142" t="s">
        <v>10</v>
      </c>
      <c r="L482">
        <v>23</v>
      </c>
      <c r="M482">
        <v>0.7</v>
      </c>
      <c r="N482">
        <v>22.765000000000001</v>
      </c>
      <c r="O482">
        <v>0.69628000000000001</v>
      </c>
    </row>
    <row r="483" spans="1:15" x14ac:dyDescent="0.25">
      <c r="A483" s="142" t="s">
        <v>870</v>
      </c>
      <c r="B483" s="142" t="s">
        <v>52</v>
      </c>
      <c r="C483" s="142" t="s">
        <v>8</v>
      </c>
      <c r="D483">
        <v>0.1</v>
      </c>
      <c r="E483">
        <v>1</v>
      </c>
      <c r="F483">
        <v>0.01</v>
      </c>
      <c r="G483" s="142" t="s">
        <v>6</v>
      </c>
      <c r="H483" s="142" t="s">
        <v>5</v>
      </c>
      <c r="I483">
        <v>1E-3</v>
      </c>
      <c r="J483">
        <v>0.04</v>
      </c>
      <c r="K483" s="142" t="s">
        <v>10</v>
      </c>
      <c r="L483">
        <v>5773.7</v>
      </c>
      <c r="M483">
        <v>1.3007</v>
      </c>
      <c r="N483">
        <v>1.2849999999999999</v>
      </c>
      <c r="O483">
        <v>1.2849999999999999</v>
      </c>
    </row>
    <row r="484" spans="1:15" x14ac:dyDescent="0.25">
      <c r="A484" s="142" t="s">
        <v>866</v>
      </c>
      <c r="B484" s="142" t="s">
        <v>52</v>
      </c>
      <c r="C484" s="142" t="s">
        <v>8</v>
      </c>
      <c r="D484">
        <v>0.1</v>
      </c>
      <c r="E484">
        <v>1</v>
      </c>
      <c r="F484">
        <v>0.01</v>
      </c>
      <c r="G484" s="142" t="s">
        <v>6</v>
      </c>
      <c r="H484" s="142" t="s">
        <v>5</v>
      </c>
      <c r="I484">
        <v>0.04</v>
      </c>
      <c r="J484">
        <v>1</v>
      </c>
      <c r="K484" s="142" t="s">
        <v>10</v>
      </c>
      <c r="L484">
        <v>5773.5</v>
      </c>
      <c r="M484">
        <v>0.97509000000000001</v>
      </c>
      <c r="N484">
        <v>5772.7</v>
      </c>
      <c r="O484">
        <v>0.95935000000000004</v>
      </c>
    </row>
    <row r="485" spans="1:15" x14ac:dyDescent="0.25">
      <c r="A485" s="142" t="s">
        <v>869</v>
      </c>
      <c r="B485" s="142" t="s">
        <v>52</v>
      </c>
      <c r="C485" s="142" t="s">
        <v>8</v>
      </c>
      <c r="D485">
        <v>0.1</v>
      </c>
      <c r="E485">
        <v>1</v>
      </c>
      <c r="F485">
        <v>0.01</v>
      </c>
      <c r="G485" s="142" t="s">
        <v>6</v>
      </c>
      <c r="H485" s="142" t="s">
        <v>5</v>
      </c>
      <c r="I485">
        <v>1</v>
      </c>
      <c r="J485">
        <v>20</v>
      </c>
      <c r="K485" s="142" t="s">
        <v>10</v>
      </c>
      <c r="L485">
        <v>5773.4</v>
      </c>
      <c r="M485">
        <v>3.2119</v>
      </c>
      <c r="N485">
        <v>5770.6</v>
      </c>
      <c r="O485">
        <v>0.31602999999999998</v>
      </c>
    </row>
    <row r="486" spans="1:15" x14ac:dyDescent="0.25">
      <c r="A486" s="142" t="s">
        <v>868</v>
      </c>
      <c r="B486" s="142" t="s">
        <v>52</v>
      </c>
      <c r="C486" s="142" t="s">
        <v>8</v>
      </c>
      <c r="D486">
        <v>0.1</v>
      </c>
      <c r="E486">
        <v>1</v>
      </c>
      <c r="F486">
        <v>0.01</v>
      </c>
      <c r="G486" s="142" t="s">
        <v>6</v>
      </c>
      <c r="H486" s="142" t="s">
        <v>5</v>
      </c>
      <c r="I486">
        <v>20</v>
      </c>
      <c r="J486">
        <v>50</v>
      </c>
      <c r="K486" s="142" t="s">
        <v>10</v>
      </c>
      <c r="L486">
        <v>5772.6</v>
      </c>
      <c r="M486">
        <v>12.968999999999999</v>
      </c>
      <c r="N486">
        <v>5762.1</v>
      </c>
      <c r="O486">
        <v>12.831</v>
      </c>
    </row>
    <row r="487" spans="1:15" x14ac:dyDescent="0.25">
      <c r="A487" s="142" t="s">
        <v>867</v>
      </c>
      <c r="B487" s="142" t="s">
        <v>52</v>
      </c>
      <c r="C487" s="142" t="s">
        <v>8</v>
      </c>
      <c r="D487">
        <v>0.1</v>
      </c>
      <c r="E487">
        <v>1</v>
      </c>
      <c r="F487">
        <v>0.01</v>
      </c>
      <c r="G487" s="142" t="s">
        <v>6</v>
      </c>
      <c r="H487" s="142" t="s">
        <v>5</v>
      </c>
      <c r="I487">
        <v>50</v>
      </c>
      <c r="J487">
        <v>100</v>
      </c>
      <c r="K487" s="142" t="s">
        <v>10</v>
      </c>
      <c r="L487">
        <v>5766.4</v>
      </c>
      <c r="M487">
        <v>84.718000000000004</v>
      </c>
      <c r="N487">
        <v>5716.9</v>
      </c>
      <c r="O487">
        <v>84.447999999999993</v>
      </c>
    </row>
    <row r="488" spans="1:15" x14ac:dyDescent="0.25">
      <c r="A488" s="142" t="s">
        <v>871</v>
      </c>
      <c r="B488" s="142" t="s">
        <v>52</v>
      </c>
      <c r="C488" s="142" t="s">
        <v>8</v>
      </c>
      <c r="D488">
        <v>0.1</v>
      </c>
      <c r="E488">
        <v>1</v>
      </c>
      <c r="F488">
        <v>0.01</v>
      </c>
      <c r="G488" s="142" t="s">
        <v>6</v>
      </c>
      <c r="H488" s="142" t="s">
        <v>5</v>
      </c>
      <c r="I488">
        <v>100</v>
      </c>
      <c r="J488">
        <v>300</v>
      </c>
      <c r="K488" s="142" t="s">
        <v>10</v>
      </c>
      <c r="L488">
        <v>5681.3</v>
      </c>
      <c r="M488">
        <v>1112.9000000000001</v>
      </c>
      <c r="N488">
        <v>5471.3</v>
      </c>
      <c r="O488">
        <v>1112.5</v>
      </c>
    </row>
    <row r="489" spans="1:15" x14ac:dyDescent="0.25">
      <c r="A489" s="142" t="s">
        <v>872</v>
      </c>
      <c r="B489" s="142" t="s">
        <v>52</v>
      </c>
      <c r="C489" s="142" t="s">
        <v>8</v>
      </c>
      <c r="D489">
        <v>0.1</v>
      </c>
      <c r="E489">
        <v>1</v>
      </c>
      <c r="F489">
        <v>0.01</v>
      </c>
      <c r="G489" s="142" t="s">
        <v>6</v>
      </c>
      <c r="H489" s="142" t="s">
        <v>5</v>
      </c>
      <c r="I489">
        <v>300</v>
      </c>
      <c r="J489">
        <v>1000</v>
      </c>
      <c r="K489" s="142" t="s">
        <v>10</v>
      </c>
      <c r="L489">
        <v>5123.3999999999996</v>
      </c>
      <c r="M489">
        <v>7893.3</v>
      </c>
      <c r="N489">
        <v>4768.8999999999996</v>
      </c>
      <c r="O489">
        <v>7893.5</v>
      </c>
    </row>
    <row r="490" spans="1:15" x14ac:dyDescent="0.25">
      <c r="A490" s="142" t="s">
        <v>893</v>
      </c>
      <c r="B490" s="142" t="s">
        <v>52</v>
      </c>
      <c r="C490" s="142" t="s">
        <v>8</v>
      </c>
      <c r="D490">
        <v>1</v>
      </c>
      <c r="E490">
        <v>10</v>
      </c>
      <c r="F490">
        <v>0.01</v>
      </c>
      <c r="G490" s="142" t="s">
        <v>6</v>
      </c>
      <c r="H490" s="142" t="s">
        <v>4</v>
      </c>
      <c r="I490">
        <v>1E-3</v>
      </c>
      <c r="J490">
        <v>0.04</v>
      </c>
      <c r="K490" s="142" t="s">
        <v>10</v>
      </c>
      <c r="L490">
        <v>5.7866999999999997</v>
      </c>
      <c r="M490">
        <v>1.3102000000000001E-2</v>
      </c>
      <c r="N490">
        <v>5.7861000000000002</v>
      </c>
      <c r="O490">
        <v>1.2888E-2</v>
      </c>
    </row>
    <row r="491" spans="1:15" x14ac:dyDescent="0.25">
      <c r="A491" s="142" t="s">
        <v>2048</v>
      </c>
      <c r="B491" s="142" t="s">
        <v>52</v>
      </c>
      <c r="C491" s="142" t="s">
        <v>8</v>
      </c>
      <c r="D491">
        <v>1</v>
      </c>
      <c r="E491">
        <v>10</v>
      </c>
      <c r="F491">
        <v>0.01</v>
      </c>
      <c r="G491" s="142" t="s">
        <v>6</v>
      </c>
      <c r="H491" s="142" t="s">
        <v>4</v>
      </c>
      <c r="I491">
        <v>0.04</v>
      </c>
      <c r="J491">
        <v>1</v>
      </c>
      <c r="K491" s="142" t="s">
        <v>10</v>
      </c>
      <c r="L491">
        <v>5.7728999999999999</v>
      </c>
      <c r="M491">
        <v>9.7757999999999994E-3</v>
      </c>
      <c r="N491">
        <v>5.7724000000000002</v>
      </c>
      <c r="O491">
        <v>9.5595999999999997E-3</v>
      </c>
    </row>
    <row r="492" spans="1:15" x14ac:dyDescent="0.25">
      <c r="A492" s="142" t="s">
        <v>894</v>
      </c>
      <c r="B492" s="142" t="s">
        <v>52</v>
      </c>
      <c r="C492" s="142" t="s">
        <v>8</v>
      </c>
      <c r="D492">
        <v>1</v>
      </c>
      <c r="E492">
        <v>10</v>
      </c>
      <c r="F492">
        <v>0.01</v>
      </c>
      <c r="G492" s="142" t="s">
        <v>6</v>
      </c>
      <c r="H492" s="142" t="s">
        <v>4</v>
      </c>
      <c r="I492">
        <v>1</v>
      </c>
      <c r="J492">
        <v>20</v>
      </c>
      <c r="K492" s="142" t="s">
        <v>10</v>
      </c>
      <c r="L492">
        <v>5.7584</v>
      </c>
      <c r="M492">
        <v>3.1184E-2</v>
      </c>
      <c r="N492">
        <v>5.7561999999999998</v>
      </c>
      <c r="O492">
        <v>3.0741999999999998E-2</v>
      </c>
    </row>
    <row r="493" spans="1:15" x14ac:dyDescent="0.25">
      <c r="A493" s="142" t="s">
        <v>892</v>
      </c>
      <c r="B493" s="142" t="s">
        <v>52</v>
      </c>
      <c r="C493" s="142" t="s">
        <v>8</v>
      </c>
      <c r="D493">
        <v>1</v>
      </c>
      <c r="E493">
        <v>10</v>
      </c>
      <c r="F493">
        <v>0.01</v>
      </c>
      <c r="G493" s="142" t="s">
        <v>6</v>
      </c>
      <c r="H493" s="142" t="s">
        <v>4</v>
      </c>
      <c r="I493">
        <v>20</v>
      </c>
      <c r="J493">
        <v>50</v>
      </c>
      <c r="K493" s="142" t="s">
        <v>10</v>
      </c>
      <c r="L493">
        <v>5.6917</v>
      </c>
      <c r="M493">
        <v>0.11767</v>
      </c>
      <c r="N493">
        <v>5.6852</v>
      </c>
      <c r="O493">
        <v>0.11724999999999999</v>
      </c>
    </row>
    <row r="494" spans="1:15" x14ac:dyDescent="0.25">
      <c r="A494" s="142" t="s">
        <v>895</v>
      </c>
      <c r="B494" s="142" t="s">
        <v>52</v>
      </c>
      <c r="C494" s="142" t="s">
        <v>8</v>
      </c>
      <c r="D494">
        <v>1</v>
      </c>
      <c r="E494">
        <v>10</v>
      </c>
      <c r="F494">
        <v>0.01</v>
      </c>
      <c r="G494" s="142" t="s">
        <v>6</v>
      </c>
      <c r="H494" s="142" t="s">
        <v>4</v>
      </c>
      <c r="I494">
        <v>50</v>
      </c>
      <c r="J494">
        <v>100</v>
      </c>
      <c r="K494" s="142" t="s">
        <v>10</v>
      </c>
      <c r="L494">
        <v>5.3224</v>
      </c>
      <c r="M494">
        <v>0.57808000000000004</v>
      </c>
      <c r="N494">
        <v>5.3097000000000003</v>
      </c>
      <c r="O494">
        <v>0.57825000000000004</v>
      </c>
    </row>
    <row r="495" spans="1:15" x14ac:dyDescent="0.25">
      <c r="A495" s="142" t="s">
        <v>896</v>
      </c>
      <c r="B495" s="142" t="s">
        <v>52</v>
      </c>
      <c r="C495" s="142" t="s">
        <v>8</v>
      </c>
      <c r="D495">
        <v>1</v>
      </c>
      <c r="E495">
        <v>10</v>
      </c>
      <c r="F495">
        <v>0.01</v>
      </c>
      <c r="G495" s="142" t="s">
        <v>6</v>
      </c>
      <c r="H495" s="142" t="s">
        <v>4</v>
      </c>
      <c r="I495">
        <v>100</v>
      </c>
      <c r="J495">
        <v>300</v>
      </c>
      <c r="K495" s="142" t="s">
        <v>10</v>
      </c>
      <c r="L495">
        <v>4.2077999999999998</v>
      </c>
      <c r="M495">
        <v>3.206</v>
      </c>
      <c r="N495">
        <v>4.1863000000000001</v>
      </c>
      <c r="O495">
        <v>3.2075</v>
      </c>
    </row>
    <row r="496" spans="1:15" x14ac:dyDescent="0.25">
      <c r="A496" s="142" t="s">
        <v>897</v>
      </c>
      <c r="B496" s="142" t="s">
        <v>52</v>
      </c>
      <c r="C496" s="142" t="s">
        <v>8</v>
      </c>
      <c r="D496">
        <v>1</v>
      </c>
      <c r="E496">
        <v>10</v>
      </c>
      <c r="F496">
        <v>0.01</v>
      </c>
      <c r="G496" s="142" t="s">
        <v>6</v>
      </c>
      <c r="H496" s="142" t="s">
        <v>4</v>
      </c>
      <c r="I496">
        <v>300</v>
      </c>
      <c r="J496">
        <v>1000</v>
      </c>
      <c r="K496" s="142" t="s">
        <v>10</v>
      </c>
      <c r="L496">
        <v>2.1118999999999999</v>
      </c>
      <c r="M496">
        <v>11.86</v>
      </c>
      <c r="N496">
        <v>2.5266000000000002</v>
      </c>
      <c r="O496">
        <v>11.428000000000001</v>
      </c>
    </row>
    <row r="497" spans="1:15" x14ac:dyDescent="0.25">
      <c r="A497" s="142" t="s">
        <v>912</v>
      </c>
      <c r="B497" s="142" t="s">
        <v>52</v>
      </c>
      <c r="C497" s="142" t="s">
        <v>8</v>
      </c>
      <c r="D497">
        <v>10</v>
      </c>
      <c r="E497">
        <v>20</v>
      </c>
      <c r="F497">
        <v>0.01</v>
      </c>
      <c r="G497" s="142" t="s">
        <v>6</v>
      </c>
      <c r="H497" s="142" t="s">
        <v>4</v>
      </c>
      <c r="I497">
        <v>1E-3</v>
      </c>
      <c r="J497">
        <v>0.04</v>
      </c>
      <c r="K497" s="142" t="s">
        <v>10</v>
      </c>
      <c r="L497">
        <v>7.1417999999999999</v>
      </c>
      <c r="M497">
        <v>0.18823000000000001</v>
      </c>
      <c r="N497">
        <v>7.1422999999999996</v>
      </c>
      <c r="O497">
        <v>0.18784999999999999</v>
      </c>
    </row>
    <row r="498" spans="1:15" x14ac:dyDescent="0.25">
      <c r="A498" s="142" t="s">
        <v>911</v>
      </c>
      <c r="B498" s="142" t="s">
        <v>52</v>
      </c>
      <c r="C498" s="142" t="s">
        <v>8</v>
      </c>
      <c r="D498">
        <v>10</v>
      </c>
      <c r="E498">
        <v>20</v>
      </c>
      <c r="F498">
        <v>0.01</v>
      </c>
      <c r="G498" s="142" t="s">
        <v>6</v>
      </c>
      <c r="H498" s="142" t="s">
        <v>4</v>
      </c>
      <c r="I498">
        <v>0.04</v>
      </c>
      <c r="J498">
        <v>1</v>
      </c>
      <c r="K498" s="142" t="s">
        <v>10</v>
      </c>
      <c r="L498">
        <v>5.7667000000000002</v>
      </c>
      <c r="M498">
        <v>0.16324</v>
      </c>
      <c r="N498">
        <v>5.7672999999999996</v>
      </c>
      <c r="O498">
        <v>0.16278000000000001</v>
      </c>
    </row>
    <row r="499" spans="1:15" x14ac:dyDescent="0.25">
      <c r="A499" s="142" t="s">
        <v>916</v>
      </c>
      <c r="B499" s="142" t="s">
        <v>52</v>
      </c>
      <c r="C499" s="142" t="s">
        <v>8</v>
      </c>
      <c r="D499">
        <v>10</v>
      </c>
      <c r="E499">
        <v>20</v>
      </c>
      <c r="F499">
        <v>0.01</v>
      </c>
      <c r="G499" s="142" t="s">
        <v>6</v>
      </c>
      <c r="H499" s="142" t="s">
        <v>4</v>
      </c>
      <c r="I499">
        <v>1</v>
      </c>
      <c r="J499">
        <v>20</v>
      </c>
      <c r="K499" s="142" t="s">
        <v>10</v>
      </c>
      <c r="L499">
        <v>5.766</v>
      </c>
      <c r="M499">
        <v>0.16331000000000001</v>
      </c>
      <c r="N499">
        <v>5.7664999999999997</v>
      </c>
      <c r="O499">
        <v>0.16286</v>
      </c>
    </row>
    <row r="500" spans="1:15" x14ac:dyDescent="0.25">
      <c r="A500" s="142" t="s">
        <v>915</v>
      </c>
      <c r="B500" s="142" t="s">
        <v>52</v>
      </c>
      <c r="C500" s="142" t="s">
        <v>8</v>
      </c>
      <c r="D500">
        <v>10</v>
      </c>
      <c r="E500">
        <v>20</v>
      </c>
      <c r="F500">
        <v>0.01</v>
      </c>
      <c r="G500" s="142" t="s">
        <v>6</v>
      </c>
      <c r="H500" s="142" t="s">
        <v>4</v>
      </c>
      <c r="I500">
        <v>20</v>
      </c>
      <c r="J500">
        <v>50</v>
      </c>
      <c r="K500" s="142" t="s">
        <v>10</v>
      </c>
      <c r="L500">
        <v>5.2804000000000002</v>
      </c>
      <c r="M500">
        <v>0.33139000000000002</v>
      </c>
      <c r="N500">
        <v>5.2751999999999999</v>
      </c>
      <c r="O500">
        <v>0.33101999999999998</v>
      </c>
    </row>
    <row r="501" spans="1:15" x14ac:dyDescent="0.25">
      <c r="A501" s="142" t="s">
        <v>914</v>
      </c>
      <c r="B501" s="142" t="s">
        <v>52</v>
      </c>
      <c r="C501" s="142" t="s">
        <v>8</v>
      </c>
      <c r="D501">
        <v>10</v>
      </c>
      <c r="E501">
        <v>20</v>
      </c>
      <c r="F501">
        <v>0.01</v>
      </c>
      <c r="G501" s="142" t="s">
        <v>6</v>
      </c>
      <c r="H501" s="142" t="s">
        <v>4</v>
      </c>
      <c r="I501">
        <v>50</v>
      </c>
      <c r="J501">
        <v>100</v>
      </c>
      <c r="K501" s="142" t="s">
        <v>10</v>
      </c>
      <c r="L501">
        <v>3.7618999999999998</v>
      </c>
      <c r="M501">
        <v>1.341</v>
      </c>
      <c r="N501">
        <v>3.7587999999999999</v>
      </c>
      <c r="O501">
        <v>1.3409</v>
      </c>
    </row>
    <row r="502" spans="1:15" x14ac:dyDescent="0.25">
      <c r="A502" s="142" t="s">
        <v>2070</v>
      </c>
      <c r="B502" s="142" t="s">
        <v>52</v>
      </c>
      <c r="C502" s="142" t="s">
        <v>8</v>
      </c>
      <c r="D502">
        <v>10</v>
      </c>
      <c r="E502">
        <v>20</v>
      </c>
      <c r="F502">
        <v>0.01</v>
      </c>
      <c r="G502" s="142" t="s">
        <v>6</v>
      </c>
      <c r="H502" s="142" t="s">
        <v>4</v>
      </c>
      <c r="I502">
        <v>100</v>
      </c>
      <c r="J502">
        <v>300</v>
      </c>
      <c r="K502" s="142" t="s">
        <v>10</v>
      </c>
      <c r="L502">
        <v>12</v>
      </c>
      <c r="M502">
        <v>4.6117999999999997</v>
      </c>
      <c r="N502">
        <v>11.907</v>
      </c>
      <c r="O502">
        <v>4.6117999999999997</v>
      </c>
    </row>
    <row r="503" spans="1:15" x14ac:dyDescent="0.25">
      <c r="A503" s="142" t="s">
        <v>913</v>
      </c>
      <c r="B503" s="142" t="s">
        <v>52</v>
      </c>
      <c r="C503" s="142" t="s">
        <v>8</v>
      </c>
      <c r="D503">
        <v>10</v>
      </c>
      <c r="E503">
        <v>20</v>
      </c>
      <c r="F503">
        <v>0.01</v>
      </c>
      <c r="G503" s="142" t="s">
        <v>6</v>
      </c>
      <c r="H503" s="142" t="s">
        <v>4</v>
      </c>
      <c r="I503">
        <v>300</v>
      </c>
      <c r="J503">
        <v>1000</v>
      </c>
      <c r="K503" s="142" t="s">
        <v>10</v>
      </c>
      <c r="L503">
        <v>19</v>
      </c>
      <c r="M503">
        <v>17</v>
      </c>
      <c r="N503">
        <v>11.531000000000001</v>
      </c>
      <c r="O503">
        <v>17.334</v>
      </c>
    </row>
    <row r="504" spans="1:15" x14ac:dyDescent="0.25">
      <c r="A504" s="142" t="s">
        <v>937</v>
      </c>
      <c r="B504" s="142" t="s">
        <v>52</v>
      </c>
      <c r="C504" s="142" t="s">
        <v>8</v>
      </c>
      <c r="D504">
        <v>20</v>
      </c>
      <c r="E504">
        <v>100</v>
      </c>
      <c r="F504">
        <v>0.01</v>
      </c>
      <c r="G504" s="142" t="s">
        <v>6</v>
      </c>
      <c r="H504" s="142" t="s">
        <v>4</v>
      </c>
      <c r="I504">
        <v>1E-3</v>
      </c>
      <c r="J504">
        <v>0.04</v>
      </c>
      <c r="K504" s="142" t="s">
        <v>10</v>
      </c>
      <c r="L504">
        <v>6.5338000000000003</v>
      </c>
      <c r="M504">
        <v>0.21822</v>
      </c>
      <c r="N504">
        <v>6.5311000000000003</v>
      </c>
      <c r="O504">
        <v>0.21822</v>
      </c>
    </row>
    <row r="505" spans="1:15" x14ac:dyDescent="0.25">
      <c r="A505" s="142" t="s">
        <v>939</v>
      </c>
      <c r="B505" s="142" t="s">
        <v>52</v>
      </c>
      <c r="C505" s="142" t="s">
        <v>8</v>
      </c>
      <c r="D505">
        <v>20</v>
      </c>
      <c r="E505">
        <v>100</v>
      </c>
      <c r="F505">
        <v>0.01</v>
      </c>
      <c r="G505" s="142" t="s">
        <v>6</v>
      </c>
      <c r="H505" s="142" t="s">
        <v>4</v>
      </c>
      <c r="I505">
        <v>0.04</v>
      </c>
      <c r="J505">
        <v>1</v>
      </c>
      <c r="K505" s="142" t="s">
        <v>10</v>
      </c>
      <c r="L505">
        <v>4.7527999999999997</v>
      </c>
      <c r="M505">
        <v>0.21351000000000001</v>
      </c>
      <c r="N505">
        <v>4.7495000000000003</v>
      </c>
      <c r="O505">
        <v>0.21351000000000001</v>
      </c>
    </row>
    <row r="506" spans="1:15" x14ac:dyDescent="0.25">
      <c r="A506" s="142" t="s">
        <v>940</v>
      </c>
      <c r="B506" s="142" t="s">
        <v>52</v>
      </c>
      <c r="C506" s="142" t="s">
        <v>8</v>
      </c>
      <c r="D506">
        <v>20</v>
      </c>
      <c r="E506">
        <v>100</v>
      </c>
      <c r="F506">
        <v>0.01</v>
      </c>
      <c r="G506" s="142" t="s">
        <v>6</v>
      </c>
      <c r="H506" s="142" t="s">
        <v>4</v>
      </c>
      <c r="I506">
        <v>1</v>
      </c>
      <c r="J506">
        <v>20</v>
      </c>
      <c r="K506" s="142" t="s">
        <v>10</v>
      </c>
      <c r="L506">
        <v>7.1253000000000002</v>
      </c>
      <c r="M506">
        <v>0.18978</v>
      </c>
      <c r="N506">
        <v>7.1218000000000004</v>
      </c>
      <c r="O506">
        <v>0.18978999999999999</v>
      </c>
    </row>
    <row r="507" spans="1:15" x14ac:dyDescent="0.25">
      <c r="A507" s="142" t="s">
        <v>941</v>
      </c>
      <c r="B507" s="142" t="s">
        <v>52</v>
      </c>
      <c r="C507" s="142" t="s">
        <v>8</v>
      </c>
      <c r="D507">
        <v>20</v>
      </c>
      <c r="E507">
        <v>100</v>
      </c>
      <c r="F507">
        <v>0.01</v>
      </c>
      <c r="G507" s="142" t="s">
        <v>6</v>
      </c>
      <c r="H507" s="142" t="s">
        <v>4</v>
      </c>
      <c r="I507">
        <v>20</v>
      </c>
      <c r="J507">
        <v>50</v>
      </c>
      <c r="K507" s="142" t="s">
        <v>10</v>
      </c>
      <c r="L507">
        <v>8.4216999999999995</v>
      </c>
      <c r="M507">
        <v>0.34749000000000002</v>
      </c>
      <c r="N507">
        <v>8.4154999999999998</v>
      </c>
      <c r="O507">
        <v>0.34748000000000001</v>
      </c>
    </row>
    <row r="508" spans="1:15" x14ac:dyDescent="0.25">
      <c r="A508" s="142" t="s">
        <v>938</v>
      </c>
      <c r="B508" s="142" t="s">
        <v>52</v>
      </c>
      <c r="C508" s="142" t="s">
        <v>8</v>
      </c>
      <c r="D508">
        <v>20</v>
      </c>
      <c r="E508">
        <v>100</v>
      </c>
      <c r="F508">
        <v>0.01</v>
      </c>
      <c r="G508" s="142" t="s">
        <v>6</v>
      </c>
      <c r="H508" s="142" t="s">
        <v>4</v>
      </c>
      <c r="I508">
        <v>50</v>
      </c>
      <c r="J508">
        <v>100</v>
      </c>
      <c r="K508" s="142" t="s">
        <v>10</v>
      </c>
      <c r="L508">
        <v>21</v>
      </c>
      <c r="M508">
        <v>1.2002999999999999</v>
      </c>
      <c r="N508">
        <v>18.302</v>
      </c>
      <c r="O508">
        <v>1.2272000000000001</v>
      </c>
    </row>
    <row r="509" spans="1:15" x14ac:dyDescent="0.25">
      <c r="A509" s="142" t="s">
        <v>959</v>
      </c>
      <c r="B509" s="142" t="s">
        <v>52</v>
      </c>
      <c r="C509" s="142" t="s">
        <v>8</v>
      </c>
      <c r="D509">
        <v>100</v>
      </c>
      <c r="E509">
        <v>330</v>
      </c>
      <c r="F509">
        <v>0.01</v>
      </c>
      <c r="G509" s="142" t="s">
        <v>6</v>
      </c>
      <c r="H509" s="142" t="s">
        <v>4</v>
      </c>
      <c r="I509">
        <v>1E-3</v>
      </c>
      <c r="J509">
        <v>0.04</v>
      </c>
      <c r="K509" s="142" t="s">
        <v>10</v>
      </c>
      <c r="L509">
        <v>47</v>
      </c>
      <c r="M509">
        <v>0.46</v>
      </c>
      <c r="N509">
        <v>46.398000000000003</v>
      </c>
      <c r="O509">
        <v>0.46173999999999998</v>
      </c>
    </row>
    <row r="510" spans="1:15" x14ac:dyDescent="0.25">
      <c r="A510" s="142" t="s">
        <v>2083</v>
      </c>
      <c r="B510" s="142" t="s">
        <v>52</v>
      </c>
      <c r="C510" s="142" t="s">
        <v>8</v>
      </c>
      <c r="D510">
        <v>100</v>
      </c>
      <c r="E510">
        <v>330</v>
      </c>
      <c r="F510">
        <v>0.01</v>
      </c>
      <c r="G510" s="142" t="s">
        <v>6</v>
      </c>
      <c r="H510" s="142" t="s">
        <v>4</v>
      </c>
      <c r="I510">
        <v>0.04</v>
      </c>
      <c r="J510">
        <v>1</v>
      </c>
      <c r="K510" s="142" t="s">
        <v>10</v>
      </c>
      <c r="L510">
        <v>24</v>
      </c>
      <c r="M510">
        <v>0.46</v>
      </c>
      <c r="N510">
        <v>23.381</v>
      </c>
      <c r="O510">
        <v>0.46156999999999998</v>
      </c>
    </row>
    <row r="511" spans="1:15" x14ac:dyDescent="0.25">
      <c r="A511" s="142" t="s">
        <v>958</v>
      </c>
      <c r="B511" s="142" t="s">
        <v>52</v>
      </c>
      <c r="C511" s="142" t="s">
        <v>8</v>
      </c>
      <c r="D511">
        <v>100</v>
      </c>
      <c r="E511">
        <v>330</v>
      </c>
      <c r="F511">
        <v>0.01</v>
      </c>
      <c r="G511" s="142" t="s">
        <v>6</v>
      </c>
      <c r="H511" s="142" t="s">
        <v>4</v>
      </c>
      <c r="I511">
        <v>1</v>
      </c>
      <c r="J511">
        <v>20</v>
      </c>
      <c r="K511" s="142" t="s">
        <v>10</v>
      </c>
      <c r="L511">
        <v>23</v>
      </c>
      <c r="M511">
        <v>0.7</v>
      </c>
      <c r="N511">
        <v>23.055</v>
      </c>
      <c r="O511">
        <v>0.69516</v>
      </c>
    </row>
    <row r="512" spans="1:15" x14ac:dyDescent="0.25">
      <c r="A512" s="142" t="s">
        <v>960</v>
      </c>
      <c r="B512" s="142" t="s">
        <v>52</v>
      </c>
      <c r="C512" s="142" t="s">
        <v>8</v>
      </c>
      <c r="D512">
        <v>100</v>
      </c>
      <c r="E512">
        <v>330</v>
      </c>
      <c r="F512">
        <v>0.01</v>
      </c>
      <c r="G512" s="142" t="s">
        <v>6</v>
      </c>
      <c r="H512" s="142" t="s">
        <v>4</v>
      </c>
      <c r="I512">
        <v>20</v>
      </c>
      <c r="J512">
        <v>50</v>
      </c>
      <c r="K512" s="142" t="s">
        <v>10</v>
      </c>
      <c r="L512">
        <v>23</v>
      </c>
      <c r="M512">
        <v>1.4</v>
      </c>
      <c r="N512">
        <v>23.013999999999999</v>
      </c>
      <c r="O512">
        <v>1.3876999999999999</v>
      </c>
    </row>
    <row r="513" spans="1:15" x14ac:dyDescent="0.25">
      <c r="A513" s="142" t="s">
        <v>957</v>
      </c>
      <c r="B513" s="142" t="s">
        <v>52</v>
      </c>
      <c r="C513" s="142" t="s">
        <v>8</v>
      </c>
      <c r="D513">
        <v>100</v>
      </c>
      <c r="E513">
        <v>330</v>
      </c>
      <c r="F513">
        <v>0.01</v>
      </c>
      <c r="G513" s="142" t="s">
        <v>6</v>
      </c>
      <c r="H513" s="142" t="s">
        <v>4</v>
      </c>
      <c r="I513">
        <v>50</v>
      </c>
      <c r="J513">
        <v>100</v>
      </c>
      <c r="K513" s="142" t="s">
        <v>10</v>
      </c>
      <c r="L513">
        <v>23</v>
      </c>
      <c r="M513">
        <v>3.5</v>
      </c>
      <c r="N513">
        <v>22.981999999999999</v>
      </c>
      <c r="O513">
        <v>3.4658000000000002</v>
      </c>
    </row>
    <row r="514" spans="1:15" x14ac:dyDescent="0.25">
      <c r="A514" s="142" t="s">
        <v>2087</v>
      </c>
      <c r="B514" s="142" t="s">
        <v>52</v>
      </c>
      <c r="C514" s="142" t="s">
        <v>8</v>
      </c>
      <c r="D514">
        <v>330</v>
      </c>
      <c r="E514">
        <v>1000</v>
      </c>
      <c r="F514">
        <v>0.01</v>
      </c>
      <c r="G514" s="142" t="s">
        <v>6</v>
      </c>
      <c r="H514" s="142" t="s">
        <v>4</v>
      </c>
      <c r="I514">
        <v>1E-3</v>
      </c>
      <c r="J514">
        <v>0.04</v>
      </c>
      <c r="K514" s="142" t="s">
        <v>10</v>
      </c>
      <c r="L514">
        <v>49</v>
      </c>
      <c r="M514">
        <v>0.46</v>
      </c>
      <c r="N514">
        <v>46.372999999999998</v>
      </c>
      <c r="O514">
        <v>0.46201999999999999</v>
      </c>
    </row>
    <row r="515" spans="1:15" x14ac:dyDescent="0.25">
      <c r="A515" s="142" t="s">
        <v>974</v>
      </c>
      <c r="B515" s="142" t="s">
        <v>52</v>
      </c>
      <c r="C515" s="142" t="s">
        <v>8</v>
      </c>
      <c r="D515">
        <v>330</v>
      </c>
      <c r="E515">
        <v>1000</v>
      </c>
      <c r="F515">
        <v>0.01</v>
      </c>
      <c r="G515" s="142" t="s">
        <v>6</v>
      </c>
      <c r="H515" s="142" t="s">
        <v>4</v>
      </c>
      <c r="I515">
        <v>0.04</v>
      </c>
      <c r="J515">
        <v>1</v>
      </c>
      <c r="K515" s="142" t="s">
        <v>10</v>
      </c>
      <c r="L515">
        <v>26</v>
      </c>
      <c r="M515">
        <v>0.46</v>
      </c>
      <c r="N515">
        <v>23.344000000000001</v>
      </c>
      <c r="O515">
        <v>0.46196999999999999</v>
      </c>
    </row>
    <row r="516" spans="1:15" x14ac:dyDescent="0.25">
      <c r="A516" s="142" t="s">
        <v>975</v>
      </c>
      <c r="B516" s="142" t="s">
        <v>52</v>
      </c>
      <c r="C516" s="142" t="s">
        <v>8</v>
      </c>
      <c r="D516">
        <v>330</v>
      </c>
      <c r="E516">
        <v>1000</v>
      </c>
      <c r="F516">
        <v>0.01</v>
      </c>
      <c r="G516" s="142" t="s">
        <v>6</v>
      </c>
      <c r="H516" s="142" t="s">
        <v>4</v>
      </c>
      <c r="I516">
        <v>1</v>
      </c>
      <c r="J516">
        <v>10</v>
      </c>
      <c r="K516" s="142" t="s">
        <v>10</v>
      </c>
      <c r="L516">
        <v>23</v>
      </c>
      <c r="M516">
        <v>0.7</v>
      </c>
      <c r="N516">
        <v>22.96</v>
      </c>
      <c r="O516">
        <v>0.69611000000000001</v>
      </c>
    </row>
    <row r="517" spans="1:15" x14ac:dyDescent="0.25">
      <c r="A517" s="142" t="s">
        <v>2046</v>
      </c>
      <c r="B517" s="142" t="s">
        <v>52</v>
      </c>
      <c r="C517" s="142" t="s">
        <v>8</v>
      </c>
      <c r="D517">
        <v>1</v>
      </c>
      <c r="E517">
        <v>10</v>
      </c>
      <c r="F517">
        <v>0.1</v>
      </c>
      <c r="G517" s="142" t="s">
        <v>6</v>
      </c>
      <c r="H517" s="142" t="s">
        <v>4</v>
      </c>
      <c r="I517">
        <v>1E-3</v>
      </c>
      <c r="J517">
        <v>0.04</v>
      </c>
      <c r="K517" s="142" t="s">
        <v>10</v>
      </c>
      <c r="L517">
        <v>57.737000000000002</v>
      </c>
      <c r="M517">
        <v>1.3956000000000001E-3</v>
      </c>
      <c r="N517">
        <v>57.725000000000001</v>
      </c>
      <c r="O517">
        <v>1.3071999999999999E-3</v>
      </c>
    </row>
    <row r="518" spans="1:15" x14ac:dyDescent="0.25">
      <c r="A518" s="142" t="s">
        <v>2049</v>
      </c>
      <c r="B518" s="142" t="s">
        <v>52</v>
      </c>
      <c r="C518" s="142" t="s">
        <v>8</v>
      </c>
      <c r="D518">
        <v>1</v>
      </c>
      <c r="E518">
        <v>10</v>
      </c>
      <c r="F518">
        <v>0.1</v>
      </c>
      <c r="G518" s="142" t="s">
        <v>6</v>
      </c>
      <c r="H518" s="142" t="s">
        <v>4</v>
      </c>
      <c r="I518">
        <v>0.04</v>
      </c>
      <c r="J518">
        <v>1</v>
      </c>
      <c r="K518" s="142" t="s">
        <v>10</v>
      </c>
      <c r="L518">
        <v>57.735999999999997</v>
      </c>
      <c r="M518">
        <v>1.0528E-3</v>
      </c>
      <c r="N518">
        <v>57.726999999999997</v>
      </c>
      <c r="O518">
        <v>9.6438999999999997E-4</v>
      </c>
    </row>
    <row r="519" spans="1:15" x14ac:dyDescent="0.25">
      <c r="A519" s="142" t="s">
        <v>2051</v>
      </c>
      <c r="B519" s="142" t="s">
        <v>52</v>
      </c>
      <c r="C519" s="142" t="s">
        <v>8</v>
      </c>
      <c r="D519">
        <v>1</v>
      </c>
      <c r="E519">
        <v>10</v>
      </c>
      <c r="F519">
        <v>0.1</v>
      </c>
      <c r="G519" s="142" t="s">
        <v>6</v>
      </c>
      <c r="H519" s="142" t="s">
        <v>4</v>
      </c>
      <c r="I519">
        <v>1</v>
      </c>
      <c r="J519">
        <v>20</v>
      </c>
      <c r="K519" s="142" t="s">
        <v>10</v>
      </c>
      <c r="L519">
        <v>57.734999999999999</v>
      </c>
      <c r="M519">
        <v>3.3455999999999998E-3</v>
      </c>
      <c r="N519">
        <v>57.706000000000003</v>
      </c>
      <c r="O519">
        <v>3.1541E-3</v>
      </c>
    </row>
    <row r="520" spans="1:15" x14ac:dyDescent="0.25">
      <c r="A520" s="142" t="s">
        <v>898</v>
      </c>
      <c r="B520" s="142" t="s">
        <v>52</v>
      </c>
      <c r="C520" s="142" t="s">
        <v>8</v>
      </c>
      <c r="D520">
        <v>1</v>
      </c>
      <c r="E520">
        <v>10</v>
      </c>
      <c r="F520">
        <v>0.1</v>
      </c>
      <c r="G520" s="142" t="s">
        <v>6</v>
      </c>
      <c r="H520" s="142" t="s">
        <v>4</v>
      </c>
      <c r="I520">
        <v>20</v>
      </c>
      <c r="J520">
        <v>50</v>
      </c>
      <c r="K520" s="142" t="s">
        <v>10</v>
      </c>
      <c r="L520">
        <v>57.728000000000002</v>
      </c>
      <c r="M520">
        <v>1.3098E-2</v>
      </c>
      <c r="N520">
        <v>57.621000000000002</v>
      </c>
      <c r="O520">
        <v>1.2841999999999999E-2</v>
      </c>
    </row>
    <row r="521" spans="1:15" x14ac:dyDescent="0.25">
      <c r="A521" s="142" t="s">
        <v>2055</v>
      </c>
      <c r="B521" s="142" t="s">
        <v>52</v>
      </c>
      <c r="C521" s="142" t="s">
        <v>8</v>
      </c>
      <c r="D521">
        <v>1</v>
      </c>
      <c r="E521">
        <v>10</v>
      </c>
      <c r="F521">
        <v>0.1</v>
      </c>
      <c r="G521" s="142" t="s">
        <v>6</v>
      </c>
      <c r="H521" s="142" t="s">
        <v>4</v>
      </c>
      <c r="I521">
        <v>50</v>
      </c>
      <c r="J521">
        <v>100</v>
      </c>
      <c r="K521" s="142" t="s">
        <v>10</v>
      </c>
      <c r="L521">
        <v>57.667000000000002</v>
      </c>
      <c r="M521">
        <v>8.4820999999999994E-2</v>
      </c>
      <c r="N521">
        <v>57.168999999999997</v>
      </c>
      <c r="O521">
        <v>8.4459000000000006E-2</v>
      </c>
    </row>
    <row r="522" spans="1:15" x14ac:dyDescent="0.25">
      <c r="A522" s="142" t="s">
        <v>2057</v>
      </c>
      <c r="B522" s="142" t="s">
        <v>52</v>
      </c>
      <c r="C522" s="142" t="s">
        <v>8</v>
      </c>
      <c r="D522">
        <v>1</v>
      </c>
      <c r="E522">
        <v>10</v>
      </c>
      <c r="F522">
        <v>0.1</v>
      </c>
      <c r="G522" s="142" t="s">
        <v>6</v>
      </c>
      <c r="H522" s="142" t="s">
        <v>4</v>
      </c>
      <c r="I522">
        <v>100</v>
      </c>
      <c r="J522">
        <v>300</v>
      </c>
      <c r="K522" s="142" t="s">
        <v>10</v>
      </c>
      <c r="L522">
        <v>56.817</v>
      </c>
      <c r="M522">
        <v>1.113</v>
      </c>
      <c r="N522">
        <v>54.712000000000003</v>
      </c>
      <c r="O522">
        <v>1.1126</v>
      </c>
    </row>
    <row r="523" spans="1:15" x14ac:dyDescent="0.25">
      <c r="A523" s="142" t="s">
        <v>899</v>
      </c>
      <c r="B523" s="142" t="s">
        <v>52</v>
      </c>
      <c r="C523" s="142" t="s">
        <v>8</v>
      </c>
      <c r="D523">
        <v>1</v>
      </c>
      <c r="E523">
        <v>10</v>
      </c>
      <c r="F523">
        <v>0.1</v>
      </c>
      <c r="G523" s="142" t="s">
        <v>6</v>
      </c>
      <c r="H523" s="142" t="s">
        <v>4</v>
      </c>
      <c r="I523">
        <v>300</v>
      </c>
      <c r="J523">
        <v>1000</v>
      </c>
      <c r="K523" s="142" t="s">
        <v>10</v>
      </c>
      <c r="L523">
        <v>51.238999999999997</v>
      </c>
      <c r="M523">
        <v>7.8937999999999997</v>
      </c>
      <c r="N523">
        <v>47.689</v>
      </c>
      <c r="O523">
        <v>7.8944000000000001</v>
      </c>
    </row>
    <row r="524" spans="1:15" x14ac:dyDescent="0.25">
      <c r="A524" s="142" t="s">
        <v>2060</v>
      </c>
      <c r="B524" s="142" t="s">
        <v>52</v>
      </c>
      <c r="C524" s="142" t="s">
        <v>8</v>
      </c>
      <c r="D524">
        <v>10</v>
      </c>
      <c r="E524">
        <v>20</v>
      </c>
      <c r="F524">
        <v>0.1</v>
      </c>
      <c r="G524" s="142" t="s">
        <v>6</v>
      </c>
      <c r="H524" s="142" t="s">
        <v>4</v>
      </c>
      <c r="I524">
        <v>1E-3</v>
      </c>
      <c r="J524">
        <v>0.04</v>
      </c>
      <c r="K524" s="142" t="s">
        <v>10</v>
      </c>
      <c r="L524">
        <v>57.828000000000003</v>
      </c>
      <c r="M524">
        <v>3.2409E-2</v>
      </c>
      <c r="N524">
        <v>57.829000000000001</v>
      </c>
      <c r="O524">
        <v>3.2086999999999997E-2</v>
      </c>
    </row>
    <row r="525" spans="1:15" x14ac:dyDescent="0.25">
      <c r="A525" s="142" t="s">
        <v>918</v>
      </c>
      <c r="B525" s="142" t="s">
        <v>52</v>
      </c>
      <c r="C525" s="142" t="s">
        <v>8</v>
      </c>
      <c r="D525">
        <v>10</v>
      </c>
      <c r="E525">
        <v>20</v>
      </c>
      <c r="F525">
        <v>0.1</v>
      </c>
      <c r="G525" s="142" t="s">
        <v>6</v>
      </c>
      <c r="H525" s="142" t="s">
        <v>4</v>
      </c>
      <c r="I525">
        <v>0.04</v>
      </c>
      <c r="J525">
        <v>1</v>
      </c>
      <c r="K525" s="142" t="s">
        <v>10</v>
      </c>
      <c r="L525">
        <v>57.689</v>
      </c>
      <c r="M525">
        <v>2.3349999999999999E-2</v>
      </c>
      <c r="N525">
        <v>57.69</v>
      </c>
      <c r="O525">
        <v>2.3026000000000001E-2</v>
      </c>
    </row>
    <row r="526" spans="1:15" x14ac:dyDescent="0.25">
      <c r="A526" s="142" t="s">
        <v>2064</v>
      </c>
      <c r="B526" s="142" t="s">
        <v>52</v>
      </c>
      <c r="C526" s="142" t="s">
        <v>8</v>
      </c>
      <c r="D526">
        <v>10</v>
      </c>
      <c r="E526">
        <v>20</v>
      </c>
      <c r="F526">
        <v>0.1</v>
      </c>
      <c r="G526" s="142" t="s">
        <v>6</v>
      </c>
      <c r="H526" s="142" t="s">
        <v>4</v>
      </c>
      <c r="I526">
        <v>1</v>
      </c>
      <c r="J526">
        <v>20</v>
      </c>
      <c r="K526" s="142" t="s">
        <v>10</v>
      </c>
      <c r="L526">
        <v>57.689</v>
      </c>
      <c r="M526">
        <v>2.3361E-2</v>
      </c>
      <c r="N526">
        <v>57.69</v>
      </c>
      <c r="O526">
        <v>2.3036999999999998E-2</v>
      </c>
    </row>
    <row r="527" spans="1:15" x14ac:dyDescent="0.25">
      <c r="A527" s="142" t="s">
        <v>917</v>
      </c>
      <c r="B527" s="142" t="s">
        <v>52</v>
      </c>
      <c r="C527" s="142" t="s">
        <v>8</v>
      </c>
      <c r="D527">
        <v>10</v>
      </c>
      <c r="E527">
        <v>20</v>
      </c>
      <c r="F527">
        <v>0.1</v>
      </c>
      <c r="G527" s="142" t="s">
        <v>6</v>
      </c>
      <c r="H527" s="142" t="s">
        <v>4</v>
      </c>
      <c r="I527">
        <v>20</v>
      </c>
      <c r="J527">
        <v>50</v>
      </c>
      <c r="K527" s="142" t="s">
        <v>10</v>
      </c>
      <c r="L527">
        <v>57.503999999999998</v>
      </c>
      <c r="M527">
        <v>5.8568000000000002E-2</v>
      </c>
      <c r="N527">
        <v>57.503</v>
      </c>
      <c r="O527">
        <v>5.8070999999999998E-2</v>
      </c>
    </row>
    <row r="528" spans="1:15" x14ac:dyDescent="0.25">
      <c r="A528" s="142" t="s">
        <v>919</v>
      </c>
      <c r="B528" s="142" t="s">
        <v>52</v>
      </c>
      <c r="C528" s="142" t="s">
        <v>8</v>
      </c>
      <c r="D528">
        <v>10</v>
      </c>
      <c r="E528">
        <v>20</v>
      </c>
      <c r="F528">
        <v>0.1</v>
      </c>
      <c r="G528" s="142" t="s">
        <v>6</v>
      </c>
      <c r="H528" s="142" t="s">
        <v>4</v>
      </c>
      <c r="I528">
        <v>50</v>
      </c>
      <c r="J528">
        <v>100</v>
      </c>
      <c r="K528" s="142" t="s">
        <v>10</v>
      </c>
      <c r="L528">
        <v>54.837000000000003</v>
      </c>
      <c r="M528">
        <v>0.51246000000000003</v>
      </c>
      <c r="N528">
        <v>54.835999999999999</v>
      </c>
      <c r="O528">
        <v>0.51204000000000005</v>
      </c>
    </row>
    <row r="529" spans="1:15" x14ac:dyDescent="0.25">
      <c r="A529" s="142" t="s">
        <v>2071</v>
      </c>
      <c r="B529" s="142" t="s">
        <v>52</v>
      </c>
      <c r="C529" s="142" t="s">
        <v>8</v>
      </c>
      <c r="D529">
        <v>10</v>
      </c>
      <c r="E529">
        <v>20</v>
      </c>
      <c r="F529">
        <v>0.1</v>
      </c>
      <c r="G529" s="142" t="s">
        <v>6</v>
      </c>
      <c r="H529" s="142" t="s">
        <v>4</v>
      </c>
      <c r="I529">
        <v>100</v>
      </c>
      <c r="J529">
        <v>300</v>
      </c>
      <c r="K529" s="142" t="s">
        <v>10</v>
      </c>
      <c r="L529">
        <v>44.369</v>
      </c>
      <c r="M529">
        <v>3.7286000000000001</v>
      </c>
      <c r="N529">
        <v>44.366</v>
      </c>
      <c r="O529">
        <v>3.7284999999999999</v>
      </c>
    </row>
    <row r="530" spans="1:15" x14ac:dyDescent="0.25">
      <c r="A530" s="142" t="s">
        <v>2073</v>
      </c>
      <c r="B530" s="142" t="s">
        <v>52</v>
      </c>
      <c r="C530" s="142" t="s">
        <v>8</v>
      </c>
      <c r="D530">
        <v>10</v>
      </c>
      <c r="E530">
        <v>20</v>
      </c>
      <c r="F530">
        <v>0.1</v>
      </c>
      <c r="G530" s="142" t="s">
        <v>6</v>
      </c>
      <c r="H530" s="142" t="s">
        <v>4</v>
      </c>
      <c r="I530">
        <v>300</v>
      </c>
      <c r="J530">
        <v>1000</v>
      </c>
      <c r="K530" s="142" t="s">
        <v>10</v>
      </c>
      <c r="L530">
        <v>24.388999999999999</v>
      </c>
      <c r="M530">
        <v>16.920000000000002</v>
      </c>
      <c r="N530">
        <v>24.388000000000002</v>
      </c>
      <c r="O530">
        <v>16.920000000000002</v>
      </c>
    </row>
    <row r="531" spans="1:15" x14ac:dyDescent="0.25">
      <c r="A531" s="142" t="s">
        <v>2075</v>
      </c>
      <c r="B531" s="142" t="s">
        <v>52</v>
      </c>
      <c r="C531" s="142" t="s">
        <v>8</v>
      </c>
      <c r="D531">
        <v>20</v>
      </c>
      <c r="E531">
        <v>100</v>
      </c>
      <c r="F531">
        <v>0.1</v>
      </c>
      <c r="G531" s="142" t="s">
        <v>6</v>
      </c>
      <c r="H531" s="142" t="s">
        <v>4</v>
      </c>
      <c r="I531">
        <v>1E-3</v>
      </c>
      <c r="J531">
        <v>0.04</v>
      </c>
      <c r="K531" s="142" t="s">
        <v>10</v>
      </c>
      <c r="L531">
        <v>57.073999999999998</v>
      </c>
      <c r="M531">
        <v>6.9933999999999996E-2</v>
      </c>
      <c r="N531">
        <v>57.072000000000003</v>
      </c>
      <c r="O531">
        <v>6.9899000000000003E-2</v>
      </c>
    </row>
    <row r="532" spans="1:15" x14ac:dyDescent="0.25">
      <c r="A532" s="142" t="s">
        <v>942</v>
      </c>
      <c r="B532" s="142" t="s">
        <v>52</v>
      </c>
      <c r="C532" s="142" t="s">
        <v>8</v>
      </c>
      <c r="D532">
        <v>20</v>
      </c>
      <c r="E532">
        <v>100</v>
      </c>
      <c r="F532">
        <v>0.1</v>
      </c>
      <c r="G532" s="142" t="s">
        <v>6</v>
      </c>
      <c r="H532" s="142" t="s">
        <v>4</v>
      </c>
      <c r="I532">
        <v>0.04</v>
      </c>
      <c r="J532">
        <v>1</v>
      </c>
      <c r="K532" s="142" t="s">
        <v>10</v>
      </c>
      <c r="L532">
        <v>56.914000000000001</v>
      </c>
      <c r="M532">
        <v>6.1879999999999998E-2</v>
      </c>
      <c r="N532">
        <v>56.912999999999997</v>
      </c>
      <c r="O532">
        <v>6.1844999999999997E-2</v>
      </c>
    </row>
    <row r="533" spans="1:15" x14ac:dyDescent="0.25">
      <c r="A533" s="142" t="s">
        <v>944</v>
      </c>
      <c r="B533" s="142" t="s">
        <v>52</v>
      </c>
      <c r="C533" s="142" t="s">
        <v>8</v>
      </c>
      <c r="D533">
        <v>20</v>
      </c>
      <c r="E533">
        <v>100</v>
      </c>
      <c r="F533">
        <v>0.1</v>
      </c>
      <c r="G533" s="142" t="s">
        <v>6</v>
      </c>
      <c r="H533" s="142" t="s">
        <v>4</v>
      </c>
      <c r="I533">
        <v>1</v>
      </c>
      <c r="J533">
        <v>20</v>
      </c>
      <c r="K533" s="142" t="s">
        <v>10</v>
      </c>
      <c r="L533">
        <v>57.601999999999997</v>
      </c>
      <c r="M533">
        <v>5.5003999999999997E-2</v>
      </c>
      <c r="N533">
        <v>57.6</v>
      </c>
      <c r="O533">
        <v>5.4973000000000001E-2</v>
      </c>
    </row>
    <row r="534" spans="1:15" x14ac:dyDescent="0.25">
      <c r="A534" s="142" t="s">
        <v>943</v>
      </c>
      <c r="B534" s="142" t="s">
        <v>52</v>
      </c>
      <c r="C534" s="142" t="s">
        <v>8</v>
      </c>
      <c r="D534">
        <v>20</v>
      </c>
      <c r="E534">
        <v>100</v>
      </c>
      <c r="F534">
        <v>0.1</v>
      </c>
      <c r="G534" s="142" t="s">
        <v>6</v>
      </c>
      <c r="H534" s="142" t="s">
        <v>4</v>
      </c>
      <c r="I534">
        <v>20</v>
      </c>
      <c r="J534">
        <v>50</v>
      </c>
      <c r="K534" s="142" t="s">
        <v>10</v>
      </c>
      <c r="L534">
        <v>57.201999999999998</v>
      </c>
      <c r="M534">
        <v>0.14668999999999999</v>
      </c>
      <c r="N534">
        <v>57.198</v>
      </c>
      <c r="O534">
        <v>0.14657000000000001</v>
      </c>
    </row>
    <row r="535" spans="1:15" x14ac:dyDescent="0.25">
      <c r="A535" s="142" t="s">
        <v>945</v>
      </c>
      <c r="B535" s="142" t="s">
        <v>52</v>
      </c>
      <c r="C535" s="142" t="s">
        <v>8</v>
      </c>
      <c r="D535">
        <v>20</v>
      </c>
      <c r="E535">
        <v>100</v>
      </c>
      <c r="F535">
        <v>0.1</v>
      </c>
      <c r="G535" s="142" t="s">
        <v>6</v>
      </c>
      <c r="H535" s="142" t="s">
        <v>4</v>
      </c>
      <c r="I535">
        <v>50</v>
      </c>
      <c r="J535">
        <v>100</v>
      </c>
      <c r="K535" s="142" t="s">
        <v>10</v>
      </c>
      <c r="L535">
        <v>55.405000000000001</v>
      </c>
      <c r="M535">
        <v>0.96887000000000001</v>
      </c>
      <c r="N535">
        <v>55.387</v>
      </c>
      <c r="O535">
        <v>0.96887000000000001</v>
      </c>
    </row>
    <row r="536" spans="1:15" x14ac:dyDescent="0.25">
      <c r="A536" s="142" t="s">
        <v>963</v>
      </c>
      <c r="B536" s="142" t="s">
        <v>52</v>
      </c>
      <c r="C536" s="142" t="s">
        <v>8</v>
      </c>
      <c r="D536">
        <v>100</v>
      </c>
      <c r="E536">
        <v>330</v>
      </c>
      <c r="F536">
        <v>0.1</v>
      </c>
      <c r="G536" s="142" t="s">
        <v>6</v>
      </c>
      <c r="H536" s="142" t="s">
        <v>4</v>
      </c>
      <c r="I536">
        <v>1E-3</v>
      </c>
      <c r="J536">
        <v>0.04</v>
      </c>
      <c r="K536" s="142" t="s">
        <v>10</v>
      </c>
      <c r="L536">
        <v>66.394000000000005</v>
      </c>
      <c r="M536">
        <v>0.42604999999999998</v>
      </c>
      <c r="N536">
        <v>66.355999999999995</v>
      </c>
      <c r="O536">
        <v>0.42591000000000001</v>
      </c>
    </row>
    <row r="537" spans="1:15" x14ac:dyDescent="0.25">
      <c r="A537" s="142" t="s">
        <v>964</v>
      </c>
      <c r="B537" s="142" t="s">
        <v>52</v>
      </c>
      <c r="C537" s="142" t="s">
        <v>8</v>
      </c>
      <c r="D537">
        <v>100</v>
      </c>
      <c r="E537">
        <v>330</v>
      </c>
      <c r="F537">
        <v>0.1</v>
      </c>
      <c r="G537" s="142" t="s">
        <v>6</v>
      </c>
      <c r="H537" s="142" t="s">
        <v>4</v>
      </c>
      <c r="I537">
        <v>0.04</v>
      </c>
      <c r="J537">
        <v>1</v>
      </c>
      <c r="K537" s="142" t="s">
        <v>10</v>
      </c>
      <c r="L537">
        <v>49.091999999999999</v>
      </c>
      <c r="M537">
        <v>0.41167999999999999</v>
      </c>
      <c r="N537">
        <v>49.043999999999997</v>
      </c>
      <c r="O537">
        <v>0.41154000000000002</v>
      </c>
    </row>
    <row r="538" spans="1:15" x14ac:dyDescent="0.25">
      <c r="A538" s="142" t="s">
        <v>962</v>
      </c>
      <c r="B538" s="142" t="s">
        <v>52</v>
      </c>
      <c r="C538" s="142" t="s">
        <v>8</v>
      </c>
      <c r="D538">
        <v>100</v>
      </c>
      <c r="E538">
        <v>330</v>
      </c>
      <c r="F538">
        <v>0.1</v>
      </c>
      <c r="G538" s="142" t="s">
        <v>6</v>
      </c>
      <c r="H538" s="142" t="s">
        <v>4</v>
      </c>
      <c r="I538">
        <v>1</v>
      </c>
      <c r="J538">
        <v>20</v>
      </c>
      <c r="K538" s="142" t="s">
        <v>10</v>
      </c>
      <c r="L538">
        <v>43.865000000000002</v>
      </c>
      <c r="M538">
        <v>0.65185999999999999</v>
      </c>
      <c r="N538">
        <v>43.747</v>
      </c>
      <c r="O538">
        <v>0.65200999999999998</v>
      </c>
    </row>
    <row r="539" spans="1:15" x14ac:dyDescent="0.25">
      <c r="A539" s="142" t="s">
        <v>965</v>
      </c>
      <c r="B539" s="142" t="s">
        <v>52</v>
      </c>
      <c r="C539" s="142" t="s">
        <v>8</v>
      </c>
      <c r="D539">
        <v>100</v>
      </c>
      <c r="E539">
        <v>330</v>
      </c>
      <c r="F539">
        <v>0.1</v>
      </c>
      <c r="G539" s="142" t="s">
        <v>6</v>
      </c>
      <c r="H539" s="142" t="s">
        <v>4</v>
      </c>
      <c r="I539">
        <v>20</v>
      </c>
      <c r="J539">
        <v>50</v>
      </c>
      <c r="K539" s="142" t="s">
        <v>10</v>
      </c>
      <c r="L539">
        <v>35.71</v>
      </c>
      <c r="M539">
        <v>1.3614999999999999</v>
      </c>
      <c r="N539">
        <v>35.713000000000001</v>
      </c>
      <c r="O539">
        <v>1.3595999999999999</v>
      </c>
    </row>
    <row r="540" spans="1:15" x14ac:dyDescent="0.25">
      <c r="A540" s="142" t="s">
        <v>961</v>
      </c>
      <c r="B540" s="142" t="s">
        <v>52</v>
      </c>
      <c r="C540" s="142" t="s">
        <v>8</v>
      </c>
      <c r="D540">
        <v>100</v>
      </c>
      <c r="E540">
        <v>330</v>
      </c>
      <c r="F540">
        <v>0.1</v>
      </c>
      <c r="G540" s="142" t="s">
        <v>6</v>
      </c>
      <c r="H540" s="142" t="s">
        <v>4</v>
      </c>
      <c r="I540">
        <v>50</v>
      </c>
      <c r="J540">
        <v>100</v>
      </c>
      <c r="K540" s="142" t="s">
        <v>10</v>
      </c>
      <c r="L540">
        <v>24.696999999999999</v>
      </c>
      <c r="M540">
        <v>3.4948999999999999</v>
      </c>
      <c r="N540">
        <v>28.745000000000001</v>
      </c>
      <c r="O540">
        <v>3.4525999999999999</v>
      </c>
    </row>
    <row r="541" spans="1:15" x14ac:dyDescent="0.25">
      <c r="A541" s="142" t="s">
        <v>977</v>
      </c>
      <c r="B541" s="142" t="s">
        <v>52</v>
      </c>
      <c r="C541" s="142" t="s">
        <v>8</v>
      </c>
      <c r="D541">
        <v>330</v>
      </c>
      <c r="E541">
        <v>1000</v>
      </c>
      <c r="F541">
        <v>0.1</v>
      </c>
      <c r="G541" s="142" t="s">
        <v>6</v>
      </c>
      <c r="H541" s="142" t="s">
        <v>4</v>
      </c>
      <c r="I541">
        <v>1E-3</v>
      </c>
      <c r="J541">
        <v>0.04</v>
      </c>
      <c r="K541" s="142" t="s">
        <v>10</v>
      </c>
      <c r="L541">
        <v>64.262</v>
      </c>
      <c r="M541">
        <v>0.44740000000000002</v>
      </c>
      <c r="N541">
        <v>64.207999999999998</v>
      </c>
      <c r="O541">
        <v>0.44741999999999998</v>
      </c>
    </row>
    <row r="542" spans="1:15" x14ac:dyDescent="0.25">
      <c r="A542" s="142" t="s">
        <v>978</v>
      </c>
      <c r="B542" s="142" t="s">
        <v>52</v>
      </c>
      <c r="C542" s="142" t="s">
        <v>8</v>
      </c>
      <c r="D542">
        <v>330</v>
      </c>
      <c r="E542">
        <v>1000</v>
      </c>
      <c r="F542">
        <v>0.1</v>
      </c>
      <c r="G542" s="142" t="s">
        <v>6</v>
      </c>
      <c r="H542" s="142" t="s">
        <v>4</v>
      </c>
      <c r="I542">
        <v>0.04</v>
      </c>
      <c r="J542">
        <v>1</v>
      </c>
      <c r="K542" s="142" t="s">
        <v>10</v>
      </c>
      <c r="L542">
        <v>45.988</v>
      </c>
      <c r="M542">
        <v>0.44274999999999998</v>
      </c>
      <c r="N542">
        <v>45.921999999999997</v>
      </c>
      <c r="O542">
        <v>0.44278000000000001</v>
      </c>
    </row>
    <row r="543" spans="1:15" x14ac:dyDescent="0.25">
      <c r="A543" s="142" t="s">
        <v>976</v>
      </c>
      <c r="B543" s="142" t="s">
        <v>52</v>
      </c>
      <c r="C543" s="142" t="s">
        <v>8</v>
      </c>
      <c r="D543">
        <v>330</v>
      </c>
      <c r="E543">
        <v>1000</v>
      </c>
      <c r="F543">
        <v>0.1</v>
      </c>
      <c r="G543" s="142" t="s">
        <v>6</v>
      </c>
      <c r="H543" s="142" t="s">
        <v>4</v>
      </c>
      <c r="I543">
        <v>1</v>
      </c>
      <c r="J543">
        <v>10</v>
      </c>
      <c r="K543" s="142" t="s">
        <v>10</v>
      </c>
      <c r="L543">
        <v>40.834000000000003</v>
      </c>
      <c r="M543">
        <v>0.68217000000000005</v>
      </c>
      <c r="N543">
        <v>40.901000000000003</v>
      </c>
      <c r="O543">
        <v>0.68045999999999995</v>
      </c>
    </row>
    <row r="544" spans="1:15" x14ac:dyDescent="0.25">
      <c r="A544" s="142" t="s">
        <v>922</v>
      </c>
      <c r="B544" s="142" t="s">
        <v>52</v>
      </c>
      <c r="C544" s="142" t="s">
        <v>8</v>
      </c>
      <c r="D544">
        <v>10</v>
      </c>
      <c r="E544">
        <v>20</v>
      </c>
      <c r="F544">
        <v>1</v>
      </c>
      <c r="G544" s="142" t="s">
        <v>6</v>
      </c>
      <c r="H544" s="142" t="s">
        <v>4</v>
      </c>
      <c r="I544">
        <v>1E-3</v>
      </c>
      <c r="J544">
        <v>0.04</v>
      </c>
      <c r="K544" s="142" t="s">
        <v>10</v>
      </c>
      <c r="L544">
        <v>577.36</v>
      </c>
      <c r="M544">
        <v>3.3711000000000001E-3</v>
      </c>
      <c r="N544">
        <v>577.08000000000004</v>
      </c>
      <c r="O544">
        <v>3.2404000000000001E-3</v>
      </c>
    </row>
    <row r="545" spans="1:15" x14ac:dyDescent="0.25">
      <c r="A545" s="142" t="s">
        <v>925</v>
      </c>
      <c r="B545" s="142" t="s">
        <v>52</v>
      </c>
      <c r="C545" s="142" t="s">
        <v>8</v>
      </c>
      <c r="D545">
        <v>10</v>
      </c>
      <c r="E545">
        <v>20</v>
      </c>
      <c r="F545">
        <v>1</v>
      </c>
      <c r="G545" s="142" t="s">
        <v>6</v>
      </c>
      <c r="H545" s="142" t="s">
        <v>4</v>
      </c>
      <c r="I545">
        <v>0.04</v>
      </c>
      <c r="J545">
        <v>1</v>
      </c>
      <c r="K545" s="142" t="s">
        <v>10</v>
      </c>
      <c r="L545">
        <v>577.35</v>
      </c>
      <c r="M545">
        <v>2.4451999999999998E-3</v>
      </c>
      <c r="N545">
        <v>577.14</v>
      </c>
      <c r="O545">
        <v>2.3143999999999999E-3</v>
      </c>
    </row>
    <row r="546" spans="1:15" x14ac:dyDescent="0.25">
      <c r="A546" s="142" t="s">
        <v>920</v>
      </c>
      <c r="B546" s="142" t="s">
        <v>52</v>
      </c>
      <c r="C546" s="142" t="s">
        <v>8</v>
      </c>
      <c r="D546">
        <v>10</v>
      </c>
      <c r="E546">
        <v>20</v>
      </c>
      <c r="F546">
        <v>1</v>
      </c>
      <c r="G546" s="142" t="s">
        <v>6</v>
      </c>
      <c r="H546" s="142" t="s">
        <v>4</v>
      </c>
      <c r="I546">
        <v>1</v>
      </c>
      <c r="J546">
        <v>20</v>
      </c>
      <c r="K546" s="142" t="s">
        <v>10</v>
      </c>
      <c r="L546">
        <v>577.35</v>
      </c>
      <c r="M546">
        <v>2.4463000000000002E-3</v>
      </c>
      <c r="N546">
        <v>577.14</v>
      </c>
      <c r="O546">
        <v>2.3154999999999999E-3</v>
      </c>
    </row>
    <row r="547" spans="1:15" x14ac:dyDescent="0.25">
      <c r="A547" s="142" t="s">
        <v>923</v>
      </c>
      <c r="B547" s="142" t="s">
        <v>52</v>
      </c>
      <c r="C547" s="142" t="s">
        <v>8</v>
      </c>
      <c r="D547">
        <v>10</v>
      </c>
      <c r="E547">
        <v>20</v>
      </c>
      <c r="F547">
        <v>1</v>
      </c>
      <c r="G547" s="142" t="s">
        <v>6</v>
      </c>
      <c r="H547" s="142" t="s">
        <v>4</v>
      </c>
      <c r="I547">
        <v>20</v>
      </c>
      <c r="J547">
        <v>50</v>
      </c>
      <c r="K547" s="142" t="s">
        <v>10</v>
      </c>
      <c r="L547">
        <v>577.33000000000004</v>
      </c>
      <c r="M547">
        <v>6.0749999999999997E-3</v>
      </c>
      <c r="N547">
        <v>576.80999999999995</v>
      </c>
      <c r="O547">
        <v>5.8707000000000004E-3</v>
      </c>
    </row>
    <row r="548" spans="1:15" x14ac:dyDescent="0.25">
      <c r="A548" s="142" t="s">
        <v>924</v>
      </c>
      <c r="B548" s="142" t="s">
        <v>52</v>
      </c>
      <c r="C548" s="142" t="s">
        <v>8</v>
      </c>
      <c r="D548">
        <v>10</v>
      </c>
      <c r="E548">
        <v>20</v>
      </c>
      <c r="F548">
        <v>1</v>
      </c>
      <c r="G548" s="142" t="s">
        <v>6</v>
      </c>
      <c r="H548" s="142" t="s">
        <v>4</v>
      </c>
      <c r="I548">
        <v>50</v>
      </c>
      <c r="J548">
        <v>100</v>
      </c>
      <c r="K548" s="142" t="s">
        <v>10</v>
      </c>
      <c r="L548">
        <v>577.03</v>
      </c>
      <c r="M548">
        <v>5.5599999999999997E-2</v>
      </c>
      <c r="N548">
        <v>572.46</v>
      </c>
      <c r="O548">
        <v>5.5396000000000001E-2</v>
      </c>
    </row>
    <row r="549" spans="1:15" x14ac:dyDescent="0.25">
      <c r="A549" s="142" t="s">
        <v>921</v>
      </c>
      <c r="B549" s="142" t="s">
        <v>52</v>
      </c>
      <c r="C549" s="142" t="s">
        <v>8</v>
      </c>
      <c r="D549">
        <v>10</v>
      </c>
      <c r="E549">
        <v>20</v>
      </c>
      <c r="F549">
        <v>1</v>
      </c>
      <c r="G549" s="142" t="s">
        <v>6</v>
      </c>
      <c r="H549" s="142" t="s">
        <v>4</v>
      </c>
      <c r="I549">
        <v>100</v>
      </c>
      <c r="J549">
        <v>300</v>
      </c>
      <c r="K549" s="142" t="s">
        <v>10</v>
      </c>
      <c r="L549">
        <v>573.83000000000004</v>
      </c>
      <c r="M549">
        <v>0.64112999999999998</v>
      </c>
      <c r="N549">
        <v>542.95000000000005</v>
      </c>
      <c r="O549">
        <v>0.64093</v>
      </c>
    </row>
    <row r="550" spans="1:15" x14ac:dyDescent="0.25">
      <c r="A550" s="142" t="s">
        <v>2074</v>
      </c>
      <c r="B550" s="142" t="s">
        <v>52</v>
      </c>
      <c r="C550" s="142" t="s">
        <v>8</v>
      </c>
      <c r="D550">
        <v>10</v>
      </c>
      <c r="E550">
        <v>20</v>
      </c>
      <c r="F550">
        <v>1</v>
      </c>
      <c r="G550" s="142" t="s">
        <v>6</v>
      </c>
      <c r="H550" s="142" t="s">
        <v>4</v>
      </c>
      <c r="I550">
        <v>300</v>
      </c>
      <c r="J550">
        <v>1000</v>
      </c>
      <c r="K550" s="142" t="s">
        <v>10</v>
      </c>
      <c r="L550">
        <v>532.98</v>
      </c>
      <c r="M550">
        <v>7.3226000000000004</v>
      </c>
      <c r="N550">
        <v>437</v>
      </c>
      <c r="O550">
        <v>7.3224999999999998</v>
      </c>
    </row>
    <row r="551" spans="1:15" x14ac:dyDescent="0.25">
      <c r="A551" s="142" t="s">
        <v>948</v>
      </c>
      <c r="B551" s="142" t="s">
        <v>52</v>
      </c>
      <c r="C551" s="142" t="s">
        <v>8</v>
      </c>
      <c r="D551">
        <v>20</v>
      </c>
      <c r="E551">
        <v>100</v>
      </c>
      <c r="F551">
        <v>1</v>
      </c>
      <c r="G551" s="142" t="s">
        <v>6</v>
      </c>
      <c r="H551" s="142" t="s">
        <v>4</v>
      </c>
      <c r="I551">
        <v>1E-3</v>
      </c>
      <c r="J551">
        <v>0.04</v>
      </c>
      <c r="K551" s="142" t="s">
        <v>10</v>
      </c>
      <c r="L551">
        <v>577.28</v>
      </c>
      <c r="M551">
        <v>7.4289000000000004E-3</v>
      </c>
      <c r="N551">
        <v>576.03</v>
      </c>
      <c r="O551">
        <v>7.4126000000000001E-3</v>
      </c>
    </row>
    <row r="552" spans="1:15" x14ac:dyDescent="0.25">
      <c r="A552" s="142" t="s">
        <v>2077</v>
      </c>
      <c r="B552" s="142" t="s">
        <v>52</v>
      </c>
      <c r="C552" s="142" t="s">
        <v>8</v>
      </c>
      <c r="D552">
        <v>20</v>
      </c>
      <c r="E552">
        <v>100</v>
      </c>
      <c r="F552">
        <v>1</v>
      </c>
      <c r="G552" s="142" t="s">
        <v>6</v>
      </c>
      <c r="H552" s="142" t="s">
        <v>4</v>
      </c>
      <c r="I552">
        <v>0.04</v>
      </c>
      <c r="J552">
        <v>1</v>
      </c>
      <c r="K552" s="142" t="s">
        <v>10</v>
      </c>
      <c r="L552">
        <v>577.27</v>
      </c>
      <c r="M552">
        <v>6.5068000000000001E-3</v>
      </c>
      <c r="N552">
        <v>576.16</v>
      </c>
      <c r="O552">
        <v>6.4904000000000003E-3</v>
      </c>
    </row>
    <row r="553" spans="1:15" x14ac:dyDescent="0.25">
      <c r="A553" s="142" t="s">
        <v>947</v>
      </c>
      <c r="B553" s="142" t="s">
        <v>52</v>
      </c>
      <c r="C553" s="142" t="s">
        <v>8</v>
      </c>
      <c r="D553">
        <v>20</v>
      </c>
      <c r="E553">
        <v>100</v>
      </c>
      <c r="F553">
        <v>1</v>
      </c>
      <c r="G553" s="142" t="s">
        <v>6</v>
      </c>
      <c r="H553" s="142" t="s">
        <v>4</v>
      </c>
      <c r="I553">
        <v>1</v>
      </c>
      <c r="J553">
        <v>20</v>
      </c>
      <c r="K553" s="142" t="s">
        <v>10</v>
      </c>
      <c r="L553">
        <v>577.34</v>
      </c>
      <c r="M553">
        <v>5.7838000000000004E-3</v>
      </c>
      <c r="N553">
        <v>576.85</v>
      </c>
      <c r="O553">
        <v>5.7692999999999998E-3</v>
      </c>
    </row>
    <row r="554" spans="1:15" x14ac:dyDescent="0.25">
      <c r="A554" s="142" t="s">
        <v>946</v>
      </c>
      <c r="B554" s="142" t="s">
        <v>52</v>
      </c>
      <c r="C554" s="142" t="s">
        <v>8</v>
      </c>
      <c r="D554">
        <v>20</v>
      </c>
      <c r="E554">
        <v>100</v>
      </c>
      <c r="F554">
        <v>1</v>
      </c>
      <c r="G554" s="142" t="s">
        <v>6</v>
      </c>
      <c r="H554" s="142" t="s">
        <v>4</v>
      </c>
      <c r="I554">
        <v>20</v>
      </c>
      <c r="J554">
        <v>50</v>
      </c>
      <c r="K554" s="142" t="s">
        <v>10</v>
      </c>
      <c r="L554">
        <v>577.28</v>
      </c>
      <c r="M554">
        <v>1.6608999999999999E-2</v>
      </c>
      <c r="N554">
        <v>575.98</v>
      </c>
      <c r="O554">
        <v>1.6542999999999999E-2</v>
      </c>
    </row>
    <row r="555" spans="1:15" x14ac:dyDescent="0.25">
      <c r="A555" s="142" t="s">
        <v>2081</v>
      </c>
      <c r="B555" s="142" t="s">
        <v>52</v>
      </c>
      <c r="C555" s="142" t="s">
        <v>8</v>
      </c>
      <c r="D555">
        <v>20</v>
      </c>
      <c r="E555">
        <v>100</v>
      </c>
      <c r="F555">
        <v>1</v>
      </c>
      <c r="G555" s="142" t="s">
        <v>6</v>
      </c>
      <c r="H555" s="142" t="s">
        <v>4</v>
      </c>
      <c r="I555">
        <v>50</v>
      </c>
      <c r="J555">
        <v>100</v>
      </c>
      <c r="K555" s="142" t="s">
        <v>10</v>
      </c>
      <c r="L555">
        <v>576.35</v>
      </c>
      <c r="M555">
        <v>0.17973</v>
      </c>
      <c r="N555">
        <v>568.45000000000005</v>
      </c>
      <c r="O555">
        <v>0.17960999999999999</v>
      </c>
    </row>
    <row r="556" spans="1:15" x14ac:dyDescent="0.25">
      <c r="A556" s="142" t="s">
        <v>968</v>
      </c>
      <c r="B556" s="142" t="s">
        <v>52</v>
      </c>
      <c r="C556" s="142" t="s">
        <v>8</v>
      </c>
      <c r="D556">
        <v>100</v>
      </c>
      <c r="E556">
        <v>330</v>
      </c>
      <c r="F556">
        <v>1</v>
      </c>
      <c r="G556" s="142" t="s">
        <v>6</v>
      </c>
      <c r="H556" s="142" t="s">
        <v>4</v>
      </c>
      <c r="I556">
        <v>1E-3</v>
      </c>
      <c r="J556">
        <v>0.04</v>
      </c>
      <c r="K556" s="142" t="s">
        <v>10</v>
      </c>
      <c r="L556">
        <v>573.45000000000005</v>
      </c>
      <c r="M556">
        <v>0.11287</v>
      </c>
      <c r="N556">
        <v>573.45000000000005</v>
      </c>
      <c r="O556">
        <v>0.11255</v>
      </c>
    </row>
    <row r="557" spans="1:15" x14ac:dyDescent="0.25">
      <c r="A557" s="142" t="s">
        <v>2084</v>
      </c>
      <c r="B557" s="142" t="s">
        <v>52</v>
      </c>
      <c r="C557" s="142" t="s">
        <v>8</v>
      </c>
      <c r="D557">
        <v>100</v>
      </c>
      <c r="E557">
        <v>330</v>
      </c>
      <c r="F557">
        <v>1</v>
      </c>
      <c r="G557" s="142" t="s">
        <v>6</v>
      </c>
      <c r="H557" s="142" t="s">
        <v>4</v>
      </c>
      <c r="I557">
        <v>0.04</v>
      </c>
      <c r="J557">
        <v>1</v>
      </c>
      <c r="K557" s="142" t="s">
        <v>10</v>
      </c>
      <c r="L557">
        <v>571.95000000000005</v>
      </c>
      <c r="M557">
        <v>9.5856999999999998E-2</v>
      </c>
      <c r="N557">
        <v>571.95000000000005</v>
      </c>
      <c r="O557">
        <v>9.5526E-2</v>
      </c>
    </row>
    <row r="558" spans="1:15" x14ac:dyDescent="0.25">
      <c r="A558" s="142" t="s">
        <v>967</v>
      </c>
      <c r="B558" s="142" t="s">
        <v>52</v>
      </c>
      <c r="C558" s="142" t="s">
        <v>8</v>
      </c>
      <c r="D558">
        <v>100</v>
      </c>
      <c r="E558">
        <v>330</v>
      </c>
      <c r="F558">
        <v>1</v>
      </c>
      <c r="G558" s="142" t="s">
        <v>6</v>
      </c>
      <c r="H558" s="142" t="s">
        <v>4</v>
      </c>
      <c r="I558">
        <v>1</v>
      </c>
      <c r="J558">
        <v>20</v>
      </c>
      <c r="K558" s="142" t="s">
        <v>10</v>
      </c>
      <c r="L558">
        <v>565.02</v>
      </c>
      <c r="M558">
        <v>0.19758000000000001</v>
      </c>
      <c r="N558">
        <v>564.96</v>
      </c>
      <c r="O558">
        <v>0.19744</v>
      </c>
    </row>
    <row r="559" spans="1:15" x14ac:dyDescent="0.25">
      <c r="A559" s="142" t="s">
        <v>2085</v>
      </c>
      <c r="B559" s="142" t="s">
        <v>52</v>
      </c>
      <c r="C559" s="142" t="s">
        <v>8</v>
      </c>
      <c r="D559">
        <v>100</v>
      </c>
      <c r="E559">
        <v>330</v>
      </c>
      <c r="F559">
        <v>1</v>
      </c>
      <c r="G559" s="142" t="s">
        <v>6</v>
      </c>
      <c r="H559" s="142" t="s">
        <v>4</v>
      </c>
      <c r="I559">
        <v>20</v>
      </c>
      <c r="J559">
        <v>50</v>
      </c>
      <c r="K559" s="142" t="s">
        <v>10</v>
      </c>
      <c r="L559">
        <v>533.75</v>
      </c>
      <c r="M559">
        <v>0.66027000000000002</v>
      </c>
      <c r="N559">
        <v>533.54</v>
      </c>
      <c r="O559">
        <v>0.66022000000000003</v>
      </c>
    </row>
    <row r="560" spans="1:15" x14ac:dyDescent="0.25">
      <c r="A560" s="142" t="s">
        <v>966</v>
      </c>
      <c r="B560" s="142" t="s">
        <v>52</v>
      </c>
      <c r="C560" s="142" t="s">
        <v>8</v>
      </c>
      <c r="D560">
        <v>100</v>
      </c>
      <c r="E560">
        <v>330</v>
      </c>
      <c r="F560">
        <v>1</v>
      </c>
      <c r="G560" s="142" t="s">
        <v>6</v>
      </c>
      <c r="H560" s="142" t="s">
        <v>4</v>
      </c>
      <c r="I560">
        <v>50</v>
      </c>
      <c r="J560">
        <v>100</v>
      </c>
      <c r="K560" s="142" t="s">
        <v>10</v>
      </c>
      <c r="L560">
        <v>418.02</v>
      </c>
      <c r="M560">
        <v>2.6787000000000001</v>
      </c>
      <c r="N560">
        <v>417.55</v>
      </c>
      <c r="O560">
        <v>2.6793</v>
      </c>
    </row>
    <row r="561" spans="1:15" x14ac:dyDescent="0.25">
      <c r="A561" s="142" t="s">
        <v>2088</v>
      </c>
      <c r="B561" s="142" t="s">
        <v>52</v>
      </c>
      <c r="C561" s="142" t="s">
        <v>8</v>
      </c>
      <c r="D561">
        <v>330</v>
      </c>
      <c r="E561">
        <v>1000</v>
      </c>
      <c r="F561">
        <v>1</v>
      </c>
      <c r="G561" s="142" t="s">
        <v>6</v>
      </c>
      <c r="H561" s="142" t="s">
        <v>4</v>
      </c>
      <c r="I561">
        <v>1E-3</v>
      </c>
      <c r="J561">
        <v>0.04</v>
      </c>
      <c r="K561" s="142" t="s">
        <v>10</v>
      </c>
      <c r="L561">
        <v>564.23</v>
      </c>
      <c r="M561">
        <v>0.20513000000000001</v>
      </c>
      <c r="N561">
        <v>564.20000000000005</v>
      </c>
      <c r="O561">
        <v>0.20507</v>
      </c>
    </row>
    <row r="562" spans="1:15" x14ac:dyDescent="0.25">
      <c r="A562" s="142" t="s">
        <v>980</v>
      </c>
      <c r="B562" s="142" t="s">
        <v>52</v>
      </c>
      <c r="C562" s="142" t="s">
        <v>8</v>
      </c>
      <c r="D562">
        <v>330</v>
      </c>
      <c r="E562">
        <v>1000</v>
      </c>
      <c r="F562">
        <v>1</v>
      </c>
      <c r="G562" s="142" t="s">
        <v>6</v>
      </c>
      <c r="H562" s="142" t="s">
        <v>4</v>
      </c>
      <c r="I562">
        <v>0.04</v>
      </c>
      <c r="J562">
        <v>1</v>
      </c>
      <c r="K562" s="142" t="s">
        <v>10</v>
      </c>
      <c r="L562">
        <v>562.35</v>
      </c>
      <c r="M562">
        <v>0.19195999999999999</v>
      </c>
      <c r="N562">
        <v>562.30999999999995</v>
      </c>
      <c r="O562">
        <v>0.19189999999999999</v>
      </c>
    </row>
    <row r="563" spans="1:15" x14ac:dyDescent="0.25">
      <c r="A563" s="142" t="s">
        <v>979</v>
      </c>
      <c r="B563" s="142" t="s">
        <v>52</v>
      </c>
      <c r="C563" s="142" t="s">
        <v>8</v>
      </c>
      <c r="D563">
        <v>330</v>
      </c>
      <c r="E563">
        <v>1000</v>
      </c>
      <c r="F563">
        <v>1</v>
      </c>
      <c r="G563" s="142" t="s">
        <v>6</v>
      </c>
      <c r="H563" s="142" t="s">
        <v>4</v>
      </c>
      <c r="I563">
        <v>1</v>
      </c>
      <c r="J563">
        <v>10</v>
      </c>
      <c r="K563" s="142" t="s">
        <v>10</v>
      </c>
      <c r="L563">
        <v>547.28</v>
      </c>
      <c r="M563">
        <v>0.37501000000000001</v>
      </c>
      <c r="N563">
        <v>547.21</v>
      </c>
      <c r="O563">
        <v>0.37495000000000001</v>
      </c>
    </row>
    <row r="564" spans="1:15" x14ac:dyDescent="0.25">
      <c r="A564" s="142" t="s">
        <v>2374</v>
      </c>
      <c r="B564" s="142" t="s">
        <v>52</v>
      </c>
      <c r="C564" s="142" t="s">
        <v>2375</v>
      </c>
      <c r="D564">
        <v>0</v>
      </c>
      <c r="E564">
        <v>0.01</v>
      </c>
      <c r="F564">
        <v>1E-8</v>
      </c>
      <c r="G564" s="142" t="s">
        <v>6</v>
      </c>
      <c r="H564" s="142" t="s">
        <v>5</v>
      </c>
      <c r="I564">
        <v>1000</v>
      </c>
      <c r="J564">
        <v>4000</v>
      </c>
      <c r="K564" s="142" t="s">
        <v>10</v>
      </c>
      <c r="L564">
        <v>8.8000000000000007</v>
      </c>
      <c r="M564">
        <v>81000</v>
      </c>
      <c r="N564">
        <v>8.1272000000000002</v>
      </c>
      <c r="O564">
        <v>80831</v>
      </c>
    </row>
    <row r="565" spans="1:15" x14ac:dyDescent="0.25">
      <c r="A565" s="142" t="s">
        <v>2376</v>
      </c>
      <c r="B565" s="142" t="s">
        <v>52</v>
      </c>
      <c r="C565" s="142" t="s">
        <v>2375</v>
      </c>
      <c r="D565">
        <v>0</v>
      </c>
      <c r="E565">
        <v>0.01</v>
      </c>
      <c r="F565">
        <v>1E-8</v>
      </c>
      <c r="G565" s="142" t="s">
        <v>6</v>
      </c>
      <c r="H565" s="142" t="s">
        <v>5</v>
      </c>
      <c r="I565">
        <v>4000</v>
      </c>
      <c r="J565">
        <v>8000</v>
      </c>
      <c r="K565" s="142" t="s">
        <v>10</v>
      </c>
      <c r="L565">
        <v>19</v>
      </c>
      <c r="M565">
        <v>230000</v>
      </c>
      <c r="N565">
        <v>10.163</v>
      </c>
      <c r="O565">
        <v>230860</v>
      </c>
    </row>
    <row r="566" spans="1:15" x14ac:dyDescent="0.25">
      <c r="A566" s="142" t="s">
        <v>2377</v>
      </c>
      <c r="B566" s="142" t="s">
        <v>52</v>
      </c>
      <c r="C566" s="142" t="s">
        <v>2375</v>
      </c>
      <c r="D566">
        <v>0.01</v>
      </c>
      <c r="E566">
        <v>0.1</v>
      </c>
      <c r="F566">
        <v>1E-8</v>
      </c>
      <c r="G566" s="142" t="s">
        <v>6</v>
      </c>
      <c r="H566" s="142" t="s">
        <v>5</v>
      </c>
      <c r="I566">
        <v>1000</v>
      </c>
      <c r="J566">
        <v>2000</v>
      </c>
      <c r="K566" s="142" t="s">
        <v>10</v>
      </c>
      <c r="L566">
        <v>45</v>
      </c>
      <c r="M566">
        <v>17000</v>
      </c>
      <c r="N566">
        <v>11.561999999999999</v>
      </c>
      <c r="O566">
        <v>17325</v>
      </c>
    </row>
    <row r="567" spans="1:15" x14ac:dyDescent="0.25">
      <c r="A567" s="142" t="s">
        <v>2378</v>
      </c>
      <c r="B567" s="142" t="s">
        <v>52</v>
      </c>
      <c r="C567" s="142" t="s">
        <v>2375</v>
      </c>
      <c r="D567">
        <v>0.01</v>
      </c>
      <c r="E567">
        <v>0.1</v>
      </c>
      <c r="F567">
        <v>1E-8</v>
      </c>
      <c r="G567" s="142" t="s">
        <v>6</v>
      </c>
      <c r="H567" s="142" t="s">
        <v>5</v>
      </c>
      <c r="I567">
        <v>2000</v>
      </c>
      <c r="J567">
        <v>4000</v>
      </c>
      <c r="K567" s="142" t="s">
        <v>10</v>
      </c>
      <c r="L567">
        <v>100</v>
      </c>
      <c r="M567">
        <v>46000</v>
      </c>
      <c r="N567">
        <v>80.828999999999994</v>
      </c>
      <c r="O567">
        <v>46190</v>
      </c>
    </row>
    <row r="568" spans="1:15" x14ac:dyDescent="0.25">
      <c r="A568" s="142" t="s">
        <v>2379</v>
      </c>
      <c r="B568" s="142" t="s">
        <v>52</v>
      </c>
      <c r="C568" s="142" t="s">
        <v>2375</v>
      </c>
      <c r="D568">
        <v>0.01</v>
      </c>
      <c r="E568">
        <v>0.1</v>
      </c>
      <c r="F568">
        <v>1E-8</v>
      </c>
      <c r="G568" s="142" t="s">
        <v>6</v>
      </c>
      <c r="H568" s="142" t="s">
        <v>5</v>
      </c>
      <c r="I568">
        <v>4000</v>
      </c>
      <c r="J568">
        <v>8000</v>
      </c>
      <c r="K568" s="142" t="s">
        <v>10</v>
      </c>
      <c r="L568">
        <v>120</v>
      </c>
      <c r="M568">
        <v>46000</v>
      </c>
      <c r="N568">
        <v>92.382000000000005</v>
      </c>
      <c r="O568">
        <v>46199</v>
      </c>
    </row>
    <row r="569" spans="1:15" x14ac:dyDescent="0.25">
      <c r="A569" s="142" t="s">
        <v>2380</v>
      </c>
      <c r="B569" s="142" t="s">
        <v>52</v>
      </c>
      <c r="C569" s="142" t="s">
        <v>2375</v>
      </c>
      <c r="D569">
        <v>0.01</v>
      </c>
      <c r="E569">
        <v>0.1</v>
      </c>
      <c r="F569">
        <v>1E-8</v>
      </c>
      <c r="G569" s="142" t="s">
        <v>6</v>
      </c>
      <c r="H569" s="142" t="s">
        <v>5</v>
      </c>
      <c r="I569">
        <v>8000</v>
      </c>
      <c r="J569">
        <v>10000</v>
      </c>
      <c r="K569" s="142" t="s">
        <v>10</v>
      </c>
      <c r="L569">
        <v>440</v>
      </c>
      <c r="M569">
        <v>170000</v>
      </c>
      <c r="N569">
        <v>115.91</v>
      </c>
      <c r="O569">
        <v>173210</v>
      </c>
    </row>
    <row r="570" spans="1:15" x14ac:dyDescent="0.25">
      <c r="A570" s="142" t="s">
        <v>2381</v>
      </c>
      <c r="B570" s="142" t="s">
        <v>52</v>
      </c>
      <c r="C570" s="142" t="s">
        <v>2375</v>
      </c>
      <c r="D570">
        <v>0</v>
      </c>
      <c r="E570">
        <v>0.01</v>
      </c>
      <c r="F570">
        <v>9.9999999999999995E-8</v>
      </c>
      <c r="G570" s="142" t="s">
        <v>6</v>
      </c>
      <c r="H570" s="142" t="s">
        <v>5</v>
      </c>
      <c r="I570">
        <v>1E-3</v>
      </c>
      <c r="J570">
        <v>0.04</v>
      </c>
      <c r="K570" s="142" t="s">
        <v>10</v>
      </c>
      <c r="L570">
        <v>3.6</v>
      </c>
      <c r="M570">
        <v>340</v>
      </c>
      <c r="N570">
        <v>3.5003000000000002</v>
      </c>
      <c r="O570">
        <v>344.91</v>
      </c>
    </row>
    <row r="571" spans="1:15" x14ac:dyDescent="0.25">
      <c r="A571" s="142" t="s">
        <v>2382</v>
      </c>
      <c r="B571" s="142" t="s">
        <v>52</v>
      </c>
      <c r="C571" s="142" t="s">
        <v>2375</v>
      </c>
      <c r="D571">
        <v>0</v>
      </c>
      <c r="E571">
        <v>0.01</v>
      </c>
      <c r="F571">
        <v>9.9999999999999995E-8</v>
      </c>
      <c r="G571" s="142" t="s">
        <v>6</v>
      </c>
      <c r="H571" s="142" t="s">
        <v>5</v>
      </c>
      <c r="I571">
        <v>0.04</v>
      </c>
      <c r="J571">
        <v>1</v>
      </c>
      <c r="K571" s="142" t="s">
        <v>10</v>
      </c>
      <c r="L571">
        <v>1.4</v>
      </c>
      <c r="M571">
        <v>230</v>
      </c>
      <c r="N571">
        <v>1.3653</v>
      </c>
      <c r="O571">
        <v>225.09</v>
      </c>
    </row>
    <row r="572" spans="1:15" x14ac:dyDescent="0.25">
      <c r="A572" s="142" t="s">
        <v>2383</v>
      </c>
      <c r="B572" s="142" t="s">
        <v>52</v>
      </c>
      <c r="C572" s="142" t="s">
        <v>2375</v>
      </c>
      <c r="D572">
        <v>0</v>
      </c>
      <c r="E572">
        <v>0.01</v>
      </c>
      <c r="F572">
        <v>9.9999999999999995E-8</v>
      </c>
      <c r="G572" s="142" t="s">
        <v>6</v>
      </c>
      <c r="H572" s="142" t="s">
        <v>5</v>
      </c>
      <c r="I572">
        <v>1</v>
      </c>
      <c r="J572">
        <v>20</v>
      </c>
      <c r="K572" s="142" t="s">
        <v>10</v>
      </c>
      <c r="L572">
        <v>1.4</v>
      </c>
      <c r="M572">
        <v>340</v>
      </c>
      <c r="N572">
        <v>1.3645</v>
      </c>
      <c r="O572">
        <v>339.91</v>
      </c>
    </row>
    <row r="573" spans="1:15" x14ac:dyDescent="0.25">
      <c r="A573" s="142" t="s">
        <v>2384</v>
      </c>
      <c r="B573" s="142" t="s">
        <v>52</v>
      </c>
      <c r="C573" s="142" t="s">
        <v>2375</v>
      </c>
      <c r="D573">
        <v>0</v>
      </c>
      <c r="E573">
        <v>0.01</v>
      </c>
      <c r="F573">
        <v>9.9999999999999995E-8</v>
      </c>
      <c r="G573" s="142" t="s">
        <v>6</v>
      </c>
      <c r="H573" s="142" t="s">
        <v>5</v>
      </c>
      <c r="I573">
        <v>20</v>
      </c>
      <c r="J573">
        <v>50</v>
      </c>
      <c r="K573" s="142" t="s">
        <v>10</v>
      </c>
      <c r="L573">
        <v>1.9</v>
      </c>
      <c r="M573">
        <v>1100</v>
      </c>
      <c r="N573">
        <v>1.3595999999999999</v>
      </c>
      <c r="O573">
        <v>1147</v>
      </c>
    </row>
    <row r="574" spans="1:15" x14ac:dyDescent="0.25">
      <c r="A574" s="142" t="s">
        <v>2385</v>
      </c>
      <c r="B574" s="142" t="s">
        <v>52</v>
      </c>
      <c r="C574" s="142" t="s">
        <v>2375</v>
      </c>
      <c r="D574">
        <v>0</v>
      </c>
      <c r="E574">
        <v>0.01</v>
      </c>
      <c r="F574">
        <v>9.9999999999999995E-8</v>
      </c>
      <c r="G574" s="142" t="s">
        <v>6</v>
      </c>
      <c r="H574" s="142" t="s">
        <v>5</v>
      </c>
      <c r="I574">
        <v>50</v>
      </c>
      <c r="J574">
        <v>100</v>
      </c>
      <c r="K574" s="142" t="s">
        <v>10</v>
      </c>
      <c r="L574">
        <v>1.4</v>
      </c>
      <c r="M574">
        <v>5800</v>
      </c>
      <c r="N574">
        <v>1.3382000000000001</v>
      </c>
      <c r="O574">
        <v>5767</v>
      </c>
    </row>
    <row r="575" spans="1:15" x14ac:dyDescent="0.25">
      <c r="A575" s="142" t="s">
        <v>2386</v>
      </c>
      <c r="B575" s="142" t="s">
        <v>52</v>
      </c>
      <c r="C575" s="142" t="s">
        <v>2375</v>
      </c>
      <c r="D575">
        <v>0</v>
      </c>
      <c r="E575">
        <v>0.01</v>
      </c>
      <c r="F575">
        <v>9.9999999999999995E-8</v>
      </c>
      <c r="G575" s="142" t="s">
        <v>6</v>
      </c>
      <c r="H575" s="142" t="s">
        <v>5</v>
      </c>
      <c r="I575">
        <v>100</v>
      </c>
      <c r="J575">
        <v>300</v>
      </c>
      <c r="K575" s="142" t="s">
        <v>10</v>
      </c>
      <c r="L575">
        <v>4.2</v>
      </c>
      <c r="M575">
        <v>46000</v>
      </c>
      <c r="N575">
        <v>2.3308</v>
      </c>
      <c r="O575">
        <v>46186</v>
      </c>
    </row>
    <row r="576" spans="1:15" x14ac:dyDescent="0.25">
      <c r="A576" s="142" t="s">
        <v>2387</v>
      </c>
      <c r="B576" s="142" t="s">
        <v>52</v>
      </c>
      <c r="C576" s="142" t="s">
        <v>2375</v>
      </c>
      <c r="D576">
        <v>0</v>
      </c>
      <c r="E576">
        <v>0.01</v>
      </c>
      <c r="F576">
        <v>9.9999999999999995E-8</v>
      </c>
      <c r="G576" s="142" t="s">
        <v>6</v>
      </c>
      <c r="H576" s="142" t="s">
        <v>5</v>
      </c>
      <c r="I576">
        <v>300</v>
      </c>
      <c r="J576">
        <v>1000</v>
      </c>
      <c r="K576" s="142" t="s">
        <v>10</v>
      </c>
      <c r="L576">
        <v>7.7</v>
      </c>
      <c r="M576">
        <v>46000</v>
      </c>
      <c r="N576">
        <v>5.8674999999999997</v>
      </c>
      <c r="O576">
        <v>46179</v>
      </c>
    </row>
    <row r="577" spans="1:15" x14ac:dyDescent="0.25">
      <c r="A577" s="142" t="s">
        <v>2388</v>
      </c>
      <c r="B577" s="142" t="s">
        <v>52</v>
      </c>
      <c r="C577" s="142" t="s">
        <v>2375</v>
      </c>
      <c r="D577">
        <v>0</v>
      </c>
      <c r="E577">
        <v>0.01</v>
      </c>
      <c r="F577">
        <v>9.9999999999999995E-8</v>
      </c>
      <c r="G577" s="142" t="s">
        <v>6</v>
      </c>
      <c r="H577" s="142" t="s">
        <v>5</v>
      </c>
      <c r="I577">
        <v>1000</v>
      </c>
      <c r="J577">
        <v>4000</v>
      </c>
      <c r="K577" s="142" t="s">
        <v>10</v>
      </c>
      <c r="L577">
        <v>8.8000000000000007</v>
      </c>
      <c r="M577">
        <v>81000</v>
      </c>
      <c r="N577">
        <v>8.1272000000000002</v>
      </c>
      <c r="O577">
        <v>80831</v>
      </c>
    </row>
    <row r="578" spans="1:15" x14ac:dyDescent="0.25">
      <c r="A578" s="142" t="s">
        <v>2389</v>
      </c>
      <c r="B578" s="142" t="s">
        <v>52</v>
      </c>
      <c r="C578" s="142" t="s">
        <v>2375</v>
      </c>
      <c r="D578">
        <v>0</v>
      </c>
      <c r="E578">
        <v>0.01</v>
      </c>
      <c r="F578">
        <v>9.9999999999999995E-8</v>
      </c>
      <c r="G578" s="142" t="s">
        <v>6</v>
      </c>
      <c r="H578" s="142" t="s">
        <v>5</v>
      </c>
      <c r="I578">
        <v>4000</v>
      </c>
      <c r="J578">
        <v>8000</v>
      </c>
      <c r="K578" s="142" t="s">
        <v>10</v>
      </c>
      <c r="L578">
        <v>19</v>
      </c>
      <c r="M578">
        <v>230000</v>
      </c>
      <c r="N578">
        <v>10.163</v>
      </c>
      <c r="O578">
        <v>230860</v>
      </c>
    </row>
    <row r="579" spans="1:15" x14ac:dyDescent="0.25">
      <c r="A579" s="142" t="s">
        <v>2390</v>
      </c>
      <c r="B579" s="142" t="s">
        <v>52</v>
      </c>
      <c r="C579" s="142" t="s">
        <v>2375</v>
      </c>
      <c r="D579">
        <v>0.01</v>
      </c>
      <c r="E579">
        <v>0.1</v>
      </c>
      <c r="F579">
        <v>9.9999999999999995E-8</v>
      </c>
      <c r="G579" s="142" t="s">
        <v>6</v>
      </c>
      <c r="H579" s="142" t="s">
        <v>5</v>
      </c>
      <c r="I579">
        <v>1E-3</v>
      </c>
      <c r="J579">
        <v>0.04</v>
      </c>
      <c r="K579" s="142" t="s">
        <v>10</v>
      </c>
      <c r="L579">
        <v>4.7</v>
      </c>
      <c r="M579">
        <v>83</v>
      </c>
      <c r="N579">
        <v>4.6246999999999998</v>
      </c>
      <c r="O579">
        <v>82.933999999999997</v>
      </c>
    </row>
    <row r="580" spans="1:15" x14ac:dyDescent="0.25">
      <c r="A580" s="142" t="s">
        <v>2391</v>
      </c>
      <c r="B580" s="142" t="s">
        <v>52</v>
      </c>
      <c r="C580" s="142" t="s">
        <v>2375</v>
      </c>
      <c r="D580">
        <v>0.01</v>
      </c>
      <c r="E580">
        <v>0.1</v>
      </c>
      <c r="F580">
        <v>9.9999999999999995E-8</v>
      </c>
      <c r="G580" s="142" t="s">
        <v>6</v>
      </c>
      <c r="H580" s="142" t="s">
        <v>5</v>
      </c>
      <c r="I580">
        <v>0.04</v>
      </c>
      <c r="J580">
        <v>1</v>
      </c>
      <c r="K580" s="142" t="s">
        <v>10</v>
      </c>
      <c r="L580">
        <v>2.4</v>
      </c>
      <c r="M580">
        <v>83</v>
      </c>
      <c r="N580">
        <v>2.3268</v>
      </c>
      <c r="O580">
        <v>83.289000000000001</v>
      </c>
    </row>
    <row r="581" spans="1:15" x14ac:dyDescent="0.25">
      <c r="A581" s="142" t="s">
        <v>2392</v>
      </c>
      <c r="B581" s="142" t="s">
        <v>52</v>
      </c>
      <c r="C581" s="142" t="s">
        <v>2375</v>
      </c>
      <c r="D581">
        <v>0.01</v>
      </c>
      <c r="E581">
        <v>0.1</v>
      </c>
      <c r="F581">
        <v>9.9999999999999995E-8</v>
      </c>
      <c r="G581" s="142" t="s">
        <v>6</v>
      </c>
      <c r="H581" s="142" t="s">
        <v>5</v>
      </c>
      <c r="I581">
        <v>1</v>
      </c>
      <c r="J581">
        <v>20</v>
      </c>
      <c r="K581" s="142" t="s">
        <v>10</v>
      </c>
      <c r="L581">
        <v>2.7</v>
      </c>
      <c r="M581">
        <v>160</v>
      </c>
      <c r="N581">
        <v>2.3334999999999999</v>
      </c>
      <c r="O581">
        <v>162.79</v>
      </c>
    </row>
    <row r="582" spans="1:15" x14ac:dyDescent="0.25">
      <c r="A582" s="142" t="s">
        <v>2393</v>
      </c>
      <c r="B582" s="142" t="s">
        <v>52</v>
      </c>
      <c r="C582" s="142" t="s">
        <v>2375</v>
      </c>
      <c r="D582">
        <v>0.01</v>
      </c>
      <c r="E582">
        <v>0.1</v>
      </c>
      <c r="F582">
        <v>9.9999999999999995E-8</v>
      </c>
      <c r="G582" s="142" t="s">
        <v>6</v>
      </c>
      <c r="H582" s="142" t="s">
        <v>5</v>
      </c>
      <c r="I582">
        <v>20</v>
      </c>
      <c r="J582">
        <v>50</v>
      </c>
      <c r="K582" s="142" t="s">
        <v>10</v>
      </c>
      <c r="L582">
        <v>2.4</v>
      </c>
      <c r="M582">
        <v>350</v>
      </c>
      <c r="N582">
        <v>2.3307000000000002</v>
      </c>
      <c r="O582">
        <v>347.01</v>
      </c>
    </row>
    <row r="583" spans="1:15" x14ac:dyDescent="0.25">
      <c r="A583" s="142" t="s">
        <v>2394</v>
      </c>
      <c r="B583" s="142" t="s">
        <v>52</v>
      </c>
      <c r="C583" s="142" t="s">
        <v>2375</v>
      </c>
      <c r="D583">
        <v>0.01</v>
      </c>
      <c r="E583">
        <v>0.1</v>
      </c>
      <c r="F583">
        <v>9.9999999999999995E-8</v>
      </c>
      <c r="G583" s="142" t="s">
        <v>6</v>
      </c>
      <c r="H583" s="142" t="s">
        <v>5</v>
      </c>
      <c r="I583">
        <v>50</v>
      </c>
      <c r="J583">
        <v>100</v>
      </c>
      <c r="K583" s="142" t="s">
        <v>10</v>
      </c>
      <c r="L583">
        <v>2.8</v>
      </c>
      <c r="M583">
        <v>920</v>
      </c>
      <c r="N583">
        <v>2.3212999999999999</v>
      </c>
      <c r="O583">
        <v>923.91</v>
      </c>
    </row>
    <row r="584" spans="1:15" x14ac:dyDescent="0.25">
      <c r="A584" s="142" t="s">
        <v>2395</v>
      </c>
      <c r="B584" s="142" t="s">
        <v>52</v>
      </c>
      <c r="C584" s="142" t="s">
        <v>2375</v>
      </c>
      <c r="D584">
        <v>0.01</v>
      </c>
      <c r="E584">
        <v>0.1</v>
      </c>
      <c r="F584">
        <v>9.9999999999999995E-8</v>
      </c>
      <c r="G584" s="142" t="s">
        <v>6</v>
      </c>
      <c r="H584" s="142" t="s">
        <v>5</v>
      </c>
      <c r="I584">
        <v>100</v>
      </c>
      <c r="J584">
        <v>300</v>
      </c>
      <c r="K584" s="142" t="s">
        <v>10</v>
      </c>
      <c r="L584">
        <v>12</v>
      </c>
      <c r="M584">
        <v>3500</v>
      </c>
      <c r="N584">
        <v>11.555999999999999</v>
      </c>
      <c r="O584">
        <v>3464.1</v>
      </c>
    </row>
    <row r="585" spans="1:15" x14ac:dyDescent="0.25">
      <c r="A585" s="142" t="s">
        <v>2396</v>
      </c>
      <c r="B585" s="142" t="s">
        <v>52</v>
      </c>
      <c r="C585" s="142" t="s">
        <v>2375</v>
      </c>
      <c r="D585">
        <v>0.01</v>
      </c>
      <c r="E585">
        <v>0.1</v>
      </c>
      <c r="F585">
        <v>9.9999999999999995E-8</v>
      </c>
      <c r="G585" s="142" t="s">
        <v>6</v>
      </c>
      <c r="H585" s="142" t="s">
        <v>5</v>
      </c>
      <c r="I585">
        <v>300</v>
      </c>
      <c r="J585">
        <v>1000</v>
      </c>
      <c r="K585" s="142" t="s">
        <v>10</v>
      </c>
      <c r="L585">
        <v>12</v>
      </c>
      <c r="M585">
        <v>12000</v>
      </c>
      <c r="N585">
        <v>11.566000000000001</v>
      </c>
      <c r="O585">
        <v>11547</v>
      </c>
    </row>
    <row r="586" spans="1:15" x14ac:dyDescent="0.25">
      <c r="A586" s="142" t="s">
        <v>2397</v>
      </c>
      <c r="B586" s="142" t="s">
        <v>52</v>
      </c>
      <c r="C586" s="142" t="s">
        <v>2375</v>
      </c>
      <c r="D586">
        <v>0.01</v>
      </c>
      <c r="E586">
        <v>0.1</v>
      </c>
      <c r="F586">
        <v>9.9999999999999995E-8</v>
      </c>
      <c r="G586" s="142" t="s">
        <v>6</v>
      </c>
      <c r="H586" s="142" t="s">
        <v>5</v>
      </c>
      <c r="I586">
        <v>1000</v>
      </c>
      <c r="J586">
        <v>2000</v>
      </c>
      <c r="K586" s="142" t="s">
        <v>10</v>
      </c>
      <c r="L586">
        <v>45</v>
      </c>
      <c r="M586">
        <v>17000</v>
      </c>
      <c r="N586">
        <v>11.561999999999999</v>
      </c>
      <c r="O586">
        <v>17325</v>
      </c>
    </row>
    <row r="587" spans="1:15" x14ac:dyDescent="0.25">
      <c r="A587" s="142" t="s">
        <v>2398</v>
      </c>
      <c r="B587" s="142" t="s">
        <v>52</v>
      </c>
      <c r="C587" s="142" t="s">
        <v>2375</v>
      </c>
      <c r="D587">
        <v>0.01</v>
      </c>
      <c r="E587">
        <v>0.1</v>
      </c>
      <c r="F587">
        <v>9.9999999999999995E-8</v>
      </c>
      <c r="G587" s="142" t="s">
        <v>6</v>
      </c>
      <c r="H587" s="142" t="s">
        <v>5</v>
      </c>
      <c r="I587">
        <v>2000</v>
      </c>
      <c r="J587">
        <v>4000</v>
      </c>
      <c r="K587" s="142" t="s">
        <v>10</v>
      </c>
      <c r="L587">
        <v>100</v>
      </c>
      <c r="M587">
        <v>46000</v>
      </c>
      <c r="N587">
        <v>80.83</v>
      </c>
      <c r="O587">
        <v>46190</v>
      </c>
    </row>
    <row r="588" spans="1:15" x14ac:dyDescent="0.25">
      <c r="A588" s="142" t="s">
        <v>2399</v>
      </c>
      <c r="B588" s="142" t="s">
        <v>52</v>
      </c>
      <c r="C588" s="142" t="s">
        <v>2375</v>
      </c>
      <c r="D588">
        <v>0.01</v>
      </c>
      <c r="E588">
        <v>0.1</v>
      </c>
      <c r="F588">
        <v>9.9999999999999995E-8</v>
      </c>
      <c r="G588" s="142" t="s">
        <v>6</v>
      </c>
      <c r="H588" s="142" t="s">
        <v>5</v>
      </c>
      <c r="I588">
        <v>4000</v>
      </c>
      <c r="J588">
        <v>8000</v>
      </c>
      <c r="K588" s="142" t="s">
        <v>10</v>
      </c>
      <c r="L588">
        <v>120</v>
      </c>
      <c r="M588">
        <v>46000</v>
      </c>
      <c r="N588">
        <v>92.382999999999996</v>
      </c>
      <c r="O588">
        <v>46199</v>
      </c>
    </row>
    <row r="589" spans="1:15" x14ac:dyDescent="0.25">
      <c r="A589" s="142" t="s">
        <v>2400</v>
      </c>
      <c r="B589" s="142" t="s">
        <v>52</v>
      </c>
      <c r="C589" s="142" t="s">
        <v>2375</v>
      </c>
      <c r="D589">
        <v>0.01</v>
      </c>
      <c r="E589">
        <v>0.1</v>
      </c>
      <c r="F589">
        <v>9.9999999999999995E-8</v>
      </c>
      <c r="G589" s="142" t="s">
        <v>6</v>
      </c>
      <c r="H589" s="142" t="s">
        <v>5</v>
      </c>
      <c r="I589">
        <v>8000</v>
      </c>
      <c r="J589">
        <v>10000</v>
      </c>
      <c r="K589" s="142" t="s">
        <v>10</v>
      </c>
      <c r="L589">
        <v>440</v>
      </c>
      <c r="M589">
        <v>170000</v>
      </c>
      <c r="N589">
        <v>115.91</v>
      </c>
      <c r="O589">
        <v>173210</v>
      </c>
    </row>
    <row r="590" spans="1:15" x14ac:dyDescent="0.25">
      <c r="A590" s="142" t="s">
        <v>2401</v>
      </c>
      <c r="B590" s="142" t="s">
        <v>52</v>
      </c>
      <c r="C590" s="142" t="s">
        <v>2375</v>
      </c>
      <c r="D590">
        <v>0.1</v>
      </c>
      <c r="E590">
        <v>1</v>
      </c>
      <c r="F590">
        <v>9.9999999999999995E-8</v>
      </c>
      <c r="G590" s="142" t="s">
        <v>6</v>
      </c>
      <c r="H590" s="142" t="s">
        <v>5</v>
      </c>
      <c r="I590">
        <v>1000</v>
      </c>
      <c r="J590">
        <v>2000</v>
      </c>
      <c r="K590" s="142" t="s">
        <v>10</v>
      </c>
      <c r="L590">
        <v>450</v>
      </c>
      <c r="M590">
        <v>17000</v>
      </c>
      <c r="N590">
        <v>115.41</v>
      </c>
      <c r="O590">
        <v>17328</v>
      </c>
    </row>
    <row r="591" spans="1:15" x14ac:dyDescent="0.25">
      <c r="A591" s="142" t="s">
        <v>2402</v>
      </c>
      <c r="B591" s="142" t="s">
        <v>52</v>
      </c>
      <c r="C591" s="142" t="s">
        <v>2375</v>
      </c>
      <c r="D591">
        <v>0.1</v>
      </c>
      <c r="E591">
        <v>1</v>
      </c>
      <c r="F591">
        <v>9.9999999999999995E-8</v>
      </c>
      <c r="G591" s="142" t="s">
        <v>6</v>
      </c>
      <c r="H591" s="142" t="s">
        <v>4</v>
      </c>
      <c r="I591">
        <v>2000</v>
      </c>
      <c r="J591">
        <v>4000</v>
      </c>
      <c r="K591" s="142" t="s">
        <v>10</v>
      </c>
      <c r="L591">
        <v>1.1000000000000001</v>
      </c>
      <c r="M591">
        <v>46</v>
      </c>
      <c r="N591">
        <v>0.80815999999999999</v>
      </c>
      <c r="O591">
        <v>46.198999999999998</v>
      </c>
    </row>
    <row r="592" spans="1:15" x14ac:dyDescent="0.25">
      <c r="A592" s="142" t="s">
        <v>2403</v>
      </c>
      <c r="B592" s="142" t="s">
        <v>52</v>
      </c>
      <c r="C592" s="142" t="s">
        <v>2375</v>
      </c>
      <c r="D592">
        <v>0.1</v>
      </c>
      <c r="E592">
        <v>1</v>
      </c>
      <c r="F592">
        <v>9.9999999999999995E-8</v>
      </c>
      <c r="G592" s="142" t="s">
        <v>6</v>
      </c>
      <c r="H592" s="142" t="s">
        <v>4</v>
      </c>
      <c r="I592">
        <v>4000</v>
      </c>
      <c r="J592">
        <v>8000</v>
      </c>
      <c r="K592" s="142" t="s">
        <v>10</v>
      </c>
      <c r="L592">
        <v>1.2</v>
      </c>
      <c r="M592">
        <v>46</v>
      </c>
      <c r="N592">
        <v>0.92361000000000004</v>
      </c>
      <c r="O592">
        <v>46.198999999999998</v>
      </c>
    </row>
    <row r="593" spans="1:15" x14ac:dyDescent="0.25">
      <c r="A593" s="142" t="s">
        <v>2404</v>
      </c>
      <c r="B593" s="142" t="s">
        <v>52</v>
      </c>
      <c r="C593" s="142" t="s">
        <v>2375</v>
      </c>
      <c r="D593">
        <v>0.1</v>
      </c>
      <c r="E593">
        <v>1</v>
      </c>
      <c r="F593">
        <v>9.9999999999999995E-8</v>
      </c>
      <c r="G593" s="142" t="s">
        <v>6</v>
      </c>
      <c r="H593" s="142" t="s">
        <v>4</v>
      </c>
      <c r="I593">
        <v>8000</v>
      </c>
      <c r="J593">
        <v>10000</v>
      </c>
      <c r="K593" s="142" t="s">
        <v>10</v>
      </c>
      <c r="L593">
        <v>4.4000000000000004</v>
      </c>
      <c r="M593">
        <v>170</v>
      </c>
      <c r="N593">
        <v>1.1592</v>
      </c>
      <c r="O593">
        <v>173.21</v>
      </c>
    </row>
    <row r="594" spans="1:15" x14ac:dyDescent="0.25">
      <c r="A594" s="142" t="s">
        <v>2405</v>
      </c>
      <c r="B594" s="142" t="s">
        <v>52</v>
      </c>
      <c r="C594" s="142" t="s">
        <v>2375</v>
      </c>
      <c r="D594">
        <v>0</v>
      </c>
      <c r="E594">
        <v>0.01</v>
      </c>
      <c r="F594">
        <v>9.9999999999999995E-7</v>
      </c>
      <c r="G594" s="142" t="s">
        <v>6</v>
      </c>
      <c r="H594" s="142" t="s">
        <v>5</v>
      </c>
      <c r="I594">
        <v>1E-3</v>
      </c>
      <c r="J594">
        <v>0.04</v>
      </c>
      <c r="K594" s="142" t="s">
        <v>10</v>
      </c>
      <c r="L594">
        <v>3.6</v>
      </c>
      <c r="M594">
        <v>340</v>
      </c>
      <c r="N594">
        <v>3.5468999999999999</v>
      </c>
      <c r="O594">
        <v>342.62</v>
      </c>
    </row>
    <row r="595" spans="1:15" x14ac:dyDescent="0.25">
      <c r="A595" s="142" t="s">
        <v>2406</v>
      </c>
      <c r="B595" s="142" t="s">
        <v>52</v>
      </c>
      <c r="C595" s="142" t="s">
        <v>2375</v>
      </c>
      <c r="D595">
        <v>0</v>
      </c>
      <c r="E595">
        <v>0.01</v>
      </c>
      <c r="F595">
        <v>9.9999999999999995E-7</v>
      </c>
      <c r="G595" s="142" t="s">
        <v>6</v>
      </c>
      <c r="H595" s="142" t="s">
        <v>5</v>
      </c>
      <c r="I595">
        <v>0.04</v>
      </c>
      <c r="J595">
        <v>1</v>
      </c>
      <c r="K595" s="142" t="s">
        <v>10</v>
      </c>
      <c r="L595">
        <v>1.4811000000000001</v>
      </c>
      <c r="M595">
        <v>221.9</v>
      </c>
      <c r="N595">
        <v>1.4802</v>
      </c>
      <c r="O595">
        <v>218.14</v>
      </c>
    </row>
    <row r="596" spans="1:15" x14ac:dyDescent="0.25">
      <c r="A596" s="142" t="s">
        <v>2407</v>
      </c>
      <c r="B596" s="142" t="s">
        <v>52</v>
      </c>
      <c r="C596" s="142" t="s">
        <v>2375</v>
      </c>
      <c r="D596">
        <v>0</v>
      </c>
      <c r="E596">
        <v>0.01</v>
      </c>
      <c r="F596">
        <v>9.9999999999999995E-7</v>
      </c>
      <c r="G596" s="142" t="s">
        <v>6</v>
      </c>
      <c r="H596" s="142" t="s">
        <v>5</v>
      </c>
      <c r="I596">
        <v>1</v>
      </c>
      <c r="J596">
        <v>20</v>
      </c>
      <c r="K596" s="142" t="s">
        <v>10</v>
      </c>
      <c r="L596">
        <v>1.48</v>
      </c>
      <c r="M596">
        <v>332.01</v>
      </c>
      <c r="N596">
        <v>1.4787999999999999</v>
      </c>
      <c r="O596">
        <v>331.94</v>
      </c>
    </row>
    <row r="597" spans="1:15" x14ac:dyDescent="0.25">
      <c r="A597" s="142" t="s">
        <v>2408</v>
      </c>
      <c r="B597" s="142" t="s">
        <v>52</v>
      </c>
      <c r="C597" s="142" t="s">
        <v>2375</v>
      </c>
      <c r="D597">
        <v>0</v>
      </c>
      <c r="E597">
        <v>0.01</v>
      </c>
      <c r="F597">
        <v>9.9999999999999995E-7</v>
      </c>
      <c r="G597" s="142" t="s">
        <v>6</v>
      </c>
      <c r="H597" s="142" t="s">
        <v>5</v>
      </c>
      <c r="I597">
        <v>20</v>
      </c>
      <c r="J597">
        <v>50</v>
      </c>
      <c r="K597" s="142" t="s">
        <v>10</v>
      </c>
      <c r="L597">
        <v>1.9</v>
      </c>
      <c r="M597">
        <v>1100</v>
      </c>
      <c r="N597">
        <v>1.4685999999999999</v>
      </c>
      <c r="O597">
        <v>1137.4000000000001</v>
      </c>
    </row>
    <row r="598" spans="1:15" x14ac:dyDescent="0.25">
      <c r="A598" s="142" t="s">
        <v>2409</v>
      </c>
      <c r="B598" s="142" t="s">
        <v>52</v>
      </c>
      <c r="C598" s="142" t="s">
        <v>2375</v>
      </c>
      <c r="D598">
        <v>0</v>
      </c>
      <c r="E598">
        <v>0.01</v>
      </c>
      <c r="F598">
        <v>9.9999999999999995E-7</v>
      </c>
      <c r="G598" s="142" t="s">
        <v>6</v>
      </c>
      <c r="H598" s="142" t="s">
        <v>5</v>
      </c>
      <c r="I598">
        <v>50</v>
      </c>
      <c r="J598">
        <v>100</v>
      </c>
      <c r="K598" s="142" t="s">
        <v>10</v>
      </c>
      <c r="L598">
        <v>1.4248000000000001</v>
      </c>
      <c r="M598">
        <v>5797.5</v>
      </c>
      <c r="N598">
        <v>1.4236</v>
      </c>
      <c r="O598">
        <v>5758.7</v>
      </c>
    </row>
    <row r="599" spans="1:15" x14ac:dyDescent="0.25">
      <c r="A599" s="142" t="s">
        <v>2410</v>
      </c>
      <c r="B599" s="142" t="s">
        <v>52</v>
      </c>
      <c r="C599" s="142" t="s">
        <v>2375</v>
      </c>
      <c r="D599">
        <v>0</v>
      </c>
      <c r="E599">
        <v>0.01</v>
      </c>
      <c r="F599">
        <v>9.9999999999999995E-7</v>
      </c>
      <c r="G599" s="142" t="s">
        <v>6</v>
      </c>
      <c r="H599" s="142" t="s">
        <v>5</v>
      </c>
      <c r="I599">
        <v>100</v>
      </c>
      <c r="J599">
        <v>300</v>
      </c>
      <c r="K599" s="142" t="s">
        <v>10</v>
      </c>
      <c r="L599">
        <v>4.2</v>
      </c>
      <c r="M599">
        <v>46000</v>
      </c>
      <c r="N599">
        <v>2.3548</v>
      </c>
      <c r="O599">
        <v>46184</v>
      </c>
    </row>
    <row r="600" spans="1:15" x14ac:dyDescent="0.25">
      <c r="A600" s="142" t="s">
        <v>2411</v>
      </c>
      <c r="B600" s="142" t="s">
        <v>52</v>
      </c>
      <c r="C600" s="142" t="s">
        <v>2375</v>
      </c>
      <c r="D600">
        <v>0</v>
      </c>
      <c r="E600">
        <v>0.01</v>
      </c>
      <c r="F600">
        <v>9.9999999999999995E-7</v>
      </c>
      <c r="G600" s="142" t="s">
        <v>6</v>
      </c>
      <c r="H600" s="142" t="s">
        <v>5</v>
      </c>
      <c r="I600">
        <v>300</v>
      </c>
      <c r="J600">
        <v>1000</v>
      </c>
      <c r="K600" s="142" t="s">
        <v>10</v>
      </c>
      <c r="L600">
        <v>7.7</v>
      </c>
      <c r="M600">
        <v>46000</v>
      </c>
      <c r="N600">
        <v>5.8813000000000004</v>
      </c>
      <c r="O600">
        <v>46178</v>
      </c>
    </row>
    <row r="601" spans="1:15" x14ac:dyDescent="0.25">
      <c r="A601" s="142" t="s">
        <v>2412</v>
      </c>
      <c r="B601" s="142" t="s">
        <v>52</v>
      </c>
      <c r="C601" s="142" t="s">
        <v>2375</v>
      </c>
      <c r="D601">
        <v>0</v>
      </c>
      <c r="E601">
        <v>0.01</v>
      </c>
      <c r="F601">
        <v>9.9999999999999995E-7</v>
      </c>
      <c r="G601" s="142" t="s">
        <v>6</v>
      </c>
      <c r="H601" s="142" t="s">
        <v>5</v>
      </c>
      <c r="I601">
        <v>1000</v>
      </c>
      <c r="J601">
        <v>4000</v>
      </c>
      <c r="K601" s="142" t="s">
        <v>10</v>
      </c>
      <c r="L601">
        <v>8.8000000000000007</v>
      </c>
      <c r="M601">
        <v>81000</v>
      </c>
      <c r="N601">
        <v>8.1373999999999995</v>
      </c>
      <c r="O601">
        <v>80830</v>
      </c>
    </row>
    <row r="602" spans="1:15" x14ac:dyDescent="0.25">
      <c r="A602" s="142" t="s">
        <v>2413</v>
      </c>
      <c r="B602" s="142" t="s">
        <v>52</v>
      </c>
      <c r="C602" s="142" t="s">
        <v>2375</v>
      </c>
      <c r="D602">
        <v>0</v>
      </c>
      <c r="E602">
        <v>0.01</v>
      </c>
      <c r="F602">
        <v>9.9999999999999995E-7</v>
      </c>
      <c r="G602" s="142" t="s">
        <v>6</v>
      </c>
      <c r="H602" s="142" t="s">
        <v>5</v>
      </c>
      <c r="I602">
        <v>4000</v>
      </c>
      <c r="J602">
        <v>8000</v>
      </c>
      <c r="K602" s="142" t="s">
        <v>10</v>
      </c>
      <c r="L602">
        <v>19</v>
      </c>
      <c r="M602">
        <v>230000</v>
      </c>
      <c r="N602">
        <v>10.167999999999999</v>
      </c>
      <c r="O602">
        <v>230860</v>
      </c>
    </row>
    <row r="603" spans="1:15" x14ac:dyDescent="0.25">
      <c r="A603" s="142" t="s">
        <v>2414</v>
      </c>
      <c r="B603" s="142" t="s">
        <v>52</v>
      </c>
      <c r="C603" s="142" t="s">
        <v>2375</v>
      </c>
      <c r="D603">
        <v>0.01</v>
      </c>
      <c r="E603">
        <v>0.1</v>
      </c>
      <c r="F603">
        <v>9.9999999999999995E-7</v>
      </c>
      <c r="G603" s="142" t="s">
        <v>6</v>
      </c>
      <c r="H603" s="142" t="s">
        <v>5</v>
      </c>
      <c r="I603">
        <v>1E-3</v>
      </c>
      <c r="J603">
        <v>0.04</v>
      </c>
      <c r="K603" s="142" t="s">
        <v>10</v>
      </c>
      <c r="L603">
        <v>4.7</v>
      </c>
      <c r="M603">
        <v>83</v>
      </c>
      <c r="N603">
        <v>4.6569000000000003</v>
      </c>
      <c r="O603">
        <v>82.74</v>
      </c>
    </row>
    <row r="604" spans="1:15" x14ac:dyDescent="0.25">
      <c r="A604" s="142" t="s">
        <v>2415</v>
      </c>
      <c r="B604" s="142" t="s">
        <v>52</v>
      </c>
      <c r="C604" s="142" t="s">
        <v>2375</v>
      </c>
      <c r="D604">
        <v>0.01</v>
      </c>
      <c r="E604">
        <v>0.1</v>
      </c>
      <c r="F604">
        <v>9.9999999999999995E-7</v>
      </c>
      <c r="G604" s="142" t="s">
        <v>6</v>
      </c>
      <c r="H604" s="142" t="s">
        <v>5</v>
      </c>
      <c r="I604">
        <v>0.04</v>
      </c>
      <c r="J604">
        <v>1</v>
      </c>
      <c r="K604" s="142" t="s">
        <v>10</v>
      </c>
      <c r="L604">
        <v>2.4</v>
      </c>
      <c r="M604">
        <v>83</v>
      </c>
      <c r="N604">
        <v>2.3826000000000001</v>
      </c>
      <c r="O604">
        <v>82.885999999999996</v>
      </c>
    </row>
    <row r="605" spans="1:15" x14ac:dyDescent="0.25">
      <c r="A605" s="142" t="s">
        <v>2416</v>
      </c>
      <c r="B605" s="142" t="s">
        <v>52</v>
      </c>
      <c r="C605" s="142" t="s">
        <v>2375</v>
      </c>
      <c r="D605">
        <v>0.01</v>
      </c>
      <c r="E605">
        <v>0.1</v>
      </c>
      <c r="F605">
        <v>9.9999999999999995E-7</v>
      </c>
      <c r="G605" s="142" t="s">
        <v>6</v>
      </c>
      <c r="H605" s="142" t="s">
        <v>5</v>
      </c>
      <c r="I605">
        <v>1</v>
      </c>
      <c r="J605">
        <v>20</v>
      </c>
      <c r="K605" s="142" t="s">
        <v>10</v>
      </c>
      <c r="L605">
        <v>2.7</v>
      </c>
      <c r="M605">
        <v>160</v>
      </c>
      <c r="N605">
        <v>2.3784999999999998</v>
      </c>
      <c r="O605">
        <v>162.43</v>
      </c>
    </row>
    <row r="606" spans="1:15" x14ac:dyDescent="0.25">
      <c r="A606" s="142" t="s">
        <v>2417</v>
      </c>
      <c r="B606" s="142" t="s">
        <v>52</v>
      </c>
      <c r="C606" s="142" t="s">
        <v>2375</v>
      </c>
      <c r="D606">
        <v>0.01</v>
      </c>
      <c r="E606">
        <v>0.1</v>
      </c>
      <c r="F606">
        <v>9.9999999999999995E-7</v>
      </c>
      <c r="G606" s="142" t="s">
        <v>6</v>
      </c>
      <c r="H606" s="142" t="s">
        <v>5</v>
      </c>
      <c r="I606">
        <v>20</v>
      </c>
      <c r="J606">
        <v>50</v>
      </c>
      <c r="K606" s="142" t="s">
        <v>10</v>
      </c>
      <c r="L606">
        <v>2.4</v>
      </c>
      <c r="M606">
        <v>350</v>
      </c>
      <c r="N606">
        <v>2.3622000000000001</v>
      </c>
      <c r="O606">
        <v>346.74</v>
      </c>
    </row>
    <row r="607" spans="1:15" x14ac:dyDescent="0.25">
      <c r="A607" s="142" t="s">
        <v>2418</v>
      </c>
      <c r="B607" s="142" t="s">
        <v>52</v>
      </c>
      <c r="C607" s="142" t="s">
        <v>2375</v>
      </c>
      <c r="D607">
        <v>0.01</v>
      </c>
      <c r="E607">
        <v>0.1</v>
      </c>
      <c r="F607">
        <v>9.9999999999999995E-7</v>
      </c>
      <c r="G607" s="142" t="s">
        <v>6</v>
      </c>
      <c r="H607" s="142" t="s">
        <v>5</v>
      </c>
      <c r="I607">
        <v>50</v>
      </c>
      <c r="J607">
        <v>100</v>
      </c>
      <c r="K607" s="142" t="s">
        <v>10</v>
      </c>
      <c r="L607">
        <v>2.8</v>
      </c>
      <c r="M607">
        <v>920</v>
      </c>
      <c r="N607">
        <v>2.3371</v>
      </c>
      <c r="O607">
        <v>923.77</v>
      </c>
    </row>
    <row r="608" spans="1:15" x14ac:dyDescent="0.25">
      <c r="A608" s="142" t="s">
        <v>2419</v>
      </c>
      <c r="B608" s="142" t="s">
        <v>52</v>
      </c>
      <c r="C608" s="142" t="s">
        <v>2375</v>
      </c>
      <c r="D608">
        <v>0.01</v>
      </c>
      <c r="E608">
        <v>0.1</v>
      </c>
      <c r="F608">
        <v>9.9999999999999995E-7</v>
      </c>
      <c r="G608" s="142" t="s">
        <v>6</v>
      </c>
      <c r="H608" s="142" t="s">
        <v>5</v>
      </c>
      <c r="I608">
        <v>100</v>
      </c>
      <c r="J608">
        <v>300</v>
      </c>
      <c r="K608" s="142" t="s">
        <v>10</v>
      </c>
      <c r="L608">
        <v>12</v>
      </c>
      <c r="M608">
        <v>3500</v>
      </c>
      <c r="N608">
        <v>11.557</v>
      </c>
      <c r="O608">
        <v>3464.1</v>
      </c>
    </row>
    <row r="609" spans="1:15" x14ac:dyDescent="0.25">
      <c r="A609" s="142" t="s">
        <v>2420</v>
      </c>
      <c r="B609" s="142" t="s">
        <v>52</v>
      </c>
      <c r="C609" s="142" t="s">
        <v>2375</v>
      </c>
      <c r="D609">
        <v>0.01</v>
      </c>
      <c r="E609">
        <v>0.1</v>
      </c>
      <c r="F609">
        <v>9.9999999999999995E-7</v>
      </c>
      <c r="G609" s="142" t="s">
        <v>6</v>
      </c>
      <c r="H609" s="142" t="s">
        <v>5</v>
      </c>
      <c r="I609">
        <v>300</v>
      </c>
      <c r="J609">
        <v>1000</v>
      </c>
      <c r="K609" s="142" t="s">
        <v>10</v>
      </c>
      <c r="L609">
        <v>12</v>
      </c>
      <c r="M609">
        <v>12000</v>
      </c>
      <c r="N609">
        <v>11.566000000000001</v>
      </c>
      <c r="O609">
        <v>11547</v>
      </c>
    </row>
    <row r="610" spans="1:15" x14ac:dyDescent="0.25">
      <c r="A610" s="142" t="s">
        <v>2421</v>
      </c>
      <c r="B610" s="142" t="s">
        <v>52</v>
      </c>
      <c r="C610" s="142" t="s">
        <v>2375</v>
      </c>
      <c r="D610">
        <v>0.01</v>
      </c>
      <c r="E610">
        <v>0.1</v>
      </c>
      <c r="F610">
        <v>9.9999999999999995E-7</v>
      </c>
      <c r="G610" s="142" t="s">
        <v>6</v>
      </c>
      <c r="H610" s="142" t="s">
        <v>5</v>
      </c>
      <c r="I610">
        <v>1000</v>
      </c>
      <c r="J610">
        <v>2000</v>
      </c>
      <c r="K610" s="142" t="s">
        <v>10</v>
      </c>
      <c r="L610">
        <v>45</v>
      </c>
      <c r="M610">
        <v>17000</v>
      </c>
      <c r="N610">
        <v>11.563000000000001</v>
      </c>
      <c r="O610">
        <v>17325</v>
      </c>
    </row>
    <row r="611" spans="1:15" x14ac:dyDescent="0.25">
      <c r="A611" s="142" t="s">
        <v>2422</v>
      </c>
      <c r="B611" s="142" t="s">
        <v>52</v>
      </c>
      <c r="C611" s="142" t="s">
        <v>2375</v>
      </c>
      <c r="D611">
        <v>0.01</v>
      </c>
      <c r="E611">
        <v>0.1</v>
      </c>
      <c r="F611">
        <v>9.9999999999999995E-7</v>
      </c>
      <c r="G611" s="142" t="s">
        <v>6</v>
      </c>
      <c r="H611" s="142" t="s">
        <v>5</v>
      </c>
      <c r="I611">
        <v>2000</v>
      </c>
      <c r="J611">
        <v>4000</v>
      </c>
      <c r="K611" s="142" t="s">
        <v>10</v>
      </c>
      <c r="L611">
        <v>100</v>
      </c>
      <c r="M611">
        <v>46000</v>
      </c>
      <c r="N611">
        <v>80.83</v>
      </c>
      <c r="O611">
        <v>46190</v>
      </c>
    </row>
    <row r="612" spans="1:15" x14ac:dyDescent="0.25">
      <c r="A612" s="142" t="s">
        <v>2423</v>
      </c>
      <c r="B612" s="142" t="s">
        <v>52</v>
      </c>
      <c r="C612" s="142" t="s">
        <v>2375</v>
      </c>
      <c r="D612">
        <v>0.01</v>
      </c>
      <c r="E612">
        <v>0.1</v>
      </c>
      <c r="F612">
        <v>9.9999999999999995E-7</v>
      </c>
      <c r="G612" s="142" t="s">
        <v>6</v>
      </c>
      <c r="H612" s="142" t="s">
        <v>5</v>
      </c>
      <c r="I612">
        <v>4000</v>
      </c>
      <c r="J612">
        <v>8000</v>
      </c>
      <c r="K612" s="142" t="s">
        <v>10</v>
      </c>
      <c r="L612">
        <v>120</v>
      </c>
      <c r="M612">
        <v>46000</v>
      </c>
      <c r="N612">
        <v>92.382999999999996</v>
      </c>
      <c r="O612">
        <v>46199</v>
      </c>
    </row>
    <row r="613" spans="1:15" x14ac:dyDescent="0.25">
      <c r="A613" s="142" t="s">
        <v>2424</v>
      </c>
      <c r="B613" s="142" t="s">
        <v>52</v>
      </c>
      <c r="C613" s="142" t="s">
        <v>2375</v>
      </c>
      <c r="D613">
        <v>0.01</v>
      </c>
      <c r="E613">
        <v>0.1</v>
      </c>
      <c r="F613">
        <v>9.9999999999999995E-7</v>
      </c>
      <c r="G613" s="142" t="s">
        <v>6</v>
      </c>
      <c r="H613" s="142" t="s">
        <v>5</v>
      </c>
      <c r="I613">
        <v>8000</v>
      </c>
      <c r="J613">
        <v>10000</v>
      </c>
      <c r="K613" s="142" t="s">
        <v>10</v>
      </c>
      <c r="L613">
        <v>440</v>
      </c>
      <c r="M613">
        <v>170000</v>
      </c>
      <c r="N613">
        <v>115.91</v>
      </c>
      <c r="O613">
        <v>173210</v>
      </c>
    </row>
    <row r="614" spans="1:15" x14ac:dyDescent="0.25">
      <c r="A614" s="142" t="s">
        <v>2425</v>
      </c>
      <c r="B614" s="142" t="s">
        <v>52</v>
      </c>
      <c r="C614" s="142" t="s">
        <v>2375</v>
      </c>
      <c r="D614">
        <v>0.1</v>
      </c>
      <c r="E614">
        <v>1</v>
      </c>
      <c r="F614">
        <v>9.9999999999999995E-7</v>
      </c>
      <c r="G614" s="142" t="s">
        <v>6</v>
      </c>
      <c r="H614" s="142" t="s">
        <v>5</v>
      </c>
      <c r="I614">
        <v>1E-3</v>
      </c>
      <c r="J614">
        <v>0.04</v>
      </c>
      <c r="K614" s="142" t="s">
        <v>10</v>
      </c>
      <c r="L614">
        <v>47</v>
      </c>
      <c r="M614">
        <v>82</v>
      </c>
      <c r="N614">
        <v>46.173999999999999</v>
      </c>
      <c r="O614">
        <v>81.516999999999996</v>
      </c>
    </row>
    <row r="615" spans="1:15" x14ac:dyDescent="0.25">
      <c r="A615" s="142" t="s">
        <v>2426</v>
      </c>
      <c r="B615" s="142" t="s">
        <v>52</v>
      </c>
      <c r="C615" s="142" t="s">
        <v>2375</v>
      </c>
      <c r="D615">
        <v>0.1</v>
      </c>
      <c r="E615">
        <v>1</v>
      </c>
      <c r="F615">
        <v>9.9999999999999995E-7</v>
      </c>
      <c r="G615" s="142" t="s">
        <v>6</v>
      </c>
      <c r="H615" s="142" t="s">
        <v>5</v>
      </c>
      <c r="I615">
        <v>0.04</v>
      </c>
      <c r="J615">
        <v>1</v>
      </c>
      <c r="K615" s="142" t="s">
        <v>10</v>
      </c>
      <c r="L615">
        <v>24</v>
      </c>
      <c r="M615">
        <v>82</v>
      </c>
      <c r="N615">
        <v>23.120999999999999</v>
      </c>
      <c r="O615">
        <v>81.504999999999995</v>
      </c>
    </row>
    <row r="616" spans="1:15" x14ac:dyDescent="0.25">
      <c r="A616" s="142" t="s">
        <v>2427</v>
      </c>
      <c r="B616" s="142" t="s">
        <v>52</v>
      </c>
      <c r="C616" s="142" t="s">
        <v>2375</v>
      </c>
      <c r="D616">
        <v>0.1</v>
      </c>
      <c r="E616">
        <v>1</v>
      </c>
      <c r="F616">
        <v>9.9999999999999995E-7</v>
      </c>
      <c r="G616" s="142" t="s">
        <v>6</v>
      </c>
      <c r="H616" s="142" t="s">
        <v>5</v>
      </c>
      <c r="I616">
        <v>1</v>
      </c>
      <c r="J616">
        <v>20</v>
      </c>
      <c r="K616" s="142" t="s">
        <v>10</v>
      </c>
      <c r="L616">
        <v>26</v>
      </c>
      <c r="M616">
        <v>160</v>
      </c>
      <c r="N616">
        <v>23.111000000000001</v>
      </c>
      <c r="O616">
        <v>162.18</v>
      </c>
    </row>
    <row r="617" spans="1:15" x14ac:dyDescent="0.25">
      <c r="A617" s="142" t="s">
        <v>2428</v>
      </c>
      <c r="B617" s="142" t="s">
        <v>52</v>
      </c>
      <c r="C617" s="142" t="s">
        <v>2375</v>
      </c>
      <c r="D617">
        <v>0.1</v>
      </c>
      <c r="E617">
        <v>1</v>
      </c>
      <c r="F617">
        <v>9.9999999999999995E-7</v>
      </c>
      <c r="G617" s="142" t="s">
        <v>6</v>
      </c>
      <c r="H617" s="142" t="s">
        <v>5</v>
      </c>
      <c r="I617">
        <v>20</v>
      </c>
      <c r="J617">
        <v>50</v>
      </c>
      <c r="K617" s="142" t="s">
        <v>10</v>
      </c>
      <c r="L617">
        <v>24</v>
      </c>
      <c r="M617">
        <v>350</v>
      </c>
      <c r="N617">
        <v>23.111000000000001</v>
      </c>
      <c r="O617">
        <v>346.79</v>
      </c>
    </row>
    <row r="618" spans="1:15" x14ac:dyDescent="0.25">
      <c r="A618" s="142" t="s">
        <v>2429</v>
      </c>
      <c r="B618" s="142" t="s">
        <v>52</v>
      </c>
      <c r="C618" s="142" t="s">
        <v>2375</v>
      </c>
      <c r="D618">
        <v>0.1</v>
      </c>
      <c r="E618">
        <v>1</v>
      </c>
      <c r="F618">
        <v>9.9999999999999995E-7</v>
      </c>
      <c r="G618" s="142" t="s">
        <v>6</v>
      </c>
      <c r="H618" s="142" t="s">
        <v>5</v>
      </c>
      <c r="I618">
        <v>50</v>
      </c>
      <c r="J618">
        <v>100</v>
      </c>
      <c r="K618" s="142" t="s">
        <v>10</v>
      </c>
      <c r="L618">
        <v>28</v>
      </c>
      <c r="M618">
        <v>920</v>
      </c>
      <c r="N618">
        <v>23.099</v>
      </c>
      <c r="O618">
        <v>923.95</v>
      </c>
    </row>
    <row r="619" spans="1:15" x14ac:dyDescent="0.25">
      <c r="A619" s="142" t="s">
        <v>2430</v>
      </c>
      <c r="B619" s="142" t="s">
        <v>52</v>
      </c>
      <c r="C619" s="142" t="s">
        <v>2375</v>
      </c>
      <c r="D619">
        <v>0.1</v>
      </c>
      <c r="E619">
        <v>1</v>
      </c>
      <c r="F619">
        <v>9.9999999999999995E-7</v>
      </c>
      <c r="G619" s="142" t="s">
        <v>6</v>
      </c>
      <c r="H619" s="142" t="s">
        <v>5</v>
      </c>
      <c r="I619">
        <v>100</v>
      </c>
      <c r="J619">
        <v>300</v>
      </c>
      <c r="K619" s="142" t="s">
        <v>10</v>
      </c>
      <c r="L619">
        <v>120</v>
      </c>
      <c r="M619">
        <v>3500</v>
      </c>
      <c r="N619">
        <v>115.46</v>
      </c>
      <c r="O619">
        <v>3464.3</v>
      </c>
    </row>
    <row r="620" spans="1:15" x14ac:dyDescent="0.25">
      <c r="A620" s="142" t="s">
        <v>2431</v>
      </c>
      <c r="B620" s="142" t="s">
        <v>52</v>
      </c>
      <c r="C620" s="142" t="s">
        <v>2375</v>
      </c>
      <c r="D620">
        <v>0.1</v>
      </c>
      <c r="E620">
        <v>1</v>
      </c>
      <c r="F620">
        <v>9.9999999999999995E-7</v>
      </c>
      <c r="G620" s="142" t="s">
        <v>6</v>
      </c>
      <c r="H620" s="142" t="s">
        <v>5</v>
      </c>
      <c r="I620">
        <v>300</v>
      </c>
      <c r="J620">
        <v>1000</v>
      </c>
      <c r="K620" s="142" t="s">
        <v>10</v>
      </c>
      <c r="L620">
        <v>120</v>
      </c>
      <c r="M620">
        <v>12000</v>
      </c>
      <c r="N620">
        <v>115.2</v>
      </c>
      <c r="O620">
        <v>11550</v>
      </c>
    </row>
    <row r="621" spans="1:15" x14ac:dyDescent="0.25">
      <c r="A621" s="142" t="s">
        <v>2432</v>
      </c>
      <c r="B621" s="142" t="s">
        <v>52</v>
      </c>
      <c r="C621" s="142" t="s">
        <v>2375</v>
      </c>
      <c r="D621">
        <v>0.1</v>
      </c>
      <c r="E621">
        <v>1</v>
      </c>
      <c r="F621">
        <v>9.9999999999999995E-7</v>
      </c>
      <c r="G621" s="142" t="s">
        <v>6</v>
      </c>
      <c r="H621" s="142" t="s">
        <v>5</v>
      </c>
      <c r="I621">
        <v>1000</v>
      </c>
      <c r="J621">
        <v>2000</v>
      </c>
      <c r="K621" s="142" t="s">
        <v>10</v>
      </c>
      <c r="L621">
        <v>450</v>
      </c>
      <c r="M621">
        <v>17000</v>
      </c>
      <c r="N621">
        <v>115.41</v>
      </c>
      <c r="O621">
        <v>17328</v>
      </c>
    </row>
    <row r="622" spans="1:15" x14ac:dyDescent="0.25">
      <c r="A622" s="142" t="s">
        <v>2433</v>
      </c>
      <c r="B622" s="142" t="s">
        <v>52</v>
      </c>
      <c r="C622" s="142" t="s">
        <v>2375</v>
      </c>
      <c r="D622">
        <v>0.1</v>
      </c>
      <c r="E622">
        <v>1</v>
      </c>
      <c r="F622">
        <v>9.9999999999999995E-7</v>
      </c>
      <c r="G622" s="142" t="s">
        <v>6</v>
      </c>
      <c r="H622" s="142" t="s">
        <v>4</v>
      </c>
      <c r="I622">
        <v>2000</v>
      </c>
      <c r="J622">
        <v>4000</v>
      </c>
      <c r="K622" s="142" t="s">
        <v>10</v>
      </c>
      <c r="L622">
        <v>1.1000000000000001</v>
      </c>
      <c r="M622">
        <v>46</v>
      </c>
      <c r="N622">
        <v>0.80817000000000005</v>
      </c>
      <c r="O622">
        <v>46.198999999999998</v>
      </c>
    </row>
    <row r="623" spans="1:15" x14ac:dyDescent="0.25">
      <c r="A623" s="142" t="s">
        <v>2434</v>
      </c>
      <c r="B623" s="142" t="s">
        <v>52</v>
      </c>
      <c r="C623" s="142" t="s">
        <v>2375</v>
      </c>
      <c r="D623">
        <v>0.1</v>
      </c>
      <c r="E623">
        <v>1</v>
      </c>
      <c r="F623">
        <v>9.9999999999999995E-7</v>
      </c>
      <c r="G623" s="142" t="s">
        <v>6</v>
      </c>
      <c r="H623" s="142" t="s">
        <v>4</v>
      </c>
      <c r="I623">
        <v>4000</v>
      </c>
      <c r="J623">
        <v>8000</v>
      </c>
      <c r="K623" s="142" t="s">
        <v>10</v>
      </c>
      <c r="L623">
        <v>1.2</v>
      </c>
      <c r="M623">
        <v>46</v>
      </c>
      <c r="N623">
        <v>0.92361000000000004</v>
      </c>
      <c r="O623">
        <v>46.198999999999998</v>
      </c>
    </row>
    <row r="624" spans="1:15" x14ac:dyDescent="0.25">
      <c r="A624" s="142" t="s">
        <v>2435</v>
      </c>
      <c r="B624" s="142" t="s">
        <v>52</v>
      </c>
      <c r="C624" s="142" t="s">
        <v>2375</v>
      </c>
      <c r="D624">
        <v>0.1</v>
      </c>
      <c r="E624">
        <v>1</v>
      </c>
      <c r="F624">
        <v>9.9999999999999995E-7</v>
      </c>
      <c r="G624" s="142" t="s">
        <v>6</v>
      </c>
      <c r="H624" s="142" t="s">
        <v>4</v>
      </c>
      <c r="I624">
        <v>8000</v>
      </c>
      <c r="J624">
        <v>10000</v>
      </c>
      <c r="K624" s="142" t="s">
        <v>10</v>
      </c>
      <c r="L624">
        <v>4.4000000000000004</v>
      </c>
      <c r="M624">
        <v>170</v>
      </c>
      <c r="N624">
        <v>1.1592</v>
      </c>
      <c r="O624">
        <v>173.21</v>
      </c>
    </row>
    <row r="625" spans="1:15" x14ac:dyDescent="0.25">
      <c r="A625" s="142" t="s">
        <v>2436</v>
      </c>
      <c r="B625" s="142" t="s">
        <v>52</v>
      </c>
      <c r="C625" s="142" t="s">
        <v>2375</v>
      </c>
      <c r="D625">
        <v>1</v>
      </c>
      <c r="E625">
        <v>10</v>
      </c>
      <c r="F625">
        <v>9.9999999999999995E-7</v>
      </c>
      <c r="G625" s="142" t="s">
        <v>6</v>
      </c>
      <c r="H625" s="142" t="s">
        <v>4</v>
      </c>
      <c r="I625">
        <v>1000</v>
      </c>
      <c r="J625">
        <v>2000</v>
      </c>
      <c r="K625" s="142" t="s">
        <v>10</v>
      </c>
      <c r="L625">
        <v>4.5999999999999996</v>
      </c>
      <c r="M625">
        <v>17</v>
      </c>
      <c r="N625">
        <v>1.1422000000000001</v>
      </c>
      <c r="O625">
        <v>17.34</v>
      </c>
    </row>
    <row r="626" spans="1:15" x14ac:dyDescent="0.25">
      <c r="A626" s="142" t="s">
        <v>2437</v>
      </c>
      <c r="B626" s="142" t="s">
        <v>52</v>
      </c>
      <c r="C626" s="142" t="s">
        <v>2375</v>
      </c>
      <c r="D626">
        <v>1</v>
      </c>
      <c r="E626">
        <v>10</v>
      </c>
      <c r="F626">
        <v>9.9999999999999995E-7</v>
      </c>
      <c r="G626" s="142" t="s">
        <v>6</v>
      </c>
      <c r="H626" s="142" t="s">
        <v>4</v>
      </c>
      <c r="I626">
        <v>2000</v>
      </c>
      <c r="J626">
        <v>4000</v>
      </c>
      <c r="K626" s="142" t="s">
        <v>10</v>
      </c>
      <c r="L626">
        <v>11</v>
      </c>
      <c r="M626">
        <v>46</v>
      </c>
      <c r="N626">
        <v>8.0792999999999999</v>
      </c>
      <c r="O626">
        <v>46.201000000000001</v>
      </c>
    </row>
    <row r="627" spans="1:15" x14ac:dyDescent="0.25">
      <c r="A627" s="142" t="s">
        <v>2438</v>
      </c>
      <c r="B627" s="142" t="s">
        <v>52</v>
      </c>
      <c r="C627" s="142" t="s">
        <v>2375</v>
      </c>
      <c r="D627">
        <v>1</v>
      </c>
      <c r="E627">
        <v>10</v>
      </c>
      <c r="F627">
        <v>9.9999999999999995E-7</v>
      </c>
      <c r="G627" s="142" t="s">
        <v>6</v>
      </c>
      <c r="H627" s="142" t="s">
        <v>4</v>
      </c>
      <c r="I627">
        <v>4000</v>
      </c>
      <c r="J627">
        <v>8000</v>
      </c>
      <c r="K627" s="142" t="s">
        <v>10</v>
      </c>
      <c r="L627">
        <v>12</v>
      </c>
      <c r="M627">
        <v>46</v>
      </c>
      <c r="N627">
        <v>9.2326999999999995</v>
      </c>
      <c r="O627">
        <v>46.216000000000001</v>
      </c>
    </row>
    <row r="628" spans="1:15" x14ac:dyDescent="0.25">
      <c r="A628" s="142" t="s">
        <v>2439</v>
      </c>
      <c r="B628" s="142" t="s">
        <v>52</v>
      </c>
      <c r="C628" s="142" t="s">
        <v>2375</v>
      </c>
      <c r="D628">
        <v>1</v>
      </c>
      <c r="E628">
        <v>10</v>
      </c>
      <c r="F628">
        <v>9.9999999999999995E-7</v>
      </c>
      <c r="G628" s="142" t="s">
        <v>6</v>
      </c>
      <c r="H628" s="142" t="s">
        <v>4</v>
      </c>
      <c r="I628">
        <v>8000</v>
      </c>
      <c r="J628">
        <v>10000</v>
      </c>
      <c r="K628" s="142" t="s">
        <v>10</v>
      </c>
      <c r="L628">
        <v>44</v>
      </c>
      <c r="M628">
        <v>170</v>
      </c>
      <c r="N628">
        <v>11.541</v>
      </c>
      <c r="O628">
        <v>173.22</v>
      </c>
    </row>
    <row r="629" spans="1:15" x14ac:dyDescent="0.25">
      <c r="A629" s="142" t="s">
        <v>2440</v>
      </c>
      <c r="B629" s="142" t="s">
        <v>52</v>
      </c>
      <c r="C629" s="142" t="s">
        <v>2375</v>
      </c>
      <c r="D629">
        <v>0</v>
      </c>
      <c r="E629">
        <v>0.01</v>
      </c>
      <c r="F629">
        <v>1.0000000000000001E-5</v>
      </c>
      <c r="G629" s="142" t="s">
        <v>6</v>
      </c>
      <c r="H629" s="142" t="s">
        <v>5</v>
      </c>
      <c r="I629">
        <v>1E-3</v>
      </c>
      <c r="J629">
        <v>0.04</v>
      </c>
      <c r="K629" s="142" t="s">
        <v>10</v>
      </c>
      <c r="L629">
        <v>6.7477</v>
      </c>
      <c r="M629">
        <v>229</v>
      </c>
      <c r="N629">
        <v>6.7465999999999999</v>
      </c>
      <c r="O629">
        <v>228.81</v>
      </c>
    </row>
    <row r="630" spans="1:15" x14ac:dyDescent="0.25">
      <c r="A630" s="142" t="s">
        <v>2441</v>
      </c>
      <c r="B630" s="142" t="s">
        <v>52</v>
      </c>
      <c r="C630" s="142" t="s">
        <v>2375</v>
      </c>
      <c r="D630">
        <v>0</v>
      </c>
      <c r="E630">
        <v>0.01</v>
      </c>
      <c r="F630">
        <v>1.0000000000000001E-5</v>
      </c>
      <c r="G630" s="142" t="s">
        <v>6</v>
      </c>
      <c r="H630" s="142" t="s">
        <v>5</v>
      </c>
      <c r="I630">
        <v>0.04</v>
      </c>
      <c r="J630">
        <v>1</v>
      </c>
      <c r="K630" s="142" t="s">
        <v>10</v>
      </c>
      <c r="L630">
        <v>5.9301000000000004</v>
      </c>
      <c r="M630">
        <v>88.623999999999995</v>
      </c>
      <c r="N630">
        <v>5.9288999999999996</v>
      </c>
      <c r="O630">
        <v>88.340999999999994</v>
      </c>
    </row>
    <row r="631" spans="1:15" x14ac:dyDescent="0.25">
      <c r="A631" s="142" t="s">
        <v>2442</v>
      </c>
      <c r="B631" s="142" t="s">
        <v>52</v>
      </c>
      <c r="C631" s="142" t="s">
        <v>2375</v>
      </c>
      <c r="D631">
        <v>0</v>
      </c>
      <c r="E631">
        <v>0.01</v>
      </c>
      <c r="F631">
        <v>1.0000000000000001E-5</v>
      </c>
      <c r="G631" s="142" t="s">
        <v>6</v>
      </c>
      <c r="H631" s="142" t="s">
        <v>5</v>
      </c>
      <c r="I631">
        <v>1</v>
      </c>
      <c r="J631">
        <v>20</v>
      </c>
      <c r="K631" s="142" t="s">
        <v>10</v>
      </c>
      <c r="L631">
        <v>5.9259000000000004</v>
      </c>
      <c r="M631">
        <v>156.27000000000001</v>
      </c>
      <c r="N631">
        <v>5.9246999999999996</v>
      </c>
      <c r="O631">
        <v>156.02000000000001</v>
      </c>
    </row>
    <row r="632" spans="1:15" x14ac:dyDescent="0.25">
      <c r="A632" s="142" t="s">
        <v>2443</v>
      </c>
      <c r="B632" s="142" t="s">
        <v>52</v>
      </c>
      <c r="C632" s="142" t="s">
        <v>2375</v>
      </c>
      <c r="D632">
        <v>0</v>
      </c>
      <c r="E632">
        <v>0.01</v>
      </c>
      <c r="F632">
        <v>1.0000000000000001E-5</v>
      </c>
      <c r="G632" s="142" t="s">
        <v>6</v>
      </c>
      <c r="H632" s="142" t="s">
        <v>5</v>
      </c>
      <c r="I632">
        <v>20</v>
      </c>
      <c r="J632">
        <v>50</v>
      </c>
      <c r="K632" s="142" t="s">
        <v>10</v>
      </c>
      <c r="L632">
        <v>5.8799000000000001</v>
      </c>
      <c r="M632">
        <v>819.18</v>
      </c>
      <c r="N632">
        <v>5.8766999999999996</v>
      </c>
      <c r="O632">
        <v>819.2</v>
      </c>
    </row>
    <row r="633" spans="1:15" x14ac:dyDescent="0.25">
      <c r="A633" s="142" t="s">
        <v>2444</v>
      </c>
      <c r="B633" s="142" t="s">
        <v>52</v>
      </c>
      <c r="C633" s="142" t="s">
        <v>2375</v>
      </c>
      <c r="D633">
        <v>0</v>
      </c>
      <c r="E633">
        <v>0.01</v>
      </c>
      <c r="F633">
        <v>1.0000000000000001E-5</v>
      </c>
      <c r="G633" s="142" t="s">
        <v>6</v>
      </c>
      <c r="H633" s="142" t="s">
        <v>5</v>
      </c>
      <c r="I633">
        <v>50</v>
      </c>
      <c r="J633">
        <v>100</v>
      </c>
      <c r="K633" s="142" t="s">
        <v>10</v>
      </c>
      <c r="L633">
        <v>5.5510000000000002</v>
      </c>
      <c r="M633">
        <v>5384.9</v>
      </c>
      <c r="N633">
        <v>5.5456000000000003</v>
      </c>
      <c r="O633">
        <v>5374.4</v>
      </c>
    </row>
    <row r="634" spans="1:15" x14ac:dyDescent="0.25">
      <c r="A634" s="142" t="s">
        <v>2445</v>
      </c>
      <c r="B634" s="142" t="s">
        <v>52</v>
      </c>
      <c r="C634" s="142" t="s">
        <v>2375</v>
      </c>
      <c r="D634">
        <v>0</v>
      </c>
      <c r="E634">
        <v>0.01</v>
      </c>
      <c r="F634">
        <v>1.0000000000000001E-5</v>
      </c>
      <c r="G634" s="142" t="s">
        <v>6</v>
      </c>
      <c r="H634" s="142" t="s">
        <v>5</v>
      </c>
      <c r="I634">
        <v>100</v>
      </c>
      <c r="J634">
        <v>300</v>
      </c>
      <c r="K634" s="142" t="s">
        <v>10</v>
      </c>
      <c r="L634">
        <v>4.4574999999999996</v>
      </c>
      <c r="M634">
        <v>45977</v>
      </c>
      <c r="N634">
        <v>4.4367999999999999</v>
      </c>
      <c r="O634">
        <v>45979</v>
      </c>
    </row>
    <row r="635" spans="1:15" x14ac:dyDescent="0.25">
      <c r="A635" s="142" t="s">
        <v>2446</v>
      </c>
      <c r="B635" s="142" t="s">
        <v>52</v>
      </c>
      <c r="C635" s="142" t="s">
        <v>2375</v>
      </c>
      <c r="D635">
        <v>0</v>
      </c>
      <c r="E635">
        <v>0.01</v>
      </c>
      <c r="F635">
        <v>1.0000000000000001E-5</v>
      </c>
      <c r="G635" s="142" t="s">
        <v>6</v>
      </c>
      <c r="H635" s="142" t="s">
        <v>5</v>
      </c>
      <c r="I635">
        <v>300</v>
      </c>
      <c r="J635">
        <v>1000</v>
      </c>
      <c r="K635" s="142" t="s">
        <v>10</v>
      </c>
      <c r="L635">
        <v>7.7</v>
      </c>
      <c r="M635">
        <v>46000</v>
      </c>
      <c r="N635">
        <v>7.3646000000000003</v>
      </c>
      <c r="O635">
        <v>46033</v>
      </c>
    </row>
    <row r="636" spans="1:15" x14ac:dyDescent="0.25">
      <c r="A636" s="142" t="s">
        <v>2447</v>
      </c>
      <c r="B636" s="142" t="s">
        <v>52</v>
      </c>
      <c r="C636" s="142" t="s">
        <v>2375</v>
      </c>
      <c r="D636">
        <v>0</v>
      </c>
      <c r="E636">
        <v>0.01</v>
      </c>
      <c r="F636">
        <v>1.0000000000000001E-5</v>
      </c>
      <c r="G636" s="142" t="s">
        <v>6</v>
      </c>
      <c r="H636" s="142" t="s">
        <v>5</v>
      </c>
      <c r="I636">
        <v>1000</v>
      </c>
      <c r="J636">
        <v>4000</v>
      </c>
      <c r="K636" s="142" t="s">
        <v>10</v>
      </c>
      <c r="L636">
        <v>9.2613000000000003</v>
      </c>
      <c r="M636">
        <v>80954</v>
      </c>
      <c r="N636">
        <v>9.1302000000000003</v>
      </c>
      <c r="O636">
        <v>80733</v>
      </c>
    </row>
    <row r="637" spans="1:15" x14ac:dyDescent="0.25">
      <c r="A637" s="142" t="s">
        <v>2448</v>
      </c>
      <c r="B637" s="142" t="s">
        <v>52</v>
      </c>
      <c r="C637" s="142" t="s">
        <v>2375</v>
      </c>
      <c r="D637">
        <v>0</v>
      </c>
      <c r="E637">
        <v>0.01</v>
      </c>
      <c r="F637">
        <v>1.0000000000000001E-5</v>
      </c>
      <c r="G637" s="142" t="s">
        <v>6</v>
      </c>
      <c r="H637" s="142" t="s">
        <v>5</v>
      </c>
      <c r="I637">
        <v>4000</v>
      </c>
      <c r="J637">
        <v>8000</v>
      </c>
      <c r="K637" s="142" t="s">
        <v>10</v>
      </c>
      <c r="L637">
        <v>19</v>
      </c>
      <c r="M637">
        <v>230000</v>
      </c>
      <c r="N637">
        <v>10.666</v>
      </c>
      <c r="O637">
        <v>230810</v>
      </c>
    </row>
    <row r="638" spans="1:15" x14ac:dyDescent="0.25">
      <c r="A638" s="142" t="s">
        <v>2449</v>
      </c>
      <c r="B638" s="142" t="s">
        <v>52</v>
      </c>
      <c r="C638" s="142" t="s">
        <v>2375</v>
      </c>
      <c r="D638">
        <v>0.01</v>
      </c>
      <c r="E638">
        <v>0.1</v>
      </c>
      <c r="F638">
        <v>1.0000000000000001E-5</v>
      </c>
      <c r="G638" s="142" t="s">
        <v>6</v>
      </c>
      <c r="H638" s="142" t="s">
        <v>5</v>
      </c>
      <c r="I638">
        <v>1E-3</v>
      </c>
      <c r="J638">
        <v>0.04</v>
      </c>
      <c r="K638" s="142" t="s">
        <v>10</v>
      </c>
      <c r="L638">
        <v>7.2531999999999996</v>
      </c>
      <c r="M638">
        <v>68.983000000000004</v>
      </c>
      <c r="N638">
        <v>7.2523999999999997</v>
      </c>
      <c r="O638">
        <v>68.971000000000004</v>
      </c>
    </row>
    <row r="639" spans="1:15" x14ac:dyDescent="0.25">
      <c r="A639" s="142" t="s">
        <v>2450</v>
      </c>
      <c r="B639" s="142" t="s">
        <v>52</v>
      </c>
      <c r="C639" s="142" t="s">
        <v>2375</v>
      </c>
      <c r="D639">
        <v>0.01</v>
      </c>
      <c r="E639">
        <v>0.1</v>
      </c>
      <c r="F639">
        <v>1.0000000000000001E-5</v>
      </c>
      <c r="G639" s="142" t="s">
        <v>6</v>
      </c>
      <c r="H639" s="142" t="s">
        <v>5</v>
      </c>
      <c r="I639">
        <v>0.04</v>
      </c>
      <c r="J639">
        <v>1</v>
      </c>
      <c r="K639" s="142" t="s">
        <v>10</v>
      </c>
      <c r="L639">
        <v>5.9669999999999996</v>
      </c>
      <c r="M639">
        <v>61.545000000000002</v>
      </c>
      <c r="N639">
        <v>5.9660000000000002</v>
      </c>
      <c r="O639">
        <v>61.531999999999996</v>
      </c>
    </row>
    <row r="640" spans="1:15" x14ac:dyDescent="0.25">
      <c r="A640" s="142" t="s">
        <v>2451</v>
      </c>
      <c r="B640" s="142" t="s">
        <v>52</v>
      </c>
      <c r="C640" s="142" t="s">
        <v>2375</v>
      </c>
      <c r="D640">
        <v>0.01</v>
      </c>
      <c r="E640">
        <v>0.1</v>
      </c>
      <c r="F640">
        <v>1.0000000000000001E-5</v>
      </c>
      <c r="G640" s="142" t="s">
        <v>6</v>
      </c>
      <c r="H640" s="142" t="s">
        <v>5</v>
      </c>
      <c r="I640">
        <v>1</v>
      </c>
      <c r="J640">
        <v>20</v>
      </c>
      <c r="K640" s="142" t="s">
        <v>10</v>
      </c>
      <c r="L640">
        <v>5.6153000000000004</v>
      </c>
      <c r="M640">
        <v>138.74</v>
      </c>
      <c r="N640">
        <v>5.6143999999999998</v>
      </c>
      <c r="O640">
        <v>138.72999999999999</v>
      </c>
    </row>
    <row r="641" spans="1:15" x14ac:dyDescent="0.25">
      <c r="A641" s="142" t="s">
        <v>2452</v>
      </c>
      <c r="B641" s="142" t="s">
        <v>52</v>
      </c>
      <c r="C641" s="142" t="s">
        <v>2375</v>
      </c>
      <c r="D641">
        <v>0.01</v>
      </c>
      <c r="E641">
        <v>0.1</v>
      </c>
      <c r="F641">
        <v>1.0000000000000001E-5</v>
      </c>
      <c r="G641" s="142" t="s">
        <v>6</v>
      </c>
      <c r="H641" s="142" t="s">
        <v>5</v>
      </c>
      <c r="I641">
        <v>20</v>
      </c>
      <c r="J641">
        <v>50</v>
      </c>
      <c r="K641" s="142" t="s">
        <v>10</v>
      </c>
      <c r="L641">
        <v>4.9328000000000003</v>
      </c>
      <c r="M641">
        <v>325.49</v>
      </c>
      <c r="N641">
        <v>4.9291</v>
      </c>
      <c r="O641">
        <v>325.5</v>
      </c>
    </row>
    <row r="642" spans="1:15" x14ac:dyDescent="0.25">
      <c r="A642" s="142" t="s">
        <v>2453</v>
      </c>
      <c r="B642" s="142" t="s">
        <v>52</v>
      </c>
      <c r="C642" s="142" t="s">
        <v>2375</v>
      </c>
      <c r="D642">
        <v>0.01</v>
      </c>
      <c r="E642">
        <v>0.1</v>
      </c>
      <c r="F642">
        <v>1.0000000000000001E-5</v>
      </c>
      <c r="G642" s="142" t="s">
        <v>6</v>
      </c>
      <c r="H642" s="142" t="s">
        <v>5</v>
      </c>
      <c r="I642">
        <v>50</v>
      </c>
      <c r="J642">
        <v>100</v>
      </c>
      <c r="K642" s="142" t="s">
        <v>10</v>
      </c>
      <c r="L642">
        <v>3.8224999999999998</v>
      </c>
      <c r="M642">
        <v>910.7</v>
      </c>
      <c r="N642">
        <v>3.8142</v>
      </c>
      <c r="O642">
        <v>910.74</v>
      </c>
    </row>
    <row r="643" spans="1:15" x14ac:dyDescent="0.25">
      <c r="A643" s="142" t="s">
        <v>2454</v>
      </c>
      <c r="B643" s="142" t="s">
        <v>52</v>
      </c>
      <c r="C643" s="142" t="s">
        <v>2375</v>
      </c>
      <c r="D643">
        <v>0.01</v>
      </c>
      <c r="E643">
        <v>0.1</v>
      </c>
      <c r="F643">
        <v>1.0000000000000001E-5</v>
      </c>
      <c r="G643" s="142" t="s">
        <v>6</v>
      </c>
      <c r="H643" s="142" t="s">
        <v>5</v>
      </c>
      <c r="I643">
        <v>100</v>
      </c>
      <c r="J643">
        <v>300</v>
      </c>
      <c r="K643" s="142" t="s">
        <v>10</v>
      </c>
      <c r="L643">
        <v>12</v>
      </c>
      <c r="M643">
        <v>3500</v>
      </c>
      <c r="N643">
        <v>11.946</v>
      </c>
      <c r="O643">
        <v>3460.7</v>
      </c>
    </row>
    <row r="644" spans="1:15" x14ac:dyDescent="0.25">
      <c r="A644" s="142" t="s">
        <v>2455</v>
      </c>
      <c r="B644" s="142" t="s">
        <v>52</v>
      </c>
      <c r="C644" s="142" t="s">
        <v>2375</v>
      </c>
      <c r="D644">
        <v>0.01</v>
      </c>
      <c r="E644">
        <v>0.1</v>
      </c>
      <c r="F644">
        <v>1.0000000000000001E-5</v>
      </c>
      <c r="G644" s="142" t="s">
        <v>6</v>
      </c>
      <c r="H644" s="142" t="s">
        <v>5</v>
      </c>
      <c r="I644">
        <v>300</v>
      </c>
      <c r="J644">
        <v>1000</v>
      </c>
      <c r="K644" s="142" t="s">
        <v>10</v>
      </c>
      <c r="L644">
        <v>12</v>
      </c>
      <c r="M644">
        <v>12000</v>
      </c>
      <c r="N644">
        <v>11.702</v>
      </c>
      <c r="O644">
        <v>11546</v>
      </c>
    </row>
    <row r="645" spans="1:15" x14ac:dyDescent="0.25">
      <c r="A645" s="142" t="s">
        <v>2456</v>
      </c>
      <c r="B645" s="142" t="s">
        <v>52</v>
      </c>
      <c r="C645" s="142" t="s">
        <v>2375</v>
      </c>
      <c r="D645">
        <v>0.01</v>
      </c>
      <c r="E645">
        <v>0.1</v>
      </c>
      <c r="F645">
        <v>1.0000000000000001E-5</v>
      </c>
      <c r="G645" s="142" t="s">
        <v>6</v>
      </c>
      <c r="H645" s="142" t="s">
        <v>5</v>
      </c>
      <c r="I645">
        <v>1000</v>
      </c>
      <c r="J645">
        <v>2000</v>
      </c>
      <c r="K645" s="142" t="s">
        <v>10</v>
      </c>
      <c r="L645">
        <v>45</v>
      </c>
      <c r="M645">
        <v>17000</v>
      </c>
      <c r="N645">
        <v>11.662000000000001</v>
      </c>
      <c r="O645">
        <v>17324</v>
      </c>
    </row>
    <row r="646" spans="1:15" x14ac:dyDescent="0.25">
      <c r="A646" s="142" t="s">
        <v>2457</v>
      </c>
      <c r="B646" s="142" t="s">
        <v>52</v>
      </c>
      <c r="C646" s="142" t="s">
        <v>2375</v>
      </c>
      <c r="D646">
        <v>0.01</v>
      </c>
      <c r="E646">
        <v>0.1</v>
      </c>
      <c r="F646">
        <v>1.0000000000000001E-5</v>
      </c>
      <c r="G646" s="142" t="s">
        <v>6</v>
      </c>
      <c r="H646" s="142" t="s">
        <v>5</v>
      </c>
      <c r="I646">
        <v>2000</v>
      </c>
      <c r="J646">
        <v>4000</v>
      </c>
      <c r="K646" s="142" t="s">
        <v>10</v>
      </c>
      <c r="L646">
        <v>100</v>
      </c>
      <c r="M646">
        <v>46000</v>
      </c>
      <c r="N646">
        <v>80.897000000000006</v>
      </c>
      <c r="O646">
        <v>46189</v>
      </c>
    </row>
    <row r="647" spans="1:15" x14ac:dyDescent="0.25">
      <c r="A647" s="142" t="s">
        <v>2458</v>
      </c>
      <c r="B647" s="142" t="s">
        <v>52</v>
      </c>
      <c r="C647" s="142" t="s">
        <v>2375</v>
      </c>
      <c r="D647">
        <v>0.01</v>
      </c>
      <c r="E647">
        <v>0.1</v>
      </c>
      <c r="F647">
        <v>1.0000000000000001E-5</v>
      </c>
      <c r="G647" s="142" t="s">
        <v>6</v>
      </c>
      <c r="H647" s="142" t="s">
        <v>5</v>
      </c>
      <c r="I647">
        <v>4000</v>
      </c>
      <c r="J647">
        <v>8000</v>
      </c>
      <c r="K647" s="142" t="s">
        <v>10</v>
      </c>
      <c r="L647">
        <v>120</v>
      </c>
      <c r="M647">
        <v>46000</v>
      </c>
      <c r="N647">
        <v>92.391000000000005</v>
      </c>
      <c r="O647">
        <v>46199</v>
      </c>
    </row>
    <row r="648" spans="1:15" x14ac:dyDescent="0.25">
      <c r="A648" s="142" t="s">
        <v>2459</v>
      </c>
      <c r="B648" s="142" t="s">
        <v>52</v>
      </c>
      <c r="C648" s="142" t="s">
        <v>2375</v>
      </c>
      <c r="D648">
        <v>0.01</v>
      </c>
      <c r="E648">
        <v>0.1</v>
      </c>
      <c r="F648">
        <v>1.0000000000000001E-5</v>
      </c>
      <c r="G648" s="142" t="s">
        <v>6</v>
      </c>
      <c r="H648" s="142" t="s">
        <v>5</v>
      </c>
      <c r="I648">
        <v>8000</v>
      </c>
      <c r="J648">
        <v>10000</v>
      </c>
      <c r="K648" s="142" t="s">
        <v>10</v>
      </c>
      <c r="L648">
        <v>440</v>
      </c>
      <c r="M648">
        <v>170000</v>
      </c>
      <c r="N648">
        <v>115.91</v>
      </c>
      <c r="O648">
        <v>173210</v>
      </c>
    </row>
    <row r="649" spans="1:15" x14ac:dyDescent="0.25">
      <c r="A649" s="142" t="s">
        <v>2460</v>
      </c>
      <c r="B649" s="142" t="s">
        <v>52</v>
      </c>
      <c r="C649" s="142" t="s">
        <v>2375</v>
      </c>
      <c r="D649">
        <v>0.1</v>
      </c>
      <c r="E649">
        <v>1</v>
      </c>
      <c r="F649">
        <v>1.0000000000000001E-5</v>
      </c>
      <c r="G649" s="142" t="s">
        <v>6</v>
      </c>
      <c r="H649" s="142" t="s">
        <v>5</v>
      </c>
      <c r="I649">
        <v>1E-3</v>
      </c>
      <c r="J649">
        <v>0.04</v>
      </c>
      <c r="K649" s="142" t="s">
        <v>10</v>
      </c>
      <c r="L649">
        <v>47</v>
      </c>
      <c r="M649">
        <v>82</v>
      </c>
      <c r="N649">
        <v>46.496000000000002</v>
      </c>
      <c r="O649">
        <v>81.323999999999998</v>
      </c>
    </row>
    <row r="650" spans="1:15" x14ac:dyDescent="0.25">
      <c r="A650" s="142" t="s">
        <v>2461</v>
      </c>
      <c r="B650" s="142" t="s">
        <v>52</v>
      </c>
      <c r="C650" s="142" t="s">
        <v>2375</v>
      </c>
      <c r="D650">
        <v>0.1</v>
      </c>
      <c r="E650">
        <v>1</v>
      </c>
      <c r="F650">
        <v>1.0000000000000001E-5</v>
      </c>
      <c r="G650" s="142" t="s">
        <v>6</v>
      </c>
      <c r="H650" s="142" t="s">
        <v>5</v>
      </c>
      <c r="I650">
        <v>0.04</v>
      </c>
      <c r="J650">
        <v>1</v>
      </c>
      <c r="K650" s="142" t="s">
        <v>10</v>
      </c>
      <c r="L650">
        <v>24</v>
      </c>
      <c r="M650">
        <v>82</v>
      </c>
      <c r="N650">
        <v>23.684999999999999</v>
      </c>
      <c r="O650">
        <v>81.099000000000004</v>
      </c>
    </row>
    <row r="651" spans="1:15" x14ac:dyDescent="0.25">
      <c r="A651" s="142" t="s">
        <v>2462</v>
      </c>
      <c r="B651" s="142" t="s">
        <v>52</v>
      </c>
      <c r="C651" s="142" t="s">
        <v>2375</v>
      </c>
      <c r="D651">
        <v>0.1</v>
      </c>
      <c r="E651">
        <v>1</v>
      </c>
      <c r="F651">
        <v>1.0000000000000001E-5</v>
      </c>
      <c r="G651" s="142" t="s">
        <v>6</v>
      </c>
      <c r="H651" s="142" t="s">
        <v>5</v>
      </c>
      <c r="I651">
        <v>1</v>
      </c>
      <c r="J651">
        <v>20</v>
      </c>
      <c r="K651" s="142" t="s">
        <v>10</v>
      </c>
      <c r="L651">
        <v>26</v>
      </c>
      <c r="M651">
        <v>160</v>
      </c>
      <c r="N651">
        <v>23.568000000000001</v>
      </c>
      <c r="O651">
        <v>161.81</v>
      </c>
    </row>
    <row r="652" spans="1:15" x14ac:dyDescent="0.25">
      <c r="A652" s="142" t="s">
        <v>2463</v>
      </c>
      <c r="B652" s="142" t="s">
        <v>52</v>
      </c>
      <c r="C652" s="142" t="s">
        <v>2375</v>
      </c>
      <c r="D652">
        <v>0.1</v>
      </c>
      <c r="E652">
        <v>1</v>
      </c>
      <c r="F652">
        <v>1.0000000000000001E-5</v>
      </c>
      <c r="G652" s="142" t="s">
        <v>6</v>
      </c>
      <c r="H652" s="142" t="s">
        <v>5</v>
      </c>
      <c r="I652">
        <v>20</v>
      </c>
      <c r="J652">
        <v>50</v>
      </c>
      <c r="K652" s="142" t="s">
        <v>10</v>
      </c>
      <c r="L652">
        <v>24</v>
      </c>
      <c r="M652">
        <v>350</v>
      </c>
      <c r="N652">
        <v>23.423999999999999</v>
      </c>
      <c r="O652">
        <v>346.52</v>
      </c>
    </row>
    <row r="653" spans="1:15" x14ac:dyDescent="0.25">
      <c r="A653" s="142" t="s">
        <v>2464</v>
      </c>
      <c r="B653" s="142" t="s">
        <v>52</v>
      </c>
      <c r="C653" s="142" t="s">
        <v>2375</v>
      </c>
      <c r="D653">
        <v>0.1</v>
      </c>
      <c r="E653">
        <v>1</v>
      </c>
      <c r="F653">
        <v>1.0000000000000001E-5</v>
      </c>
      <c r="G653" s="142" t="s">
        <v>6</v>
      </c>
      <c r="H653" s="142" t="s">
        <v>5</v>
      </c>
      <c r="I653">
        <v>50</v>
      </c>
      <c r="J653">
        <v>100</v>
      </c>
      <c r="K653" s="142" t="s">
        <v>10</v>
      </c>
      <c r="L653">
        <v>28</v>
      </c>
      <c r="M653">
        <v>920</v>
      </c>
      <c r="N653">
        <v>23.256</v>
      </c>
      <c r="O653">
        <v>923.81</v>
      </c>
    </row>
    <row r="654" spans="1:15" x14ac:dyDescent="0.25">
      <c r="A654" s="142" t="s">
        <v>2465</v>
      </c>
      <c r="B654" s="142" t="s">
        <v>52</v>
      </c>
      <c r="C654" s="142" t="s">
        <v>2375</v>
      </c>
      <c r="D654">
        <v>0.1</v>
      </c>
      <c r="E654">
        <v>1</v>
      </c>
      <c r="F654">
        <v>1.0000000000000001E-5</v>
      </c>
      <c r="G654" s="142" t="s">
        <v>6</v>
      </c>
      <c r="H654" s="142" t="s">
        <v>5</v>
      </c>
      <c r="I654">
        <v>100</v>
      </c>
      <c r="J654">
        <v>300</v>
      </c>
      <c r="K654" s="142" t="s">
        <v>10</v>
      </c>
      <c r="L654">
        <v>120</v>
      </c>
      <c r="M654">
        <v>3500</v>
      </c>
      <c r="N654">
        <v>115.55</v>
      </c>
      <c r="O654">
        <v>3464.2</v>
      </c>
    </row>
    <row r="655" spans="1:15" x14ac:dyDescent="0.25">
      <c r="A655" s="142" t="s">
        <v>2466</v>
      </c>
      <c r="B655" s="142" t="s">
        <v>52</v>
      </c>
      <c r="C655" s="142" t="s">
        <v>2375</v>
      </c>
      <c r="D655">
        <v>0.1</v>
      </c>
      <c r="E655">
        <v>1</v>
      </c>
      <c r="F655">
        <v>1.0000000000000001E-5</v>
      </c>
      <c r="G655" s="142" t="s">
        <v>6</v>
      </c>
      <c r="H655" s="142" t="s">
        <v>5</v>
      </c>
      <c r="I655">
        <v>300</v>
      </c>
      <c r="J655">
        <v>1000</v>
      </c>
      <c r="K655" s="142" t="s">
        <v>10</v>
      </c>
      <c r="L655">
        <v>120</v>
      </c>
      <c r="M655">
        <v>12000</v>
      </c>
      <c r="N655">
        <v>115.21</v>
      </c>
      <c r="O655">
        <v>11550</v>
      </c>
    </row>
    <row r="656" spans="1:15" x14ac:dyDescent="0.25">
      <c r="A656" s="142" t="s">
        <v>2467</v>
      </c>
      <c r="B656" s="142" t="s">
        <v>52</v>
      </c>
      <c r="C656" s="142" t="s">
        <v>2375</v>
      </c>
      <c r="D656">
        <v>0.1</v>
      </c>
      <c r="E656">
        <v>1</v>
      </c>
      <c r="F656">
        <v>1.0000000000000001E-5</v>
      </c>
      <c r="G656" s="142" t="s">
        <v>6</v>
      </c>
      <c r="H656" s="142" t="s">
        <v>5</v>
      </c>
      <c r="I656">
        <v>1000</v>
      </c>
      <c r="J656">
        <v>2000</v>
      </c>
      <c r="K656" s="142" t="s">
        <v>10</v>
      </c>
      <c r="L656">
        <v>450</v>
      </c>
      <c r="M656">
        <v>17000</v>
      </c>
      <c r="N656">
        <v>115.41</v>
      </c>
      <c r="O656">
        <v>17328</v>
      </c>
    </row>
    <row r="657" spans="1:15" x14ac:dyDescent="0.25">
      <c r="A657" s="142" t="s">
        <v>2468</v>
      </c>
      <c r="B657" s="142" t="s">
        <v>52</v>
      </c>
      <c r="C657" s="142" t="s">
        <v>2375</v>
      </c>
      <c r="D657">
        <v>0.1</v>
      </c>
      <c r="E657">
        <v>1</v>
      </c>
      <c r="F657">
        <v>1.0000000000000001E-5</v>
      </c>
      <c r="G657" s="142" t="s">
        <v>6</v>
      </c>
      <c r="H657" s="142" t="s">
        <v>4</v>
      </c>
      <c r="I657">
        <v>2000</v>
      </c>
      <c r="J657">
        <v>4000</v>
      </c>
      <c r="K657" s="142" t="s">
        <v>10</v>
      </c>
      <c r="L657">
        <v>1.1000000000000001</v>
      </c>
      <c r="M657">
        <v>46</v>
      </c>
      <c r="N657">
        <v>0.80817000000000005</v>
      </c>
      <c r="O657">
        <v>46.198999999999998</v>
      </c>
    </row>
    <row r="658" spans="1:15" x14ac:dyDescent="0.25">
      <c r="A658" s="142" t="s">
        <v>2469</v>
      </c>
      <c r="B658" s="142" t="s">
        <v>52</v>
      </c>
      <c r="C658" s="142" t="s">
        <v>2375</v>
      </c>
      <c r="D658">
        <v>0.1</v>
      </c>
      <c r="E658">
        <v>1</v>
      </c>
      <c r="F658">
        <v>1.0000000000000001E-5</v>
      </c>
      <c r="G658" s="142" t="s">
        <v>6</v>
      </c>
      <c r="H658" s="142" t="s">
        <v>4</v>
      </c>
      <c r="I658">
        <v>4000</v>
      </c>
      <c r="J658">
        <v>8000</v>
      </c>
      <c r="K658" s="142" t="s">
        <v>10</v>
      </c>
      <c r="L658">
        <v>1.2</v>
      </c>
      <c r="M658">
        <v>46</v>
      </c>
      <c r="N658">
        <v>0.92361000000000004</v>
      </c>
      <c r="O658">
        <v>46.198999999999998</v>
      </c>
    </row>
    <row r="659" spans="1:15" x14ac:dyDescent="0.25">
      <c r="A659" s="142" t="s">
        <v>2470</v>
      </c>
      <c r="B659" s="142" t="s">
        <v>52</v>
      </c>
      <c r="C659" s="142" t="s">
        <v>2375</v>
      </c>
      <c r="D659">
        <v>0.1</v>
      </c>
      <c r="E659">
        <v>1</v>
      </c>
      <c r="F659">
        <v>1.0000000000000001E-5</v>
      </c>
      <c r="G659" s="142" t="s">
        <v>6</v>
      </c>
      <c r="H659" s="142" t="s">
        <v>4</v>
      </c>
      <c r="I659">
        <v>8000</v>
      </c>
      <c r="J659">
        <v>10000</v>
      </c>
      <c r="K659" s="142" t="s">
        <v>10</v>
      </c>
      <c r="L659">
        <v>4.4000000000000004</v>
      </c>
      <c r="M659">
        <v>170</v>
      </c>
      <c r="N659">
        <v>1.1592</v>
      </c>
      <c r="O659">
        <v>173.21</v>
      </c>
    </row>
    <row r="660" spans="1:15" x14ac:dyDescent="0.25">
      <c r="A660" s="142" t="s">
        <v>2471</v>
      </c>
      <c r="B660" s="142" t="s">
        <v>52</v>
      </c>
      <c r="C660" s="142" t="s">
        <v>2375</v>
      </c>
      <c r="D660">
        <v>1</v>
      </c>
      <c r="E660">
        <v>10</v>
      </c>
      <c r="F660">
        <v>1.0000000000000001E-5</v>
      </c>
      <c r="G660" s="142" t="s">
        <v>6</v>
      </c>
      <c r="H660" s="142" t="s">
        <v>4</v>
      </c>
      <c r="I660">
        <v>1E-3</v>
      </c>
      <c r="J660">
        <v>0.04</v>
      </c>
      <c r="K660" s="142" t="s">
        <v>10</v>
      </c>
      <c r="L660">
        <v>0.47</v>
      </c>
      <c r="M660">
        <v>8.3000000000000004E-2</v>
      </c>
      <c r="N660">
        <v>0.46034999999999998</v>
      </c>
      <c r="O660">
        <v>8.2548999999999997E-2</v>
      </c>
    </row>
    <row r="661" spans="1:15" x14ac:dyDescent="0.25">
      <c r="A661" s="142" t="s">
        <v>2472</v>
      </c>
      <c r="B661" s="142" t="s">
        <v>52</v>
      </c>
      <c r="C661" s="142" t="s">
        <v>2375</v>
      </c>
      <c r="D661">
        <v>1</v>
      </c>
      <c r="E661">
        <v>10</v>
      </c>
      <c r="F661">
        <v>1.0000000000000001E-5</v>
      </c>
      <c r="G661" s="142" t="s">
        <v>6</v>
      </c>
      <c r="H661" s="142" t="s">
        <v>4</v>
      </c>
      <c r="I661">
        <v>0.04</v>
      </c>
      <c r="J661">
        <v>1</v>
      </c>
      <c r="K661" s="142" t="s">
        <v>10</v>
      </c>
      <c r="L661">
        <v>0.24</v>
      </c>
      <c r="M661">
        <v>8.2000000000000003E-2</v>
      </c>
      <c r="N661">
        <v>0.23021</v>
      </c>
      <c r="O661">
        <v>8.1842999999999999E-2</v>
      </c>
    </row>
    <row r="662" spans="1:15" x14ac:dyDescent="0.25">
      <c r="A662" s="142" t="s">
        <v>2473</v>
      </c>
      <c r="B662" s="142" t="s">
        <v>52</v>
      </c>
      <c r="C662" s="142" t="s">
        <v>2375</v>
      </c>
      <c r="D662">
        <v>1</v>
      </c>
      <c r="E662">
        <v>10</v>
      </c>
      <c r="F662">
        <v>1.0000000000000001E-5</v>
      </c>
      <c r="G662" s="142" t="s">
        <v>6</v>
      </c>
      <c r="H662" s="142" t="s">
        <v>4</v>
      </c>
      <c r="I662">
        <v>1</v>
      </c>
      <c r="J662">
        <v>20</v>
      </c>
      <c r="K662" s="142" t="s">
        <v>10</v>
      </c>
      <c r="L662">
        <v>0.26</v>
      </c>
      <c r="M662">
        <v>0.16</v>
      </c>
      <c r="N662">
        <v>0.23066999999999999</v>
      </c>
      <c r="O662">
        <v>0.16222</v>
      </c>
    </row>
    <row r="663" spans="1:15" x14ac:dyDescent="0.25">
      <c r="A663" s="142" t="s">
        <v>2474</v>
      </c>
      <c r="B663" s="142" t="s">
        <v>52</v>
      </c>
      <c r="C663" s="142" t="s">
        <v>2375</v>
      </c>
      <c r="D663">
        <v>1</v>
      </c>
      <c r="E663">
        <v>10</v>
      </c>
      <c r="F663">
        <v>1.0000000000000001E-5</v>
      </c>
      <c r="G663" s="142" t="s">
        <v>6</v>
      </c>
      <c r="H663" s="142" t="s">
        <v>4</v>
      </c>
      <c r="I663">
        <v>20</v>
      </c>
      <c r="J663">
        <v>50</v>
      </c>
      <c r="K663" s="142" t="s">
        <v>10</v>
      </c>
      <c r="L663">
        <v>0.24</v>
      </c>
      <c r="M663">
        <v>0.35</v>
      </c>
      <c r="N663">
        <v>0.23066</v>
      </c>
      <c r="O663">
        <v>0.34698000000000001</v>
      </c>
    </row>
    <row r="664" spans="1:15" x14ac:dyDescent="0.25">
      <c r="A664" s="142" t="s">
        <v>2475</v>
      </c>
      <c r="B664" s="142" t="s">
        <v>52</v>
      </c>
      <c r="C664" s="142" t="s">
        <v>2375</v>
      </c>
      <c r="D664">
        <v>1</v>
      </c>
      <c r="E664">
        <v>10</v>
      </c>
      <c r="F664">
        <v>1.0000000000000001E-5</v>
      </c>
      <c r="G664" s="142" t="s">
        <v>6</v>
      </c>
      <c r="H664" s="142" t="s">
        <v>4</v>
      </c>
      <c r="I664">
        <v>50</v>
      </c>
      <c r="J664">
        <v>100</v>
      </c>
      <c r="K664" s="142" t="s">
        <v>10</v>
      </c>
      <c r="L664">
        <v>0.28000000000000003</v>
      </c>
      <c r="M664">
        <v>0.92</v>
      </c>
      <c r="N664">
        <v>0.23083999999999999</v>
      </c>
      <c r="O664">
        <v>0.92403000000000002</v>
      </c>
    </row>
    <row r="665" spans="1:15" x14ac:dyDescent="0.25">
      <c r="A665" s="142" t="s">
        <v>2476</v>
      </c>
      <c r="B665" s="142" t="s">
        <v>52</v>
      </c>
      <c r="C665" s="142" t="s">
        <v>2375</v>
      </c>
      <c r="D665">
        <v>1</v>
      </c>
      <c r="E665">
        <v>10</v>
      </c>
      <c r="F665">
        <v>1.0000000000000001E-5</v>
      </c>
      <c r="G665" s="142" t="s">
        <v>6</v>
      </c>
      <c r="H665" s="142" t="s">
        <v>4</v>
      </c>
      <c r="I665">
        <v>100</v>
      </c>
      <c r="J665">
        <v>300</v>
      </c>
      <c r="K665" s="142" t="s">
        <v>10</v>
      </c>
      <c r="L665">
        <v>1.2</v>
      </c>
      <c r="M665">
        <v>3.5</v>
      </c>
      <c r="N665">
        <v>1.1545000000000001</v>
      </c>
      <c r="O665">
        <v>3.4643999999999999</v>
      </c>
    </row>
    <row r="666" spans="1:15" x14ac:dyDescent="0.25">
      <c r="A666" s="142" t="s">
        <v>2477</v>
      </c>
      <c r="B666" s="142" t="s">
        <v>52</v>
      </c>
      <c r="C666" s="142" t="s">
        <v>2375</v>
      </c>
      <c r="D666">
        <v>1</v>
      </c>
      <c r="E666">
        <v>10</v>
      </c>
      <c r="F666">
        <v>1.0000000000000001E-5</v>
      </c>
      <c r="G666" s="142" t="s">
        <v>6</v>
      </c>
      <c r="H666" s="142" t="s">
        <v>4</v>
      </c>
      <c r="I666">
        <v>300</v>
      </c>
      <c r="J666">
        <v>1000</v>
      </c>
      <c r="K666" s="142" t="s">
        <v>10</v>
      </c>
      <c r="L666">
        <v>1.2</v>
      </c>
      <c r="M666">
        <v>12</v>
      </c>
      <c r="N666">
        <v>1.1532</v>
      </c>
      <c r="O666">
        <v>11.551</v>
      </c>
    </row>
    <row r="667" spans="1:15" x14ac:dyDescent="0.25">
      <c r="A667" s="142" t="s">
        <v>2478</v>
      </c>
      <c r="B667" s="142" t="s">
        <v>52</v>
      </c>
      <c r="C667" s="142" t="s">
        <v>2375</v>
      </c>
      <c r="D667">
        <v>1</v>
      </c>
      <c r="E667">
        <v>10</v>
      </c>
      <c r="F667">
        <v>1.0000000000000001E-5</v>
      </c>
      <c r="G667" s="142" t="s">
        <v>6</v>
      </c>
      <c r="H667" s="142" t="s">
        <v>4</v>
      </c>
      <c r="I667">
        <v>1000</v>
      </c>
      <c r="J667">
        <v>2000</v>
      </c>
      <c r="K667" s="142" t="s">
        <v>10</v>
      </c>
      <c r="L667">
        <v>4.5999999999999996</v>
      </c>
      <c r="M667">
        <v>17</v>
      </c>
      <c r="N667">
        <v>1.1423000000000001</v>
      </c>
      <c r="O667">
        <v>17.34</v>
      </c>
    </row>
    <row r="668" spans="1:15" x14ac:dyDescent="0.25">
      <c r="A668" s="142" t="s">
        <v>2479</v>
      </c>
      <c r="B668" s="142" t="s">
        <v>52</v>
      </c>
      <c r="C668" s="142" t="s">
        <v>2375</v>
      </c>
      <c r="D668">
        <v>1</v>
      </c>
      <c r="E668">
        <v>10</v>
      </c>
      <c r="F668">
        <v>1.0000000000000001E-5</v>
      </c>
      <c r="G668" s="142" t="s">
        <v>6</v>
      </c>
      <c r="H668" s="142" t="s">
        <v>4</v>
      </c>
      <c r="I668">
        <v>2000</v>
      </c>
      <c r="J668">
        <v>4000</v>
      </c>
      <c r="K668" s="142" t="s">
        <v>10</v>
      </c>
      <c r="L668">
        <v>11</v>
      </c>
      <c r="M668">
        <v>46</v>
      </c>
      <c r="N668">
        <v>8.0793999999999997</v>
      </c>
      <c r="O668">
        <v>46.201000000000001</v>
      </c>
    </row>
    <row r="669" spans="1:15" x14ac:dyDescent="0.25">
      <c r="A669" s="142" t="s">
        <v>2480</v>
      </c>
      <c r="B669" s="142" t="s">
        <v>52</v>
      </c>
      <c r="C669" s="142" t="s">
        <v>2375</v>
      </c>
      <c r="D669">
        <v>1</v>
      </c>
      <c r="E669">
        <v>10</v>
      </c>
      <c r="F669">
        <v>1.0000000000000001E-5</v>
      </c>
      <c r="G669" s="142" t="s">
        <v>6</v>
      </c>
      <c r="H669" s="142" t="s">
        <v>4</v>
      </c>
      <c r="I669">
        <v>4000</v>
      </c>
      <c r="J669">
        <v>8000</v>
      </c>
      <c r="K669" s="142" t="s">
        <v>10</v>
      </c>
      <c r="L669">
        <v>12</v>
      </c>
      <c r="M669">
        <v>46</v>
      </c>
      <c r="N669">
        <v>9.2327999999999992</v>
      </c>
      <c r="O669">
        <v>46.216000000000001</v>
      </c>
    </row>
    <row r="670" spans="1:15" x14ac:dyDescent="0.25">
      <c r="A670" s="142" t="s">
        <v>2481</v>
      </c>
      <c r="B670" s="142" t="s">
        <v>52</v>
      </c>
      <c r="C670" s="142" t="s">
        <v>2375</v>
      </c>
      <c r="D670">
        <v>1</v>
      </c>
      <c r="E670">
        <v>10</v>
      </c>
      <c r="F670">
        <v>1.0000000000000001E-5</v>
      </c>
      <c r="G670" s="142" t="s">
        <v>6</v>
      </c>
      <c r="H670" s="142" t="s">
        <v>4</v>
      </c>
      <c r="I670">
        <v>8000</v>
      </c>
      <c r="J670">
        <v>10000</v>
      </c>
      <c r="K670" s="142" t="s">
        <v>10</v>
      </c>
      <c r="L670">
        <v>44</v>
      </c>
      <c r="M670">
        <v>170</v>
      </c>
      <c r="N670">
        <v>11.541</v>
      </c>
      <c r="O670">
        <v>173.22</v>
      </c>
    </row>
    <row r="671" spans="1:15" x14ac:dyDescent="0.25">
      <c r="A671" s="142" t="s">
        <v>2482</v>
      </c>
      <c r="B671" s="142" t="s">
        <v>52</v>
      </c>
      <c r="C671" s="142" t="s">
        <v>2375</v>
      </c>
      <c r="D671">
        <v>20</v>
      </c>
      <c r="E671">
        <v>100</v>
      </c>
      <c r="F671">
        <v>1.0000000000000001E-5</v>
      </c>
      <c r="G671" s="142" t="s">
        <v>6</v>
      </c>
      <c r="H671" s="142" t="s">
        <v>4</v>
      </c>
      <c r="I671">
        <v>100</v>
      </c>
      <c r="J671">
        <v>300</v>
      </c>
      <c r="K671" s="142" t="s">
        <v>10</v>
      </c>
      <c r="L671">
        <v>15</v>
      </c>
      <c r="M671">
        <v>4.5999999999999996</v>
      </c>
      <c r="N671">
        <v>11.457000000000001</v>
      </c>
      <c r="O671">
        <v>4.6280000000000001</v>
      </c>
    </row>
    <row r="672" spans="1:15" x14ac:dyDescent="0.25">
      <c r="A672" s="142" t="s">
        <v>2483</v>
      </c>
      <c r="B672" s="142" t="s">
        <v>52</v>
      </c>
      <c r="C672" s="142" t="s">
        <v>2375</v>
      </c>
      <c r="D672">
        <v>20</v>
      </c>
      <c r="E672">
        <v>100</v>
      </c>
      <c r="F672">
        <v>1.0000000000000001E-5</v>
      </c>
      <c r="G672" s="142" t="s">
        <v>6</v>
      </c>
      <c r="H672" s="142" t="s">
        <v>4</v>
      </c>
      <c r="I672">
        <v>300</v>
      </c>
      <c r="J672">
        <v>1000</v>
      </c>
      <c r="K672" s="142" t="s">
        <v>10</v>
      </c>
      <c r="L672">
        <v>46</v>
      </c>
      <c r="M672">
        <v>17</v>
      </c>
      <c r="N672">
        <v>11.335000000000001</v>
      </c>
      <c r="O672">
        <v>17.344000000000001</v>
      </c>
    </row>
    <row r="673" spans="1:15" x14ac:dyDescent="0.25">
      <c r="A673" s="142" t="s">
        <v>2484</v>
      </c>
      <c r="B673" s="142" t="s">
        <v>52</v>
      </c>
      <c r="C673" s="142" t="s">
        <v>2375</v>
      </c>
      <c r="D673">
        <v>0</v>
      </c>
      <c r="E673">
        <v>0.01</v>
      </c>
      <c r="F673">
        <v>1E-4</v>
      </c>
      <c r="G673" s="142" t="s">
        <v>6</v>
      </c>
      <c r="H673" s="142" t="s">
        <v>5</v>
      </c>
      <c r="I673">
        <v>1E-3</v>
      </c>
      <c r="J673">
        <v>0.04</v>
      </c>
      <c r="K673" s="142" t="s">
        <v>10</v>
      </c>
      <c r="L673">
        <v>57.841000000000001</v>
      </c>
      <c r="M673">
        <v>31.314</v>
      </c>
      <c r="N673">
        <v>57.84</v>
      </c>
      <c r="O673">
        <v>31.173999999999999</v>
      </c>
    </row>
    <row r="674" spans="1:15" x14ac:dyDescent="0.25">
      <c r="A674" s="142" t="s">
        <v>2485</v>
      </c>
      <c r="B674" s="142" t="s">
        <v>52</v>
      </c>
      <c r="C674" s="142" t="s">
        <v>2375</v>
      </c>
      <c r="D674">
        <v>0</v>
      </c>
      <c r="E674">
        <v>0.01</v>
      </c>
      <c r="F674">
        <v>1E-4</v>
      </c>
      <c r="G674" s="142" t="s">
        <v>6</v>
      </c>
      <c r="H674" s="142" t="s">
        <v>5</v>
      </c>
      <c r="I674">
        <v>0.04</v>
      </c>
      <c r="J674">
        <v>1</v>
      </c>
      <c r="K674" s="142" t="s">
        <v>10</v>
      </c>
      <c r="L674">
        <v>57.752000000000002</v>
      </c>
      <c r="M674">
        <v>9.8841999999999999</v>
      </c>
      <c r="N674">
        <v>57.750999999999998</v>
      </c>
      <c r="O674">
        <v>9.7434999999999992</v>
      </c>
    </row>
    <row r="675" spans="1:15" x14ac:dyDescent="0.25">
      <c r="A675" s="142" t="s">
        <v>2486</v>
      </c>
      <c r="B675" s="142" t="s">
        <v>52</v>
      </c>
      <c r="C675" s="142" t="s">
        <v>2375</v>
      </c>
      <c r="D675">
        <v>0</v>
      </c>
      <c r="E675">
        <v>0.01</v>
      </c>
      <c r="F675">
        <v>1E-4</v>
      </c>
      <c r="G675" s="142" t="s">
        <v>6</v>
      </c>
      <c r="H675" s="142" t="s">
        <v>5</v>
      </c>
      <c r="I675">
        <v>1</v>
      </c>
      <c r="J675">
        <v>20</v>
      </c>
      <c r="K675" s="142" t="s">
        <v>10</v>
      </c>
      <c r="L675">
        <v>57.750999999999998</v>
      </c>
      <c r="M675">
        <v>18.247</v>
      </c>
      <c r="N675">
        <v>57.750999999999998</v>
      </c>
      <c r="O675">
        <v>18.106000000000002</v>
      </c>
    </row>
    <row r="676" spans="1:15" x14ac:dyDescent="0.25">
      <c r="A676" s="142" t="s">
        <v>2487</v>
      </c>
      <c r="B676" s="142" t="s">
        <v>52</v>
      </c>
      <c r="C676" s="142" t="s">
        <v>2375</v>
      </c>
      <c r="D676">
        <v>0</v>
      </c>
      <c r="E676">
        <v>0.01</v>
      </c>
      <c r="F676">
        <v>1E-4</v>
      </c>
      <c r="G676" s="142" t="s">
        <v>6</v>
      </c>
      <c r="H676" s="142" t="s">
        <v>5</v>
      </c>
      <c r="I676">
        <v>20</v>
      </c>
      <c r="J676">
        <v>50</v>
      </c>
      <c r="K676" s="142" t="s">
        <v>10</v>
      </c>
      <c r="L676">
        <v>57.741999999999997</v>
      </c>
      <c r="M676">
        <v>140.5</v>
      </c>
      <c r="N676">
        <v>57.74</v>
      </c>
      <c r="O676">
        <v>140.35</v>
      </c>
    </row>
    <row r="677" spans="1:15" x14ac:dyDescent="0.25">
      <c r="A677" s="142" t="s">
        <v>2488</v>
      </c>
      <c r="B677" s="142" t="s">
        <v>52</v>
      </c>
      <c r="C677" s="142" t="s">
        <v>2375</v>
      </c>
      <c r="D677">
        <v>0</v>
      </c>
      <c r="E677">
        <v>0.01</v>
      </c>
      <c r="F677">
        <v>1E-4</v>
      </c>
      <c r="G677" s="142" t="s">
        <v>6</v>
      </c>
      <c r="H677" s="142" t="s">
        <v>5</v>
      </c>
      <c r="I677">
        <v>50</v>
      </c>
      <c r="J677">
        <v>100</v>
      </c>
      <c r="K677" s="142" t="s">
        <v>10</v>
      </c>
      <c r="L677">
        <v>57.52</v>
      </c>
      <c r="M677">
        <v>2504.3000000000002</v>
      </c>
      <c r="N677">
        <v>57.517000000000003</v>
      </c>
      <c r="O677">
        <v>2503.8000000000002</v>
      </c>
    </row>
    <row r="678" spans="1:15" x14ac:dyDescent="0.25">
      <c r="A678" s="142" t="s">
        <v>2489</v>
      </c>
      <c r="B678" s="142" t="s">
        <v>52</v>
      </c>
      <c r="C678" s="142" t="s">
        <v>2375</v>
      </c>
      <c r="D678">
        <v>0</v>
      </c>
      <c r="E678">
        <v>0.01</v>
      </c>
      <c r="F678">
        <v>1E-4</v>
      </c>
      <c r="G678" s="142" t="s">
        <v>6</v>
      </c>
      <c r="H678" s="142" t="s">
        <v>5</v>
      </c>
      <c r="I678">
        <v>100</v>
      </c>
      <c r="J678">
        <v>300</v>
      </c>
      <c r="K678" s="142" t="s">
        <v>10</v>
      </c>
      <c r="L678">
        <v>54.026000000000003</v>
      </c>
      <c r="M678">
        <v>41375</v>
      </c>
      <c r="N678">
        <v>54.017000000000003</v>
      </c>
      <c r="O678">
        <v>41375</v>
      </c>
    </row>
    <row r="679" spans="1:15" x14ac:dyDescent="0.25">
      <c r="A679" s="142" t="s">
        <v>2490</v>
      </c>
      <c r="B679" s="142" t="s">
        <v>52</v>
      </c>
      <c r="C679" s="142" t="s">
        <v>2375</v>
      </c>
      <c r="D679">
        <v>0</v>
      </c>
      <c r="E679">
        <v>0.01</v>
      </c>
      <c r="F679">
        <v>1E-4</v>
      </c>
      <c r="G679" s="142" t="s">
        <v>6</v>
      </c>
      <c r="H679" s="142" t="s">
        <v>5</v>
      </c>
      <c r="I679">
        <v>300</v>
      </c>
      <c r="J679">
        <v>1000</v>
      </c>
      <c r="K679" s="142" t="s">
        <v>10</v>
      </c>
      <c r="L679">
        <v>54.524000000000001</v>
      </c>
      <c r="M679">
        <v>41669</v>
      </c>
      <c r="N679">
        <v>54.512999999999998</v>
      </c>
      <c r="O679">
        <v>41670</v>
      </c>
    </row>
    <row r="680" spans="1:15" x14ac:dyDescent="0.25">
      <c r="A680" s="142" t="s">
        <v>2491</v>
      </c>
      <c r="B680" s="142" t="s">
        <v>52</v>
      </c>
      <c r="C680" s="142" t="s">
        <v>2375</v>
      </c>
      <c r="D680">
        <v>0</v>
      </c>
      <c r="E680">
        <v>0.01</v>
      </c>
      <c r="F680">
        <v>1E-4</v>
      </c>
      <c r="G680" s="142" t="s">
        <v>6</v>
      </c>
      <c r="H680" s="142" t="s">
        <v>5</v>
      </c>
      <c r="I680">
        <v>1000</v>
      </c>
      <c r="J680">
        <v>4000</v>
      </c>
      <c r="K680" s="142" t="s">
        <v>10</v>
      </c>
      <c r="L680">
        <v>52.48</v>
      </c>
      <c r="M680">
        <v>76632</v>
      </c>
      <c r="N680">
        <v>52.305999999999997</v>
      </c>
      <c r="O680">
        <v>76617</v>
      </c>
    </row>
    <row r="681" spans="1:15" x14ac:dyDescent="0.25">
      <c r="A681" s="142" t="s">
        <v>2492</v>
      </c>
      <c r="B681" s="142" t="s">
        <v>52</v>
      </c>
      <c r="C681" s="142" t="s">
        <v>2375</v>
      </c>
      <c r="D681">
        <v>0</v>
      </c>
      <c r="E681">
        <v>0.01</v>
      </c>
      <c r="F681">
        <v>1E-4</v>
      </c>
      <c r="G681" s="142" t="s">
        <v>6</v>
      </c>
      <c r="H681" s="142" t="s">
        <v>5</v>
      </c>
      <c r="I681">
        <v>4000</v>
      </c>
      <c r="J681">
        <v>8000</v>
      </c>
      <c r="K681" s="142" t="s">
        <v>10</v>
      </c>
      <c r="L681">
        <v>44.283000000000001</v>
      </c>
      <c r="M681">
        <v>227520</v>
      </c>
      <c r="N681">
        <v>43.869</v>
      </c>
      <c r="O681">
        <v>227560</v>
      </c>
    </row>
    <row r="682" spans="1:15" x14ac:dyDescent="0.25">
      <c r="A682" s="142" t="s">
        <v>2493</v>
      </c>
      <c r="B682" s="142" t="s">
        <v>52</v>
      </c>
      <c r="C682" s="142" t="s">
        <v>2375</v>
      </c>
      <c r="D682">
        <v>0.01</v>
      </c>
      <c r="E682">
        <v>0.1</v>
      </c>
      <c r="F682">
        <v>1E-4</v>
      </c>
      <c r="G682" s="142" t="s">
        <v>6</v>
      </c>
      <c r="H682" s="142" t="s">
        <v>5</v>
      </c>
      <c r="I682">
        <v>1E-3</v>
      </c>
      <c r="J682">
        <v>0.04</v>
      </c>
      <c r="K682" s="142" t="s">
        <v>10</v>
      </c>
      <c r="L682">
        <v>57.863</v>
      </c>
      <c r="M682">
        <v>13.021000000000001</v>
      </c>
      <c r="N682">
        <v>57.862000000000002</v>
      </c>
      <c r="O682">
        <v>13.006</v>
      </c>
    </row>
    <row r="683" spans="1:15" x14ac:dyDescent="0.25">
      <c r="A683" s="142" t="s">
        <v>2494</v>
      </c>
      <c r="B683" s="142" t="s">
        <v>52</v>
      </c>
      <c r="C683" s="142" t="s">
        <v>2375</v>
      </c>
      <c r="D683">
        <v>0.01</v>
      </c>
      <c r="E683">
        <v>0.1</v>
      </c>
      <c r="F683">
        <v>1E-4</v>
      </c>
      <c r="G683" s="142" t="s">
        <v>6</v>
      </c>
      <c r="H683" s="142" t="s">
        <v>5</v>
      </c>
      <c r="I683">
        <v>0.04</v>
      </c>
      <c r="J683">
        <v>1</v>
      </c>
      <c r="K683" s="142" t="s">
        <v>10</v>
      </c>
      <c r="L683">
        <v>57.722999999999999</v>
      </c>
      <c r="M683">
        <v>9.8899000000000008</v>
      </c>
      <c r="N683">
        <v>57.722999999999999</v>
      </c>
      <c r="O683">
        <v>9.8742999999999999</v>
      </c>
    </row>
    <row r="684" spans="1:15" x14ac:dyDescent="0.25">
      <c r="A684" s="142" t="s">
        <v>2495</v>
      </c>
      <c r="B684" s="142" t="s">
        <v>52</v>
      </c>
      <c r="C684" s="142" t="s">
        <v>2375</v>
      </c>
      <c r="D684">
        <v>0.01</v>
      </c>
      <c r="E684">
        <v>0.1</v>
      </c>
      <c r="F684">
        <v>1E-4</v>
      </c>
      <c r="G684" s="142" t="s">
        <v>6</v>
      </c>
      <c r="H684" s="142" t="s">
        <v>5</v>
      </c>
      <c r="I684">
        <v>1</v>
      </c>
      <c r="J684">
        <v>20</v>
      </c>
      <c r="K684" s="142" t="s">
        <v>10</v>
      </c>
      <c r="L684">
        <v>57.561999999999998</v>
      </c>
      <c r="M684">
        <v>31.018000000000001</v>
      </c>
      <c r="N684">
        <v>57.561</v>
      </c>
      <c r="O684">
        <v>31.003</v>
      </c>
    </row>
    <row r="685" spans="1:15" x14ac:dyDescent="0.25">
      <c r="A685" s="142" t="s">
        <v>2496</v>
      </c>
      <c r="B685" s="142" t="s">
        <v>52</v>
      </c>
      <c r="C685" s="142" t="s">
        <v>2375</v>
      </c>
      <c r="D685">
        <v>0.01</v>
      </c>
      <c r="E685">
        <v>0.1</v>
      </c>
      <c r="F685">
        <v>1E-4</v>
      </c>
      <c r="G685" s="142" t="s">
        <v>6</v>
      </c>
      <c r="H685" s="142" t="s">
        <v>5</v>
      </c>
      <c r="I685">
        <v>20</v>
      </c>
      <c r="J685">
        <v>50</v>
      </c>
      <c r="K685" s="142" t="s">
        <v>10</v>
      </c>
      <c r="L685">
        <v>56.853999999999999</v>
      </c>
      <c r="M685">
        <v>117.43</v>
      </c>
      <c r="N685">
        <v>56.851999999999997</v>
      </c>
      <c r="O685">
        <v>117.39</v>
      </c>
    </row>
    <row r="686" spans="1:15" x14ac:dyDescent="0.25">
      <c r="A686" s="142" t="s">
        <v>2497</v>
      </c>
      <c r="B686" s="142" t="s">
        <v>52</v>
      </c>
      <c r="C686" s="142" t="s">
        <v>2375</v>
      </c>
      <c r="D686">
        <v>0.01</v>
      </c>
      <c r="E686">
        <v>0.1</v>
      </c>
      <c r="F686">
        <v>1E-4</v>
      </c>
      <c r="G686" s="142" t="s">
        <v>6</v>
      </c>
      <c r="H686" s="142" t="s">
        <v>5</v>
      </c>
      <c r="I686">
        <v>50</v>
      </c>
      <c r="J686">
        <v>100</v>
      </c>
      <c r="K686" s="142" t="s">
        <v>10</v>
      </c>
      <c r="L686">
        <v>53.104999999999997</v>
      </c>
      <c r="M686">
        <v>578.32000000000005</v>
      </c>
      <c r="N686">
        <v>53.098999999999997</v>
      </c>
      <c r="O686">
        <v>578.24</v>
      </c>
    </row>
    <row r="687" spans="1:15" x14ac:dyDescent="0.25">
      <c r="A687" s="142" t="s">
        <v>2498</v>
      </c>
      <c r="B687" s="142" t="s">
        <v>52</v>
      </c>
      <c r="C687" s="142" t="s">
        <v>2375</v>
      </c>
      <c r="D687">
        <v>0.01</v>
      </c>
      <c r="E687">
        <v>0.1</v>
      </c>
      <c r="F687">
        <v>1E-4</v>
      </c>
      <c r="G687" s="142" t="s">
        <v>6</v>
      </c>
      <c r="H687" s="142" t="s">
        <v>5</v>
      </c>
      <c r="I687">
        <v>100</v>
      </c>
      <c r="J687">
        <v>300</v>
      </c>
      <c r="K687" s="142" t="s">
        <v>10</v>
      </c>
      <c r="L687">
        <v>41.896999999999998</v>
      </c>
      <c r="M687">
        <v>3207.1</v>
      </c>
      <c r="N687">
        <v>41.872</v>
      </c>
      <c r="O687">
        <v>3207.2</v>
      </c>
    </row>
    <row r="688" spans="1:15" x14ac:dyDescent="0.25">
      <c r="A688" s="142" t="s">
        <v>2499</v>
      </c>
      <c r="B688" s="142" t="s">
        <v>52</v>
      </c>
      <c r="C688" s="142" t="s">
        <v>2375</v>
      </c>
      <c r="D688">
        <v>0.01</v>
      </c>
      <c r="E688">
        <v>0.1</v>
      </c>
      <c r="F688">
        <v>1E-4</v>
      </c>
      <c r="G688" s="142" t="s">
        <v>6</v>
      </c>
      <c r="H688" s="142" t="s">
        <v>5</v>
      </c>
      <c r="I688">
        <v>300</v>
      </c>
      <c r="J688">
        <v>1000</v>
      </c>
      <c r="K688" s="142" t="s">
        <v>10</v>
      </c>
      <c r="L688">
        <v>20.416</v>
      </c>
      <c r="M688">
        <v>11916</v>
      </c>
      <c r="N688">
        <v>25.295999999999999</v>
      </c>
      <c r="O688">
        <v>11424</v>
      </c>
    </row>
    <row r="689" spans="1:15" x14ac:dyDescent="0.25">
      <c r="A689" s="142" t="s">
        <v>2500</v>
      </c>
      <c r="B689" s="142" t="s">
        <v>52</v>
      </c>
      <c r="C689" s="142" t="s">
        <v>2375</v>
      </c>
      <c r="D689">
        <v>0.01</v>
      </c>
      <c r="E689">
        <v>0.1</v>
      </c>
      <c r="F689">
        <v>1E-4</v>
      </c>
      <c r="G689" s="142" t="s">
        <v>6</v>
      </c>
      <c r="H689" s="142" t="s">
        <v>5</v>
      </c>
      <c r="I689">
        <v>1000</v>
      </c>
      <c r="J689">
        <v>2000</v>
      </c>
      <c r="K689" s="142" t="s">
        <v>10</v>
      </c>
      <c r="L689">
        <v>45.031999999999996</v>
      </c>
      <c r="M689">
        <v>17000</v>
      </c>
      <c r="N689">
        <v>21.288</v>
      </c>
      <c r="O689">
        <v>17237</v>
      </c>
    </row>
    <row r="690" spans="1:15" x14ac:dyDescent="0.25">
      <c r="A690" s="142" t="s">
        <v>2501</v>
      </c>
      <c r="B690" s="142" t="s">
        <v>52</v>
      </c>
      <c r="C690" s="142" t="s">
        <v>2375</v>
      </c>
      <c r="D690">
        <v>0.01</v>
      </c>
      <c r="E690">
        <v>0.1</v>
      </c>
      <c r="F690">
        <v>1E-4</v>
      </c>
      <c r="G690" s="142" t="s">
        <v>6</v>
      </c>
      <c r="H690" s="142" t="s">
        <v>5</v>
      </c>
      <c r="I690">
        <v>2000</v>
      </c>
      <c r="J690">
        <v>4000</v>
      </c>
      <c r="K690" s="142" t="s">
        <v>10</v>
      </c>
      <c r="L690">
        <v>100</v>
      </c>
      <c r="M690">
        <v>46003</v>
      </c>
      <c r="N690">
        <v>84.191999999999993</v>
      </c>
      <c r="O690">
        <v>46160</v>
      </c>
    </row>
    <row r="691" spans="1:15" x14ac:dyDescent="0.25">
      <c r="A691" s="142" t="s">
        <v>2502</v>
      </c>
      <c r="B691" s="142" t="s">
        <v>52</v>
      </c>
      <c r="C691" s="142" t="s">
        <v>2375</v>
      </c>
      <c r="D691">
        <v>0.01</v>
      </c>
      <c r="E691">
        <v>0.1</v>
      </c>
      <c r="F691">
        <v>1E-4</v>
      </c>
      <c r="G691" s="142" t="s">
        <v>6</v>
      </c>
      <c r="H691" s="142" t="s">
        <v>5</v>
      </c>
      <c r="I691">
        <v>4000</v>
      </c>
      <c r="J691">
        <v>8000</v>
      </c>
      <c r="K691" s="142" t="s">
        <v>10</v>
      </c>
      <c r="L691">
        <v>120</v>
      </c>
      <c r="M691">
        <v>46000</v>
      </c>
      <c r="N691">
        <v>95.649000000000001</v>
      </c>
      <c r="O691">
        <v>46170</v>
      </c>
    </row>
    <row r="692" spans="1:15" x14ac:dyDescent="0.25">
      <c r="A692" s="142" t="s">
        <v>2503</v>
      </c>
      <c r="B692" s="142" t="s">
        <v>52</v>
      </c>
      <c r="C692" s="142" t="s">
        <v>2375</v>
      </c>
      <c r="D692">
        <v>0.01</v>
      </c>
      <c r="E692">
        <v>0.1</v>
      </c>
      <c r="F692">
        <v>1E-4</v>
      </c>
      <c r="G692" s="142" t="s">
        <v>6</v>
      </c>
      <c r="H692" s="142" t="s">
        <v>5</v>
      </c>
      <c r="I692">
        <v>8000</v>
      </c>
      <c r="J692">
        <v>10000</v>
      </c>
      <c r="K692" s="142" t="s">
        <v>10</v>
      </c>
      <c r="L692">
        <v>440</v>
      </c>
      <c r="M692">
        <v>170000</v>
      </c>
      <c r="N692">
        <v>117.01</v>
      </c>
      <c r="O692">
        <v>173200</v>
      </c>
    </row>
    <row r="693" spans="1:15" x14ac:dyDescent="0.25">
      <c r="A693" s="142" t="s">
        <v>2504</v>
      </c>
      <c r="B693" s="142" t="s">
        <v>52</v>
      </c>
      <c r="C693" s="142" t="s">
        <v>2375</v>
      </c>
      <c r="D693">
        <v>0.1</v>
      </c>
      <c r="E693">
        <v>1</v>
      </c>
      <c r="F693">
        <v>1E-4</v>
      </c>
      <c r="G693" s="142" t="s">
        <v>6</v>
      </c>
      <c r="H693" s="142" t="s">
        <v>5</v>
      </c>
      <c r="I693">
        <v>1E-3</v>
      </c>
      <c r="J693">
        <v>0.04</v>
      </c>
      <c r="K693" s="142" t="s">
        <v>10</v>
      </c>
      <c r="L693">
        <v>72.52</v>
      </c>
      <c r="M693">
        <v>67.63</v>
      </c>
      <c r="N693">
        <v>72.510999999999996</v>
      </c>
      <c r="O693">
        <v>67.625</v>
      </c>
    </row>
    <row r="694" spans="1:15" x14ac:dyDescent="0.25">
      <c r="A694" s="142" t="s">
        <v>2505</v>
      </c>
      <c r="B694" s="142" t="s">
        <v>52</v>
      </c>
      <c r="C694" s="142" t="s">
        <v>2375</v>
      </c>
      <c r="D694">
        <v>0.1</v>
      </c>
      <c r="E694">
        <v>1</v>
      </c>
      <c r="F694">
        <v>1E-4</v>
      </c>
      <c r="G694" s="142" t="s">
        <v>6</v>
      </c>
      <c r="H694" s="142" t="s">
        <v>5</v>
      </c>
      <c r="I694">
        <v>0.04</v>
      </c>
      <c r="J694">
        <v>1</v>
      </c>
      <c r="K694" s="142" t="s">
        <v>10</v>
      </c>
      <c r="L694">
        <v>59.686999999999998</v>
      </c>
      <c r="M694">
        <v>59.828000000000003</v>
      </c>
      <c r="N694">
        <v>59.676000000000002</v>
      </c>
      <c r="O694">
        <v>59.822000000000003</v>
      </c>
    </row>
    <row r="695" spans="1:15" x14ac:dyDescent="0.25">
      <c r="A695" s="142" t="s">
        <v>2506</v>
      </c>
      <c r="B695" s="142" t="s">
        <v>52</v>
      </c>
      <c r="C695" s="142" t="s">
        <v>2375</v>
      </c>
      <c r="D695">
        <v>0.1</v>
      </c>
      <c r="E695">
        <v>1</v>
      </c>
      <c r="F695">
        <v>1E-4</v>
      </c>
      <c r="G695" s="142" t="s">
        <v>6</v>
      </c>
      <c r="H695" s="142" t="s">
        <v>5</v>
      </c>
      <c r="I695">
        <v>1</v>
      </c>
      <c r="J695">
        <v>20</v>
      </c>
      <c r="K695" s="142" t="s">
        <v>10</v>
      </c>
      <c r="L695">
        <v>56.082000000000001</v>
      </c>
      <c r="M695">
        <v>138.03</v>
      </c>
      <c r="N695">
        <v>56.055</v>
      </c>
      <c r="O695">
        <v>138.02000000000001</v>
      </c>
    </row>
    <row r="696" spans="1:15" x14ac:dyDescent="0.25">
      <c r="A696" s="142" t="s">
        <v>2507</v>
      </c>
      <c r="B696" s="142" t="s">
        <v>52</v>
      </c>
      <c r="C696" s="142" t="s">
        <v>2375</v>
      </c>
      <c r="D696">
        <v>0.1</v>
      </c>
      <c r="E696">
        <v>1</v>
      </c>
      <c r="F696">
        <v>1E-4</v>
      </c>
      <c r="G696" s="142" t="s">
        <v>6</v>
      </c>
      <c r="H696" s="142" t="s">
        <v>5</v>
      </c>
      <c r="I696">
        <v>20</v>
      </c>
      <c r="J696">
        <v>50</v>
      </c>
      <c r="K696" s="142" t="s">
        <v>10</v>
      </c>
      <c r="L696">
        <v>49.255000000000003</v>
      </c>
      <c r="M696">
        <v>325.17</v>
      </c>
      <c r="N696">
        <v>49.167000000000002</v>
      </c>
      <c r="O696">
        <v>325.20999999999998</v>
      </c>
    </row>
    <row r="697" spans="1:15" x14ac:dyDescent="0.25">
      <c r="A697" s="142" t="s">
        <v>2508</v>
      </c>
      <c r="B697" s="142" t="s">
        <v>52</v>
      </c>
      <c r="C697" s="142" t="s">
        <v>2375</v>
      </c>
      <c r="D697">
        <v>0.1</v>
      </c>
      <c r="E697">
        <v>1</v>
      </c>
      <c r="F697">
        <v>1E-4</v>
      </c>
      <c r="G697" s="142" t="s">
        <v>6</v>
      </c>
      <c r="H697" s="142" t="s">
        <v>5</v>
      </c>
      <c r="I697">
        <v>50</v>
      </c>
      <c r="J697">
        <v>100</v>
      </c>
      <c r="K697" s="142" t="s">
        <v>10</v>
      </c>
      <c r="L697">
        <v>38.198</v>
      </c>
      <c r="M697">
        <v>910.65</v>
      </c>
      <c r="N697">
        <v>38.045000000000002</v>
      </c>
      <c r="O697">
        <v>910.76</v>
      </c>
    </row>
    <row r="698" spans="1:15" x14ac:dyDescent="0.25">
      <c r="A698" s="142" t="s">
        <v>2509</v>
      </c>
      <c r="B698" s="142" t="s">
        <v>52</v>
      </c>
      <c r="C698" s="142" t="s">
        <v>2375</v>
      </c>
      <c r="D698">
        <v>0.1</v>
      </c>
      <c r="E698">
        <v>1</v>
      </c>
      <c r="F698">
        <v>1E-4</v>
      </c>
      <c r="G698" s="142" t="s">
        <v>6</v>
      </c>
      <c r="H698" s="142" t="s">
        <v>5</v>
      </c>
      <c r="I698">
        <v>100</v>
      </c>
      <c r="J698">
        <v>300</v>
      </c>
      <c r="K698" s="142" t="s">
        <v>10</v>
      </c>
      <c r="L698">
        <v>120</v>
      </c>
      <c r="M698">
        <v>3500</v>
      </c>
      <c r="N698">
        <v>119.41</v>
      </c>
      <c r="O698">
        <v>3460.8</v>
      </c>
    </row>
    <row r="699" spans="1:15" x14ac:dyDescent="0.25">
      <c r="A699" s="142" t="s">
        <v>2510</v>
      </c>
      <c r="B699" s="142" t="s">
        <v>52</v>
      </c>
      <c r="C699" s="142" t="s">
        <v>2375</v>
      </c>
      <c r="D699">
        <v>0.1</v>
      </c>
      <c r="E699">
        <v>1</v>
      </c>
      <c r="F699">
        <v>1E-4</v>
      </c>
      <c r="G699" s="142" t="s">
        <v>6</v>
      </c>
      <c r="H699" s="142" t="s">
        <v>5</v>
      </c>
      <c r="I699">
        <v>300</v>
      </c>
      <c r="J699">
        <v>1000</v>
      </c>
      <c r="K699" s="142" t="s">
        <v>10</v>
      </c>
      <c r="L699">
        <v>120</v>
      </c>
      <c r="M699">
        <v>12000</v>
      </c>
      <c r="N699">
        <v>116.6</v>
      </c>
      <c r="O699">
        <v>11549</v>
      </c>
    </row>
    <row r="700" spans="1:15" x14ac:dyDescent="0.25">
      <c r="A700" s="142" t="s">
        <v>2511</v>
      </c>
      <c r="B700" s="142" t="s">
        <v>52</v>
      </c>
      <c r="C700" s="142" t="s">
        <v>2375</v>
      </c>
      <c r="D700">
        <v>0.1</v>
      </c>
      <c r="E700">
        <v>1</v>
      </c>
      <c r="F700">
        <v>1E-4</v>
      </c>
      <c r="G700" s="142" t="s">
        <v>6</v>
      </c>
      <c r="H700" s="142" t="s">
        <v>5</v>
      </c>
      <c r="I700">
        <v>1000</v>
      </c>
      <c r="J700">
        <v>2000</v>
      </c>
      <c r="K700" s="142" t="s">
        <v>10</v>
      </c>
      <c r="L700">
        <v>450</v>
      </c>
      <c r="M700">
        <v>17000</v>
      </c>
      <c r="N700">
        <v>116.51</v>
      </c>
      <c r="O700">
        <v>17327</v>
      </c>
    </row>
    <row r="701" spans="1:15" x14ac:dyDescent="0.25">
      <c r="A701" s="142" t="s">
        <v>2512</v>
      </c>
      <c r="B701" s="142" t="s">
        <v>52</v>
      </c>
      <c r="C701" s="142" t="s">
        <v>2375</v>
      </c>
      <c r="D701">
        <v>0.1</v>
      </c>
      <c r="E701">
        <v>1</v>
      </c>
      <c r="F701">
        <v>1E-4</v>
      </c>
      <c r="G701" s="142" t="s">
        <v>6</v>
      </c>
      <c r="H701" s="142" t="s">
        <v>4</v>
      </c>
      <c r="I701">
        <v>2000</v>
      </c>
      <c r="J701">
        <v>4000</v>
      </c>
      <c r="K701" s="142" t="s">
        <v>10</v>
      </c>
      <c r="L701">
        <v>1.1000000000000001</v>
      </c>
      <c r="M701">
        <v>46</v>
      </c>
      <c r="N701">
        <v>0.80845999999999996</v>
      </c>
      <c r="O701">
        <v>46.198999999999998</v>
      </c>
    </row>
    <row r="702" spans="1:15" x14ac:dyDescent="0.25">
      <c r="A702" s="142" t="s">
        <v>2513</v>
      </c>
      <c r="B702" s="142" t="s">
        <v>52</v>
      </c>
      <c r="C702" s="142" t="s">
        <v>2375</v>
      </c>
      <c r="D702">
        <v>0.1</v>
      </c>
      <c r="E702">
        <v>1</v>
      </c>
      <c r="F702">
        <v>1E-4</v>
      </c>
      <c r="G702" s="142" t="s">
        <v>6</v>
      </c>
      <c r="H702" s="142" t="s">
        <v>4</v>
      </c>
      <c r="I702">
        <v>4000</v>
      </c>
      <c r="J702">
        <v>8000</v>
      </c>
      <c r="K702" s="142" t="s">
        <v>10</v>
      </c>
      <c r="L702">
        <v>1.2</v>
      </c>
      <c r="M702">
        <v>46</v>
      </c>
      <c r="N702">
        <v>0.92391000000000001</v>
      </c>
      <c r="O702">
        <v>46.198999999999998</v>
      </c>
    </row>
    <row r="703" spans="1:15" x14ac:dyDescent="0.25">
      <c r="A703" s="142" t="s">
        <v>2514</v>
      </c>
      <c r="B703" s="142" t="s">
        <v>52</v>
      </c>
      <c r="C703" s="142" t="s">
        <v>2375</v>
      </c>
      <c r="D703">
        <v>0.1</v>
      </c>
      <c r="E703">
        <v>1</v>
      </c>
      <c r="F703">
        <v>1E-4</v>
      </c>
      <c r="G703" s="142" t="s">
        <v>6</v>
      </c>
      <c r="H703" s="142" t="s">
        <v>4</v>
      </c>
      <c r="I703">
        <v>8000</v>
      </c>
      <c r="J703">
        <v>10000</v>
      </c>
      <c r="K703" s="142" t="s">
        <v>10</v>
      </c>
      <c r="L703">
        <v>4.4000000000000004</v>
      </c>
      <c r="M703">
        <v>170</v>
      </c>
      <c r="N703">
        <v>1.1592</v>
      </c>
      <c r="O703">
        <v>173.21</v>
      </c>
    </row>
    <row r="704" spans="1:15" x14ac:dyDescent="0.25">
      <c r="A704" s="142" t="s">
        <v>2515</v>
      </c>
      <c r="B704" s="142" t="s">
        <v>52</v>
      </c>
      <c r="C704" s="142" t="s">
        <v>2375</v>
      </c>
      <c r="D704">
        <v>1</v>
      </c>
      <c r="E704">
        <v>10</v>
      </c>
      <c r="F704">
        <v>1E-4</v>
      </c>
      <c r="G704" s="142" t="s">
        <v>6</v>
      </c>
      <c r="H704" s="142" t="s">
        <v>4</v>
      </c>
      <c r="I704">
        <v>1E-3</v>
      </c>
      <c r="J704">
        <v>0.04</v>
      </c>
      <c r="K704" s="142" t="s">
        <v>10</v>
      </c>
      <c r="L704">
        <v>0.47</v>
      </c>
      <c r="M704">
        <v>8.3000000000000004E-2</v>
      </c>
      <c r="N704">
        <v>0.46357999999999999</v>
      </c>
      <c r="O704">
        <v>8.2354999999999998E-2</v>
      </c>
    </row>
    <row r="705" spans="1:15" x14ac:dyDescent="0.25">
      <c r="A705" s="142" t="s">
        <v>2516</v>
      </c>
      <c r="B705" s="142" t="s">
        <v>52</v>
      </c>
      <c r="C705" s="142" t="s">
        <v>2375</v>
      </c>
      <c r="D705">
        <v>1</v>
      </c>
      <c r="E705">
        <v>10</v>
      </c>
      <c r="F705">
        <v>1E-4</v>
      </c>
      <c r="G705" s="142" t="s">
        <v>6</v>
      </c>
      <c r="H705" s="142" t="s">
        <v>4</v>
      </c>
      <c r="I705">
        <v>0.04</v>
      </c>
      <c r="J705">
        <v>1</v>
      </c>
      <c r="K705" s="142" t="s">
        <v>10</v>
      </c>
      <c r="L705">
        <v>0.24</v>
      </c>
      <c r="M705">
        <v>8.2000000000000003E-2</v>
      </c>
      <c r="N705">
        <v>0.23587</v>
      </c>
      <c r="O705">
        <v>8.1434999999999994E-2</v>
      </c>
    </row>
    <row r="706" spans="1:15" x14ac:dyDescent="0.25">
      <c r="A706" s="142" t="s">
        <v>2517</v>
      </c>
      <c r="B706" s="142" t="s">
        <v>52</v>
      </c>
      <c r="C706" s="142" t="s">
        <v>2375</v>
      </c>
      <c r="D706">
        <v>1</v>
      </c>
      <c r="E706">
        <v>10</v>
      </c>
      <c r="F706">
        <v>1E-4</v>
      </c>
      <c r="G706" s="142" t="s">
        <v>6</v>
      </c>
      <c r="H706" s="142" t="s">
        <v>4</v>
      </c>
      <c r="I706">
        <v>1</v>
      </c>
      <c r="J706">
        <v>20</v>
      </c>
      <c r="K706" s="142" t="s">
        <v>10</v>
      </c>
      <c r="L706">
        <v>0.26</v>
      </c>
      <c r="M706">
        <v>0.16</v>
      </c>
      <c r="N706">
        <v>0.23522999999999999</v>
      </c>
      <c r="O706">
        <v>0.16184999999999999</v>
      </c>
    </row>
    <row r="707" spans="1:15" x14ac:dyDescent="0.25">
      <c r="A707" s="142" t="s">
        <v>2518</v>
      </c>
      <c r="B707" s="142" t="s">
        <v>52</v>
      </c>
      <c r="C707" s="142" t="s">
        <v>2375</v>
      </c>
      <c r="D707">
        <v>1</v>
      </c>
      <c r="E707">
        <v>10</v>
      </c>
      <c r="F707">
        <v>1E-4</v>
      </c>
      <c r="G707" s="142" t="s">
        <v>6</v>
      </c>
      <c r="H707" s="142" t="s">
        <v>4</v>
      </c>
      <c r="I707">
        <v>20</v>
      </c>
      <c r="J707">
        <v>50</v>
      </c>
      <c r="K707" s="142" t="s">
        <v>10</v>
      </c>
      <c r="L707">
        <v>0.24</v>
      </c>
      <c r="M707">
        <v>0.35</v>
      </c>
      <c r="N707">
        <v>0.23380999999999999</v>
      </c>
      <c r="O707">
        <v>0.34671000000000002</v>
      </c>
    </row>
    <row r="708" spans="1:15" x14ac:dyDescent="0.25">
      <c r="A708" s="142" t="s">
        <v>2519</v>
      </c>
      <c r="B708" s="142" t="s">
        <v>52</v>
      </c>
      <c r="C708" s="142" t="s">
        <v>2375</v>
      </c>
      <c r="D708">
        <v>1</v>
      </c>
      <c r="E708">
        <v>10</v>
      </c>
      <c r="F708">
        <v>1E-4</v>
      </c>
      <c r="G708" s="142" t="s">
        <v>6</v>
      </c>
      <c r="H708" s="142" t="s">
        <v>4</v>
      </c>
      <c r="I708">
        <v>50</v>
      </c>
      <c r="J708">
        <v>100</v>
      </c>
      <c r="K708" s="142" t="s">
        <v>10</v>
      </c>
      <c r="L708">
        <v>0.28000000000000003</v>
      </c>
      <c r="M708">
        <v>0.92</v>
      </c>
      <c r="N708">
        <v>0.23241999999999999</v>
      </c>
      <c r="O708">
        <v>0.92388999999999999</v>
      </c>
    </row>
    <row r="709" spans="1:15" x14ac:dyDescent="0.25">
      <c r="A709" s="142" t="s">
        <v>2520</v>
      </c>
      <c r="B709" s="142" t="s">
        <v>52</v>
      </c>
      <c r="C709" s="142" t="s">
        <v>2375</v>
      </c>
      <c r="D709">
        <v>1</v>
      </c>
      <c r="E709">
        <v>10</v>
      </c>
      <c r="F709">
        <v>1E-4</v>
      </c>
      <c r="G709" s="142" t="s">
        <v>6</v>
      </c>
      <c r="H709" s="142" t="s">
        <v>4</v>
      </c>
      <c r="I709">
        <v>100</v>
      </c>
      <c r="J709">
        <v>300</v>
      </c>
      <c r="K709" s="142" t="s">
        <v>10</v>
      </c>
      <c r="L709">
        <v>1.2</v>
      </c>
      <c r="M709">
        <v>3.5</v>
      </c>
      <c r="N709">
        <v>1.1549</v>
      </c>
      <c r="O709">
        <v>3.4643999999999999</v>
      </c>
    </row>
    <row r="710" spans="1:15" x14ac:dyDescent="0.25">
      <c r="A710" s="142" t="s">
        <v>2521</v>
      </c>
      <c r="B710" s="142" t="s">
        <v>52</v>
      </c>
      <c r="C710" s="142" t="s">
        <v>2375</v>
      </c>
      <c r="D710">
        <v>1</v>
      </c>
      <c r="E710">
        <v>10</v>
      </c>
      <c r="F710">
        <v>1E-4</v>
      </c>
      <c r="G710" s="142" t="s">
        <v>6</v>
      </c>
      <c r="H710" s="142" t="s">
        <v>4</v>
      </c>
      <c r="I710">
        <v>300</v>
      </c>
      <c r="J710">
        <v>1000</v>
      </c>
      <c r="K710" s="142" t="s">
        <v>10</v>
      </c>
      <c r="L710">
        <v>1.2</v>
      </c>
      <c r="M710">
        <v>12</v>
      </c>
      <c r="N710">
        <v>1.1534</v>
      </c>
      <c r="O710">
        <v>11.551</v>
      </c>
    </row>
    <row r="711" spans="1:15" x14ac:dyDescent="0.25">
      <c r="A711" s="142" t="s">
        <v>2522</v>
      </c>
      <c r="B711" s="142" t="s">
        <v>52</v>
      </c>
      <c r="C711" s="142" t="s">
        <v>2375</v>
      </c>
      <c r="D711">
        <v>1</v>
      </c>
      <c r="E711">
        <v>10</v>
      </c>
      <c r="F711">
        <v>1E-4</v>
      </c>
      <c r="G711" s="142" t="s">
        <v>6</v>
      </c>
      <c r="H711" s="142" t="s">
        <v>4</v>
      </c>
      <c r="I711">
        <v>1000</v>
      </c>
      <c r="J711">
        <v>2000</v>
      </c>
      <c r="K711" s="142" t="s">
        <v>10</v>
      </c>
      <c r="L711">
        <v>4.5999999999999996</v>
      </c>
      <c r="M711">
        <v>17</v>
      </c>
      <c r="N711">
        <v>1.1424000000000001</v>
      </c>
      <c r="O711">
        <v>17.34</v>
      </c>
    </row>
    <row r="712" spans="1:15" x14ac:dyDescent="0.25">
      <c r="A712" s="142" t="s">
        <v>2523</v>
      </c>
      <c r="B712" s="142" t="s">
        <v>52</v>
      </c>
      <c r="C712" s="142" t="s">
        <v>2375</v>
      </c>
      <c r="D712">
        <v>1</v>
      </c>
      <c r="E712">
        <v>10</v>
      </c>
      <c r="F712">
        <v>1E-4</v>
      </c>
      <c r="G712" s="142" t="s">
        <v>6</v>
      </c>
      <c r="H712" s="142" t="s">
        <v>4</v>
      </c>
      <c r="I712">
        <v>2000</v>
      </c>
      <c r="J712">
        <v>4000</v>
      </c>
      <c r="K712" s="142" t="s">
        <v>10</v>
      </c>
      <c r="L712">
        <v>11</v>
      </c>
      <c r="M712">
        <v>46</v>
      </c>
      <c r="N712">
        <v>8.0793999999999997</v>
      </c>
      <c r="O712">
        <v>46.201000000000001</v>
      </c>
    </row>
    <row r="713" spans="1:15" x14ac:dyDescent="0.25">
      <c r="A713" s="142" t="s">
        <v>2524</v>
      </c>
      <c r="B713" s="142" t="s">
        <v>52</v>
      </c>
      <c r="C713" s="142" t="s">
        <v>2375</v>
      </c>
      <c r="D713">
        <v>1</v>
      </c>
      <c r="E713">
        <v>10</v>
      </c>
      <c r="F713">
        <v>1E-4</v>
      </c>
      <c r="G713" s="142" t="s">
        <v>6</v>
      </c>
      <c r="H713" s="142" t="s">
        <v>4</v>
      </c>
      <c r="I713">
        <v>4000</v>
      </c>
      <c r="J713">
        <v>8000</v>
      </c>
      <c r="K713" s="142" t="s">
        <v>10</v>
      </c>
      <c r="L713">
        <v>12</v>
      </c>
      <c r="M713">
        <v>46</v>
      </c>
      <c r="N713">
        <v>9.2327999999999992</v>
      </c>
      <c r="O713">
        <v>46.216000000000001</v>
      </c>
    </row>
    <row r="714" spans="1:15" x14ac:dyDescent="0.25">
      <c r="A714" s="142" t="s">
        <v>2525</v>
      </c>
      <c r="B714" s="142" t="s">
        <v>52</v>
      </c>
      <c r="C714" s="142" t="s">
        <v>2375</v>
      </c>
      <c r="D714">
        <v>1</v>
      </c>
      <c r="E714">
        <v>10</v>
      </c>
      <c r="F714">
        <v>1E-4</v>
      </c>
      <c r="G714" s="142" t="s">
        <v>6</v>
      </c>
      <c r="H714" s="142" t="s">
        <v>4</v>
      </c>
      <c r="I714">
        <v>8000</v>
      </c>
      <c r="J714">
        <v>10000</v>
      </c>
      <c r="K714" s="142" t="s">
        <v>10</v>
      </c>
      <c r="L714">
        <v>44</v>
      </c>
      <c r="M714">
        <v>170</v>
      </c>
      <c r="N714">
        <v>11.541</v>
      </c>
      <c r="O714">
        <v>173.22</v>
      </c>
    </row>
    <row r="715" spans="1:15" x14ac:dyDescent="0.25">
      <c r="A715" s="142" t="s">
        <v>2526</v>
      </c>
      <c r="B715" s="142" t="s">
        <v>52</v>
      </c>
      <c r="C715" s="142" t="s">
        <v>2375</v>
      </c>
      <c r="D715">
        <v>10</v>
      </c>
      <c r="E715">
        <v>100</v>
      </c>
      <c r="F715">
        <v>1E-4</v>
      </c>
      <c r="G715" s="142" t="s">
        <v>6</v>
      </c>
      <c r="H715" s="142" t="s">
        <v>4</v>
      </c>
      <c r="I715">
        <v>1E-3</v>
      </c>
      <c r="J715">
        <v>0.04</v>
      </c>
      <c r="K715" s="142" t="s">
        <v>10</v>
      </c>
      <c r="L715">
        <v>4.8</v>
      </c>
      <c r="M715">
        <v>0.23</v>
      </c>
      <c r="N715">
        <v>4.6170999999999998</v>
      </c>
      <c r="O715">
        <v>0.23141999999999999</v>
      </c>
    </row>
    <row r="716" spans="1:15" x14ac:dyDescent="0.25">
      <c r="A716" s="142" t="s">
        <v>2527</v>
      </c>
      <c r="B716" s="142" t="s">
        <v>52</v>
      </c>
      <c r="C716" s="142" t="s">
        <v>2375</v>
      </c>
      <c r="D716">
        <v>10</v>
      </c>
      <c r="E716">
        <v>100</v>
      </c>
      <c r="F716">
        <v>1E-4</v>
      </c>
      <c r="G716" s="142" t="s">
        <v>6</v>
      </c>
      <c r="H716" s="142" t="s">
        <v>4</v>
      </c>
      <c r="I716">
        <v>0.04</v>
      </c>
      <c r="J716">
        <v>1</v>
      </c>
      <c r="K716" s="142" t="s">
        <v>10</v>
      </c>
      <c r="L716">
        <v>2.5</v>
      </c>
      <c r="M716">
        <v>0.23</v>
      </c>
      <c r="N716">
        <v>2.3068</v>
      </c>
      <c r="O716">
        <v>0.23147000000000001</v>
      </c>
    </row>
    <row r="717" spans="1:15" x14ac:dyDescent="0.25">
      <c r="A717" s="142" t="s">
        <v>2528</v>
      </c>
      <c r="B717" s="142" t="s">
        <v>52</v>
      </c>
      <c r="C717" s="142" t="s">
        <v>2375</v>
      </c>
      <c r="D717">
        <v>10</v>
      </c>
      <c r="E717">
        <v>100</v>
      </c>
      <c r="F717">
        <v>1E-4</v>
      </c>
      <c r="G717" s="142" t="s">
        <v>6</v>
      </c>
      <c r="H717" s="142" t="s">
        <v>4</v>
      </c>
      <c r="I717">
        <v>1</v>
      </c>
      <c r="J717">
        <v>20</v>
      </c>
      <c r="K717" s="142" t="s">
        <v>10</v>
      </c>
      <c r="L717">
        <v>2.5</v>
      </c>
      <c r="M717">
        <v>0.23</v>
      </c>
      <c r="N717">
        <v>2.3068</v>
      </c>
      <c r="O717">
        <v>0.23147000000000001</v>
      </c>
    </row>
    <row r="718" spans="1:15" x14ac:dyDescent="0.25">
      <c r="A718" s="142" t="s">
        <v>2529</v>
      </c>
      <c r="B718" s="142" t="s">
        <v>52</v>
      </c>
      <c r="C718" s="142" t="s">
        <v>2375</v>
      </c>
      <c r="D718">
        <v>10</v>
      </c>
      <c r="E718">
        <v>100</v>
      </c>
      <c r="F718">
        <v>1E-4</v>
      </c>
      <c r="G718" s="142" t="s">
        <v>6</v>
      </c>
      <c r="H718" s="142" t="s">
        <v>4</v>
      </c>
      <c r="I718">
        <v>20</v>
      </c>
      <c r="J718">
        <v>50</v>
      </c>
      <c r="K718" s="142" t="s">
        <v>10</v>
      </c>
      <c r="L718">
        <v>2.8</v>
      </c>
      <c r="M718">
        <v>0.4</v>
      </c>
      <c r="N718">
        <v>2.3075000000000001</v>
      </c>
      <c r="O718">
        <v>0.40467999999999998</v>
      </c>
    </row>
    <row r="719" spans="1:15" x14ac:dyDescent="0.25">
      <c r="A719" s="142" t="s">
        <v>2530</v>
      </c>
      <c r="B719" s="142" t="s">
        <v>52</v>
      </c>
      <c r="C719" s="142" t="s">
        <v>2375</v>
      </c>
      <c r="D719">
        <v>10</v>
      </c>
      <c r="E719">
        <v>100</v>
      </c>
      <c r="F719">
        <v>1E-4</v>
      </c>
      <c r="G719" s="142" t="s">
        <v>6</v>
      </c>
      <c r="H719" s="142" t="s">
        <v>4</v>
      </c>
      <c r="I719">
        <v>50</v>
      </c>
      <c r="J719">
        <v>100</v>
      </c>
      <c r="K719" s="142" t="s">
        <v>10</v>
      </c>
      <c r="L719">
        <v>2.4</v>
      </c>
      <c r="M719">
        <v>1.4</v>
      </c>
      <c r="N719">
        <v>2.3073999999999999</v>
      </c>
      <c r="O719">
        <v>1.3859999999999999</v>
      </c>
    </row>
    <row r="720" spans="1:15" x14ac:dyDescent="0.25">
      <c r="A720" s="142" t="s">
        <v>2531</v>
      </c>
      <c r="B720" s="142" t="s">
        <v>52</v>
      </c>
      <c r="C720" s="142" t="s">
        <v>2375</v>
      </c>
      <c r="D720">
        <v>20</v>
      </c>
      <c r="E720">
        <v>100</v>
      </c>
      <c r="F720">
        <v>1E-4</v>
      </c>
      <c r="G720" s="142" t="s">
        <v>6</v>
      </c>
      <c r="H720" s="142" t="s">
        <v>4</v>
      </c>
      <c r="I720">
        <v>100</v>
      </c>
      <c r="J720">
        <v>300</v>
      </c>
      <c r="K720" s="142" t="s">
        <v>10</v>
      </c>
      <c r="L720">
        <v>15</v>
      </c>
      <c r="M720">
        <v>4.6028000000000002</v>
      </c>
      <c r="N720">
        <v>11.457000000000001</v>
      </c>
      <c r="O720">
        <v>4.6280000000000001</v>
      </c>
    </row>
    <row r="721" spans="1:15" x14ac:dyDescent="0.25">
      <c r="A721" s="142" t="s">
        <v>2532</v>
      </c>
      <c r="B721" s="142" t="s">
        <v>52</v>
      </c>
      <c r="C721" s="142" t="s">
        <v>2375</v>
      </c>
      <c r="D721">
        <v>20</v>
      </c>
      <c r="E721">
        <v>100</v>
      </c>
      <c r="F721">
        <v>1E-4</v>
      </c>
      <c r="G721" s="142" t="s">
        <v>6</v>
      </c>
      <c r="H721" s="142" t="s">
        <v>4</v>
      </c>
      <c r="I721">
        <v>300</v>
      </c>
      <c r="J721">
        <v>1000</v>
      </c>
      <c r="K721" s="142" t="s">
        <v>10</v>
      </c>
      <c r="L721">
        <v>46</v>
      </c>
      <c r="M721">
        <v>17.018999999999998</v>
      </c>
      <c r="N721">
        <v>11.336</v>
      </c>
      <c r="O721">
        <v>17.344000000000001</v>
      </c>
    </row>
    <row r="722" spans="1:15" x14ac:dyDescent="0.25">
      <c r="A722" s="142" t="s">
        <v>2533</v>
      </c>
      <c r="B722" s="142" t="s">
        <v>52</v>
      </c>
      <c r="C722" s="142" t="s">
        <v>2375</v>
      </c>
      <c r="D722">
        <v>330</v>
      </c>
      <c r="E722">
        <v>1000</v>
      </c>
      <c r="F722">
        <v>1E-4</v>
      </c>
      <c r="G722" s="142" t="s">
        <v>6</v>
      </c>
      <c r="H722" s="142" t="s">
        <v>4</v>
      </c>
      <c r="I722">
        <v>10</v>
      </c>
      <c r="J722">
        <v>20</v>
      </c>
      <c r="K722" s="142" t="s">
        <v>10</v>
      </c>
      <c r="L722">
        <v>23</v>
      </c>
      <c r="M722">
        <v>0.7</v>
      </c>
      <c r="N722">
        <v>22.763000000000002</v>
      </c>
      <c r="O722">
        <v>0.69628000000000001</v>
      </c>
    </row>
    <row r="723" spans="1:15" x14ac:dyDescent="0.25">
      <c r="A723" s="142" t="s">
        <v>2534</v>
      </c>
      <c r="B723" s="142" t="s">
        <v>52</v>
      </c>
      <c r="C723" s="142" t="s">
        <v>2375</v>
      </c>
      <c r="D723">
        <v>330</v>
      </c>
      <c r="E723">
        <v>1000</v>
      </c>
      <c r="F723">
        <v>1E-4</v>
      </c>
      <c r="G723" s="142" t="s">
        <v>6</v>
      </c>
      <c r="H723" s="142" t="s">
        <v>4</v>
      </c>
      <c r="I723">
        <v>20</v>
      </c>
      <c r="J723">
        <v>50</v>
      </c>
      <c r="K723" s="142" t="s">
        <v>10</v>
      </c>
      <c r="L723">
        <v>23</v>
      </c>
      <c r="M723">
        <v>1.4</v>
      </c>
      <c r="N723">
        <v>22.620999999999999</v>
      </c>
      <c r="O723">
        <v>1.3908</v>
      </c>
    </row>
    <row r="724" spans="1:15" x14ac:dyDescent="0.25">
      <c r="A724" s="142" t="s">
        <v>2535</v>
      </c>
      <c r="B724" s="142" t="s">
        <v>52</v>
      </c>
      <c r="C724" s="142" t="s">
        <v>2375</v>
      </c>
      <c r="D724">
        <v>330</v>
      </c>
      <c r="E724">
        <v>1000</v>
      </c>
      <c r="F724">
        <v>1E-4</v>
      </c>
      <c r="G724" s="142" t="s">
        <v>6</v>
      </c>
      <c r="H724" s="142" t="s">
        <v>4</v>
      </c>
      <c r="I724">
        <v>50</v>
      </c>
      <c r="J724">
        <v>100</v>
      </c>
      <c r="K724" s="142" t="s">
        <v>10</v>
      </c>
      <c r="L724">
        <v>23</v>
      </c>
      <c r="M724">
        <v>3.5</v>
      </c>
      <c r="N724">
        <v>22.896000000000001</v>
      </c>
      <c r="O724">
        <v>3.4662000000000002</v>
      </c>
    </row>
    <row r="725" spans="1:15" x14ac:dyDescent="0.25">
      <c r="A725" s="142" t="s">
        <v>2536</v>
      </c>
      <c r="B725" s="142" t="s">
        <v>52</v>
      </c>
      <c r="C725" s="142" t="s">
        <v>2375</v>
      </c>
      <c r="D725">
        <v>0</v>
      </c>
      <c r="E725">
        <v>0.01</v>
      </c>
      <c r="F725">
        <v>1E-3</v>
      </c>
      <c r="G725" s="142" t="s">
        <v>6</v>
      </c>
      <c r="H725" s="142" t="s">
        <v>5</v>
      </c>
      <c r="I725">
        <v>1E-3</v>
      </c>
      <c r="J725">
        <v>0.04</v>
      </c>
      <c r="K725" s="142" t="s">
        <v>10</v>
      </c>
      <c r="L725">
        <v>577.37</v>
      </c>
      <c r="M725">
        <v>3.1879</v>
      </c>
      <c r="N725">
        <v>577.37</v>
      </c>
      <c r="O725">
        <v>3.1314000000000002</v>
      </c>
    </row>
    <row r="726" spans="1:15" x14ac:dyDescent="0.25">
      <c r="A726" s="142" t="s">
        <v>2537</v>
      </c>
      <c r="B726" s="142" t="s">
        <v>52</v>
      </c>
      <c r="C726" s="142" t="s">
        <v>2375</v>
      </c>
      <c r="D726">
        <v>0</v>
      </c>
      <c r="E726">
        <v>0.01</v>
      </c>
      <c r="F726">
        <v>1E-3</v>
      </c>
      <c r="G726" s="142" t="s">
        <v>6</v>
      </c>
      <c r="H726" s="142" t="s">
        <v>5</v>
      </c>
      <c r="I726">
        <v>0.04</v>
      </c>
      <c r="J726">
        <v>1</v>
      </c>
      <c r="K726" s="142" t="s">
        <v>10</v>
      </c>
      <c r="L726">
        <v>577.36</v>
      </c>
      <c r="M726">
        <v>1.0319</v>
      </c>
      <c r="N726">
        <v>577.36</v>
      </c>
      <c r="O726">
        <v>0.97543000000000002</v>
      </c>
    </row>
    <row r="727" spans="1:15" x14ac:dyDescent="0.25">
      <c r="A727" s="142" t="s">
        <v>2538</v>
      </c>
      <c r="B727" s="142" t="s">
        <v>52</v>
      </c>
      <c r="C727" s="142" t="s">
        <v>2375</v>
      </c>
      <c r="D727">
        <v>0</v>
      </c>
      <c r="E727">
        <v>0.01</v>
      </c>
      <c r="F727">
        <v>1E-3</v>
      </c>
      <c r="G727" s="142" t="s">
        <v>6</v>
      </c>
      <c r="H727" s="142" t="s">
        <v>5</v>
      </c>
      <c r="I727">
        <v>1</v>
      </c>
      <c r="J727">
        <v>20</v>
      </c>
      <c r="K727" s="142" t="s">
        <v>10</v>
      </c>
      <c r="L727">
        <v>577.36</v>
      </c>
      <c r="M727">
        <v>1.8704000000000001</v>
      </c>
      <c r="N727">
        <v>577.36</v>
      </c>
      <c r="O727">
        <v>1.8139000000000001</v>
      </c>
    </row>
    <row r="728" spans="1:15" x14ac:dyDescent="0.25">
      <c r="A728" s="142" t="s">
        <v>2539</v>
      </c>
      <c r="B728" s="142" t="s">
        <v>52</v>
      </c>
      <c r="C728" s="142" t="s">
        <v>2375</v>
      </c>
      <c r="D728">
        <v>0</v>
      </c>
      <c r="E728">
        <v>0.01</v>
      </c>
      <c r="F728">
        <v>1E-3</v>
      </c>
      <c r="G728" s="142" t="s">
        <v>6</v>
      </c>
      <c r="H728" s="142" t="s">
        <v>5</v>
      </c>
      <c r="I728">
        <v>20</v>
      </c>
      <c r="J728">
        <v>50</v>
      </c>
      <c r="K728" s="142" t="s">
        <v>10</v>
      </c>
      <c r="L728">
        <v>577.36</v>
      </c>
      <c r="M728">
        <v>14.271000000000001</v>
      </c>
      <c r="N728">
        <v>577.36</v>
      </c>
      <c r="O728">
        <v>14.206</v>
      </c>
    </row>
    <row r="729" spans="1:15" x14ac:dyDescent="0.25">
      <c r="A729" s="142" t="s">
        <v>2540</v>
      </c>
      <c r="B729" s="142" t="s">
        <v>52</v>
      </c>
      <c r="C729" s="142" t="s">
        <v>2375</v>
      </c>
      <c r="D729">
        <v>0</v>
      </c>
      <c r="E729">
        <v>0.01</v>
      </c>
      <c r="F729">
        <v>1E-3</v>
      </c>
      <c r="G729" s="142" t="s">
        <v>6</v>
      </c>
      <c r="H729" s="142" t="s">
        <v>5</v>
      </c>
      <c r="I729">
        <v>50</v>
      </c>
      <c r="J729">
        <v>100</v>
      </c>
      <c r="K729" s="142" t="s">
        <v>10</v>
      </c>
      <c r="L729">
        <v>577.33000000000004</v>
      </c>
      <c r="M729">
        <v>303.82</v>
      </c>
      <c r="N729">
        <v>577.33000000000004</v>
      </c>
      <c r="O729">
        <v>303.48</v>
      </c>
    </row>
    <row r="730" spans="1:15" x14ac:dyDescent="0.25">
      <c r="A730" s="142" t="s">
        <v>2541</v>
      </c>
      <c r="B730" s="142" t="s">
        <v>52</v>
      </c>
      <c r="C730" s="142" t="s">
        <v>2375</v>
      </c>
      <c r="D730">
        <v>0</v>
      </c>
      <c r="E730">
        <v>0.01</v>
      </c>
      <c r="F730">
        <v>1E-3</v>
      </c>
      <c r="G730" s="142" t="s">
        <v>6</v>
      </c>
      <c r="H730" s="142" t="s">
        <v>5</v>
      </c>
      <c r="I730">
        <v>100</v>
      </c>
      <c r="J730">
        <v>300</v>
      </c>
      <c r="K730" s="142" t="s">
        <v>10</v>
      </c>
      <c r="L730">
        <v>575.75</v>
      </c>
      <c r="M730">
        <v>16508</v>
      </c>
      <c r="N730">
        <v>575.75</v>
      </c>
      <c r="O730">
        <v>16507</v>
      </c>
    </row>
    <row r="731" spans="1:15" x14ac:dyDescent="0.25">
      <c r="A731" s="142" t="s">
        <v>2542</v>
      </c>
      <c r="B731" s="142" t="s">
        <v>52</v>
      </c>
      <c r="C731" s="142" t="s">
        <v>2375</v>
      </c>
      <c r="D731">
        <v>0</v>
      </c>
      <c r="E731">
        <v>0.01</v>
      </c>
      <c r="F731">
        <v>1E-3</v>
      </c>
      <c r="G731" s="142" t="s">
        <v>6</v>
      </c>
      <c r="H731" s="142" t="s">
        <v>5</v>
      </c>
      <c r="I731">
        <v>300</v>
      </c>
      <c r="J731">
        <v>1000</v>
      </c>
      <c r="K731" s="142" t="s">
        <v>10</v>
      </c>
      <c r="L731">
        <v>575.78</v>
      </c>
      <c r="M731">
        <v>16723</v>
      </c>
      <c r="N731">
        <v>575.78</v>
      </c>
      <c r="O731">
        <v>16722</v>
      </c>
    </row>
    <row r="732" spans="1:15" x14ac:dyDescent="0.25">
      <c r="A732" s="142" t="s">
        <v>2543</v>
      </c>
      <c r="B732" s="142" t="s">
        <v>52</v>
      </c>
      <c r="C732" s="142" t="s">
        <v>2375</v>
      </c>
      <c r="D732">
        <v>0</v>
      </c>
      <c r="E732">
        <v>0.01</v>
      </c>
      <c r="F732">
        <v>1E-3</v>
      </c>
      <c r="G732" s="142" t="s">
        <v>6</v>
      </c>
      <c r="H732" s="142" t="s">
        <v>5</v>
      </c>
      <c r="I732">
        <v>1000</v>
      </c>
      <c r="J732">
        <v>4000</v>
      </c>
      <c r="K732" s="142" t="s">
        <v>10</v>
      </c>
      <c r="L732">
        <v>573.39</v>
      </c>
      <c r="M732">
        <v>42668</v>
      </c>
      <c r="N732">
        <v>569.91999999999996</v>
      </c>
      <c r="O732">
        <v>42664</v>
      </c>
    </row>
    <row r="733" spans="1:15" x14ac:dyDescent="0.25">
      <c r="A733" s="142" t="s">
        <v>2544</v>
      </c>
      <c r="B733" s="142" t="s">
        <v>52</v>
      </c>
      <c r="C733" s="142" t="s">
        <v>2375</v>
      </c>
      <c r="D733">
        <v>0</v>
      </c>
      <c r="E733">
        <v>0.01</v>
      </c>
      <c r="F733">
        <v>1E-3</v>
      </c>
      <c r="G733" s="142" t="s">
        <v>6</v>
      </c>
      <c r="H733" s="142" t="s">
        <v>5</v>
      </c>
      <c r="I733">
        <v>4000</v>
      </c>
      <c r="J733">
        <v>8000</v>
      </c>
      <c r="K733" s="142" t="s">
        <v>10</v>
      </c>
      <c r="L733">
        <v>560.21</v>
      </c>
      <c r="M733">
        <v>182940</v>
      </c>
      <c r="N733">
        <v>555.55999999999995</v>
      </c>
      <c r="O733">
        <v>182950</v>
      </c>
    </row>
    <row r="734" spans="1:15" x14ac:dyDescent="0.25">
      <c r="A734" s="142" t="s">
        <v>2545</v>
      </c>
      <c r="B734" s="142" t="s">
        <v>52</v>
      </c>
      <c r="C734" s="142" t="s">
        <v>2375</v>
      </c>
      <c r="D734">
        <v>0.01</v>
      </c>
      <c r="E734">
        <v>0.1</v>
      </c>
      <c r="F734">
        <v>1E-3</v>
      </c>
      <c r="G734" s="142" t="s">
        <v>6</v>
      </c>
      <c r="H734" s="142" t="s">
        <v>5</v>
      </c>
      <c r="I734">
        <v>1E-3</v>
      </c>
      <c r="J734">
        <v>0.04</v>
      </c>
      <c r="K734" s="142" t="s">
        <v>10</v>
      </c>
      <c r="L734">
        <v>577.37</v>
      </c>
      <c r="M734">
        <v>1.3257000000000001</v>
      </c>
      <c r="N734">
        <v>577.37</v>
      </c>
      <c r="O734">
        <v>1.3192999999999999</v>
      </c>
    </row>
    <row r="735" spans="1:15" x14ac:dyDescent="0.25">
      <c r="A735" s="142" t="s">
        <v>2546</v>
      </c>
      <c r="B735" s="142" t="s">
        <v>52</v>
      </c>
      <c r="C735" s="142" t="s">
        <v>2375</v>
      </c>
      <c r="D735">
        <v>0.01</v>
      </c>
      <c r="E735">
        <v>0.1</v>
      </c>
      <c r="F735">
        <v>1E-3</v>
      </c>
      <c r="G735" s="142" t="s">
        <v>6</v>
      </c>
      <c r="H735" s="142" t="s">
        <v>5</v>
      </c>
      <c r="I735">
        <v>0.04</v>
      </c>
      <c r="J735">
        <v>1</v>
      </c>
      <c r="K735" s="142" t="s">
        <v>10</v>
      </c>
      <c r="L735">
        <v>577.35</v>
      </c>
      <c r="M735">
        <v>1.0027999999999999</v>
      </c>
      <c r="N735">
        <v>577.35</v>
      </c>
      <c r="O735">
        <v>0.99641000000000002</v>
      </c>
    </row>
    <row r="736" spans="1:15" x14ac:dyDescent="0.25">
      <c r="A736" s="142" t="s">
        <v>2547</v>
      </c>
      <c r="B736" s="142" t="s">
        <v>52</v>
      </c>
      <c r="C736" s="142" t="s">
        <v>2375</v>
      </c>
      <c r="D736">
        <v>0.01</v>
      </c>
      <c r="E736">
        <v>0.1</v>
      </c>
      <c r="F736">
        <v>1E-3</v>
      </c>
      <c r="G736" s="142" t="s">
        <v>6</v>
      </c>
      <c r="H736" s="142" t="s">
        <v>5</v>
      </c>
      <c r="I736">
        <v>1</v>
      </c>
      <c r="J736">
        <v>20</v>
      </c>
      <c r="K736" s="142" t="s">
        <v>10</v>
      </c>
      <c r="L736">
        <v>577.34</v>
      </c>
      <c r="M736">
        <v>3.1880000000000002</v>
      </c>
      <c r="N736">
        <v>577.34</v>
      </c>
      <c r="O736">
        <v>3.1816</v>
      </c>
    </row>
    <row r="737" spans="1:15" x14ac:dyDescent="0.25">
      <c r="A737" s="142" t="s">
        <v>2548</v>
      </c>
      <c r="B737" s="142" t="s">
        <v>52</v>
      </c>
      <c r="C737" s="142" t="s">
        <v>2375</v>
      </c>
      <c r="D737">
        <v>0.01</v>
      </c>
      <c r="E737">
        <v>0.1</v>
      </c>
      <c r="F737">
        <v>1E-3</v>
      </c>
      <c r="G737" s="142" t="s">
        <v>6</v>
      </c>
      <c r="H737" s="142" t="s">
        <v>5</v>
      </c>
      <c r="I737">
        <v>20</v>
      </c>
      <c r="J737">
        <v>50</v>
      </c>
      <c r="K737" s="142" t="s">
        <v>10</v>
      </c>
      <c r="L737">
        <v>577.26</v>
      </c>
      <c r="M737">
        <v>12.882</v>
      </c>
      <c r="N737">
        <v>577.26</v>
      </c>
      <c r="O737">
        <v>12.858000000000001</v>
      </c>
    </row>
    <row r="738" spans="1:15" x14ac:dyDescent="0.25">
      <c r="A738" s="142" t="s">
        <v>2549</v>
      </c>
      <c r="B738" s="142" t="s">
        <v>52</v>
      </c>
      <c r="C738" s="142" t="s">
        <v>2375</v>
      </c>
      <c r="D738">
        <v>0.01</v>
      </c>
      <c r="E738">
        <v>0.1</v>
      </c>
      <c r="F738">
        <v>1E-3</v>
      </c>
      <c r="G738" s="142" t="s">
        <v>6</v>
      </c>
      <c r="H738" s="142" t="s">
        <v>5</v>
      </c>
      <c r="I738">
        <v>50</v>
      </c>
      <c r="J738">
        <v>100</v>
      </c>
      <c r="K738" s="142" t="s">
        <v>10</v>
      </c>
      <c r="L738">
        <v>576.63</v>
      </c>
      <c r="M738">
        <v>84.546999999999997</v>
      </c>
      <c r="N738">
        <v>576.63</v>
      </c>
      <c r="O738">
        <v>84.459000000000003</v>
      </c>
    </row>
    <row r="739" spans="1:15" x14ac:dyDescent="0.25">
      <c r="A739" s="142" t="s">
        <v>2550</v>
      </c>
      <c r="B739" s="142" t="s">
        <v>52</v>
      </c>
      <c r="C739" s="142" t="s">
        <v>2375</v>
      </c>
      <c r="D739">
        <v>0.01</v>
      </c>
      <c r="E739">
        <v>0.1</v>
      </c>
      <c r="F739">
        <v>1E-3</v>
      </c>
      <c r="G739" s="142" t="s">
        <v>6</v>
      </c>
      <c r="H739" s="142" t="s">
        <v>5</v>
      </c>
      <c r="I739">
        <v>100</v>
      </c>
      <c r="J739">
        <v>300</v>
      </c>
      <c r="K739" s="142" t="s">
        <v>10</v>
      </c>
      <c r="L739">
        <v>568.09</v>
      </c>
      <c r="M739">
        <v>1112.7</v>
      </c>
      <c r="N739">
        <v>568.08000000000004</v>
      </c>
      <c r="O739">
        <v>1112.5</v>
      </c>
    </row>
    <row r="740" spans="1:15" x14ac:dyDescent="0.25">
      <c r="A740" s="142" t="s">
        <v>2551</v>
      </c>
      <c r="B740" s="142" t="s">
        <v>52</v>
      </c>
      <c r="C740" s="142" t="s">
        <v>2375</v>
      </c>
      <c r="D740">
        <v>0.01</v>
      </c>
      <c r="E740">
        <v>0.1</v>
      </c>
      <c r="F740">
        <v>1E-3</v>
      </c>
      <c r="G740" s="142" t="s">
        <v>6</v>
      </c>
      <c r="H740" s="142" t="s">
        <v>5</v>
      </c>
      <c r="I740">
        <v>300</v>
      </c>
      <c r="J740">
        <v>1000</v>
      </c>
      <c r="K740" s="142" t="s">
        <v>10</v>
      </c>
      <c r="L740">
        <v>512.29</v>
      </c>
      <c r="M740">
        <v>7891</v>
      </c>
      <c r="N740">
        <v>512.26</v>
      </c>
      <c r="O740">
        <v>7891</v>
      </c>
    </row>
    <row r="741" spans="1:15" x14ac:dyDescent="0.25">
      <c r="A741" s="142" t="s">
        <v>2552</v>
      </c>
      <c r="B741" s="142" t="s">
        <v>52</v>
      </c>
      <c r="C741" s="142" t="s">
        <v>2375</v>
      </c>
      <c r="D741">
        <v>0.01</v>
      </c>
      <c r="E741">
        <v>0.1</v>
      </c>
      <c r="F741">
        <v>1E-3</v>
      </c>
      <c r="G741" s="142" t="s">
        <v>6</v>
      </c>
      <c r="H741" s="142" t="s">
        <v>5</v>
      </c>
      <c r="I741">
        <v>1000</v>
      </c>
      <c r="J741">
        <v>2000</v>
      </c>
      <c r="K741" s="142" t="s">
        <v>10</v>
      </c>
      <c r="L741">
        <v>469.71</v>
      </c>
      <c r="M741">
        <v>13676</v>
      </c>
      <c r="N741">
        <v>433.84</v>
      </c>
      <c r="O741">
        <v>13677</v>
      </c>
    </row>
    <row r="742" spans="1:15" x14ac:dyDescent="0.25">
      <c r="A742" s="142" t="s">
        <v>2553</v>
      </c>
      <c r="B742" s="142" t="s">
        <v>52</v>
      </c>
      <c r="C742" s="142" t="s">
        <v>2375</v>
      </c>
      <c r="D742">
        <v>0.01</v>
      </c>
      <c r="E742">
        <v>0.1</v>
      </c>
      <c r="F742">
        <v>1E-3</v>
      </c>
      <c r="G742" s="142" t="s">
        <v>6</v>
      </c>
      <c r="H742" s="142" t="s">
        <v>5</v>
      </c>
      <c r="I742">
        <v>2000</v>
      </c>
      <c r="J742">
        <v>4000</v>
      </c>
      <c r="K742" s="142" t="s">
        <v>10</v>
      </c>
      <c r="L742">
        <v>354.69</v>
      </c>
      <c r="M742">
        <v>43808</v>
      </c>
      <c r="N742">
        <v>330.8</v>
      </c>
      <c r="O742">
        <v>43808</v>
      </c>
    </row>
    <row r="743" spans="1:15" x14ac:dyDescent="0.25">
      <c r="A743" s="142" t="s">
        <v>2554</v>
      </c>
      <c r="B743" s="142" t="s">
        <v>52</v>
      </c>
      <c r="C743" s="142" t="s">
        <v>2375</v>
      </c>
      <c r="D743">
        <v>0.01</v>
      </c>
      <c r="E743">
        <v>0.1</v>
      </c>
      <c r="F743">
        <v>1E-3</v>
      </c>
      <c r="G743" s="142" t="s">
        <v>6</v>
      </c>
      <c r="H743" s="142" t="s">
        <v>5</v>
      </c>
      <c r="I743">
        <v>4000</v>
      </c>
      <c r="J743">
        <v>8000</v>
      </c>
      <c r="K743" s="142" t="s">
        <v>10</v>
      </c>
      <c r="L743">
        <v>363.8</v>
      </c>
      <c r="M743">
        <v>43846</v>
      </c>
      <c r="N743">
        <v>338.7</v>
      </c>
      <c r="O743">
        <v>43857</v>
      </c>
    </row>
    <row r="744" spans="1:15" x14ac:dyDescent="0.25">
      <c r="A744" s="142" t="s">
        <v>2555</v>
      </c>
      <c r="B744" s="142" t="s">
        <v>52</v>
      </c>
      <c r="C744" s="142" t="s">
        <v>2375</v>
      </c>
      <c r="D744">
        <v>0.01</v>
      </c>
      <c r="E744">
        <v>0.1</v>
      </c>
      <c r="F744">
        <v>1E-3</v>
      </c>
      <c r="G744" s="142" t="s">
        <v>6</v>
      </c>
      <c r="H744" s="142" t="s">
        <v>5</v>
      </c>
      <c r="I744">
        <v>8000</v>
      </c>
      <c r="J744">
        <v>10000</v>
      </c>
      <c r="K744" s="142" t="s">
        <v>10</v>
      </c>
      <c r="L744">
        <v>447.25</v>
      </c>
      <c r="M744">
        <v>170080</v>
      </c>
      <c r="N744">
        <v>203.83</v>
      </c>
      <c r="O744">
        <v>172340</v>
      </c>
    </row>
    <row r="745" spans="1:15" x14ac:dyDescent="0.25">
      <c r="A745" s="142" t="s">
        <v>2556</v>
      </c>
      <c r="B745" s="142" t="s">
        <v>52</v>
      </c>
      <c r="C745" s="142" t="s">
        <v>2375</v>
      </c>
      <c r="D745">
        <v>0.1</v>
      </c>
      <c r="E745">
        <v>1</v>
      </c>
      <c r="F745">
        <v>1E-3</v>
      </c>
      <c r="G745" s="142" t="s">
        <v>6</v>
      </c>
      <c r="H745" s="142" t="s">
        <v>5</v>
      </c>
      <c r="I745">
        <v>1E-3</v>
      </c>
      <c r="J745">
        <v>0.04</v>
      </c>
      <c r="K745" s="142" t="s">
        <v>10</v>
      </c>
      <c r="L745">
        <v>578.64</v>
      </c>
      <c r="M745">
        <v>12.678000000000001</v>
      </c>
      <c r="N745">
        <v>578.64</v>
      </c>
      <c r="O745">
        <v>12.669</v>
      </c>
    </row>
    <row r="746" spans="1:15" x14ac:dyDescent="0.25">
      <c r="A746" s="142" t="s">
        <v>2557</v>
      </c>
      <c r="B746" s="142" t="s">
        <v>52</v>
      </c>
      <c r="C746" s="142" t="s">
        <v>2375</v>
      </c>
      <c r="D746">
        <v>0.1</v>
      </c>
      <c r="E746">
        <v>1</v>
      </c>
      <c r="F746">
        <v>1E-3</v>
      </c>
      <c r="G746" s="142" t="s">
        <v>6</v>
      </c>
      <c r="H746" s="142" t="s">
        <v>5</v>
      </c>
      <c r="I746">
        <v>0.04</v>
      </c>
      <c r="J746">
        <v>1</v>
      </c>
      <c r="K746" s="142" t="s">
        <v>10</v>
      </c>
      <c r="L746">
        <v>577.25</v>
      </c>
      <c r="M746">
        <v>9.5175999999999998</v>
      </c>
      <c r="N746">
        <v>577.25</v>
      </c>
      <c r="O746">
        <v>9.5079999999999991</v>
      </c>
    </row>
    <row r="747" spans="1:15" x14ac:dyDescent="0.25">
      <c r="A747" s="142" t="s">
        <v>2558</v>
      </c>
      <c r="B747" s="142" t="s">
        <v>52</v>
      </c>
      <c r="C747" s="142" t="s">
        <v>2375</v>
      </c>
      <c r="D747">
        <v>0.1</v>
      </c>
      <c r="E747">
        <v>1</v>
      </c>
      <c r="F747">
        <v>1E-3</v>
      </c>
      <c r="G747" s="142" t="s">
        <v>6</v>
      </c>
      <c r="H747" s="142" t="s">
        <v>5</v>
      </c>
      <c r="I747">
        <v>1</v>
      </c>
      <c r="J747">
        <v>20</v>
      </c>
      <c r="K747" s="142" t="s">
        <v>10</v>
      </c>
      <c r="L747">
        <v>575.63</v>
      </c>
      <c r="M747">
        <v>30.774000000000001</v>
      </c>
      <c r="N747">
        <v>575.62</v>
      </c>
      <c r="O747">
        <v>30.74</v>
      </c>
    </row>
    <row r="748" spans="1:15" x14ac:dyDescent="0.25">
      <c r="A748" s="142" t="s">
        <v>2559</v>
      </c>
      <c r="B748" s="142" t="s">
        <v>52</v>
      </c>
      <c r="C748" s="142" t="s">
        <v>2375</v>
      </c>
      <c r="D748">
        <v>0.1</v>
      </c>
      <c r="E748">
        <v>1</v>
      </c>
      <c r="F748">
        <v>1E-3</v>
      </c>
      <c r="G748" s="142" t="s">
        <v>6</v>
      </c>
      <c r="H748" s="142" t="s">
        <v>5</v>
      </c>
      <c r="I748">
        <v>20</v>
      </c>
      <c r="J748">
        <v>50</v>
      </c>
      <c r="K748" s="142" t="s">
        <v>10</v>
      </c>
      <c r="L748">
        <v>568.55999999999995</v>
      </c>
      <c r="M748">
        <v>117.23</v>
      </c>
      <c r="N748">
        <v>568.53</v>
      </c>
      <c r="O748">
        <v>117.16</v>
      </c>
    </row>
    <row r="749" spans="1:15" x14ac:dyDescent="0.25">
      <c r="A749" s="142" t="s">
        <v>2560</v>
      </c>
      <c r="B749" s="142" t="s">
        <v>52</v>
      </c>
      <c r="C749" s="142" t="s">
        <v>2375</v>
      </c>
      <c r="D749">
        <v>0.1</v>
      </c>
      <c r="E749">
        <v>1</v>
      </c>
      <c r="F749">
        <v>1E-3</v>
      </c>
      <c r="G749" s="142" t="s">
        <v>6</v>
      </c>
      <c r="H749" s="142" t="s">
        <v>5</v>
      </c>
      <c r="I749">
        <v>50</v>
      </c>
      <c r="J749">
        <v>100</v>
      </c>
      <c r="K749" s="142" t="s">
        <v>10</v>
      </c>
      <c r="L749">
        <v>531.1</v>
      </c>
      <c r="M749">
        <v>578.21</v>
      </c>
      <c r="N749">
        <v>530.97</v>
      </c>
      <c r="O749">
        <v>578.19000000000005</v>
      </c>
    </row>
    <row r="750" spans="1:15" x14ac:dyDescent="0.25">
      <c r="A750" s="142" t="s">
        <v>2561</v>
      </c>
      <c r="B750" s="142" t="s">
        <v>52</v>
      </c>
      <c r="C750" s="142" t="s">
        <v>2375</v>
      </c>
      <c r="D750">
        <v>0.1</v>
      </c>
      <c r="E750">
        <v>1</v>
      </c>
      <c r="F750">
        <v>1E-3</v>
      </c>
      <c r="G750" s="142" t="s">
        <v>6</v>
      </c>
      <c r="H750" s="142" t="s">
        <v>5</v>
      </c>
      <c r="I750">
        <v>100</v>
      </c>
      <c r="J750">
        <v>300</v>
      </c>
      <c r="K750" s="142" t="s">
        <v>10</v>
      </c>
      <c r="L750">
        <v>418.96</v>
      </c>
      <c r="M750">
        <v>3207.2</v>
      </c>
      <c r="N750">
        <v>418.64</v>
      </c>
      <c r="O750">
        <v>3207.4</v>
      </c>
    </row>
    <row r="751" spans="1:15" x14ac:dyDescent="0.25">
      <c r="A751" s="142" t="s">
        <v>2562</v>
      </c>
      <c r="B751" s="142" t="s">
        <v>52</v>
      </c>
      <c r="C751" s="142" t="s">
        <v>2375</v>
      </c>
      <c r="D751">
        <v>0.1</v>
      </c>
      <c r="E751">
        <v>1</v>
      </c>
      <c r="F751">
        <v>1E-3</v>
      </c>
      <c r="G751" s="142" t="s">
        <v>6</v>
      </c>
      <c r="H751" s="142" t="s">
        <v>5</v>
      </c>
      <c r="I751">
        <v>300</v>
      </c>
      <c r="J751">
        <v>1000</v>
      </c>
      <c r="K751" s="142" t="s">
        <v>10</v>
      </c>
      <c r="L751">
        <v>203.93</v>
      </c>
      <c r="M751">
        <v>11916</v>
      </c>
      <c r="N751">
        <v>252.55</v>
      </c>
      <c r="O751">
        <v>11427</v>
      </c>
    </row>
    <row r="752" spans="1:15" x14ac:dyDescent="0.25">
      <c r="A752" s="142" t="s">
        <v>2563</v>
      </c>
      <c r="B752" s="142" t="s">
        <v>52</v>
      </c>
      <c r="C752" s="142" t="s">
        <v>2375</v>
      </c>
      <c r="D752">
        <v>0.1</v>
      </c>
      <c r="E752">
        <v>1</v>
      </c>
      <c r="F752">
        <v>1E-3</v>
      </c>
      <c r="G752" s="142" t="s">
        <v>6</v>
      </c>
      <c r="H752" s="142" t="s">
        <v>5</v>
      </c>
      <c r="I752">
        <v>1000</v>
      </c>
      <c r="J752">
        <v>2000</v>
      </c>
      <c r="K752" s="142" t="s">
        <v>10</v>
      </c>
      <c r="L752">
        <v>450</v>
      </c>
      <c r="M752">
        <v>17004</v>
      </c>
      <c r="N752">
        <v>211.96</v>
      </c>
      <c r="O752">
        <v>17241</v>
      </c>
    </row>
    <row r="753" spans="1:15" x14ac:dyDescent="0.25">
      <c r="A753" s="142" t="s">
        <v>2564</v>
      </c>
      <c r="B753" s="142" t="s">
        <v>52</v>
      </c>
      <c r="C753" s="142" t="s">
        <v>2375</v>
      </c>
      <c r="D753">
        <v>0.1</v>
      </c>
      <c r="E753">
        <v>1</v>
      </c>
      <c r="F753">
        <v>1E-3</v>
      </c>
      <c r="G753" s="142" t="s">
        <v>6</v>
      </c>
      <c r="H753" s="142" t="s">
        <v>4</v>
      </c>
      <c r="I753">
        <v>2000</v>
      </c>
      <c r="J753">
        <v>4000</v>
      </c>
      <c r="K753" s="142" t="s">
        <v>10</v>
      </c>
      <c r="L753">
        <v>1.1000000000000001</v>
      </c>
      <c r="M753">
        <v>46</v>
      </c>
      <c r="N753">
        <v>0.84177000000000002</v>
      </c>
      <c r="O753">
        <v>46.168999999999997</v>
      </c>
    </row>
    <row r="754" spans="1:15" x14ac:dyDescent="0.25">
      <c r="A754" s="142" t="s">
        <v>2565</v>
      </c>
      <c r="B754" s="142" t="s">
        <v>52</v>
      </c>
      <c r="C754" s="142" t="s">
        <v>2375</v>
      </c>
      <c r="D754">
        <v>0.1</v>
      </c>
      <c r="E754">
        <v>1</v>
      </c>
      <c r="F754">
        <v>1E-3</v>
      </c>
      <c r="G754" s="142" t="s">
        <v>6</v>
      </c>
      <c r="H754" s="142" t="s">
        <v>4</v>
      </c>
      <c r="I754">
        <v>4000</v>
      </c>
      <c r="J754">
        <v>8000</v>
      </c>
      <c r="K754" s="142" t="s">
        <v>10</v>
      </c>
      <c r="L754">
        <v>1.2</v>
      </c>
      <c r="M754">
        <v>46</v>
      </c>
      <c r="N754">
        <v>0.95648999999999995</v>
      </c>
      <c r="O754">
        <v>46.17</v>
      </c>
    </row>
    <row r="755" spans="1:15" x14ac:dyDescent="0.25">
      <c r="A755" s="142" t="s">
        <v>2566</v>
      </c>
      <c r="B755" s="142" t="s">
        <v>52</v>
      </c>
      <c r="C755" s="142" t="s">
        <v>2375</v>
      </c>
      <c r="D755">
        <v>0.1</v>
      </c>
      <c r="E755">
        <v>1</v>
      </c>
      <c r="F755">
        <v>1E-3</v>
      </c>
      <c r="G755" s="142" t="s">
        <v>6</v>
      </c>
      <c r="H755" s="142" t="s">
        <v>4</v>
      </c>
      <c r="I755">
        <v>8000</v>
      </c>
      <c r="J755">
        <v>10000</v>
      </c>
      <c r="K755" s="142" t="s">
        <v>10</v>
      </c>
      <c r="L755">
        <v>4.4000000000000004</v>
      </c>
      <c r="M755">
        <v>170</v>
      </c>
      <c r="N755">
        <v>1.1641999999999999</v>
      </c>
      <c r="O755">
        <v>173.21</v>
      </c>
    </row>
    <row r="756" spans="1:15" x14ac:dyDescent="0.25">
      <c r="A756" s="142" t="s">
        <v>2567</v>
      </c>
      <c r="B756" s="142" t="s">
        <v>52</v>
      </c>
      <c r="C756" s="142" t="s">
        <v>2375</v>
      </c>
      <c r="D756">
        <v>1</v>
      </c>
      <c r="E756">
        <v>10</v>
      </c>
      <c r="F756">
        <v>1E-3</v>
      </c>
      <c r="G756" s="142" t="s">
        <v>6</v>
      </c>
      <c r="H756" s="142" t="s">
        <v>4</v>
      </c>
      <c r="I756">
        <v>1E-3</v>
      </c>
      <c r="J756">
        <v>0.04</v>
      </c>
      <c r="K756" s="142" t="s">
        <v>10</v>
      </c>
      <c r="L756">
        <v>0.72423000000000004</v>
      </c>
      <c r="M756">
        <v>6.8597000000000005E-2</v>
      </c>
      <c r="N756">
        <v>0.72394000000000003</v>
      </c>
      <c r="O756">
        <v>6.8557000000000007E-2</v>
      </c>
    </row>
    <row r="757" spans="1:15" x14ac:dyDescent="0.25">
      <c r="A757" s="142" t="s">
        <v>2568</v>
      </c>
      <c r="B757" s="142" t="s">
        <v>52</v>
      </c>
      <c r="C757" s="142" t="s">
        <v>2375</v>
      </c>
      <c r="D757">
        <v>1</v>
      </c>
      <c r="E757">
        <v>10</v>
      </c>
      <c r="F757">
        <v>1E-3</v>
      </c>
      <c r="G757" s="142" t="s">
        <v>6</v>
      </c>
      <c r="H757" s="142" t="s">
        <v>4</v>
      </c>
      <c r="I757">
        <v>0.04</v>
      </c>
      <c r="J757">
        <v>1</v>
      </c>
      <c r="K757" s="142" t="s">
        <v>10</v>
      </c>
      <c r="L757">
        <v>0.59653999999999996</v>
      </c>
      <c r="M757">
        <v>6.0135000000000001E-2</v>
      </c>
      <c r="N757">
        <v>0.59618000000000004</v>
      </c>
      <c r="O757">
        <v>6.0088999999999997E-2</v>
      </c>
    </row>
    <row r="758" spans="1:15" x14ac:dyDescent="0.25">
      <c r="A758" s="142" t="s">
        <v>2569</v>
      </c>
      <c r="B758" s="142" t="s">
        <v>52</v>
      </c>
      <c r="C758" s="142" t="s">
        <v>2375</v>
      </c>
      <c r="D758">
        <v>1</v>
      </c>
      <c r="E758">
        <v>10</v>
      </c>
      <c r="F758">
        <v>1E-3</v>
      </c>
      <c r="G758" s="142" t="s">
        <v>6</v>
      </c>
      <c r="H758" s="142" t="s">
        <v>4</v>
      </c>
      <c r="I758">
        <v>1</v>
      </c>
      <c r="J758">
        <v>20</v>
      </c>
      <c r="K758" s="142" t="s">
        <v>10</v>
      </c>
      <c r="L758">
        <v>0.56171000000000004</v>
      </c>
      <c r="M758">
        <v>0.13803000000000001</v>
      </c>
      <c r="N758">
        <v>0.56030000000000002</v>
      </c>
      <c r="O758">
        <v>0.13804</v>
      </c>
    </row>
    <row r="759" spans="1:15" x14ac:dyDescent="0.25">
      <c r="A759" s="142" t="s">
        <v>2570</v>
      </c>
      <c r="B759" s="142" t="s">
        <v>52</v>
      </c>
      <c r="C759" s="142" t="s">
        <v>2375</v>
      </c>
      <c r="D759">
        <v>1</v>
      </c>
      <c r="E759">
        <v>10</v>
      </c>
      <c r="F759">
        <v>1E-3</v>
      </c>
      <c r="G759" s="142" t="s">
        <v>6</v>
      </c>
      <c r="H759" s="142" t="s">
        <v>4</v>
      </c>
      <c r="I759">
        <v>20</v>
      </c>
      <c r="J759">
        <v>50</v>
      </c>
      <c r="K759" s="142" t="s">
        <v>10</v>
      </c>
      <c r="L759">
        <v>0.49459999999999998</v>
      </c>
      <c r="M759">
        <v>0.32518999999999998</v>
      </c>
      <c r="N759">
        <v>0.49132999999999999</v>
      </c>
      <c r="O759">
        <v>0.32539000000000001</v>
      </c>
    </row>
    <row r="760" spans="1:15" x14ac:dyDescent="0.25">
      <c r="A760" s="142" t="s">
        <v>2571</v>
      </c>
      <c r="B760" s="142" t="s">
        <v>52</v>
      </c>
      <c r="C760" s="142" t="s">
        <v>2375</v>
      </c>
      <c r="D760">
        <v>1</v>
      </c>
      <c r="E760">
        <v>10</v>
      </c>
      <c r="F760">
        <v>1E-3</v>
      </c>
      <c r="G760" s="142" t="s">
        <v>6</v>
      </c>
      <c r="H760" s="142" t="s">
        <v>4</v>
      </c>
      <c r="I760">
        <v>50</v>
      </c>
      <c r="J760">
        <v>100</v>
      </c>
      <c r="K760" s="142" t="s">
        <v>10</v>
      </c>
      <c r="L760">
        <v>0.38418999999999998</v>
      </c>
      <c r="M760">
        <v>0.91052999999999995</v>
      </c>
      <c r="N760">
        <v>0.38030000000000003</v>
      </c>
      <c r="O760">
        <v>0.91083999999999998</v>
      </c>
    </row>
    <row r="761" spans="1:15" x14ac:dyDescent="0.25">
      <c r="A761" s="142" t="s">
        <v>2572</v>
      </c>
      <c r="B761" s="142" t="s">
        <v>52</v>
      </c>
      <c r="C761" s="142" t="s">
        <v>2375</v>
      </c>
      <c r="D761">
        <v>1</v>
      </c>
      <c r="E761">
        <v>10</v>
      </c>
      <c r="F761">
        <v>1E-3</v>
      </c>
      <c r="G761" s="142" t="s">
        <v>6</v>
      </c>
      <c r="H761" s="142" t="s">
        <v>4</v>
      </c>
      <c r="I761">
        <v>100</v>
      </c>
      <c r="J761">
        <v>300</v>
      </c>
      <c r="K761" s="142" t="s">
        <v>10</v>
      </c>
      <c r="L761">
        <v>1.2</v>
      </c>
      <c r="M761">
        <v>3.5</v>
      </c>
      <c r="N761">
        <v>1.1942999999999999</v>
      </c>
      <c r="O761">
        <v>3.4609000000000001</v>
      </c>
    </row>
    <row r="762" spans="1:15" x14ac:dyDescent="0.25">
      <c r="A762" s="142" t="s">
        <v>2573</v>
      </c>
      <c r="B762" s="142" t="s">
        <v>52</v>
      </c>
      <c r="C762" s="142" t="s">
        <v>2375</v>
      </c>
      <c r="D762">
        <v>1</v>
      </c>
      <c r="E762">
        <v>10</v>
      </c>
      <c r="F762">
        <v>1E-3</v>
      </c>
      <c r="G762" s="142" t="s">
        <v>6</v>
      </c>
      <c r="H762" s="142" t="s">
        <v>4</v>
      </c>
      <c r="I762">
        <v>300</v>
      </c>
      <c r="J762">
        <v>1000</v>
      </c>
      <c r="K762" s="142" t="s">
        <v>10</v>
      </c>
      <c r="L762">
        <v>1.2</v>
      </c>
      <c r="M762">
        <v>12</v>
      </c>
      <c r="N762">
        <v>1.1674</v>
      </c>
      <c r="O762">
        <v>11.55</v>
      </c>
    </row>
    <row r="763" spans="1:15" x14ac:dyDescent="0.25">
      <c r="A763" s="142" t="s">
        <v>2574</v>
      </c>
      <c r="B763" s="142" t="s">
        <v>52</v>
      </c>
      <c r="C763" s="142" t="s">
        <v>2375</v>
      </c>
      <c r="D763">
        <v>1</v>
      </c>
      <c r="E763">
        <v>10</v>
      </c>
      <c r="F763">
        <v>1E-3</v>
      </c>
      <c r="G763" s="142" t="s">
        <v>6</v>
      </c>
      <c r="H763" s="142" t="s">
        <v>4</v>
      </c>
      <c r="I763">
        <v>1000</v>
      </c>
      <c r="J763">
        <v>2000</v>
      </c>
      <c r="K763" s="142" t="s">
        <v>10</v>
      </c>
      <c r="L763">
        <v>4.5999999999999996</v>
      </c>
      <c r="M763">
        <v>17</v>
      </c>
      <c r="N763">
        <v>1.1523000000000001</v>
      </c>
      <c r="O763">
        <v>17.338999999999999</v>
      </c>
    </row>
    <row r="764" spans="1:15" x14ac:dyDescent="0.25">
      <c r="A764" s="142" t="s">
        <v>2575</v>
      </c>
      <c r="B764" s="142" t="s">
        <v>52</v>
      </c>
      <c r="C764" s="142" t="s">
        <v>2375</v>
      </c>
      <c r="D764">
        <v>1</v>
      </c>
      <c r="E764">
        <v>10</v>
      </c>
      <c r="F764">
        <v>1E-3</v>
      </c>
      <c r="G764" s="142" t="s">
        <v>6</v>
      </c>
      <c r="H764" s="142" t="s">
        <v>4</v>
      </c>
      <c r="I764">
        <v>2000</v>
      </c>
      <c r="J764">
        <v>4000</v>
      </c>
      <c r="K764" s="142" t="s">
        <v>10</v>
      </c>
      <c r="L764">
        <v>11</v>
      </c>
      <c r="M764">
        <v>46</v>
      </c>
      <c r="N764">
        <v>8.0823999999999998</v>
      </c>
      <c r="O764">
        <v>46.201000000000001</v>
      </c>
    </row>
    <row r="765" spans="1:15" x14ac:dyDescent="0.25">
      <c r="A765" s="142" t="s">
        <v>2576</v>
      </c>
      <c r="B765" s="142" t="s">
        <v>52</v>
      </c>
      <c r="C765" s="142" t="s">
        <v>2375</v>
      </c>
      <c r="D765">
        <v>1</v>
      </c>
      <c r="E765">
        <v>10</v>
      </c>
      <c r="F765">
        <v>1E-3</v>
      </c>
      <c r="G765" s="142" t="s">
        <v>6</v>
      </c>
      <c r="H765" s="142" t="s">
        <v>4</v>
      </c>
      <c r="I765">
        <v>4000</v>
      </c>
      <c r="J765">
        <v>8000</v>
      </c>
      <c r="K765" s="142" t="s">
        <v>10</v>
      </c>
      <c r="L765">
        <v>12</v>
      </c>
      <c r="M765">
        <v>46</v>
      </c>
      <c r="N765">
        <v>9.2357999999999993</v>
      </c>
      <c r="O765">
        <v>46.216000000000001</v>
      </c>
    </row>
    <row r="766" spans="1:15" x14ac:dyDescent="0.25">
      <c r="A766" s="142" t="s">
        <v>2577</v>
      </c>
      <c r="B766" s="142" t="s">
        <v>52</v>
      </c>
      <c r="C766" s="142" t="s">
        <v>2375</v>
      </c>
      <c r="D766">
        <v>1</v>
      </c>
      <c r="E766">
        <v>10</v>
      </c>
      <c r="F766">
        <v>1E-3</v>
      </c>
      <c r="G766" s="142" t="s">
        <v>6</v>
      </c>
      <c r="H766" s="142" t="s">
        <v>4</v>
      </c>
      <c r="I766">
        <v>8000</v>
      </c>
      <c r="J766">
        <v>10000</v>
      </c>
      <c r="K766" s="142" t="s">
        <v>10</v>
      </c>
      <c r="L766">
        <v>44</v>
      </c>
      <c r="M766">
        <v>170</v>
      </c>
      <c r="N766">
        <v>11.542</v>
      </c>
      <c r="O766">
        <v>173.22</v>
      </c>
    </row>
    <row r="767" spans="1:15" x14ac:dyDescent="0.25">
      <c r="A767" s="142" t="s">
        <v>2578</v>
      </c>
      <c r="B767" s="142" t="s">
        <v>52</v>
      </c>
      <c r="C767" s="142" t="s">
        <v>2375</v>
      </c>
      <c r="D767">
        <v>10</v>
      </c>
      <c r="E767">
        <v>100</v>
      </c>
      <c r="F767">
        <v>1E-3</v>
      </c>
      <c r="G767" s="142" t="s">
        <v>6</v>
      </c>
      <c r="H767" s="142" t="s">
        <v>4</v>
      </c>
      <c r="I767">
        <v>1E-3</v>
      </c>
      <c r="J767">
        <v>0.04</v>
      </c>
      <c r="K767" s="142" t="s">
        <v>10</v>
      </c>
      <c r="L767">
        <v>4.8</v>
      </c>
      <c r="M767">
        <v>0.23</v>
      </c>
      <c r="N767">
        <v>4.6429999999999998</v>
      </c>
      <c r="O767">
        <v>0.23122000000000001</v>
      </c>
    </row>
    <row r="768" spans="1:15" x14ac:dyDescent="0.25">
      <c r="A768" s="142" t="s">
        <v>2579</v>
      </c>
      <c r="B768" s="142" t="s">
        <v>52</v>
      </c>
      <c r="C768" s="142" t="s">
        <v>2375</v>
      </c>
      <c r="D768">
        <v>10</v>
      </c>
      <c r="E768">
        <v>100</v>
      </c>
      <c r="F768">
        <v>1E-3</v>
      </c>
      <c r="G768" s="142" t="s">
        <v>6</v>
      </c>
      <c r="H768" s="142" t="s">
        <v>4</v>
      </c>
      <c r="I768">
        <v>0.04</v>
      </c>
      <c r="J768">
        <v>1</v>
      </c>
      <c r="K768" s="142" t="s">
        <v>10</v>
      </c>
      <c r="L768">
        <v>2.5</v>
      </c>
      <c r="M768">
        <v>0.23</v>
      </c>
      <c r="N768">
        <v>2.3454000000000002</v>
      </c>
      <c r="O768">
        <v>0.23114999999999999</v>
      </c>
    </row>
    <row r="769" spans="1:15" x14ac:dyDescent="0.25">
      <c r="A769" s="142" t="s">
        <v>2580</v>
      </c>
      <c r="B769" s="142" t="s">
        <v>52</v>
      </c>
      <c r="C769" s="142" t="s">
        <v>2375</v>
      </c>
      <c r="D769">
        <v>10</v>
      </c>
      <c r="E769">
        <v>100</v>
      </c>
      <c r="F769">
        <v>1E-3</v>
      </c>
      <c r="G769" s="142" t="s">
        <v>6</v>
      </c>
      <c r="H769" s="142" t="s">
        <v>4</v>
      </c>
      <c r="I769">
        <v>1</v>
      </c>
      <c r="J769">
        <v>20</v>
      </c>
      <c r="K769" s="142" t="s">
        <v>10</v>
      </c>
      <c r="L769">
        <v>2.5</v>
      </c>
      <c r="M769">
        <v>0.23</v>
      </c>
      <c r="N769">
        <v>2.3454000000000002</v>
      </c>
      <c r="O769">
        <v>0.23114999999999999</v>
      </c>
    </row>
    <row r="770" spans="1:15" x14ac:dyDescent="0.25">
      <c r="A770" s="142" t="s">
        <v>2581</v>
      </c>
      <c r="B770" s="142" t="s">
        <v>52</v>
      </c>
      <c r="C770" s="142" t="s">
        <v>2375</v>
      </c>
      <c r="D770">
        <v>10</v>
      </c>
      <c r="E770">
        <v>100</v>
      </c>
      <c r="F770">
        <v>1E-3</v>
      </c>
      <c r="G770" s="142" t="s">
        <v>6</v>
      </c>
      <c r="H770" s="142" t="s">
        <v>4</v>
      </c>
      <c r="I770">
        <v>20</v>
      </c>
      <c r="J770">
        <v>50</v>
      </c>
      <c r="K770" s="142" t="s">
        <v>10</v>
      </c>
      <c r="L770">
        <v>2.8</v>
      </c>
      <c r="M770">
        <v>0.4</v>
      </c>
      <c r="N770">
        <v>2.3357999999999999</v>
      </c>
      <c r="O770">
        <v>0.40444000000000002</v>
      </c>
    </row>
    <row r="771" spans="1:15" x14ac:dyDescent="0.25">
      <c r="A771" s="142" t="s">
        <v>2582</v>
      </c>
      <c r="B771" s="142" t="s">
        <v>52</v>
      </c>
      <c r="C771" s="142" t="s">
        <v>2375</v>
      </c>
      <c r="D771">
        <v>10</v>
      </c>
      <c r="E771">
        <v>100</v>
      </c>
      <c r="F771">
        <v>1E-3</v>
      </c>
      <c r="G771" s="142" t="s">
        <v>6</v>
      </c>
      <c r="H771" s="142" t="s">
        <v>4</v>
      </c>
      <c r="I771">
        <v>50</v>
      </c>
      <c r="J771">
        <v>100</v>
      </c>
      <c r="K771" s="142" t="s">
        <v>10</v>
      </c>
      <c r="L771">
        <v>2.4</v>
      </c>
      <c r="M771">
        <v>1.4</v>
      </c>
      <c r="N771">
        <v>2.3187000000000002</v>
      </c>
      <c r="O771">
        <v>1.3858999999999999</v>
      </c>
    </row>
    <row r="772" spans="1:15" x14ac:dyDescent="0.25">
      <c r="A772" s="142" t="s">
        <v>2583</v>
      </c>
      <c r="B772" s="142" t="s">
        <v>52</v>
      </c>
      <c r="C772" s="142" t="s">
        <v>2375</v>
      </c>
      <c r="D772">
        <v>20</v>
      </c>
      <c r="E772">
        <v>100</v>
      </c>
      <c r="F772">
        <v>1E-3</v>
      </c>
      <c r="G772" s="142" t="s">
        <v>6</v>
      </c>
      <c r="H772" s="142" t="s">
        <v>4</v>
      </c>
      <c r="I772">
        <v>100</v>
      </c>
      <c r="J772">
        <v>300</v>
      </c>
      <c r="K772" s="142" t="s">
        <v>10</v>
      </c>
      <c r="L772">
        <v>15</v>
      </c>
      <c r="M772">
        <v>4.6028000000000002</v>
      </c>
      <c r="N772">
        <v>11.465</v>
      </c>
      <c r="O772">
        <v>4.6279000000000003</v>
      </c>
    </row>
    <row r="773" spans="1:15" x14ac:dyDescent="0.25">
      <c r="A773" s="142" t="s">
        <v>2584</v>
      </c>
      <c r="B773" s="142" t="s">
        <v>52</v>
      </c>
      <c r="C773" s="142" t="s">
        <v>2375</v>
      </c>
      <c r="D773">
        <v>20</v>
      </c>
      <c r="E773">
        <v>100</v>
      </c>
      <c r="F773">
        <v>1E-3</v>
      </c>
      <c r="G773" s="142" t="s">
        <v>6</v>
      </c>
      <c r="H773" s="142" t="s">
        <v>4</v>
      </c>
      <c r="I773">
        <v>300</v>
      </c>
      <c r="J773">
        <v>1000</v>
      </c>
      <c r="K773" s="142" t="s">
        <v>10</v>
      </c>
      <c r="L773">
        <v>46</v>
      </c>
      <c r="M773">
        <v>17.018999999999998</v>
      </c>
      <c r="N773">
        <v>11.337</v>
      </c>
      <c r="O773">
        <v>17.344000000000001</v>
      </c>
    </row>
    <row r="774" spans="1:15" x14ac:dyDescent="0.25">
      <c r="A774" s="142" t="s">
        <v>2585</v>
      </c>
      <c r="B774" s="142" t="s">
        <v>52</v>
      </c>
      <c r="C774" s="142" t="s">
        <v>2375</v>
      </c>
      <c r="D774">
        <v>100</v>
      </c>
      <c r="E774">
        <v>1000</v>
      </c>
      <c r="F774">
        <v>1E-3</v>
      </c>
      <c r="G774" s="142" t="s">
        <v>6</v>
      </c>
      <c r="H774" s="142" t="s">
        <v>4</v>
      </c>
      <c r="I774">
        <v>1E-3</v>
      </c>
      <c r="J774">
        <v>0.04</v>
      </c>
      <c r="K774" s="142" t="s">
        <v>10</v>
      </c>
      <c r="L774">
        <v>49</v>
      </c>
      <c r="M774">
        <v>0.46</v>
      </c>
      <c r="N774">
        <v>46.173000000000002</v>
      </c>
      <c r="O774">
        <v>0.46218999999999999</v>
      </c>
    </row>
    <row r="775" spans="1:15" x14ac:dyDescent="0.25">
      <c r="A775" s="142" t="s">
        <v>2586</v>
      </c>
      <c r="B775" s="142" t="s">
        <v>52</v>
      </c>
      <c r="C775" s="142" t="s">
        <v>2375</v>
      </c>
      <c r="D775">
        <v>100</v>
      </c>
      <c r="E775">
        <v>1000</v>
      </c>
      <c r="F775">
        <v>1E-3</v>
      </c>
      <c r="G775" s="142" t="s">
        <v>6</v>
      </c>
      <c r="H775" s="142" t="s">
        <v>4</v>
      </c>
      <c r="I775">
        <v>0.04</v>
      </c>
      <c r="J775">
        <v>1</v>
      </c>
      <c r="K775" s="142" t="s">
        <v>10</v>
      </c>
      <c r="L775">
        <v>26</v>
      </c>
      <c r="M775">
        <v>0.46</v>
      </c>
      <c r="N775">
        <v>23.079000000000001</v>
      </c>
      <c r="O775">
        <v>0.4622</v>
      </c>
    </row>
    <row r="776" spans="1:15" x14ac:dyDescent="0.25">
      <c r="A776" s="142" t="s">
        <v>2587</v>
      </c>
      <c r="B776" s="142" t="s">
        <v>52</v>
      </c>
      <c r="C776" s="142" t="s">
        <v>2375</v>
      </c>
      <c r="D776">
        <v>330</v>
      </c>
      <c r="E776">
        <v>1000</v>
      </c>
      <c r="F776">
        <v>1E-3</v>
      </c>
      <c r="G776" s="142" t="s">
        <v>6</v>
      </c>
      <c r="H776" s="142" t="s">
        <v>4</v>
      </c>
      <c r="I776">
        <v>10</v>
      </c>
      <c r="J776">
        <v>20</v>
      </c>
      <c r="K776" s="142" t="s">
        <v>10</v>
      </c>
      <c r="L776">
        <v>23</v>
      </c>
      <c r="M776">
        <v>0.7</v>
      </c>
      <c r="N776">
        <v>22.763999999999999</v>
      </c>
      <c r="O776">
        <v>0.69628000000000001</v>
      </c>
    </row>
    <row r="777" spans="1:15" x14ac:dyDescent="0.25">
      <c r="A777" s="142" t="s">
        <v>2588</v>
      </c>
      <c r="B777" s="142" t="s">
        <v>52</v>
      </c>
      <c r="C777" s="142" t="s">
        <v>2375</v>
      </c>
      <c r="D777">
        <v>330</v>
      </c>
      <c r="E777">
        <v>1000</v>
      </c>
      <c r="F777">
        <v>1E-3</v>
      </c>
      <c r="G777" s="142" t="s">
        <v>6</v>
      </c>
      <c r="H777" s="142" t="s">
        <v>4</v>
      </c>
      <c r="I777">
        <v>20</v>
      </c>
      <c r="J777">
        <v>50</v>
      </c>
      <c r="K777" s="142" t="s">
        <v>10</v>
      </c>
      <c r="L777">
        <v>23</v>
      </c>
      <c r="M777">
        <v>1.4</v>
      </c>
      <c r="N777">
        <v>22.620999999999999</v>
      </c>
      <c r="O777">
        <v>1.3908</v>
      </c>
    </row>
    <row r="778" spans="1:15" x14ac:dyDescent="0.25">
      <c r="A778" s="142" t="s">
        <v>2589</v>
      </c>
      <c r="B778" s="142" t="s">
        <v>52</v>
      </c>
      <c r="C778" s="142" t="s">
        <v>2375</v>
      </c>
      <c r="D778">
        <v>330</v>
      </c>
      <c r="E778">
        <v>1000</v>
      </c>
      <c r="F778">
        <v>1E-3</v>
      </c>
      <c r="G778" s="142" t="s">
        <v>6</v>
      </c>
      <c r="H778" s="142" t="s">
        <v>4</v>
      </c>
      <c r="I778">
        <v>50</v>
      </c>
      <c r="J778">
        <v>100</v>
      </c>
      <c r="K778" s="142" t="s">
        <v>10</v>
      </c>
      <c r="L778">
        <v>23</v>
      </c>
      <c r="M778">
        <v>3.5</v>
      </c>
      <c r="N778">
        <v>22.896999999999998</v>
      </c>
      <c r="O778">
        <v>3.4662000000000002</v>
      </c>
    </row>
    <row r="779" spans="1:15" x14ac:dyDescent="0.25">
      <c r="A779" s="142" t="s">
        <v>2590</v>
      </c>
      <c r="B779" s="142" t="s">
        <v>52</v>
      </c>
      <c r="C779" s="142" t="s">
        <v>2375</v>
      </c>
      <c r="D779">
        <v>0</v>
      </c>
      <c r="E779">
        <v>0.01</v>
      </c>
      <c r="F779">
        <v>0.01</v>
      </c>
      <c r="G779" s="142" t="s">
        <v>6</v>
      </c>
      <c r="H779" s="142" t="s">
        <v>5</v>
      </c>
      <c r="I779">
        <v>1E-3</v>
      </c>
      <c r="J779">
        <v>0.04</v>
      </c>
      <c r="K779" s="142" t="s">
        <v>10</v>
      </c>
      <c r="L779">
        <v>5773.6</v>
      </c>
      <c r="M779">
        <v>0.33572999999999997</v>
      </c>
      <c r="N779">
        <v>5773.6</v>
      </c>
      <c r="O779">
        <v>0.31315999999999999</v>
      </c>
    </row>
    <row r="780" spans="1:15" x14ac:dyDescent="0.25">
      <c r="A780" s="142" t="s">
        <v>2591</v>
      </c>
      <c r="B780" s="142" t="s">
        <v>52</v>
      </c>
      <c r="C780" s="142" t="s">
        <v>2375</v>
      </c>
      <c r="D780">
        <v>0</v>
      </c>
      <c r="E780">
        <v>0.01</v>
      </c>
      <c r="F780">
        <v>0.01</v>
      </c>
      <c r="G780" s="142" t="s">
        <v>6</v>
      </c>
      <c r="H780" s="142" t="s">
        <v>5</v>
      </c>
      <c r="I780">
        <v>0.04</v>
      </c>
      <c r="J780">
        <v>1</v>
      </c>
      <c r="K780" s="142" t="s">
        <v>10</v>
      </c>
      <c r="L780">
        <v>5773.6</v>
      </c>
      <c r="M780">
        <v>0.12012</v>
      </c>
      <c r="N780">
        <v>5773.6</v>
      </c>
      <c r="O780">
        <v>9.7544000000000006E-2</v>
      </c>
    </row>
    <row r="781" spans="1:15" x14ac:dyDescent="0.25">
      <c r="A781" s="142" t="s">
        <v>2592</v>
      </c>
      <c r="B781" s="142" t="s">
        <v>52</v>
      </c>
      <c r="C781" s="142" t="s">
        <v>2375</v>
      </c>
      <c r="D781">
        <v>0</v>
      </c>
      <c r="E781">
        <v>0.01</v>
      </c>
      <c r="F781">
        <v>0.01</v>
      </c>
      <c r="G781" s="142" t="s">
        <v>6</v>
      </c>
      <c r="H781" s="142" t="s">
        <v>5</v>
      </c>
      <c r="I781">
        <v>1</v>
      </c>
      <c r="J781">
        <v>20</v>
      </c>
      <c r="K781" s="142" t="s">
        <v>10</v>
      </c>
      <c r="L781">
        <v>5773.6</v>
      </c>
      <c r="M781">
        <v>0.20397000000000001</v>
      </c>
      <c r="N781">
        <v>5773.6</v>
      </c>
      <c r="O781">
        <v>0.18140000000000001</v>
      </c>
    </row>
    <row r="782" spans="1:15" x14ac:dyDescent="0.25">
      <c r="A782" s="142" t="s">
        <v>2593</v>
      </c>
      <c r="B782" s="142" t="s">
        <v>52</v>
      </c>
      <c r="C782" s="142" t="s">
        <v>2375</v>
      </c>
      <c r="D782">
        <v>0</v>
      </c>
      <c r="E782">
        <v>0.01</v>
      </c>
      <c r="F782">
        <v>0.01</v>
      </c>
      <c r="G782" s="142" t="s">
        <v>6</v>
      </c>
      <c r="H782" s="142" t="s">
        <v>5</v>
      </c>
      <c r="I782">
        <v>20</v>
      </c>
      <c r="J782">
        <v>50</v>
      </c>
      <c r="K782" s="142" t="s">
        <v>10</v>
      </c>
      <c r="L782">
        <v>5773.6</v>
      </c>
      <c r="M782">
        <v>1.4467000000000001</v>
      </c>
      <c r="N782">
        <v>5773.6</v>
      </c>
      <c r="O782">
        <v>1.4208000000000001</v>
      </c>
    </row>
    <row r="783" spans="1:15" x14ac:dyDescent="0.25">
      <c r="A783" s="142" t="s">
        <v>2594</v>
      </c>
      <c r="B783" s="142" t="s">
        <v>52</v>
      </c>
      <c r="C783" s="142" t="s">
        <v>2375</v>
      </c>
      <c r="D783">
        <v>0</v>
      </c>
      <c r="E783">
        <v>0.01</v>
      </c>
      <c r="F783">
        <v>0.01</v>
      </c>
      <c r="G783" s="142" t="s">
        <v>6</v>
      </c>
      <c r="H783" s="142" t="s">
        <v>5</v>
      </c>
      <c r="I783">
        <v>50</v>
      </c>
      <c r="J783">
        <v>100</v>
      </c>
      <c r="K783" s="142" t="s">
        <v>10</v>
      </c>
      <c r="L783">
        <v>5773.6</v>
      </c>
      <c r="M783">
        <v>30.564</v>
      </c>
      <c r="N783">
        <v>5773.5</v>
      </c>
      <c r="O783">
        <v>30.425999999999998</v>
      </c>
    </row>
    <row r="784" spans="1:15" x14ac:dyDescent="0.25">
      <c r="A784" s="142" t="s">
        <v>2595</v>
      </c>
      <c r="B784" s="142" t="s">
        <v>52</v>
      </c>
      <c r="C784" s="142" t="s">
        <v>2375</v>
      </c>
      <c r="D784">
        <v>0</v>
      </c>
      <c r="E784">
        <v>0.01</v>
      </c>
      <c r="F784">
        <v>0.01</v>
      </c>
      <c r="G784" s="142" t="s">
        <v>6</v>
      </c>
      <c r="H784" s="142" t="s">
        <v>5</v>
      </c>
      <c r="I784">
        <v>100</v>
      </c>
      <c r="J784">
        <v>300</v>
      </c>
      <c r="K784" s="142" t="s">
        <v>10</v>
      </c>
      <c r="L784">
        <v>5773.4</v>
      </c>
      <c r="M784">
        <v>1882</v>
      </c>
      <c r="N784">
        <v>5771.9</v>
      </c>
      <c r="O784">
        <v>1881.4</v>
      </c>
    </row>
    <row r="785" spans="1:15" x14ac:dyDescent="0.25">
      <c r="A785" s="142" t="s">
        <v>2596</v>
      </c>
      <c r="B785" s="142" t="s">
        <v>52</v>
      </c>
      <c r="C785" s="142" t="s">
        <v>2375</v>
      </c>
      <c r="D785">
        <v>0</v>
      </c>
      <c r="E785">
        <v>0.01</v>
      </c>
      <c r="F785">
        <v>0.01</v>
      </c>
      <c r="G785" s="142" t="s">
        <v>6</v>
      </c>
      <c r="H785" s="142" t="s">
        <v>5</v>
      </c>
      <c r="I785">
        <v>300</v>
      </c>
      <c r="J785">
        <v>1000</v>
      </c>
      <c r="K785" s="142" t="s">
        <v>10</v>
      </c>
      <c r="L785">
        <v>5773.4</v>
      </c>
      <c r="M785">
        <v>1909.6</v>
      </c>
      <c r="N785">
        <v>5771.9</v>
      </c>
      <c r="O785">
        <v>1909.1</v>
      </c>
    </row>
    <row r="786" spans="1:15" x14ac:dyDescent="0.25">
      <c r="A786" s="142" t="s">
        <v>2597</v>
      </c>
      <c r="B786" s="142" t="s">
        <v>52</v>
      </c>
      <c r="C786" s="142" t="s">
        <v>2375</v>
      </c>
      <c r="D786">
        <v>0</v>
      </c>
      <c r="E786">
        <v>0.01</v>
      </c>
      <c r="F786">
        <v>0.01</v>
      </c>
      <c r="G786" s="142" t="s">
        <v>6</v>
      </c>
      <c r="H786" s="142" t="s">
        <v>5</v>
      </c>
      <c r="I786">
        <v>1000</v>
      </c>
      <c r="J786">
        <v>4000</v>
      </c>
      <c r="K786" s="142" t="s">
        <v>10</v>
      </c>
      <c r="L786">
        <v>5773</v>
      </c>
      <c r="M786">
        <v>5804.4</v>
      </c>
      <c r="N786">
        <v>5765.9</v>
      </c>
      <c r="O786">
        <v>5799.8</v>
      </c>
    </row>
    <row r="787" spans="1:15" x14ac:dyDescent="0.25">
      <c r="A787" s="142" t="s">
        <v>2598</v>
      </c>
      <c r="B787" s="142" t="s">
        <v>52</v>
      </c>
      <c r="C787" s="142" t="s">
        <v>2375</v>
      </c>
      <c r="D787">
        <v>0</v>
      </c>
      <c r="E787">
        <v>0.01</v>
      </c>
      <c r="F787">
        <v>0.01</v>
      </c>
      <c r="G787" s="142" t="s">
        <v>6</v>
      </c>
      <c r="H787" s="142" t="s">
        <v>5</v>
      </c>
      <c r="I787">
        <v>4000</v>
      </c>
      <c r="J787">
        <v>8000</v>
      </c>
      <c r="K787" s="142" t="s">
        <v>10</v>
      </c>
      <c r="L787">
        <v>5769.2</v>
      </c>
      <c r="M787">
        <v>45273</v>
      </c>
      <c r="N787">
        <v>5750.9</v>
      </c>
      <c r="O787">
        <v>45265</v>
      </c>
    </row>
    <row r="788" spans="1:15" x14ac:dyDescent="0.25">
      <c r="A788" s="142" t="s">
        <v>2599</v>
      </c>
      <c r="B788" s="142" t="s">
        <v>52</v>
      </c>
      <c r="C788" s="142" t="s">
        <v>2375</v>
      </c>
      <c r="D788">
        <v>0.01</v>
      </c>
      <c r="E788">
        <v>0.1</v>
      </c>
      <c r="F788">
        <v>0.01</v>
      </c>
      <c r="G788" s="142" t="s">
        <v>6</v>
      </c>
      <c r="H788" s="142" t="s">
        <v>5</v>
      </c>
      <c r="I788">
        <v>1E-3</v>
      </c>
      <c r="J788">
        <v>0.04</v>
      </c>
      <c r="K788" s="142" t="s">
        <v>10</v>
      </c>
      <c r="L788">
        <v>5773.6</v>
      </c>
      <c r="M788">
        <v>0.13450000000000001</v>
      </c>
      <c r="N788">
        <v>5773.5</v>
      </c>
      <c r="O788">
        <v>0.13195000000000001</v>
      </c>
    </row>
    <row r="789" spans="1:15" x14ac:dyDescent="0.25">
      <c r="A789" s="142" t="s">
        <v>2600</v>
      </c>
      <c r="B789" s="142" t="s">
        <v>52</v>
      </c>
      <c r="C789" s="142" t="s">
        <v>2375</v>
      </c>
      <c r="D789">
        <v>0.01</v>
      </c>
      <c r="E789">
        <v>0.1</v>
      </c>
      <c r="F789">
        <v>0.01</v>
      </c>
      <c r="G789" s="142" t="s">
        <v>6</v>
      </c>
      <c r="H789" s="142" t="s">
        <v>5</v>
      </c>
      <c r="I789">
        <v>0.04</v>
      </c>
      <c r="J789">
        <v>1</v>
      </c>
      <c r="K789" s="142" t="s">
        <v>10</v>
      </c>
      <c r="L789">
        <v>5773.6</v>
      </c>
      <c r="M789">
        <v>0.10219</v>
      </c>
      <c r="N789">
        <v>5773.5</v>
      </c>
      <c r="O789">
        <v>9.9651000000000003E-2</v>
      </c>
    </row>
    <row r="790" spans="1:15" x14ac:dyDescent="0.25">
      <c r="A790" s="142" t="s">
        <v>2601</v>
      </c>
      <c r="B790" s="142" t="s">
        <v>52</v>
      </c>
      <c r="C790" s="142" t="s">
        <v>2375</v>
      </c>
      <c r="D790">
        <v>0.01</v>
      </c>
      <c r="E790">
        <v>0.1</v>
      </c>
      <c r="F790">
        <v>0.01</v>
      </c>
      <c r="G790" s="142" t="s">
        <v>6</v>
      </c>
      <c r="H790" s="142" t="s">
        <v>5</v>
      </c>
      <c r="I790">
        <v>1</v>
      </c>
      <c r="J790">
        <v>20</v>
      </c>
      <c r="K790" s="142" t="s">
        <v>10</v>
      </c>
      <c r="L790">
        <v>5773.6</v>
      </c>
      <c r="M790">
        <v>0.32079000000000002</v>
      </c>
      <c r="N790">
        <v>5773.5</v>
      </c>
      <c r="O790">
        <v>0.31824999999999998</v>
      </c>
    </row>
    <row r="791" spans="1:15" x14ac:dyDescent="0.25">
      <c r="A791" s="142" t="s">
        <v>2602</v>
      </c>
      <c r="B791" s="142" t="s">
        <v>52</v>
      </c>
      <c r="C791" s="142" t="s">
        <v>2375</v>
      </c>
      <c r="D791">
        <v>0.01</v>
      </c>
      <c r="E791">
        <v>0.1</v>
      </c>
      <c r="F791">
        <v>0.01</v>
      </c>
      <c r="G791" s="142" t="s">
        <v>6</v>
      </c>
      <c r="H791" s="142" t="s">
        <v>5</v>
      </c>
      <c r="I791">
        <v>20</v>
      </c>
      <c r="J791">
        <v>50</v>
      </c>
      <c r="K791" s="142" t="s">
        <v>10</v>
      </c>
      <c r="L791">
        <v>5773.5</v>
      </c>
      <c r="M791">
        <v>1.2965</v>
      </c>
      <c r="N791">
        <v>5773.4</v>
      </c>
      <c r="O791">
        <v>1.2871999999999999</v>
      </c>
    </row>
    <row r="792" spans="1:15" x14ac:dyDescent="0.25">
      <c r="A792" s="142" t="s">
        <v>2603</v>
      </c>
      <c r="B792" s="142" t="s">
        <v>52</v>
      </c>
      <c r="C792" s="142" t="s">
        <v>2375</v>
      </c>
      <c r="D792">
        <v>0.01</v>
      </c>
      <c r="E792">
        <v>0.1</v>
      </c>
      <c r="F792">
        <v>0.01</v>
      </c>
      <c r="G792" s="142" t="s">
        <v>6</v>
      </c>
      <c r="H792" s="142" t="s">
        <v>5</v>
      </c>
      <c r="I792">
        <v>50</v>
      </c>
      <c r="J792">
        <v>100</v>
      </c>
      <c r="K792" s="142" t="s">
        <v>10</v>
      </c>
      <c r="L792">
        <v>5773.5</v>
      </c>
      <c r="M792">
        <v>8.5385000000000009</v>
      </c>
      <c r="N792">
        <v>5772.7</v>
      </c>
      <c r="O792">
        <v>8.5025999999999993</v>
      </c>
    </row>
    <row r="793" spans="1:15" x14ac:dyDescent="0.25">
      <c r="A793" s="142" t="s">
        <v>2604</v>
      </c>
      <c r="B793" s="142" t="s">
        <v>52</v>
      </c>
      <c r="C793" s="142" t="s">
        <v>2375</v>
      </c>
      <c r="D793">
        <v>0.01</v>
      </c>
      <c r="E793">
        <v>0.1</v>
      </c>
      <c r="F793">
        <v>0.01</v>
      </c>
      <c r="G793" s="142" t="s">
        <v>6</v>
      </c>
      <c r="H793" s="142" t="s">
        <v>5</v>
      </c>
      <c r="I793">
        <v>100</v>
      </c>
      <c r="J793">
        <v>300</v>
      </c>
      <c r="K793" s="142" t="s">
        <v>10</v>
      </c>
      <c r="L793">
        <v>5772.5</v>
      </c>
      <c r="M793">
        <v>121.24</v>
      </c>
      <c r="N793">
        <v>5762.6</v>
      </c>
      <c r="O793">
        <v>121.13</v>
      </c>
    </row>
    <row r="794" spans="1:15" x14ac:dyDescent="0.25">
      <c r="A794" s="142" t="s">
        <v>2605</v>
      </c>
      <c r="B794" s="142" t="s">
        <v>52</v>
      </c>
      <c r="C794" s="142" t="s">
        <v>2375</v>
      </c>
      <c r="D794">
        <v>0.01</v>
      </c>
      <c r="E794">
        <v>0.1</v>
      </c>
      <c r="F794">
        <v>0.01</v>
      </c>
      <c r="G794" s="142" t="s">
        <v>6</v>
      </c>
      <c r="H794" s="142" t="s">
        <v>5</v>
      </c>
      <c r="I794">
        <v>300</v>
      </c>
      <c r="J794">
        <v>1000</v>
      </c>
      <c r="K794" s="142" t="s">
        <v>10</v>
      </c>
      <c r="L794">
        <v>5762.2</v>
      </c>
      <c r="M794">
        <v>1280.4000000000001</v>
      </c>
      <c r="N794">
        <v>5696</v>
      </c>
      <c r="O794">
        <v>1280.2</v>
      </c>
    </row>
    <row r="795" spans="1:15" x14ac:dyDescent="0.25">
      <c r="A795" s="142" t="s">
        <v>2606</v>
      </c>
      <c r="B795" s="142" t="s">
        <v>52</v>
      </c>
      <c r="C795" s="142" t="s">
        <v>2375</v>
      </c>
      <c r="D795">
        <v>0.1</v>
      </c>
      <c r="E795">
        <v>1</v>
      </c>
      <c r="F795">
        <v>0.01</v>
      </c>
      <c r="G795" s="142" t="s">
        <v>6</v>
      </c>
      <c r="H795" s="142" t="s">
        <v>5</v>
      </c>
      <c r="I795">
        <v>1E-3</v>
      </c>
      <c r="J795">
        <v>0.04</v>
      </c>
      <c r="K795" s="142" t="s">
        <v>10</v>
      </c>
      <c r="L795">
        <v>5773.7</v>
      </c>
      <c r="M795">
        <v>1.2887</v>
      </c>
      <c r="N795">
        <v>5773.7</v>
      </c>
      <c r="O795">
        <v>1.2847999999999999</v>
      </c>
    </row>
    <row r="796" spans="1:15" x14ac:dyDescent="0.25">
      <c r="A796" s="142" t="s">
        <v>2607</v>
      </c>
      <c r="B796" s="142" t="s">
        <v>52</v>
      </c>
      <c r="C796" s="142" t="s">
        <v>2375</v>
      </c>
      <c r="D796">
        <v>0.1</v>
      </c>
      <c r="E796">
        <v>1</v>
      </c>
      <c r="F796">
        <v>0.01</v>
      </c>
      <c r="G796" s="142" t="s">
        <v>6</v>
      </c>
      <c r="H796" s="142" t="s">
        <v>5</v>
      </c>
      <c r="I796">
        <v>0.04</v>
      </c>
      <c r="J796">
        <v>1</v>
      </c>
      <c r="K796" s="142" t="s">
        <v>10</v>
      </c>
      <c r="L796">
        <v>5773.5</v>
      </c>
      <c r="M796">
        <v>0.96309</v>
      </c>
      <c r="N796">
        <v>5773.5</v>
      </c>
      <c r="O796">
        <v>0.95914999999999995</v>
      </c>
    </row>
    <row r="797" spans="1:15" x14ac:dyDescent="0.25">
      <c r="A797" s="142" t="s">
        <v>2608</v>
      </c>
      <c r="B797" s="142" t="s">
        <v>52</v>
      </c>
      <c r="C797" s="142" t="s">
        <v>2375</v>
      </c>
      <c r="D797">
        <v>0.1</v>
      </c>
      <c r="E797">
        <v>1</v>
      </c>
      <c r="F797">
        <v>0.01</v>
      </c>
      <c r="G797" s="142" t="s">
        <v>6</v>
      </c>
      <c r="H797" s="142" t="s">
        <v>5</v>
      </c>
      <c r="I797">
        <v>1</v>
      </c>
      <c r="J797">
        <v>20</v>
      </c>
      <c r="K797" s="142" t="s">
        <v>10</v>
      </c>
      <c r="L797">
        <v>5773.4</v>
      </c>
      <c r="M797">
        <v>3.1684000000000001</v>
      </c>
      <c r="N797">
        <v>5773.4</v>
      </c>
      <c r="O797">
        <v>3.1539000000000001</v>
      </c>
    </row>
    <row r="798" spans="1:15" x14ac:dyDescent="0.25">
      <c r="A798" s="142" t="s">
        <v>2609</v>
      </c>
      <c r="B798" s="142" t="s">
        <v>52</v>
      </c>
      <c r="C798" s="142" t="s">
        <v>2375</v>
      </c>
      <c r="D798">
        <v>0.1</v>
      </c>
      <c r="E798">
        <v>1</v>
      </c>
      <c r="F798">
        <v>0.01</v>
      </c>
      <c r="G798" s="142" t="s">
        <v>6</v>
      </c>
      <c r="H798" s="142" t="s">
        <v>5</v>
      </c>
      <c r="I798">
        <v>20</v>
      </c>
      <c r="J798">
        <v>50</v>
      </c>
      <c r="K798" s="142" t="s">
        <v>10</v>
      </c>
      <c r="L798">
        <v>5772.6</v>
      </c>
      <c r="M798">
        <v>12.866</v>
      </c>
      <c r="N798">
        <v>5772.6</v>
      </c>
      <c r="O798">
        <v>12.831</v>
      </c>
    </row>
    <row r="799" spans="1:15" x14ac:dyDescent="0.25">
      <c r="A799" s="142" t="s">
        <v>2610</v>
      </c>
      <c r="B799" s="142" t="s">
        <v>52</v>
      </c>
      <c r="C799" s="142" t="s">
        <v>2375</v>
      </c>
      <c r="D799">
        <v>0.1</v>
      </c>
      <c r="E799">
        <v>1</v>
      </c>
      <c r="F799">
        <v>0.01</v>
      </c>
      <c r="G799" s="142" t="s">
        <v>6</v>
      </c>
      <c r="H799" s="142" t="s">
        <v>5</v>
      </c>
      <c r="I799">
        <v>50</v>
      </c>
      <c r="J799">
        <v>100</v>
      </c>
      <c r="K799" s="142" t="s">
        <v>10</v>
      </c>
      <c r="L799">
        <v>5766.3</v>
      </c>
      <c r="M799">
        <v>84.515000000000001</v>
      </c>
      <c r="N799">
        <v>5766.3</v>
      </c>
      <c r="O799">
        <v>84.447999999999993</v>
      </c>
    </row>
    <row r="800" spans="1:15" x14ac:dyDescent="0.25">
      <c r="A800" s="142" t="s">
        <v>2611</v>
      </c>
      <c r="B800" s="142" t="s">
        <v>52</v>
      </c>
      <c r="C800" s="142" t="s">
        <v>2375</v>
      </c>
      <c r="D800">
        <v>0.1</v>
      </c>
      <c r="E800">
        <v>1</v>
      </c>
      <c r="F800">
        <v>0.01</v>
      </c>
      <c r="G800" s="142" t="s">
        <v>6</v>
      </c>
      <c r="H800" s="142" t="s">
        <v>5</v>
      </c>
      <c r="I800">
        <v>100</v>
      </c>
      <c r="J800">
        <v>300</v>
      </c>
      <c r="K800" s="142" t="s">
        <v>10</v>
      </c>
      <c r="L800">
        <v>5680.9</v>
      </c>
      <c r="M800">
        <v>1112.5999999999999</v>
      </c>
      <c r="N800">
        <v>5680.8</v>
      </c>
      <c r="O800">
        <v>1112.5</v>
      </c>
    </row>
    <row r="801" spans="1:15" x14ac:dyDescent="0.25">
      <c r="A801" s="142" t="s">
        <v>2612</v>
      </c>
      <c r="B801" s="142" t="s">
        <v>52</v>
      </c>
      <c r="C801" s="142" t="s">
        <v>2375</v>
      </c>
      <c r="D801">
        <v>0.1</v>
      </c>
      <c r="E801">
        <v>1</v>
      </c>
      <c r="F801">
        <v>0.01</v>
      </c>
      <c r="G801" s="142" t="s">
        <v>6</v>
      </c>
      <c r="H801" s="142" t="s">
        <v>5</v>
      </c>
      <c r="I801">
        <v>300</v>
      </c>
      <c r="J801">
        <v>1000</v>
      </c>
      <c r="K801" s="142" t="s">
        <v>10</v>
      </c>
      <c r="L801">
        <v>5122.5</v>
      </c>
      <c r="M801">
        <v>7893.5</v>
      </c>
      <c r="N801">
        <v>5122.3</v>
      </c>
      <c r="O801">
        <v>7893.5</v>
      </c>
    </row>
    <row r="802" spans="1:15" x14ac:dyDescent="0.25">
      <c r="A802" s="142" t="s">
        <v>2613</v>
      </c>
      <c r="B802" s="142" t="s">
        <v>52</v>
      </c>
      <c r="C802" s="142" t="s">
        <v>2375</v>
      </c>
      <c r="D802">
        <v>0.1</v>
      </c>
      <c r="E802">
        <v>1</v>
      </c>
      <c r="F802">
        <v>0.01</v>
      </c>
      <c r="G802" s="142" t="s">
        <v>6</v>
      </c>
      <c r="H802" s="142" t="s">
        <v>5</v>
      </c>
      <c r="I802">
        <v>1000</v>
      </c>
      <c r="J802">
        <v>2000</v>
      </c>
      <c r="K802" s="142" t="s">
        <v>10</v>
      </c>
      <c r="L802">
        <v>4695.7</v>
      </c>
      <c r="M802">
        <v>13679</v>
      </c>
      <c r="N802">
        <v>4338</v>
      </c>
      <c r="O802">
        <v>13680</v>
      </c>
    </row>
    <row r="803" spans="1:15" x14ac:dyDescent="0.25">
      <c r="A803" s="142" t="s">
        <v>2614</v>
      </c>
      <c r="B803" s="142" t="s">
        <v>52</v>
      </c>
      <c r="C803" s="142" t="s">
        <v>2375</v>
      </c>
      <c r="D803">
        <v>0.1</v>
      </c>
      <c r="E803">
        <v>1</v>
      </c>
      <c r="F803">
        <v>0.01</v>
      </c>
      <c r="G803" s="142" t="s">
        <v>6</v>
      </c>
      <c r="H803" s="142" t="s">
        <v>4</v>
      </c>
      <c r="I803">
        <v>2000</v>
      </c>
      <c r="J803">
        <v>4000</v>
      </c>
      <c r="K803" s="142" t="s">
        <v>10</v>
      </c>
      <c r="L803">
        <v>3.5466000000000002</v>
      </c>
      <c r="M803">
        <v>43.816000000000003</v>
      </c>
      <c r="N803">
        <v>3.3075999999999999</v>
      </c>
      <c r="O803">
        <v>43.817999999999998</v>
      </c>
    </row>
    <row r="804" spans="1:15" x14ac:dyDescent="0.25">
      <c r="A804" s="142" t="s">
        <v>2615</v>
      </c>
      <c r="B804" s="142" t="s">
        <v>52</v>
      </c>
      <c r="C804" s="142" t="s">
        <v>2375</v>
      </c>
      <c r="D804">
        <v>0.1</v>
      </c>
      <c r="E804">
        <v>1</v>
      </c>
      <c r="F804">
        <v>0.01</v>
      </c>
      <c r="G804" s="142" t="s">
        <v>6</v>
      </c>
      <c r="H804" s="142" t="s">
        <v>4</v>
      </c>
      <c r="I804">
        <v>4000</v>
      </c>
      <c r="J804">
        <v>8000</v>
      </c>
      <c r="K804" s="142" t="s">
        <v>10</v>
      </c>
      <c r="L804">
        <v>3.6221999999999999</v>
      </c>
      <c r="M804">
        <v>43.854999999999997</v>
      </c>
      <c r="N804">
        <v>3.387</v>
      </c>
      <c r="O804">
        <v>43.856999999999999</v>
      </c>
    </row>
    <row r="805" spans="1:15" x14ac:dyDescent="0.25">
      <c r="A805" s="142" t="s">
        <v>2616</v>
      </c>
      <c r="B805" s="142" t="s">
        <v>52</v>
      </c>
      <c r="C805" s="142" t="s">
        <v>2375</v>
      </c>
      <c r="D805">
        <v>0.1</v>
      </c>
      <c r="E805">
        <v>1</v>
      </c>
      <c r="F805">
        <v>0.01</v>
      </c>
      <c r="G805" s="142" t="s">
        <v>6</v>
      </c>
      <c r="H805" s="142" t="s">
        <v>4</v>
      </c>
      <c r="I805">
        <v>8000</v>
      </c>
      <c r="J805">
        <v>10000</v>
      </c>
      <c r="K805" s="142" t="s">
        <v>10</v>
      </c>
      <c r="L805">
        <v>4.4743000000000004</v>
      </c>
      <c r="M805">
        <v>170.08</v>
      </c>
      <c r="N805">
        <v>2.0362</v>
      </c>
      <c r="O805">
        <v>172.34</v>
      </c>
    </row>
    <row r="806" spans="1:15" x14ac:dyDescent="0.25">
      <c r="A806" s="142" t="s">
        <v>2617</v>
      </c>
      <c r="B806" s="142" t="s">
        <v>52</v>
      </c>
      <c r="C806" s="142" t="s">
        <v>2375</v>
      </c>
      <c r="D806">
        <v>1</v>
      </c>
      <c r="E806">
        <v>10</v>
      </c>
      <c r="F806">
        <v>0.01</v>
      </c>
      <c r="G806" s="142" t="s">
        <v>6</v>
      </c>
      <c r="H806" s="142" t="s">
        <v>4</v>
      </c>
      <c r="I806">
        <v>1E-3</v>
      </c>
      <c r="J806">
        <v>0.04</v>
      </c>
      <c r="K806" s="142" t="s">
        <v>10</v>
      </c>
      <c r="L806">
        <v>5.7862999999999998</v>
      </c>
      <c r="M806">
        <v>1.2940999999999999E-2</v>
      </c>
      <c r="N806">
        <v>5.7861000000000002</v>
      </c>
      <c r="O806">
        <v>1.2886999999999999E-2</v>
      </c>
    </row>
    <row r="807" spans="1:15" x14ac:dyDescent="0.25">
      <c r="A807" s="142" t="s">
        <v>2618</v>
      </c>
      <c r="B807" s="142" t="s">
        <v>52</v>
      </c>
      <c r="C807" s="142" t="s">
        <v>2375</v>
      </c>
      <c r="D807">
        <v>1</v>
      </c>
      <c r="E807">
        <v>10</v>
      </c>
      <c r="F807">
        <v>0.01</v>
      </c>
      <c r="G807" s="142" t="s">
        <v>6</v>
      </c>
      <c r="H807" s="142" t="s">
        <v>4</v>
      </c>
      <c r="I807">
        <v>0.04</v>
      </c>
      <c r="J807">
        <v>1</v>
      </c>
      <c r="K807" s="142" t="s">
        <v>10</v>
      </c>
      <c r="L807">
        <v>5.7725</v>
      </c>
      <c r="M807">
        <v>9.6133E-3</v>
      </c>
      <c r="N807">
        <v>5.7724000000000002</v>
      </c>
      <c r="O807">
        <v>9.5592000000000003E-3</v>
      </c>
    </row>
    <row r="808" spans="1:15" x14ac:dyDescent="0.25">
      <c r="A808" s="142" t="s">
        <v>2619</v>
      </c>
      <c r="B808" s="142" t="s">
        <v>52</v>
      </c>
      <c r="C808" s="142" t="s">
        <v>2375</v>
      </c>
      <c r="D808">
        <v>1</v>
      </c>
      <c r="E808">
        <v>10</v>
      </c>
      <c r="F808">
        <v>0.01</v>
      </c>
      <c r="G808" s="142" t="s">
        <v>6</v>
      </c>
      <c r="H808" s="142" t="s">
        <v>4</v>
      </c>
      <c r="I808">
        <v>1</v>
      </c>
      <c r="J808">
        <v>20</v>
      </c>
      <c r="K808" s="142" t="s">
        <v>10</v>
      </c>
      <c r="L808">
        <v>5.7567000000000004</v>
      </c>
      <c r="M808">
        <v>3.0852000000000001E-2</v>
      </c>
      <c r="N808">
        <v>5.7561999999999998</v>
      </c>
      <c r="O808">
        <v>3.0741000000000001E-2</v>
      </c>
    </row>
    <row r="809" spans="1:15" x14ac:dyDescent="0.25">
      <c r="A809" s="142" t="s">
        <v>2620</v>
      </c>
      <c r="B809" s="142" t="s">
        <v>52</v>
      </c>
      <c r="C809" s="142" t="s">
        <v>2375</v>
      </c>
      <c r="D809">
        <v>1</v>
      </c>
      <c r="E809">
        <v>10</v>
      </c>
      <c r="F809">
        <v>0.01</v>
      </c>
      <c r="G809" s="142" t="s">
        <v>6</v>
      </c>
      <c r="H809" s="142" t="s">
        <v>4</v>
      </c>
      <c r="I809">
        <v>20</v>
      </c>
      <c r="J809">
        <v>50</v>
      </c>
      <c r="K809" s="142" t="s">
        <v>10</v>
      </c>
      <c r="L809">
        <v>5.6867999999999999</v>
      </c>
      <c r="M809">
        <v>0.11736000000000001</v>
      </c>
      <c r="N809">
        <v>5.6852</v>
      </c>
      <c r="O809">
        <v>0.11724999999999999</v>
      </c>
    </row>
    <row r="810" spans="1:15" x14ac:dyDescent="0.25">
      <c r="A810" s="142" t="s">
        <v>2621</v>
      </c>
      <c r="B810" s="142" t="s">
        <v>52</v>
      </c>
      <c r="C810" s="142" t="s">
        <v>2375</v>
      </c>
      <c r="D810">
        <v>1</v>
      </c>
      <c r="E810">
        <v>10</v>
      </c>
      <c r="F810">
        <v>0.01</v>
      </c>
      <c r="G810" s="142" t="s">
        <v>6</v>
      </c>
      <c r="H810" s="142" t="s">
        <v>4</v>
      </c>
      <c r="I810">
        <v>50</v>
      </c>
      <c r="J810">
        <v>100</v>
      </c>
      <c r="K810" s="142" t="s">
        <v>10</v>
      </c>
      <c r="L810">
        <v>5.3129</v>
      </c>
      <c r="M810">
        <v>0.57821</v>
      </c>
      <c r="N810">
        <v>5.3097000000000003</v>
      </c>
      <c r="O810">
        <v>0.57825000000000004</v>
      </c>
    </row>
    <row r="811" spans="1:15" x14ac:dyDescent="0.25">
      <c r="A811" s="142" t="s">
        <v>2622</v>
      </c>
      <c r="B811" s="142" t="s">
        <v>52</v>
      </c>
      <c r="C811" s="142" t="s">
        <v>2375</v>
      </c>
      <c r="D811">
        <v>1</v>
      </c>
      <c r="E811">
        <v>10</v>
      </c>
      <c r="F811">
        <v>0.01</v>
      </c>
      <c r="G811" s="142" t="s">
        <v>6</v>
      </c>
      <c r="H811" s="142" t="s">
        <v>4</v>
      </c>
      <c r="I811">
        <v>100</v>
      </c>
      <c r="J811">
        <v>300</v>
      </c>
      <c r="K811" s="142" t="s">
        <v>10</v>
      </c>
      <c r="L811">
        <v>4.1917999999999997</v>
      </c>
      <c r="M811">
        <v>3.2071000000000001</v>
      </c>
      <c r="N811">
        <v>4.1863000000000001</v>
      </c>
      <c r="O811">
        <v>3.2075</v>
      </c>
    </row>
    <row r="812" spans="1:15" x14ac:dyDescent="0.25">
      <c r="A812" s="142" t="s">
        <v>2623</v>
      </c>
      <c r="B812" s="142" t="s">
        <v>52</v>
      </c>
      <c r="C812" s="142" t="s">
        <v>2375</v>
      </c>
      <c r="D812">
        <v>1</v>
      </c>
      <c r="E812">
        <v>10</v>
      </c>
      <c r="F812">
        <v>0.01</v>
      </c>
      <c r="G812" s="142" t="s">
        <v>6</v>
      </c>
      <c r="H812" s="142" t="s">
        <v>4</v>
      </c>
      <c r="I812">
        <v>300</v>
      </c>
      <c r="J812">
        <v>1000</v>
      </c>
      <c r="K812" s="142" t="s">
        <v>10</v>
      </c>
      <c r="L812">
        <v>2.0432000000000001</v>
      </c>
      <c r="M812">
        <v>11.916</v>
      </c>
      <c r="N812">
        <v>2.5266000000000002</v>
      </c>
      <c r="O812">
        <v>11.428000000000001</v>
      </c>
    </row>
    <row r="813" spans="1:15" x14ac:dyDescent="0.25">
      <c r="A813" s="142" t="s">
        <v>2624</v>
      </c>
      <c r="B813" s="142" t="s">
        <v>52</v>
      </c>
      <c r="C813" s="142" t="s">
        <v>2375</v>
      </c>
      <c r="D813">
        <v>1</v>
      </c>
      <c r="E813">
        <v>10</v>
      </c>
      <c r="F813">
        <v>0.01</v>
      </c>
      <c r="G813" s="142" t="s">
        <v>6</v>
      </c>
      <c r="H813" s="142" t="s">
        <v>4</v>
      </c>
      <c r="I813">
        <v>1000</v>
      </c>
      <c r="J813">
        <v>2000</v>
      </c>
      <c r="K813" s="142" t="s">
        <v>10</v>
      </c>
      <c r="L813">
        <v>4.5999999999999996</v>
      </c>
      <c r="M813">
        <v>17.004000000000001</v>
      </c>
      <c r="N813">
        <v>2.1137000000000001</v>
      </c>
      <c r="O813">
        <v>17.251999999999999</v>
      </c>
    </row>
    <row r="814" spans="1:15" x14ac:dyDescent="0.25">
      <c r="A814" s="142" t="s">
        <v>2625</v>
      </c>
      <c r="B814" s="142" t="s">
        <v>52</v>
      </c>
      <c r="C814" s="142" t="s">
        <v>2375</v>
      </c>
      <c r="D814">
        <v>1</v>
      </c>
      <c r="E814">
        <v>10</v>
      </c>
      <c r="F814">
        <v>0.01</v>
      </c>
      <c r="G814" s="142" t="s">
        <v>6</v>
      </c>
      <c r="H814" s="142" t="s">
        <v>4</v>
      </c>
      <c r="I814">
        <v>2000</v>
      </c>
      <c r="J814">
        <v>4000</v>
      </c>
      <c r="K814" s="142" t="s">
        <v>10</v>
      </c>
      <c r="L814">
        <v>11</v>
      </c>
      <c r="M814">
        <v>46</v>
      </c>
      <c r="N814">
        <v>8.4155999999999995</v>
      </c>
      <c r="O814">
        <v>46.170999999999999</v>
      </c>
    </row>
    <row r="815" spans="1:15" x14ac:dyDescent="0.25">
      <c r="A815" s="142" t="s">
        <v>2626</v>
      </c>
      <c r="B815" s="142" t="s">
        <v>52</v>
      </c>
      <c r="C815" s="142" t="s">
        <v>2375</v>
      </c>
      <c r="D815">
        <v>1</v>
      </c>
      <c r="E815">
        <v>10</v>
      </c>
      <c r="F815">
        <v>0.01</v>
      </c>
      <c r="G815" s="142" t="s">
        <v>6</v>
      </c>
      <c r="H815" s="142" t="s">
        <v>4</v>
      </c>
      <c r="I815">
        <v>4000</v>
      </c>
      <c r="J815">
        <v>8000</v>
      </c>
      <c r="K815" s="142" t="s">
        <v>10</v>
      </c>
      <c r="L815">
        <v>12</v>
      </c>
      <c r="M815">
        <v>46</v>
      </c>
      <c r="N815">
        <v>9.5615000000000006</v>
      </c>
      <c r="O815">
        <v>46.186999999999998</v>
      </c>
    </row>
    <row r="816" spans="1:15" x14ac:dyDescent="0.25">
      <c r="A816" s="142" t="s">
        <v>2627</v>
      </c>
      <c r="B816" s="142" t="s">
        <v>52</v>
      </c>
      <c r="C816" s="142" t="s">
        <v>2375</v>
      </c>
      <c r="D816">
        <v>1</v>
      </c>
      <c r="E816">
        <v>10</v>
      </c>
      <c r="F816">
        <v>0.01</v>
      </c>
      <c r="G816" s="142" t="s">
        <v>6</v>
      </c>
      <c r="H816" s="142" t="s">
        <v>4</v>
      </c>
      <c r="I816">
        <v>8000</v>
      </c>
      <c r="J816">
        <v>10000</v>
      </c>
      <c r="K816" s="142" t="s">
        <v>10</v>
      </c>
      <c r="L816">
        <v>44</v>
      </c>
      <c r="M816">
        <v>170</v>
      </c>
      <c r="N816">
        <v>11.641999999999999</v>
      </c>
      <c r="O816">
        <v>173.21</v>
      </c>
    </row>
    <row r="817" spans="1:15" x14ac:dyDescent="0.25">
      <c r="A817" s="142" t="s">
        <v>2628</v>
      </c>
      <c r="B817" s="142" t="s">
        <v>52</v>
      </c>
      <c r="C817" s="142" t="s">
        <v>2375</v>
      </c>
      <c r="D817">
        <v>10</v>
      </c>
      <c r="E817">
        <v>100</v>
      </c>
      <c r="F817">
        <v>0.01</v>
      </c>
      <c r="G817" s="142" t="s">
        <v>6</v>
      </c>
      <c r="H817" s="142" t="s">
        <v>4</v>
      </c>
      <c r="I817">
        <v>1E-3</v>
      </c>
      <c r="J817">
        <v>0.04</v>
      </c>
      <c r="K817" s="142" t="s">
        <v>10</v>
      </c>
      <c r="L817">
        <v>6.8737000000000004</v>
      </c>
      <c r="M817">
        <v>0.21479999999999999</v>
      </c>
      <c r="N817">
        <v>6.8731</v>
      </c>
      <c r="O817">
        <v>0.21479999999999999</v>
      </c>
    </row>
    <row r="818" spans="1:15" x14ac:dyDescent="0.25">
      <c r="A818" s="142" t="s">
        <v>2629</v>
      </c>
      <c r="B818" s="142" t="s">
        <v>52</v>
      </c>
      <c r="C818" s="142" t="s">
        <v>2375</v>
      </c>
      <c r="D818">
        <v>10</v>
      </c>
      <c r="E818">
        <v>100</v>
      </c>
      <c r="F818">
        <v>0.01</v>
      </c>
      <c r="G818" s="142" t="s">
        <v>6</v>
      </c>
      <c r="H818" s="142" t="s">
        <v>4</v>
      </c>
      <c r="I818">
        <v>0.04</v>
      </c>
      <c r="J818">
        <v>1</v>
      </c>
      <c r="K818" s="142" t="s">
        <v>10</v>
      </c>
      <c r="L818">
        <v>5.3181000000000003</v>
      </c>
      <c r="M818">
        <v>0.20782999999999999</v>
      </c>
      <c r="N818">
        <v>5.3167</v>
      </c>
      <c r="O818">
        <v>0.20784</v>
      </c>
    </row>
    <row r="819" spans="1:15" x14ac:dyDescent="0.25">
      <c r="A819" s="142" t="s">
        <v>2630</v>
      </c>
      <c r="B819" s="142" t="s">
        <v>52</v>
      </c>
      <c r="C819" s="142" t="s">
        <v>2375</v>
      </c>
      <c r="D819">
        <v>10</v>
      </c>
      <c r="E819">
        <v>100</v>
      </c>
      <c r="F819">
        <v>0.01</v>
      </c>
      <c r="G819" s="142" t="s">
        <v>6</v>
      </c>
      <c r="H819" s="142" t="s">
        <v>4</v>
      </c>
      <c r="I819">
        <v>1</v>
      </c>
      <c r="J819">
        <v>20</v>
      </c>
      <c r="K819" s="142" t="s">
        <v>10</v>
      </c>
      <c r="L819">
        <v>5.3181000000000003</v>
      </c>
      <c r="M819">
        <v>0.20782999999999999</v>
      </c>
      <c r="N819">
        <v>5.3167</v>
      </c>
      <c r="O819">
        <v>0.20784</v>
      </c>
    </row>
    <row r="820" spans="1:15" x14ac:dyDescent="0.25">
      <c r="A820" s="142" t="s">
        <v>2631</v>
      </c>
      <c r="B820" s="142" t="s">
        <v>52</v>
      </c>
      <c r="C820" s="142" t="s">
        <v>2375</v>
      </c>
      <c r="D820">
        <v>10</v>
      </c>
      <c r="E820">
        <v>100</v>
      </c>
      <c r="F820">
        <v>0.01</v>
      </c>
      <c r="G820" s="142" t="s">
        <v>6</v>
      </c>
      <c r="H820" s="142" t="s">
        <v>4</v>
      </c>
      <c r="I820">
        <v>20</v>
      </c>
      <c r="J820">
        <v>50</v>
      </c>
      <c r="K820" s="142" t="s">
        <v>10</v>
      </c>
      <c r="L820">
        <v>4.7455999999999996</v>
      </c>
      <c r="M820">
        <v>0.38419999999999999</v>
      </c>
      <c r="N820">
        <v>4.7434000000000003</v>
      </c>
      <c r="O820">
        <v>0.38419999999999999</v>
      </c>
    </row>
    <row r="821" spans="1:15" x14ac:dyDescent="0.25">
      <c r="A821" s="142" t="s">
        <v>2632</v>
      </c>
      <c r="B821" s="142" t="s">
        <v>52</v>
      </c>
      <c r="C821" s="142" t="s">
        <v>2375</v>
      </c>
      <c r="D821">
        <v>10</v>
      </c>
      <c r="E821">
        <v>100</v>
      </c>
      <c r="F821">
        <v>0.01</v>
      </c>
      <c r="G821" s="142" t="s">
        <v>6</v>
      </c>
      <c r="H821" s="142" t="s">
        <v>4</v>
      </c>
      <c r="I821">
        <v>50</v>
      </c>
      <c r="J821">
        <v>100</v>
      </c>
      <c r="K821" s="142" t="s">
        <v>10</v>
      </c>
      <c r="L821">
        <v>3.2576000000000001</v>
      </c>
      <c r="M821">
        <v>1.3914</v>
      </c>
      <c r="N821">
        <v>3.4053</v>
      </c>
      <c r="O821">
        <v>1.3762000000000001</v>
      </c>
    </row>
    <row r="822" spans="1:15" x14ac:dyDescent="0.25">
      <c r="A822" s="142" t="s">
        <v>2633</v>
      </c>
      <c r="B822" s="142" t="s">
        <v>52</v>
      </c>
      <c r="C822" s="142" t="s">
        <v>2375</v>
      </c>
      <c r="D822">
        <v>20</v>
      </c>
      <c r="E822">
        <v>100</v>
      </c>
      <c r="F822">
        <v>0.01</v>
      </c>
      <c r="G822" s="142" t="s">
        <v>6</v>
      </c>
      <c r="H822" s="142" t="s">
        <v>4</v>
      </c>
      <c r="I822">
        <v>100</v>
      </c>
      <c r="J822">
        <v>300</v>
      </c>
      <c r="K822" s="142" t="s">
        <v>10</v>
      </c>
      <c r="L822">
        <v>15</v>
      </c>
      <c r="M822">
        <v>4.6032999999999999</v>
      </c>
      <c r="N822">
        <v>11.773</v>
      </c>
      <c r="O822">
        <v>4.6252000000000004</v>
      </c>
    </row>
    <row r="823" spans="1:15" x14ac:dyDescent="0.25">
      <c r="A823" s="142" t="s">
        <v>2634</v>
      </c>
      <c r="B823" s="142" t="s">
        <v>52</v>
      </c>
      <c r="C823" s="142" t="s">
        <v>2375</v>
      </c>
      <c r="D823">
        <v>20</v>
      </c>
      <c r="E823">
        <v>100</v>
      </c>
      <c r="F823">
        <v>0.01</v>
      </c>
      <c r="G823" s="142" t="s">
        <v>6</v>
      </c>
      <c r="H823" s="142" t="s">
        <v>4</v>
      </c>
      <c r="I823">
        <v>300</v>
      </c>
      <c r="J823">
        <v>1000</v>
      </c>
      <c r="K823" s="142" t="s">
        <v>10</v>
      </c>
      <c r="L823">
        <v>46</v>
      </c>
      <c r="M823">
        <v>17.018999999999998</v>
      </c>
      <c r="N823">
        <v>11.436</v>
      </c>
      <c r="O823">
        <v>17.343</v>
      </c>
    </row>
    <row r="824" spans="1:15" x14ac:dyDescent="0.25">
      <c r="A824" s="142" t="s">
        <v>2635</v>
      </c>
      <c r="B824" s="142" t="s">
        <v>52</v>
      </c>
      <c r="C824" s="142" t="s">
        <v>2375</v>
      </c>
      <c r="D824">
        <v>100</v>
      </c>
      <c r="E824">
        <v>1000</v>
      </c>
      <c r="F824">
        <v>0.01</v>
      </c>
      <c r="G824" s="142" t="s">
        <v>6</v>
      </c>
      <c r="H824" s="142" t="s">
        <v>4</v>
      </c>
      <c r="I824">
        <v>1E-3</v>
      </c>
      <c r="J824">
        <v>0.04</v>
      </c>
      <c r="K824" s="142" t="s">
        <v>10</v>
      </c>
      <c r="L824">
        <v>49</v>
      </c>
      <c r="M824">
        <v>0.46</v>
      </c>
      <c r="N824">
        <v>46.372999999999998</v>
      </c>
      <c r="O824">
        <v>0.46201999999999999</v>
      </c>
    </row>
    <row r="825" spans="1:15" x14ac:dyDescent="0.25">
      <c r="A825" s="142" t="s">
        <v>2636</v>
      </c>
      <c r="B825" s="142" t="s">
        <v>52</v>
      </c>
      <c r="C825" s="142" t="s">
        <v>2375</v>
      </c>
      <c r="D825">
        <v>100</v>
      </c>
      <c r="E825">
        <v>1000</v>
      </c>
      <c r="F825">
        <v>0.01</v>
      </c>
      <c r="G825" s="142" t="s">
        <v>6</v>
      </c>
      <c r="H825" s="142" t="s">
        <v>4</v>
      </c>
      <c r="I825">
        <v>0.04</v>
      </c>
      <c r="J825">
        <v>1</v>
      </c>
      <c r="K825" s="142" t="s">
        <v>10</v>
      </c>
      <c r="L825">
        <v>26</v>
      </c>
      <c r="M825">
        <v>0.46</v>
      </c>
      <c r="N825">
        <v>23.344000000000001</v>
      </c>
      <c r="O825">
        <v>0.46196999999999999</v>
      </c>
    </row>
    <row r="826" spans="1:15" x14ac:dyDescent="0.25">
      <c r="A826" s="142" t="s">
        <v>2637</v>
      </c>
      <c r="B826" s="142" t="s">
        <v>52</v>
      </c>
      <c r="C826" s="142" t="s">
        <v>2375</v>
      </c>
      <c r="D826">
        <v>330</v>
      </c>
      <c r="E826">
        <v>1000</v>
      </c>
      <c r="F826">
        <v>0.01</v>
      </c>
      <c r="G826" s="142" t="s">
        <v>6</v>
      </c>
      <c r="H826" s="142" t="s">
        <v>4</v>
      </c>
      <c r="I826">
        <v>10</v>
      </c>
      <c r="J826">
        <v>20</v>
      </c>
      <c r="K826" s="142" t="s">
        <v>10</v>
      </c>
      <c r="L826">
        <v>23</v>
      </c>
      <c r="M826">
        <v>0.7</v>
      </c>
      <c r="N826">
        <v>22.96</v>
      </c>
      <c r="O826">
        <v>0.69611000000000001</v>
      </c>
    </row>
    <row r="827" spans="1:15" x14ac:dyDescent="0.25">
      <c r="A827" s="142" t="s">
        <v>2638</v>
      </c>
      <c r="B827" s="142" t="s">
        <v>52</v>
      </c>
      <c r="C827" s="142" t="s">
        <v>2375</v>
      </c>
      <c r="D827">
        <v>330</v>
      </c>
      <c r="E827">
        <v>1000</v>
      </c>
      <c r="F827">
        <v>0.01</v>
      </c>
      <c r="G827" s="142" t="s">
        <v>6</v>
      </c>
      <c r="H827" s="142" t="s">
        <v>4</v>
      </c>
      <c r="I827">
        <v>20</v>
      </c>
      <c r="J827">
        <v>50</v>
      </c>
      <c r="K827" s="142" t="s">
        <v>10</v>
      </c>
      <c r="L827">
        <v>23</v>
      </c>
      <c r="M827">
        <v>1.4</v>
      </c>
      <c r="N827">
        <v>22.733000000000001</v>
      </c>
      <c r="O827">
        <v>1.3907</v>
      </c>
    </row>
    <row r="828" spans="1:15" x14ac:dyDescent="0.25">
      <c r="A828" s="142" t="s">
        <v>2639</v>
      </c>
      <c r="B828" s="142" t="s">
        <v>52</v>
      </c>
      <c r="C828" s="142" t="s">
        <v>2375</v>
      </c>
      <c r="D828">
        <v>330</v>
      </c>
      <c r="E828">
        <v>1000</v>
      </c>
      <c r="F828">
        <v>0.01</v>
      </c>
      <c r="G828" s="142" t="s">
        <v>6</v>
      </c>
      <c r="H828" s="142" t="s">
        <v>4</v>
      </c>
      <c r="I828">
        <v>50</v>
      </c>
      <c r="J828">
        <v>100</v>
      </c>
      <c r="K828" s="142" t="s">
        <v>10</v>
      </c>
      <c r="L828">
        <v>23</v>
      </c>
      <c r="M828">
        <v>3.5</v>
      </c>
      <c r="N828">
        <v>22.940999999999999</v>
      </c>
      <c r="O828">
        <v>3.4662000000000002</v>
      </c>
    </row>
    <row r="829" spans="1:15" x14ac:dyDescent="0.25">
      <c r="A829" s="142" t="s">
        <v>2640</v>
      </c>
      <c r="B829" s="142" t="s">
        <v>52</v>
      </c>
      <c r="C829" s="142" t="s">
        <v>2375</v>
      </c>
      <c r="D829">
        <v>0</v>
      </c>
      <c r="E829">
        <v>0.01</v>
      </c>
      <c r="F829">
        <v>0.1</v>
      </c>
      <c r="G829" s="142" t="s">
        <v>6</v>
      </c>
      <c r="H829" s="142" t="s">
        <v>5</v>
      </c>
      <c r="I829">
        <v>1000</v>
      </c>
      <c r="J829">
        <v>4000</v>
      </c>
      <c r="K829" s="142" t="s">
        <v>10</v>
      </c>
      <c r="L829">
        <v>57735</v>
      </c>
      <c r="M829">
        <v>584.69000000000005</v>
      </c>
      <c r="N829">
        <v>57728</v>
      </c>
      <c r="O829">
        <v>582.84</v>
      </c>
    </row>
    <row r="830" spans="1:15" x14ac:dyDescent="0.25">
      <c r="A830" s="142" t="s">
        <v>2641</v>
      </c>
      <c r="B830" s="142" t="s">
        <v>52</v>
      </c>
      <c r="C830" s="142" t="s">
        <v>2375</v>
      </c>
      <c r="D830">
        <v>0</v>
      </c>
      <c r="E830">
        <v>0.01</v>
      </c>
      <c r="F830">
        <v>0.1</v>
      </c>
      <c r="G830" s="142" t="s">
        <v>6</v>
      </c>
      <c r="H830" s="142" t="s">
        <v>5</v>
      </c>
      <c r="I830">
        <v>4000</v>
      </c>
      <c r="J830">
        <v>8000</v>
      </c>
      <c r="K830" s="142" t="s">
        <v>10</v>
      </c>
      <c r="L830">
        <v>57735</v>
      </c>
      <c r="M830">
        <v>4703.8</v>
      </c>
      <c r="N830">
        <v>57713</v>
      </c>
      <c r="O830">
        <v>4700.3999999999996</v>
      </c>
    </row>
    <row r="831" spans="1:15" x14ac:dyDescent="0.25">
      <c r="A831" s="142" t="s">
        <v>2642</v>
      </c>
      <c r="B831" s="142" t="s">
        <v>52</v>
      </c>
      <c r="C831" s="142" t="s">
        <v>2375</v>
      </c>
      <c r="D831">
        <v>0.1</v>
      </c>
      <c r="E831">
        <v>1</v>
      </c>
      <c r="F831">
        <v>0.1</v>
      </c>
      <c r="G831" s="142" t="s">
        <v>6</v>
      </c>
      <c r="H831" s="142" t="s">
        <v>5</v>
      </c>
      <c r="I831">
        <v>1E-3</v>
      </c>
      <c r="J831">
        <v>0.04</v>
      </c>
      <c r="K831" s="142" t="s">
        <v>10</v>
      </c>
      <c r="L831">
        <v>57736</v>
      </c>
      <c r="M831">
        <v>0.13006999999999999</v>
      </c>
      <c r="N831">
        <v>57735</v>
      </c>
      <c r="O831">
        <v>0.1285</v>
      </c>
    </row>
    <row r="832" spans="1:15" x14ac:dyDescent="0.25">
      <c r="A832" s="142" t="s">
        <v>2643</v>
      </c>
      <c r="B832" s="142" t="s">
        <v>52</v>
      </c>
      <c r="C832" s="142" t="s">
        <v>2375</v>
      </c>
      <c r="D832">
        <v>0.1</v>
      </c>
      <c r="E832">
        <v>1</v>
      </c>
      <c r="F832">
        <v>0.1</v>
      </c>
      <c r="G832" s="142" t="s">
        <v>6</v>
      </c>
      <c r="H832" s="142" t="s">
        <v>5</v>
      </c>
      <c r="I832">
        <v>0.04</v>
      </c>
      <c r="J832">
        <v>1</v>
      </c>
      <c r="K832" s="142" t="s">
        <v>10</v>
      </c>
      <c r="L832">
        <v>57736</v>
      </c>
      <c r="M832">
        <v>9.7498000000000001E-2</v>
      </c>
      <c r="N832">
        <v>57735</v>
      </c>
      <c r="O832">
        <v>9.5923999999999995E-2</v>
      </c>
    </row>
    <row r="833" spans="1:15" x14ac:dyDescent="0.25">
      <c r="A833" s="142" t="s">
        <v>2644</v>
      </c>
      <c r="B833" s="142" t="s">
        <v>52</v>
      </c>
      <c r="C833" s="142" t="s">
        <v>2375</v>
      </c>
      <c r="D833">
        <v>0.1</v>
      </c>
      <c r="E833">
        <v>1</v>
      </c>
      <c r="F833">
        <v>0.1</v>
      </c>
      <c r="G833" s="142" t="s">
        <v>6</v>
      </c>
      <c r="H833" s="142" t="s">
        <v>5</v>
      </c>
      <c r="I833">
        <v>1</v>
      </c>
      <c r="J833">
        <v>20</v>
      </c>
      <c r="K833" s="142" t="s">
        <v>10</v>
      </c>
      <c r="L833">
        <v>57736</v>
      </c>
      <c r="M833">
        <v>0.32125999999999999</v>
      </c>
      <c r="N833">
        <v>57735</v>
      </c>
      <c r="O833">
        <v>0.31546999999999997</v>
      </c>
    </row>
    <row r="834" spans="1:15" x14ac:dyDescent="0.25">
      <c r="A834" s="142" t="s">
        <v>2645</v>
      </c>
      <c r="B834" s="142" t="s">
        <v>52</v>
      </c>
      <c r="C834" s="142" t="s">
        <v>2375</v>
      </c>
      <c r="D834">
        <v>0.1</v>
      </c>
      <c r="E834">
        <v>1</v>
      </c>
      <c r="F834">
        <v>0.1</v>
      </c>
      <c r="G834" s="142" t="s">
        <v>6</v>
      </c>
      <c r="H834" s="142" t="s">
        <v>5</v>
      </c>
      <c r="I834">
        <v>20</v>
      </c>
      <c r="J834">
        <v>50</v>
      </c>
      <c r="K834" s="142" t="s">
        <v>10</v>
      </c>
      <c r="L834">
        <v>57735</v>
      </c>
      <c r="M834">
        <v>1.2983</v>
      </c>
      <c r="N834">
        <v>57734</v>
      </c>
      <c r="O834">
        <v>1.2844</v>
      </c>
    </row>
    <row r="835" spans="1:15" x14ac:dyDescent="0.25">
      <c r="A835" s="142" t="s">
        <v>2646</v>
      </c>
      <c r="B835" s="142" t="s">
        <v>52</v>
      </c>
      <c r="C835" s="142" t="s">
        <v>2375</v>
      </c>
      <c r="D835">
        <v>0.1</v>
      </c>
      <c r="E835">
        <v>1</v>
      </c>
      <c r="F835">
        <v>0.1</v>
      </c>
      <c r="G835" s="142" t="s">
        <v>6</v>
      </c>
      <c r="H835" s="142" t="s">
        <v>5</v>
      </c>
      <c r="I835">
        <v>50</v>
      </c>
      <c r="J835">
        <v>100</v>
      </c>
      <c r="K835" s="142" t="s">
        <v>10</v>
      </c>
      <c r="L835">
        <v>57735</v>
      </c>
      <c r="M835">
        <v>8.5290999999999997</v>
      </c>
      <c r="N835">
        <v>57727</v>
      </c>
      <c r="O835">
        <v>8.5015000000000001</v>
      </c>
    </row>
    <row r="836" spans="1:15" x14ac:dyDescent="0.25">
      <c r="A836" s="142" t="s">
        <v>2647</v>
      </c>
      <c r="B836" s="142" t="s">
        <v>52</v>
      </c>
      <c r="C836" s="142" t="s">
        <v>2375</v>
      </c>
      <c r="D836">
        <v>0.1</v>
      </c>
      <c r="E836">
        <v>1</v>
      </c>
      <c r="F836">
        <v>0.1</v>
      </c>
      <c r="G836" s="142" t="s">
        <v>6</v>
      </c>
      <c r="H836" s="142" t="s">
        <v>5</v>
      </c>
      <c r="I836">
        <v>100</v>
      </c>
      <c r="J836">
        <v>300</v>
      </c>
      <c r="K836" s="142" t="s">
        <v>10</v>
      </c>
      <c r="L836">
        <v>57725</v>
      </c>
      <c r="M836">
        <v>121.19</v>
      </c>
      <c r="N836">
        <v>57626</v>
      </c>
      <c r="O836">
        <v>121.14</v>
      </c>
    </row>
    <row r="837" spans="1:15" x14ac:dyDescent="0.25">
      <c r="A837" s="142" t="s">
        <v>2648</v>
      </c>
      <c r="B837" s="142" t="s">
        <v>52</v>
      </c>
      <c r="C837" s="142" t="s">
        <v>2375</v>
      </c>
      <c r="D837">
        <v>0.1</v>
      </c>
      <c r="E837">
        <v>1</v>
      </c>
      <c r="F837">
        <v>0.1</v>
      </c>
      <c r="G837" s="142" t="s">
        <v>6</v>
      </c>
      <c r="H837" s="142" t="s">
        <v>5</v>
      </c>
      <c r="I837">
        <v>300</v>
      </c>
      <c r="J837">
        <v>1000</v>
      </c>
      <c r="K837" s="142" t="s">
        <v>10</v>
      </c>
      <c r="L837">
        <v>57622</v>
      </c>
      <c r="M837">
        <v>1280.9000000000001</v>
      </c>
      <c r="N837">
        <v>56960</v>
      </c>
      <c r="O837">
        <v>1280.8</v>
      </c>
    </row>
    <row r="838" spans="1:15" x14ac:dyDescent="0.25">
      <c r="A838" s="142" t="s">
        <v>2649</v>
      </c>
      <c r="B838" s="142" t="s">
        <v>52</v>
      </c>
      <c r="C838" s="142" t="s">
        <v>2375</v>
      </c>
      <c r="D838">
        <v>1</v>
      </c>
      <c r="E838">
        <v>10</v>
      </c>
      <c r="F838">
        <v>0.1</v>
      </c>
      <c r="G838" s="142" t="s">
        <v>6</v>
      </c>
      <c r="H838" s="142" t="s">
        <v>4</v>
      </c>
      <c r="I838">
        <v>1E-3</v>
      </c>
      <c r="J838">
        <v>0.04</v>
      </c>
      <c r="K838" s="142" t="s">
        <v>10</v>
      </c>
      <c r="L838">
        <v>57.737000000000002</v>
      </c>
      <c r="M838">
        <v>1.3293000000000001E-3</v>
      </c>
      <c r="N838">
        <v>57.737000000000002</v>
      </c>
      <c r="O838">
        <v>1.3071999999999999E-3</v>
      </c>
    </row>
    <row r="839" spans="1:15" x14ac:dyDescent="0.25">
      <c r="A839" s="142" t="s">
        <v>2650</v>
      </c>
      <c r="B839" s="142" t="s">
        <v>52</v>
      </c>
      <c r="C839" s="142" t="s">
        <v>2375</v>
      </c>
      <c r="D839">
        <v>1</v>
      </c>
      <c r="E839">
        <v>10</v>
      </c>
      <c r="F839">
        <v>0.1</v>
      </c>
      <c r="G839" s="142" t="s">
        <v>6</v>
      </c>
      <c r="H839" s="142" t="s">
        <v>4</v>
      </c>
      <c r="I839">
        <v>0.04</v>
      </c>
      <c r="J839">
        <v>1</v>
      </c>
      <c r="K839" s="142" t="s">
        <v>10</v>
      </c>
      <c r="L839">
        <v>57.734999999999999</v>
      </c>
      <c r="M839">
        <v>9.8645000000000004E-4</v>
      </c>
      <c r="N839">
        <v>57.734999999999999</v>
      </c>
      <c r="O839">
        <v>9.6434999999999999E-4</v>
      </c>
    </row>
    <row r="840" spans="1:15" x14ac:dyDescent="0.25">
      <c r="A840" s="142" t="s">
        <v>2651</v>
      </c>
      <c r="B840" s="142" t="s">
        <v>52</v>
      </c>
      <c r="C840" s="142" t="s">
        <v>2375</v>
      </c>
      <c r="D840">
        <v>1</v>
      </c>
      <c r="E840">
        <v>10</v>
      </c>
      <c r="F840">
        <v>0.1</v>
      </c>
      <c r="G840" s="142" t="s">
        <v>6</v>
      </c>
      <c r="H840" s="142" t="s">
        <v>4</v>
      </c>
      <c r="I840">
        <v>1</v>
      </c>
      <c r="J840">
        <v>20</v>
      </c>
      <c r="K840" s="142" t="s">
        <v>10</v>
      </c>
      <c r="L840">
        <v>57.734000000000002</v>
      </c>
      <c r="M840">
        <v>3.2019000000000001E-3</v>
      </c>
      <c r="N840">
        <v>57.734000000000002</v>
      </c>
      <c r="O840">
        <v>3.1540000000000001E-3</v>
      </c>
    </row>
    <row r="841" spans="1:15" x14ac:dyDescent="0.25">
      <c r="A841" s="142" t="s">
        <v>2652</v>
      </c>
      <c r="B841" s="142" t="s">
        <v>52</v>
      </c>
      <c r="C841" s="142" t="s">
        <v>2375</v>
      </c>
      <c r="D841">
        <v>1</v>
      </c>
      <c r="E841">
        <v>10</v>
      </c>
      <c r="F841">
        <v>0.1</v>
      </c>
      <c r="G841" s="142" t="s">
        <v>6</v>
      </c>
      <c r="H841" s="142" t="s">
        <v>4</v>
      </c>
      <c r="I841">
        <v>20</v>
      </c>
      <c r="J841">
        <v>50</v>
      </c>
      <c r="K841" s="142" t="s">
        <v>10</v>
      </c>
      <c r="L841">
        <v>57.725999999999999</v>
      </c>
      <c r="M841">
        <v>1.2906000000000001E-2</v>
      </c>
      <c r="N841">
        <v>57.725999999999999</v>
      </c>
      <c r="O841">
        <v>1.2841999999999999E-2</v>
      </c>
    </row>
    <row r="842" spans="1:15" x14ac:dyDescent="0.25">
      <c r="A842" s="142" t="s">
        <v>2653</v>
      </c>
      <c r="B842" s="142" t="s">
        <v>52</v>
      </c>
      <c r="C842" s="142" t="s">
        <v>2375</v>
      </c>
      <c r="D842">
        <v>1</v>
      </c>
      <c r="E842">
        <v>10</v>
      </c>
      <c r="F842">
        <v>0.1</v>
      </c>
      <c r="G842" s="142" t="s">
        <v>6</v>
      </c>
      <c r="H842" s="142" t="s">
        <v>4</v>
      </c>
      <c r="I842">
        <v>50</v>
      </c>
      <c r="J842">
        <v>100</v>
      </c>
      <c r="K842" s="142" t="s">
        <v>10</v>
      </c>
      <c r="L842">
        <v>57.664000000000001</v>
      </c>
      <c r="M842">
        <v>8.455E-2</v>
      </c>
      <c r="N842">
        <v>57.662999999999997</v>
      </c>
      <c r="O842">
        <v>8.4459000000000006E-2</v>
      </c>
    </row>
    <row r="843" spans="1:15" x14ac:dyDescent="0.25">
      <c r="A843" s="142" t="s">
        <v>2654</v>
      </c>
      <c r="B843" s="142" t="s">
        <v>52</v>
      </c>
      <c r="C843" s="142" t="s">
        <v>2375</v>
      </c>
      <c r="D843">
        <v>1</v>
      </c>
      <c r="E843">
        <v>10</v>
      </c>
      <c r="F843">
        <v>0.1</v>
      </c>
      <c r="G843" s="142" t="s">
        <v>6</v>
      </c>
      <c r="H843" s="142" t="s">
        <v>4</v>
      </c>
      <c r="I843">
        <v>100</v>
      </c>
      <c r="J843">
        <v>300</v>
      </c>
      <c r="K843" s="142" t="s">
        <v>10</v>
      </c>
      <c r="L843">
        <v>56.81</v>
      </c>
      <c r="M843">
        <v>1.1127</v>
      </c>
      <c r="N843">
        <v>56.807000000000002</v>
      </c>
      <c r="O843">
        <v>1.1126</v>
      </c>
    </row>
    <row r="844" spans="1:15" x14ac:dyDescent="0.25">
      <c r="A844" s="142" t="s">
        <v>2655</v>
      </c>
      <c r="B844" s="142" t="s">
        <v>52</v>
      </c>
      <c r="C844" s="142" t="s">
        <v>2375</v>
      </c>
      <c r="D844">
        <v>1</v>
      </c>
      <c r="E844">
        <v>10</v>
      </c>
      <c r="F844">
        <v>0.1</v>
      </c>
      <c r="G844" s="142" t="s">
        <v>6</v>
      </c>
      <c r="H844" s="142" t="s">
        <v>4</v>
      </c>
      <c r="I844">
        <v>300</v>
      </c>
      <c r="J844">
        <v>1000</v>
      </c>
      <c r="K844" s="142" t="s">
        <v>10</v>
      </c>
      <c r="L844">
        <v>51.225999999999999</v>
      </c>
      <c r="M844">
        <v>7.8943000000000003</v>
      </c>
      <c r="N844">
        <v>51.222999999999999</v>
      </c>
      <c r="O844">
        <v>7.8944000000000001</v>
      </c>
    </row>
    <row r="845" spans="1:15" x14ac:dyDescent="0.25">
      <c r="A845" s="142" t="s">
        <v>2656</v>
      </c>
      <c r="B845" s="142" t="s">
        <v>52</v>
      </c>
      <c r="C845" s="142" t="s">
        <v>2375</v>
      </c>
      <c r="D845">
        <v>1</v>
      </c>
      <c r="E845">
        <v>10</v>
      </c>
      <c r="F845">
        <v>0.1</v>
      </c>
      <c r="G845" s="142" t="s">
        <v>6</v>
      </c>
      <c r="H845" s="142" t="s">
        <v>4</v>
      </c>
      <c r="I845">
        <v>1000</v>
      </c>
      <c r="J845">
        <v>2000</v>
      </c>
      <c r="K845" s="142" t="s">
        <v>10</v>
      </c>
      <c r="L845">
        <v>46.954999999999998</v>
      </c>
      <c r="M845">
        <v>13.69</v>
      </c>
      <c r="N845">
        <v>43.37</v>
      </c>
      <c r="O845">
        <v>13.691000000000001</v>
      </c>
    </row>
    <row r="846" spans="1:15" x14ac:dyDescent="0.25">
      <c r="A846" s="142" t="s">
        <v>2657</v>
      </c>
      <c r="B846" s="142" t="s">
        <v>52</v>
      </c>
      <c r="C846" s="142" t="s">
        <v>2375</v>
      </c>
      <c r="D846">
        <v>1</v>
      </c>
      <c r="E846">
        <v>10</v>
      </c>
      <c r="F846">
        <v>0.1</v>
      </c>
      <c r="G846" s="142" t="s">
        <v>6</v>
      </c>
      <c r="H846" s="142" t="s">
        <v>4</v>
      </c>
      <c r="I846">
        <v>2000</v>
      </c>
      <c r="J846">
        <v>4000</v>
      </c>
      <c r="K846" s="142" t="s">
        <v>10</v>
      </c>
      <c r="L846">
        <v>35.450000000000003</v>
      </c>
      <c r="M846">
        <v>43.82</v>
      </c>
      <c r="N846">
        <v>33.073999999999998</v>
      </c>
      <c r="O846">
        <v>43.82</v>
      </c>
    </row>
    <row r="847" spans="1:15" x14ac:dyDescent="0.25">
      <c r="A847" s="142" t="s">
        <v>2658</v>
      </c>
      <c r="B847" s="142" t="s">
        <v>52</v>
      </c>
      <c r="C847" s="142" t="s">
        <v>2375</v>
      </c>
      <c r="D847">
        <v>1</v>
      </c>
      <c r="E847">
        <v>10</v>
      </c>
      <c r="F847">
        <v>0.1</v>
      </c>
      <c r="G847" s="142" t="s">
        <v>6</v>
      </c>
      <c r="H847" s="142" t="s">
        <v>4</v>
      </c>
      <c r="I847">
        <v>4000</v>
      </c>
      <c r="J847">
        <v>8000</v>
      </c>
      <c r="K847" s="142" t="s">
        <v>10</v>
      </c>
      <c r="L847">
        <v>36.200000000000003</v>
      </c>
      <c r="M847">
        <v>43.874000000000002</v>
      </c>
      <c r="N847">
        <v>33.863</v>
      </c>
      <c r="O847">
        <v>43.874000000000002</v>
      </c>
    </row>
    <row r="848" spans="1:15" x14ac:dyDescent="0.25">
      <c r="A848" s="142" t="s">
        <v>2659</v>
      </c>
      <c r="B848" s="142" t="s">
        <v>52</v>
      </c>
      <c r="C848" s="142" t="s">
        <v>2375</v>
      </c>
      <c r="D848">
        <v>1</v>
      </c>
      <c r="E848">
        <v>10</v>
      </c>
      <c r="F848">
        <v>0.1</v>
      </c>
      <c r="G848" s="142" t="s">
        <v>6</v>
      </c>
      <c r="H848" s="142" t="s">
        <v>4</v>
      </c>
      <c r="I848">
        <v>8000</v>
      </c>
      <c r="J848">
        <v>10000</v>
      </c>
      <c r="K848" s="142" t="s">
        <v>10</v>
      </c>
      <c r="L848">
        <v>44.758000000000003</v>
      </c>
      <c r="M848">
        <v>170.08</v>
      </c>
      <c r="N848">
        <v>20.361999999999998</v>
      </c>
      <c r="O848">
        <v>172.34</v>
      </c>
    </row>
    <row r="849" spans="1:15" x14ac:dyDescent="0.25">
      <c r="A849" s="142" t="s">
        <v>2660</v>
      </c>
      <c r="B849" s="142" t="s">
        <v>52</v>
      </c>
      <c r="C849" s="142" t="s">
        <v>2375</v>
      </c>
      <c r="D849">
        <v>10</v>
      </c>
      <c r="E849">
        <v>100</v>
      </c>
      <c r="F849">
        <v>0.1</v>
      </c>
      <c r="G849" s="142" t="s">
        <v>6</v>
      </c>
      <c r="H849" s="142" t="s">
        <v>4</v>
      </c>
      <c r="I849">
        <v>1E-3</v>
      </c>
      <c r="J849">
        <v>0.04</v>
      </c>
      <c r="K849" s="142" t="s">
        <v>10</v>
      </c>
      <c r="L849">
        <v>57.494</v>
      </c>
      <c r="M849">
        <v>6.5697000000000005E-2</v>
      </c>
      <c r="N849">
        <v>57.493000000000002</v>
      </c>
      <c r="O849">
        <v>6.5689999999999998E-2</v>
      </c>
    </row>
    <row r="850" spans="1:15" x14ac:dyDescent="0.25">
      <c r="A850" s="142" t="s">
        <v>2661</v>
      </c>
      <c r="B850" s="142" t="s">
        <v>52</v>
      </c>
      <c r="C850" s="142" t="s">
        <v>2375</v>
      </c>
      <c r="D850">
        <v>10</v>
      </c>
      <c r="E850">
        <v>100</v>
      </c>
      <c r="F850">
        <v>0.1</v>
      </c>
      <c r="G850" s="142" t="s">
        <v>6</v>
      </c>
      <c r="H850" s="142" t="s">
        <v>4</v>
      </c>
      <c r="I850">
        <v>0.04</v>
      </c>
      <c r="J850">
        <v>1</v>
      </c>
      <c r="K850" s="142" t="s">
        <v>10</v>
      </c>
      <c r="L850">
        <v>57.344999999999999</v>
      </c>
      <c r="M850">
        <v>5.7534000000000002E-2</v>
      </c>
      <c r="N850">
        <v>57.344999999999999</v>
      </c>
      <c r="O850">
        <v>5.7526000000000001E-2</v>
      </c>
    </row>
    <row r="851" spans="1:15" x14ac:dyDescent="0.25">
      <c r="A851" s="142" t="s">
        <v>2662</v>
      </c>
      <c r="B851" s="142" t="s">
        <v>52</v>
      </c>
      <c r="C851" s="142" t="s">
        <v>2375</v>
      </c>
      <c r="D851">
        <v>10</v>
      </c>
      <c r="E851">
        <v>100</v>
      </c>
      <c r="F851">
        <v>0.1</v>
      </c>
      <c r="G851" s="142" t="s">
        <v>6</v>
      </c>
      <c r="H851" s="142" t="s">
        <v>4</v>
      </c>
      <c r="I851">
        <v>1</v>
      </c>
      <c r="J851">
        <v>20</v>
      </c>
      <c r="K851" s="142" t="s">
        <v>10</v>
      </c>
      <c r="L851">
        <v>57.344999999999999</v>
      </c>
      <c r="M851">
        <v>5.7534000000000002E-2</v>
      </c>
      <c r="N851">
        <v>57.344999999999999</v>
      </c>
      <c r="O851">
        <v>5.7526000000000001E-2</v>
      </c>
    </row>
    <row r="852" spans="1:15" x14ac:dyDescent="0.25">
      <c r="A852" s="142" t="s">
        <v>2663</v>
      </c>
      <c r="B852" s="142" t="s">
        <v>52</v>
      </c>
      <c r="C852" s="142" t="s">
        <v>2375</v>
      </c>
      <c r="D852">
        <v>10</v>
      </c>
      <c r="E852">
        <v>100</v>
      </c>
      <c r="F852">
        <v>0.1</v>
      </c>
      <c r="G852" s="142" t="s">
        <v>6</v>
      </c>
      <c r="H852" s="142" t="s">
        <v>4</v>
      </c>
      <c r="I852">
        <v>20</v>
      </c>
      <c r="J852">
        <v>50</v>
      </c>
      <c r="K852" s="142" t="s">
        <v>10</v>
      </c>
      <c r="L852">
        <v>56.555</v>
      </c>
      <c r="M852">
        <v>0.15304000000000001</v>
      </c>
      <c r="N852">
        <v>56.554000000000002</v>
      </c>
      <c r="O852">
        <v>0.15301000000000001</v>
      </c>
    </row>
    <row r="853" spans="1:15" x14ac:dyDescent="0.25">
      <c r="A853" s="142" t="s">
        <v>2664</v>
      </c>
      <c r="B853" s="142" t="s">
        <v>52</v>
      </c>
      <c r="C853" s="142" t="s">
        <v>2375</v>
      </c>
      <c r="D853">
        <v>10</v>
      </c>
      <c r="E853">
        <v>100</v>
      </c>
      <c r="F853">
        <v>0.1</v>
      </c>
      <c r="G853" s="142" t="s">
        <v>6</v>
      </c>
      <c r="H853" s="142" t="s">
        <v>4</v>
      </c>
      <c r="I853">
        <v>50</v>
      </c>
      <c r="J853">
        <v>100</v>
      </c>
      <c r="K853" s="142" t="s">
        <v>10</v>
      </c>
      <c r="L853">
        <v>49.707999999999998</v>
      </c>
      <c r="M853">
        <v>1.0257000000000001</v>
      </c>
      <c r="N853">
        <v>49.704000000000001</v>
      </c>
      <c r="O853">
        <v>1.0257000000000001</v>
      </c>
    </row>
    <row r="854" spans="1:15" x14ac:dyDescent="0.25">
      <c r="A854" s="142" t="s">
        <v>2665</v>
      </c>
      <c r="B854" s="142" t="s">
        <v>52</v>
      </c>
      <c r="C854" s="142" t="s">
        <v>2375</v>
      </c>
      <c r="D854">
        <v>20</v>
      </c>
      <c r="E854">
        <v>100</v>
      </c>
      <c r="F854">
        <v>0.1</v>
      </c>
      <c r="G854" s="142" t="s">
        <v>6</v>
      </c>
      <c r="H854" s="142" t="s">
        <v>4</v>
      </c>
      <c r="I854">
        <v>100</v>
      </c>
      <c r="J854">
        <v>300</v>
      </c>
      <c r="K854" s="142" t="s">
        <v>10</v>
      </c>
      <c r="L854">
        <v>37.695</v>
      </c>
      <c r="M854">
        <v>4.4008000000000003</v>
      </c>
      <c r="N854">
        <v>37.639000000000003</v>
      </c>
      <c r="O854">
        <v>4.4012000000000002</v>
      </c>
    </row>
    <row r="855" spans="1:15" x14ac:dyDescent="0.25">
      <c r="A855" s="142" t="s">
        <v>2666</v>
      </c>
      <c r="B855" s="142" t="s">
        <v>52</v>
      </c>
      <c r="C855" s="142" t="s">
        <v>2375</v>
      </c>
      <c r="D855">
        <v>20</v>
      </c>
      <c r="E855">
        <v>100</v>
      </c>
      <c r="F855">
        <v>0.1</v>
      </c>
      <c r="G855" s="142" t="s">
        <v>6</v>
      </c>
      <c r="H855" s="142" t="s">
        <v>4</v>
      </c>
      <c r="I855">
        <v>300</v>
      </c>
      <c r="J855">
        <v>1000</v>
      </c>
      <c r="K855" s="142" t="s">
        <v>10</v>
      </c>
      <c r="L855">
        <v>46</v>
      </c>
      <c r="M855">
        <v>17.03</v>
      </c>
      <c r="N855">
        <v>21.015999999999998</v>
      </c>
      <c r="O855">
        <v>17.257000000000001</v>
      </c>
    </row>
    <row r="856" spans="1:15" x14ac:dyDescent="0.25">
      <c r="A856" s="142" t="s">
        <v>2667</v>
      </c>
      <c r="B856" s="142" t="s">
        <v>52</v>
      </c>
      <c r="C856" s="142" t="s">
        <v>2375</v>
      </c>
      <c r="D856">
        <v>100</v>
      </c>
      <c r="E856">
        <v>1000</v>
      </c>
      <c r="F856">
        <v>0.1</v>
      </c>
      <c r="G856" s="142" t="s">
        <v>6</v>
      </c>
      <c r="H856" s="142" t="s">
        <v>4</v>
      </c>
      <c r="I856">
        <v>1E-3</v>
      </c>
      <c r="J856">
        <v>0.04</v>
      </c>
      <c r="K856" s="142" t="s">
        <v>10</v>
      </c>
      <c r="L856">
        <v>64.218000000000004</v>
      </c>
      <c r="M856">
        <v>0.44741999999999998</v>
      </c>
      <c r="N856">
        <v>64.207999999999998</v>
      </c>
      <c r="O856">
        <v>0.44741999999999998</v>
      </c>
    </row>
    <row r="857" spans="1:15" x14ac:dyDescent="0.25">
      <c r="A857" s="142" t="s">
        <v>2668</v>
      </c>
      <c r="B857" s="142" t="s">
        <v>52</v>
      </c>
      <c r="C857" s="142" t="s">
        <v>2375</v>
      </c>
      <c r="D857">
        <v>100</v>
      </c>
      <c r="E857">
        <v>1000</v>
      </c>
      <c r="F857">
        <v>0.1</v>
      </c>
      <c r="G857" s="142" t="s">
        <v>6</v>
      </c>
      <c r="H857" s="142" t="s">
        <v>4</v>
      </c>
      <c r="I857">
        <v>0.04</v>
      </c>
      <c r="J857">
        <v>1</v>
      </c>
      <c r="K857" s="142" t="s">
        <v>10</v>
      </c>
      <c r="L857">
        <v>45.935000000000002</v>
      </c>
      <c r="M857">
        <v>0.44278000000000001</v>
      </c>
      <c r="N857">
        <v>45.921999999999997</v>
      </c>
      <c r="O857">
        <v>0.44278000000000001</v>
      </c>
    </row>
    <row r="858" spans="1:15" x14ac:dyDescent="0.25">
      <c r="A858" s="142" t="s">
        <v>2669</v>
      </c>
      <c r="B858" s="142" t="s">
        <v>52</v>
      </c>
      <c r="C858" s="142" t="s">
        <v>2375</v>
      </c>
      <c r="D858">
        <v>330</v>
      </c>
      <c r="E858">
        <v>1000</v>
      </c>
      <c r="F858">
        <v>0.1</v>
      </c>
      <c r="G858" s="142" t="s">
        <v>6</v>
      </c>
      <c r="H858" s="142" t="s">
        <v>4</v>
      </c>
      <c r="I858">
        <v>10</v>
      </c>
      <c r="J858">
        <v>20</v>
      </c>
      <c r="K858" s="142" t="s">
        <v>10</v>
      </c>
      <c r="L858">
        <v>40.834000000000003</v>
      </c>
      <c r="M858">
        <v>0.68217000000000005</v>
      </c>
      <c r="N858">
        <v>40.9</v>
      </c>
      <c r="O858">
        <v>0.68045999999999995</v>
      </c>
    </row>
    <row r="859" spans="1:15" x14ac:dyDescent="0.25">
      <c r="A859" s="142" t="s">
        <v>2670</v>
      </c>
      <c r="B859" s="142" t="s">
        <v>52</v>
      </c>
      <c r="C859" s="142" t="s">
        <v>2375</v>
      </c>
      <c r="D859">
        <v>330</v>
      </c>
      <c r="E859">
        <v>1000</v>
      </c>
      <c r="F859">
        <v>0.1</v>
      </c>
      <c r="G859" s="142" t="s">
        <v>6</v>
      </c>
      <c r="H859" s="142" t="s">
        <v>4</v>
      </c>
      <c r="I859">
        <v>20</v>
      </c>
      <c r="J859">
        <v>50</v>
      </c>
      <c r="K859" s="142" t="s">
        <v>10</v>
      </c>
      <c r="L859">
        <v>32.841999999999999</v>
      </c>
      <c r="M859">
        <v>1.3902000000000001</v>
      </c>
      <c r="N859">
        <v>33.6</v>
      </c>
      <c r="O859">
        <v>1.381</v>
      </c>
    </row>
    <row r="860" spans="1:15" x14ac:dyDescent="0.25">
      <c r="A860" s="142" t="s">
        <v>2671</v>
      </c>
      <c r="B860" s="142" t="s">
        <v>52</v>
      </c>
      <c r="C860" s="142" t="s">
        <v>2375</v>
      </c>
      <c r="D860">
        <v>330</v>
      </c>
      <c r="E860">
        <v>1000</v>
      </c>
      <c r="F860">
        <v>0.1</v>
      </c>
      <c r="G860" s="142" t="s">
        <v>6</v>
      </c>
      <c r="H860" s="142" t="s">
        <v>4</v>
      </c>
      <c r="I860">
        <v>50</v>
      </c>
      <c r="J860">
        <v>100</v>
      </c>
      <c r="K860" s="142" t="s">
        <v>10</v>
      </c>
      <c r="L860">
        <v>24.314</v>
      </c>
      <c r="M860">
        <v>3.4986999999999999</v>
      </c>
      <c r="N860">
        <v>27.869</v>
      </c>
      <c r="O860">
        <v>3.4617</v>
      </c>
    </row>
    <row r="861" spans="1:15" x14ac:dyDescent="0.25">
      <c r="A861" s="142" t="s">
        <v>2672</v>
      </c>
      <c r="B861" s="142" t="s">
        <v>52</v>
      </c>
      <c r="C861" s="142" t="s">
        <v>2375</v>
      </c>
      <c r="D861">
        <v>0</v>
      </c>
      <c r="E861">
        <v>0.01</v>
      </c>
      <c r="F861">
        <v>1</v>
      </c>
      <c r="G861" s="142" t="s">
        <v>6</v>
      </c>
      <c r="H861" s="142" t="s">
        <v>5</v>
      </c>
      <c r="I861">
        <v>1000</v>
      </c>
      <c r="J861">
        <v>4000</v>
      </c>
      <c r="K861" s="142" t="s">
        <v>10</v>
      </c>
      <c r="L861">
        <v>577360</v>
      </c>
      <c r="M861">
        <v>59.029000000000003</v>
      </c>
      <c r="N861">
        <v>577350</v>
      </c>
      <c r="O861">
        <v>58.286999999999999</v>
      </c>
    </row>
    <row r="862" spans="1:15" x14ac:dyDescent="0.25">
      <c r="A862" s="142" t="s">
        <v>2673</v>
      </c>
      <c r="B862" s="142" t="s">
        <v>52</v>
      </c>
      <c r="C862" s="142" t="s">
        <v>2375</v>
      </c>
      <c r="D862">
        <v>0</v>
      </c>
      <c r="E862">
        <v>0.01</v>
      </c>
      <c r="F862">
        <v>1</v>
      </c>
      <c r="G862" s="142" t="s">
        <v>6</v>
      </c>
      <c r="H862" s="142" t="s">
        <v>5</v>
      </c>
      <c r="I862">
        <v>4000</v>
      </c>
      <c r="J862">
        <v>8000</v>
      </c>
      <c r="K862" s="142" t="s">
        <v>10</v>
      </c>
      <c r="L862">
        <v>577360</v>
      </c>
      <c r="M862">
        <v>471.61</v>
      </c>
      <c r="N862">
        <v>577330</v>
      </c>
      <c r="O862">
        <v>470.23</v>
      </c>
    </row>
    <row r="863" spans="1:15" x14ac:dyDescent="0.25">
      <c r="A863" s="142" t="s">
        <v>2674</v>
      </c>
      <c r="B863" s="142" t="s">
        <v>52</v>
      </c>
      <c r="C863" s="142" t="s">
        <v>2375</v>
      </c>
      <c r="D863">
        <v>1</v>
      </c>
      <c r="E863">
        <v>10</v>
      </c>
      <c r="F863">
        <v>1</v>
      </c>
      <c r="G863" s="142" t="s">
        <v>6</v>
      </c>
      <c r="H863" s="142" t="s">
        <v>4</v>
      </c>
      <c r="I863">
        <v>1E-3</v>
      </c>
      <c r="J863">
        <v>0.04</v>
      </c>
      <c r="K863" s="142" t="s">
        <v>10</v>
      </c>
      <c r="L863">
        <v>577.36</v>
      </c>
      <c r="M863">
        <v>1.3957999999999999E-4</v>
      </c>
      <c r="N863">
        <v>577.35</v>
      </c>
      <c r="O863">
        <v>1.3074000000000001E-4</v>
      </c>
    </row>
    <row r="864" spans="1:15" x14ac:dyDescent="0.25">
      <c r="A864" s="142" t="s">
        <v>2675</v>
      </c>
      <c r="B864" s="142" t="s">
        <v>52</v>
      </c>
      <c r="C864" s="142" t="s">
        <v>2375</v>
      </c>
      <c r="D864">
        <v>1</v>
      </c>
      <c r="E864">
        <v>10</v>
      </c>
      <c r="F864">
        <v>1</v>
      </c>
      <c r="G864" s="142" t="s">
        <v>6</v>
      </c>
      <c r="H864" s="142" t="s">
        <v>4</v>
      </c>
      <c r="I864">
        <v>0.04</v>
      </c>
      <c r="J864">
        <v>1</v>
      </c>
      <c r="K864" s="142" t="s">
        <v>10</v>
      </c>
      <c r="L864">
        <v>577.36</v>
      </c>
      <c r="M864">
        <v>1.0529E-4</v>
      </c>
      <c r="N864">
        <v>577.35</v>
      </c>
      <c r="O864">
        <v>9.6444E-5</v>
      </c>
    </row>
    <row r="865" spans="1:15" x14ac:dyDescent="0.25">
      <c r="A865" s="142" t="s">
        <v>2676</v>
      </c>
      <c r="B865" s="142" t="s">
        <v>52</v>
      </c>
      <c r="C865" s="142" t="s">
        <v>2375</v>
      </c>
      <c r="D865">
        <v>1</v>
      </c>
      <c r="E865">
        <v>10</v>
      </c>
      <c r="F865">
        <v>1</v>
      </c>
      <c r="G865" s="142" t="s">
        <v>6</v>
      </c>
      <c r="H865" s="142" t="s">
        <v>4</v>
      </c>
      <c r="I865">
        <v>1</v>
      </c>
      <c r="J865">
        <v>20</v>
      </c>
      <c r="K865" s="142" t="s">
        <v>10</v>
      </c>
      <c r="L865">
        <v>577.36</v>
      </c>
      <c r="M865">
        <v>3.3464999999999998E-4</v>
      </c>
      <c r="N865">
        <v>577.35</v>
      </c>
      <c r="O865">
        <v>3.1547999999999998E-4</v>
      </c>
    </row>
    <row r="866" spans="1:15" x14ac:dyDescent="0.25">
      <c r="A866" s="142" t="s">
        <v>2677</v>
      </c>
      <c r="B866" s="142" t="s">
        <v>52</v>
      </c>
      <c r="C866" s="142" t="s">
        <v>2375</v>
      </c>
      <c r="D866">
        <v>1</v>
      </c>
      <c r="E866">
        <v>10</v>
      </c>
      <c r="F866">
        <v>1</v>
      </c>
      <c r="G866" s="142" t="s">
        <v>6</v>
      </c>
      <c r="H866" s="142" t="s">
        <v>4</v>
      </c>
      <c r="I866">
        <v>20</v>
      </c>
      <c r="J866">
        <v>50</v>
      </c>
      <c r="K866" s="142" t="s">
        <v>10</v>
      </c>
      <c r="L866">
        <v>577.35</v>
      </c>
      <c r="M866">
        <v>1.3112E-3</v>
      </c>
      <c r="N866">
        <v>577.34</v>
      </c>
      <c r="O866">
        <v>1.2855E-3</v>
      </c>
    </row>
    <row r="867" spans="1:15" x14ac:dyDescent="0.25">
      <c r="A867" s="142" t="s">
        <v>2678</v>
      </c>
      <c r="B867" s="142" t="s">
        <v>52</v>
      </c>
      <c r="C867" s="142" t="s">
        <v>2375</v>
      </c>
      <c r="D867">
        <v>1</v>
      </c>
      <c r="E867">
        <v>10</v>
      </c>
      <c r="F867">
        <v>1</v>
      </c>
      <c r="G867" s="142" t="s">
        <v>6</v>
      </c>
      <c r="H867" s="142" t="s">
        <v>4</v>
      </c>
      <c r="I867">
        <v>50</v>
      </c>
      <c r="J867">
        <v>100</v>
      </c>
      <c r="K867" s="142" t="s">
        <v>10</v>
      </c>
      <c r="L867">
        <v>577.35</v>
      </c>
      <c r="M867">
        <v>8.5401000000000001E-3</v>
      </c>
      <c r="N867">
        <v>577.27</v>
      </c>
      <c r="O867">
        <v>8.5026000000000008E-3</v>
      </c>
    </row>
    <row r="868" spans="1:15" x14ac:dyDescent="0.25">
      <c r="A868" s="142" t="s">
        <v>2679</v>
      </c>
      <c r="B868" s="142" t="s">
        <v>52</v>
      </c>
      <c r="C868" s="142" t="s">
        <v>2375</v>
      </c>
      <c r="D868">
        <v>1</v>
      </c>
      <c r="E868">
        <v>10</v>
      </c>
      <c r="F868">
        <v>1</v>
      </c>
      <c r="G868" s="142" t="s">
        <v>6</v>
      </c>
      <c r="H868" s="142" t="s">
        <v>4</v>
      </c>
      <c r="I868">
        <v>100</v>
      </c>
      <c r="J868">
        <v>300</v>
      </c>
      <c r="K868" s="142" t="s">
        <v>10</v>
      </c>
      <c r="L868">
        <v>577.25</v>
      </c>
      <c r="M868">
        <v>0.12121999999999999</v>
      </c>
      <c r="N868">
        <v>576.26</v>
      </c>
      <c r="O868">
        <v>0.12114</v>
      </c>
    </row>
    <row r="869" spans="1:15" x14ac:dyDescent="0.25">
      <c r="A869" s="142" t="s">
        <v>2680</v>
      </c>
      <c r="B869" s="142" t="s">
        <v>52</v>
      </c>
      <c r="C869" s="142" t="s">
        <v>2375</v>
      </c>
      <c r="D869">
        <v>1</v>
      </c>
      <c r="E869">
        <v>10</v>
      </c>
      <c r="F869">
        <v>1</v>
      </c>
      <c r="G869" s="142" t="s">
        <v>6</v>
      </c>
      <c r="H869" s="142" t="s">
        <v>4</v>
      </c>
      <c r="I869">
        <v>300</v>
      </c>
      <c r="J869">
        <v>1000</v>
      </c>
      <c r="K869" s="142" t="s">
        <v>10</v>
      </c>
      <c r="L869">
        <v>576.22</v>
      </c>
      <c r="M869">
        <v>1.2810999999999999</v>
      </c>
      <c r="N869">
        <v>569.6</v>
      </c>
      <c r="O869">
        <v>1.2809999999999999</v>
      </c>
    </row>
    <row r="870" spans="1:15" x14ac:dyDescent="0.25">
      <c r="A870" s="142" t="s">
        <v>2681</v>
      </c>
      <c r="B870" s="142" t="s">
        <v>52</v>
      </c>
      <c r="C870" s="142" t="s">
        <v>2375</v>
      </c>
      <c r="D870">
        <v>10</v>
      </c>
      <c r="E870">
        <v>100</v>
      </c>
      <c r="F870">
        <v>1</v>
      </c>
      <c r="G870" s="142" t="s">
        <v>6</v>
      </c>
      <c r="H870" s="142" t="s">
        <v>4</v>
      </c>
      <c r="I870">
        <v>1E-3</v>
      </c>
      <c r="J870">
        <v>0.04</v>
      </c>
      <c r="K870" s="142" t="s">
        <v>10</v>
      </c>
      <c r="L870">
        <v>577.33000000000004</v>
      </c>
      <c r="M870">
        <v>6.9518000000000002E-3</v>
      </c>
      <c r="N870">
        <v>577.33000000000004</v>
      </c>
      <c r="O870">
        <v>6.9481999999999999E-3</v>
      </c>
    </row>
    <row r="871" spans="1:15" x14ac:dyDescent="0.25">
      <c r="A871" s="142" t="s">
        <v>2682</v>
      </c>
      <c r="B871" s="142" t="s">
        <v>52</v>
      </c>
      <c r="C871" s="142" t="s">
        <v>2375</v>
      </c>
      <c r="D871">
        <v>10</v>
      </c>
      <c r="E871">
        <v>100</v>
      </c>
      <c r="F871">
        <v>1</v>
      </c>
      <c r="G871" s="142" t="s">
        <v>6</v>
      </c>
      <c r="H871" s="142" t="s">
        <v>4</v>
      </c>
      <c r="I871">
        <v>0.04</v>
      </c>
      <c r="J871">
        <v>1</v>
      </c>
      <c r="K871" s="142" t="s">
        <v>10</v>
      </c>
      <c r="L871">
        <v>577.30999999999995</v>
      </c>
      <c r="M871">
        <v>6.0295000000000001E-3</v>
      </c>
      <c r="N871">
        <v>577.30999999999995</v>
      </c>
      <c r="O871">
        <v>6.0258999999999998E-3</v>
      </c>
    </row>
    <row r="872" spans="1:15" x14ac:dyDescent="0.25">
      <c r="A872" s="142" t="s">
        <v>2683</v>
      </c>
      <c r="B872" s="142" t="s">
        <v>52</v>
      </c>
      <c r="C872" s="142" t="s">
        <v>2375</v>
      </c>
      <c r="D872">
        <v>10</v>
      </c>
      <c r="E872">
        <v>100</v>
      </c>
      <c r="F872">
        <v>1</v>
      </c>
      <c r="G872" s="142" t="s">
        <v>6</v>
      </c>
      <c r="H872" s="142" t="s">
        <v>4</v>
      </c>
      <c r="I872">
        <v>1</v>
      </c>
      <c r="J872">
        <v>20</v>
      </c>
      <c r="K872" s="142" t="s">
        <v>10</v>
      </c>
      <c r="L872">
        <v>577.30999999999995</v>
      </c>
      <c r="M872">
        <v>6.0295000000000001E-3</v>
      </c>
      <c r="N872">
        <v>577.30999999999995</v>
      </c>
      <c r="O872">
        <v>6.0258999999999998E-3</v>
      </c>
    </row>
    <row r="873" spans="1:15" x14ac:dyDescent="0.25">
      <c r="A873" s="142" t="s">
        <v>2684</v>
      </c>
      <c r="B873" s="142" t="s">
        <v>52</v>
      </c>
      <c r="C873" s="142" t="s">
        <v>2375</v>
      </c>
      <c r="D873">
        <v>10</v>
      </c>
      <c r="E873">
        <v>100</v>
      </c>
      <c r="F873">
        <v>1</v>
      </c>
      <c r="G873" s="142" t="s">
        <v>6</v>
      </c>
      <c r="H873" s="142" t="s">
        <v>4</v>
      </c>
      <c r="I873">
        <v>20</v>
      </c>
      <c r="J873">
        <v>50</v>
      </c>
      <c r="K873" s="142" t="s">
        <v>10</v>
      </c>
      <c r="L873">
        <v>577.22</v>
      </c>
      <c r="M873">
        <v>1.7211000000000001E-2</v>
      </c>
      <c r="N873">
        <v>577.22</v>
      </c>
      <c r="O873">
        <v>1.7194000000000001E-2</v>
      </c>
    </row>
    <row r="874" spans="1:15" x14ac:dyDescent="0.25">
      <c r="A874" s="142" t="s">
        <v>2685</v>
      </c>
      <c r="B874" s="142" t="s">
        <v>52</v>
      </c>
      <c r="C874" s="142" t="s">
        <v>2375</v>
      </c>
      <c r="D874">
        <v>10</v>
      </c>
      <c r="E874">
        <v>100</v>
      </c>
      <c r="F874">
        <v>1</v>
      </c>
      <c r="G874" s="142" t="s">
        <v>6</v>
      </c>
      <c r="H874" s="142" t="s">
        <v>4</v>
      </c>
      <c r="I874">
        <v>50</v>
      </c>
      <c r="J874">
        <v>100</v>
      </c>
      <c r="K874" s="142" t="s">
        <v>10</v>
      </c>
      <c r="L874">
        <v>575.73</v>
      </c>
      <c r="M874">
        <v>0.18579000000000001</v>
      </c>
      <c r="N874">
        <v>575.72</v>
      </c>
      <c r="O874">
        <v>0.18576999999999999</v>
      </c>
    </row>
    <row r="875" spans="1:15" x14ac:dyDescent="0.25">
      <c r="A875" s="142" t="s">
        <v>2686</v>
      </c>
      <c r="B875" s="142" t="s">
        <v>52</v>
      </c>
      <c r="C875" s="142" t="s">
        <v>2375</v>
      </c>
      <c r="D875">
        <v>20</v>
      </c>
      <c r="E875">
        <v>100</v>
      </c>
      <c r="F875">
        <v>1</v>
      </c>
      <c r="G875" s="142" t="s">
        <v>6</v>
      </c>
      <c r="H875" s="142" t="s">
        <v>4</v>
      </c>
      <c r="I875">
        <v>100</v>
      </c>
      <c r="J875">
        <v>300</v>
      </c>
      <c r="K875" s="142" t="s">
        <v>10</v>
      </c>
      <c r="L875">
        <v>561.71</v>
      </c>
      <c r="M875">
        <v>1.855</v>
      </c>
      <c r="N875">
        <v>536.22</v>
      </c>
      <c r="O875">
        <v>1.8548</v>
      </c>
    </row>
    <row r="876" spans="1:15" x14ac:dyDescent="0.25">
      <c r="A876" s="142" t="s">
        <v>2687</v>
      </c>
      <c r="B876" s="142" t="s">
        <v>52</v>
      </c>
      <c r="C876" s="142" t="s">
        <v>2375</v>
      </c>
      <c r="D876">
        <v>20</v>
      </c>
      <c r="E876">
        <v>100</v>
      </c>
      <c r="F876">
        <v>1</v>
      </c>
      <c r="G876" s="142" t="s">
        <v>6</v>
      </c>
      <c r="H876" s="142" t="s">
        <v>4</v>
      </c>
      <c r="I876">
        <v>300</v>
      </c>
      <c r="J876">
        <v>1000</v>
      </c>
      <c r="K876" s="142" t="s">
        <v>10</v>
      </c>
      <c r="L876">
        <v>469.32</v>
      </c>
      <c r="M876">
        <v>13.694000000000001</v>
      </c>
      <c r="N876">
        <v>433.63</v>
      </c>
      <c r="O876">
        <v>13.695</v>
      </c>
    </row>
    <row r="877" spans="1:15" x14ac:dyDescent="0.25">
      <c r="A877" s="142" t="s">
        <v>2688</v>
      </c>
      <c r="B877" s="142" t="s">
        <v>52</v>
      </c>
      <c r="C877" s="142" t="s">
        <v>2375</v>
      </c>
      <c r="D877">
        <v>100</v>
      </c>
      <c r="E877">
        <v>1000</v>
      </c>
      <c r="F877">
        <v>1</v>
      </c>
      <c r="G877" s="142" t="s">
        <v>6</v>
      </c>
      <c r="H877" s="142" t="s">
        <v>4</v>
      </c>
      <c r="I877">
        <v>1E-3</v>
      </c>
      <c r="J877">
        <v>0.04</v>
      </c>
      <c r="K877" s="142" t="s">
        <v>10</v>
      </c>
      <c r="L877">
        <v>564.20000000000005</v>
      </c>
      <c r="M877">
        <v>0.20508999999999999</v>
      </c>
      <c r="N877">
        <v>564.20000000000005</v>
      </c>
      <c r="O877">
        <v>0.20507</v>
      </c>
    </row>
    <row r="878" spans="1:15" x14ac:dyDescent="0.25">
      <c r="A878" s="142" t="s">
        <v>2689</v>
      </c>
      <c r="B878" s="142" t="s">
        <v>52</v>
      </c>
      <c r="C878" s="142" t="s">
        <v>2375</v>
      </c>
      <c r="D878">
        <v>100</v>
      </c>
      <c r="E878">
        <v>1000</v>
      </c>
      <c r="F878">
        <v>1</v>
      </c>
      <c r="G878" s="142" t="s">
        <v>6</v>
      </c>
      <c r="H878" s="142" t="s">
        <v>4</v>
      </c>
      <c r="I878">
        <v>0.04</v>
      </c>
      <c r="J878">
        <v>1</v>
      </c>
      <c r="K878" s="142" t="s">
        <v>10</v>
      </c>
      <c r="L878">
        <v>562.32000000000005</v>
      </c>
      <c r="M878">
        <v>0.19192000000000001</v>
      </c>
      <c r="N878">
        <v>562.30999999999995</v>
      </c>
      <c r="O878">
        <v>0.19189999999999999</v>
      </c>
    </row>
    <row r="879" spans="1:15" x14ac:dyDescent="0.25">
      <c r="A879" s="142" t="s">
        <v>2690</v>
      </c>
      <c r="B879" s="142" t="s">
        <v>52</v>
      </c>
      <c r="C879" s="142" t="s">
        <v>2375</v>
      </c>
      <c r="D879">
        <v>330</v>
      </c>
      <c r="E879">
        <v>1000</v>
      </c>
      <c r="F879">
        <v>1</v>
      </c>
      <c r="G879" s="142" t="s">
        <v>6</v>
      </c>
      <c r="H879" s="142" t="s">
        <v>4</v>
      </c>
      <c r="I879">
        <v>10</v>
      </c>
      <c r="J879">
        <v>20</v>
      </c>
      <c r="K879" s="142" t="s">
        <v>10</v>
      </c>
      <c r="L879">
        <v>547.28</v>
      </c>
      <c r="M879">
        <v>0.37501000000000001</v>
      </c>
      <c r="N879">
        <v>547.21</v>
      </c>
      <c r="O879">
        <v>0.37495000000000001</v>
      </c>
    </row>
    <row r="880" spans="1:15" x14ac:dyDescent="0.25">
      <c r="A880" s="142" t="s">
        <v>2691</v>
      </c>
      <c r="B880" s="142" t="s">
        <v>52</v>
      </c>
      <c r="C880" s="142" t="s">
        <v>2375</v>
      </c>
      <c r="D880">
        <v>330</v>
      </c>
      <c r="E880">
        <v>1000</v>
      </c>
      <c r="F880">
        <v>1</v>
      </c>
      <c r="G880" s="142" t="s">
        <v>6</v>
      </c>
      <c r="H880" s="142" t="s">
        <v>4</v>
      </c>
      <c r="I880">
        <v>20</v>
      </c>
      <c r="J880">
        <v>50</v>
      </c>
      <c r="K880" s="142" t="s">
        <v>10</v>
      </c>
      <c r="L880">
        <v>496.78</v>
      </c>
      <c r="M880">
        <v>1.0302</v>
      </c>
      <c r="N880">
        <v>496.53</v>
      </c>
      <c r="O880">
        <v>1.0303</v>
      </c>
    </row>
    <row r="881" spans="1:15" x14ac:dyDescent="0.25">
      <c r="A881" s="142" t="s">
        <v>2692</v>
      </c>
      <c r="B881" s="142" t="s">
        <v>52</v>
      </c>
      <c r="C881" s="142" t="s">
        <v>2375</v>
      </c>
      <c r="D881">
        <v>330</v>
      </c>
      <c r="E881">
        <v>1000</v>
      </c>
      <c r="F881">
        <v>1</v>
      </c>
      <c r="G881" s="142" t="s">
        <v>6</v>
      </c>
      <c r="H881" s="142" t="s">
        <v>4</v>
      </c>
      <c r="I881">
        <v>50</v>
      </c>
      <c r="J881">
        <v>100</v>
      </c>
      <c r="K881" s="142" t="s">
        <v>10</v>
      </c>
      <c r="L881">
        <v>369.12</v>
      </c>
      <c r="M881">
        <v>3.1676000000000002</v>
      </c>
      <c r="N881">
        <v>368.74</v>
      </c>
      <c r="O881">
        <v>3.1678000000000002</v>
      </c>
    </row>
    <row r="882" spans="1:15" x14ac:dyDescent="0.25">
      <c r="A882" s="142" t="s">
        <v>2693</v>
      </c>
      <c r="B882" s="142" t="s">
        <v>52</v>
      </c>
      <c r="C882" s="142" t="s">
        <v>2375</v>
      </c>
      <c r="D882">
        <v>10</v>
      </c>
      <c r="E882">
        <v>100</v>
      </c>
      <c r="F882">
        <v>10</v>
      </c>
      <c r="G882" s="142" t="s">
        <v>6</v>
      </c>
      <c r="H882" s="142" t="s">
        <v>4</v>
      </c>
      <c r="I882">
        <v>1E-3</v>
      </c>
      <c r="J882">
        <v>0.04</v>
      </c>
      <c r="K882" s="142" t="s">
        <v>10</v>
      </c>
      <c r="L882">
        <v>5773.5</v>
      </c>
      <c r="M882">
        <v>6.9669000000000003E-4</v>
      </c>
      <c r="N882">
        <v>5773.5</v>
      </c>
      <c r="O882">
        <v>6.9523999999999996E-4</v>
      </c>
    </row>
    <row r="883" spans="1:15" x14ac:dyDescent="0.25">
      <c r="A883" s="142" t="s">
        <v>2694</v>
      </c>
      <c r="B883" s="142" t="s">
        <v>52</v>
      </c>
      <c r="C883" s="142" t="s">
        <v>2375</v>
      </c>
      <c r="D883">
        <v>10</v>
      </c>
      <c r="E883">
        <v>100</v>
      </c>
      <c r="F883">
        <v>10</v>
      </c>
      <c r="G883" s="142" t="s">
        <v>6</v>
      </c>
      <c r="H883" s="142" t="s">
        <v>4</v>
      </c>
      <c r="I883">
        <v>0.04</v>
      </c>
      <c r="J883">
        <v>1</v>
      </c>
      <c r="K883" s="142" t="s">
        <v>10</v>
      </c>
      <c r="L883">
        <v>5773.5</v>
      </c>
      <c r="M883">
        <v>6.0433999999999998E-4</v>
      </c>
      <c r="N883">
        <v>5773.5</v>
      </c>
      <c r="O883">
        <v>6.0289000000000002E-4</v>
      </c>
    </row>
    <row r="884" spans="1:15" x14ac:dyDescent="0.25">
      <c r="A884" s="142" t="s">
        <v>2695</v>
      </c>
      <c r="B884" s="142" t="s">
        <v>52</v>
      </c>
      <c r="C884" s="142" t="s">
        <v>2375</v>
      </c>
      <c r="D884">
        <v>10</v>
      </c>
      <c r="E884">
        <v>100</v>
      </c>
      <c r="F884">
        <v>10</v>
      </c>
      <c r="G884" s="142" t="s">
        <v>6</v>
      </c>
      <c r="H884" s="142" t="s">
        <v>4</v>
      </c>
      <c r="I884">
        <v>1</v>
      </c>
      <c r="J884">
        <v>20</v>
      </c>
      <c r="K884" s="142" t="s">
        <v>10</v>
      </c>
      <c r="L884">
        <v>5773.5</v>
      </c>
      <c r="M884">
        <v>6.0433999999999998E-4</v>
      </c>
      <c r="N884">
        <v>5773.5</v>
      </c>
      <c r="O884">
        <v>6.0289000000000002E-4</v>
      </c>
    </row>
    <row r="885" spans="1:15" x14ac:dyDescent="0.25">
      <c r="A885" s="142" t="s">
        <v>2696</v>
      </c>
      <c r="B885" s="142" t="s">
        <v>52</v>
      </c>
      <c r="C885" s="142" t="s">
        <v>2375</v>
      </c>
      <c r="D885">
        <v>10</v>
      </c>
      <c r="E885">
        <v>100</v>
      </c>
      <c r="F885">
        <v>10</v>
      </c>
      <c r="G885" s="142" t="s">
        <v>6</v>
      </c>
      <c r="H885" s="142" t="s">
        <v>4</v>
      </c>
      <c r="I885">
        <v>20</v>
      </c>
      <c r="J885">
        <v>50</v>
      </c>
      <c r="K885" s="142" t="s">
        <v>10</v>
      </c>
      <c r="L885">
        <v>5773.5</v>
      </c>
      <c r="M885">
        <v>1.7285E-3</v>
      </c>
      <c r="N885">
        <v>5773.4</v>
      </c>
      <c r="O885">
        <v>1.7217999999999999E-3</v>
      </c>
    </row>
    <row r="886" spans="1:15" x14ac:dyDescent="0.25">
      <c r="A886" s="142" t="s">
        <v>2697</v>
      </c>
      <c r="B886" s="142" t="s">
        <v>52</v>
      </c>
      <c r="C886" s="142" t="s">
        <v>2375</v>
      </c>
      <c r="D886">
        <v>10</v>
      </c>
      <c r="E886">
        <v>100</v>
      </c>
      <c r="F886">
        <v>10</v>
      </c>
      <c r="G886" s="142" t="s">
        <v>6</v>
      </c>
      <c r="H886" s="142" t="s">
        <v>4</v>
      </c>
      <c r="I886">
        <v>50</v>
      </c>
      <c r="J886">
        <v>100</v>
      </c>
      <c r="K886" s="142" t="s">
        <v>10</v>
      </c>
      <c r="L886">
        <v>5773.4</v>
      </c>
      <c r="M886">
        <v>1.8862E-2</v>
      </c>
      <c r="N886">
        <v>5771.7</v>
      </c>
      <c r="O886">
        <v>1.8849999999999999E-2</v>
      </c>
    </row>
    <row r="887" spans="1:15" x14ac:dyDescent="0.25">
      <c r="A887" s="142" t="s">
        <v>2698</v>
      </c>
      <c r="B887" s="142" t="s">
        <v>52</v>
      </c>
      <c r="C887" s="142" t="s">
        <v>2375</v>
      </c>
      <c r="D887">
        <v>100</v>
      </c>
      <c r="E887">
        <v>1000</v>
      </c>
      <c r="F887">
        <v>10</v>
      </c>
      <c r="G887" s="142" t="s">
        <v>6</v>
      </c>
      <c r="H887" s="142" t="s">
        <v>4</v>
      </c>
      <c r="I887">
        <v>1E-3</v>
      </c>
      <c r="J887">
        <v>0.04</v>
      </c>
      <c r="K887" s="142" t="s">
        <v>10</v>
      </c>
      <c r="L887">
        <v>5771.9</v>
      </c>
      <c r="M887">
        <v>2.4007000000000001E-2</v>
      </c>
      <c r="N887">
        <v>5771.9</v>
      </c>
      <c r="O887">
        <v>2.3997999999999998E-2</v>
      </c>
    </row>
    <row r="888" spans="1:15" x14ac:dyDescent="0.25">
      <c r="A888" s="142" t="s">
        <v>2699</v>
      </c>
      <c r="B888" s="142" t="s">
        <v>52</v>
      </c>
      <c r="C888" s="142" t="s">
        <v>2375</v>
      </c>
      <c r="D888">
        <v>100</v>
      </c>
      <c r="E888">
        <v>1000</v>
      </c>
      <c r="F888">
        <v>10</v>
      </c>
      <c r="G888" s="142" t="s">
        <v>6</v>
      </c>
      <c r="H888" s="142" t="s">
        <v>4</v>
      </c>
      <c r="I888">
        <v>0.04</v>
      </c>
      <c r="J888">
        <v>1</v>
      </c>
      <c r="K888" s="142" t="s">
        <v>10</v>
      </c>
      <c r="L888">
        <v>5771.8</v>
      </c>
      <c r="M888">
        <v>2.2168E-2</v>
      </c>
      <c r="N888">
        <v>5771.8</v>
      </c>
      <c r="O888">
        <v>2.2159000000000002E-2</v>
      </c>
    </row>
    <row r="889" spans="1:15" x14ac:dyDescent="0.25">
      <c r="A889" s="142" t="s">
        <v>384</v>
      </c>
      <c r="B889" s="142" t="s">
        <v>52</v>
      </c>
      <c r="C889" s="142" t="s">
        <v>86</v>
      </c>
      <c r="D889">
        <v>-270</v>
      </c>
      <c r="E889">
        <v>149</v>
      </c>
      <c r="F889">
        <v>0.1</v>
      </c>
      <c r="G889" s="142" t="s">
        <v>23</v>
      </c>
      <c r="H889" s="142" t="s">
        <v>23</v>
      </c>
      <c r="I889">
        <v>0</v>
      </c>
      <c r="J889">
        <v>0</v>
      </c>
      <c r="K889" s="142" t="s">
        <v>1674</v>
      </c>
      <c r="L889">
        <v>0.14750621085499999</v>
      </c>
      <c r="M889">
        <v>0</v>
      </c>
      <c r="N889">
        <v>0.140825593103</v>
      </c>
      <c r="O889">
        <v>0</v>
      </c>
    </row>
    <row r="890" spans="1:15" x14ac:dyDescent="0.25">
      <c r="A890" s="142" t="s">
        <v>386</v>
      </c>
      <c r="B890" s="142" t="s">
        <v>52</v>
      </c>
      <c r="C890" s="142" t="s">
        <v>86</v>
      </c>
      <c r="D890">
        <v>149.001</v>
      </c>
      <c r="E890">
        <v>593</v>
      </c>
      <c r="F890">
        <v>0.1</v>
      </c>
      <c r="G890" s="142" t="s">
        <v>23</v>
      </c>
      <c r="H890" s="142" t="s">
        <v>23</v>
      </c>
      <c r="I890">
        <v>0</v>
      </c>
      <c r="J890">
        <v>0</v>
      </c>
      <c r="K890" s="142" t="s">
        <v>1674</v>
      </c>
      <c r="L890">
        <v>9.0044246911000006E-2</v>
      </c>
      <c r="M890">
        <v>0</v>
      </c>
      <c r="N890">
        <v>8.8847849374999996E-2</v>
      </c>
      <c r="O890">
        <v>0</v>
      </c>
    </row>
    <row r="891" spans="1:15" x14ac:dyDescent="0.25">
      <c r="A891" s="142" t="s">
        <v>387</v>
      </c>
      <c r="B891" s="142" t="s">
        <v>52</v>
      </c>
      <c r="C891" s="142" t="s">
        <v>86</v>
      </c>
      <c r="D891">
        <v>593.00099999999998</v>
      </c>
      <c r="E891">
        <v>1000</v>
      </c>
      <c r="F891">
        <v>0.1</v>
      </c>
      <c r="G891" s="142" t="s">
        <v>23</v>
      </c>
      <c r="H891" s="142" t="s">
        <v>23</v>
      </c>
      <c r="I891">
        <v>0</v>
      </c>
      <c r="J891">
        <v>0</v>
      </c>
      <c r="K891" s="142" t="s">
        <v>1674</v>
      </c>
      <c r="L891">
        <v>9.3245927426000005E-2</v>
      </c>
      <c r="M891">
        <v>0</v>
      </c>
      <c r="N891">
        <v>9.2091133766999997E-2</v>
      </c>
      <c r="O891">
        <v>0</v>
      </c>
    </row>
    <row r="892" spans="1:15" x14ac:dyDescent="0.25">
      <c r="A892" s="142" t="s">
        <v>385</v>
      </c>
      <c r="B892" s="142" t="s">
        <v>52</v>
      </c>
      <c r="C892" s="142" t="s">
        <v>86</v>
      </c>
      <c r="D892">
        <v>-270</v>
      </c>
      <c r="E892">
        <v>149</v>
      </c>
      <c r="F892">
        <v>1</v>
      </c>
      <c r="G892" s="142" t="s">
        <v>23</v>
      </c>
      <c r="H892" s="142" t="s">
        <v>23</v>
      </c>
      <c r="I892">
        <v>0</v>
      </c>
      <c r="J892">
        <v>0</v>
      </c>
      <c r="K892" s="142" t="s">
        <v>1674</v>
      </c>
      <c r="L892">
        <v>0.59794379831599997</v>
      </c>
      <c r="M892">
        <v>0</v>
      </c>
      <c r="N892">
        <v>0.59146584658199997</v>
      </c>
      <c r="O892">
        <v>0</v>
      </c>
    </row>
    <row r="893" spans="1:15" x14ac:dyDescent="0.25">
      <c r="A893" s="142" t="s">
        <v>2134</v>
      </c>
      <c r="B893" s="142" t="s">
        <v>52</v>
      </c>
      <c r="C893" s="142" t="s">
        <v>86</v>
      </c>
      <c r="D893">
        <v>149.001</v>
      </c>
      <c r="E893">
        <v>593</v>
      </c>
      <c r="F893">
        <v>1</v>
      </c>
      <c r="G893" s="142" t="s">
        <v>23</v>
      </c>
      <c r="H893" s="142" t="s">
        <v>23</v>
      </c>
      <c r="I893">
        <v>0</v>
      </c>
      <c r="J893">
        <v>0</v>
      </c>
      <c r="K893" s="142" t="s">
        <v>1674</v>
      </c>
      <c r="L893">
        <v>0.582022374648</v>
      </c>
      <c r="M893">
        <v>0</v>
      </c>
      <c r="N893">
        <v>0.58128645291199998</v>
      </c>
      <c r="O893">
        <v>0</v>
      </c>
    </row>
    <row r="894" spans="1:15" x14ac:dyDescent="0.25">
      <c r="A894" s="142" t="s">
        <v>2135</v>
      </c>
      <c r="B894" s="142" t="s">
        <v>52</v>
      </c>
      <c r="C894" s="142" t="s">
        <v>86</v>
      </c>
      <c r="D894">
        <v>593.00099999999998</v>
      </c>
      <c r="E894">
        <v>1000</v>
      </c>
      <c r="F894">
        <v>1</v>
      </c>
      <c r="G894" s="142" t="s">
        <v>23</v>
      </c>
      <c r="H894" s="142" t="s">
        <v>23</v>
      </c>
      <c r="I894">
        <v>0</v>
      </c>
      <c r="J894">
        <v>0</v>
      </c>
      <c r="K894" s="142" t="s">
        <v>1674</v>
      </c>
      <c r="L894">
        <v>0.58252629225700003</v>
      </c>
      <c r="M894">
        <v>0</v>
      </c>
      <c r="N894">
        <v>0.58179100793899996</v>
      </c>
      <c r="O894">
        <v>0</v>
      </c>
    </row>
    <row r="895" spans="1:15" x14ac:dyDescent="0.25">
      <c r="A895" s="142" t="s">
        <v>380</v>
      </c>
      <c r="B895" s="142" t="s">
        <v>52</v>
      </c>
      <c r="C895" s="142" t="s">
        <v>85</v>
      </c>
      <c r="D895">
        <v>-210</v>
      </c>
      <c r="E895">
        <v>259.99900000000002</v>
      </c>
      <c r="F895">
        <v>0.1</v>
      </c>
      <c r="G895" s="142" t="s">
        <v>23</v>
      </c>
      <c r="H895" s="142" t="s">
        <v>23</v>
      </c>
      <c r="I895">
        <v>0</v>
      </c>
      <c r="J895">
        <v>0</v>
      </c>
      <c r="K895" s="142" t="s">
        <v>1674</v>
      </c>
      <c r="L895">
        <v>0.59710214841300002</v>
      </c>
      <c r="M895">
        <v>0</v>
      </c>
      <c r="N895">
        <v>0.58655688184400001</v>
      </c>
      <c r="O895">
        <v>0</v>
      </c>
    </row>
    <row r="896" spans="1:15" x14ac:dyDescent="0.25">
      <c r="A896" s="142" t="s">
        <v>2136</v>
      </c>
      <c r="B896" s="142" t="s">
        <v>52</v>
      </c>
      <c r="C896" s="142" t="s">
        <v>85</v>
      </c>
      <c r="D896">
        <v>260</v>
      </c>
      <c r="E896">
        <v>732</v>
      </c>
      <c r="F896">
        <v>0.1</v>
      </c>
      <c r="G896" s="142" t="s">
        <v>23</v>
      </c>
      <c r="H896" s="142" t="s">
        <v>23</v>
      </c>
      <c r="I896">
        <v>0</v>
      </c>
      <c r="J896">
        <v>0</v>
      </c>
      <c r="K896" s="142" t="s">
        <v>1674</v>
      </c>
      <c r="L896">
        <v>0.594474567367</v>
      </c>
      <c r="M896">
        <v>0</v>
      </c>
      <c r="N896">
        <v>0.58684344885899997</v>
      </c>
      <c r="O896">
        <v>0</v>
      </c>
    </row>
    <row r="897" spans="1:15" x14ac:dyDescent="0.25">
      <c r="A897" s="142" t="s">
        <v>383</v>
      </c>
      <c r="B897" s="142" t="s">
        <v>52</v>
      </c>
      <c r="C897" s="142" t="s">
        <v>85</v>
      </c>
      <c r="D897">
        <v>732.00099999999998</v>
      </c>
      <c r="E897">
        <v>1200</v>
      </c>
      <c r="F897">
        <v>0.1</v>
      </c>
      <c r="G897" s="142" t="s">
        <v>23</v>
      </c>
      <c r="H897" s="142" t="s">
        <v>23</v>
      </c>
      <c r="I897">
        <v>0</v>
      </c>
      <c r="J897">
        <v>0</v>
      </c>
      <c r="K897" s="142" t="s">
        <v>1674</v>
      </c>
      <c r="L897">
        <v>0.26164798229199998</v>
      </c>
      <c r="M897">
        <v>0</v>
      </c>
      <c r="N897">
        <v>0.25502009651800001</v>
      </c>
      <c r="O897">
        <v>0</v>
      </c>
    </row>
    <row r="898" spans="1:15" x14ac:dyDescent="0.25">
      <c r="A898" s="142" t="s">
        <v>381</v>
      </c>
      <c r="B898" s="142" t="s">
        <v>52</v>
      </c>
      <c r="C898" s="142" t="s">
        <v>85</v>
      </c>
      <c r="D898">
        <v>-210</v>
      </c>
      <c r="E898">
        <v>259.99900000000002</v>
      </c>
      <c r="F898">
        <v>1</v>
      </c>
      <c r="G898" s="142" t="s">
        <v>23</v>
      </c>
      <c r="H898" s="142" t="s">
        <v>23</v>
      </c>
      <c r="I898">
        <v>0</v>
      </c>
      <c r="J898">
        <v>0</v>
      </c>
      <c r="K898" s="142" t="s">
        <v>1674</v>
      </c>
      <c r="L898">
        <v>0.14001162517999999</v>
      </c>
      <c r="M898">
        <v>0</v>
      </c>
      <c r="N898">
        <v>0.127196061951</v>
      </c>
      <c r="O898">
        <v>0</v>
      </c>
    </row>
    <row r="899" spans="1:15" x14ac:dyDescent="0.25">
      <c r="A899" s="142" t="s">
        <v>382</v>
      </c>
      <c r="B899" s="142" t="s">
        <v>52</v>
      </c>
      <c r="C899" s="142" t="s">
        <v>85</v>
      </c>
      <c r="D899">
        <v>260</v>
      </c>
      <c r="E899">
        <v>732</v>
      </c>
      <c r="F899">
        <v>1</v>
      </c>
      <c r="G899" s="142" t="s">
        <v>23</v>
      </c>
      <c r="H899" s="142" t="s">
        <v>23</v>
      </c>
      <c r="I899">
        <v>0</v>
      </c>
      <c r="J899">
        <v>0</v>
      </c>
      <c r="K899" s="142" t="s">
        <v>1674</v>
      </c>
      <c r="L899">
        <v>0.11193917000799999</v>
      </c>
      <c r="M899">
        <v>0</v>
      </c>
      <c r="N899">
        <v>0.107551199427</v>
      </c>
      <c r="O899">
        <v>0</v>
      </c>
    </row>
    <row r="900" spans="1:15" x14ac:dyDescent="0.25">
      <c r="A900" s="142" t="s">
        <v>2137</v>
      </c>
      <c r="B900" s="142" t="s">
        <v>52</v>
      </c>
      <c r="C900" s="142" t="s">
        <v>85</v>
      </c>
      <c r="D900">
        <v>732.00099999999998</v>
      </c>
      <c r="E900">
        <v>1200</v>
      </c>
      <c r="F900">
        <v>1</v>
      </c>
      <c r="G900" s="142" t="s">
        <v>23</v>
      </c>
      <c r="H900" s="142" t="s">
        <v>23</v>
      </c>
      <c r="I900">
        <v>0</v>
      </c>
      <c r="J900">
        <v>0</v>
      </c>
      <c r="K900" s="142" t="s">
        <v>1674</v>
      </c>
      <c r="L900">
        <v>0.109564603903</v>
      </c>
      <c r="M900">
        <v>0</v>
      </c>
      <c r="N900">
        <v>0.10634292512100001</v>
      </c>
      <c r="O900">
        <v>0</v>
      </c>
    </row>
    <row r="901" spans="1:15" x14ac:dyDescent="0.25">
      <c r="A901" s="142" t="s">
        <v>374</v>
      </c>
      <c r="B901" s="142" t="s">
        <v>52</v>
      </c>
      <c r="C901" s="142" t="s">
        <v>84</v>
      </c>
      <c r="D901">
        <v>-270</v>
      </c>
      <c r="E901">
        <v>-240.001</v>
      </c>
      <c r="F901">
        <v>0.1</v>
      </c>
      <c r="G901" s="142" t="s">
        <v>23</v>
      </c>
      <c r="H901" s="142" t="s">
        <v>23</v>
      </c>
      <c r="I901">
        <v>0</v>
      </c>
      <c r="J901">
        <v>0</v>
      </c>
      <c r="K901" s="142" t="s">
        <v>1674</v>
      </c>
      <c r="L901">
        <v>0.203420038113</v>
      </c>
      <c r="M901">
        <v>0</v>
      </c>
      <c r="N901">
        <v>0.18418790440300001</v>
      </c>
      <c r="O901">
        <v>0</v>
      </c>
    </row>
    <row r="902" spans="1:15" x14ac:dyDescent="0.25">
      <c r="A902" s="142" t="s">
        <v>376</v>
      </c>
      <c r="B902" s="142" t="s">
        <v>52</v>
      </c>
      <c r="C902" s="142" t="s">
        <v>84</v>
      </c>
      <c r="D902">
        <v>-240</v>
      </c>
      <c r="E902">
        <v>259.99900000000002</v>
      </c>
      <c r="F902">
        <v>0.1</v>
      </c>
      <c r="G902" s="142" t="s">
        <v>23</v>
      </c>
      <c r="H902" s="142" t="s">
        <v>23</v>
      </c>
      <c r="I902">
        <v>0</v>
      </c>
      <c r="J902">
        <v>0</v>
      </c>
      <c r="K902" s="142" t="s">
        <v>1674</v>
      </c>
      <c r="L902">
        <v>5.4451549375640003</v>
      </c>
      <c r="M902">
        <v>0</v>
      </c>
      <c r="N902">
        <v>5.4388474233129998</v>
      </c>
      <c r="O902">
        <v>0</v>
      </c>
    </row>
    <row r="903" spans="1:15" x14ac:dyDescent="0.25">
      <c r="A903" s="142" t="s">
        <v>2138</v>
      </c>
      <c r="B903" s="142" t="s">
        <v>52</v>
      </c>
      <c r="C903" s="142" t="s">
        <v>84</v>
      </c>
      <c r="D903">
        <v>260</v>
      </c>
      <c r="E903">
        <v>816</v>
      </c>
      <c r="F903">
        <v>0.1</v>
      </c>
      <c r="G903" s="142" t="s">
        <v>23</v>
      </c>
      <c r="H903" s="142" t="s">
        <v>23</v>
      </c>
      <c r="I903">
        <v>0</v>
      </c>
      <c r="J903">
        <v>0</v>
      </c>
      <c r="K903" s="142" t="s">
        <v>1674</v>
      </c>
      <c r="L903">
        <v>0.999252948852</v>
      </c>
      <c r="M903">
        <v>0</v>
      </c>
      <c r="N903">
        <v>0.96931092948099995</v>
      </c>
      <c r="O903">
        <v>0</v>
      </c>
    </row>
    <row r="904" spans="1:15" x14ac:dyDescent="0.25">
      <c r="A904" s="142" t="s">
        <v>378</v>
      </c>
      <c r="B904" s="142" t="s">
        <v>52</v>
      </c>
      <c r="C904" s="142" t="s">
        <v>84</v>
      </c>
      <c r="D904">
        <v>816.00099999999998</v>
      </c>
      <c r="E904">
        <v>1371</v>
      </c>
      <c r="F904">
        <v>0.1</v>
      </c>
      <c r="G904" s="142" t="s">
        <v>23</v>
      </c>
      <c r="H904" s="142" t="s">
        <v>23</v>
      </c>
      <c r="I904">
        <v>0</v>
      </c>
      <c r="J904">
        <v>0</v>
      </c>
      <c r="K904" s="142" t="s">
        <v>1674</v>
      </c>
      <c r="L904">
        <v>0.65102146305300002</v>
      </c>
      <c r="M904">
        <v>0</v>
      </c>
      <c r="N904">
        <v>0.60405808295100005</v>
      </c>
      <c r="O904">
        <v>0</v>
      </c>
    </row>
    <row r="905" spans="1:15" x14ac:dyDescent="0.25">
      <c r="A905" s="142" t="s">
        <v>375</v>
      </c>
      <c r="B905" s="142" t="s">
        <v>52</v>
      </c>
      <c r="C905" s="142" t="s">
        <v>84</v>
      </c>
      <c r="D905">
        <v>-270</v>
      </c>
      <c r="E905">
        <v>-240.001</v>
      </c>
      <c r="F905">
        <v>1</v>
      </c>
      <c r="G905" s="142" t="s">
        <v>23</v>
      </c>
      <c r="H905" s="142" t="s">
        <v>23</v>
      </c>
      <c r="I905">
        <v>0</v>
      </c>
      <c r="J905">
        <v>0</v>
      </c>
      <c r="K905" s="142" t="s">
        <v>1674</v>
      </c>
      <c r="L905">
        <v>0.61392689403199996</v>
      </c>
      <c r="M905">
        <v>0</v>
      </c>
      <c r="N905">
        <v>0.59616227106200004</v>
      </c>
      <c r="O905">
        <v>0</v>
      </c>
    </row>
    <row r="906" spans="1:15" x14ac:dyDescent="0.25">
      <c r="A906" s="142" t="s">
        <v>377</v>
      </c>
      <c r="B906" s="142" t="s">
        <v>52</v>
      </c>
      <c r="C906" s="142" t="s">
        <v>84</v>
      </c>
      <c r="D906">
        <v>-240</v>
      </c>
      <c r="E906">
        <v>259.99900000000002</v>
      </c>
      <c r="F906">
        <v>1</v>
      </c>
      <c r="G906" s="142" t="s">
        <v>23</v>
      </c>
      <c r="H906" s="142" t="s">
        <v>23</v>
      </c>
      <c r="I906">
        <v>0</v>
      </c>
      <c r="J906">
        <v>0</v>
      </c>
      <c r="K906" s="142" t="s">
        <v>1674</v>
      </c>
      <c r="L906">
        <v>0.62748967739700001</v>
      </c>
      <c r="M906">
        <v>0</v>
      </c>
      <c r="N906">
        <v>0.60326211892399995</v>
      </c>
      <c r="O906">
        <v>0</v>
      </c>
    </row>
    <row r="907" spans="1:15" x14ac:dyDescent="0.25">
      <c r="A907" s="142" t="s">
        <v>2139</v>
      </c>
      <c r="B907" s="142" t="s">
        <v>52</v>
      </c>
      <c r="C907" s="142" t="s">
        <v>84</v>
      </c>
      <c r="D907">
        <v>260</v>
      </c>
      <c r="E907">
        <v>816</v>
      </c>
      <c r="F907">
        <v>1</v>
      </c>
      <c r="G907" s="142" t="s">
        <v>23</v>
      </c>
      <c r="H907" s="142" t="s">
        <v>23</v>
      </c>
      <c r="I907">
        <v>0</v>
      </c>
      <c r="J907">
        <v>0</v>
      </c>
      <c r="K907" s="142" t="s">
        <v>1674</v>
      </c>
      <c r="L907">
        <v>5.3737316904860002</v>
      </c>
      <c r="M907">
        <v>0</v>
      </c>
      <c r="N907">
        <v>5.3732387938999997</v>
      </c>
      <c r="O907">
        <v>0</v>
      </c>
    </row>
    <row r="908" spans="1:15" x14ac:dyDescent="0.25">
      <c r="A908" s="142" t="s">
        <v>379</v>
      </c>
      <c r="B908" s="142" t="s">
        <v>52</v>
      </c>
      <c r="C908" s="142" t="s">
        <v>84</v>
      </c>
      <c r="D908">
        <v>816.00099999999998</v>
      </c>
      <c r="E908">
        <v>1371</v>
      </c>
      <c r="F908">
        <v>1</v>
      </c>
      <c r="G908" s="142" t="s">
        <v>23</v>
      </c>
      <c r="H908" s="142" t="s">
        <v>23</v>
      </c>
      <c r="I908">
        <v>0</v>
      </c>
      <c r="J908">
        <v>0</v>
      </c>
      <c r="K908" s="142" t="s">
        <v>1674</v>
      </c>
      <c r="L908">
        <v>0.77722417366899998</v>
      </c>
      <c r="M908">
        <v>0</v>
      </c>
      <c r="N908">
        <v>0.77429281431200003</v>
      </c>
      <c r="O908">
        <v>0</v>
      </c>
    </row>
    <row r="909" spans="1:15" x14ac:dyDescent="0.25">
      <c r="A909" s="142" t="s">
        <v>2140</v>
      </c>
      <c r="B909" s="142" t="s">
        <v>52</v>
      </c>
      <c r="C909" s="142" t="s">
        <v>87</v>
      </c>
      <c r="D909">
        <v>-270</v>
      </c>
      <c r="E909">
        <v>-240.001</v>
      </c>
      <c r="F909">
        <v>0.1</v>
      </c>
      <c r="G909" s="142" t="s">
        <v>23</v>
      </c>
      <c r="H909" s="142" t="s">
        <v>23</v>
      </c>
      <c r="I909">
        <v>0</v>
      </c>
      <c r="J909">
        <v>0</v>
      </c>
      <c r="K909" s="142" t="s">
        <v>1674</v>
      </c>
      <c r="L909">
        <v>0.35</v>
      </c>
      <c r="M909">
        <v>0</v>
      </c>
      <c r="N909">
        <v>0.32779997380100001</v>
      </c>
      <c r="O909">
        <v>0</v>
      </c>
    </row>
    <row r="910" spans="1:15" x14ac:dyDescent="0.25">
      <c r="A910" s="142" t="s">
        <v>366</v>
      </c>
      <c r="B910" s="142" t="s">
        <v>52</v>
      </c>
      <c r="C910" s="142" t="s">
        <v>87</v>
      </c>
      <c r="D910">
        <v>-240</v>
      </c>
      <c r="E910">
        <v>-101.001</v>
      </c>
      <c r="F910">
        <v>0.1</v>
      </c>
      <c r="G910" s="142" t="s">
        <v>23</v>
      </c>
      <c r="H910" s="142" t="s">
        <v>23</v>
      </c>
      <c r="I910">
        <v>0</v>
      </c>
      <c r="J910">
        <v>0</v>
      </c>
      <c r="K910" s="142" t="s">
        <v>1674</v>
      </c>
      <c r="L910">
        <v>0.29075763068299998</v>
      </c>
      <c r="M910">
        <v>0</v>
      </c>
      <c r="N910">
        <v>0.271007174608</v>
      </c>
      <c r="O910">
        <v>0</v>
      </c>
    </row>
    <row r="911" spans="1:15" x14ac:dyDescent="0.25">
      <c r="A911" s="142" t="s">
        <v>368</v>
      </c>
      <c r="B911" s="142" t="s">
        <v>52</v>
      </c>
      <c r="C911" s="142" t="s">
        <v>87</v>
      </c>
      <c r="D911">
        <v>-101</v>
      </c>
      <c r="E911">
        <v>371</v>
      </c>
      <c r="F911">
        <v>0.1</v>
      </c>
      <c r="G911" s="142" t="s">
        <v>23</v>
      </c>
      <c r="H911" s="142" t="s">
        <v>23</v>
      </c>
      <c r="I911">
        <v>0</v>
      </c>
      <c r="J911">
        <v>0</v>
      </c>
      <c r="K911" s="142" t="s">
        <v>1674</v>
      </c>
      <c r="L911">
        <v>0.21</v>
      </c>
      <c r="M911">
        <v>0</v>
      </c>
      <c r="N911">
        <v>0.18591857638100001</v>
      </c>
      <c r="O911">
        <v>0</v>
      </c>
    </row>
    <row r="912" spans="1:15" x14ac:dyDescent="0.25">
      <c r="A912" s="142" t="s">
        <v>370</v>
      </c>
      <c r="B912" s="142" t="s">
        <v>52</v>
      </c>
      <c r="C912" s="142" t="s">
        <v>87</v>
      </c>
      <c r="D912">
        <v>371.00099999999998</v>
      </c>
      <c r="E912">
        <v>816</v>
      </c>
      <c r="F912">
        <v>0.1</v>
      </c>
      <c r="G912" s="142" t="s">
        <v>23</v>
      </c>
      <c r="H912" s="142" t="s">
        <v>23</v>
      </c>
      <c r="I912">
        <v>0</v>
      </c>
      <c r="J912">
        <v>0</v>
      </c>
      <c r="K912" s="142" t="s">
        <v>1674</v>
      </c>
      <c r="L912">
        <v>0.22</v>
      </c>
      <c r="M912">
        <v>0</v>
      </c>
      <c r="N912">
        <v>0.20206964748699999</v>
      </c>
      <c r="O912">
        <v>0</v>
      </c>
    </row>
    <row r="913" spans="1:15" x14ac:dyDescent="0.25">
      <c r="A913" s="142" t="s">
        <v>372</v>
      </c>
      <c r="B913" s="142" t="s">
        <v>52</v>
      </c>
      <c r="C913" s="142" t="s">
        <v>87</v>
      </c>
      <c r="D913">
        <v>816.00099999999998</v>
      </c>
      <c r="E913">
        <v>1300</v>
      </c>
      <c r="F913">
        <v>0.1</v>
      </c>
      <c r="G913" s="142" t="s">
        <v>23</v>
      </c>
      <c r="H913" s="142" t="s">
        <v>23</v>
      </c>
      <c r="I913">
        <v>0</v>
      </c>
      <c r="J913">
        <v>0</v>
      </c>
      <c r="K913" s="142" t="s">
        <v>1674</v>
      </c>
      <c r="L913">
        <v>1.763243538799</v>
      </c>
      <c r="M913">
        <v>0</v>
      </c>
      <c r="N913">
        <v>1.745257669421</v>
      </c>
      <c r="O913">
        <v>0</v>
      </c>
    </row>
    <row r="914" spans="1:15" x14ac:dyDescent="0.25">
      <c r="A914" s="142" t="s">
        <v>365</v>
      </c>
      <c r="B914" s="142" t="s">
        <v>52</v>
      </c>
      <c r="C914" s="142" t="s">
        <v>87</v>
      </c>
      <c r="D914">
        <v>-270</v>
      </c>
      <c r="E914">
        <v>-240.001</v>
      </c>
      <c r="F914">
        <v>1</v>
      </c>
      <c r="G914" s="142" t="s">
        <v>23</v>
      </c>
      <c r="H914" s="142" t="s">
        <v>23</v>
      </c>
      <c r="I914">
        <v>0</v>
      </c>
      <c r="J914">
        <v>0</v>
      </c>
      <c r="K914" s="142" t="s">
        <v>1674</v>
      </c>
      <c r="L914">
        <v>0.81688622293199997</v>
      </c>
      <c r="M914">
        <v>0</v>
      </c>
      <c r="N914">
        <v>0.77730280893100001</v>
      </c>
      <c r="O914">
        <v>0</v>
      </c>
    </row>
    <row r="915" spans="1:15" x14ac:dyDescent="0.25">
      <c r="A915" s="142" t="s">
        <v>367</v>
      </c>
      <c r="B915" s="142" t="s">
        <v>52</v>
      </c>
      <c r="C915" s="142" t="s">
        <v>87</v>
      </c>
      <c r="D915">
        <v>-240</v>
      </c>
      <c r="E915">
        <v>-101.001</v>
      </c>
      <c r="F915">
        <v>1</v>
      </c>
      <c r="G915" s="142" t="s">
        <v>23</v>
      </c>
      <c r="H915" s="142" t="s">
        <v>23</v>
      </c>
      <c r="I915">
        <v>0</v>
      </c>
      <c r="J915">
        <v>0</v>
      </c>
      <c r="K915" s="142" t="s">
        <v>1674</v>
      </c>
      <c r="L915">
        <v>0.69414210884299998</v>
      </c>
      <c r="M915">
        <v>0</v>
      </c>
      <c r="N915">
        <v>0.66140216421200004</v>
      </c>
      <c r="O915">
        <v>0</v>
      </c>
    </row>
    <row r="916" spans="1:15" x14ac:dyDescent="0.25">
      <c r="A916" s="142" t="s">
        <v>369</v>
      </c>
      <c r="B916" s="142" t="s">
        <v>52</v>
      </c>
      <c r="C916" s="142" t="s">
        <v>87</v>
      </c>
      <c r="D916">
        <v>-101</v>
      </c>
      <c r="E916">
        <v>371</v>
      </c>
      <c r="F916">
        <v>1</v>
      </c>
      <c r="G916" s="142" t="s">
        <v>23</v>
      </c>
      <c r="H916" s="142" t="s">
        <v>23</v>
      </c>
      <c r="I916">
        <v>0</v>
      </c>
      <c r="J916">
        <v>0</v>
      </c>
      <c r="K916" s="142" t="s">
        <v>1674</v>
      </c>
      <c r="L916">
        <v>0.669197529234</v>
      </c>
      <c r="M916">
        <v>0</v>
      </c>
      <c r="N916">
        <v>0.63517311710199997</v>
      </c>
      <c r="O916">
        <v>0</v>
      </c>
    </row>
    <row r="917" spans="1:15" x14ac:dyDescent="0.25">
      <c r="A917" s="142" t="s">
        <v>371</v>
      </c>
      <c r="B917" s="142" t="s">
        <v>52</v>
      </c>
      <c r="C917" s="142" t="s">
        <v>87</v>
      </c>
      <c r="D917">
        <v>371.00099999999998</v>
      </c>
      <c r="E917">
        <v>816</v>
      </c>
      <c r="F917">
        <v>1</v>
      </c>
      <c r="G917" s="142" t="s">
        <v>23</v>
      </c>
      <c r="H917" s="142" t="s">
        <v>23</v>
      </c>
      <c r="I917">
        <v>0</v>
      </c>
      <c r="J917">
        <v>0</v>
      </c>
      <c r="K917" s="142" t="s">
        <v>1674</v>
      </c>
      <c r="L917">
        <v>0.623011097939</v>
      </c>
      <c r="M917">
        <v>0</v>
      </c>
      <c r="N917">
        <v>0.60379277657499997</v>
      </c>
      <c r="O917">
        <v>0</v>
      </c>
    </row>
    <row r="918" spans="1:15" x14ac:dyDescent="0.25">
      <c r="A918" s="142" t="s">
        <v>373</v>
      </c>
      <c r="B918" s="142" t="s">
        <v>52</v>
      </c>
      <c r="C918" s="142" t="s">
        <v>87</v>
      </c>
      <c r="D918">
        <v>816.00099999999998</v>
      </c>
      <c r="E918">
        <v>1300</v>
      </c>
      <c r="F918">
        <v>1</v>
      </c>
      <c r="G918" s="142" t="s">
        <v>23</v>
      </c>
      <c r="H918" s="142" t="s">
        <v>23</v>
      </c>
      <c r="I918">
        <v>0</v>
      </c>
      <c r="J918">
        <v>0</v>
      </c>
      <c r="K918" s="142" t="s">
        <v>1674</v>
      </c>
      <c r="L918">
        <v>0.62967419105400002</v>
      </c>
      <c r="M918">
        <v>0</v>
      </c>
      <c r="N918">
        <v>0.60895988573600002</v>
      </c>
      <c r="O918">
        <v>0</v>
      </c>
    </row>
    <row r="919" spans="1:15" x14ac:dyDescent="0.25">
      <c r="A919" s="142" t="s">
        <v>351</v>
      </c>
      <c r="B919" s="142" t="s">
        <v>52</v>
      </c>
      <c r="C919" s="142" t="s">
        <v>91</v>
      </c>
      <c r="D919">
        <v>-195.6</v>
      </c>
      <c r="E919">
        <v>0</v>
      </c>
      <c r="F919">
        <v>0.01</v>
      </c>
      <c r="G919" s="142" t="s">
        <v>23</v>
      </c>
      <c r="H919" s="142" t="s">
        <v>23</v>
      </c>
      <c r="I919">
        <v>0</v>
      </c>
      <c r="J919">
        <v>0</v>
      </c>
      <c r="K919" s="142" t="s">
        <v>1674</v>
      </c>
      <c r="L919">
        <v>8.4654770779999996E-3</v>
      </c>
      <c r="M919">
        <v>0</v>
      </c>
      <c r="N919">
        <v>7.6099676519999996E-3</v>
      </c>
      <c r="O919">
        <v>0</v>
      </c>
    </row>
    <row r="920" spans="1:15" x14ac:dyDescent="0.25">
      <c r="A920" s="142" t="s">
        <v>354</v>
      </c>
      <c r="B920" s="142" t="s">
        <v>52</v>
      </c>
      <c r="C920" s="142" t="s">
        <v>91</v>
      </c>
      <c r="D920">
        <v>1E-3</v>
      </c>
      <c r="E920">
        <v>204.44399999999999</v>
      </c>
      <c r="F920">
        <v>0.01</v>
      </c>
      <c r="G920" s="142" t="s">
        <v>23</v>
      </c>
      <c r="H920" s="142" t="s">
        <v>23</v>
      </c>
      <c r="I920">
        <v>0</v>
      </c>
      <c r="J920">
        <v>0</v>
      </c>
      <c r="K920" s="142" t="s">
        <v>1674</v>
      </c>
      <c r="L920">
        <v>1.0087018846999999E-2</v>
      </c>
      <c r="M920">
        <v>0</v>
      </c>
      <c r="N920">
        <v>9.3805785930000003E-3</v>
      </c>
      <c r="O920">
        <v>0</v>
      </c>
    </row>
    <row r="921" spans="1:15" x14ac:dyDescent="0.25">
      <c r="A921" s="142" t="s">
        <v>357</v>
      </c>
      <c r="B921" s="142" t="s">
        <v>52</v>
      </c>
      <c r="C921" s="142" t="s">
        <v>91</v>
      </c>
      <c r="D921">
        <v>204.44499999999999</v>
      </c>
      <c r="E921">
        <v>426.66699999999997</v>
      </c>
      <c r="F921">
        <v>0.01</v>
      </c>
      <c r="G921" s="142" t="s">
        <v>23</v>
      </c>
      <c r="H921" s="142" t="s">
        <v>23</v>
      </c>
      <c r="I921">
        <v>0</v>
      </c>
      <c r="J921">
        <v>0</v>
      </c>
      <c r="K921" s="142" t="s">
        <v>1674</v>
      </c>
      <c r="L921">
        <v>1.2329108961E-2</v>
      </c>
      <c r="M921">
        <v>0</v>
      </c>
      <c r="N921">
        <v>1.1525970746E-2</v>
      </c>
      <c r="O921">
        <v>0</v>
      </c>
    </row>
    <row r="922" spans="1:15" x14ac:dyDescent="0.25">
      <c r="A922" s="142" t="s">
        <v>359</v>
      </c>
      <c r="B922" s="142" t="s">
        <v>52</v>
      </c>
      <c r="C922" s="142" t="s">
        <v>91</v>
      </c>
      <c r="D922">
        <v>426.66800000000001</v>
      </c>
      <c r="E922">
        <v>648.88900000000001</v>
      </c>
      <c r="F922">
        <v>0.01</v>
      </c>
      <c r="G922" s="142" t="s">
        <v>23</v>
      </c>
      <c r="H922" s="142" t="s">
        <v>23</v>
      </c>
      <c r="I922">
        <v>0</v>
      </c>
      <c r="J922">
        <v>0</v>
      </c>
      <c r="K922" s="142" t="s">
        <v>1674</v>
      </c>
      <c r="L922">
        <v>1.5887353598E-2</v>
      </c>
      <c r="M922">
        <v>0</v>
      </c>
      <c r="N922">
        <v>1.5272494172E-2</v>
      </c>
      <c r="O922">
        <v>0</v>
      </c>
    </row>
    <row r="923" spans="1:15" x14ac:dyDescent="0.25">
      <c r="A923" s="142" t="s">
        <v>362</v>
      </c>
      <c r="B923" s="142" t="s">
        <v>52</v>
      </c>
      <c r="C923" s="142" t="s">
        <v>91</v>
      </c>
      <c r="D923">
        <v>648.89</v>
      </c>
      <c r="E923">
        <v>850</v>
      </c>
      <c r="F923">
        <v>0.01</v>
      </c>
      <c r="G923" s="142" t="s">
        <v>23</v>
      </c>
      <c r="H923" s="142" t="s">
        <v>23</v>
      </c>
      <c r="I923">
        <v>0</v>
      </c>
      <c r="J923">
        <v>0</v>
      </c>
      <c r="K923" s="142" t="s">
        <v>1674</v>
      </c>
      <c r="L923">
        <v>1.9744199428999999E-2</v>
      </c>
      <c r="M923">
        <v>0</v>
      </c>
      <c r="N923">
        <v>1.8879818845E-2</v>
      </c>
      <c r="O923">
        <v>0</v>
      </c>
    </row>
    <row r="924" spans="1:15" x14ac:dyDescent="0.25">
      <c r="A924" s="142" t="s">
        <v>352</v>
      </c>
      <c r="B924" s="142" t="s">
        <v>52</v>
      </c>
      <c r="C924" s="142" t="s">
        <v>91</v>
      </c>
      <c r="D924">
        <v>-195.6</v>
      </c>
      <c r="E924">
        <v>0</v>
      </c>
      <c r="F924">
        <v>0.1</v>
      </c>
      <c r="G924" s="142" t="s">
        <v>23</v>
      </c>
      <c r="H924" s="142" t="s">
        <v>23</v>
      </c>
      <c r="I924">
        <v>0</v>
      </c>
      <c r="J924">
        <v>0</v>
      </c>
      <c r="K924" s="142" t="s">
        <v>1674</v>
      </c>
      <c r="L924">
        <v>5.8420222403000002E-2</v>
      </c>
      <c r="M924">
        <v>0</v>
      </c>
      <c r="N924">
        <v>5.7947490088999999E-2</v>
      </c>
      <c r="O924">
        <v>0</v>
      </c>
    </row>
    <row r="925" spans="1:15" x14ac:dyDescent="0.25">
      <c r="A925" s="142" t="s">
        <v>355</v>
      </c>
      <c r="B925" s="142" t="s">
        <v>52</v>
      </c>
      <c r="C925" s="142" t="s">
        <v>91</v>
      </c>
      <c r="D925">
        <v>1E-3</v>
      </c>
      <c r="E925">
        <v>204.44399999999999</v>
      </c>
      <c r="F925">
        <v>0.1</v>
      </c>
      <c r="G925" s="142" t="s">
        <v>23</v>
      </c>
      <c r="H925" s="142" t="s">
        <v>23</v>
      </c>
      <c r="I925">
        <v>0</v>
      </c>
      <c r="J925">
        <v>0</v>
      </c>
      <c r="K925" s="142" t="s">
        <v>1674</v>
      </c>
      <c r="L925">
        <v>5.8677133814999997E-2</v>
      </c>
      <c r="M925">
        <v>0</v>
      </c>
      <c r="N925">
        <v>5.8206488080999999E-2</v>
      </c>
      <c r="O925">
        <v>0</v>
      </c>
    </row>
    <row r="926" spans="1:15" x14ac:dyDescent="0.25">
      <c r="A926" s="142" t="s">
        <v>358</v>
      </c>
      <c r="B926" s="142" t="s">
        <v>52</v>
      </c>
      <c r="C926" s="142" t="s">
        <v>91</v>
      </c>
      <c r="D926">
        <v>204.44499999999999</v>
      </c>
      <c r="E926">
        <v>426.66699999999997</v>
      </c>
      <c r="F926">
        <v>0.1</v>
      </c>
      <c r="G926" s="142" t="s">
        <v>23</v>
      </c>
      <c r="H926" s="142" t="s">
        <v>23</v>
      </c>
      <c r="I926">
        <v>0</v>
      </c>
      <c r="J926">
        <v>0</v>
      </c>
      <c r="K926" s="142" t="s">
        <v>1674</v>
      </c>
      <c r="L926">
        <v>5.9240895554999999E-2</v>
      </c>
      <c r="M926">
        <v>0</v>
      </c>
      <c r="N926">
        <v>5.8590511190999998E-2</v>
      </c>
      <c r="O926">
        <v>0</v>
      </c>
    </row>
    <row r="927" spans="1:15" x14ac:dyDescent="0.25">
      <c r="A927" s="142" t="s">
        <v>360</v>
      </c>
      <c r="B927" s="142" t="s">
        <v>52</v>
      </c>
      <c r="C927" s="142" t="s">
        <v>91</v>
      </c>
      <c r="D927">
        <v>426.66800000000001</v>
      </c>
      <c r="E927">
        <v>648.88900000000001</v>
      </c>
      <c r="F927">
        <v>0.1</v>
      </c>
      <c r="G927" s="142" t="s">
        <v>23</v>
      </c>
      <c r="H927" s="142" t="s">
        <v>23</v>
      </c>
      <c r="I927">
        <v>0</v>
      </c>
      <c r="J927">
        <v>0</v>
      </c>
      <c r="K927" s="142" t="s">
        <v>1674</v>
      </c>
      <c r="L927">
        <v>6.0082316721999998E-2</v>
      </c>
      <c r="M927">
        <v>0</v>
      </c>
      <c r="N927">
        <v>5.9441139610999998E-2</v>
      </c>
      <c r="O927">
        <v>0</v>
      </c>
    </row>
    <row r="928" spans="1:15" x14ac:dyDescent="0.25">
      <c r="A928" s="142" t="s">
        <v>363</v>
      </c>
      <c r="B928" s="142" t="s">
        <v>52</v>
      </c>
      <c r="C928" s="142" t="s">
        <v>91</v>
      </c>
      <c r="D928">
        <v>648.89</v>
      </c>
      <c r="E928">
        <v>850</v>
      </c>
      <c r="F928">
        <v>0.1</v>
      </c>
      <c r="G928" s="142" t="s">
        <v>23</v>
      </c>
      <c r="H928" s="142" t="s">
        <v>23</v>
      </c>
      <c r="I928">
        <v>0</v>
      </c>
      <c r="J928">
        <v>0</v>
      </c>
      <c r="K928" s="142" t="s">
        <v>1674</v>
      </c>
      <c r="L928">
        <v>6.1562902510000003E-2</v>
      </c>
      <c r="M928">
        <v>0</v>
      </c>
      <c r="N928">
        <v>6.0468566707000002E-2</v>
      </c>
      <c r="O928">
        <v>0</v>
      </c>
    </row>
    <row r="929" spans="1:15" x14ac:dyDescent="0.25">
      <c r="A929" s="142" t="s">
        <v>353</v>
      </c>
      <c r="B929" s="142" t="s">
        <v>52</v>
      </c>
      <c r="C929" s="142" t="s">
        <v>91</v>
      </c>
      <c r="D929">
        <v>-195.6</v>
      </c>
      <c r="E929">
        <v>0</v>
      </c>
      <c r="F929">
        <v>1</v>
      </c>
      <c r="G929" s="142" t="s">
        <v>23</v>
      </c>
      <c r="H929" s="142" t="s">
        <v>23</v>
      </c>
      <c r="I929">
        <v>0</v>
      </c>
      <c r="J929">
        <v>0</v>
      </c>
      <c r="K929" s="142" t="s">
        <v>1674</v>
      </c>
      <c r="L929">
        <v>0.57756207867200005</v>
      </c>
      <c r="M929">
        <v>0</v>
      </c>
      <c r="N929">
        <v>0.57737155420700004</v>
      </c>
      <c r="O929">
        <v>0</v>
      </c>
    </row>
    <row r="930" spans="1:15" x14ac:dyDescent="0.25">
      <c r="A930" s="142" t="s">
        <v>356</v>
      </c>
      <c r="B930" s="142" t="s">
        <v>52</v>
      </c>
      <c r="C930" s="142" t="s">
        <v>91</v>
      </c>
      <c r="D930">
        <v>1E-3</v>
      </c>
      <c r="E930">
        <v>204.44399999999999</v>
      </c>
      <c r="F930">
        <v>1</v>
      </c>
      <c r="G930" s="142" t="s">
        <v>23</v>
      </c>
      <c r="H930" s="142" t="s">
        <v>23</v>
      </c>
      <c r="I930">
        <v>0</v>
      </c>
      <c r="J930">
        <v>0</v>
      </c>
      <c r="K930" s="142" t="s">
        <v>1674</v>
      </c>
      <c r="L930">
        <v>0.577588121733</v>
      </c>
      <c r="M930">
        <v>0</v>
      </c>
      <c r="N930">
        <v>0.57739760586199995</v>
      </c>
      <c r="O930">
        <v>0</v>
      </c>
    </row>
    <row r="931" spans="1:15" x14ac:dyDescent="0.25">
      <c r="A931" s="142" t="s">
        <v>2146</v>
      </c>
      <c r="B931" s="142" t="s">
        <v>52</v>
      </c>
      <c r="C931" s="142" t="s">
        <v>91</v>
      </c>
      <c r="D931">
        <v>204.44499999999999</v>
      </c>
      <c r="E931">
        <v>426.66699999999997</v>
      </c>
      <c r="F931">
        <v>1</v>
      </c>
      <c r="G931" s="142" t="s">
        <v>23</v>
      </c>
      <c r="H931" s="142" t="s">
        <v>23</v>
      </c>
      <c r="I931">
        <v>0</v>
      </c>
      <c r="J931">
        <v>0</v>
      </c>
      <c r="K931" s="142" t="s">
        <v>1674</v>
      </c>
      <c r="L931">
        <v>0.57770181825900002</v>
      </c>
      <c r="M931">
        <v>0</v>
      </c>
      <c r="N931">
        <v>0.57743644498900004</v>
      </c>
      <c r="O931">
        <v>0</v>
      </c>
    </row>
    <row r="932" spans="1:15" x14ac:dyDescent="0.25">
      <c r="A932" s="142" t="s">
        <v>361</v>
      </c>
      <c r="B932" s="142" t="s">
        <v>52</v>
      </c>
      <c r="C932" s="142" t="s">
        <v>91</v>
      </c>
      <c r="D932">
        <v>426.66800000000001</v>
      </c>
      <c r="E932">
        <v>648.88900000000001</v>
      </c>
      <c r="F932">
        <v>1</v>
      </c>
      <c r="G932" s="142" t="s">
        <v>23</v>
      </c>
      <c r="H932" s="142" t="s">
        <v>23</v>
      </c>
      <c r="I932">
        <v>0</v>
      </c>
      <c r="J932">
        <v>0</v>
      </c>
      <c r="K932" s="142" t="s">
        <v>1674</v>
      </c>
      <c r="L932">
        <v>0.57778870869599996</v>
      </c>
      <c r="M932">
        <v>0</v>
      </c>
      <c r="N932">
        <v>0.57752337535200005</v>
      </c>
      <c r="O932">
        <v>0</v>
      </c>
    </row>
    <row r="933" spans="1:15" x14ac:dyDescent="0.25">
      <c r="A933" s="142" t="s">
        <v>364</v>
      </c>
      <c r="B933" s="142" t="s">
        <v>52</v>
      </c>
      <c r="C933" s="142" t="s">
        <v>91</v>
      </c>
      <c r="D933">
        <v>648.89</v>
      </c>
      <c r="E933">
        <v>850</v>
      </c>
      <c r="F933">
        <v>1</v>
      </c>
      <c r="G933" s="142" t="s">
        <v>23</v>
      </c>
      <c r="H933" s="142" t="s">
        <v>23</v>
      </c>
      <c r="I933">
        <v>0</v>
      </c>
      <c r="J933">
        <v>0</v>
      </c>
      <c r="K933" s="142" t="s">
        <v>1674</v>
      </c>
      <c r="L933">
        <v>0.57809222549999995</v>
      </c>
      <c r="M933">
        <v>0</v>
      </c>
      <c r="N933">
        <v>0.57763002653899997</v>
      </c>
      <c r="O933">
        <v>0</v>
      </c>
    </row>
    <row r="934" spans="1:15" x14ac:dyDescent="0.25">
      <c r="A934" s="142" t="s">
        <v>337</v>
      </c>
      <c r="B934" s="142" t="s">
        <v>52</v>
      </c>
      <c r="C934" s="142" t="s">
        <v>92</v>
      </c>
      <c r="D934">
        <v>-195.6</v>
      </c>
      <c r="E934">
        <v>0</v>
      </c>
      <c r="F934">
        <v>0.01</v>
      </c>
      <c r="G934" s="142" t="s">
        <v>23</v>
      </c>
      <c r="H934" s="142" t="s">
        <v>23</v>
      </c>
      <c r="I934">
        <v>0</v>
      </c>
      <c r="J934">
        <v>0</v>
      </c>
      <c r="K934" s="142" t="s">
        <v>1674</v>
      </c>
      <c r="L934">
        <v>6.9229097500000001E-3</v>
      </c>
      <c r="M934">
        <v>0</v>
      </c>
      <c r="N934">
        <v>6.5352995429999996E-3</v>
      </c>
      <c r="O934">
        <v>0</v>
      </c>
    </row>
    <row r="935" spans="1:15" x14ac:dyDescent="0.25">
      <c r="A935" s="142" t="s">
        <v>340</v>
      </c>
      <c r="B935" s="142" t="s">
        <v>52</v>
      </c>
      <c r="C935" s="142" t="s">
        <v>92</v>
      </c>
      <c r="D935">
        <v>1E-3</v>
      </c>
      <c r="E935">
        <v>204.44399999999999</v>
      </c>
      <c r="F935">
        <v>0.01</v>
      </c>
      <c r="G935" s="142" t="s">
        <v>23</v>
      </c>
      <c r="H935" s="142" t="s">
        <v>23</v>
      </c>
      <c r="I935">
        <v>0</v>
      </c>
      <c r="J935">
        <v>0</v>
      </c>
      <c r="K935" s="142" t="s">
        <v>1674</v>
      </c>
      <c r="L935">
        <v>9.7193214020000005E-3</v>
      </c>
      <c r="M935">
        <v>0</v>
      </c>
      <c r="N935">
        <v>9.3614253380000009E-3</v>
      </c>
      <c r="O935">
        <v>0</v>
      </c>
    </row>
    <row r="936" spans="1:15" x14ac:dyDescent="0.25">
      <c r="A936" s="142" t="s">
        <v>2147</v>
      </c>
      <c r="B936" s="142" t="s">
        <v>52</v>
      </c>
      <c r="C936" s="142" t="s">
        <v>92</v>
      </c>
      <c r="D936">
        <v>204.44499999999999</v>
      </c>
      <c r="E936">
        <v>426.66699999999997</v>
      </c>
      <c r="F936">
        <v>0.01</v>
      </c>
      <c r="G936" s="142" t="s">
        <v>23</v>
      </c>
      <c r="H936" s="142" t="s">
        <v>23</v>
      </c>
      <c r="I936">
        <v>0</v>
      </c>
      <c r="J936">
        <v>0</v>
      </c>
      <c r="K936" s="142" t="s">
        <v>1674</v>
      </c>
      <c r="L936">
        <v>1.1767880059999999E-2</v>
      </c>
      <c r="M936">
        <v>0</v>
      </c>
      <c r="N936">
        <v>1.1474061048999999E-2</v>
      </c>
      <c r="O936">
        <v>0</v>
      </c>
    </row>
    <row r="937" spans="1:15" x14ac:dyDescent="0.25">
      <c r="A937" s="142" t="s">
        <v>345</v>
      </c>
      <c r="B937" s="142" t="s">
        <v>52</v>
      </c>
      <c r="C937" s="142" t="s">
        <v>92</v>
      </c>
      <c r="D937">
        <v>426.66800000000001</v>
      </c>
      <c r="E937">
        <v>648.88900000000001</v>
      </c>
      <c r="F937">
        <v>0.01</v>
      </c>
      <c r="G937" s="142" t="s">
        <v>23</v>
      </c>
      <c r="H937" s="142" t="s">
        <v>23</v>
      </c>
      <c r="I937">
        <v>0</v>
      </c>
      <c r="J937">
        <v>0</v>
      </c>
      <c r="K937" s="142" t="s">
        <v>1674</v>
      </c>
      <c r="L937">
        <v>1.5791867950999999E-2</v>
      </c>
      <c r="M937">
        <v>0</v>
      </c>
      <c r="N937">
        <v>1.5173139663999999E-2</v>
      </c>
      <c r="O937">
        <v>0</v>
      </c>
    </row>
    <row r="938" spans="1:15" x14ac:dyDescent="0.25">
      <c r="A938" s="142" t="s">
        <v>348</v>
      </c>
      <c r="B938" s="142" t="s">
        <v>52</v>
      </c>
      <c r="C938" s="142" t="s">
        <v>92</v>
      </c>
      <c r="D938">
        <v>648.89</v>
      </c>
      <c r="E938">
        <v>850</v>
      </c>
      <c r="F938">
        <v>0.01</v>
      </c>
      <c r="G938" s="142" t="s">
        <v>23</v>
      </c>
      <c r="H938" s="142" t="s">
        <v>23</v>
      </c>
      <c r="I938">
        <v>0</v>
      </c>
      <c r="J938">
        <v>0</v>
      </c>
      <c r="K938" s="142" t="s">
        <v>1674</v>
      </c>
      <c r="L938">
        <v>1.9042102625000001E-2</v>
      </c>
      <c r="M938">
        <v>0</v>
      </c>
      <c r="N938">
        <v>1.8733275037000001E-2</v>
      </c>
      <c r="O938">
        <v>0</v>
      </c>
    </row>
    <row r="939" spans="1:15" x14ac:dyDescent="0.25">
      <c r="A939" s="142" t="s">
        <v>338</v>
      </c>
      <c r="B939" s="142" t="s">
        <v>52</v>
      </c>
      <c r="C939" s="142" t="s">
        <v>92</v>
      </c>
      <c r="D939">
        <v>-195.6</v>
      </c>
      <c r="E939">
        <v>0</v>
      </c>
      <c r="F939">
        <v>0.1</v>
      </c>
      <c r="G939" s="142" t="s">
        <v>23</v>
      </c>
      <c r="H939" s="142" t="s">
        <v>23</v>
      </c>
      <c r="I939">
        <v>0</v>
      </c>
      <c r="J939">
        <v>0</v>
      </c>
      <c r="K939" s="142" t="s">
        <v>1674</v>
      </c>
      <c r="L939">
        <v>5.7996347274999999E-2</v>
      </c>
      <c r="M939">
        <v>0</v>
      </c>
      <c r="N939">
        <v>5.7816175418999999E-2</v>
      </c>
      <c r="O939">
        <v>0</v>
      </c>
    </row>
    <row r="940" spans="1:15" x14ac:dyDescent="0.25">
      <c r="A940" s="142" t="s">
        <v>341</v>
      </c>
      <c r="B940" s="142" t="s">
        <v>52</v>
      </c>
      <c r="C940" s="142" t="s">
        <v>92</v>
      </c>
      <c r="D940">
        <v>1E-3</v>
      </c>
      <c r="E940">
        <v>204.44399999999999</v>
      </c>
      <c r="F940">
        <v>0.1</v>
      </c>
      <c r="G940" s="142" t="s">
        <v>23</v>
      </c>
      <c r="H940" s="142" t="s">
        <v>23</v>
      </c>
      <c r="I940">
        <v>0</v>
      </c>
      <c r="J940">
        <v>0</v>
      </c>
      <c r="K940" s="142" t="s">
        <v>1674</v>
      </c>
      <c r="L940">
        <v>5.8437590478999997E-2</v>
      </c>
      <c r="M940">
        <v>0</v>
      </c>
      <c r="N940">
        <v>5.8203404404999999E-2</v>
      </c>
      <c r="O940">
        <v>0</v>
      </c>
    </row>
    <row r="941" spans="1:15" x14ac:dyDescent="0.25">
      <c r="A941" s="142" t="s">
        <v>343</v>
      </c>
      <c r="B941" s="142" t="s">
        <v>52</v>
      </c>
      <c r="C941" s="142" t="s">
        <v>92</v>
      </c>
      <c r="D941">
        <v>204.44499999999999</v>
      </c>
      <c r="E941">
        <v>426.66699999999997</v>
      </c>
      <c r="F941">
        <v>0.1</v>
      </c>
      <c r="G941" s="142" t="s">
        <v>23</v>
      </c>
      <c r="H941" s="142" t="s">
        <v>23</v>
      </c>
      <c r="I941">
        <v>0</v>
      </c>
      <c r="J941">
        <v>0</v>
      </c>
      <c r="K941" s="142" t="s">
        <v>1674</v>
      </c>
      <c r="L941">
        <v>5.8813006840000001E-2</v>
      </c>
      <c r="M941">
        <v>0</v>
      </c>
      <c r="N941">
        <v>5.8580321584999998E-2</v>
      </c>
      <c r="O941">
        <v>0</v>
      </c>
    </row>
    <row r="942" spans="1:15" x14ac:dyDescent="0.25">
      <c r="A942" s="142" t="s">
        <v>346</v>
      </c>
      <c r="B942" s="142" t="s">
        <v>52</v>
      </c>
      <c r="C942" s="142" t="s">
        <v>92</v>
      </c>
      <c r="D942">
        <v>426.66800000000001</v>
      </c>
      <c r="E942">
        <v>648.88900000000001</v>
      </c>
      <c r="F942">
        <v>0.1</v>
      </c>
      <c r="G942" s="142" t="s">
        <v>23</v>
      </c>
      <c r="H942" s="142" t="s">
        <v>23</v>
      </c>
      <c r="I942">
        <v>0</v>
      </c>
      <c r="J942">
        <v>0</v>
      </c>
      <c r="K942" s="142" t="s">
        <v>1674</v>
      </c>
      <c r="L942">
        <v>6.0057138390999999E-2</v>
      </c>
      <c r="M942">
        <v>0</v>
      </c>
      <c r="N942">
        <v>5.9415689571999997E-2</v>
      </c>
      <c r="O942">
        <v>0</v>
      </c>
    </row>
    <row r="943" spans="1:15" x14ac:dyDescent="0.25">
      <c r="A943" s="142" t="s">
        <v>349</v>
      </c>
      <c r="B943" s="142" t="s">
        <v>52</v>
      </c>
      <c r="C943" s="142" t="s">
        <v>92</v>
      </c>
      <c r="D943">
        <v>648.89</v>
      </c>
      <c r="E943">
        <v>850</v>
      </c>
      <c r="F943">
        <v>0.1</v>
      </c>
      <c r="G943" s="142" t="s">
        <v>23</v>
      </c>
      <c r="H943" s="142" t="s">
        <v>23</v>
      </c>
      <c r="I943">
        <v>0</v>
      </c>
      <c r="J943">
        <v>0</v>
      </c>
      <c r="K943" s="142" t="s">
        <v>1674</v>
      </c>
      <c r="L943">
        <v>6.0807893474000001E-2</v>
      </c>
      <c r="M943">
        <v>0</v>
      </c>
      <c r="N943">
        <v>6.0422972399999997E-2</v>
      </c>
      <c r="O943">
        <v>0</v>
      </c>
    </row>
    <row r="944" spans="1:15" x14ac:dyDescent="0.25">
      <c r="A944" s="142" t="s">
        <v>339</v>
      </c>
      <c r="B944" s="142" t="s">
        <v>52</v>
      </c>
      <c r="C944" s="142" t="s">
        <v>92</v>
      </c>
      <c r="D944">
        <v>-195.6</v>
      </c>
      <c r="E944">
        <v>0</v>
      </c>
      <c r="F944">
        <v>1</v>
      </c>
      <c r="G944" s="142" t="s">
        <v>23</v>
      </c>
      <c r="H944" s="142" t="s">
        <v>23</v>
      </c>
      <c r="I944">
        <v>0</v>
      </c>
      <c r="J944">
        <v>0</v>
      </c>
      <c r="K944" s="142" t="s">
        <v>1674</v>
      </c>
      <c r="L944">
        <v>0.57743066663300002</v>
      </c>
      <c r="M944">
        <v>0</v>
      </c>
      <c r="N944">
        <v>0.57735838968499997</v>
      </c>
      <c r="O944">
        <v>0</v>
      </c>
    </row>
    <row r="945" spans="1:15" x14ac:dyDescent="0.25">
      <c r="A945" s="142" t="s">
        <v>342</v>
      </c>
      <c r="B945" s="142" t="s">
        <v>52</v>
      </c>
      <c r="C945" s="142" t="s">
        <v>92</v>
      </c>
      <c r="D945">
        <v>1E-3</v>
      </c>
      <c r="E945">
        <v>204.44399999999999</v>
      </c>
      <c r="F945">
        <v>1</v>
      </c>
      <c r="G945" s="142" t="s">
        <v>23</v>
      </c>
      <c r="H945" s="142" t="s">
        <v>23</v>
      </c>
      <c r="I945">
        <v>0</v>
      </c>
      <c r="J945">
        <v>0</v>
      </c>
      <c r="K945" s="142" t="s">
        <v>1674</v>
      </c>
      <c r="L945">
        <v>0.57749190390100003</v>
      </c>
      <c r="M945">
        <v>0</v>
      </c>
      <c r="N945">
        <v>0.57739729501000003</v>
      </c>
      <c r="O945">
        <v>0</v>
      </c>
    </row>
    <row r="946" spans="1:15" x14ac:dyDescent="0.25">
      <c r="A946" s="142" t="s">
        <v>344</v>
      </c>
      <c r="B946" s="142" t="s">
        <v>52</v>
      </c>
      <c r="C946" s="142" t="s">
        <v>92</v>
      </c>
      <c r="D946">
        <v>204.44499999999999</v>
      </c>
      <c r="E946">
        <v>426.66699999999997</v>
      </c>
      <c r="F946">
        <v>1</v>
      </c>
      <c r="G946" s="142" t="s">
        <v>23</v>
      </c>
      <c r="H946" s="142" t="s">
        <v>23</v>
      </c>
      <c r="I946">
        <v>0</v>
      </c>
      <c r="J946">
        <v>0</v>
      </c>
      <c r="K946" s="142" t="s">
        <v>1674</v>
      </c>
      <c r="L946">
        <v>0.577530013821</v>
      </c>
      <c r="M946">
        <v>0</v>
      </c>
      <c r="N946">
        <v>0.57743541117300001</v>
      </c>
      <c r="O946">
        <v>0</v>
      </c>
    </row>
    <row r="947" spans="1:15" x14ac:dyDescent="0.25">
      <c r="A947" s="142" t="s">
        <v>347</v>
      </c>
      <c r="B947" s="142" t="s">
        <v>52</v>
      </c>
      <c r="C947" s="142" t="s">
        <v>92</v>
      </c>
      <c r="D947">
        <v>426.66800000000001</v>
      </c>
      <c r="E947">
        <v>648.88900000000001</v>
      </c>
      <c r="F947">
        <v>1</v>
      </c>
      <c r="G947" s="142" t="s">
        <v>23</v>
      </c>
      <c r="H947" s="142" t="s">
        <v>23</v>
      </c>
      <c r="I947">
        <v>0</v>
      </c>
      <c r="J947">
        <v>0</v>
      </c>
      <c r="K947" s="142" t="s">
        <v>1674</v>
      </c>
      <c r="L947">
        <v>0.57778609102800005</v>
      </c>
      <c r="M947">
        <v>0</v>
      </c>
      <c r="N947">
        <v>0.57752075648199996</v>
      </c>
      <c r="O947">
        <v>0</v>
      </c>
    </row>
    <row r="948" spans="1:15" x14ac:dyDescent="0.25">
      <c r="A948" s="142" t="s">
        <v>350</v>
      </c>
      <c r="B948" s="142" t="s">
        <v>52</v>
      </c>
      <c r="C948" s="142" t="s">
        <v>92</v>
      </c>
      <c r="D948">
        <v>648.89</v>
      </c>
      <c r="E948">
        <v>850</v>
      </c>
      <c r="F948">
        <v>1</v>
      </c>
      <c r="G948" s="142" t="s">
        <v>23</v>
      </c>
      <c r="H948" s="142" t="s">
        <v>23</v>
      </c>
      <c r="I948">
        <v>0</v>
      </c>
      <c r="J948">
        <v>0</v>
      </c>
      <c r="K948" s="142" t="s">
        <v>1674</v>
      </c>
      <c r="L948">
        <v>0.57778680571100005</v>
      </c>
      <c r="M948">
        <v>0</v>
      </c>
      <c r="N948">
        <v>0.577625255329</v>
      </c>
      <c r="O948">
        <v>0</v>
      </c>
    </row>
    <row r="949" spans="1:15" x14ac:dyDescent="0.25">
      <c r="A949" s="142" t="s">
        <v>2141</v>
      </c>
      <c r="B949" s="142" t="s">
        <v>52</v>
      </c>
      <c r="C949" s="142" t="s">
        <v>88</v>
      </c>
      <c r="D949">
        <v>-50</v>
      </c>
      <c r="E949">
        <v>-1E-3</v>
      </c>
      <c r="F949">
        <v>0.1</v>
      </c>
      <c r="G949" s="142" t="s">
        <v>23</v>
      </c>
      <c r="H949" s="142" t="s">
        <v>23</v>
      </c>
      <c r="I949">
        <v>0</v>
      </c>
      <c r="J949">
        <v>0</v>
      </c>
      <c r="K949" s="142" t="s">
        <v>1674</v>
      </c>
      <c r="L949">
        <v>0.66941089500999995</v>
      </c>
      <c r="M949">
        <v>0</v>
      </c>
      <c r="N949">
        <v>0.65910035527199995</v>
      </c>
      <c r="O949">
        <v>0</v>
      </c>
    </row>
    <row r="950" spans="1:15" x14ac:dyDescent="0.25">
      <c r="A950" s="142" t="s">
        <v>332</v>
      </c>
      <c r="B950" s="142" t="s">
        <v>52</v>
      </c>
      <c r="C950" s="142" t="s">
        <v>88</v>
      </c>
      <c r="D950">
        <v>0</v>
      </c>
      <c r="E950">
        <v>593</v>
      </c>
      <c r="F950">
        <v>0.1</v>
      </c>
      <c r="G950" s="142" t="s">
        <v>23</v>
      </c>
      <c r="H950" s="142" t="s">
        <v>23</v>
      </c>
      <c r="I950">
        <v>0</v>
      </c>
      <c r="J950">
        <v>0</v>
      </c>
      <c r="K950" s="142" t="s">
        <v>1674</v>
      </c>
      <c r="L950">
        <v>0.64372716196400004</v>
      </c>
      <c r="M950">
        <v>0</v>
      </c>
      <c r="N950">
        <v>0.65910035527199995</v>
      </c>
      <c r="O950">
        <v>0</v>
      </c>
    </row>
    <row r="951" spans="1:15" x14ac:dyDescent="0.25">
      <c r="A951" s="142" t="s">
        <v>334</v>
      </c>
      <c r="B951" s="142" t="s">
        <v>52</v>
      </c>
      <c r="C951" s="142" t="s">
        <v>88</v>
      </c>
      <c r="D951">
        <v>593.00099999999998</v>
      </c>
      <c r="E951">
        <v>1204</v>
      </c>
      <c r="F951">
        <v>0.1</v>
      </c>
      <c r="G951" s="142" t="s">
        <v>23</v>
      </c>
      <c r="H951" s="142" t="s">
        <v>23</v>
      </c>
      <c r="I951">
        <v>0</v>
      </c>
      <c r="J951">
        <v>0</v>
      </c>
      <c r="K951" s="142" t="s">
        <v>1674</v>
      </c>
      <c r="L951">
        <v>0.60739759086199996</v>
      </c>
      <c r="M951">
        <v>0</v>
      </c>
      <c r="N951">
        <v>0.60137754134999999</v>
      </c>
      <c r="O951">
        <v>0</v>
      </c>
    </row>
    <row r="952" spans="1:15" x14ac:dyDescent="0.25">
      <c r="A952" s="142" t="s">
        <v>336</v>
      </c>
      <c r="B952" s="142" t="s">
        <v>52</v>
      </c>
      <c r="C952" s="142" t="s">
        <v>88</v>
      </c>
      <c r="D952">
        <v>1204.001</v>
      </c>
      <c r="E952">
        <v>1768</v>
      </c>
      <c r="F952">
        <v>0.1</v>
      </c>
      <c r="G952" s="142" t="s">
        <v>23</v>
      </c>
      <c r="H952" s="142" t="s">
        <v>23</v>
      </c>
      <c r="I952">
        <v>0</v>
      </c>
      <c r="J952">
        <v>0</v>
      </c>
      <c r="K952" s="142" t="s">
        <v>1674</v>
      </c>
      <c r="L952">
        <v>0.61255729926299995</v>
      </c>
      <c r="M952">
        <v>0</v>
      </c>
      <c r="N952">
        <v>0.60605897447799995</v>
      </c>
      <c r="O952">
        <v>0</v>
      </c>
    </row>
    <row r="953" spans="1:15" x14ac:dyDescent="0.25">
      <c r="A953" s="142" t="s">
        <v>331</v>
      </c>
      <c r="B953" s="142" t="s">
        <v>52</v>
      </c>
      <c r="C953" s="142" t="s">
        <v>88</v>
      </c>
      <c r="D953">
        <v>-50</v>
      </c>
      <c r="E953">
        <v>-1E-3</v>
      </c>
      <c r="F953">
        <v>1</v>
      </c>
      <c r="G953" s="142" t="s">
        <v>23</v>
      </c>
      <c r="H953" s="142" t="s">
        <v>23</v>
      </c>
      <c r="I953">
        <v>0</v>
      </c>
      <c r="J953">
        <v>0</v>
      </c>
      <c r="K953" s="142" t="s">
        <v>1674</v>
      </c>
      <c r="L953">
        <v>0.65</v>
      </c>
      <c r="M953">
        <v>0</v>
      </c>
      <c r="N953">
        <v>0.62832041303700004</v>
      </c>
      <c r="O953">
        <v>0</v>
      </c>
    </row>
    <row r="954" spans="1:15" x14ac:dyDescent="0.25">
      <c r="A954" s="142" t="s">
        <v>333</v>
      </c>
      <c r="B954" s="142" t="s">
        <v>52</v>
      </c>
      <c r="C954" s="142" t="s">
        <v>88</v>
      </c>
      <c r="D954">
        <v>0</v>
      </c>
      <c r="E954">
        <v>593</v>
      </c>
      <c r="F954">
        <v>1</v>
      </c>
      <c r="G954" s="142" t="s">
        <v>23</v>
      </c>
      <c r="H954" s="142" t="s">
        <v>23</v>
      </c>
      <c r="I954">
        <v>0</v>
      </c>
      <c r="J954">
        <v>0</v>
      </c>
      <c r="K954" s="142" t="s">
        <v>1674</v>
      </c>
      <c r="L954">
        <v>0.38</v>
      </c>
      <c r="M954">
        <v>0</v>
      </c>
      <c r="N954">
        <v>0.35102055794800002</v>
      </c>
      <c r="O954">
        <v>0</v>
      </c>
    </row>
    <row r="955" spans="1:15" x14ac:dyDescent="0.25">
      <c r="A955" s="142" t="s">
        <v>335</v>
      </c>
      <c r="B955" s="142" t="s">
        <v>52</v>
      </c>
      <c r="C955" s="142" t="s">
        <v>88</v>
      </c>
      <c r="D955">
        <v>593.00099999999998</v>
      </c>
      <c r="E955">
        <v>1204</v>
      </c>
      <c r="F955">
        <v>1</v>
      </c>
      <c r="G955" s="142" t="s">
        <v>23</v>
      </c>
      <c r="H955" s="142" t="s">
        <v>23</v>
      </c>
      <c r="I955">
        <v>0</v>
      </c>
      <c r="J955">
        <v>0</v>
      </c>
      <c r="K955" s="142" t="s">
        <v>1674</v>
      </c>
      <c r="L955">
        <v>0.27</v>
      </c>
      <c r="M955">
        <v>0</v>
      </c>
      <c r="N955">
        <v>0.22784242617700001</v>
      </c>
      <c r="O955">
        <v>0</v>
      </c>
    </row>
    <row r="956" spans="1:15" x14ac:dyDescent="0.25">
      <c r="A956" s="142" t="s">
        <v>2142</v>
      </c>
      <c r="B956" s="142" t="s">
        <v>52</v>
      </c>
      <c r="C956" s="142" t="s">
        <v>88</v>
      </c>
      <c r="D956">
        <v>1204.001</v>
      </c>
      <c r="E956">
        <v>1768</v>
      </c>
      <c r="F956">
        <v>1</v>
      </c>
      <c r="G956" s="142" t="s">
        <v>23</v>
      </c>
      <c r="H956" s="142" t="s">
        <v>23</v>
      </c>
      <c r="I956">
        <v>0</v>
      </c>
      <c r="J956">
        <v>0</v>
      </c>
      <c r="K956" s="142" t="s">
        <v>1674</v>
      </c>
      <c r="L956">
        <v>0.24</v>
      </c>
      <c r="M956">
        <v>0</v>
      </c>
      <c r="N956">
        <v>0.16746682020000001</v>
      </c>
      <c r="O956">
        <v>0</v>
      </c>
    </row>
    <row r="957" spans="1:15" x14ac:dyDescent="0.25">
      <c r="A957" s="142" t="s">
        <v>323</v>
      </c>
      <c r="B957" s="142" t="s">
        <v>52</v>
      </c>
      <c r="C957" s="142" t="s">
        <v>89</v>
      </c>
      <c r="D957">
        <v>-50</v>
      </c>
      <c r="E957">
        <v>-1E-3</v>
      </c>
      <c r="F957">
        <v>0.1</v>
      </c>
      <c r="G957" s="142" t="s">
        <v>23</v>
      </c>
      <c r="H957" s="142" t="s">
        <v>23</v>
      </c>
      <c r="I957">
        <v>0</v>
      </c>
      <c r="J957">
        <v>0</v>
      </c>
      <c r="K957" s="142" t="s">
        <v>1674</v>
      </c>
      <c r="L957">
        <v>0.18458266645599999</v>
      </c>
      <c r="M957">
        <v>0</v>
      </c>
      <c r="N957">
        <v>0.173217393921</v>
      </c>
      <c r="O957">
        <v>0</v>
      </c>
    </row>
    <row r="958" spans="1:15" x14ac:dyDescent="0.25">
      <c r="A958" s="142" t="s">
        <v>325</v>
      </c>
      <c r="B958" s="142" t="s">
        <v>52</v>
      </c>
      <c r="C958" s="142" t="s">
        <v>89</v>
      </c>
      <c r="D958">
        <v>0</v>
      </c>
      <c r="E958">
        <v>593</v>
      </c>
      <c r="F958">
        <v>0.1</v>
      </c>
      <c r="G958" s="142" t="s">
        <v>23</v>
      </c>
      <c r="H958" s="142" t="s">
        <v>23</v>
      </c>
      <c r="I958">
        <v>0</v>
      </c>
      <c r="J958">
        <v>0</v>
      </c>
      <c r="K958" s="142" t="s">
        <v>1674</v>
      </c>
      <c r="L958">
        <v>0.16430674357799999</v>
      </c>
      <c r="M958">
        <v>0</v>
      </c>
      <c r="N958">
        <v>0.15142724585199999</v>
      </c>
      <c r="O958">
        <v>0</v>
      </c>
    </row>
    <row r="959" spans="1:15" x14ac:dyDescent="0.25">
      <c r="A959" s="142" t="s">
        <v>327</v>
      </c>
      <c r="B959" s="142" t="s">
        <v>52</v>
      </c>
      <c r="C959" s="142" t="s">
        <v>89</v>
      </c>
      <c r="D959">
        <v>593.00099999999998</v>
      </c>
      <c r="E959">
        <v>1204</v>
      </c>
      <c r="F959">
        <v>0.1</v>
      </c>
      <c r="G959" s="142" t="s">
        <v>23</v>
      </c>
      <c r="H959" s="142" t="s">
        <v>23</v>
      </c>
      <c r="I959">
        <v>0</v>
      </c>
      <c r="J959">
        <v>0</v>
      </c>
      <c r="K959" s="142" t="s">
        <v>1674</v>
      </c>
      <c r="L959">
        <v>0.18140248765899999</v>
      </c>
      <c r="M959">
        <v>0</v>
      </c>
      <c r="N959">
        <v>0.169824519225</v>
      </c>
      <c r="O959">
        <v>0</v>
      </c>
    </row>
    <row r="960" spans="1:15" x14ac:dyDescent="0.25">
      <c r="A960" s="142" t="s">
        <v>329</v>
      </c>
      <c r="B960" s="142" t="s">
        <v>52</v>
      </c>
      <c r="C960" s="142" t="s">
        <v>89</v>
      </c>
      <c r="D960">
        <v>1204.001</v>
      </c>
      <c r="E960">
        <v>1768</v>
      </c>
      <c r="F960">
        <v>0.1</v>
      </c>
      <c r="G960" s="142" t="s">
        <v>23</v>
      </c>
      <c r="H960" s="142" t="s">
        <v>23</v>
      </c>
      <c r="I960">
        <v>0</v>
      </c>
      <c r="J960">
        <v>0</v>
      </c>
      <c r="K960" s="142" t="s">
        <v>1674</v>
      </c>
      <c r="L960">
        <v>0.84417942011799996</v>
      </c>
      <c r="M960">
        <v>0</v>
      </c>
      <c r="N960">
        <v>0.83269234875300002</v>
      </c>
      <c r="O960">
        <v>0</v>
      </c>
    </row>
    <row r="961" spans="1:15" x14ac:dyDescent="0.25">
      <c r="A961" s="142" t="s">
        <v>324</v>
      </c>
      <c r="B961" s="142" t="s">
        <v>52</v>
      </c>
      <c r="C961" s="142" t="s">
        <v>89</v>
      </c>
      <c r="D961">
        <v>-50</v>
      </c>
      <c r="E961">
        <v>-1E-3</v>
      </c>
      <c r="F961">
        <v>1</v>
      </c>
      <c r="G961" s="142" t="s">
        <v>23</v>
      </c>
      <c r="H961" s="142" t="s">
        <v>23</v>
      </c>
      <c r="I961">
        <v>0</v>
      </c>
      <c r="J961">
        <v>0</v>
      </c>
      <c r="K961" s="142" t="s">
        <v>1674</v>
      </c>
      <c r="L961">
        <v>0.67936578539299997</v>
      </c>
      <c r="M961">
        <v>0</v>
      </c>
      <c r="N961">
        <v>0.665037987399</v>
      </c>
      <c r="O961">
        <v>0</v>
      </c>
    </row>
    <row r="962" spans="1:15" x14ac:dyDescent="0.25">
      <c r="A962" s="142" t="s">
        <v>326</v>
      </c>
      <c r="B962" s="142" t="s">
        <v>52</v>
      </c>
      <c r="C962" s="142" t="s">
        <v>89</v>
      </c>
      <c r="D962">
        <v>0</v>
      </c>
      <c r="E962">
        <v>593</v>
      </c>
      <c r="F962">
        <v>1</v>
      </c>
      <c r="G962" s="142" t="s">
        <v>23</v>
      </c>
      <c r="H962" s="142" t="s">
        <v>23</v>
      </c>
      <c r="I962">
        <v>0</v>
      </c>
      <c r="J962">
        <v>0</v>
      </c>
      <c r="K962" s="142" t="s">
        <v>1674</v>
      </c>
      <c r="L962">
        <v>0.61340871069199998</v>
      </c>
      <c r="M962">
        <v>0</v>
      </c>
      <c r="N962">
        <v>0.60000355461999999</v>
      </c>
      <c r="O962">
        <v>0</v>
      </c>
    </row>
    <row r="963" spans="1:15" x14ac:dyDescent="0.25">
      <c r="A963" s="142" t="s">
        <v>328</v>
      </c>
      <c r="B963" s="142" t="s">
        <v>52</v>
      </c>
      <c r="C963" s="142" t="s">
        <v>89</v>
      </c>
      <c r="D963">
        <v>593.00099999999998</v>
      </c>
      <c r="E963">
        <v>1204</v>
      </c>
      <c r="F963">
        <v>1</v>
      </c>
      <c r="G963" s="142" t="s">
        <v>23</v>
      </c>
      <c r="H963" s="142" t="s">
        <v>23</v>
      </c>
      <c r="I963">
        <v>0</v>
      </c>
      <c r="J963">
        <v>0</v>
      </c>
      <c r="K963" s="142" t="s">
        <v>1674</v>
      </c>
      <c r="L963">
        <v>0.60761516733999998</v>
      </c>
      <c r="M963">
        <v>0</v>
      </c>
      <c r="N963">
        <v>0.59407929671600002</v>
      </c>
      <c r="O963">
        <v>0</v>
      </c>
    </row>
    <row r="964" spans="1:15" x14ac:dyDescent="0.25">
      <c r="A964" s="142" t="s">
        <v>330</v>
      </c>
      <c r="B964" s="142" t="s">
        <v>52</v>
      </c>
      <c r="C964" s="142" t="s">
        <v>89</v>
      </c>
      <c r="D964">
        <v>1204.001</v>
      </c>
      <c r="E964">
        <v>1768</v>
      </c>
      <c r="F964">
        <v>1</v>
      </c>
      <c r="G964" s="142" t="s">
        <v>23</v>
      </c>
      <c r="H964" s="142" t="s">
        <v>23</v>
      </c>
      <c r="I964">
        <v>0</v>
      </c>
      <c r="J964">
        <v>0</v>
      </c>
      <c r="K964" s="142" t="s">
        <v>1674</v>
      </c>
      <c r="L964">
        <v>0.61245926242100002</v>
      </c>
      <c r="M964">
        <v>0</v>
      </c>
      <c r="N964">
        <v>0.599032859975</v>
      </c>
      <c r="O964">
        <v>0</v>
      </c>
    </row>
    <row r="965" spans="1:15" x14ac:dyDescent="0.25">
      <c r="A965" s="142" t="s">
        <v>320</v>
      </c>
      <c r="B965" s="142" t="s">
        <v>52</v>
      </c>
      <c r="C965" s="142" t="s">
        <v>90</v>
      </c>
      <c r="D965">
        <v>-270</v>
      </c>
      <c r="E965">
        <v>-240.001</v>
      </c>
      <c r="F965">
        <v>0.1</v>
      </c>
      <c r="G965" s="142" t="s">
        <v>23</v>
      </c>
      <c r="H965" s="142" t="s">
        <v>23</v>
      </c>
      <c r="I965">
        <v>0</v>
      </c>
      <c r="J965">
        <v>0</v>
      </c>
      <c r="K965" s="142" t="s">
        <v>1674</v>
      </c>
      <c r="L965">
        <v>0.69578166562599997</v>
      </c>
      <c r="M965">
        <v>0</v>
      </c>
      <c r="N965">
        <v>0.65045293074199995</v>
      </c>
      <c r="O965">
        <v>0</v>
      </c>
    </row>
    <row r="966" spans="1:15" x14ac:dyDescent="0.25">
      <c r="A966" s="142" t="s">
        <v>2143</v>
      </c>
      <c r="B966" s="142" t="s">
        <v>52</v>
      </c>
      <c r="C966" s="142" t="s">
        <v>90</v>
      </c>
      <c r="D966">
        <v>-240</v>
      </c>
      <c r="E966">
        <v>92.998999999999995</v>
      </c>
      <c r="F966">
        <v>0.1</v>
      </c>
      <c r="G966" s="142" t="s">
        <v>23</v>
      </c>
      <c r="H966" s="142" t="s">
        <v>23</v>
      </c>
      <c r="I966">
        <v>0</v>
      </c>
      <c r="J966">
        <v>0</v>
      </c>
      <c r="K966" s="142" t="s">
        <v>1674</v>
      </c>
      <c r="L966">
        <v>0.66998912543</v>
      </c>
      <c r="M966">
        <v>0</v>
      </c>
      <c r="N966">
        <v>0.62278593198900001</v>
      </c>
      <c r="O966">
        <v>0</v>
      </c>
    </row>
    <row r="967" spans="1:15" x14ac:dyDescent="0.25">
      <c r="A967" s="142" t="s">
        <v>322</v>
      </c>
      <c r="B967" s="142" t="s">
        <v>52</v>
      </c>
      <c r="C967" s="142" t="s">
        <v>90</v>
      </c>
      <c r="D967">
        <v>93</v>
      </c>
      <c r="E967">
        <v>400</v>
      </c>
      <c r="F967">
        <v>0.1</v>
      </c>
      <c r="G967" s="142" t="s">
        <v>23</v>
      </c>
      <c r="H967" s="142" t="s">
        <v>23</v>
      </c>
      <c r="I967">
        <v>0</v>
      </c>
      <c r="J967">
        <v>0</v>
      </c>
      <c r="K967" s="142" t="s">
        <v>1674</v>
      </c>
      <c r="L967">
        <v>0.64543902032400002</v>
      </c>
      <c r="M967">
        <v>0</v>
      </c>
      <c r="N967">
        <v>0.60323275041900004</v>
      </c>
      <c r="O967">
        <v>0</v>
      </c>
    </row>
    <row r="968" spans="1:15" x14ac:dyDescent="0.25">
      <c r="A968" s="142" t="s">
        <v>2144</v>
      </c>
      <c r="B968" s="142" t="s">
        <v>52</v>
      </c>
      <c r="C968" s="142" t="s">
        <v>90</v>
      </c>
      <c r="D968">
        <v>-270</v>
      </c>
      <c r="E968">
        <v>-240.001</v>
      </c>
      <c r="F968">
        <v>1</v>
      </c>
      <c r="G968" s="142" t="s">
        <v>23</v>
      </c>
      <c r="H968" s="142" t="s">
        <v>23</v>
      </c>
      <c r="I968">
        <v>0</v>
      </c>
      <c r="J968">
        <v>0</v>
      </c>
      <c r="K968" s="142" t="s">
        <v>1674</v>
      </c>
      <c r="L968">
        <v>0.64712859331399997</v>
      </c>
      <c r="M968">
        <v>0</v>
      </c>
      <c r="N968">
        <v>0.61244185772899995</v>
      </c>
      <c r="O968">
        <v>0</v>
      </c>
    </row>
    <row r="969" spans="1:15" x14ac:dyDescent="0.25">
      <c r="A969" s="142" t="s">
        <v>321</v>
      </c>
      <c r="B969" s="142" t="s">
        <v>52</v>
      </c>
      <c r="C969" s="142" t="s">
        <v>90</v>
      </c>
      <c r="D969">
        <v>-240</v>
      </c>
      <c r="E969">
        <v>92.998999999999995</v>
      </c>
      <c r="F969">
        <v>1</v>
      </c>
      <c r="G969" s="142" t="s">
        <v>23</v>
      </c>
      <c r="H969" s="142" t="s">
        <v>23</v>
      </c>
      <c r="I969">
        <v>0</v>
      </c>
      <c r="J969">
        <v>0</v>
      </c>
      <c r="K969" s="142" t="s">
        <v>1674</v>
      </c>
      <c r="L969">
        <v>0.47281341307800001</v>
      </c>
      <c r="M969">
        <v>0</v>
      </c>
      <c r="N969">
        <v>0.46769320838200001</v>
      </c>
      <c r="O969">
        <v>0</v>
      </c>
    </row>
    <row r="970" spans="1:15" x14ac:dyDescent="0.25">
      <c r="A970" s="142" t="s">
        <v>2145</v>
      </c>
      <c r="B970" s="142" t="s">
        <v>52</v>
      </c>
      <c r="C970" s="142" t="s">
        <v>90</v>
      </c>
      <c r="D970">
        <v>93</v>
      </c>
      <c r="E970">
        <v>400</v>
      </c>
      <c r="F970">
        <v>1</v>
      </c>
      <c r="G970" s="142" t="s">
        <v>23</v>
      </c>
      <c r="H970" s="142" t="s">
        <v>23</v>
      </c>
      <c r="I970">
        <v>0</v>
      </c>
      <c r="J970">
        <v>0</v>
      </c>
      <c r="K970" s="142" t="s">
        <v>1674</v>
      </c>
      <c r="L970">
        <v>0.29847917912999999</v>
      </c>
      <c r="M970">
        <v>0</v>
      </c>
      <c r="N970">
        <v>0.29048450386500002</v>
      </c>
      <c r="O970">
        <v>0</v>
      </c>
    </row>
    <row r="971" spans="1:15" x14ac:dyDescent="0.25">
      <c r="A971" s="142" t="s">
        <v>271</v>
      </c>
      <c r="B971" s="142" t="s">
        <v>52</v>
      </c>
      <c r="C971" s="142" t="s">
        <v>43</v>
      </c>
      <c r="D971">
        <v>0</v>
      </c>
      <c r="E971">
        <v>9.9999999999999995E-8</v>
      </c>
      <c r="F971">
        <v>9.9999999999999998E-13</v>
      </c>
      <c r="G971" s="142" t="s">
        <v>13</v>
      </c>
      <c r="H971" s="142" t="s">
        <v>65</v>
      </c>
      <c r="I971">
        <v>0</v>
      </c>
      <c r="J971">
        <v>0</v>
      </c>
      <c r="K971" s="142" t="s">
        <v>1674</v>
      </c>
      <c r="L971">
        <v>4.7E-2</v>
      </c>
      <c r="M971">
        <v>34000</v>
      </c>
      <c r="N971">
        <v>4.6265000000000001E-2</v>
      </c>
      <c r="O971">
        <v>34635</v>
      </c>
    </row>
    <row r="972" spans="1:15" x14ac:dyDescent="0.25">
      <c r="A972" s="142" t="s">
        <v>282</v>
      </c>
      <c r="B972" s="142" t="s">
        <v>52</v>
      </c>
      <c r="C972" s="142" t="s">
        <v>43</v>
      </c>
      <c r="D972">
        <v>9.9999999999999995E-8</v>
      </c>
      <c r="E972">
        <v>9.9999999999999995E-7</v>
      </c>
      <c r="F972">
        <v>9.9999999999999998E-13</v>
      </c>
      <c r="G972" s="142" t="s">
        <v>13</v>
      </c>
      <c r="H972" s="142" t="s">
        <v>65</v>
      </c>
      <c r="I972">
        <v>0</v>
      </c>
      <c r="J972">
        <v>0</v>
      </c>
      <c r="K972" s="142" t="s">
        <v>1674</v>
      </c>
      <c r="L972">
        <v>4.8000000000000001E-2</v>
      </c>
      <c r="M972">
        <v>23000</v>
      </c>
      <c r="N972">
        <v>4.6260999999999997E-2</v>
      </c>
      <c r="O972">
        <v>23132</v>
      </c>
    </row>
    <row r="973" spans="1:15" x14ac:dyDescent="0.25">
      <c r="A973" s="142" t="s">
        <v>287</v>
      </c>
      <c r="B973" s="142" t="s">
        <v>52</v>
      </c>
      <c r="C973" s="142" t="s">
        <v>43</v>
      </c>
      <c r="D973">
        <v>9.9999999999999995E-7</v>
      </c>
      <c r="E973">
        <v>1.0000000000000001E-5</v>
      </c>
      <c r="F973">
        <v>9.9999999999999998E-13</v>
      </c>
      <c r="G973" s="142" t="s">
        <v>13</v>
      </c>
      <c r="H973" s="142" t="s">
        <v>65</v>
      </c>
      <c r="I973">
        <v>0</v>
      </c>
      <c r="J973">
        <v>0</v>
      </c>
      <c r="K973" s="142" t="s">
        <v>1674</v>
      </c>
      <c r="L973">
        <v>0.12</v>
      </c>
      <c r="M973">
        <v>23000</v>
      </c>
      <c r="N973">
        <v>0.11547</v>
      </c>
      <c r="O973">
        <v>23146</v>
      </c>
    </row>
    <row r="974" spans="1:15" x14ac:dyDescent="0.25">
      <c r="A974" s="142" t="s">
        <v>2003</v>
      </c>
      <c r="B974" s="142" t="s">
        <v>52</v>
      </c>
      <c r="C974" s="142" t="s">
        <v>43</v>
      </c>
      <c r="D974">
        <v>0</v>
      </c>
      <c r="E974">
        <v>9.9999999999999995E-8</v>
      </c>
      <c r="F974">
        <v>9.9999999999999994E-12</v>
      </c>
      <c r="G974" s="142" t="s">
        <v>13</v>
      </c>
      <c r="H974" s="142" t="s">
        <v>65</v>
      </c>
      <c r="I974">
        <v>0</v>
      </c>
      <c r="J974">
        <v>0</v>
      </c>
      <c r="K974" s="142" t="s">
        <v>1674</v>
      </c>
      <c r="L974">
        <v>4.7E-2</v>
      </c>
      <c r="M974">
        <v>34000</v>
      </c>
      <c r="N974">
        <v>4.6620000000000002E-2</v>
      </c>
      <c r="O974">
        <v>34390</v>
      </c>
    </row>
    <row r="975" spans="1:15" x14ac:dyDescent="0.25">
      <c r="A975" s="142" t="s">
        <v>283</v>
      </c>
      <c r="B975" s="142" t="s">
        <v>52</v>
      </c>
      <c r="C975" s="142" t="s">
        <v>43</v>
      </c>
      <c r="D975">
        <v>9.9999999999999995E-8</v>
      </c>
      <c r="E975">
        <v>9.9999999999999995E-7</v>
      </c>
      <c r="F975">
        <v>9.9999999999999994E-12</v>
      </c>
      <c r="G975" s="142" t="s">
        <v>13</v>
      </c>
      <c r="H975" s="142" t="s">
        <v>65</v>
      </c>
      <c r="I975">
        <v>0</v>
      </c>
      <c r="J975">
        <v>0</v>
      </c>
      <c r="K975" s="142" t="s">
        <v>1674</v>
      </c>
      <c r="L975">
        <v>4.8000000000000001E-2</v>
      </c>
      <c r="M975">
        <v>23000</v>
      </c>
      <c r="N975">
        <v>4.6611E-2</v>
      </c>
      <c r="O975">
        <v>23020</v>
      </c>
    </row>
    <row r="976" spans="1:15" x14ac:dyDescent="0.25">
      <c r="A976" s="142" t="s">
        <v>288</v>
      </c>
      <c r="B976" s="142" t="s">
        <v>52</v>
      </c>
      <c r="C976" s="142" t="s">
        <v>43</v>
      </c>
      <c r="D976">
        <v>9.9999999999999995E-7</v>
      </c>
      <c r="E976">
        <v>1.0000000000000001E-5</v>
      </c>
      <c r="F976">
        <v>9.9999999999999994E-12</v>
      </c>
      <c r="G976" s="142" t="s">
        <v>13</v>
      </c>
      <c r="H976" s="142" t="s">
        <v>65</v>
      </c>
      <c r="I976">
        <v>0</v>
      </c>
      <c r="J976">
        <v>0</v>
      </c>
      <c r="K976" s="142" t="s">
        <v>1674</v>
      </c>
      <c r="L976">
        <v>0.12</v>
      </c>
      <c r="M976">
        <v>23000</v>
      </c>
      <c r="N976">
        <v>0.11561</v>
      </c>
      <c r="O976">
        <v>23138</v>
      </c>
    </row>
    <row r="977" spans="1:15" x14ac:dyDescent="0.25">
      <c r="A977" s="142" t="s">
        <v>292</v>
      </c>
      <c r="B977" s="142" t="s">
        <v>52</v>
      </c>
      <c r="C977" s="142" t="s">
        <v>43</v>
      </c>
      <c r="D977">
        <v>1.0000000000000001E-5</v>
      </c>
      <c r="E977">
        <v>1E-4</v>
      </c>
      <c r="F977">
        <v>9.9999999999999994E-12</v>
      </c>
      <c r="G977" s="142" t="s">
        <v>13</v>
      </c>
      <c r="H977" s="142" t="s">
        <v>65</v>
      </c>
      <c r="I977">
        <v>0</v>
      </c>
      <c r="J977">
        <v>0</v>
      </c>
      <c r="K977" s="142" t="s">
        <v>1674</v>
      </c>
      <c r="L977">
        <v>0.11</v>
      </c>
      <c r="M977">
        <v>23000</v>
      </c>
      <c r="N977">
        <v>9.3168000000000001E-2</v>
      </c>
      <c r="O977">
        <v>23000</v>
      </c>
    </row>
    <row r="978" spans="1:15" x14ac:dyDescent="0.25">
      <c r="A978" s="142" t="s">
        <v>272</v>
      </c>
      <c r="B978" s="142" t="s">
        <v>52</v>
      </c>
      <c r="C978" s="142" t="s">
        <v>43</v>
      </c>
      <c r="D978">
        <v>0</v>
      </c>
      <c r="E978">
        <v>9.9999999999999995E-8</v>
      </c>
      <c r="F978">
        <v>1E-10</v>
      </c>
      <c r="G978" s="142" t="s">
        <v>13</v>
      </c>
      <c r="H978" s="142" t="s">
        <v>65</v>
      </c>
      <c r="I978">
        <v>0</v>
      </c>
      <c r="J978">
        <v>0</v>
      </c>
      <c r="K978" s="142" t="s">
        <v>1674</v>
      </c>
      <c r="L978">
        <v>7.4269000000000002E-2</v>
      </c>
      <c r="M978">
        <v>24023</v>
      </c>
      <c r="N978">
        <v>7.3982000000000006E-2</v>
      </c>
      <c r="O978">
        <v>22143</v>
      </c>
    </row>
    <row r="979" spans="1:15" x14ac:dyDescent="0.25">
      <c r="A979" s="142" t="s">
        <v>284</v>
      </c>
      <c r="B979" s="142" t="s">
        <v>52</v>
      </c>
      <c r="C979" s="142" t="s">
        <v>43</v>
      </c>
      <c r="D979">
        <v>9.9999999999999995E-8</v>
      </c>
      <c r="E979">
        <v>9.9999999999999995E-7</v>
      </c>
      <c r="F979">
        <v>1E-10</v>
      </c>
      <c r="G979" s="142" t="s">
        <v>13</v>
      </c>
      <c r="H979" s="142" t="s">
        <v>65</v>
      </c>
      <c r="I979">
        <v>0</v>
      </c>
      <c r="J979">
        <v>0</v>
      </c>
      <c r="K979" s="142" t="s">
        <v>1674</v>
      </c>
      <c r="L979">
        <v>7.4232000000000006E-2</v>
      </c>
      <c r="M979">
        <v>16390</v>
      </c>
      <c r="N979">
        <v>7.3802000000000006E-2</v>
      </c>
      <c r="O979">
        <v>16467</v>
      </c>
    </row>
    <row r="980" spans="1:15" x14ac:dyDescent="0.25">
      <c r="A980" s="142" t="s">
        <v>289</v>
      </c>
      <c r="B980" s="142" t="s">
        <v>52</v>
      </c>
      <c r="C980" s="142" t="s">
        <v>43</v>
      </c>
      <c r="D980">
        <v>9.9999999999999995E-7</v>
      </c>
      <c r="E980">
        <v>1.0000000000000001E-5</v>
      </c>
      <c r="F980">
        <v>1E-10</v>
      </c>
      <c r="G980" s="142" t="s">
        <v>13</v>
      </c>
      <c r="H980" s="142" t="s">
        <v>65</v>
      </c>
      <c r="I980">
        <v>0</v>
      </c>
      <c r="J980">
        <v>0</v>
      </c>
      <c r="K980" s="142" t="s">
        <v>1674</v>
      </c>
      <c r="L980">
        <v>0.128</v>
      </c>
      <c r="M980">
        <v>22380</v>
      </c>
      <c r="N980">
        <v>0.12776999999999999</v>
      </c>
      <c r="O980">
        <v>22394</v>
      </c>
    </row>
    <row r="981" spans="1:15" x14ac:dyDescent="0.25">
      <c r="A981" s="142" t="s">
        <v>293</v>
      </c>
      <c r="B981" s="142" t="s">
        <v>52</v>
      </c>
      <c r="C981" s="142" t="s">
        <v>43</v>
      </c>
      <c r="D981">
        <v>1.0000000000000001E-5</v>
      </c>
      <c r="E981">
        <v>1E-4</v>
      </c>
      <c r="F981">
        <v>1E-10</v>
      </c>
      <c r="G981" s="142" t="s">
        <v>13</v>
      </c>
      <c r="H981" s="142" t="s">
        <v>65</v>
      </c>
      <c r="I981">
        <v>0</v>
      </c>
      <c r="J981">
        <v>0</v>
      </c>
      <c r="K981" s="142" t="s">
        <v>1674</v>
      </c>
      <c r="L981">
        <v>0.11</v>
      </c>
      <c r="M981">
        <v>23000</v>
      </c>
      <c r="N981">
        <v>9.8672999999999997E-2</v>
      </c>
      <c r="O981">
        <v>23000</v>
      </c>
    </row>
    <row r="982" spans="1:15" x14ac:dyDescent="0.25">
      <c r="A982" s="142" t="s">
        <v>296</v>
      </c>
      <c r="B982" s="142" t="s">
        <v>52</v>
      </c>
      <c r="C982" s="142" t="s">
        <v>43</v>
      </c>
      <c r="D982">
        <v>1E-4</v>
      </c>
      <c r="E982">
        <v>1E-3</v>
      </c>
      <c r="F982">
        <v>1E-10</v>
      </c>
      <c r="G982" s="142" t="s">
        <v>13</v>
      </c>
      <c r="H982" s="142" t="s">
        <v>65</v>
      </c>
      <c r="I982">
        <v>0</v>
      </c>
      <c r="J982">
        <v>0</v>
      </c>
      <c r="K982" s="142" t="s">
        <v>1674</v>
      </c>
      <c r="L982">
        <v>5.9</v>
      </c>
      <c r="M982">
        <v>23000</v>
      </c>
      <c r="N982">
        <v>5.774</v>
      </c>
      <c r="O982">
        <v>23096</v>
      </c>
    </row>
    <row r="983" spans="1:15" x14ac:dyDescent="0.25">
      <c r="A983" s="142" t="s">
        <v>273</v>
      </c>
      <c r="B983" s="142" t="s">
        <v>52</v>
      </c>
      <c r="C983" s="142" t="s">
        <v>43</v>
      </c>
      <c r="D983">
        <v>0</v>
      </c>
      <c r="E983">
        <v>9.9999999999999995E-8</v>
      </c>
      <c r="F983">
        <v>1.0000000000000001E-9</v>
      </c>
      <c r="G983" s="142" t="s">
        <v>13</v>
      </c>
      <c r="H983" s="142" t="s">
        <v>65</v>
      </c>
      <c r="I983">
        <v>0</v>
      </c>
      <c r="J983">
        <v>0</v>
      </c>
      <c r="K983" s="142" t="s">
        <v>1674</v>
      </c>
      <c r="L983">
        <v>0.57935999999999999</v>
      </c>
      <c r="M983">
        <v>3897.9</v>
      </c>
      <c r="N983">
        <v>0.57921</v>
      </c>
      <c r="O983">
        <v>2870.4</v>
      </c>
    </row>
    <row r="984" spans="1:15" x14ac:dyDescent="0.25">
      <c r="A984" s="142" t="s">
        <v>285</v>
      </c>
      <c r="B984" s="142" t="s">
        <v>52</v>
      </c>
      <c r="C984" s="142" t="s">
        <v>43</v>
      </c>
      <c r="D984">
        <v>9.9999999999999995E-8</v>
      </c>
      <c r="E984">
        <v>9.9999999999999995E-7</v>
      </c>
      <c r="F984">
        <v>1.0000000000000001E-9</v>
      </c>
      <c r="G984" s="142" t="s">
        <v>13</v>
      </c>
      <c r="H984" s="142" t="s">
        <v>65</v>
      </c>
      <c r="I984">
        <v>0</v>
      </c>
      <c r="J984">
        <v>0</v>
      </c>
      <c r="K984" s="142" t="s">
        <v>1674</v>
      </c>
      <c r="L984">
        <v>0.57938000000000001</v>
      </c>
      <c r="M984">
        <v>2349.6999999999998</v>
      </c>
      <c r="N984">
        <v>0.57916000000000001</v>
      </c>
      <c r="O984">
        <v>2350.6</v>
      </c>
    </row>
    <row r="985" spans="1:15" x14ac:dyDescent="0.25">
      <c r="A985" s="142" t="s">
        <v>2005</v>
      </c>
      <c r="B985" s="142" t="s">
        <v>52</v>
      </c>
      <c r="C985" s="142" t="s">
        <v>43</v>
      </c>
      <c r="D985">
        <v>9.9999999999999995E-7</v>
      </c>
      <c r="E985">
        <v>1.0000000000000001E-5</v>
      </c>
      <c r="F985">
        <v>1.0000000000000001E-9</v>
      </c>
      <c r="G985" s="142" t="s">
        <v>13</v>
      </c>
      <c r="H985" s="142" t="s">
        <v>65</v>
      </c>
      <c r="I985">
        <v>0</v>
      </c>
      <c r="J985">
        <v>0</v>
      </c>
      <c r="K985" s="142" t="s">
        <v>1674</v>
      </c>
      <c r="L985">
        <v>0.58511000000000002</v>
      </c>
      <c r="M985">
        <v>8865.1</v>
      </c>
      <c r="N985">
        <v>0.58489999999999998</v>
      </c>
      <c r="O985">
        <v>8867.9</v>
      </c>
    </row>
    <row r="986" spans="1:15" x14ac:dyDescent="0.25">
      <c r="A986" s="142" t="s">
        <v>2006</v>
      </c>
      <c r="B986" s="142" t="s">
        <v>52</v>
      </c>
      <c r="C986" s="142" t="s">
        <v>43</v>
      </c>
      <c r="D986">
        <v>1.0000000000000001E-5</v>
      </c>
      <c r="E986">
        <v>1E-4</v>
      </c>
      <c r="F986">
        <v>1.0000000000000001E-9</v>
      </c>
      <c r="G986" s="142" t="s">
        <v>13</v>
      </c>
      <c r="H986" s="142" t="s">
        <v>65</v>
      </c>
      <c r="I986">
        <v>0</v>
      </c>
      <c r="J986">
        <v>0</v>
      </c>
      <c r="K986" s="142" t="s">
        <v>1674</v>
      </c>
      <c r="L986">
        <v>0.46376000000000001</v>
      </c>
      <c r="M986">
        <v>20092</v>
      </c>
      <c r="N986">
        <v>0.46109</v>
      </c>
      <c r="O986">
        <v>20092</v>
      </c>
    </row>
    <row r="987" spans="1:15" x14ac:dyDescent="0.25">
      <c r="A987" s="142" t="s">
        <v>297</v>
      </c>
      <c r="B987" s="142" t="s">
        <v>52</v>
      </c>
      <c r="C987" s="142" t="s">
        <v>43</v>
      </c>
      <c r="D987">
        <v>1E-4</v>
      </c>
      <c r="E987">
        <v>1E-3</v>
      </c>
      <c r="F987">
        <v>1.0000000000000001E-9</v>
      </c>
      <c r="G987" s="142" t="s">
        <v>13</v>
      </c>
      <c r="H987" s="142" t="s">
        <v>65</v>
      </c>
      <c r="I987">
        <v>0</v>
      </c>
      <c r="J987">
        <v>0</v>
      </c>
      <c r="K987" s="142" t="s">
        <v>1674</v>
      </c>
      <c r="L987">
        <v>5.9</v>
      </c>
      <c r="M987">
        <v>23000</v>
      </c>
      <c r="N987">
        <v>5.7960000000000003</v>
      </c>
      <c r="O987">
        <v>23080</v>
      </c>
    </row>
    <row r="988" spans="1:15" x14ac:dyDescent="0.25">
      <c r="A988" s="142" t="s">
        <v>301</v>
      </c>
      <c r="B988" s="142" t="s">
        <v>52</v>
      </c>
      <c r="C988" s="142" t="s">
        <v>43</v>
      </c>
      <c r="D988">
        <v>1E-3</v>
      </c>
      <c r="E988">
        <v>0.01</v>
      </c>
      <c r="F988">
        <v>1.0000000000000001E-9</v>
      </c>
      <c r="G988" s="142" t="s">
        <v>13</v>
      </c>
      <c r="H988" s="142" t="s">
        <v>11</v>
      </c>
      <c r="I988">
        <v>0</v>
      </c>
      <c r="J988">
        <v>0</v>
      </c>
      <c r="K988" s="142" t="s">
        <v>1674</v>
      </c>
      <c r="L988">
        <v>5.8999999999999997E-2</v>
      </c>
      <c r="M988">
        <v>23</v>
      </c>
      <c r="N988">
        <v>5.7743999999999997E-2</v>
      </c>
      <c r="O988">
        <v>23.094999999999999</v>
      </c>
    </row>
    <row r="989" spans="1:15" x14ac:dyDescent="0.25">
      <c r="A989" s="142" t="s">
        <v>274</v>
      </c>
      <c r="B989" s="142" t="s">
        <v>52</v>
      </c>
      <c r="C989" s="142" t="s">
        <v>43</v>
      </c>
      <c r="D989">
        <v>0</v>
      </c>
      <c r="E989">
        <v>9.9999999999999995E-8</v>
      </c>
      <c r="F989">
        <v>1E-8</v>
      </c>
      <c r="G989" s="142" t="s">
        <v>13</v>
      </c>
      <c r="H989" s="142" t="s">
        <v>65</v>
      </c>
      <c r="I989">
        <v>0</v>
      </c>
      <c r="J989">
        <v>0</v>
      </c>
      <c r="K989" s="142" t="s">
        <v>1674</v>
      </c>
      <c r="L989">
        <v>5.7737999999999996</v>
      </c>
      <c r="M989">
        <v>700.9</v>
      </c>
      <c r="N989">
        <v>5.7736999999999998</v>
      </c>
      <c r="O989">
        <v>288.02</v>
      </c>
    </row>
    <row r="990" spans="1:15" x14ac:dyDescent="0.25">
      <c r="A990" s="142" t="s">
        <v>286</v>
      </c>
      <c r="B990" s="142" t="s">
        <v>52</v>
      </c>
      <c r="C990" s="142" t="s">
        <v>43</v>
      </c>
      <c r="D990">
        <v>9.9999999999999995E-8</v>
      </c>
      <c r="E990">
        <v>9.9999999999999995E-7</v>
      </c>
      <c r="F990">
        <v>1E-8</v>
      </c>
      <c r="G990" s="142" t="s">
        <v>13</v>
      </c>
      <c r="H990" s="142" t="s">
        <v>65</v>
      </c>
      <c r="I990">
        <v>0</v>
      </c>
      <c r="J990">
        <v>0</v>
      </c>
      <c r="K990" s="142" t="s">
        <v>1674</v>
      </c>
      <c r="L990">
        <v>5.7737999999999996</v>
      </c>
      <c r="M990">
        <v>236.31</v>
      </c>
      <c r="N990">
        <v>5.7736999999999998</v>
      </c>
      <c r="O990">
        <v>236.31</v>
      </c>
    </row>
    <row r="991" spans="1:15" x14ac:dyDescent="0.25">
      <c r="A991" s="142" t="s">
        <v>290</v>
      </c>
      <c r="B991" s="142" t="s">
        <v>52</v>
      </c>
      <c r="C991" s="142" t="s">
        <v>43</v>
      </c>
      <c r="D991">
        <v>9.9999999999999995E-7</v>
      </c>
      <c r="E991">
        <v>1.0000000000000001E-5</v>
      </c>
      <c r="F991">
        <v>1E-8</v>
      </c>
      <c r="G991" s="142" t="s">
        <v>13</v>
      </c>
      <c r="H991" s="142" t="s">
        <v>65</v>
      </c>
      <c r="I991">
        <v>0</v>
      </c>
      <c r="J991">
        <v>0</v>
      </c>
      <c r="K991" s="142" t="s">
        <v>1674</v>
      </c>
      <c r="L991">
        <v>5.7743000000000002</v>
      </c>
      <c r="M991">
        <v>972.26</v>
      </c>
      <c r="N991">
        <v>5.7742000000000004</v>
      </c>
      <c r="O991">
        <v>972.27</v>
      </c>
    </row>
    <row r="992" spans="1:15" x14ac:dyDescent="0.25">
      <c r="A992" s="142" t="s">
        <v>294</v>
      </c>
      <c r="B992" s="142" t="s">
        <v>52</v>
      </c>
      <c r="C992" s="142" t="s">
        <v>43</v>
      </c>
      <c r="D992">
        <v>1.0000000000000001E-5</v>
      </c>
      <c r="E992">
        <v>1E-4</v>
      </c>
      <c r="F992">
        <v>1E-8</v>
      </c>
      <c r="G992" s="142" t="s">
        <v>13</v>
      </c>
      <c r="H992" s="142" t="s">
        <v>65</v>
      </c>
      <c r="I992">
        <v>0</v>
      </c>
      <c r="J992">
        <v>0</v>
      </c>
      <c r="K992" s="142" t="s">
        <v>1674</v>
      </c>
      <c r="L992">
        <v>5.7313000000000001</v>
      </c>
      <c r="M992">
        <v>5256.2</v>
      </c>
      <c r="N992">
        <v>5.7302999999999997</v>
      </c>
      <c r="O992">
        <v>5256.2</v>
      </c>
    </row>
    <row r="993" spans="1:15" x14ac:dyDescent="0.25">
      <c r="A993" s="142" t="s">
        <v>298</v>
      </c>
      <c r="B993" s="142" t="s">
        <v>52</v>
      </c>
      <c r="C993" s="142" t="s">
        <v>43</v>
      </c>
      <c r="D993">
        <v>1E-4</v>
      </c>
      <c r="E993">
        <v>1E-3</v>
      </c>
      <c r="F993">
        <v>1E-8</v>
      </c>
      <c r="G993" s="142" t="s">
        <v>13</v>
      </c>
      <c r="H993" s="142" t="s">
        <v>65</v>
      </c>
      <c r="I993">
        <v>0</v>
      </c>
      <c r="J993">
        <v>0</v>
      </c>
      <c r="K993" s="142" t="s">
        <v>1674</v>
      </c>
      <c r="L993">
        <v>7.7695999999999996</v>
      </c>
      <c r="M993">
        <v>21683</v>
      </c>
      <c r="N993">
        <v>7.7664</v>
      </c>
      <c r="O993">
        <v>21675</v>
      </c>
    </row>
    <row r="994" spans="1:15" x14ac:dyDescent="0.25">
      <c r="A994" s="142" t="s">
        <v>2009</v>
      </c>
      <c r="B994" s="142" t="s">
        <v>52</v>
      </c>
      <c r="C994" s="142" t="s">
        <v>43</v>
      </c>
      <c r="D994">
        <v>1E-3</v>
      </c>
      <c r="E994">
        <v>0.01</v>
      </c>
      <c r="F994">
        <v>1E-8</v>
      </c>
      <c r="G994" s="142" t="s">
        <v>13</v>
      </c>
      <c r="H994" s="142" t="s">
        <v>11</v>
      </c>
      <c r="I994">
        <v>0</v>
      </c>
      <c r="J994">
        <v>0</v>
      </c>
      <c r="K994" s="142" t="s">
        <v>1674</v>
      </c>
      <c r="L994">
        <v>5.8999999999999997E-2</v>
      </c>
      <c r="M994">
        <v>23</v>
      </c>
      <c r="N994">
        <v>5.7960999999999999E-2</v>
      </c>
      <c r="O994">
        <v>23.079000000000001</v>
      </c>
    </row>
    <row r="995" spans="1:15" x14ac:dyDescent="0.25">
      <c r="A995" s="142" t="s">
        <v>306</v>
      </c>
      <c r="B995" s="142" t="s">
        <v>52</v>
      </c>
      <c r="C995" s="142" t="s">
        <v>43</v>
      </c>
      <c r="D995">
        <v>0.01</v>
      </c>
      <c r="E995">
        <v>0.1</v>
      </c>
      <c r="F995">
        <v>1E-8</v>
      </c>
      <c r="G995" s="142" t="s">
        <v>13</v>
      </c>
      <c r="H995" s="142" t="s">
        <v>11</v>
      </c>
      <c r="I995">
        <v>0</v>
      </c>
      <c r="J995">
        <v>0</v>
      </c>
      <c r="K995" s="142" t="s">
        <v>1674</v>
      </c>
      <c r="L995">
        <v>0.63</v>
      </c>
      <c r="M995">
        <v>40</v>
      </c>
      <c r="N995">
        <v>0.57750000000000001</v>
      </c>
      <c r="O995">
        <v>40.417999999999999</v>
      </c>
    </row>
    <row r="996" spans="1:15" x14ac:dyDescent="0.25">
      <c r="A996" s="142" t="s">
        <v>275</v>
      </c>
      <c r="B996" s="142" t="s">
        <v>52</v>
      </c>
      <c r="C996" s="142" t="s">
        <v>43</v>
      </c>
      <c r="D996">
        <v>0</v>
      </c>
      <c r="E996">
        <v>9.9999999999999995E-8</v>
      </c>
      <c r="F996">
        <v>9.9999999999999995E-8</v>
      </c>
      <c r="G996" s="142" t="s">
        <v>13</v>
      </c>
      <c r="H996" s="142" t="s">
        <v>65</v>
      </c>
      <c r="I996">
        <v>0</v>
      </c>
      <c r="J996">
        <v>0</v>
      </c>
      <c r="K996" s="142" t="s">
        <v>1674</v>
      </c>
      <c r="L996">
        <v>57.735999999999997</v>
      </c>
      <c r="M996">
        <v>193.97</v>
      </c>
      <c r="N996">
        <v>57.735999999999997</v>
      </c>
      <c r="O996">
        <v>28.803000000000001</v>
      </c>
    </row>
    <row r="997" spans="1:15" x14ac:dyDescent="0.25">
      <c r="A997" s="142" t="s">
        <v>2004</v>
      </c>
      <c r="B997" s="142" t="s">
        <v>52</v>
      </c>
      <c r="C997" s="142" t="s">
        <v>43</v>
      </c>
      <c r="D997">
        <v>9.9999999999999995E-8</v>
      </c>
      <c r="E997">
        <v>9.9999999999999995E-7</v>
      </c>
      <c r="F997">
        <v>9.9999999999999995E-8</v>
      </c>
      <c r="G997" s="142" t="s">
        <v>13</v>
      </c>
      <c r="H997" s="142" t="s">
        <v>65</v>
      </c>
      <c r="I997">
        <v>0</v>
      </c>
      <c r="J997">
        <v>0</v>
      </c>
      <c r="K997" s="142" t="s">
        <v>1674</v>
      </c>
      <c r="L997">
        <v>57.735999999999997</v>
      </c>
      <c r="M997">
        <v>23.632000000000001</v>
      </c>
      <c r="N997">
        <v>57.735999999999997</v>
      </c>
      <c r="O997">
        <v>23.632000000000001</v>
      </c>
    </row>
    <row r="998" spans="1:15" x14ac:dyDescent="0.25">
      <c r="A998" s="142" t="s">
        <v>291</v>
      </c>
      <c r="B998" s="142" t="s">
        <v>52</v>
      </c>
      <c r="C998" s="142" t="s">
        <v>43</v>
      </c>
      <c r="D998">
        <v>9.9999999999999995E-7</v>
      </c>
      <c r="E998">
        <v>1.0000000000000001E-5</v>
      </c>
      <c r="F998">
        <v>9.9999999999999995E-8</v>
      </c>
      <c r="G998" s="142" t="s">
        <v>13</v>
      </c>
      <c r="H998" s="142" t="s">
        <v>65</v>
      </c>
      <c r="I998">
        <v>0</v>
      </c>
      <c r="J998">
        <v>0</v>
      </c>
      <c r="K998" s="142" t="s">
        <v>1674</v>
      </c>
      <c r="L998">
        <v>57.735999999999997</v>
      </c>
      <c r="M998">
        <v>97.328000000000003</v>
      </c>
      <c r="N998">
        <v>57.734999999999999</v>
      </c>
      <c r="O998">
        <v>97.328000000000003</v>
      </c>
    </row>
    <row r="999" spans="1:15" x14ac:dyDescent="0.25">
      <c r="A999" s="142" t="s">
        <v>2007</v>
      </c>
      <c r="B999" s="142" t="s">
        <v>52</v>
      </c>
      <c r="C999" s="142" t="s">
        <v>43</v>
      </c>
      <c r="D999">
        <v>1.0000000000000001E-5</v>
      </c>
      <c r="E999">
        <v>1E-4</v>
      </c>
      <c r="F999">
        <v>9.9999999999999995E-8</v>
      </c>
      <c r="G999" s="142" t="s">
        <v>13</v>
      </c>
      <c r="H999" s="142" t="s">
        <v>65</v>
      </c>
      <c r="I999">
        <v>0</v>
      </c>
      <c r="J999">
        <v>0</v>
      </c>
      <c r="K999" s="142" t="s">
        <v>1674</v>
      </c>
      <c r="L999">
        <v>57.731000000000002</v>
      </c>
      <c r="M999">
        <v>556.35</v>
      </c>
      <c r="N999">
        <v>57.731000000000002</v>
      </c>
      <c r="O999">
        <v>556.35</v>
      </c>
    </row>
    <row r="1000" spans="1:15" x14ac:dyDescent="0.25">
      <c r="A1000" s="142" t="s">
        <v>299</v>
      </c>
      <c r="B1000" s="142" t="s">
        <v>52</v>
      </c>
      <c r="C1000" s="142" t="s">
        <v>43</v>
      </c>
      <c r="D1000">
        <v>1E-4</v>
      </c>
      <c r="E1000">
        <v>1E-3</v>
      </c>
      <c r="F1000">
        <v>9.9999999999999995E-8</v>
      </c>
      <c r="G1000" s="142" t="s">
        <v>13</v>
      </c>
      <c r="H1000" s="142" t="s">
        <v>65</v>
      </c>
      <c r="I1000">
        <v>0</v>
      </c>
      <c r="J1000">
        <v>0</v>
      </c>
      <c r="K1000" s="142" t="s">
        <v>1674</v>
      </c>
      <c r="L1000">
        <v>57.604999999999997</v>
      </c>
      <c r="M1000">
        <v>6966</v>
      </c>
      <c r="N1000">
        <v>57.603999999999999</v>
      </c>
      <c r="O1000">
        <v>6947.3</v>
      </c>
    </row>
    <row r="1001" spans="1:15" x14ac:dyDescent="0.25">
      <c r="A1001" s="142" t="s">
        <v>302</v>
      </c>
      <c r="B1001" s="142" t="s">
        <v>52</v>
      </c>
      <c r="C1001" s="142" t="s">
        <v>43</v>
      </c>
      <c r="D1001">
        <v>1E-3</v>
      </c>
      <c r="E1001">
        <v>0.01</v>
      </c>
      <c r="F1001">
        <v>9.9999999999999995E-8</v>
      </c>
      <c r="G1001" s="142" t="s">
        <v>13</v>
      </c>
      <c r="H1001" s="142" t="s">
        <v>11</v>
      </c>
      <c r="I1001">
        <v>0</v>
      </c>
      <c r="J1001">
        <v>0</v>
      </c>
      <c r="K1001" s="142" t="s">
        <v>1674</v>
      </c>
      <c r="L1001">
        <v>7.7699000000000004E-2</v>
      </c>
      <c r="M1001">
        <v>21.681999999999999</v>
      </c>
      <c r="N1001">
        <v>7.7660000000000007E-2</v>
      </c>
      <c r="O1001">
        <v>21.675000000000001</v>
      </c>
    </row>
    <row r="1002" spans="1:15" x14ac:dyDescent="0.25">
      <c r="A1002" s="142" t="s">
        <v>307</v>
      </c>
      <c r="B1002" s="142" t="s">
        <v>52</v>
      </c>
      <c r="C1002" s="142" t="s">
        <v>43</v>
      </c>
      <c r="D1002">
        <v>0.01</v>
      </c>
      <c r="E1002">
        <v>0.1</v>
      </c>
      <c r="F1002">
        <v>9.9999999999999995E-8</v>
      </c>
      <c r="G1002" s="142" t="s">
        <v>13</v>
      </c>
      <c r="H1002" s="142" t="s">
        <v>11</v>
      </c>
      <c r="I1002">
        <v>0</v>
      </c>
      <c r="J1002">
        <v>0</v>
      </c>
      <c r="K1002" s="142" t="s">
        <v>1674</v>
      </c>
      <c r="L1002">
        <v>0.63</v>
      </c>
      <c r="M1002">
        <v>40</v>
      </c>
      <c r="N1002">
        <v>0.57933999999999997</v>
      </c>
      <c r="O1002">
        <v>40.402999999999999</v>
      </c>
    </row>
    <row r="1003" spans="1:15" x14ac:dyDescent="0.25">
      <c r="A1003" s="142" t="s">
        <v>312</v>
      </c>
      <c r="B1003" s="142" t="s">
        <v>52</v>
      </c>
      <c r="C1003" s="142" t="s">
        <v>43</v>
      </c>
      <c r="D1003">
        <v>0.1</v>
      </c>
      <c r="E1003">
        <v>1</v>
      </c>
      <c r="F1003">
        <v>9.9999999999999995E-8</v>
      </c>
      <c r="G1003" s="142" t="s">
        <v>13</v>
      </c>
      <c r="H1003" s="142" t="s">
        <v>11</v>
      </c>
      <c r="I1003">
        <v>0</v>
      </c>
      <c r="J1003">
        <v>0</v>
      </c>
      <c r="K1003" s="142" t="s">
        <v>1674</v>
      </c>
      <c r="L1003">
        <v>12</v>
      </c>
      <c r="M1003">
        <v>130</v>
      </c>
      <c r="N1003">
        <v>11.551</v>
      </c>
      <c r="O1003">
        <v>127.02</v>
      </c>
    </row>
    <row r="1004" spans="1:15" x14ac:dyDescent="0.25">
      <c r="A1004" s="142" t="s">
        <v>276</v>
      </c>
      <c r="B1004" s="142" t="s">
        <v>52</v>
      </c>
      <c r="C1004" s="142" t="s">
        <v>43</v>
      </c>
      <c r="D1004">
        <v>0</v>
      </c>
      <c r="E1004">
        <v>9.9999999999999995E-8</v>
      </c>
      <c r="F1004">
        <v>9.9999999999999995E-7</v>
      </c>
      <c r="G1004" s="142" t="s">
        <v>13</v>
      </c>
      <c r="H1004" s="142" t="s">
        <v>65</v>
      </c>
      <c r="I1004">
        <v>0</v>
      </c>
      <c r="J1004">
        <v>0</v>
      </c>
      <c r="K1004" s="142" t="s">
        <v>1674</v>
      </c>
      <c r="L1004">
        <v>577.36</v>
      </c>
      <c r="M1004">
        <v>68.944999999999993</v>
      </c>
      <c r="N1004">
        <v>577.36</v>
      </c>
      <c r="O1004">
        <v>2.8803000000000001</v>
      </c>
    </row>
    <row r="1005" spans="1:15" x14ac:dyDescent="0.25">
      <c r="A1005" s="142" t="s">
        <v>295</v>
      </c>
      <c r="B1005" s="142" t="s">
        <v>52</v>
      </c>
      <c r="C1005" s="142" t="s">
        <v>43</v>
      </c>
      <c r="D1005">
        <v>1.0000000000000001E-5</v>
      </c>
      <c r="E1005">
        <v>1E-4</v>
      </c>
      <c r="F1005">
        <v>9.9999999999999995E-7</v>
      </c>
      <c r="G1005" s="142" t="s">
        <v>13</v>
      </c>
      <c r="H1005" s="142" t="s">
        <v>65</v>
      </c>
      <c r="I1005">
        <v>0</v>
      </c>
      <c r="J1005">
        <v>0</v>
      </c>
      <c r="K1005" s="142" t="s">
        <v>1674</v>
      </c>
      <c r="L1005">
        <v>577.35</v>
      </c>
      <c r="M1005">
        <v>59.066000000000003</v>
      </c>
      <c r="N1005">
        <v>577.35</v>
      </c>
      <c r="O1005">
        <v>59.066000000000003</v>
      </c>
    </row>
    <row r="1006" spans="1:15" x14ac:dyDescent="0.25">
      <c r="A1006" s="142" t="s">
        <v>300</v>
      </c>
      <c r="B1006" s="142" t="s">
        <v>52</v>
      </c>
      <c r="C1006" s="142" t="s">
        <v>43</v>
      </c>
      <c r="D1006">
        <v>1E-4</v>
      </c>
      <c r="E1006">
        <v>1E-3</v>
      </c>
      <c r="F1006">
        <v>9.9999999999999995E-7</v>
      </c>
      <c r="G1006" s="142" t="s">
        <v>13</v>
      </c>
      <c r="H1006" s="142" t="s">
        <v>65</v>
      </c>
      <c r="I1006">
        <v>0</v>
      </c>
      <c r="J1006">
        <v>0</v>
      </c>
      <c r="K1006" s="142" t="s">
        <v>1674</v>
      </c>
      <c r="L1006">
        <v>577.34</v>
      </c>
      <c r="M1006">
        <v>747.13</v>
      </c>
      <c r="N1006">
        <v>577.34</v>
      </c>
      <c r="O1006">
        <v>738.63</v>
      </c>
    </row>
    <row r="1007" spans="1:15" x14ac:dyDescent="0.25">
      <c r="A1007" s="142" t="s">
        <v>303</v>
      </c>
      <c r="B1007" s="142" t="s">
        <v>52</v>
      </c>
      <c r="C1007" s="142" t="s">
        <v>43</v>
      </c>
      <c r="D1007">
        <v>1E-3</v>
      </c>
      <c r="E1007">
        <v>0.01</v>
      </c>
      <c r="F1007">
        <v>9.9999999999999995E-7</v>
      </c>
      <c r="G1007" s="142" t="s">
        <v>13</v>
      </c>
      <c r="H1007" s="142" t="s">
        <v>11</v>
      </c>
      <c r="I1007">
        <v>0</v>
      </c>
      <c r="J1007">
        <v>0</v>
      </c>
      <c r="K1007" s="142" t="s">
        <v>1674</v>
      </c>
      <c r="L1007">
        <v>0.57604999999999995</v>
      </c>
      <c r="M1007">
        <v>6.9657999999999998</v>
      </c>
      <c r="N1007">
        <v>0.57604</v>
      </c>
      <c r="O1007">
        <v>6.9470999999999998</v>
      </c>
    </row>
    <row r="1008" spans="1:15" x14ac:dyDescent="0.25">
      <c r="A1008" s="142" t="s">
        <v>308</v>
      </c>
      <c r="B1008" s="142" t="s">
        <v>52</v>
      </c>
      <c r="C1008" s="142" t="s">
        <v>43</v>
      </c>
      <c r="D1008">
        <v>0.01</v>
      </c>
      <c r="E1008">
        <v>0.1</v>
      </c>
      <c r="F1008">
        <v>9.9999999999999995E-7</v>
      </c>
      <c r="G1008" s="142" t="s">
        <v>13</v>
      </c>
      <c r="H1008" s="142" t="s">
        <v>11</v>
      </c>
      <c r="I1008">
        <v>0</v>
      </c>
      <c r="J1008">
        <v>0</v>
      </c>
      <c r="K1008" s="142" t="s">
        <v>1674</v>
      </c>
      <c r="L1008">
        <v>0.75646999999999998</v>
      </c>
      <c r="M1008">
        <v>39.034999999999997</v>
      </c>
      <c r="N1008">
        <v>0.74814999999999998</v>
      </c>
      <c r="O1008">
        <v>39.070999999999998</v>
      </c>
    </row>
    <row r="1009" spans="1:15" x14ac:dyDescent="0.25">
      <c r="A1009" s="142" t="s">
        <v>2010</v>
      </c>
      <c r="B1009" s="142" t="s">
        <v>52</v>
      </c>
      <c r="C1009" s="142" t="s">
        <v>43</v>
      </c>
      <c r="D1009">
        <v>0.1</v>
      </c>
      <c r="E1009">
        <v>1</v>
      </c>
      <c r="F1009">
        <v>9.9999999999999995E-7</v>
      </c>
      <c r="G1009" s="142" t="s">
        <v>13</v>
      </c>
      <c r="H1009" s="142" t="s">
        <v>11</v>
      </c>
      <c r="I1009">
        <v>0</v>
      </c>
      <c r="J1009">
        <v>0</v>
      </c>
      <c r="K1009" s="142" t="s">
        <v>1674</v>
      </c>
      <c r="L1009">
        <v>12</v>
      </c>
      <c r="M1009">
        <v>130</v>
      </c>
      <c r="N1009">
        <v>11.555</v>
      </c>
      <c r="O1009">
        <v>127.02</v>
      </c>
    </row>
    <row r="1010" spans="1:15" x14ac:dyDescent="0.25">
      <c r="A1010" s="142" t="s">
        <v>315</v>
      </c>
      <c r="B1010" s="142" t="s">
        <v>52</v>
      </c>
      <c r="C1010" s="142" t="s">
        <v>43</v>
      </c>
      <c r="D1010">
        <v>1</v>
      </c>
      <c r="E1010">
        <v>20</v>
      </c>
      <c r="F1010">
        <v>9.9999999999999995E-7</v>
      </c>
      <c r="G1010" s="142" t="s">
        <v>13</v>
      </c>
      <c r="H1010" s="142" t="s">
        <v>12</v>
      </c>
      <c r="I1010">
        <v>0</v>
      </c>
      <c r="J1010">
        <v>0</v>
      </c>
      <c r="K1010" s="142" t="s">
        <v>1674</v>
      </c>
      <c r="L1010">
        <v>0.11</v>
      </c>
      <c r="M1010">
        <v>5.2999999999999999E-2</v>
      </c>
      <c r="N1010">
        <v>9.8000000000000004E-2</v>
      </c>
      <c r="O1010">
        <v>5.3373999999999998E-2</v>
      </c>
    </row>
    <row r="1011" spans="1:15" x14ac:dyDescent="0.25">
      <c r="A1011" s="142" t="s">
        <v>277</v>
      </c>
      <c r="B1011" s="142" t="s">
        <v>52</v>
      </c>
      <c r="C1011" s="142" t="s">
        <v>43</v>
      </c>
      <c r="D1011">
        <v>0</v>
      </c>
      <c r="E1011">
        <v>9.9999999999999995E-8</v>
      </c>
      <c r="F1011">
        <v>1.0000000000000001E-5</v>
      </c>
      <c r="G1011" s="142" t="s">
        <v>13</v>
      </c>
      <c r="H1011" s="142" t="s">
        <v>65</v>
      </c>
      <c r="I1011">
        <v>0</v>
      </c>
      <c r="J1011">
        <v>0</v>
      </c>
      <c r="K1011" s="142" t="s">
        <v>1674</v>
      </c>
      <c r="L1011">
        <v>5773.6</v>
      </c>
      <c r="M1011">
        <v>26.713999999999999</v>
      </c>
      <c r="N1011">
        <v>5773.6</v>
      </c>
      <c r="O1011">
        <v>0.28803000000000001</v>
      </c>
    </row>
    <row r="1012" spans="1:15" x14ac:dyDescent="0.25">
      <c r="A1012" s="142" t="s">
        <v>2008</v>
      </c>
      <c r="B1012" s="142" t="s">
        <v>52</v>
      </c>
      <c r="C1012" s="142" t="s">
        <v>43</v>
      </c>
      <c r="D1012">
        <v>1E-4</v>
      </c>
      <c r="E1012">
        <v>1E-3</v>
      </c>
      <c r="F1012">
        <v>1.0000000000000001E-5</v>
      </c>
      <c r="G1012" s="142" t="s">
        <v>13</v>
      </c>
      <c r="H1012" s="142" t="s">
        <v>65</v>
      </c>
      <c r="I1012">
        <v>0</v>
      </c>
      <c r="J1012">
        <v>0</v>
      </c>
      <c r="K1012" s="142" t="s">
        <v>1674</v>
      </c>
      <c r="L1012">
        <v>5773.6</v>
      </c>
      <c r="M1012">
        <v>77.317999999999998</v>
      </c>
      <c r="N1012">
        <v>5773.5</v>
      </c>
      <c r="O1012">
        <v>73.912000000000006</v>
      </c>
    </row>
    <row r="1013" spans="1:15" x14ac:dyDescent="0.25">
      <c r="A1013" s="142" t="s">
        <v>304</v>
      </c>
      <c r="B1013" s="142" t="s">
        <v>52</v>
      </c>
      <c r="C1013" s="142" t="s">
        <v>43</v>
      </c>
      <c r="D1013">
        <v>1E-3</v>
      </c>
      <c r="E1013">
        <v>0.01</v>
      </c>
      <c r="F1013">
        <v>1.0000000000000001E-5</v>
      </c>
      <c r="G1013" s="142" t="s">
        <v>13</v>
      </c>
      <c r="H1013" s="142" t="s">
        <v>11</v>
      </c>
      <c r="I1013">
        <v>0</v>
      </c>
      <c r="J1013">
        <v>0</v>
      </c>
      <c r="K1013" s="142" t="s">
        <v>1674</v>
      </c>
      <c r="L1013">
        <v>5.7733999999999996</v>
      </c>
      <c r="M1013">
        <v>0.74711000000000005</v>
      </c>
      <c r="N1013">
        <v>5.7733999999999996</v>
      </c>
      <c r="O1013">
        <v>0.73860000000000003</v>
      </c>
    </row>
    <row r="1014" spans="1:15" x14ac:dyDescent="0.25">
      <c r="A1014" s="142" t="s">
        <v>309</v>
      </c>
      <c r="B1014" s="142" t="s">
        <v>52</v>
      </c>
      <c r="C1014" s="142" t="s">
        <v>43</v>
      </c>
      <c r="D1014">
        <v>0.01</v>
      </c>
      <c r="E1014">
        <v>0.1</v>
      </c>
      <c r="F1014">
        <v>1.0000000000000001E-5</v>
      </c>
      <c r="G1014" s="142" t="s">
        <v>13</v>
      </c>
      <c r="H1014" s="142" t="s">
        <v>11</v>
      </c>
      <c r="I1014">
        <v>0</v>
      </c>
      <c r="J1014">
        <v>0</v>
      </c>
      <c r="K1014" s="142" t="s">
        <v>1674</v>
      </c>
      <c r="L1014">
        <v>5.6910999999999996</v>
      </c>
      <c r="M1014">
        <v>17.149000000000001</v>
      </c>
      <c r="N1014">
        <v>5.6856</v>
      </c>
      <c r="O1014">
        <v>17.085000000000001</v>
      </c>
    </row>
    <row r="1015" spans="1:15" x14ac:dyDescent="0.25">
      <c r="A1015" s="142" t="s">
        <v>313</v>
      </c>
      <c r="B1015" s="142" t="s">
        <v>52</v>
      </c>
      <c r="C1015" s="142" t="s">
        <v>43</v>
      </c>
      <c r="D1015">
        <v>0.1</v>
      </c>
      <c r="E1015">
        <v>1</v>
      </c>
      <c r="F1015">
        <v>1.0000000000000001E-5</v>
      </c>
      <c r="G1015" s="142" t="s">
        <v>13</v>
      </c>
      <c r="H1015" s="142" t="s">
        <v>11</v>
      </c>
      <c r="I1015">
        <v>0</v>
      </c>
      <c r="J1015">
        <v>0</v>
      </c>
      <c r="K1015" s="142" t="s">
        <v>1674</v>
      </c>
      <c r="L1015">
        <v>12</v>
      </c>
      <c r="M1015">
        <v>130</v>
      </c>
      <c r="N1015">
        <v>12.292</v>
      </c>
      <c r="O1015">
        <v>126.4</v>
      </c>
    </row>
    <row r="1016" spans="1:15" x14ac:dyDescent="0.25">
      <c r="A1016" s="142" t="s">
        <v>2013</v>
      </c>
      <c r="B1016" s="142" t="s">
        <v>52</v>
      </c>
      <c r="C1016" s="142" t="s">
        <v>43</v>
      </c>
      <c r="D1016">
        <v>1</v>
      </c>
      <c r="E1016">
        <v>20</v>
      </c>
      <c r="F1016">
        <v>1.0000000000000001E-5</v>
      </c>
      <c r="G1016" s="142" t="s">
        <v>13</v>
      </c>
      <c r="H1016" s="142" t="s">
        <v>12</v>
      </c>
      <c r="I1016">
        <v>0</v>
      </c>
      <c r="J1016">
        <v>0</v>
      </c>
      <c r="K1016" s="142" t="s">
        <v>1674</v>
      </c>
      <c r="L1016">
        <v>0.11</v>
      </c>
      <c r="M1016">
        <v>5.2658999999999997E-2</v>
      </c>
      <c r="N1016">
        <v>9.7832000000000002E-2</v>
      </c>
      <c r="O1016">
        <v>5.3365999999999997E-2</v>
      </c>
    </row>
    <row r="1017" spans="1:15" x14ac:dyDescent="0.25">
      <c r="A1017" s="142" t="s">
        <v>278</v>
      </c>
      <c r="B1017" s="142" t="s">
        <v>52</v>
      </c>
      <c r="C1017" s="142" t="s">
        <v>43</v>
      </c>
      <c r="D1017">
        <v>0</v>
      </c>
      <c r="E1017">
        <v>9.9999999999999995E-8</v>
      </c>
      <c r="F1017">
        <v>1E-4</v>
      </c>
      <c r="G1017" s="142" t="s">
        <v>13</v>
      </c>
      <c r="H1017" s="142" t="s">
        <v>65</v>
      </c>
      <c r="I1017">
        <v>0</v>
      </c>
      <c r="J1017">
        <v>0</v>
      </c>
      <c r="K1017" s="142" t="s">
        <v>1674</v>
      </c>
      <c r="L1017">
        <v>57736</v>
      </c>
      <c r="M1017">
        <v>10.599</v>
      </c>
      <c r="N1017">
        <v>57736</v>
      </c>
      <c r="O1017">
        <v>2.8882999999999999E-2</v>
      </c>
    </row>
    <row r="1018" spans="1:15" x14ac:dyDescent="0.25">
      <c r="A1018" s="142" t="s">
        <v>305</v>
      </c>
      <c r="B1018" s="142" t="s">
        <v>52</v>
      </c>
      <c r="C1018" s="142" t="s">
        <v>43</v>
      </c>
      <c r="D1018">
        <v>1E-3</v>
      </c>
      <c r="E1018">
        <v>0.01</v>
      </c>
      <c r="F1018">
        <v>1E-4</v>
      </c>
      <c r="G1018" s="142" t="s">
        <v>13</v>
      </c>
      <c r="H1018" s="142" t="s">
        <v>11</v>
      </c>
      <c r="I1018">
        <v>0</v>
      </c>
      <c r="J1018">
        <v>0</v>
      </c>
      <c r="K1018" s="142" t="s">
        <v>1674</v>
      </c>
      <c r="L1018">
        <v>57.735999999999997</v>
      </c>
      <c r="M1018">
        <v>7.7315999999999996E-2</v>
      </c>
      <c r="N1018">
        <v>57.734999999999999</v>
      </c>
      <c r="O1018">
        <v>7.3910000000000003E-2</v>
      </c>
    </row>
    <row r="1019" spans="1:15" x14ac:dyDescent="0.25">
      <c r="A1019" s="142" t="s">
        <v>310</v>
      </c>
      <c r="B1019" s="142" t="s">
        <v>52</v>
      </c>
      <c r="C1019" s="142" t="s">
        <v>43</v>
      </c>
      <c r="D1019">
        <v>0.01</v>
      </c>
      <c r="E1019">
        <v>0.1</v>
      </c>
      <c r="F1019">
        <v>1E-4</v>
      </c>
      <c r="G1019" s="142" t="s">
        <v>13</v>
      </c>
      <c r="H1019" s="142" t="s">
        <v>11</v>
      </c>
      <c r="I1019">
        <v>0</v>
      </c>
      <c r="J1019">
        <v>0</v>
      </c>
      <c r="K1019" s="142" t="s">
        <v>1674</v>
      </c>
      <c r="L1019">
        <v>57.725999999999999</v>
      </c>
      <c r="M1019">
        <v>1.9971000000000001</v>
      </c>
      <c r="N1019">
        <v>57.723999999999997</v>
      </c>
      <c r="O1019">
        <v>1.9572000000000001</v>
      </c>
    </row>
    <row r="1020" spans="1:15" x14ac:dyDescent="0.25">
      <c r="A1020" s="142" t="s">
        <v>2011</v>
      </c>
      <c r="B1020" s="142" t="s">
        <v>52</v>
      </c>
      <c r="C1020" s="142" t="s">
        <v>43</v>
      </c>
      <c r="D1020">
        <v>0.1</v>
      </c>
      <c r="E1020">
        <v>1</v>
      </c>
      <c r="F1020">
        <v>1E-4</v>
      </c>
      <c r="G1020" s="142" t="s">
        <v>13</v>
      </c>
      <c r="H1020" s="142" t="s">
        <v>11</v>
      </c>
      <c r="I1020">
        <v>0</v>
      </c>
      <c r="J1020">
        <v>0</v>
      </c>
      <c r="K1020" s="142" t="s">
        <v>1674</v>
      </c>
      <c r="L1020">
        <v>52.963999999999999</v>
      </c>
      <c r="M1020">
        <v>97.156000000000006</v>
      </c>
      <c r="N1020">
        <v>52.899000000000001</v>
      </c>
      <c r="O1020">
        <v>97.218999999999994</v>
      </c>
    </row>
    <row r="1021" spans="1:15" x14ac:dyDescent="0.25">
      <c r="A1021" s="142" t="s">
        <v>316</v>
      </c>
      <c r="B1021" s="142" t="s">
        <v>52</v>
      </c>
      <c r="C1021" s="142" t="s">
        <v>43</v>
      </c>
      <c r="D1021">
        <v>1</v>
      </c>
      <c r="E1021">
        <v>20</v>
      </c>
      <c r="F1021">
        <v>1E-4</v>
      </c>
      <c r="G1021" s="142" t="s">
        <v>13</v>
      </c>
      <c r="H1021" s="142" t="s">
        <v>12</v>
      </c>
      <c r="I1021">
        <v>0</v>
      </c>
      <c r="J1021">
        <v>0</v>
      </c>
      <c r="K1021" s="142" t="s">
        <v>1674</v>
      </c>
      <c r="L1021">
        <v>0.11</v>
      </c>
      <c r="M1021">
        <v>5.2652999999999998E-2</v>
      </c>
      <c r="N1021">
        <v>0.10929</v>
      </c>
      <c r="O1021">
        <v>5.2644999999999997E-2</v>
      </c>
    </row>
    <row r="1022" spans="1:15" x14ac:dyDescent="0.25">
      <c r="A1022" s="142" t="s">
        <v>279</v>
      </c>
      <c r="B1022" s="142" t="s">
        <v>52</v>
      </c>
      <c r="C1022" s="142" t="s">
        <v>43</v>
      </c>
      <c r="D1022">
        <v>0</v>
      </c>
      <c r="E1022">
        <v>9.9999999999999995E-8</v>
      </c>
      <c r="F1022">
        <v>1E-3</v>
      </c>
      <c r="G1022" s="142" t="s">
        <v>13</v>
      </c>
      <c r="H1022" s="142" t="s">
        <v>65</v>
      </c>
      <c r="I1022">
        <v>0</v>
      </c>
      <c r="J1022">
        <v>0</v>
      </c>
      <c r="K1022" s="142" t="s">
        <v>1674</v>
      </c>
      <c r="L1022">
        <v>577360</v>
      </c>
      <c r="M1022">
        <v>4.2309000000000001</v>
      </c>
      <c r="N1022">
        <v>577360</v>
      </c>
      <c r="O1022">
        <v>0</v>
      </c>
    </row>
    <row r="1023" spans="1:15" x14ac:dyDescent="0.25">
      <c r="A1023" s="142" t="s">
        <v>311</v>
      </c>
      <c r="B1023" s="142" t="s">
        <v>52</v>
      </c>
      <c r="C1023" s="142" t="s">
        <v>43</v>
      </c>
      <c r="D1023">
        <v>0.01</v>
      </c>
      <c r="E1023">
        <v>0.1</v>
      </c>
      <c r="F1023">
        <v>1E-3</v>
      </c>
      <c r="G1023" s="142" t="s">
        <v>13</v>
      </c>
      <c r="H1023" s="142" t="s">
        <v>11</v>
      </c>
      <c r="I1023">
        <v>0</v>
      </c>
      <c r="J1023">
        <v>0</v>
      </c>
      <c r="K1023" s="142" t="s">
        <v>1674</v>
      </c>
      <c r="L1023">
        <v>577.35</v>
      </c>
      <c r="M1023">
        <v>0.21209</v>
      </c>
      <c r="N1023">
        <v>577.34</v>
      </c>
      <c r="O1023">
        <v>0.19605</v>
      </c>
    </row>
    <row r="1024" spans="1:15" x14ac:dyDescent="0.25">
      <c r="A1024" s="142" t="s">
        <v>314</v>
      </c>
      <c r="B1024" s="142" t="s">
        <v>52</v>
      </c>
      <c r="C1024" s="142" t="s">
        <v>43</v>
      </c>
      <c r="D1024">
        <v>0.1</v>
      </c>
      <c r="E1024">
        <v>1</v>
      </c>
      <c r="F1024">
        <v>1E-3</v>
      </c>
      <c r="G1024" s="142" t="s">
        <v>13</v>
      </c>
      <c r="H1024" s="142" t="s">
        <v>11</v>
      </c>
      <c r="I1024">
        <v>0</v>
      </c>
      <c r="J1024">
        <v>0</v>
      </c>
      <c r="K1024" s="142" t="s">
        <v>1674</v>
      </c>
      <c r="L1024">
        <v>576.13</v>
      </c>
      <c r="M1024">
        <v>17.626999999999999</v>
      </c>
      <c r="N1024">
        <v>576.1</v>
      </c>
      <c r="O1024">
        <v>17.652999999999999</v>
      </c>
    </row>
    <row r="1025" spans="1:15" x14ac:dyDescent="0.25">
      <c r="A1025" s="142" t="s">
        <v>317</v>
      </c>
      <c r="B1025" s="142" t="s">
        <v>52</v>
      </c>
      <c r="C1025" s="142" t="s">
        <v>43</v>
      </c>
      <c r="D1025">
        <v>1</v>
      </c>
      <c r="E1025">
        <v>20</v>
      </c>
      <c r="F1025">
        <v>1E-3</v>
      </c>
      <c r="G1025" s="142" t="s">
        <v>13</v>
      </c>
      <c r="H1025" s="142" t="s">
        <v>12</v>
      </c>
      <c r="I1025">
        <v>0</v>
      </c>
      <c r="J1025">
        <v>0</v>
      </c>
      <c r="K1025" s="142" t="s">
        <v>1674</v>
      </c>
      <c r="L1025">
        <v>0.55095000000000005</v>
      </c>
      <c r="M1025">
        <v>3.5291999999999997E-2</v>
      </c>
      <c r="N1025">
        <v>0.55088999999999999</v>
      </c>
      <c r="O1025">
        <v>3.5242000000000002E-2</v>
      </c>
    </row>
    <row r="1026" spans="1:15" x14ac:dyDescent="0.25">
      <c r="A1026" s="142" t="s">
        <v>280</v>
      </c>
      <c r="B1026" s="142" t="s">
        <v>52</v>
      </c>
      <c r="C1026" s="142" t="s">
        <v>43</v>
      </c>
      <c r="D1026">
        <v>0</v>
      </c>
      <c r="E1026">
        <v>9.9999999999999995E-8</v>
      </c>
      <c r="F1026">
        <v>0.01</v>
      </c>
      <c r="G1026" s="142" t="s">
        <v>13</v>
      </c>
      <c r="H1026" s="142" t="s">
        <v>65</v>
      </c>
      <c r="I1026">
        <v>0</v>
      </c>
      <c r="J1026">
        <v>0</v>
      </c>
      <c r="K1026" s="142" t="s">
        <v>1674</v>
      </c>
      <c r="L1026">
        <v>5773600</v>
      </c>
      <c r="M1026">
        <v>1.6933</v>
      </c>
      <c r="N1026">
        <v>5773600</v>
      </c>
      <c r="O1026">
        <v>0</v>
      </c>
    </row>
    <row r="1027" spans="1:15" x14ac:dyDescent="0.25">
      <c r="A1027" s="142" t="s">
        <v>2012</v>
      </c>
      <c r="B1027" s="142" t="s">
        <v>52</v>
      </c>
      <c r="C1027" s="142" t="s">
        <v>43</v>
      </c>
      <c r="D1027">
        <v>0.1</v>
      </c>
      <c r="E1027">
        <v>1</v>
      </c>
      <c r="F1027">
        <v>0.01</v>
      </c>
      <c r="G1027" s="142" t="s">
        <v>13</v>
      </c>
      <c r="H1027" s="142" t="s">
        <v>11</v>
      </c>
      <c r="I1027">
        <v>0</v>
      </c>
      <c r="J1027">
        <v>0</v>
      </c>
      <c r="K1027" s="142" t="s">
        <v>1674</v>
      </c>
      <c r="L1027">
        <v>5773.4</v>
      </c>
      <c r="M1027">
        <v>1.7804</v>
      </c>
      <c r="N1027">
        <v>5771.8</v>
      </c>
      <c r="O1027">
        <v>1.7908999999999999</v>
      </c>
    </row>
    <row r="1028" spans="1:15" x14ac:dyDescent="0.25">
      <c r="A1028" s="142" t="s">
        <v>318</v>
      </c>
      <c r="B1028" s="142" t="s">
        <v>52</v>
      </c>
      <c r="C1028" s="142" t="s">
        <v>43</v>
      </c>
      <c r="D1028">
        <v>1</v>
      </c>
      <c r="E1028">
        <v>20</v>
      </c>
      <c r="F1028">
        <v>0.01</v>
      </c>
      <c r="G1028" s="142" t="s">
        <v>13</v>
      </c>
      <c r="H1028" s="142" t="s">
        <v>12</v>
      </c>
      <c r="I1028">
        <v>0</v>
      </c>
      <c r="J1028">
        <v>0</v>
      </c>
      <c r="K1028" s="142" t="s">
        <v>1674</v>
      </c>
      <c r="L1028">
        <v>5.7689000000000004</v>
      </c>
      <c r="M1028">
        <v>5.6144999999999997E-3</v>
      </c>
      <c r="N1028">
        <v>5.7689000000000004</v>
      </c>
      <c r="O1028">
        <v>5.5694999999999998E-3</v>
      </c>
    </row>
    <row r="1029" spans="1:15" x14ac:dyDescent="0.25">
      <c r="A1029" s="142" t="s">
        <v>281</v>
      </c>
      <c r="B1029" s="142" t="s">
        <v>52</v>
      </c>
      <c r="C1029" s="142" t="s">
        <v>43</v>
      </c>
      <c r="D1029">
        <v>0</v>
      </c>
      <c r="E1029">
        <v>9.9999999999999995E-8</v>
      </c>
      <c r="F1029">
        <v>0.1</v>
      </c>
      <c r="G1029" s="142" t="s">
        <v>13</v>
      </c>
      <c r="H1029" s="142" t="s">
        <v>65</v>
      </c>
      <c r="I1029">
        <v>0</v>
      </c>
      <c r="J1029">
        <v>0</v>
      </c>
      <c r="K1029" s="142" t="s">
        <v>1674</v>
      </c>
      <c r="L1029">
        <v>57736000</v>
      </c>
      <c r="M1029">
        <v>0.75258000000000003</v>
      </c>
      <c r="N1029">
        <v>57736000</v>
      </c>
      <c r="O1029">
        <v>0</v>
      </c>
    </row>
    <row r="1030" spans="1:15" x14ac:dyDescent="0.25">
      <c r="A1030" s="142" t="s">
        <v>319</v>
      </c>
      <c r="B1030" s="142" t="s">
        <v>52</v>
      </c>
      <c r="C1030" s="142" t="s">
        <v>43</v>
      </c>
      <c r="D1030">
        <v>1</v>
      </c>
      <c r="E1030">
        <v>20</v>
      </c>
      <c r="F1030">
        <v>0.1</v>
      </c>
      <c r="G1030" s="142" t="s">
        <v>13</v>
      </c>
      <c r="H1030" s="142" t="s">
        <v>12</v>
      </c>
      <c r="I1030">
        <v>0</v>
      </c>
      <c r="J1030">
        <v>0</v>
      </c>
      <c r="K1030" s="142" t="s">
        <v>1674</v>
      </c>
      <c r="L1030">
        <v>57.734999999999999</v>
      </c>
      <c r="M1030">
        <v>5.8043999999999999E-4</v>
      </c>
      <c r="N1030">
        <v>57.73</v>
      </c>
      <c r="O1030">
        <v>5.6209000000000001E-4</v>
      </c>
    </row>
    <row r="1031" spans="1:15" x14ac:dyDescent="0.25">
      <c r="A1031" s="142" t="s">
        <v>2700</v>
      </c>
      <c r="B1031" s="142" t="s">
        <v>52</v>
      </c>
      <c r="C1031" s="142" t="s">
        <v>2701</v>
      </c>
      <c r="D1031">
        <v>0</v>
      </c>
      <c r="E1031">
        <v>9.9999999999999995E-8</v>
      </c>
      <c r="F1031">
        <v>9.9999999999999998E-13</v>
      </c>
      <c r="G1031" s="142" t="s">
        <v>13</v>
      </c>
      <c r="H1031" s="142" t="s">
        <v>65</v>
      </c>
      <c r="I1031">
        <v>0</v>
      </c>
      <c r="J1031">
        <v>0</v>
      </c>
      <c r="K1031" s="142" t="s">
        <v>1674</v>
      </c>
      <c r="L1031">
        <v>4.7E-2</v>
      </c>
      <c r="M1031">
        <v>34000</v>
      </c>
      <c r="N1031">
        <v>4.6258000000000001E-2</v>
      </c>
      <c r="O1031">
        <v>34593</v>
      </c>
    </row>
    <row r="1032" spans="1:15" x14ac:dyDescent="0.25">
      <c r="A1032" s="142" t="s">
        <v>2702</v>
      </c>
      <c r="B1032" s="142" t="s">
        <v>52</v>
      </c>
      <c r="C1032" s="142" t="s">
        <v>2701</v>
      </c>
      <c r="D1032">
        <v>9.9999999999999995E-8</v>
      </c>
      <c r="E1032">
        <v>9.9999999999999995E-7</v>
      </c>
      <c r="F1032">
        <v>9.9999999999999998E-13</v>
      </c>
      <c r="G1032" s="142" t="s">
        <v>13</v>
      </c>
      <c r="H1032" s="142" t="s">
        <v>65</v>
      </c>
      <c r="I1032">
        <v>0</v>
      </c>
      <c r="J1032">
        <v>0</v>
      </c>
      <c r="K1032" s="142" t="s">
        <v>1674</v>
      </c>
      <c r="L1032">
        <v>4.8000000000000001E-2</v>
      </c>
      <c r="M1032">
        <v>23000</v>
      </c>
      <c r="N1032">
        <v>4.6251E-2</v>
      </c>
      <c r="O1032">
        <v>23135</v>
      </c>
    </row>
    <row r="1033" spans="1:15" x14ac:dyDescent="0.25">
      <c r="A1033" s="142" t="s">
        <v>2703</v>
      </c>
      <c r="B1033" s="142" t="s">
        <v>52</v>
      </c>
      <c r="C1033" s="142" t="s">
        <v>2701</v>
      </c>
      <c r="D1033">
        <v>9.9999999999999995E-7</v>
      </c>
      <c r="E1033">
        <v>1.0000000000000001E-5</v>
      </c>
      <c r="F1033">
        <v>9.9999999999999998E-13</v>
      </c>
      <c r="G1033" s="142" t="s">
        <v>13</v>
      </c>
      <c r="H1033" s="142" t="s">
        <v>65</v>
      </c>
      <c r="I1033">
        <v>0</v>
      </c>
      <c r="J1033">
        <v>0</v>
      </c>
      <c r="K1033" s="142" t="s">
        <v>1674</v>
      </c>
      <c r="L1033">
        <v>0.12</v>
      </c>
      <c r="M1033">
        <v>23000</v>
      </c>
      <c r="N1033">
        <v>0.11547</v>
      </c>
      <c r="O1033">
        <v>23146</v>
      </c>
    </row>
    <row r="1034" spans="1:15" x14ac:dyDescent="0.25">
      <c r="A1034" s="142" t="s">
        <v>2704</v>
      </c>
      <c r="B1034" s="142" t="s">
        <v>52</v>
      </c>
      <c r="C1034" s="142" t="s">
        <v>2701</v>
      </c>
      <c r="D1034">
        <v>0</v>
      </c>
      <c r="E1034">
        <v>9.9999999999999995E-8</v>
      </c>
      <c r="F1034">
        <v>9.9999999999999994E-12</v>
      </c>
      <c r="G1034" s="142" t="s">
        <v>13</v>
      </c>
      <c r="H1034" s="142" t="s">
        <v>65</v>
      </c>
      <c r="I1034">
        <v>0</v>
      </c>
      <c r="J1034">
        <v>0</v>
      </c>
      <c r="K1034" s="142" t="s">
        <v>1674</v>
      </c>
      <c r="L1034">
        <v>4.7E-2</v>
      </c>
      <c r="M1034">
        <v>34000</v>
      </c>
      <c r="N1034">
        <v>4.6613000000000002E-2</v>
      </c>
      <c r="O1034">
        <v>34347</v>
      </c>
    </row>
    <row r="1035" spans="1:15" x14ac:dyDescent="0.25">
      <c r="A1035" s="142" t="s">
        <v>2705</v>
      </c>
      <c r="B1035" s="142" t="s">
        <v>52</v>
      </c>
      <c r="C1035" s="142" t="s">
        <v>2701</v>
      </c>
      <c r="D1035">
        <v>9.9999999999999995E-8</v>
      </c>
      <c r="E1035">
        <v>9.9999999999999995E-7</v>
      </c>
      <c r="F1035">
        <v>9.9999999999999994E-12</v>
      </c>
      <c r="G1035" s="142" t="s">
        <v>13</v>
      </c>
      <c r="H1035" s="142" t="s">
        <v>65</v>
      </c>
      <c r="I1035">
        <v>0</v>
      </c>
      <c r="J1035">
        <v>0</v>
      </c>
      <c r="K1035" s="142" t="s">
        <v>1674</v>
      </c>
      <c r="L1035">
        <v>4.8000000000000001E-2</v>
      </c>
      <c r="M1035">
        <v>23000</v>
      </c>
      <c r="N1035">
        <v>4.6600000000000003E-2</v>
      </c>
      <c r="O1035">
        <v>23023</v>
      </c>
    </row>
    <row r="1036" spans="1:15" x14ac:dyDescent="0.25">
      <c r="A1036" s="142" t="s">
        <v>2706</v>
      </c>
      <c r="B1036" s="142" t="s">
        <v>52</v>
      </c>
      <c r="C1036" s="142" t="s">
        <v>2701</v>
      </c>
      <c r="D1036">
        <v>9.9999999999999995E-7</v>
      </c>
      <c r="E1036">
        <v>1.0000000000000001E-5</v>
      </c>
      <c r="F1036">
        <v>9.9999999999999994E-12</v>
      </c>
      <c r="G1036" s="142" t="s">
        <v>13</v>
      </c>
      <c r="H1036" s="142" t="s">
        <v>65</v>
      </c>
      <c r="I1036">
        <v>0</v>
      </c>
      <c r="J1036">
        <v>0</v>
      </c>
      <c r="K1036" s="142" t="s">
        <v>1674</v>
      </c>
      <c r="L1036">
        <v>0.12</v>
      </c>
      <c r="M1036">
        <v>23000</v>
      </c>
      <c r="N1036">
        <v>0.11559999999999999</v>
      </c>
      <c r="O1036">
        <v>23138</v>
      </c>
    </row>
    <row r="1037" spans="1:15" x14ac:dyDescent="0.25">
      <c r="A1037" s="142" t="s">
        <v>2707</v>
      </c>
      <c r="B1037" s="142" t="s">
        <v>52</v>
      </c>
      <c r="C1037" s="142" t="s">
        <v>2701</v>
      </c>
      <c r="D1037">
        <v>1.0000000000000001E-5</v>
      </c>
      <c r="E1037">
        <v>1E-4</v>
      </c>
      <c r="F1037">
        <v>9.9999999999999994E-12</v>
      </c>
      <c r="G1037" s="142" t="s">
        <v>13</v>
      </c>
      <c r="H1037" s="142" t="s">
        <v>65</v>
      </c>
      <c r="I1037">
        <v>0</v>
      </c>
      <c r="J1037">
        <v>0</v>
      </c>
      <c r="K1037" s="142" t="s">
        <v>1674</v>
      </c>
      <c r="L1037">
        <v>0.11</v>
      </c>
      <c r="M1037">
        <v>23000</v>
      </c>
      <c r="N1037">
        <v>9.3047000000000005E-2</v>
      </c>
      <c r="O1037">
        <v>23093</v>
      </c>
    </row>
    <row r="1038" spans="1:15" x14ac:dyDescent="0.25">
      <c r="A1038" s="142" t="s">
        <v>2708</v>
      </c>
      <c r="B1038" s="142" t="s">
        <v>52</v>
      </c>
      <c r="C1038" s="142" t="s">
        <v>2701</v>
      </c>
      <c r="D1038">
        <v>0</v>
      </c>
      <c r="E1038">
        <v>9.9999999999999995E-8</v>
      </c>
      <c r="F1038">
        <v>1E-10</v>
      </c>
      <c r="G1038" s="142" t="s">
        <v>13</v>
      </c>
      <c r="H1038" s="142" t="s">
        <v>65</v>
      </c>
      <c r="I1038">
        <v>0</v>
      </c>
      <c r="J1038">
        <v>0</v>
      </c>
      <c r="K1038" s="142" t="s">
        <v>1674</v>
      </c>
      <c r="L1038">
        <v>7.4263999999999997E-2</v>
      </c>
      <c r="M1038">
        <v>23994</v>
      </c>
      <c r="N1038">
        <v>7.3978000000000002E-2</v>
      </c>
      <c r="O1038">
        <v>22114</v>
      </c>
    </row>
    <row r="1039" spans="1:15" x14ac:dyDescent="0.25">
      <c r="A1039" s="142" t="s">
        <v>2709</v>
      </c>
      <c r="B1039" s="142" t="s">
        <v>52</v>
      </c>
      <c r="C1039" s="142" t="s">
        <v>2701</v>
      </c>
      <c r="D1039">
        <v>9.9999999999999995E-8</v>
      </c>
      <c r="E1039">
        <v>9.9999999999999995E-7</v>
      </c>
      <c r="F1039">
        <v>1E-10</v>
      </c>
      <c r="G1039" s="142" t="s">
        <v>13</v>
      </c>
      <c r="H1039" s="142" t="s">
        <v>65</v>
      </c>
      <c r="I1039">
        <v>0</v>
      </c>
      <c r="J1039">
        <v>0</v>
      </c>
      <c r="K1039" s="142" t="s">
        <v>1674</v>
      </c>
      <c r="L1039">
        <v>7.4226E-2</v>
      </c>
      <c r="M1039">
        <v>16391</v>
      </c>
      <c r="N1039">
        <v>7.3794999999999999E-2</v>
      </c>
      <c r="O1039">
        <v>16468</v>
      </c>
    </row>
    <row r="1040" spans="1:15" x14ac:dyDescent="0.25">
      <c r="A1040" s="142" t="s">
        <v>2710</v>
      </c>
      <c r="B1040" s="142" t="s">
        <v>52</v>
      </c>
      <c r="C1040" s="142" t="s">
        <v>2701</v>
      </c>
      <c r="D1040">
        <v>9.9999999999999995E-7</v>
      </c>
      <c r="E1040">
        <v>1.0000000000000001E-5</v>
      </c>
      <c r="F1040">
        <v>1E-10</v>
      </c>
      <c r="G1040" s="142" t="s">
        <v>13</v>
      </c>
      <c r="H1040" s="142" t="s">
        <v>65</v>
      </c>
      <c r="I1040">
        <v>0</v>
      </c>
      <c r="J1040">
        <v>0</v>
      </c>
      <c r="K1040" s="142" t="s">
        <v>1674</v>
      </c>
      <c r="L1040">
        <v>0.128</v>
      </c>
      <c r="M1040">
        <v>22380</v>
      </c>
      <c r="N1040">
        <v>0.12776999999999999</v>
      </c>
      <c r="O1040">
        <v>22394</v>
      </c>
    </row>
    <row r="1041" spans="1:15" x14ac:dyDescent="0.25">
      <c r="A1041" s="142" t="s">
        <v>2711</v>
      </c>
      <c r="B1041" s="142" t="s">
        <v>52</v>
      </c>
      <c r="C1041" s="142" t="s">
        <v>2701</v>
      </c>
      <c r="D1041">
        <v>1.0000000000000001E-5</v>
      </c>
      <c r="E1041">
        <v>1E-4</v>
      </c>
      <c r="F1041">
        <v>1E-10</v>
      </c>
      <c r="G1041" s="142" t="s">
        <v>13</v>
      </c>
      <c r="H1041" s="142" t="s">
        <v>65</v>
      </c>
      <c r="I1041">
        <v>0</v>
      </c>
      <c r="J1041">
        <v>0</v>
      </c>
      <c r="K1041" s="142" t="s">
        <v>1674</v>
      </c>
      <c r="L1041">
        <v>0.11</v>
      </c>
      <c r="M1041">
        <v>23000</v>
      </c>
      <c r="N1041">
        <v>9.8619999999999999E-2</v>
      </c>
      <c r="O1041">
        <v>23044</v>
      </c>
    </row>
    <row r="1042" spans="1:15" x14ac:dyDescent="0.25">
      <c r="A1042" s="142" t="s">
        <v>2712</v>
      </c>
      <c r="B1042" s="142" t="s">
        <v>52</v>
      </c>
      <c r="C1042" s="142" t="s">
        <v>2701</v>
      </c>
      <c r="D1042">
        <v>0</v>
      </c>
      <c r="E1042">
        <v>9.9999999999999995E-8</v>
      </c>
      <c r="F1042">
        <v>1.0000000000000001E-9</v>
      </c>
      <c r="G1042" s="142" t="s">
        <v>13</v>
      </c>
      <c r="H1042" s="142" t="s">
        <v>65</v>
      </c>
      <c r="I1042">
        <v>0</v>
      </c>
      <c r="J1042">
        <v>0</v>
      </c>
      <c r="K1042" s="142" t="s">
        <v>1674</v>
      </c>
      <c r="L1042">
        <v>0.57935000000000003</v>
      </c>
      <c r="M1042">
        <v>3893.9</v>
      </c>
      <c r="N1042">
        <v>0.57921</v>
      </c>
      <c r="O1042">
        <v>2866.3</v>
      </c>
    </row>
    <row r="1043" spans="1:15" x14ac:dyDescent="0.25">
      <c r="A1043" s="142" t="s">
        <v>2713</v>
      </c>
      <c r="B1043" s="142" t="s">
        <v>52</v>
      </c>
      <c r="C1043" s="142" t="s">
        <v>2701</v>
      </c>
      <c r="D1043">
        <v>9.9999999999999995E-8</v>
      </c>
      <c r="E1043">
        <v>9.9999999999999995E-7</v>
      </c>
      <c r="F1043">
        <v>1.0000000000000001E-9</v>
      </c>
      <c r="G1043" s="142" t="s">
        <v>13</v>
      </c>
      <c r="H1043" s="142" t="s">
        <v>65</v>
      </c>
      <c r="I1043">
        <v>0</v>
      </c>
      <c r="J1043">
        <v>0</v>
      </c>
      <c r="K1043" s="142" t="s">
        <v>1674</v>
      </c>
      <c r="L1043">
        <v>0.57938000000000001</v>
      </c>
      <c r="M1043">
        <v>2349.6999999999998</v>
      </c>
      <c r="N1043">
        <v>0.57916000000000001</v>
      </c>
      <c r="O1043">
        <v>2350.6</v>
      </c>
    </row>
    <row r="1044" spans="1:15" x14ac:dyDescent="0.25">
      <c r="A1044" s="142" t="s">
        <v>2714</v>
      </c>
      <c r="B1044" s="142" t="s">
        <v>52</v>
      </c>
      <c r="C1044" s="142" t="s">
        <v>2701</v>
      </c>
      <c r="D1044">
        <v>9.9999999999999995E-7</v>
      </c>
      <c r="E1044">
        <v>1.0000000000000001E-5</v>
      </c>
      <c r="F1044">
        <v>1.0000000000000001E-9</v>
      </c>
      <c r="G1044" s="142" t="s">
        <v>13</v>
      </c>
      <c r="H1044" s="142" t="s">
        <v>65</v>
      </c>
      <c r="I1044">
        <v>0</v>
      </c>
      <c r="J1044">
        <v>0</v>
      </c>
      <c r="K1044" s="142" t="s">
        <v>1674</v>
      </c>
      <c r="L1044">
        <v>0.58511000000000002</v>
      </c>
      <c r="M1044">
        <v>8865.1</v>
      </c>
      <c r="N1044">
        <v>0.58489000000000002</v>
      </c>
      <c r="O1044">
        <v>8868</v>
      </c>
    </row>
    <row r="1045" spans="1:15" x14ac:dyDescent="0.25">
      <c r="A1045" s="142" t="s">
        <v>2715</v>
      </c>
      <c r="B1045" s="142" t="s">
        <v>52</v>
      </c>
      <c r="C1045" s="142" t="s">
        <v>2701</v>
      </c>
      <c r="D1045">
        <v>1.0000000000000001E-5</v>
      </c>
      <c r="E1045">
        <v>1E-4</v>
      </c>
      <c r="F1045">
        <v>1.0000000000000001E-9</v>
      </c>
      <c r="G1045" s="142" t="s">
        <v>13</v>
      </c>
      <c r="H1045" s="142" t="s">
        <v>65</v>
      </c>
      <c r="I1045">
        <v>0</v>
      </c>
      <c r="J1045">
        <v>0</v>
      </c>
      <c r="K1045" s="142" t="s">
        <v>1674</v>
      </c>
      <c r="L1045">
        <v>0.46372000000000002</v>
      </c>
      <c r="M1045">
        <v>20092</v>
      </c>
      <c r="N1045">
        <v>0.46105000000000002</v>
      </c>
      <c r="O1045">
        <v>20097</v>
      </c>
    </row>
    <row r="1046" spans="1:15" x14ac:dyDescent="0.25">
      <c r="A1046" s="142" t="s">
        <v>2716</v>
      </c>
      <c r="B1046" s="142" t="s">
        <v>52</v>
      </c>
      <c r="C1046" s="142" t="s">
        <v>2701</v>
      </c>
      <c r="D1046">
        <v>1E-4</v>
      </c>
      <c r="E1046">
        <v>1E-3</v>
      </c>
      <c r="F1046">
        <v>1.0000000000000001E-9</v>
      </c>
      <c r="G1046" s="142" t="s">
        <v>13</v>
      </c>
      <c r="H1046" s="142" t="s">
        <v>65</v>
      </c>
      <c r="I1046">
        <v>0</v>
      </c>
      <c r="J1046">
        <v>0</v>
      </c>
      <c r="K1046" s="142" t="s">
        <v>1674</v>
      </c>
      <c r="L1046">
        <v>5.9</v>
      </c>
      <c r="M1046">
        <v>23000</v>
      </c>
      <c r="N1046">
        <v>5.7739000000000003</v>
      </c>
      <c r="O1046">
        <v>23096</v>
      </c>
    </row>
    <row r="1047" spans="1:15" x14ac:dyDescent="0.25">
      <c r="A1047" s="142" t="s">
        <v>2717</v>
      </c>
      <c r="B1047" s="142" t="s">
        <v>52</v>
      </c>
      <c r="C1047" s="142" t="s">
        <v>2701</v>
      </c>
      <c r="D1047">
        <v>1E-3</v>
      </c>
      <c r="E1047">
        <v>0.01</v>
      </c>
      <c r="F1047">
        <v>1.0000000000000001E-9</v>
      </c>
      <c r="G1047" s="142" t="s">
        <v>13</v>
      </c>
      <c r="H1047" s="142" t="s">
        <v>11</v>
      </c>
      <c r="I1047">
        <v>0</v>
      </c>
      <c r="J1047">
        <v>0</v>
      </c>
      <c r="K1047" s="142" t="s">
        <v>1674</v>
      </c>
      <c r="L1047">
        <v>5.8999999999999997E-2</v>
      </c>
      <c r="M1047">
        <v>23</v>
      </c>
      <c r="N1047">
        <v>5.7742000000000002E-2</v>
      </c>
      <c r="O1047">
        <v>23.094999999999999</v>
      </c>
    </row>
    <row r="1048" spans="1:15" x14ac:dyDescent="0.25">
      <c r="A1048" s="142" t="s">
        <v>2718</v>
      </c>
      <c r="B1048" s="142" t="s">
        <v>52</v>
      </c>
      <c r="C1048" s="142" t="s">
        <v>2701</v>
      </c>
      <c r="D1048">
        <v>0</v>
      </c>
      <c r="E1048">
        <v>9.9999999999999995E-8</v>
      </c>
      <c r="F1048">
        <v>1E-8</v>
      </c>
      <c r="G1048" s="142" t="s">
        <v>13</v>
      </c>
      <c r="H1048" s="142" t="s">
        <v>65</v>
      </c>
      <c r="I1048">
        <v>0</v>
      </c>
      <c r="J1048">
        <v>0</v>
      </c>
      <c r="K1048" s="142" t="s">
        <v>1674</v>
      </c>
      <c r="L1048">
        <v>5.7737999999999996</v>
      </c>
      <c r="M1048">
        <v>700.5</v>
      </c>
      <c r="N1048">
        <v>5.7736999999999998</v>
      </c>
      <c r="O1048">
        <v>287.61</v>
      </c>
    </row>
    <row r="1049" spans="1:15" x14ac:dyDescent="0.25">
      <c r="A1049" s="142" t="s">
        <v>2719</v>
      </c>
      <c r="B1049" s="142" t="s">
        <v>52</v>
      </c>
      <c r="C1049" s="142" t="s">
        <v>2701</v>
      </c>
      <c r="D1049">
        <v>9.9999999999999995E-8</v>
      </c>
      <c r="E1049">
        <v>9.9999999999999995E-7</v>
      </c>
      <c r="F1049">
        <v>1E-8</v>
      </c>
      <c r="G1049" s="142" t="s">
        <v>13</v>
      </c>
      <c r="H1049" s="142" t="s">
        <v>65</v>
      </c>
      <c r="I1049">
        <v>0</v>
      </c>
      <c r="J1049">
        <v>0</v>
      </c>
      <c r="K1049" s="142" t="s">
        <v>1674</v>
      </c>
      <c r="L1049">
        <v>5.7737999999999996</v>
      </c>
      <c r="M1049">
        <v>236.31</v>
      </c>
      <c r="N1049">
        <v>5.7736999999999998</v>
      </c>
      <c r="O1049">
        <v>236.31</v>
      </c>
    </row>
    <row r="1050" spans="1:15" x14ac:dyDescent="0.25">
      <c r="A1050" s="142" t="s">
        <v>2720</v>
      </c>
      <c r="B1050" s="142" t="s">
        <v>52</v>
      </c>
      <c r="C1050" s="142" t="s">
        <v>2701</v>
      </c>
      <c r="D1050">
        <v>9.9999999999999995E-7</v>
      </c>
      <c r="E1050">
        <v>1.0000000000000001E-5</v>
      </c>
      <c r="F1050">
        <v>1E-8</v>
      </c>
      <c r="G1050" s="142" t="s">
        <v>13</v>
      </c>
      <c r="H1050" s="142" t="s">
        <v>65</v>
      </c>
      <c r="I1050">
        <v>0</v>
      </c>
      <c r="J1050">
        <v>0</v>
      </c>
      <c r="K1050" s="142" t="s">
        <v>1674</v>
      </c>
      <c r="L1050">
        <v>5.7743000000000002</v>
      </c>
      <c r="M1050">
        <v>972.26</v>
      </c>
      <c r="N1050">
        <v>5.7742000000000004</v>
      </c>
      <c r="O1050">
        <v>972.27</v>
      </c>
    </row>
    <row r="1051" spans="1:15" x14ac:dyDescent="0.25">
      <c r="A1051" s="142" t="s">
        <v>2721</v>
      </c>
      <c r="B1051" s="142" t="s">
        <v>52</v>
      </c>
      <c r="C1051" s="142" t="s">
        <v>2701</v>
      </c>
      <c r="D1051">
        <v>1.0000000000000001E-5</v>
      </c>
      <c r="E1051">
        <v>1E-4</v>
      </c>
      <c r="F1051">
        <v>1E-8</v>
      </c>
      <c r="G1051" s="142" t="s">
        <v>13</v>
      </c>
      <c r="H1051" s="142" t="s">
        <v>65</v>
      </c>
      <c r="I1051">
        <v>0</v>
      </c>
      <c r="J1051">
        <v>0</v>
      </c>
      <c r="K1051" s="142" t="s">
        <v>1674</v>
      </c>
      <c r="L1051">
        <v>5.7313000000000001</v>
      </c>
      <c r="M1051">
        <v>5256.1</v>
      </c>
      <c r="N1051">
        <v>5.7302999999999997</v>
      </c>
      <c r="O1051">
        <v>5230.8999999999996</v>
      </c>
    </row>
    <row r="1052" spans="1:15" x14ac:dyDescent="0.25">
      <c r="A1052" s="142" t="s">
        <v>2722</v>
      </c>
      <c r="B1052" s="142" t="s">
        <v>52</v>
      </c>
      <c r="C1052" s="142" t="s">
        <v>2701</v>
      </c>
      <c r="D1052">
        <v>1E-4</v>
      </c>
      <c r="E1052">
        <v>1E-3</v>
      </c>
      <c r="F1052">
        <v>1E-8</v>
      </c>
      <c r="G1052" s="142" t="s">
        <v>13</v>
      </c>
      <c r="H1052" s="142" t="s">
        <v>65</v>
      </c>
      <c r="I1052">
        <v>0</v>
      </c>
      <c r="J1052">
        <v>0</v>
      </c>
      <c r="K1052" s="142" t="s">
        <v>1674</v>
      </c>
      <c r="L1052">
        <v>5.9</v>
      </c>
      <c r="M1052">
        <v>23000</v>
      </c>
      <c r="N1052">
        <v>5.7964000000000002</v>
      </c>
      <c r="O1052">
        <v>23079</v>
      </c>
    </row>
    <row r="1053" spans="1:15" x14ac:dyDescent="0.25">
      <c r="A1053" s="142" t="s">
        <v>2723</v>
      </c>
      <c r="B1053" s="142" t="s">
        <v>52</v>
      </c>
      <c r="C1053" s="142" t="s">
        <v>2701</v>
      </c>
      <c r="D1053">
        <v>1E-3</v>
      </c>
      <c r="E1053">
        <v>0.01</v>
      </c>
      <c r="F1053">
        <v>1E-8</v>
      </c>
      <c r="G1053" s="142" t="s">
        <v>13</v>
      </c>
      <c r="H1053" s="142" t="s">
        <v>11</v>
      </c>
      <c r="I1053">
        <v>0</v>
      </c>
      <c r="J1053">
        <v>0</v>
      </c>
      <c r="K1053" s="142" t="s">
        <v>1674</v>
      </c>
      <c r="L1053">
        <v>5.8999999999999997E-2</v>
      </c>
      <c r="M1053">
        <v>23</v>
      </c>
      <c r="N1053">
        <v>5.7959999999999998E-2</v>
      </c>
      <c r="O1053">
        <v>23.079000000000001</v>
      </c>
    </row>
    <row r="1054" spans="1:15" x14ac:dyDescent="0.25">
      <c r="A1054" s="142" t="s">
        <v>2724</v>
      </c>
      <c r="B1054" s="142" t="s">
        <v>52</v>
      </c>
      <c r="C1054" s="142" t="s">
        <v>2701</v>
      </c>
      <c r="D1054">
        <v>0.01</v>
      </c>
      <c r="E1054">
        <v>0.1</v>
      </c>
      <c r="F1054">
        <v>1E-8</v>
      </c>
      <c r="G1054" s="142" t="s">
        <v>13</v>
      </c>
      <c r="H1054" s="142" t="s">
        <v>11</v>
      </c>
      <c r="I1054">
        <v>0</v>
      </c>
      <c r="J1054">
        <v>0</v>
      </c>
      <c r="K1054" s="142" t="s">
        <v>1674</v>
      </c>
      <c r="L1054">
        <v>0.63</v>
      </c>
      <c r="M1054">
        <v>40</v>
      </c>
      <c r="N1054">
        <v>0.57733999999999996</v>
      </c>
      <c r="O1054">
        <v>40.418999999999997</v>
      </c>
    </row>
    <row r="1055" spans="1:15" x14ac:dyDescent="0.25">
      <c r="A1055" s="142" t="s">
        <v>2725</v>
      </c>
      <c r="B1055" s="142" t="s">
        <v>52</v>
      </c>
      <c r="C1055" s="142" t="s">
        <v>2701</v>
      </c>
      <c r="D1055">
        <v>0</v>
      </c>
      <c r="E1055">
        <v>9.9999999999999995E-8</v>
      </c>
      <c r="F1055">
        <v>9.9999999999999995E-8</v>
      </c>
      <c r="G1055" s="142" t="s">
        <v>13</v>
      </c>
      <c r="H1055" s="142" t="s">
        <v>65</v>
      </c>
      <c r="I1055">
        <v>0</v>
      </c>
      <c r="J1055">
        <v>0</v>
      </c>
      <c r="K1055" s="142" t="s">
        <v>1674</v>
      </c>
      <c r="L1055">
        <v>57.735999999999997</v>
      </c>
      <c r="M1055">
        <v>193.92</v>
      </c>
      <c r="N1055">
        <v>57.735999999999997</v>
      </c>
      <c r="O1055">
        <v>28.762</v>
      </c>
    </row>
    <row r="1056" spans="1:15" x14ac:dyDescent="0.25">
      <c r="A1056" s="142" t="s">
        <v>2726</v>
      </c>
      <c r="B1056" s="142" t="s">
        <v>52</v>
      </c>
      <c r="C1056" s="142" t="s">
        <v>2701</v>
      </c>
      <c r="D1056">
        <v>9.9999999999999995E-8</v>
      </c>
      <c r="E1056">
        <v>9.9999999999999995E-7</v>
      </c>
      <c r="F1056">
        <v>9.9999999999999995E-8</v>
      </c>
      <c r="G1056" s="142" t="s">
        <v>13</v>
      </c>
      <c r="H1056" s="142" t="s">
        <v>65</v>
      </c>
      <c r="I1056">
        <v>0</v>
      </c>
      <c r="J1056">
        <v>0</v>
      </c>
      <c r="K1056" s="142" t="s">
        <v>1674</v>
      </c>
      <c r="L1056">
        <v>57.735999999999997</v>
      </c>
      <c r="M1056">
        <v>23.632000000000001</v>
      </c>
      <c r="N1056">
        <v>57.735999999999997</v>
      </c>
      <c r="O1056">
        <v>23.632000000000001</v>
      </c>
    </row>
    <row r="1057" spans="1:15" x14ac:dyDescent="0.25">
      <c r="A1057" s="142" t="s">
        <v>2727</v>
      </c>
      <c r="B1057" s="142" t="s">
        <v>52</v>
      </c>
      <c r="C1057" s="142" t="s">
        <v>2701</v>
      </c>
      <c r="D1057">
        <v>9.9999999999999995E-7</v>
      </c>
      <c r="E1057">
        <v>1.0000000000000001E-5</v>
      </c>
      <c r="F1057">
        <v>9.9999999999999995E-8</v>
      </c>
      <c r="G1057" s="142" t="s">
        <v>13</v>
      </c>
      <c r="H1057" s="142" t="s">
        <v>65</v>
      </c>
      <c r="I1057">
        <v>0</v>
      </c>
      <c r="J1057">
        <v>0</v>
      </c>
      <c r="K1057" s="142" t="s">
        <v>1674</v>
      </c>
      <c r="L1057">
        <v>57.735999999999997</v>
      </c>
      <c r="M1057">
        <v>97.328000000000003</v>
      </c>
      <c r="N1057">
        <v>57.734999999999999</v>
      </c>
      <c r="O1057">
        <v>97.328000000000003</v>
      </c>
    </row>
    <row r="1058" spans="1:15" x14ac:dyDescent="0.25">
      <c r="A1058" s="142" t="s">
        <v>2728</v>
      </c>
      <c r="B1058" s="142" t="s">
        <v>52</v>
      </c>
      <c r="C1058" s="142" t="s">
        <v>2701</v>
      </c>
      <c r="D1058">
        <v>1.0000000000000001E-5</v>
      </c>
      <c r="E1058">
        <v>1E-4</v>
      </c>
      <c r="F1058">
        <v>9.9999999999999995E-8</v>
      </c>
      <c r="G1058" s="142" t="s">
        <v>13</v>
      </c>
      <c r="H1058" s="142" t="s">
        <v>65</v>
      </c>
      <c r="I1058">
        <v>0</v>
      </c>
      <c r="J1058">
        <v>0</v>
      </c>
      <c r="K1058" s="142" t="s">
        <v>1674</v>
      </c>
      <c r="L1058">
        <v>57.731000000000002</v>
      </c>
      <c r="M1058">
        <v>556.33000000000004</v>
      </c>
      <c r="N1058">
        <v>57.731000000000002</v>
      </c>
      <c r="O1058">
        <v>544.99</v>
      </c>
    </row>
    <row r="1059" spans="1:15" x14ac:dyDescent="0.25">
      <c r="A1059" s="142" t="s">
        <v>2729</v>
      </c>
      <c r="B1059" s="142" t="s">
        <v>52</v>
      </c>
      <c r="C1059" s="142" t="s">
        <v>2701</v>
      </c>
      <c r="D1059">
        <v>1E-4</v>
      </c>
      <c r="E1059">
        <v>1E-3</v>
      </c>
      <c r="F1059">
        <v>9.9999999999999995E-8</v>
      </c>
      <c r="G1059" s="142" t="s">
        <v>13</v>
      </c>
      <c r="H1059" s="142" t="s">
        <v>65</v>
      </c>
      <c r="I1059">
        <v>0</v>
      </c>
      <c r="J1059">
        <v>0</v>
      </c>
      <c r="K1059" s="142" t="s">
        <v>1674</v>
      </c>
      <c r="L1059">
        <v>7.7694999999999999</v>
      </c>
      <c r="M1059">
        <v>21683</v>
      </c>
      <c r="N1059">
        <v>7.7663000000000002</v>
      </c>
      <c r="O1059">
        <v>21675</v>
      </c>
    </row>
    <row r="1060" spans="1:15" x14ac:dyDescent="0.25">
      <c r="A1060" s="142" t="s">
        <v>2730</v>
      </c>
      <c r="B1060" s="142" t="s">
        <v>52</v>
      </c>
      <c r="C1060" s="142" t="s">
        <v>2701</v>
      </c>
      <c r="D1060">
        <v>1E-3</v>
      </c>
      <c r="E1060">
        <v>0.01</v>
      </c>
      <c r="F1060">
        <v>9.9999999999999995E-8</v>
      </c>
      <c r="G1060" s="142" t="s">
        <v>13</v>
      </c>
      <c r="H1060" s="142" t="s">
        <v>11</v>
      </c>
      <c r="I1060">
        <v>0</v>
      </c>
      <c r="J1060">
        <v>0</v>
      </c>
      <c r="K1060" s="142" t="s">
        <v>1674</v>
      </c>
      <c r="L1060">
        <v>7.7697000000000002E-2</v>
      </c>
      <c r="M1060">
        <v>21.681999999999999</v>
      </c>
      <c r="N1060">
        <v>7.7659000000000006E-2</v>
      </c>
      <c r="O1060">
        <v>21.675000000000001</v>
      </c>
    </row>
    <row r="1061" spans="1:15" x14ac:dyDescent="0.25">
      <c r="A1061" s="142" t="s">
        <v>2731</v>
      </c>
      <c r="B1061" s="142" t="s">
        <v>52</v>
      </c>
      <c r="C1061" s="142" t="s">
        <v>2701</v>
      </c>
      <c r="D1061">
        <v>0.01</v>
      </c>
      <c r="E1061">
        <v>0.1</v>
      </c>
      <c r="F1061">
        <v>9.9999999999999995E-8</v>
      </c>
      <c r="G1061" s="142" t="s">
        <v>13</v>
      </c>
      <c r="H1061" s="142" t="s">
        <v>11</v>
      </c>
      <c r="I1061">
        <v>0</v>
      </c>
      <c r="J1061">
        <v>0</v>
      </c>
      <c r="K1061" s="142" t="s">
        <v>1674</v>
      </c>
      <c r="L1061">
        <v>0.63</v>
      </c>
      <c r="M1061">
        <v>40</v>
      </c>
      <c r="N1061">
        <v>0.57918000000000003</v>
      </c>
      <c r="O1061">
        <v>40.404000000000003</v>
      </c>
    </row>
    <row r="1062" spans="1:15" x14ac:dyDescent="0.25">
      <c r="A1062" s="142" t="s">
        <v>2732</v>
      </c>
      <c r="B1062" s="142" t="s">
        <v>52</v>
      </c>
      <c r="C1062" s="142" t="s">
        <v>2701</v>
      </c>
      <c r="D1062">
        <v>0.1</v>
      </c>
      <c r="E1062">
        <v>1</v>
      </c>
      <c r="F1062">
        <v>9.9999999999999995E-8</v>
      </c>
      <c r="G1062" s="142" t="s">
        <v>13</v>
      </c>
      <c r="H1062" s="142" t="s">
        <v>11</v>
      </c>
      <c r="I1062">
        <v>0</v>
      </c>
      <c r="J1062">
        <v>0</v>
      </c>
      <c r="K1062" s="142" t="s">
        <v>1674</v>
      </c>
      <c r="L1062">
        <v>12</v>
      </c>
      <c r="M1062">
        <v>130</v>
      </c>
      <c r="N1062">
        <v>11.551</v>
      </c>
      <c r="O1062">
        <v>127.02</v>
      </c>
    </row>
    <row r="1063" spans="1:15" x14ac:dyDescent="0.25">
      <c r="A1063" s="142" t="s">
        <v>2733</v>
      </c>
      <c r="B1063" s="142" t="s">
        <v>52</v>
      </c>
      <c r="C1063" s="142" t="s">
        <v>2701</v>
      </c>
      <c r="D1063">
        <v>1.0000000000000001E-5</v>
      </c>
      <c r="E1063">
        <v>1E-4</v>
      </c>
      <c r="F1063">
        <v>9.9999999999999995E-7</v>
      </c>
      <c r="G1063" s="142" t="s">
        <v>13</v>
      </c>
      <c r="H1063" s="142" t="s">
        <v>65</v>
      </c>
      <c r="I1063">
        <v>0</v>
      </c>
      <c r="J1063">
        <v>0</v>
      </c>
      <c r="K1063" s="142" t="s">
        <v>1674</v>
      </c>
      <c r="L1063">
        <v>577.35</v>
      </c>
      <c r="M1063">
        <v>59.064999999999998</v>
      </c>
      <c r="N1063">
        <v>577.35</v>
      </c>
      <c r="O1063">
        <v>54.523000000000003</v>
      </c>
    </row>
    <row r="1064" spans="1:15" x14ac:dyDescent="0.25">
      <c r="A1064" s="142" t="s">
        <v>2734</v>
      </c>
      <c r="B1064" s="142" t="s">
        <v>52</v>
      </c>
      <c r="C1064" s="142" t="s">
        <v>2701</v>
      </c>
      <c r="D1064">
        <v>1E-4</v>
      </c>
      <c r="E1064">
        <v>1E-3</v>
      </c>
      <c r="F1064">
        <v>9.9999999999999995E-7</v>
      </c>
      <c r="G1064" s="142" t="s">
        <v>13</v>
      </c>
      <c r="H1064" s="142" t="s">
        <v>65</v>
      </c>
      <c r="I1064">
        <v>0</v>
      </c>
      <c r="J1064">
        <v>0</v>
      </c>
      <c r="K1064" s="142" t="s">
        <v>1674</v>
      </c>
      <c r="L1064">
        <v>57.604999999999997</v>
      </c>
      <c r="M1064">
        <v>6966</v>
      </c>
      <c r="N1064">
        <v>57.603999999999999</v>
      </c>
      <c r="O1064">
        <v>6947.2</v>
      </c>
    </row>
    <row r="1065" spans="1:15" x14ac:dyDescent="0.25">
      <c r="A1065" s="142" t="s">
        <v>2735</v>
      </c>
      <c r="B1065" s="142" t="s">
        <v>52</v>
      </c>
      <c r="C1065" s="142" t="s">
        <v>2701</v>
      </c>
      <c r="D1065">
        <v>1E-3</v>
      </c>
      <c r="E1065">
        <v>0.01</v>
      </c>
      <c r="F1065">
        <v>9.9999999999999995E-7</v>
      </c>
      <c r="G1065" s="142" t="s">
        <v>13</v>
      </c>
      <c r="H1065" s="142" t="s">
        <v>11</v>
      </c>
      <c r="I1065">
        <v>0</v>
      </c>
      <c r="J1065">
        <v>0</v>
      </c>
      <c r="K1065" s="142" t="s">
        <v>1674</v>
      </c>
      <c r="L1065">
        <v>0.57604999999999995</v>
      </c>
      <c r="M1065">
        <v>6.9657</v>
      </c>
      <c r="N1065">
        <v>0.57604</v>
      </c>
      <c r="O1065">
        <v>6.9470000000000001</v>
      </c>
    </row>
    <row r="1066" spans="1:15" x14ac:dyDescent="0.25">
      <c r="A1066" s="142" t="s">
        <v>2736</v>
      </c>
      <c r="B1066" s="142" t="s">
        <v>52</v>
      </c>
      <c r="C1066" s="142" t="s">
        <v>2701</v>
      </c>
      <c r="D1066">
        <v>0.01</v>
      </c>
      <c r="E1066">
        <v>0.1</v>
      </c>
      <c r="F1066">
        <v>9.9999999999999995E-7</v>
      </c>
      <c r="G1066" s="142" t="s">
        <v>13</v>
      </c>
      <c r="H1066" s="142" t="s">
        <v>11</v>
      </c>
      <c r="I1066">
        <v>0</v>
      </c>
      <c r="J1066">
        <v>0</v>
      </c>
      <c r="K1066" s="142" t="s">
        <v>1674</v>
      </c>
      <c r="L1066">
        <v>0.75634000000000001</v>
      </c>
      <c r="M1066">
        <v>39.036000000000001</v>
      </c>
      <c r="N1066">
        <v>0.74804000000000004</v>
      </c>
      <c r="O1066">
        <v>39.070999999999998</v>
      </c>
    </row>
    <row r="1067" spans="1:15" x14ac:dyDescent="0.25">
      <c r="A1067" s="142" t="s">
        <v>2737</v>
      </c>
      <c r="B1067" s="142" t="s">
        <v>52</v>
      </c>
      <c r="C1067" s="142" t="s">
        <v>2701</v>
      </c>
      <c r="D1067">
        <v>0.1</v>
      </c>
      <c r="E1067">
        <v>1</v>
      </c>
      <c r="F1067">
        <v>9.9999999999999995E-7</v>
      </c>
      <c r="G1067" s="142" t="s">
        <v>13</v>
      </c>
      <c r="H1067" s="142" t="s">
        <v>11</v>
      </c>
      <c r="I1067">
        <v>0</v>
      </c>
      <c r="J1067">
        <v>0</v>
      </c>
      <c r="K1067" s="142" t="s">
        <v>1674</v>
      </c>
      <c r="L1067">
        <v>12</v>
      </c>
      <c r="M1067">
        <v>130</v>
      </c>
      <c r="N1067">
        <v>11.554</v>
      </c>
      <c r="O1067">
        <v>127.02</v>
      </c>
    </row>
    <row r="1068" spans="1:15" x14ac:dyDescent="0.25">
      <c r="A1068" s="142" t="s">
        <v>2738</v>
      </c>
      <c r="B1068" s="142" t="s">
        <v>52</v>
      </c>
      <c r="C1068" s="142" t="s">
        <v>2701</v>
      </c>
      <c r="D1068">
        <v>1E-4</v>
      </c>
      <c r="E1068">
        <v>1E-3</v>
      </c>
      <c r="F1068">
        <v>1.0000000000000001E-5</v>
      </c>
      <c r="G1068" s="142" t="s">
        <v>13</v>
      </c>
      <c r="H1068" s="142" t="s">
        <v>65</v>
      </c>
      <c r="I1068">
        <v>0</v>
      </c>
      <c r="J1068">
        <v>0</v>
      </c>
      <c r="K1068" s="142" t="s">
        <v>1674</v>
      </c>
      <c r="L1068">
        <v>577.34</v>
      </c>
      <c r="M1068">
        <v>747.12</v>
      </c>
      <c r="N1068">
        <v>577.34</v>
      </c>
      <c r="O1068">
        <v>738.62</v>
      </c>
    </row>
    <row r="1069" spans="1:15" x14ac:dyDescent="0.25">
      <c r="A1069" s="142" t="s">
        <v>2739</v>
      </c>
      <c r="B1069" s="142" t="s">
        <v>52</v>
      </c>
      <c r="C1069" s="142" t="s">
        <v>2701</v>
      </c>
      <c r="D1069">
        <v>1E-3</v>
      </c>
      <c r="E1069">
        <v>0.01</v>
      </c>
      <c r="F1069">
        <v>1.0000000000000001E-5</v>
      </c>
      <c r="G1069" s="142" t="s">
        <v>13</v>
      </c>
      <c r="H1069" s="142" t="s">
        <v>11</v>
      </c>
      <c r="I1069">
        <v>0</v>
      </c>
      <c r="J1069">
        <v>0</v>
      </c>
      <c r="K1069" s="142" t="s">
        <v>1674</v>
      </c>
      <c r="L1069">
        <v>5.7733999999999996</v>
      </c>
      <c r="M1069">
        <v>0.74709999999999999</v>
      </c>
      <c r="N1069">
        <v>5.7733999999999996</v>
      </c>
      <c r="O1069">
        <v>0.73860000000000003</v>
      </c>
    </row>
    <row r="1070" spans="1:15" x14ac:dyDescent="0.25">
      <c r="A1070" s="142" t="s">
        <v>2740</v>
      </c>
      <c r="B1070" s="142" t="s">
        <v>52</v>
      </c>
      <c r="C1070" s="142" t="s">
        <v>2701</v>
      </c>
      <c r="D1070">
        <v>0.01</v>
      </c>
      <c r="E1070">
        <v>0.1</v>
      </c>
      <c r="F1070">
        <v>1.0000000000000001E-5</v>
      </c>
      <c r="G1070" s="142" t="s">
        <v>13</v>
      </c>
      <c r="H1070" s="142" t="s">
        <v>11</v>
      </c>
      <c r="I1070">
        <v>0</v>
      </c>
      <c r="J1070">
        <v>0</v>
      </c>
      <c r="K1070" s="142" t="s">
        <v>1674</v>
      </c>
      <c r="L1070">
        <v>5.6910999999999996</v>
      </c>
      <c r="M1070">
        <v>17.148</v>
      </c>
      <c r="N1070">
        <v>5.6856</v>
      </c>
      <c r="O1070">
        <v>17.084</v>
      </c>
    </row>
    <row r="1071" spans="1:15" x14ac:dyDescent="0.25">
      <c r="A1071" s="142" t="s">
        <v>2741</v>
      </c>
      <c r="B1071" s="142" t="s">
        <v>52</v>
      </c>
      <c r="C1071" s="142" t="s">
        <v>2701</v>
      </c>
      <c r="D1071">
        <v>0.1</v>
      </c>
      <c r="E1071">
        <v>1</v>
      </c>
      <c r="F1071">
        <v>1.0000000000000001E-5</v>
      </c>
      <c r="G1071" s="142" t="s">
        <v>13</v>
      </c>
      <c r="H1071" s="142" t="s">
        <v>11</v>
      </c>
      <c r="I1071">
        <v>0</v>
      </c>
      <c r="J1071">
        <v>0</v>
      </c>
      <c r="K1071" s="142" t="s">
        <v>1674</v>
      </c>
      <c r="L1071">
        <v>12</v>
      </c>
      <c r="M1071">
        <v>130</v>
      </c>
      <c r="N1071">
        <v>12.286</v>
      </c>
      <c r="O1071">
        <v>126.41</v>
      </c>
    </row>
    <row r="1072" spans="1:15" x14ac:dyDescent="0.25">
      <c r="A1072" s="142" t="s">
        <v>2742</v>
      </c>
      <c r="B1072" s="142" t="s">
        <v>52</v>
      </c>
      <c r="C1072" s="142" t="s">
        <v>2701</v>
      </c>
      <c r="D1072">
        <v>1</v>
      </c>
      <c r="E1072">
        <v>20</v>
      </c>
      <c r="F1072">
        <v>1.0000000000000001E-5</v>
      </c>
      <c r="G1072" s="142" t="s">
        <v>13</v>
      </c>
      <c r="H1072" s="142" t="s">
        <v>12</v>
      </c>
      <c r="I1072">
        <v>0</v>
      </c>
      <c r="J1072">
        <v>0</v>
      </c>
      <c r="K1072" s="142" t="s">
        <v>1674</v>
      </c>
      <c r="L1072">
        <v>0.11</v>
      </c>
      <c r="M1072">
        <v>5.2999999999999999E-2</v>
      </c>
      <c r="N1072">
        <v>9.8000000000000004E-2</v>
      </c>
      <c r="O1072">
        <v>5.3365999999999997E-2</v>
      </c>
    </row>
    <row r="1073" spans="1:15" x14ac:dyDescent="0.25">
      <c r="A1073" s="142" t="s">
        <v>2743</v>
      </c>
      <c r="B1073" s="142" t="s">
        <v>52</v>
      </c>
      <c r="C1073" s="142" t="s">
        <v>2701</v>
      </c>
      <c r="D1073">
        <v>1E-4</v>
      </c>
      <c r="E1073">
        <v>1E-3</v>
      </c>
      <c r="F1073">
        <v>1E-4</v>
      </c>
      <c r="G1073" s="142" t="s">
        <v>13</v>
      </c>
      <c r="H1073" s="142" t="s">
        <v>65</v>
      </c>
      <c r="I1073">
        <v>0</v>
      </c>
      <c r="J1073">
        <v>0</v>
      </c>
      <c r="K1073" s="142" t="s">
        <v>1674</v>
      </c>
      <c r="L1073">
        <v>5773.6</v>
      </c>
      <c r="M1073">
        <v>77.317999999999998</v>
      </c>
      <c r="N1073">
        <v>5773.5</v>
      </c>
      <c r="O1073">
        <v>73.911000000000001</v>
      </c>
    </row>
    <row r="1074" spans="1:15" x14ac:dyDescent="0.25">
      <c r="A1074" s="142" t="s">
        <v>2744</v>
      </c>
      <c r="B1074" s="142" t="s">
        <v>52</v>
      </c>
      <c r="C1074" s="142" t="s">
        <v>2701</v>
      </c>
      <c r="D1074">
        <v>1E-3</v>
      </c>
      <c r="E1074">
        <v>0.01</v>
      </c>
      <c r="F1074">
        <v>1E-4</v>
      </c>
      <c r="G1074" s="142" t="s">
        <v>13</v>
      </c>
      <c r="H1074" s="142" t="s">
        <v>11</v>
      </c>
      <c r="I1074">
        <v>0</v>
      </c>
      <c r="J1074">
        <v>0</v>
      </c>
      <c r="K1074" s="142" t="s">
        <v>1674</v>
      </c>
      <c r="L1074">
        <v>57.735999999999997</v>
      </c>
      <c r="M1074">
        <v>7.7314999999999995E-2</v>
      </c>
      <c r="N1074">
        <v>57.734999999999999</v>
      </c>
      <c r="O1074">
        <v>7.3909000000000002E-2</v>
      </c>
    </row>
    <row r="1075" spans="1:15" x14ac:dyDescent="0.25">
      <c r="A1075" s="142" t="s">
        <v>2745</v>
      </c>
      <c r="B1075" s="142" t="s">
        <v>52</v>
      </c>
      <c r="C1075" s="142" t="s">
        <v>2701</v>
      </c>
      <c r="D1075">
        <v>0.01</v>
      </c>
      <c r="E1075">
        <v>0.1</v>
      </c>
      <c r="F1075">
        <v>1E-4</v>
      </c>
      <c r="G1075" s="142" t="s">
        <v>13</v>
      </c>
      <c r="H1075" s="142" t="s">
        <v>11</v>
      </c>
      <c r="I1075">
        <v>0</v>
      </c>
      <c r="J1075">
        <v>0</v>
      </c>
      <c r="K1075" s="142" t="s">
        <v>1674</v>
      </c>
      <c r="L1075">
        <v>57.725999999999999</v>
      </c>
      <c r="M1075">
        <v>1.9971000000000001</v>
      </c>
      <c r="N1075">
        <v>57.723999999999997</v>
      </c>
      <c r="O1075">
        <v>1.9572000000000001</v>
      </c>
    </row>
    <row r="1076" spans="1:15" x14ac:dyDescent="0.25">
      <c r="A1076" s="142" t="s">
        <v>2746</v>
      </c>
      <c r="B1076" s="142" t="s">
        <v>52</v>
      </c>
      <c r="C1076" s="142" t="s">
        <v>2701</v>
      </c>
      <c r="D1076">
        <v>0.1</v>
      </c>
      <c r="E1076">
        <v>1</v>
      </c>
      <c r="F1076">
        <v>1E-4</v>
      </c>
      <c r="G1076" s="142" t="s">
        <v>13</v>
      </c>
      <c r="H1076" s="142" t="s">
        <v>11</v>
      </c>
      <c r="I1076">
        <v>0</v>
      </c>
      <c r="J1076">
        <v>0</v>
      </c>
      <c r="K1076" s="142" t="s">
        <v>1674</v>
      </c>
      <c r="L1076">
        <v>52.963999999999999</v>
      </c>
      <c r="M1076">
        <v>97.156000000000006</v>
      </c>
      <c r="N1076">
        <v>52.899000000000001</v>
      </c>
      <c r="O1076">
        <v>97.218999999999994</v>
      </c>
    </row>
    <row r="1077" spans="1:15" x14ac:dyDescent="0.25">
      <c r="A1077" s="142" t="s">
        <v>2747</v>
      </c>
      <c r="B1077" s="142" t="s">
        <v>52</v>
      </c>
      <c r="C1077" s="142" t="s">
        <v>2701</v>
      </c>
      <c r="D1077">
        <v>1</v>
      </c>
      <c r="E1077">
        <v>20</v>
      </c>
      <c r="F1077">
        <v>1E-4</v>
      </c>
      <c r="G1077" s="142" t="s">
        <v>13</v>
      </c>
      <c r="H1077" s="142" t="s">
        <v>12</v>
      </c>
      <c r="I1077">
        <v>0</v>
      </c>
      <c r="J1077">
        <v>0</v>
      </c>
      <c r="K1077" s="142" t="s">
        <v>1674</v>
      </c>
      <c r="L1077">
        <v>0.11</v>
      </c>
      <c r="M1077">
        <v>5.2646999999999999E-2</v>
      </c>
      <c r="N1077">
        <v>0.10928</v>
      </c>
      <c r="O1077">
        <v>5.2644999999999997E-2</v>
      </c>
    </row>
    <row r="1078" spans="1:15" x14ac:dyDescent="0.25">
      <c r="A1078" s="142" t="s">
        <v>2748</v>
      </c>
      <c r="B1078" s="142" t="s">
        <v>52</v>
      </c>
      <c r="C1078" s="142" t="s">
        <v>2701</v>
      </c>
      <c r="D1078">
        <v>0.01</v>
      </c>
      <c r="E1078">
        <v>0.1</v>
      </c>
      <c r="F1078">
        <v>1E-3</v>
      </c>
      <c r="G1078" s="142" t="s">
        <v>13</v>
      </c>
      <c r="H1078" s="142" t="s">
        <v>11</v>
      </c>
      <c r="I1078">
        <v>0</v>
      </c>
      <c r="J1078">
        <v>0</v>
      </c>
      <c r="K1078" s="142" t="s">
        <v>1674</v>
      </c>
      <c r="L1078">
        <v>577.35</v>
      </c>
      <c r="M1078">
        <v>0.21209</v>
      </c>
      <c r="N1078">
        <v>577.34</v>
      </c>
      <c r="O1078">
        <v>0.19603999999999999</v>
      </c>
    </row>
    <row r="1079" spans="1:15" x14ac:dyDescent="0.25">
      <c r="A1079" s="142" t="s">
        <v>2749</v>
      </c>
      <c r="B1079" s="142" t="s">
        <v>52</v>
      </c>
      <c r="C1079" s="142" t="s">
        <v>2701</v>
      </c>
      <c r="D1079">
        <v>0.1</v>
      </c>
      <c r="E1079">
        <v>1</v>
      </c>
      <c r="F1079">
        <v>1E-3</v>
      </c>
      <c r="G1079" s="142" t="s">
        <v>13</v>
      </c>
      <c r="H1079" s="142" t="s">
        <v>11</v>
      </c>
      <c r="I1079">
        <v>0</v>
      </c>
      <c r="J1079">
        <v>0</v>
      </c>
      <c r="K1079" s="142" t="s">
        <v>1674</v>
      </c>
      <c r="L1079">
        <v>576.13</v>
      </c>
      <c r="M1079">
        <v>17.626999999999999</v>
      </c>
      <c r="N1079">
        <v>576.1</v>
      </c>
      <c r="O1079">
        <v>17.652999999999999</v>
      </c>
    </row>
    <row r="1080" spans="1:15" x14ac:dyDescent="0.25">
      <c r="A1080" s="142" t="s">
        <v>2750</v>
      </c>
      <c r="B1080" s="142" t="s">
        <v>52</v>
      </c>
      <c r="C1080" s="142" t="s">
        <v>2701</v>
      </c>
      <c r="D1080">
        <v>1</v>
      </c>
      <c r="E1080">
        <v>20</v>
      </c>
      <c r="F1080">
        <v>1E-3</v>
      </c>
      <c r="G1080" s="142" t="s">
        <v>13</v>
      </c>
      <c r="H1080" s="142" t="s">
        <v>12</v>
      </c>
      <c r="I1080">
        <v>0</v>
      </c>
      <c r="J1080">
        <v>0</v>
      </c>
      <c r="K1080" s="142" t="s">
        <v>1674</v>
      </c>
      <c r="L1080">
        <v>0.55091000000000001</v>
      </c>
      <c r="M1080">
        <v>3.5254000000000001E-2</v>
      </c>
      <c r="N1080">
        <v>0.55088000000000004</v>
      </c>
      <c r="O1080">
        <v>3.5242000000000002E-2</v>
      </c>
    </row>
    <row r="1081" spans="1:15" x14ac:dyDescent="0.25">
      <c r="A1081" s="142" t="s">
        <v>2751</v>
      </c>
      <c r="B1081" s="142" t="s">
        <v>52</v>
      </c>
      <c r="C1081" s="142" t="s">
        <v>2701</v>
      </c>
      <c r="D1081">
        <v>0.1</v>
      </c>
      <c r="E1081">
        <v>1</v>
      </c>
      <c r="F1081">
        <v>0.01</v>
      </c>
      <c r="G1081" s="142" t="s">
        <v>13</v>
      </c>
      <c r="H1081" s="142" t="s">
        <v>11</v>
      </c>
      <c r="I1081">
        <v>0</v>
      </c>
      <c r="J1081">
        <v>0</v>
      </c>
      <c r="K1081" s="142" t="s">
        <v>1674</v>
      </c>
      <c r="L1081">
        <v>5773.4</v>
      </c>
      <c r="M1081">
        <v>1.7804</v>
      </c>
      <c r="N1081">
        <v>5771.8</v>
      </c>
      <c r="O1081">
        <v>1.7908999999999999</v>
      </c>
    </row>
    <row r="1082" spans="1:15" x14ac:dyDescent="0.25">
      <c r="A1082" s="142" t="s">
        <v>2752</v>
      </c>
      <c r="B1082" s="142" t="s">
        <v>52</v>
      </c>
      <c r="C1082" s="142" t="s">
        <v>2701</v>
      </c>
      <c r="D1082">
        <v>1</v>
      </c>
      <c r="E1082">
        <v>20</v>
      </c>
      <c r="F1082">
        <v>0.01</v>
      </c>
      <c r="G1082" s="142" t="s">
        <v>13</v>
      </c>
      <c r="H1082" s="142" t="s">
        <v>12</v>
      </c>
      <c r="I1082">
        <v>0</v>
      </c>
      <c r="J1082">
        <v>0</v>
      </c>
      <c r="K1082" s="142" t="s">
        <v>1674</v>
      </c>
      <c r="L1082">
        <v>5.7689000000000004</v>
      </c>
      <c r="M1082">
        <v>5.5807000000000001E-3</v>
      </c>
      <c r="N1082">
        <v>5.7689000000000004</v>
      </c>
      <c r="O1082">
        <v>5.5694999999999998E-3</v>
      </c>
    </row>
    <row r="1083" spans="1:15" x14ac:dyDescent="0.25">
      <c r="A1083" s="142" t="s">
        <v>2753</v>
      </c>
      <c r="B1083" s="142" t="s">
        <v>52</v>
      </c>
      <c r="C1083" s="142" t="s">
        <v>2701</v>
      </c>
      <c r="D1083">
        <v>1</v>
      </c>
      <c r="E1083">
        <v>20</v>
      </c>
      <c r="F1083">
        <v>0.1</v>
      </c>
      <c r="G1083" s="142" t="s">
        <v>13</v>
      </c>
      <c r="H1083" s="142" t="s">
        <v>12</v>
      </c>
      <c r="I1083">
        <v>0</v>
      </c>
      <c r="J1083">
        <v>0</v>
      </c>
      <c r="K1083" s="142" t="s">
        <v>1674</v>
      </c>
      <c r="L1083">
        <v>57.734999999999999</v>
      </c>
      <c r="M1083">
        <v>5.6667000000000002E-4</v>
      </c>
      <c r="N1083">
        <v>57.734999999999999</v>
      </c>
      <c r="O1083">
        <v>5.6207999999999996E-4</v>
      </c>
    </row>
    <row r="1084" spans="1:15" x14ac:dyDescent="0.25">
      <c r="A1084" s="142" t="s">
        <v>2754</v>
      </c>
      <c r="B1084" s="142" t="s">
        <v>52</v>
      </c>
      <c r="C1084" s="142" t="s">
        <v>2701</v>
      </c>
      <c r="D1084">
        <v>1</v>
      </c>
      <c r="E1084">
        <v>20</v>
      </c>
      <c r="F1084">
        <v>1</v>
      </c>
      <c r="G1084" s="142" t="s">
        <v>13</v>
      </c>
      <c r="H1084" s="142" t="s">
        <v>12</v>
      </c>
      <c r="I1084">
        <v>0</v>
      </c>
      <c r="J1084">
        <v>0</v>
      </c>
      <c r="K1084" s="142" t="s">
        <v>1674</v>
      </c>
      <c r="L1084">
        <v>577.36</v>
      </c>
      <c r="M1084">
        <v>5.8050000000000002E-5</v>
      </c>
      <c r="N1084">
        <v>577.35</v>
      </c>
      <c r="O1084">
        <v>5.6214000000000001E-5</v>
      </c>
    </row>
    <row r="1085" spans="1:15" x14ac:dyDescent="0.25">
      <c r="A1085" s="142" t="s">
        <v>252</v>
      </c>
      <c r="B1085" s="142" t="s">
        <v>52</v>
      </c>
      <c r="C1085" s="142" t="s">
        <v>3</v>
      </c>
      <c r="D1085">
        <v>0.1</v>
      </c>
      <c r="E1085">
        <v>1</v>
      </c>
      <c r="F1085">
        <v>1E-8</v>
      </c>
      <c r="G1085" s="142" t="s">
        <v>6</v>
      </c>
      <c r="H1085" s="142" t="s">
        <v>5</v>
      </c>
      <c r="I1085">
        <v>0</v>
      </c>
      <c r="J1085">
        <v>0</v>
      </c>
      <c r="K1085" s="142" t="s">
        <v>1674</v>
      </c>
      <c r="L1085">
        <v>0.5</v>
      </c>
      <c r="M1085">
        <v>4.7</v>
      </c>
      <c r="N1085">
        <v>0.48166999999999999</v>
      </c>
      <c r="O1085">
        <v>4.7061999999999999</v>
      </c>
    </row>
    <row r="1086" spans="1:15" x14ac:dyDescent="0.25">
      <c r="A1086" s="142" t="s">
        <v>244</v>
      </c>
      <c r="B1086" s="142" t="s">
        <v>52</v>
      </c>
      <c r="C1086" s="142" t="s">
        <v>3</v>
      </c>
      <c r="D1086">
        <v>0</v>
      </c>
      <c r="E1086">
        <v>0.1</v>
      </c>
      <c r="F1086">
        <v>9.9999999999999995E-8</v>
      </c>
      <c r="G1086" s="142" t="s">
        <v>6</v>
      </c>
      <c r="H1086" s="142" t="s">
        <v>5</v>
      </c>
      <c r="I1086">
        <v>0</v>
      </c>
      <c r="J1086">
        <v>0</v>
      </c>
      <c r="K1086" s="142" t="s">
        <v>1674</v>
      </c>
      <c r="L1086">
        <v>0.62</v>
      </c>
      <c r="M1086">
        <v>4.4000000000000004</v>
      </c>
      <c r="N1086">
        <v>0.60997999999999997</v>
      </c>
      <c r="O1086">
        <v>4.4267000000000003</v>
      </c>
    </row>
    <row r="1087" spans="1:15" x14ac:dyDescent="0.25">
      <c r="A1087" s="142" t="s">
        <v>253</v>
      </c>
      <c r="B1087" s="142" t="s">
        <v>52</v>
      </c>
      <c r="C1087" s="142" t="s">
        <v>3</v>
      </c>
      <c r="D1087">
        <v>0.1</v>
      </c>
      <c r="E1087">
        <v>1</v>
      </c>
      <c r="F1087">
        <v>9.9999999999999995E-8</v>
      </c>
      <c r="G1087" s="142" t="s">
        <v>6</v>
      </c>
      <c r="H1087" s="142" t="s">
        <v>5</v>
      </c>
      <c r="I1087">
        <v>0</v>
      </c>
      <c r="J1087">
        <v>0</v>
      </c>
      <c r="K1087" s="142" t="s">
        <v>1674</v>
      </c>
      <c r="L1087">
        <v>0.5</v>
      </c>
      <c r="M1087">
        <v>4.7</v>
      </c>
      <c r="N1087">
        <v>0.48359999999999997</v>
      </c>
      <c r="O1087">
        <v>4.7046000000000001</v>
      </c>
    </row>
    <row r="1088" spans="1:15" x14ac:dyDescent="0.25">
      <c r="A1088" s="142" t="s">
        <v>256</v>
      </c>
      <c r="B1088" s="142" t="s">
        <v>52</v>
      </c>
      <c r="C1088" s="142" t="s">
        <v>3</v>
      </c>
      <c r="D1088">
        <v>1</v>
      </c>
      <c r="E1088">
        <v>10</v>
      </c>
      <c r="F1088">
        <v>9.9999999999999995E-8</v>
      </c>
      <c r="G1088" s="142" t="s">
        <v>6</v>
      </c>
      <c r="H1088" s="142" t="s">
        <v>5</v>
      </c>
      <c r="I1088">
        <v>0</v>
      </c>
      <c r="J1088">
        <v>0</v>
      </c>
      <c r="K1088" s="142" t="s">
        <v>1674</v>
      </c>
      <c r="L1088">
        <v>1.1000000000000001</v>
      </c>
      <c r="M1088">
        <v>4.5999999999999996</v>
      </c>
      <c r="N1088">
        <v>0.78930999999999996</v>
      </c>
      <c r="O1088">
        <v>4.6203000000000003</v>
      </c>
    </row>
    <row r="1089" spans="1:15" x14ac:dyDescent="0.25">
      <c r="A1089" s="142" t="s">
        <v>245</v>
      </c>
      <c r="B1089" s="142" t="s">
        <v>52</v>
      </c>
      <c r="C1089" s="142" t="s">
        <v>3</v>
      </c>
      <c r="D1089">
        <v>0</v>
      </c>
      <c r="E1089">
        <v>0.1</v>
      </c>
      <c r="F1089">
        <v>9.9999999999999995E-7</v>
      </c>
      <c r="G1089" s="142" t="s">
        <v>6</v>
      </c>
      <c r="H1089" s="142" t="s">
        <v>5</v>
      </c>
      <c r="I1089">
        <v>0</v>
      </c>
      <c r="J1089">
        <v>0</v>
      </c>
      <c r="K1089" s="142" t="s">
        <v>1674</v>
      </c>
      <c r="L1089">
        <v>0.84131</v>
      </c>
      <c r="M1089">
        <v>3.6526999999999998</v>
      </c>
      <c r="N1089">
        <v>0.83931999999999995</v>
      </c>
      <c r="O1089">
        <v>3.6114000000000002</v>
      </c>
    </row>
    <row r="1090" spans="1:15" x14ac:dyDescent="0.25">
      <c r="A1090" s="142" t="s">
        <v>1999</v>
      </c>
      <c r="B1090" s="142" t="s">
        <v>52</v>
      </c>
      <c r="C1090" s="142" t="s">
        <v>3</v>
      </c>
      <c r="D1090">
        <v>0.1</v>
      </c>
      <c r="E1090">
        <v>1</v>
      </c>
      <c r="F1090">
        <v>9.9999999999999995E-7</v>
      </c>
      <c r="G1090" s="142" t="s">
        <v>6</v>
      </c>
      <c r="H1090" s="142" t="s">
        <v>5</v>
      </c>
      <c r="I1090">
        <v>0</v>
      </c>
      <c r="J1090">
        <v>0</v>
      </c>
      <c r="K1090" s="142" t="s">
        <v>1674</v>
      </c>
      <c r="L1090">
        <v>0.66578999999999999</v>
      </c>
      <c r="M1090">
        <v>4.5580999999999996</v>
      </c>
      <c r="N1090">
        <v>0.65888999999999998</v>
      </c>
      <c r="O1090">
        <v>4.5613000000000001</v>
      </c>
    </row>
    <row r="1091" spans="1:15" x14ac:dyDescent="0.25">
      <c r="A1091" s="142" t="s">
        <v>257</v>
      </c>
      <c r="B1091" s="142" t="s">
        <v>52</v>
      </c>
      <c r="C1091" s="142" t="s">
        <v>3</v>
      </c>
      <c r="D1091">
        <v>1</v>
      </c>
      <c r="E1091">
        <v>10</v>
      </c>
      <c r="F1091">
        <v>9.9999999999999995E-7</v>
      </c>
      <c r="G1091" s="142" t="s">
        <v>6</v>
      </c>
      <c r="H1091" s="142" t="s">
        <v>5</v>
      </c>
      <c r="I1091">
        <v>0</v>
      </c>
      <c r="J1091">
        <v>0</v>
      </c>
      <c r="K1091" s="142" t="s">
        <v>1674</v>
      </c>
      <c r="L1091">
        <v>1.1000000000000001</v>
      </c>
      <c r="M1091">
        <v>4.5999999999999996</v>
      </c>
      <c r="N1091">
        <v>0.82301000000000002</v>
      </c>
      <c r="O1091">
        <v>4.6173000000000002</v>
      </c>
    </row>
    <row r="1092" spans="1:15" x14ac:dyDescent="0.25">
      <c r="A1092" s="142" t="s">
        <v>261</v>
      </c>
      <c r="B1092" s="142" t="s">
        <v>52</v>
      </c>
      <c r="C1092" s="142" t="s">
        <v>3</v>
      </c>
      <c r="D1092">
        <v>10</v>
      </c>
      <c r="E1092">
        <v>100</v>
      </c>
      <c r="F1092">
        <v>9.9999999999999995E-7</v>
      </c>
      <c r="G1092" s="142" t="s">
        <v>6</v>
      </c>
      <c r="H1092" s="142" t="s">
        <v>5</v>
      </c>
      <c r="I1092">
        <v>0</v>
      </c>
      <c r="J1092">
        <v>0</v>
      </c>
      <c r="K1092" s="142" t="s">
        <v>1674</v>
      </c>
      <c r="L1092">
        <v>39</v>
      </c>
      <c r="M1092">
        <v>6.9</v>
      </c>
      <c r="N1092">
        <v>34.755000000000003</v>
      </c>
      <c r="O1092">
        <v>6.9298000000000002</v>
      </c>
    </row>
    <row r="1093" spans="1:15" x14ac:dyDescent="0.25">
      <c r="A1093" s="142" t="s">
        <v>246</v>
      </c>
      <c r="B1093" s="142" t="s">
        <v>52</v>
      </c>
      <c r="C1093" s="142" t="s">
        <v>3</v>
      </c>
      <c r="D1093">
        <v>0</v>
      </c>
      <c r="E1093">
        <v>0.1</v>
      </c>
      <c r="F1093">
        <v>1.0000000000000001E-5</v>
      </c>
      <c r="G1093" s="142" t="s">
        <v>6</v>
      </c>
      <c r="H1093" s="142" t="s">
        <v>5</v>
      </c>
      <c r="I1093">
        <v>0</v>
      </c>
      <c r="J1093">
        <v>0</v>
      </c>
      <c r="K1093" s="142" t="s">
        <v>1674</v>
      </c>
      <c r="L1093">
        <v>5.8327</v>
      </c>
      <c r="M1093">
        <v>0.66791</v>
      </c>
      <c r="N1093">
        <v>5.8315000000000001</v>
      </c>
      <c r="O1093">
        <v>0.62929000000000002</v>
      </c>
    </row>
    <row r="1094" spans="1:15" x14ac:dyDescent="0.25">
      <c r="A1094" s="142" t="s">
        <v>2000</v>
      </c>
      <c r="B1094" s="142" t="s">
        <v>52</v>
      </c>
      <c r="C1094" s="142" t="s">
        <v>3</v>
      </c>
      <c r="D1094">
        <v>0.1</v>
      </c>
      <c r="E1094">
        <v>1</v>
      </c>
      <c r="F1094">
        <v>1.0000000000000001E-5</v>
      </c>
      <c r="G1094" s="142" t="s">
        <v>6</v>
      </c>
      <c r="H1094" s="142" t="s">
        <v>5</v>
      </c>
      <c r="I1094">
        <v>0</v>
      </c>
      <c r="J1094">
        <v>0</v>
      </c>
      <c r="K1094" s="142" t="s">
        <v>1674</v>
      </c>
      <c r="L1094">
        <v>5.6706000000000003</v>
      </c>
      <c r="M1094">
        <v>2.1208999999999998</v>
      </c>
      <c r="N1094">
        <v>5.6661000000000001</v>
      </c>
      <c r="O1094">
        <v>2.1156000000000001</v>
      </c>
    </row>
    <row r="1095" spans="1:15" x14ac:dyDescent="0.25">
      <c r="A1095" s="142" t="s">
        <v>258</v>
      </c>
      <c r="B1095" s="142" t="s">
        <v>52</v>
      </c>
      <c r="C1095" s="142" t="s">
        <v>3</v>
      </c>
      <c r="D1095">
        <v>1</v>
      </c>
      <c r="E1095">
        <v>10</v>
      </c>
      <c r="F1095">
        <v>1.0000000000000001E-5</v>
      </c>
      <c r="G1095" s="142" t="s">
        <v>6</v>
      </c>
      <c r="H1095" s="142" t="s">
        <v>5</v>
      </c>
      <c r="I1095">
        <v>0</v>
      </c>
      <c r="J1095">
        <v>0</v>
      </c>
      <c r="K1095" s="142" t="s">
        <v>1674</v>
      </c>
      <c r="L1095">
        <v>3.5537999999999998</v>
      </c>
      <c r="M1095">
        <v>4.3795999999999999</v>
      </c>
      <c r="N1095">
        <v>3.5516999999999999</v>
      </c>
      <c r="O1095">
        <v>4.3796999999999997</v>
      </c>
    </row>
    <row r="1096" spans="1:15" x14ac:dyDescent="0.25">
      <c r="A1096" s="142" t="s">
        <v>262</v>
      </c>
      <c r="B1096" s="142" t="s">
        <v>52</v>
      </c>
      <c r="C1096" s="142" t="s">
        <v>3</v>
      </c>
      <c r="D1096">
        <v>10</v>
      </c>
      <c r="E1096">
        <v>100</v>
      </c>
      <c r="F1096">
        <v>1.0000000000000001E-5</v>
      </c>
      <c r="G1096" s="142" t="s">
        <v>6</v>
      </c>
      <c r="H1096" s="142" t="s">
        <v>5</v>
      </c>
      <c r="I1096">
        <v>0</v>
      </c>
      <c r="J1096">
        <v>0</v>
      </c>
      <c r="K1096" s="142" t="s">
        <v>1674</v>
      </c>
      <c r="L1096">
        <v>39</v>
      </c>
      <c r="M1096">
        <v>6.9</v>
      </c>
      <c r="N1096">
        <v>34.930999999999997</v>
      </c>
      <c r="O1096">
        <v>6.9283000000000001</v>
      </c>
    </row>
    <row r="1097" spans="1:15" x14ac:dyDescent="0.25">
      <c r="A1097" s="142" t="s">
        <v>265</v>
      </c>
      <c r="B1097" s="142" t="s">
        <v>52</v>
      </c>
      <c r="C1097" s="142" t="s">
        <v>3</v>
      </c>
      <c r="D1097">
        <v>100</v>
      </c>
      <c r="E1097">
        <v>1000</v>
      </c>
      <c r="F1097">
        <v>1.0000000000000001E-5</v>
      </c>
      <c r="G1097" s="142" t="s">
        <v>6</v>
      </c>
      <c r="H1097" s="142" t="s">
        <v>4</v>
      </c>
      <c r="I1097">
        <v>0</v>
      </c>
      <c r="J1097">
        <v>0</v>
      </c>
      <c r="K1097" s="142" t="s">
        <v>1674</v>
      </c>
      <c r="L1097">
        <v>0.12</v>
      </c>
      <c r="M1097">
        <v>7.1999999999999998E-3</v>
      </c>
      <c r="N1097">
        <v>0.11549</v>
      </c>
      <c r="O1097">
        <v>6.9513999999999999E-3</v>
      </c>
    </row>
    <row r="1098" spans="1:15" x14ac:dyDescent="0.25">
      <c r="A1098" s="142" t="s">
        <v>247</v>
      </c>
      <c r="B1098" s="142" t="s">
        <v>52</v>
      </c>
      <c r="C1098" s="142" t="s">
        <v>3</v>
      </c>
      <c r="D1098">
        <v>0</v>
      </c>
      <c r="E1098">
        <v>0.1</v>
      </c>
      <c r="F1098">
        <v>1E-4</v>
      </c>
      <c r="G1098" s="142" t="s">
        <v>6</v>
      </c>
      <c r="H1098" s="142" t="s">
        <v>5</v>
      </c>
      <c r="I1098">
        <v>0</v>
      </c>
      <c r="J1098">
        <v>0</v>
      </c>
      <c r="K1098" s="142" t="s">
        <v>1674</v>
      </c>
      <c r="L1098">
        <v>58.003999999999998</v>
      </c>
      <c r="M1098">
        <v>7.9362000000000002E-2</v>
      </c>
      <c r="N1098">
        <v>58.003</v>
      </c>
      <c r="O1098">
        <v>6.3608999999999999E-2</v>
      </c>
    </row>
    <row r="1099" spans="1:15" x14ac:dyDescent="0.25">
      <c r="A1099" s="142" t="s">
        <v>254</v>
      </c>
      <c r="B1099" s="142" t="s">
        <v>52</v>
      </c>
      <c r="C1099" s="142" t="s">
        <v>3</v>
      </c>
      <c r="D1099">
        <v>0.1</v>
      </c>
      <c r="E1099">
        <v>1</v>
      </c>
      <c r="F1099">
        <v>1E-4</v>
      </c>
      <c r="G1099" s="142" t="s">
        <v>6</v>
      </c>
      <c r="H1099" s="142" t="s">
        <v>5</v>
      </c>
      <c r="I1099">
        <v>0</v>
      </c>
      <c r="J1099">
        <v>0</v>
      </c>
      <c r="K1099" s="142" t="s">
        <v>1674</v>
      </c>
      <c r="L1099">
        <v>57.984999999999999</v>
      </c>
      <c r="M1099">
        <v>0.25219000000000003</v>
      </c>
      <c r="N1099">
        <v>57.982999999999997</v>
      </c>
      <c r="O1099">
        <v>0.24859999999999999</v>
      </c>
    </row>
    <row r="1100" spans="1:15" x14ac:dyDescent="0.25">
      <c r="A1100" s="142" t="s">
        <v>2001</v>
      </c>
      <c r="B1100" s="142" t="s">
        <v>52</v>
      </c>
      <c r="C1100" s="142" t="s">
        <v>3</v>
      </c>
      <c r="D1100">
        <v>1</v>
      </c>
      <c r="E1100">
        <v>10</v>
      </c>
      <c r="F1100">
        <v>1E-4</v>
      </c>
      <c r="G1100" s="142" t="s">
        <v>6</v>
      </c>
      <c r="H1100" s="142" t="s">
        <v>5</v>
      </c>
      <c r="I1100">
        <v>0</v>
      </c>
      <c r="J1100">
        <v>0</v>
      </c>
      <c r="K1100" s="142" t="s">
        <v>1674</v>
      </c>
      <c r="L1100">
        <v>56.430999999999997</v>
      </c>
      <c r="M1100">
        <v>1.8219000000000001</v>
      </c>
      <c r="N1100">
        <v>56.43</v>
      </c>
      <c r="O1100">
        <v>1.8218000000000001</v>
      </c>
    </row>
    <row r="1101" spans="1:15" x14ac:dyDescent="0.25">
      <c r="A1101" s="142" t="s">
        <v>263</v>
      </c>
      <c r="B1101" s="142" t="s">
        <v>52</v>
      </c>
      <c r="C1101" s="142" t="s">
        <v>3</v>
      </c>
      <c r="D1101">
        <v>10</v>
      </c>
      <c r="E1101">
        <v>100</v>
      </c>
      <c r="F1101">
        <v>1E-4</v>
      </c>
      <c r="G1101" s="142" t="s">
        <v>6</v>
      </c>
      <c r="H1101" s="142" t="s">
        <v>5</v>
      </c>
      <c r="I1101">
        <v>0</v>
      </c>
      <c r="J1101">
        <v>0</v>
      </c>
      <c r="K1101" s="142" t="s">
        <v>1674</v>
      </c>
      <c r="L1101">
        <v>51.524000000000001</v>
      </c>
      <c r="M1101">
        <v>6.7872000000000003</v>
      </c>
      <c r="N1101">
        <v>51.244999999999997</v>
      </c>
      <c r="O1101">
        <v>6.7880000000000003</v>
      </c>
    </row>
    <row r="1102" spans="1:15" x14ac:dyDescent="0.25">
      <c r="A1102" s="142" t="s">
        <v>266</v>
      </c>
      <c r="B1102" s="142" t="s">
        <v>52</v>
      </c>
      <c r="C1102" s="142" t="s">
        <v>3</v>
      </c>
      <c r="D1102">
        <v>100</v>
      </c>
      <c r="E1102">
        <v>1000</v>
      </c>
      <c r="F1102">
        <v>1E-4</v>
      </c>
      <c r="G1102" s="142" t="s">
        <v>6</v>
      </c>
      <c r="H1102" s="142" t="s">
        <v>4</v>
      </c>
      <c r="I1102">
        <v>0</v>
      </c>
      <c r="J1102">
        <v>0</v>
      </c>
      <c r="K1102" s="142" t="s">
        <v>1674</v>
      </c>
      <c r="L1102">
        <v>0.12</v>
      </c>
      <c r="M1102">
        <v>7.1999999999999998E-3</v>
      </c>
      <c r="N1102">
        <v>0.11773</v>
      </c>
      <c r="O1102">
        <v>6.9493999999999997E-3</v>
      </c>
    </row>
    <row r="1103" spans="1:15" x14ac:dyDescent="0.25">
      <c r="A1103" s="142" t="s">
        <v>248</v>
      </c>
      <c r="B1103" s="142" t="s">
        <v>52</v>
      </c>
      <c r="C1103" s="142" t="s">
        <v>3</v>
      </c>
      <c r="D1103">
        <v>0</v>
      </c>
      <c r="E1103">
        <v>0.1</v>
      </c>
      <c r="F1103">
        <v>1E-3</v>
      </c>
      <c r="G1103" s="142" t="s">
        <v>6</v>
      </c>
      <c r="H1103" s="142" t="s">
        <v>5</v>
      </c>
      <c r="I1103">
        <v>0</v>
      </c>
      <c r="J1103">
        <v>0</v>
      </c>
      <c r="K1103" s="142" t="s">
        <v>1674</v>
      </c>
      <c r="L1103">
        <v>580</v>
      </c>
      <c r="M1103">
        <v>1.2664E-2</v>
      </c>
      <c r="N1103">
        <v>580</v>
      </c>
      <c r="O1103">
        <v>6.3616000000000002E-3</v>
      </c>
    </row>
    <row r="1104" spans="1:15" x14ac:dyDescent="0.25">
      <c r="A1104" s="142" t="s">
        <v>255</v>
      </c>
      <c r="B1104" s="142" t="s">
        <v>52</v>
      </c>
      <c r="C1104" s="142" t="s">
        <v>3</v>
      </c>
      <c r="D1104">
        <v>0.1</v>
      </c>
      <c r="E1104">
        <v>1</v>
      </c>
      <c r="F1104">
        <v>1E-3</v>
      </c>
      <c r="G1104" s="142" t="s">
        <v>6</v>
      </c>
      <c r="H1104" s="142" t="s">
        <v>5</v>
      </c>
      <c r="I1104">
        <v>0</v>
      </c>
      <c r="J1104">
        <v>0</v>
      </c>
      <c r="K1104" s="142" t="s">
        <v>1674</v>
      </c>
      <c r="L1104">
        <v>580</v>
      </c>
      <c r="M1104">
        <v>2.6356999999999998E-2</v>
      </c>
      <c r="N1104">
        <v>579.98</v>
      </c>
      <c r="O1104">
        <v>2.4910999999999999E-2</v>
      </c>
    </row>
    <row r="1105" spans="1:15" x14ac:dyDescent="0.25">
      <c r="A1105" s="142" t="s">
        <v>259</v>
      </c>
      <c r="B1105" s="142" t="s">
        <v>52</v>
      </c>
      <c r="C1105" s="142" t="s">
        <v>3</v>
      </c>
      <c r="D1105">
        <v>1</v>
      </c>
      <c r="E1105">
        <v>10</v>
      </c>
      <c r="F1105">
        <v>1E-3</v>
      </c>
      <c r="G1105" s="142" t="s">
        <v>6</v>
      </c>
      <c r="H1105" s="142" t="s">
        <v>5</v>
      </c>
      <c r="I1105">
        <v>0</v>
      </c>
      <c r="J1105">
        <v>0</v>
      </c>
      <c r="K1105" s="142" t="s">
        <v>1674</v>
      </c>
      <c r="L1105">
        <v>579.82000000000005</v>
      </c>
      <c r="M1105">
        <v>0.20845</v>
      </c>
      <c r="N1105">
        <v>579.82000000000005</v>
      </c>
      <c r="O1105">
        <v>0.20837</v>
      </c>
    </row>
    <row r="1106" spans="1:15" x14ac:dyDescent="0.25">
      <c r="A1106" s="142" t="s">
        <v>2002</v>
      </c>
      <c r="B1106" s="142" t="s">
        <v>52</v>
      </c>
      <c r="C1106" s="142" t="s">
        <v>3</v>
      </c>
      <c r="D1106">
        <v>10</v>
      </c>
      <c r="E1106">
        <v>100</v>
      </c>
      <c r="F1106">
        <v>1E-3</v>
      </c>
      <c r="G1106" s="142" t="s">
        <v>6</v>
      </c>
      <c r="H1106" s="142" t="s">
        <v>5</v>
      </c>
      <c r="I1106">
        <v>0</v>
      </c>
      <c r="J1106">
        <v>0</v>
      </c>
      <c r="K1106" s="142" t="s">
        <v>1674</v>
      </c>
      <c r="L1106">
        <v>551.51</v>
      </c>
      <c r="M1106">
        <v>3.7972000000000001</v>
      </c>
      <c r="N1106">
        <v>551.33000000000004</v>
      </c>
      <c r="O1106">
        <v>3.7926000000000002</v>
      </c>
    </row>
    <row r="1107" spans="1:15" x14ac:dyDescent="0.25">
      <c r="A1107" s="142" t="s">
        <v>267</v>
      </c>
      <c r="B1107" s="142" t="s">
        <v>52</v>
      </c>
      <c r="C1107" s="142" t="s">
        <v>3</v>
      </c>
      <c r="D1107">
        <v>100</v>
      </c>
      <c r="E1107">
        <v>1000</v>
      </c>
      <c r="F1107">
        <v>1E-3</v>
      </c>
      <c r="G1107" s="142" t="s">
        <v>6</v>
      </c>
      <c r="H1107" s="142" t="s">
        <v>4</v>
      </c>
      <c r="I1107">
        <v>0</v>
      </c>
      <c r="J1107">
        <v>0</v>
      </c>
      <c r="K1107" s="142" t="s">
        <v>1674</v>
      </c>
      <c r="L1107">
        <v>0.29768</v>
      </c>
      <c r="M1107">
        <v>7.0223000000000004E-3</v>
      </c>
      <c r="N1107">
        <v>0.31964999999999999</v>
      </c>
      <c r="O1107">
        <v>6.7710000000000001E-3</v>
      </c>
    </row>
    <row r="1108" spans="1:15" x14ac:dyDescent="0.25">
      <c r="A1108" s="142" t="s">
        <v>249</v>
      </c>
      <c r="B1108" s="142" t="s">
        <v>52</v>
      </c>
      <c r="C1108" s="142" t="s">
        <v>3</v>
      </c>
      <c r="D1108">
        <v>0</v>
      </c>
      <c r="E1108">
        <v>0.1</v>
      </c>
      <c r="F1108">
        <v>0.01</v>
      </c>
      <c r="G1108" s="142" t="s">
        <v>6</v>
      </c>
      <c r="H1108" s="142" t="s">
        <v>4</v>
      </c>
      <c r="I1108">
        <v>0</v>
      </c>
      <c r="J1108">
        <v>0</v>
      </c>
      <c r="K1108" s="142" t="s">
        <v>1674</v>
      </c>
      <c r="L1108">
        <v>5.8</v>
      </c>
      <c r="M1108">
        <v>3.1570999999999998E-6</v>
      </c>
      <c r="N1108">
        <v>5.7999000000000001</v>
      </c>
      <c r="O1108">
        <v>6.3616E-7</v>
      </c>
    </row>
    <row r="1109" spans="1:15" x14ac:dyDescent="0.25">
      <c r="A1109" s="142" t="s">
        <v>260</v>
      </c>
      <c r="B1109" s="142" t="s">
        <v>52</v>
      </c>
      <c r="C1109" s="142" t="s">
        <v>3</v>
      </c>
      <c r="D1109">
        <v>1</v>
      </c>
      <c r="E1109">
        <v>10</v>
      </c>
      <c r="F1109">
        <v>0.01</v>
      </c>
      <c r="G1109" s="142" t="s">
        <v>6</v>
      </c>
      <c r="H1109" s="142" t="s">
        <v>5</v>
      </c>
      <c r="I1109">
        <v>0</v>
      </c>
      <c r="J1109">
        <v>0</v>
      </c>
      <c r="K1109" s="142" t="s">
        <v>1674</v>
      </c>
      <c r="L1109">
        <v>5800</v>
      </c>
      <c r="M1109">
        <v>2.0903000000000001E-2</v>
      </c>
      <c r="N1109">
        <v>5799.8</v>
      </c>
      <c r="O1109">
        <v>2.0871000000000001E-2</v>
      </c>
    </row>
    <row r="1110" spans="1:15" x14ac:dyDescent="0.25">
      <c r="A1110" s="142" t="s">
        <v>264</v>
      </c>
      <c r="B1110" s="142" t="s">
        <v>52</v>
      </c>
      <c r="C1110" s="142" t="s">
        <v>3</v>
      </c>
      <c r="D1110">
        <v>10</v>
      </c>
      <c r="E1110">
        <v>100</v>
      </c>
      <c r="F1110">
        <v>0.01</v>
      </c>
      <c r="G1110" s="142" t="s">
        <v>6</v>
      </c>
      <c r="H1110" s="142" t="s">
        <v>5</v>
      </c>
      <c r="I1110">
        <v>0</v>
      </c>
      <c r="J1110">
        <v>0</v>
      </c>
      <c r="K1110" s="142" t="s">
        <v>1674</v>
      </c>
      <c r="L1110">
        <v>5796</v>
      </c>
      <c r="M1110">
        <v>0.49843999999999999</v>
      </c>
      <c r="N1110">
        <v>5796</v>
      </c>
      <c r="O1110">
        <v>0.49492999999999998</v>
      </c>
    </row>
    <row r="1111" spans="1:15" x14ac:dyDescent="0.25">
      <c r="A1111" s="142" t="s">
        <v>268</v>
      </c>
      <c r="B1111" s="142" t="s">
        <v>52</v>
      </c>
      <c r="C1111" s="142" t="s">
        <v>3</v>
      </c>
      <c r="D1111">
        <v>100</v>
      </c>
      <c r="E1111">
        <v>1000</v>
      </c>
      <c r="F1111">
        <v>0.01</v>
      </c>
      <c r="G1111" s="142" t="s">
        <v>6</v>
      </c>
      <c r="H1111" s="142" t="s">
        <v>4</v>
      </c>
      <c r="I1111">
        <v>0</v>
      </c>
      <c r="J1111">
        <v>0</v>
      </c>
      <c r="K1111" s="142" t="s">
        <v>1674</v>
      </c>
      <c r="L1111">
        <v>5.4924999999999997</v>
      </c>
      <c r="M1111">
        <v>3.6611E-3</v>
      </c>
      <c r="N1111">
        <v>5.4912999999999998</v>
      </c>
      <c r="O1111">
        <v>3.6510000000000002E-3</v>
      </c>
    </row>
    <row r="1112" spans="1:15" x14ac:dyDescent="0.25">
      <c r="A1112" s="142" t="s">
        <v>250</v>
      </c>
      <c r="B1112" s="142" t="s">
        <v>52</v>
      </c>
      <c r="C1112" s="142" t="s">
        <v>3</v>
      </c>
      <c r="D1112">
        <v>0</v>
      </c>
      <c r="E1112">
        <v>0.1</v>
      </c>
      <c r="F1112">
        <v>0.1</v>
      </c>
      <c r="G1112" s="142" t="s">
        <v>6</v>
      </c>
      <c r="H1112" s="142" t="s">
        <v>4</v>
      </c>
      <c r="I1112">
        <v>0</v>
      </c>
      <c r="J1112">
        <v>0</v>
      </c>
      <c r="K1112" s="142" t="s">
        <v>1674</v>
      </c>
      <c r="L1112">
        <v>58</v>
      </c>
      <c r="M1112">
        <v>1.0720000000000001E-6</v>
      </c>
      <c r="N1112">
        <v>58</v>
      </c>
      <c r="O1112">
        <v>6.3616000000000005E-8</v>
      </c>
    </row>
    <row r="1113" spans="1:15" x14ac:dyDescent="0.25">
      <c r="A1113" s="142" t="s">
        <v>269</v>
      </c>
      <c r="B1113" s="142" t="s">
        <v>52</v>
      </c>
      <c r="C1113" s="142" t="s">
        <v>3</v>
      </c>
      <c r="D1113">
        <v>100</v>
      </c>
      <c r="E1113">
        <v>1000</v>
      </c>
      <c r="F1113">
        <v>0.1</v>
      </c>
      <c r="G1113" s="142" t="s">
        <v>6</v>
      </c>
      <c r="H1113" s="142" t="s">
        <v>4</v>
      </c>
      <c r="I1113">
        <v>0</v>
      </c>
      <c r="J1113">
        <v>0</v>
      </c>
      <c r="K1113" s="142" t="s">
        <v>1674</v>
      </c>
      <c r="L1113">
        <v>57.959000000000003</v>
      </c>
      <c r="M1113">
        <v>4.7718000000000001E-4</v>
      </c>
      <c r="N1113">
        <v>57.959000000000003</v>
      </c>
      <c r="O1113">
        <v>4.7030999999999999E-4</v>
      </c>
    </row>
    <row r="1114" spans="1:15" x14ac:dyDescent="0.25">
      <c r="A1114" s="142" t="s">
        <v>251</v>
      </c>
      <c r="B1114" s="142" t="s">
        <v>52</v>
      </c>
      <c r="C1114" s="142" t="s">
        <v>3</v>
      </c>
      <c r="D1114">
        <v>0</v>
      </c>
      <c r="E1114">
        <v>0.1</v>
      </c>
      <c r="F1114">
        <v>1</v>
      </c>
      <c r="G1114" s="142" t="s">
        <v>6</v>
      </c>
      <c r="H1114" s="142" t="s">
        <v>4</v>
      </c>
      <c r="I1114">
        <v>0</v>
      </c>
      <c r="J1114">
        <v>0</v>
      </c>
      <c r="K1114" s="142" t="s">
        <v>1674</v>
      </c>
      <c r="L1114">
        <v>580</v>
      </c>
      <c r="M1114">
        <v>4.0970999999999998E-7</v>
      </c>
      <c r="N1114">
        <v>580</v>
      </c>
      <c r="O1114">
        <v>6.3620000000000002E-9</v>
      </c>
    </row>
    <row r="1115" spans="1:15" x14ac:dyDescent="0.25">
      <c r="A1115" s="142" t="s">
        <v>270</v>
      </c>
      <c r="B1115" s="142" t="s">
        <v>52</v>
      </c>
      <c r="C1115" s="142" t="s">
        <v>3</v>
      </c>
      <c r="D1115">
        <v>100</v>
      </c>
      <c r="E1115">
        <v>1000</v>
      </c>
      <c r="F1115">
        <v>1</v>
      </c>
      <c r="G1115" s="142" t="s">
        <v>6</v>
      </c>
      <c r="H1115" s="142" t="s">
        <v>4</v>
      </c>
      <c r="I1115">
        <v>0</v>
      </c>
      <c r="J1115">
        <v>0</v>
      </c>
      <c r="K1115" s="142" t="s">
        <v>1674</v>
      </c>
      <c r="L1115">
        <v>580</v>
      </c>
      <c r="M1115">
        <v>4.9978000000000002E-5</v>
      </c>
      <c r="N1115">
        <v>579.95000000000005</v>
      </c>
      <c r="O1115">
        <v>4.7205E-5</v>
      </c>
    </row>
    <row r="1116" spans="1:15" x14ac:dyDescent="0.25">
      <c r="A1116" s="142" t="s">
        <v>2755</v>
      </c>
      <c r="B1116" s="142" t="s">
        <v>52</v>
      </c>
      <c r="C1116" s="142" t="s">
        <v>64</v>
      </c>
      <c r="D1116">
        <v>0</v>
      </c>
      <c r="E1116">
        <v>0.1</v>
      </c>
      <c r="F1116">
        <v>1E-8</v>
      </c>
      <c r="G1116" s="142" t="s">
        <v>6</v>
      </c>
      <c r="H1116" s="142" t="s">
        <v>5</v>
      </c>
      <c r="I1116">
        <v>0</v>
      </c>
      <c r="J1116">
        <v>0</v>
      </c>
      <c r="K1116" s="142" t="s">
        <v>1674</v>
      </c>
      <c r="L1116">
        <v>0.62</v>
      </c>
      <c r="M1116">
        <v>4.4000000000000004</v>
      </c>
      <c r="N1116">
        <v>0.60719999999999996</v>
      </c>
      <c r="O1116">
        <v>4.4375</v>
      </c>
    </row>
    <row r="1117" spans="1:15" x14ac:dyDescent="0.25">
      <c r="A1117" s="142" t="s">
        <v>2756</v>
      </c>
      <c r="B1117" s="142" t="s">
        <v>52</v>
      </c>
      <c r="C1117" s="142" t="s">
        <v>64</v>
      </c>
      <c r="D1117">
        <v>0.1</v>
      </c>
      <c r="E1117">
        <v>1</v>
      </c>
      <c r="F1117">
        <v>1E-8</v>
      </c>
      <c r="G1117" s="142" t="s">
        <v>6</v>
      </c>
      <c r="H1117" s="142" t="s">
        <v>5</v>
      </c>
      <c r="I1117">
        <v>0</v>
      </c>
      <c r="J1117">
        <v>0</v>
      </c>
      <c r="K1117" s="142" t="s">
        <v>1674</v>
      </c>
      <c r="L1117">
        <v>0.5</v>
      </c>
      <c r="M1117">
        <v>4.7</v>
      </c>
      <c r="N1117">
        <v>0.48154000000000002</v>
      </c>
      <c r="O1117">
        <v>4.7062999999999997</v>
      </c>
    </row>
    <row r="1118" spans="1:15" x14ac:dyDescent="0.25">
      <c r="A1118" s="142" t="s">
        <v>2757</v>
      </c>
      <c r="B1118" s="142" t="s">
        <v>52</v>
      </c>
      <c r="C1118" s="142" t="s">
        <v>64</v>
      </c>
      <c r="D1118">
        <v>0</v>
      </c>
      <c r="E1118">
        <v>0.1</v>
      </c>
      <c r="F1118">
        <v>9.9999999999999995E-8</v>
      </c>
      <c r="G1118" s="142" t="s">
        <v>6</v>
      </c>
      <c r="H1118" s="142" t="s">
        <v>5</v>
      </c>
      <c r="I1118">
        <v>0</v>
      </c>
      <c r="J1118">
        <v>0</v>
      </c>
      <c r="K1118" s="142" t="s">
        <v>1674</v>
      </c>
      <c r="L1118">
        <v>0.62</v>
      </c>
      <c r="M1118">
        <v>4.4000000000000004</v>
      </c>
      <c r="N1118">
        <v>0.60994000000000004</v>
      </c>
      <c r="O1118">
        <v>4.4260000000000002</v>
      </c>
    </row>
    <row r="1119" spans="1:15" x14ac:dyDescent="0.25">
      <c r="A1119" s="142" t="s">
        <v>2758</v>
      </c>
      <c r="B1119" s="142" t="s">
        <v>52</v>
      </c>
      <c r="C1119" s="142" t="s">
        <v>64</v>
      </c>
      <c r="D1119">
        <v>0.1</v>
      </c>
      <c r="E1119">
        <v>1</v>
      </c>
      <c r="F1119">
        <v>9.9999999999999995E-8</v>
      </c>
      <c r="G1119" s="142" t="s">
        <v>6</v>
      </c>
      <c r="H1119" s="142" t="s">
        <v>5</v>
      </c>
      <c r="I1119">
        <v>0</v>
      </c>
      <c r="J1119">
        <v>0</v>
      </c>
      <c r="K1119" s="142" t="s">
        <v>1674</v>
      </c>
      <c r="L1119">
        <v>0.5</v>
      </c>
      <c r="M1119">
        <v>4.7</v>
      </c>
      <c r="N1119">
        <v>0.48344999999999999</v>
      </c>
      <c r="O1119">
        <v>4.7046999999999999</v>
      </c>
    </row>
    <row r="1120" spans="1:15" x14ac:dyDescent="0.25">
      <c r="A1120" s="142" t="s">
        <v>2759</v>
      </c>
      <c r="B1120" s="142" t="s">
        <v>52</v>
      </c>
      <c r="C1120" s="142" t="s">
        <v>64</v>
      </c>
      <c r="D1120">
        <v>1</v>
      </c>
      <c r="E1120">
        <v>10</v>
      </c>
      <c r="F1120">
        <v>9.9999999999999995E-8</v>
      </c>
      <c r="G1120" s="142" t="s">
        <v>6</v>
      </c>
      <c r="H1120" s="142" t="s">
        <v>5</v>
      </c>
      <c r="I1120">
        <v>0</v>
      </c>
      <c r="J1120">
        <v>0</v>
      </c>
      <c r="K1120" s="142" t="s">
        <v>1674</v>
      </c>
      <c r="L1120">
        <v>1.1000000000000001</v>
      </c>
      <c r="M1120">
        <v>4.5999999999999996</v>
      </c>
      <c r="N1120">
        <v>0.78925999999999996</v>
      </c>
      <c r="O1120">
        <v>4.6203000000000003</v>
      </c>
    </row>
    <row r="1121" spans="1:15" x14ac:dyDescent="0.25">
      <c r="A1121" s="142" t="s">
        <v>2760</v>
      </c>
      <c r="B1121" s="142" t="s">
        <v>52</v>
      </c>
      <c r="C1121" s="142" t="s">
        <v>64</v>
      </c>
      <c r="D1121">
        <v>0</v>
      </c>
      <c r="E1121">
        <v>0.1</v>
      </c>
      <c r="F1121">
        <v>9.9999999999999995E-7</v>
      </c>
      <c r="G1121" s="142" t="s">
        <v>6</v>
      </c>
      <c r="H1121" s="142" t="s">
        <v>5</v>
      </c>
      <c r="I1121">
        <v>0</v>
      </c>
      <c r="J1121">
        <v>0</v>
      </c>
      <c r="K1121" s="142" t="s">
        <v>1674</v>
      </c>
      <c r="L1121">
        <v>0.84128000000000003</v>
      </c>
      <c r="M1121">
        <v>3.6520999999999999</v>
      </c>
      <c r="N1121">
        <v>0.83928000000000003</v>
      </c>
      <c r="O1121">
        <v>3.6107999999999998</v>
      </c>
    </row>
    <row r="1122" spans="1:15" x14ac:dyDescent="0.25">
      <c r="A1122" s="142" t="s">
        <v>2761</v>
      </c>
      <c r="B1122" s="142" t="s">
        <v>52</v>
      </c>
      <c r="C1122" s="142" t="s">
        <v>64</v>
      </c>
      <c r="D1122">
        <v>0.1</v>
      </c>
      <c r="E1122">
        <v>1</v>
      </c>
      <c r="F1122">
        <v>9.9999999999999995E-7</v>
      </c>
      <c r="G1122" s="142" t="s">
        <v>6</v>
      </c>
      <c r="H1122" s="142" t="s">
        <v>5</v>
      </c>
      <c r="I1122">
        <v>0</v>
      </c>
      <c r="J1122">
        <v>0</v>
      </c>
      <c r="K1122" s="142" t="s">
        <v>1674</v>
      </c>
      <c r="L1122">
        <v>0.66571000000000002</v>
      </c>
      <c r="M1122">
        <v>4.5580999999999996</v>
      </c>
      <c r="N1122">
        <v>0.65876000000000001</v>
      </c>
      <c r="O1122">
        <v>4.5613999999999999</v>
      </c>
    </row>
    <row r="1123" spans="1:15" x14ac:dyDescent="0.25">
      <c r="A1123" s="142" t="s">
        <v>2762</v>
      </c>
      <c r="B1123" s="142" t="s">
        <v>52</v>
      </c>
      <c r="C1123" s="142" t="s">
        <v>64</v>
      </c>
      <c r="D1123">
        <v>1</v>
      </c>
      <c r="E1123">
        <v>10</v>
      </c>
      <c r="F1123">
        <v>9.9999999999999995E-7</v>
      </c>
      <c r="G1123" s="142" t="s">
        <v>6</v>
      </c>
      <c r="H1123" s="142" t="s">
        <v>5</v>
      </c>
      <c r="I1123">
        <v>0</v>
      </c>
      <c r="J1123">
        <v>0</v>
      </c>
      <c r="K1123" s="142" t="s">
        <v>1674</v>
      </c>
      <c r="L1123">
        <v>1.1000000000000001</v>
      </c>
      <c r="M1123">
        <v>4.5999999999999996</v>
      </c>
      <c r="N1123">
        <v>0.82296000000000002</v>
      </c>
      <c r="O1123">
        <v>4.6173000000000002</v>
      </c>
    </row>
    <row r="1124" spans="1:15" x14ac:dyDescent="0.25">
      <c r="A1124" s="142" t="s">
        <v>2763</v>
      </c>
      <c r="B1124" s="142" t="s">
        <v>52</v>
      </c>
      <c r="C1124" s="142" t="s">
        <v>64</v>
      </c>
      <c r="D1124">
        <v>10</v>
      </c>
      <c r="E1124">
        <v>100</v>
      </c>
      <c r="F1124">
        <v>9.9999999999999995E-7</v>
      </c>
      <c r="G1124" s="142" t="s">
        <v>6</v>
      </c>
      <c r="H1124" s="142" t="s">
        <v>5</v>
      </c>
      <c r="I1124">
        <v>0</v>
      </c>
      <c r="J1124">
        <v>0</v>
      </c>
      <c r="K1124" s="142" t="s">
        <v>1674</v>
      </c>
      <c r="L1124">
        <v>39</v>
      </c>
      <c r="M1124">
        <v>6.9</v>
      </c>
      <c r="N1124">
        <v>34.924999999999997</v>
      </c>
      <c r="O1124">
        <v>6.9283000000000001</v>
      </c>
    </row>
    <row r="1125" spans="1:15" x14ac:dyDescent="0.25">
      <c r="A1125" s="142" t="s">
        <v>2764</v>
      </c>
      <c r="B1125" s="142" t="s">
        <v>52</v>
      </c>
      <c r="C1125" s="142" t="s">
        <v>64</v>
      </c>
      <c r="D1125">
        <v>0</v>
      </c>
      <c r="E1125">
        <v>0.1</v>
      </c>
      <c r="F1125">
        <v>1.0000000000000001E-5</v>
      </c>
      <c r="G1125" s="142" t="s">
        <v>6</v>
      </c>
      <c r="H1125" s="142" t="s">
        <v>5</v>
      </c>
      <c r="I1125">
        <v>0</v>
      </c>
      <c r="J1125">
        <v>0</v>
      </c>
      <c r="K1125" s="142" t="s">
        <v>1674</v>
      </c>
      <c r="L1125">
        <v>5.8327</v>
      </c>
      <c r="M1125">
        <v>0.66776000000000002</v>
      </c>
      <c r="N1125">
        <v>5.8315000000000001</v>
      </c>
      <c r="O1125">
        <v>0.62914000000000003</v>
      </c>
    </row>
    <row r="1126" spans="1:15" x14ac:dyDescent="0.25">
      <c r="A1126" s="142" t="s">
        <v>2765</v>
      </c>
      <c r="B1126" s="142" t="s">
        <v>52</v>
      </c>
      <c r="C1126" s="142" t="s">
        <v>64</v>
      </c>
      <c r="D1126">
        <v>0.1</v>
      </c>
      <c r="E1126">
        <v>1</v>
      </c>
      <c r="F1126">
        <v>1.0000000000000001E-5</v>
      </c>
      <c r="G1126" s="142" t="s">
        <v>6</v>
      </c>
      <c r="H1126" s="142" t="s">
        <v>5</v>
      </c>
      <c r="I1126">
        <v>0</v>
      </c>
      <c r="J1126">
        <v>0</v>
      </c>
      <c r="K1126" s="142" t="s">
        <v>1674</v>
      </c>
      <c r="L1126">
        <v>5.6706000000000003</v>
      </c>
      <c r="M1126">
        <v>2.1208999999999998</v>
      </c>
      <c r="N1126">
        <v>5.6661000000000001</v>
      </c>
      <c r="O1126">
        <v>2.1154999999999999</v>
      </c>
    </row>
    <row r="1127" spans="1:15" x14ac:dyDescent="0.25">
      <c r="A1127" s="142" t="s">
        <v>2766</v>
      </c>
      <c r="B1127" s="142" t="s">
        <v>52</v>
      </c>
      <c r="C1127" s="142" t="s">
        <v>64</v>
      </c>
      <c r="D1127">
        <v>1</v>
      </c>
      <c r="E1127">
        <v>10</v>
      </c>
      <c r="F1127">
        <v>1.0000000000000001E-5</v>
      </c>
      <c r="G1127" s="142" t="s">
        <v>6</v>
      </c>
      <c r="H1127" s="142" t="s">
        <v>5</v>
      </c>
      <c r="I1127">
        <v>0</v>
      </c>
      <c r="J1127">
        <v>0</v>
      </c>
      <c r="K1127" s="142" t="s">
        <v>1674</v>
      </c>
      <c r="L1127">
        <v>3.5537999999999998</v>
      </c>
      <c r="M1127">
        <v>4.3795999999999999</v>
      </c>
      <c r="N1127">
        <v>3.5516999999999999</v>
      </c>
      <c r="O1127">
        <v>4.3796999999999997</v>
      </c>
    </row>
    <row r="1128" spans="1:15" x14ac:dyDescent="0.25">
      <c r="A1128" s="142" t="s">
        <v>2767</v>
      </c>
      <c r="B1128" s="142" t="s">
        <v>52</v>
      </c>
      <c r="C1128" s="142" t="s">
        <v>64</v>
      </c>
      <c r="D1128">
        <v>10</v>
      </c>
      <c r="E1128">
        <v>100</v>
      </c>
      <c r="F1128">
        <v>1.0000000000000001E-5</v>
      </c>
      <c r="G1128" s="142" t="s">
        <v>6</v>
      </c>
      <c r="H1128" s="142" t="s">
        <v>5</v>
      </c>
      <c r="I1128">
        <v>0</v>
      </c>
      <c r="J1128">
        <v>0</v>
      </c>
      <c r="K1128" s="142" t="s">
        <v>1674</v>
      </c>
      <c r="L1128">
        <v>51.31</v>
      </c>
      <c r="M1128">
        <v>6.7877999999999998</v>
      </c>
      <c r="N1128">
        <v>51.241</v>
      </c>
      <c r="O1128">
        <v>6.7880000000000003</v>
      </c>
    </row>
    <row r="1129" spans="1:15" x14ac:dyDescent="0.25">
      <c r="A1129" s="142" t="s">
        <v>2768</v>
      </c>
      <c r="B1129" s="142" t="s">
        <v>52</v>
      </c>
      <c r="C1129" s="142" t="s">
        <v>64</v>
      </c>
      <c r="D1129">
        <v>100</v>
      </c>
      <c r="E1129">
        <v>1000</v>
      </c>
      <c r="F1129">
        <v>1.0000000000000001E-5</v>
      </c>
      <c r="G1129" s="142" t="s">
        <v>6</v>
      </c>
      <c r="H1129" s="142" t="s">
        <v>4</v>
      </c>
      <c r="I1129">
        <v>0</v>
      </c>
      <c r="J1129">
        <v>0</v>
      </c>
      <c r="K1129" s="142" t="s">
        <v>1674</v>
      </c>
      <c r="L1129">
        <v>0.12</v>
      </c>
      <c r="M1129">
        <v>7.1999999999999998E-3</v>
      </c>
      <c r="N1129">
        <v>0.11543</v>
      </c>
      <c r="O1129">
        <v>6.9513999999999999E-3</v>
      </c>
    </row>
    <row r="1130" spans="1:15" x14ac:dyDescent="0.25">
      <c r="A1130" s="142" t="s">
        <v>2769</v>
      </c>
      <c r="B1130" s="142" t="s">
        <v>52</v>
      </c>
      <c r="C1130" s="142" t="s">
        <v>64</v>
      </c>
      <c r="D1130">
        <v>0</v>
      </c>
      <c r="E1130">
        <v>0.1</v>
      </c>
      <c r="F1130">
        <v>1E-4</v>
      </c>
      <c r="G1130" s="142" t="s">
        <v>6</v>
      </c>
      <c r="H1130" s="142" t="s">
        <v>5</v>
      </c>
      <c r="I1130">
        <v>0</v>
      </c>
      <c r="J1130">
        <v>0</v>
      </c>
      <c r="K1130" s="142" t="s">
        <v>1674</v>
      </c>
      <c r="L1130">
        <v>58.003999999999998</v>
      </c>
      <c r="M1130">
        <v>7.9346E-2</v>
      </c>
      <c r="N1130">
        <v>58.003</v>
      </c>
      <c r="O1130">
        <v>6.3593999999999998E-2</v>
      </c>
    </row>
    <row r="1131" spans="1:15" x14ac:dyDescent="0.25">
      <c r="A1131" s="142" t="s">
        <v>2770</v>
      </c>
      <c r="B1131" s="142" t="s">
        <v>52</v>
      </c>
      <c r="C1131" s="142" t="s">
        <v>64</v>
      </c>
      <c r="D1131">
        <v>0.1</v>
      </c>
      <c r="E1131">
        <v>1</v>
      </c>
      <c r="F1131">
        <v>1E-4</v>
      </c>
      <c r="G1131" s="142" t="s">
        <v>6</v>
      </c>
      <c r="H1131" s="142" t="s">
        <v>5</v>
      </c>
      <c r="I1131">
        <v>0</v>
      </c>
      <c r="J1131">
        <v>0</v>
      </c>
      <c r="K1131" s="142" t="s">
        <v>1674</v>
      </c>
      <c r="L1131">
        <v>57.984999999999999</v>
      </c>
      <c r="M1131">
        <v>0.25219000000000003</v>
      </c>
      <c r="N1131">
        <v>57.982999999999997</v>
      </c>
      <c r="O1131">
        <v>0.24859999999999999</v>
      </c>
    </row>
    <row r="1132" spans="1:15" x14ac:dyDescent="0.25">
      <c r="A1132" s="142" t="s">
        <v>2771</v>
      </c>
      <c r="B1132" s="142" t="s">
        <v>52</v>
      </c>
      <c r="C1132" s="142" t="s">
        <v>64</v>
      </c>
      <c r="D1132">
        <v>1</v>
      </c>
      <c r="E1132">
        <v>10</v>
      </c>
      <c r="F1132">
        <v>1E-4</v>
      </c>
      <c r="G1132" s="142" t="s">
        <v>6</v>
      </c>
      <c r="H1132" s="142" t="s">
        <v>5</v>
      </c>
      <c r="I1132">
        <v>0</v>
      </c>
      <c r="J1132">
        <v>0</v>
      </c>
      <c r="K1132" s="142" t="s">
        <v>1674</v>
      </c>
      <c r="L1132">
        <v>56.430999999999997</v>
      </c>
      <c r="M1132">
        <v>1.8219000000000001</v>
      </c>
      <c r="N1132">
        <v>56.43</v>
      </c>
      <c r="O1132">
        <v>1.8218000000000001</v>
      </c>
    </row>
    <row r="1133" spans="1:15" x14ac:dyDescent="0.25">
      <c r="A1133" s="142" t="s">
        <v>2772</v>
      </c>
      <c r="B1133" s="142" t="s">
        <v>52</v>
      </c>
      <c r="C1133" s="142" t="s">
        <v>64</v>
      </c>
      <c r="D1133">
        <v>10</v>
      </c>
      <c r="E1133">
        <v>100</v>
      </c>
      <c r="F1133">
        <v>1E-4</v>
      </c>
      <c r="G1133" s="142" t="s">
        <v>6</v>
      </c>
      <c r="H1133" s="142" t="s">
        <v>5</v>
      </c>
      <c r="I1133">
        <v>0</v>
      </c>
      <c r="J1133">
        <v>0</v>
      </c>
      <c r="K1133" s="142" t="s">
        <v>1674</v>
      </c>
      <c r="L1133">
        <v>551.38</v>
      </c>
      <c r="M1133">
        <v>3.7936999999999999</v>
      </c>
      <c r="N1133">
        <v>551.33000000000004</v>
      </c>
      <c r="O1133">
        <v>3.7926000000000002</v>
      </c>
    </row>
    <row r="1134" spans="1:15" x14ac:dyDescent="0.25">
      <c r="A1134" s="142" t="s">
        <v>2773</v>
      </c>
      <c r="B1134" s="142" t="s">
        <v>52</v>
      </c>
      <c r="C1134" s="142" t="s">
        <v>64</v>
      </c>
      <c r="D1134">
        <v>100</v>
      </c>
      <c r="E1134">
        <v>1000</v>
      </c>
      <c r="F1134">
        <v>1E-4</v>
      </c>
      <c r="G1134" s="142" t="s">
        <v>6</v>
      </c>
      <c r="H1134" s="142" t="s">
        <v>4</v>
      </c>
      <c r="I1134">
        <v>0</v>
      </c>
      <c r="J1134">
        <v>0</v>
      </c>
      <c r="K1134" s="142" t="s">
        <v>1674</v>
      </c>
      <c r="L1134">
        <v>0.12</v>
      </c>
      <c r="M1134">
        <v>7.1999999999999998E-3</v>
      </c>
      <c r="N1134">
        <v>0.11767</v>
      </c>
      <c r="O1134">
        <v>6.9493999999999997E-3</v>
      </c>
    </row>
    <row r="1135" spans="1:15" x14ac:dyDescent="0.25">
      <c r="A1135" s="142" t="s">
        <v>2774</v>
      </c>
      <c r="B1135" s="142" t="s">
        <v>52</v>
      </c>
      <c r="C1135" s="142" t="s">
        <v>64</v>
      </c>
      <c r="D1135">
        <v>0</v>
      </c>
      <c r="E1135">
        <v>0.1</v>
      </c>
      <c r="F1135">
        <v>1E-3</v>
      </c>
      <c r="G1135" s="142" t="s">
        <v>6</v>
      </c>
      <c r="H1135" s="142" t="s">
        <v>4</v>
      </c>
      <c r="I1135">
        <v>0</v>
      </c>
      <c r="J1135">
        <v>0</v>
      </c>
      <c r="K1135" s="142" t="s">
        <v>1674</v>
      </c>
      <c r="L1135">
        <v>0.57999999999999996</v>
      </c>
      <c r="M1135">
        <v>1.2662E-5</v>
      </c>
      <c r="N1135">
        <v>0.57994000000000001</v>
      </c>
      <c r="O1135">
        <v>6.3601000000000003E-6</v>
      </c>
    </row>
    <row r="1136" spans="1:15" x14ac:dyDescent="0.25">
      <c r="A1136" s="142" t="s">
        <v>2775</v>
      </c>
      <c r="B1136" s="142" t="s">
        <v>52</v>
      </c>
      <c r="C1136" s="142" t="s">
        <v>64</v>
      </c>
      <c r="D1136">
        <v>0.1</v>
      </c>
      <c r="E1136">
        <v>1</v>
      </c>
      <c r="F1136">
        <v>1E-3</v>
      </c>
      <c r="G1136" s="142" t="s">
        <v>6</v>
      </c>
      <c r="H1136" s="142" t="s">
        <v>5</v>
      </c>
      <c r="I1136">
        <v>0</v>
      </c>
      <c r="J1136">
        <v>0</v>
      </c>
      <c r="K1136" s="142" t="s">
        <v>1674</v>
      </c>
      <c r="L1136">
        <v>580</v>
      </c>
      <c r="M1136">
        <v>2.6356999999999998E-2</v>
      </c>
      <c r="N1136">
        <v>579.98</v>
      </c>
      <c r="O1136">
        <v>2.4910000000000002E-2</v>
      </c>
    </row>
    <row r="1137" spans="1:15" x14ac:dyDescent="0.25">
      <c r="A1137" s="142" t="s">
        <v>2776</v>
      </c>
      <c r="B1137" s="142" t="s">
        <v>52</v>
      </c>
      <c r="C1137" s="142" t="s">
        <v>64</v>
      </c>
      <c r="D1137">
        <v>1</v>
      </c>
      <c r="E1137">
        <v>10</v>
      </c>
      <c r="F1137">
        <v>1E-3</v>
      </c>
      <c r="G1137" s="142" t="s">
        <v>6</v>
      </c>
      <c r="H1137" s="142" t="s">
        <v>5</v>
      </c>
      <c r="I1137">
        <v>0</v>
      </c>
      <c r="J1137">
        <v>0</v>
      </c>
      <c r="K1137" s="142" t="s">
        <v>1674</v>
      </c>
      <c r="L1137">
        <v>579.82000000000005</v>
      </c>
      <c r="M1137">
        <v>0.20845</v>
      </c>
      <c r="N1137">
        <v>579.82000000000005</v>
      </c>
      <c r="O1137">
        <v>0.20837</v>
      </c>
    </row>
    <row r="1138" spans="1:15" x14ac:dyDescent="0.25">
      <c r="A1138" s="142" t="s">
        <v>2777</v>
      </c>
      <c r="B1138" s="142" t="s">
        <v>52</v>
      </c>
      <c r="C1138" s="142" t="s">
        <v>64</v>
      </c>
      <c r="D1138">
        <v>10</v>
      </c>
      <c r="E1138">
        <v>100</v>
      </c>
      <c r="F1138">
        <v>1E-3</v>
      </c>
      <c r="G1138" s="142" t="s">
        <v>6</v>
      </c>
      <c r="H1138" s="142" t="s">
        <v>5</v>
      </c>
      <c r="I1138">
        <v>0</v>
      </c>
      <c r="J1138">
        <v>0</v>
      </c>
      <c r="K1138" s="142" t="s">
        <v>1674</v>
      </c>
      <c r="L1138">
        <v>5796</v>
      </c>
      <c r="M1138">
        <v>0.49580000000000002</v>
      </c>
      <c r="N1138">
        <v>5796</v>
      </c>
      <c r="O1138">
        <v>0.49492999999999998</v>
      </c>
    </row>
    <row r="1139" spans="1:15" x14ac:dyDescent="0.25">
      <c r="A1139" s="142" t="s">
        <v>2778</v>
      </c>
      <c r="B1139" s="142" t="s">
        <v>52</v>
      </c>
      <c r="C1139" s="142" t="s">
        <v>64</v>
      </c>
      <c r="D1139">
        <v>100</v>
      </c>
      <c r="E1139">
        <v>1000</v>
      </c>
      <c r="F1139">
        <v>1E-3</v>
      </c>
      <c r="G1139" s="142" t="s">
        <v>6</v>
      </c>
      <c r="H1139" s="142" t="s">
        <v>4</v>
      </c>
      <c r="I1139">
        <v>0</v>
      </c>
      <c r="J1139">
        <v>0</v>
      </c>
      <c r="K1139" s="142" t="s">
        <v>1674</v>
      </c>
      <c r="L1139">
        <v>0.29762</v>
      </c>
      <c r="M1139">
        <v>7.0223999999999998E-3</v>
      </c>
      <c r="N1139">
        <v>0.31958999999999999</v>
      </c>
      <c r="O1139">
        <v>6.7710000000000001E-3</v>
      </c>
    </row>
    <row r="1140" spans="1:15" x14ac:dyDescent="0.25">
      <c r="A1140" s="142" t="s">
        <v>2779</v>
      </c>
      <c r="B1140" s="142" t="s">
        <v>52</v>
      </c>
      <c r="C1140" s="142" t="s">
        <v>64</v>
      </c>
      <c r="D1140">
        <v>0</v>
      </c>
      <c r="E1140">
        <v>0.1</v>
      </c>
      <c r="F1140">
        <v>0.01</v>
      </c>
      <c r="G1140" s="142" t="s">
        <v>6</v>
      </c>
      <c r="H1140" s="142" t="s">
        <v>4</v>
      </c>
      <c r="I1140">
        <v>0</v>
      </c>
      <c r="J1140">
        <v>0</v>
      </c>
      <c r="K1140" s="142" t="s">
        <v>1674</v>
      </c>
      <c r="L1140">
        <v>5.8</v>
      </c>
      <c r="M1140">
        <v>3.1568999999999998E-6</v>
      </c>
      <c r="N1140">
        <v>5.7999000000000001</v>
      </c>
      <c r="O1140">
        <v>6.3600999999999999E-7</v>
      </c>
    </row>
    <row r="1141" spans="1:15" x14ac:dyDescent="0.25">
      <c r="A1141" s="142" t="s">
        <v>2780</v>
      </c>
      <c r="B1141" s="142" t="s">
        <v>52</v>
      </c>
      <c r="C1141" s="142" t="s">
        <v>64</v>
      </c>
      <c r="D1141">
        <v>1</v>
      </c>
      <c r="E1141">
        <v>10</v>
      </c>
      <c r="F1141">
        <v>0.01</v>
      </c>
      <c r="G1141" s="142" t="s">
        <v>6</v>
      </c>
      <c r="H1141" s="142" t="s">
        <v>5</v>
      </c>
      <c r="I1141">
        <v>0</v>
      </c>
      <c r="J1141">
        <v>0</v>
      </c>
      <c r="K1141" s="142" t="s">
        <v>1674</v>
      </c>
      <c r="L1141">
        <v>5800</v>
      </c>
      <c r="M1141">
        <v>2.0903000000000001E-2</v>
      </c>
      <c r="N1141">
        <v>5799.8</v>
      </c>
      <c r="O1141">
        <v>2.0871000000000001E-2</v>
      </c>
    </row>
    <row r="1142" spans="1:15" x14ac:dyDescent="0.25">
      <c r="A1142" s="142" t="s">
        <v>2781</v>
      </c>
      <c r="B1142" s="142" t="s">
        <v>52</v>
      </c>
      <c r="C1142" s="142" t="s">
        <v>64</v>
      </c>
      <c r="D1142">
        <v>10</v>
      </c>
      <c r="E1142">
        <v>100</v>
      </c>
      <c r="F1142">
        <v>0.01</v>
      </c>
      <c r="G1142" s="142" t="s">
        <v>6</v>
      </c>
      <c r="H1142" s="142" t="s">
        <v>5</v>
      </c>
      <c r="I1142">
        <v>0</v>
      </c>
      <c r="J1142">
        <v>0</v>
      </c>
      <c r="K1142" s="142" t="s">
        <v>1674</v>
      </c>
      <c r="L1142">
        <v>58000</v>
      </c>
      <c r="M1142">
        <v>5.0042999999999997E-2</v>
      </c>
      <c r="N1142">
        <v>58000</v>
      </c>
      <c r="O1142">
        <v>4.9688999999999997E-2</v>
      </c>
    </row>
    <row r="1143" spans="1:15" x14ac:dyDescent="0.25">
      <c r="A1143" s="142" t="s">
        <v>2782</v>
      </c>
      <c r="B1143" s="142" t="s">
        <v>52</v>
      </c>
      <c r="C1143" s="142" t="s">
        <v>64</v>
      </c>
      <c r="D1143">
        <v>100</v>
      </c>
      <c r="E1143">
        <v>1000</v>
      </c>
      <c r="F1143">
        <v>0.01</v>
      </c>
      <c r="G1143" s="142" t="s">
        <v>6</v>
      </c>
      <c r="H1143" s="142" t="s">
        <v>4</v>
      </c>
      <c r="I1143">
        <v>0</v>
      </c>
      <c r="J1143">
        <v>0</v>
      </c>
      <c r="K1143" s="142" t="s">
        <v>1674</v>
      </c>
      <c r="L1143">
        <v>5.4923999999999999</v>
      </c>
      <c r="M1143">
        <v>3.6611E-3</v>
      </c>
      <c r="N1143">
        <v>5.4912999999999998</v>
      </c>
      <c r="O1143">
        <v>3.6510000000000002E-3</v>
      </c>
    </row>
    <row r="1144" spans="1:15" x14ac:dyDescent="0.25">
      <c r="A1144" s="142" t="s">
        <v>2783</v>
      </c>
      <c r="B1144" s="142" t="s">
        <v>52</v>
      </c>
      <c r="C1144" s="142" t="s">
        <v>64</v>
      </c>
      <c r="D1144">
        <v>0</v>
      </c>
      <c r="E1144">
        <v>0.1</v>
      </c>
      <c r="F1144">
        <v>0.1</v>
      </c>
      <c r="G1144" s="142" t="s">
        <v>6</v>
      </c>
      <c r="H1144" s="142" t="s">
        <v>4</v>
      </c>
      <c r="I1144">
        <v>0</v>
      </c>
      <c r="J1144">
        <v>0</v>
      </c>
      <c r="K1144" s="142" t="s">
        <v>1674</v>
      </c>
      <c r="L1144">
        <v>58</v>
      </c>
      <c r="M1144">
        <v>1.0720000000000001E-6</v>
      </c>
      <c r="N1144">
        <v>58</v>
      </c>
      <c r="O1144">
        <v>6.3601000000000002E-8</v>
      </c>
    </row>
    <row r="1145" spans="1:15" x14ac:dyDescent="0.25">
      <c r="A1145" s="142" t="s">
        <v>2784</v>
      </c>
      <c r="B1145" s="142" t="s">
        <v>52</v>
      </c>
      <c r="C1145" s="142" t="s">
        <v>64</v>
      </c>
      <c r="D1145">
        <v>10</v>
      </c>
      <c r="E1145">
        <v>100</v>
      </c>
      <c r="F1145">
        <v>0.1</v>
      </c>
      <c r="G1145" s="142" t="s">
        <v>6</v>
      </c>
      <c r="H1145" s="142" t="s">
        <v>5</v>
      </c>
      <c r="I1145">
        <v>0</v>
      </c>
      <c r="J1145">
        <v>0</v>
      </c>
      <c r="K1145" s="142" t="s">
        <v>1674</v>
      </c>
      <c r="L1145">
        <v>580000</v>
      </c>
      <c r="M1145">
        <v>5.1107000000000001E-3</v>
      </c>
      <c r="N1145">
        <v>580000</v>
      </c>
      <c r="O1145">
        <v>4.9690999999999997E-3</v>
      </c>
    </row>
    <row r="1146" spans="1:15" x14ac:dyDescent="0.25">
      <c r="A1146" s="142" t="s">
        <v>2785</v>
      </c>
      <c r="B1146" s="142" t="s">
        <v>52</v>
      </c>
      <c r="C1146" s="142" t="s">
        <v>64</v>
      </c>
      <c r="D1146">
        <v>100</v>
      </c>
      <c r="E1146">
        <v>1000</v>
      </c>
      <c r="F1146">
        <v>0.1</v>
      </c>
      <c r="G1146" s="142" t="s">
        <v>6</v>
      </c>
      <c r="H1146" s="142" t="s">
        <v>4</v>
      </c>
      <c r="I1146">
        <v>0</v>
      </c>
      <c r="J1146">
        <v>0</v>
      </c>
      <c r="K1146" s="142" t="s">
        <v>1674</v>
      </c>
      <c r="L1146">
        <v>57.959000000000003</v>
      </c>
      <c r="M1146">
        <v>4.7718000000000001E-4</v>
      </c>
      <c r="N1146">
        <v>57.959000000000003</v>
      </c>
      <c r="O1146">
        <v>4.7029999999999999E-4</v>
      </c>
    </row>
    <row r="1147" spans="1:15" x14ac:dyDescent="0.25">
      <c r="A1147" s="142" t="s">
        <v>2786</v>
      </c>
      <c r="B1147" s="142" t="s">
        <v>52</v>
      </c>
      <c r="C1147" s="142" t="s">
        <v>64</v>
      </c>
      <c r="D1147">
        <v>100</v>
      </c>
      <c r="E1147">
        <v>1000</v>
      </c>
      <c r="F1147">
        <v>1</v>
      </c>
      <c r="G1147" s="142" t="s">
        <v>6</v>
      </c>
      <c r="H1147" s="142" t="s">
        <v>4</v>
      </c>
      <c r="I1147">
        <v>0</v>
      </c>
      <c r="J1147">
        <v>0</v>
      </c>
      <c r="K1147" s="142" t="s">
        <v>1674</v>
      </c>
      <c r="L1147">
        <v>580</v>
      </c>
      <c r="M1147">
        <v>4.9976999999999999E-5</v>
      </c>
      <c r="N1147">
        <v>579.95000000000005</v>
      </c>
      <c r="O1147">
        <v>4.7205E-5</v>
      </c>
    </row>
    <row r="1148" spans="1:15" x14ac:dyDescent="0.25">
      <c r="A1148" s="142" t="s">
        <v>238</v>
      </c>
      <c r="B1148" s="142" t="s">
        <v>52</v>
      </c>
      <c r="C1148" s="142" t="s">
        <v>75</v>
      </c>
      <c r="D1148">
        <v>-454</v>
      </c>
      <c r="E1148">
        <v>300</v>
      </c>
      <c r="F1148">
        <v>0.1</v>
      </c>
      <c r="G1148" s="142" t="s">
        <v>26</v>
      </c>
      <c r="H1148" s="142" t="s">
        <v>26</v>
      </c>
      <c r="I1148">
        <v>0</v>
      </c>
      <c r="J1148">
        <v>0</v>
      </c>
      <c r="K1148" s="142" t="s">
        <v>1674</v>
      </c>
      <c r="L1148">
        <v>0.17</v>
      </c>
      <c r="M1148">
        <v>0</v>
      </c>
      <c r="N1148">
        <v>0.149839716875</v>
      </c>
      <c r="O1148">
        <v>0</v>
      </c>
    </row>
    <row r="1149" spans="1:15" x14ac:dyDescent="0.25">
      <c r="A1149" s="142" t="s">
        <v>240</v>
      </c>
      <c r="B1149" s="142" t="s">
        <v>52</v>
      </c>
      <c r="C1149" s="142" t="s">
        <v>75</v>
      </c>
      <c r="D1149">
        <v>300.00099999999998</v>
      </c>
      <c r="E1149">
        <v>1100</v>
      </c>
      <c r="F1149">
        <v>0.1</v>
      </c>
      <c r="G1149" s="142" t="s">
        <v>26</v>
      </c>
      <c r="H1149" s="142" t="s">
        <v>26</v>
      </c>
      <c r="I1149">
        <v>0</v>
      </c>
      <c r="J1149">
        <v>0</v>
      </c>
      <c r="K1149" s="142" t="s">
        <v>1674</v>
      </c>
      <c r="L1149">
        <v>0.11</v>
      </c>
      <c r="M1149">
        <v>0</v>
      </c>
      <c r="N1149">
        <v>0.102118800405</v>
      </c>
      <c r="O1149">
        <v>0</v>
      </c>
    </row>
    <row r="1150" spans="1:15" x14ac:dyDescent="0.25">
      <c r="A1150" s="142" t="s">
        <v>242</v>
      </c>
      <c r="B1150" s="142" t="s">
        <v>52</v>
      </c>
      <c r="C1150" s="142" t="s">
        <v>75</v>
      </c>
      <c r="D1150">
        <v>1100.001</v>
      </c>
      <c r="E1150">
        <v>1832</v>
      </c>
      <c r="F1150">
        <v>0.1</v>
      </c>
      <c r="G1150" s="142" t="s">
        <v>26</v>
      </c>
      <c r="H1150" s="142" t="s">
        <v>26</v>
      </c>
      <c r="I1150">
        <v>0</v>
      </c>
      <c r="J1150">
        <v>0</v>
      </c>
      <c r="K1150" s="142" t="s">
        <v>1674</v>
      </c>
      <c r="L1150">
        <v>0.11</v>
      </c>
      <c r="M1150">
        <v>0</v>
      </c>
      <c r="N1150">
        <v>0.10631152283799999</v>
      </c>
      <c r="O1150">
        <v>0</v>
      </c>
    </row>
    <row r="1151" spans="1:15" x14ac:dyDescent="0.25">
      <c r="A1151" s="142" t="s">
        <v>239</v>
      </c>
      <c r="B1151" s="142" t="s">
        <v>52</v>
      </c>
      <c r="C1151" s="142" t="s">
        <v>75</v>
      </c>
      <c r="D1151">
        <v>-454</v>
      </c>
      <c r="E1151">
        <v>300</v>
      </c>
      <c r="F1151">
        <v>1</v>
      </c>
      <c r="G1151" s="142" t="s">
        <v>26</v>
      </c>
      <c r="H1151" s="142" t="s">
        <v>26</v>
      </c>
      <c r="I1151">
        <v>0</v>
      </c>
      <c r="J1151">
        <v>0</v>
      </c>
      <c r="K1151" s="142" t="s">
        <v>1674</v>
      </c>
      <c r="L1151">
        <v>0.61434187611900004</v>
      </c>
      <c r="M1151">
        <v>0</v>
      </c>
      <c r="N1151">
        <v>0.59367662978500002</v>
      </c>
      <c r="O1151">
        <v>0</v>
      </c>
    </row>
    <row r="1152" spans="1:15" x14ac:dyDescent="0.25">
      <c r="A1152" s="142" t="s">
        <v>241</v>
      </c>
      <c r="B1152" s="142" t="s">
        <v>52</v>
      </c>
      <c r="C1152" s="142" t="s">
        <v>75</v>
      </c>
      <c r="D1152">
        <v>300.00099999999998</v>
      </c>
      <c r="E1152">
        <v>1100</v>
      </c>
      <c r="F1152">
        <v>1</v>
      </c>
      <c r="G1152" s="142" t="s">
        <v>26</v>
      </c>
      <c r="H1152" s="142" t="s">
        <v>26</v>
      </c>
      <c r="I1152">
        <v>0</v>
      </c>
      <c r="J1152">
        <v>0</v>
      </c>
      <c r="K1152" s="142" t="s">
        <v>1674</v>
      </c>
      <c r="L1152">
        <v>0.58583447079700002</v>
      </c>
      <c r="M1152">
        <v>0</v>
      </c>
      <c r="N1152">
        <v>0.58346229475099998</v>
      </c>
      <c r="O1152">
        <v>0</v>
      </c>
    </row>
    <row r="1153" spans="1:15" x14ac:dyDescent="0.25">
      <c r="A1153" s="142" t="s">
        <v>243</v>
      </c>
      <c r="B1153" s="142" t="s">
        <v>52</v>
      </c>
      <c r="C1153" s="142" t="s">
        <v>75</v>
      </c>
      <c r="D1153">
        <v>1100.001</v>
      </c>
      <c r="E1153">
        <v>1832</v>
      </c>
      <c r="F1153">
        <v>1</v>
      </c>
      <c r="G1153" s="142" t="s">
        <v>26</v>
      </c>
      <c r="H1153" s="142" t="s">
        <v>26</v>
      </c>
      <c r="I1153">
        <v>0</v>
      </c>
      <c r="J1153">
        <v>0</v>
      </c>
      <c r="K1153" s="142" t="s">
        <v>1674</v>
      </c>
      <c r="L1153">
        <v>0.586579847647</v>
      </c>
      <c r="M1153">
        <v>0</v>
      </c>
      <c r="N1153">
        <v>0.584210698197</v>
      </c>
      <c r="O1153">
        <v>0</v>
      </c>
    </row>
    <row r="1154" spans="1:15" x14ac:dyDescent="0.25">
      <c r="A1154" s="142" t="s">
        <v>232</v>
      </c>
      <c r="B1154" s="142" t="s">
        <v>52</v>
      </c>
      <c r="C1154" s="142" t="s">
        <v>76</v>
      </c>
      <c r="D1154">
        <v>-346</v>
      </c>
      <c r="E1154">
        <v>499.99900000000002</v>
      </c>
      <c r="F1154">
        <v>0.1</v>
      </c>
      <c r="G1154" s="142" t="s">
        <v>26</v>
      </c>
      <c r="H1154" s="142" t="s">
        <v>26</v>
      </c>
      <c r="I1154">
        <v>0</v>
      </c>
      <c r="J1154">
        <v>0</v>
      </c>
      <c r="K1154" s="142" t="s">
        <v>1674</v>
      </c>
      <c r="L1154">
        <v>0.28209152966500001</v>
      </c>
      <c r="M1154">
        <v>0</v>
      </c>
      <c r="N1154">
        <v>0.261687829288</v>
      </c>
      <c r="O1154">
        <v>0</v>
      </c>
    </row>
    <row r="1155" spans="1:15" x14ac:dyDescent="0.25">
      <c r="A1155" s="142" t="s">
        <v>234</v>
      </c>
      <c r="B1155" s="142" t="s">
        <v>52</v>
      </c>
      <c r="C1155" s="142" t="s">
        <v>76</v>
      </c>
      <c r="D1155">
        <v>500</v>
      </c>
      <c r="E1155">
        <v>1350</v>
      </c>
      <c r="F1155">
        <v>0.1</v>
      </c>
      <c r="G1155" s="142" t="s">
        <v>26</v>
      </c>
      <c r="H1155" s="142" t="s">
        <v>26</v>
      </c>
      <c r="I1155">
        <v>0</v>
      </c>
      <c r="J1155">
        <v>0</v>
      </c>
      <c r="K1155" s="142" t="s">
        <v>1674</v>
      </c>
      <c r="L1155">
        <v>0.172507907258</v>
      </c>
      <c r="M1155">
        <v>0</v>
      </c>
      <c r="N1155">
        <v>0.136615763935</v>
      </c>
      <c r="O1155">
        <v>0</v>
      </c>
    </row>
    <row r="1156" spans="1:15" x14ac:dyDescent="0.25">
      <c r="A1156" s="142" t="s">
        <v>236</v>
      </c>
      <c r="B1156" s="142" t="s">
        <v>52</v>
      </c>
      <c r="C1156" s="142" t="s">
        <v>76</v>
      </c>
      <c r="D1156">
        <v>1350.001</v>
      </c>
      <c r="E1156">
        <v>2192</v>
      </c>
      <c r="F1156">
        <v>0.1</v>
      </c>
      <c r="G1156" s="142" t="s">
        <v>26</v>
      </c>
      <c r="H1156" s="142" t="s">
        <v>26</v>
      </c>
      <c r="I1156">
        <v>0</v>
      </c>
      <c r="J1156">
        <v>0</v>
      </c>
      <c r="K1156" s="142" t="s">
        <v>1674</v>
      </c>
      <c r="L1156">
        <v>0.131032345774</v>
      </c>
      <c r="M1156">
        <v>0</v>
      </c>
      <c r="N1156">
        <v>0.118528374827</v>
      </c>
      <c r="O1156">
        <v>0</v>
      </c>
    </row>
    <row r="1157" spans="1:15" x14ac:dyDescent="0.25">
      <c r="A1157" s="142" t="s">
        <v>233</v>
      </c>
      <c r="B1157" s="142" t="s">
        <v>52</v>
      </c>
      <c r="C1157" s="142" t="s">
        <v>76</v>
      </c>
      <c r="D1157">
        <v>-346</v>
      </c>
      <c r="E1157">
        <v>499.99900000000002</v>
      </c>
      <c r="F1157">
        <v>1</v>
      </c>
      <c r="G1157" s="142" t="s">
        <v>26</v>
      </c>
      <c r="H1157" s="142" t="s">
        <v>26</v>
      </c>
      <c r="I1157">
        <v>0</v>
      </c>
      <c r="J1157">
        <v>0</v>
      </c>
      <c r="K1157" s="142" t="s">
        <v>1674</v>
      </c>
      <c r="L1157">
        <v>0.13</v>
      </c>
      <c r="M1157">
        <v>0</v>
      </c>
      <c r="N1157">
        <v>0.119938457003</v>
      </c>
      <c r="O1157">
        <v>0</v>
      </c>
    </row>
    <row r="1158" spans="1:15" x14ac:dyDescent="0.25">
      <c r="A1158" s="142" t="s">
        <v>235</v>
      </c>
      <c r="B1158" s="142" t="s">
        <v>52</v>
      </c>
      <c r="C1158" s="142" t="s">
        <v>76</v>
      </c>
      <c r="D1158">
        <v>500</v>
      </c>
      <c r="E1158">
        <v>1350</v>
      </c>
      <c r="F1158">
        <v>1</v>
      </c>
      <c r="G1158" s="142" t="s">
        <v>26</v>
      </c>
      <c r="H1158" s="142" t="s">
        <v>26</v>
      </c>
      <c r="I1158">
        <v>0</v>
      </c>
      <c r="J1158">
        <v>0</v>
      </c>
      <c r="K1158" s="142" t="s">
        <v>1674</v>
      </c>
      <c r="L1158">
        <v>0.66547799696300003</v>
      </c>
      <c r="M1158">
        <v>0</v>
      </c>
      <c r="N1158">
        <v>0.63125313464400001</v>
      </c>
      <c r="O1158">
        <v>0</v>
      </c>
    </row>
    <row r="1159" spans="1:15" x14ac:dyDescent="0.25">
      <c r="A1159" s="142" t="s">
        <v>237</v>
      </c>
      <c r="B1159" s="142" t="s">
        <v>52</v>
      </c>
      <c r="C1159" s="142" t="s">
        <v>76</v>
      </c>
      <c r="D1159">
        <v>1350.001</v>
      </c>
      <c r="E1159">
        <v>2192</v>
      </c>
      <c r="F1159">
        <v>1</v>
      </c>
      <c r="G1159" s="142" t="s">
        <v>26</v>
      </c>
      <c r="H1159" s="142" t="s">
        <v>26</v>
      </c>
      <c r="I1159">
        <v>0</v>
      </c>
      <c r="J1159">
        <v>0</v>
      </c>
      <c r="K1159" s="142" t="s">
        <v>1674</v>
      </c>
      <c r="L1159">
        <v>0.62693246159399996</v>
      </c>
      <c r="M1159">
        <v>0</v>
      </c>
      <c r="N1159">
        <v>0.59047765999699997</v>
      </c>
      <c r="O1159">
        <v>0</v>
      </c>
    </row>
    <row r="1160" spans="1:15" x14ac:dyDescent="0.25">
      <c r="A1160" s="142" t="s">
        <v>226</v>
      </c>
      <c r="B1160" s="142" t="s">
        <v>52</v>
      </c>
      <c r="C1160" s="142" t="s">
        <v>77</v>
      </c>
      <c r="D1160">
        <v>-454</v>
      </c>
      <c r="E1160">
        <v>-400.00099999999998</v>
      </c>
      <c r="F1160">
        <v>0.1</v>
      </c>
      <c r="G1160" s="142" t="s">
        <v>26</v>
      </c>
      <c r="H1160" s="142" t="s">
        <v>26</v>
      </c>
      <c r="I1160">
        <v>0</v>
      </c>
      <c r="J1160">
        <v>0</v>
      </c>
      <c r="K1160" s="142" t="s">
        <v>1674</v>
      </c>
      <c r="L1160">
        <v>0.639322233046</v>
      </c>
      <c r="M1160">
        <v>0</v>
      </c>
      <c r="N1160">
        <v>0.62851829697200001</v>
      </c>
      <c r="O1160">
        <v>0</v>
      </c>
    </row>
    <row r="1161" spans="1:15" x14ac:dyDescent="0.25">
      <c r="A1161" s="142" t="s">
        <v>227</v>
      </c>
      <c r="B1161" s="142" t="s">
        <v>52</v>
      </c>
      <c r="C1161" s="142" t="s">
        <v>77</v>
      </c>
      <c r="D1161">
        <v>-400</v>
      </c>
      <c r="E1161">
        <v>499.99900000000002</v>
      </c>
      <c r="F1161">
        <v>0.1</v>
      </c>
      <c r="G1161" s="142" t="s">
        <v>26</v>
      </c>
      <c r="H1161" s="142" t="s">
        <v>26</v>
      </c>
      <c r="I1161">
        <v>0</v>
      </c>
      <c r="J1161">
        <v>0</v>
      </c>
      <c r="K1161" s="142" t="s">
        <v>1674</v>
      </c>
      <c r="L1161">
        <v>0.59989707968499995</v>
      </c>
      <c r="M1161">
        <v>0</v>
      </c>
      <c r="N1161">
        <v>0.58836964416600002</v>
      </c>
      <c r="O1161">
        <v>0</v>
      </c>
    </row>
    <row r="1162" spans="1:15" x14ac:dyDescent="0.25">
      <c r="A1162" s="142" t="s">
        <v>229</v>
      </c>
      <c r="B1162" s="142" t="s">
        <v>52</v>
      </c>
      <c r="C1162" s="142" t="s">
        <v>77</v>
      </c>
      <c r="D1162">
        <v>500</v>
      </c>
      <c r="E1162">
        <v>1500</v>
      </c>
      <c r="F1162">
        <v>0.1</v>
      </c>
      <c r="G1162" s="142" t="s">
        <v>26</v>
      </c>
      <c r="H1162" s="142" t="s">
        <v>26</v>
      </c>
      <c r="I1162">
        <v>0</v>
      </c>
      <c r="J1162">
        <v>0</v>
      </c>
      <c r="K1162" s="142" t="s">
        <v>1674</v>
      </c>
      <c r="L1162">
        <v>0.58772419520899999</v>
      </c>
      <c r="M1162">
        <v>0</v>
      </c>
      <c r="N1162">
        <v>0.58443755910999995</v>
      </c>
      <c r="O1162">
        <v>0</v>
      </c>
    </row>
    <row r="1163" spans="1:15" x14ac:dyDescent="0.25">
      <c r="A1163" s="142" t="s">
        <v>231</v>
      </c>
      <c r="B1163" s="142" t="s">
        <v>52</v>
      </c>
      <c r="C1163" s="142" t="s">
        <v>77</v>
      </c>
      <c r="D1163">
        <v>1500.001</v>
      </c>
      <c r="E1163">
        <v>2500</v>
      </c>
      <c r="F1163">
        <v>0.1</v>
      </c>
      <c r="G1163" s="142" t="s">
        <v>26</v>
      </c>
      <c r="H1163" s="142" t="s">
        <v>26</v>
      </c>
      <c r="I1163">
        <v>0</v>
      </c>
      <c r="J1163">
        <v>0</v>
      </c>
      <c r="K1163" s="142" t="s">
        <v>1674</v>
      </c>
      <c r="L1163">
        <v>0.58659283710599996</v>
      </c>
      <c r="M1163">
        <v>0</v>
      </c>
      <c r="N1163">
        <v>0.58421641343200004</v>
      </c>
      <c r="O1163">
        <v>0</v>
      </c>
    </row>
    <row r="1164" spans="1:15" x14ac:dyDescent="0.25">
      <c r="A1164" s="142" t="s">
        <v>2148</v>
      </c>
      <c r="B1164" s="142" t="s">
        <v>52</v>
      </c>
      <c r="C1164" s="142" t="s">
        <v>77</v>
      </c>
      <c r="D1164">
        <v>-454</v>
      </c>
      <c r="E1164">
        <v>-400.00099999999998</v>
      </c>
      <c r="F1164">
        <v>1</v>
      </c>
      <c r="G1164" s="142" t="s">
        <v>26</v>
      </c>
      <c r="H1164" s="142" t="s">
        <v>26</v>
      </c>
      <c r="I1164">
        <v>0</v>
      </c>
      <c r="J1164">
        <v>0</v>
      </c>
      <c r="K1164" s="142" t="s">
        <v>1674</v>
      </c>
      <c r="L1164">
        <v>5.4100114643200001</v>
      </c>
      <c r="M1164">
        <v>0</v>
      </c>
      <c r="N1164">
        <v>5.4084250289779998</v>
      </c>
      <c r="O1164">
        <v>0</v>
      </c>
    </row>
    <row r="1165" spans="1:15" x14ac:dyDescent="0.25">
      <c r="A1165" s="142" t="s">
        <v>228</v>
      </c>
      <c r="B1165" s="142" t="s">
        <v>52</v>
      </c>
      <c r="C1165" s="142" t="s">
        <v>77</v>
      </c>
      <c r="D1165">
        <v>-400</v>
      </c>
      <c r="E1165">
        <v>499.99900000000002</v>
      </c>
      <c r="F1165">
        <v>1</v>
      </c>
      <c r="G1165" s="142" t="s">
        <v>26</v>
      </c>
      <c r="H1165" s="142" t="s">
        <v>26</v>
      </c>
      <c r="I1165">
        <v>0</v>
      </c>
      <c r="J1165">
        <v>0</v>
      </c>
      <c r="K1165" s="142" t="s">
        <v>1674</v>
      </c>
      <c r="L1165">
        <v>0.79012617502299998</v>
      </c>
      <c r="M1165">
        <v>0</v>
      </c>
      <c r="N1165">
        <v>0.78074559109300001</v>
      </c>
      <c r="O1165">
        <v>0</v>
      </c>
    </row>
    <row r="1166" spans="1:15" x14ac:dyDescent="0.25">
      <c r="A1166" s="142" t="s">
        <v>230</v>
      </c>
      <c r="B1166" s="142" t="s">
        <v>52</v>
      </c>
      <c r="C1166" s="142" t="s">
        <v>77</v>
      </c>
      <c r="D1166">
        <v>500</v>
      </c>
      <c r="E1166">
        <v>1500</v>
      </c>
      <c r="F1166">
        <v>1</v>
      </c>
      <c r="G1166" s="142" t="s">
        <v>26</v>
      </c>
      <c r="H1166" s="142" t="s">
        <v>26</v>
      </c>
      <c r="I1166">
        <v>0</v>
      </c>
      <c r="J1166">
        <v>0</v>
      </c>
      <c r="K1166" s="142" t="s">
        <v>1674</v>
      </c>
      <c r="L1166">
        <v>0.22275965079599999</v>
      </c>
      <c r="M1166">
        <v>0</v>
      </c>
      <c r="N1166">
        <v>0.18677839162599999</v>
      </c>
      <c r="O1166">
        <v>0</v>
      </c>
    </row>
    <row r="1167" spans="1:15" x14ac:dyDescent="0.25">
      <c r="A1167" s="142" t="s">
        <v>2149</v>
      </c>
      <c r="B1167" s="142" t="s">
        <v>52</v>
      </c>
      <c r="C1167" s="142" t="s">
        <v>77</v>
      </c>
      <c r="D1167">
        <v>1500.001</v>
      </c>
      <c r="E1167">
        <v>2500</v>
      </c>
      <c r="F1167">
        <v>1</v>
      </c>
      <c r="G1167" s="142" t="s">
        <v>26</v>
      </c>
      <c r="H1167" s="142" t="s">
        <v>26</v>
      </c>
      <c r="I1167">
        <v>0</v>
      </c>
      <c r="J1167">
        <v>0</v>
      </c>
      <c r="K1167" s="142" t="s">
        <v>1674</v>
      </c>
      <c r="L1167">
        <v>0.18</v>
      </c>
      <c r="M1167">
        <v>0</v>
      </c>
      <c r="N1167">
        <v>0.15940342981799999</v>
      </c>
      <c r="O1167">
        <v>0</v>
      </c>
    </row>
    <row r="1168" spans="1:15" x14ac:dyDescent="0.25">
      <c r="A1168" s="142" t="s">
        <v>218</v>
      </c>
      <c r="B1168" s="142" t="s">
        <v>52</v>
      </c>
      <c r="C1168" s="142" t="s">
        <v>78</v>
      </c>
      <c r="D1168">
        <v>-454</v>
      </c>
      <c r="E1168">
        <v>-400.00099999999998</v>
      </c>
      <c r="F1168">
        <v>0.1</v>
      </c>
      <c r="G1168" s="142" t="s">
        <v>26</v>
      </c>
      <c r="H1168" s="142" t="s">
        <v>26</v>
      </c>
      <c r="I1168">
        <v>0</v>
      </c>
      <c r="J1168">
        <v>0</v>
      </c>
      <c r="K1168" s="142" t="s">
        <v>1674</v>
      </c>
      <c r="L1168">
        <v>0.19189661520699999</v>
      </c>
      <c r="M1168">
        <v>0</v>
      </c>
      <c r="N1168">
        <v>0.17965594086200001</v>
      </c>
      <c r="O1168">
        <v>0</v>
      </c>
    </row>
    <row r="1169" spans="1:15" x14ac:dyDescent="0.25">
      <c r="A1169" s="142" t="s">
        <v>220</v>
      </c>
      <c r="B1169" s="142" t="s">
        <v>52</v>
      </c>
      <c r="C1169" s="142" t="s">
        <v>78</v>
      </c>
      <c r="D1169">
        <v>-400</v>
      </c>
      <c r="E1169">
        <v>-150.001</v>
      </c>
      <c r="F1169">
        <v>0.1</v>
      </c>
      <c r="G1169" s="142" t="s">
        <v>26</v>
      </c>
      <c r="H1169" s="142" t="s">
        <v>26</v>
      </c>
      <c r="I1169">
        <v>0</v>
      </c>
      <c r="J1169">
        <v>0</v>
      </c>
      <c r="K1169" s="142" t="s">
        <v>1674</v>
      </c>
      <c r="L1169">
        <v>0.15523093856299999</v>
      </c>
      <c r="M1169">
        <v>0</v>
      </c>
      <c r="N1169">
        <v>0.149792998161</v>
      </c>
      <c r="O1169">
        <v>0</v>
      </c>
    </row>
    <row r="1170" spans="1:15" x14ac:dyDescent="0.25">
      <c r="A1170" s="142" t="s">
        <v>221</v>
      </c>
      <c r="B1170" s="142" t="s">
        <v>52</v>
      </c>
      <c r="C1170" s="142" t="s">
        <v>78</v>
      </c>
      <c r="D1170">
        <v>-150</v>
      </c>
      <c r="E1170">
        <v>700</v>
      </c>
      <c r="F1170">
        <v>0.1</v>
      </c>
      <c r="G1170" s="142" t="s">
        <v>26</v>
      </c>
      <c r="H1170" s="142" t="s">
        <v>26</v>
      </c>
      <c r="I1170">
        <v>0</v>
      </c>
      <c r="J1170">
        <v>0</v>
      </c>
      <c r="K1170" s="142" t="s">
        <v>1674</v>
      </c>
      <c r="L1170">
        <v>0.179757504225</v>
      </c>
      <c r="M1170">
        <v>0</v>
      </c>
      <c r="N1170">
        <v>0.17323966100999999</v>
      </c>
      <c r="O1170">
        <v>0</v>
      </c>
    </row>
    <row r="1171" spans="1:15" x14ac:dyDescent="0.25">
      <c r="A1171" s="142" t="s">
        <v>222</v>
      </c>
      <c r="B1171" s="142" t="s">
        <v>52</v>
      </c>
      <c r="C1171" s="142" t="s">
        <v>78</v>
      </c>
      <c r="D1171">
        <v>700.00099999999998</v>
      </c>
      <c r="E1171">
        <v>1500</v>
      </c>
      <c r="F1171">
        <v>0.1</v>
      </c>
      <c r="G1171" s="142" t="s">
        <v>26</v>
      </c>
      <c r="H1171" s="142" t="s">
        <v>26</v>
      </c>
      <c r="I1171">
        <v>0</v>
      </c>
      <c r="J1171">
        <v>0</v>
      </c>
      <c r="K1171" s="142" t="s">
        <v>1674</v>
      </c>
      <c r="L1171">
        <v>5.4058194306249998</v>
      </c>
      <c r="M1171">
        <v>0</v>
      </c>
      <c r="N1171">
        <v>5.4038592816869997</v>
      </c>
      <c r="O1171">
        <v>0</v>
      </c>
    </row>
    <row r="1172" spans="1:15" x14ac:dyDescent="0.25">
      <c r="A1172" s="142" t="s">
        <v>224</v>
      </c>
      <c r="B1172" s="142" t="s">
        <v>52</v>
      </c>
      <c r="C1172" s="142" t="s">
        <v>78</v>
      </c>
      <c r="D1172">
        <v>1500.001</v>
      </c>
      <c r="E1172">
        <v>2372</v>
      </c>
      <c r="F1172">
        <v>0.1</v>
      </c>
      <c r="G1172" s="142" t="s">
        <v>26</v>
      </c>
      <c r="H1172" s="142" t="s">
        <v>26</v>
      </c>
      <c r="I1172">
        <v>0</v>
      </c>
      <c r="J1172">
        <v>0</v>
      </c>
      <c r="K1172" s="142" t="s">
        <v>1674</v>
      </c>
      <c r="L1172">
        <v>0.97350992684100002</v>
      </c>
      <c r="M1172">
        <v>0</v>
      </c>
      <c r="N1172">
        <v>0.96412103093699997</v>
      </c>
      <c r="O1172">
        <v>0</v>
      </c>
    </row>
    <row r="1173" spans="1:15" x14ac:dyDescent="0.25">
      <c r="A1173" s="142" t="s">
        <v>219</v>
      </c>
      <c r="B1173" s="142" t="s">
        <v>52</v>
      </c>
      <c r="C1173" s="142" t="s">
        <v>78</v>
      </c>
      <c r="D1173">
        <v>-454</v>
      </c>
      <c r="E1173">
        <v>-400.00099999999998</v>
      </c>
      <c r="F1173">
        <v>1</v>
      </c>
      <c r="G1173" s="142" t="s">
        <v>26</v>
      </c>
      <c r="H1173" s="142" t="s">
        <v>26</v>
      </c>
      <c r="I1173">
        <v>0</v>
      </c>
      <c r="J1173">
        <v>0</v>
      </c>
      <c r="K1173" s="142" t="s">
        <v>1674</v>
      </c>
      <c r="L1173">
        <v>0.61682126458999997</v>
      </c>
      <c r="M1173">
        <v>0</v>
      </c>
      <c r="N1173">
        <v>0.601893891884</v>
      </c>
      <c r="O1173">
        <v>0</v>
      </c>
    </row>
    <row r="1174" spans="1:15" x14ac:dyDescent="0.25">
      <c r="A1174" s="142" t="s">
        <v>2150</v>
      </c>
      <c r="B1174" s="142" t="s">
        <v>52</v>
      </c>
      <c r="C1174" s="142" t="s">
        <v>78</v>
      </c>
      <c r="D1174">
        <v>-400</v>
      </c>
      <c r="E1174">
        <v>-150.001</v>
      </c>
      <c r="F1174">
        <v>1</v>
      </c>
      <c r="G1174" s="142" t="s">
        <v>26</v>
      </c>
      <c r="H1174" s="142" t="s">
        <v>26</v>
      </c>
      <c r="I1174">
        <v>0</v>
      </c>
      <c r="J1174">
        <v>0</v>
      </c>
      <c r="K1174" s="142" t="s">
        <v>1674</v>
      </c>
      <c r="L1174">
        <v>0.59922679367200005</v>
      </c>
      <c r="M1174">
        <v>0</v>
      </c>
      <c r="N1174">
        <v>0.593664840039</v>
      </c>
      <c r="O1174">
        <v>0</v>
      </c>
    </row>
    <row r="1175" spans="1:15" x14ac:dyDescent="0.25">
      <c r="A1175" s="142" t="s">
        <v>2151</v>
      </c>
      <c r="B1175" s="142" t="s">
        <v>52</v>
      </c>
      <c r="C1175" s="142" t="s">
        <v>78</v>
      </c>
      <c r="D1175">
        <v>-150</v>
      </c>
      <c r="E1175">
        <v>700</v>
      </c>
      <c r="F1175">
        <v>1</v>
      </c>
      <c r="G1175" s="142" t="s">
        <v>26</v>
      </c>
      <c r="H1175" s="142" t="s">
        <v>26</v>
      </c>
      <c r="I1175">
        <v>0</v>
      </c>
      <c r="J1175">
        <v>0</v>
      </c>
      <c r="K1175" s="142" t="s">
        <v>1674</v>
      </c>
      <c r="L1175">
        <v>0.60763072738299995</v>
      </c>
      <c r="M1175">
        <v>0</v>
      </c>
      <c r="N1175">
        <v>0.60000998337300004</v>
      </c>
      <c r="O1175">
        <v>0</v>
      </c>
    </row>
    <row r="1176" spans="1:15" x14ac:dyDescent="0.25">
      <c r="A1176" s="142" t="s">
        <v>223</v>
      </c>
      <c r="B1176" s="142" t="s">
        <v>52</v>
      </c>
      <c r="C1176" s="142" t="s">
        <v>78</v>
      </c>
      <c r="D1176">
        <v>700.00099999999998</v>
      </c>
      <c r="E1176">
        <v>1500</v>
      </c>
      <c r="F1176">
        <v>1</v>
      </c>
      <c r="G1176" s="142" t="s">
        <v>26</v>
      </c>
      <c r="H1176" s="142" t="s">
        <v>26</v>
      </c>
      <c r="I1176">
        <v>0</v>
      </c>
      <c r="J1176">
        <v>0</v>
      </c>
      <c r="K1176" s="142" t="s">
        <v>1674</v>
      </c>
      <c r="L1176">
        <v>1.7</v>
      </c>
      <c r="M1176">
        <v>0</v>
      </c>
      <c r="N1176">
        <v>1.648006168882</v>
      </c>
      <c r="O1176">
        <v>0</v>
      </c>
    </row>
    <row r="1177" spans="1:15" x14ac:dyDescent="0.25">
      <c r="A1177" s="142" t="s">
        <v>225</v>
      </c>
      <c r="B1177" s="142" t="s">
        <v>52</v>
      </c>
      <c r="C1177" s="142" t="s">
        <v>78</v>
      </c>
      <c r="D1177">
        <v>1500.001</v>
      </c>
      <c r="E1177">
        <v>2372</v>
      </c>
      <c r="F1177">
        <v>1</v>
      </c>
      <c r="G1177" s="142" t="s">
        <v>26</v>
      </c>
      <c r="H1177" s="142" t="s">
        <v>26</v>
      </c>
      <c r="I1177">
        <v>0</v>
      </c>
      <c r="J1177">
        <v>0</v>
      </c>
      <c r="K1177" s="142" t="s">
        <v>1674</v>
      </c>
      <c r="L1177">
        <v>0.54</v>
      </c>
      <c r="M1177">
        <v>0</v>
      </c>
      <c r="N1177">
        <v>0.52364077073100002</v>
      </c>
      <c r="O1177">
        <v>0</v>
      </c>
    </row>
    <row r="1178" spans="1:15" x14ac:dyDescent="0.25">
      <c r="A1178" s="142" t="s">
        <v>206</v>
      </c>
      <c r="B1178" s="142" t="s">
        <v>52</v>
      </c>
      <c r="C1178" s="142" t="s">
        <v>82</v>
      </c>
      <c r="D1178">
        <v>-320</v>
      </c>
      <c r="E1178">
        <v>32</v>
      </c>
      <c r="F1178">
        <v>0.01</v>
      </c>
      <c r="G1178" s="142" t="s">
        <v>26</v>
      </c>
      <c r="H1178" s="142" t="s">
        <v>26</v>
      </c>
      <c r="I1178">
        <v>0</v>
      </c>
      <c r="J1178">
        <v>0</v>
      </c>
      <c r="K1178" s="142" t="s">
        <v>1674</v>
      </c>
      <c r="L1178">
        <v>1.2999999999999999E-2</v>
      </c>
      <c r="M1178">
        <v>0</v>
      </c>
      <c r="N1178">
        <v>1.0628590788000001E-2</v>
      </c>
      <c r="O1178">
        <v>0</v>
      </c>
    </row>
    <row r="1179" spans="1:15" x14ac:dyDescent="0.25">
      <c r="A1179" s="142" t="s">
        <v>2157</v>
      </c>
      <c r="B1179" s="142" t="s">
        <v>52</v>
      </c>
      <c r="C1179" s="142" t="s">
        <v>82</v>
      </c>
      <c r="D1179">
        <v>32.000999999999998</v>
      </c>
      <c r="E1179">
        <v>400</v>
      </c>
      <c r="F1179">
        <v>0.01</v>
      </c>
      <c r="G1179" s="142" t="s">
        <v>26</v>
      </c>
      <c r="H1179" s="142" t="s">
        <v>26</v>
      </c>
      <c r="I1179">
        <v>0</v>
      </c>
      <c r="J1179">
        <v>0</v>
      </c>
      <c r="K1179" s="142" t="s">
        <v>1674</v>
      </c>
      <c r="L1179">
        <v>1.6E-2</v>
      </c>
      <c r="M1179">
        <v>0</v>
      </c>
      <c r="N1179">
        <v>1.4506479885E-2</v>
      </c>
      <c r="O1179">
        <v>0</v>
      </c>
    </row>
    <row r="1180" spans="1:15" x14ac:dyDescent="0.25">
      <c r="A1180" s="142" t="s">
        <v>209</v>
      </c>
      <c r="B1180" s="142" t="s">
        <v>52</v>
      </c>
      <c r="C1180" s="142" t="s">
        <v>82</v>
      </c>
      <c r="D1180">
        <v>400.00099999999998</v>
      </c>
      <c r="E1180">
        <v>800</v>
      </c>
      <c r="F1180">
        <v>0.01</v>
      </c>
      <c r="G1180" s="142" t="s">
        <v>26</v>
      </c>
      <c r="H1180" s="142" t="s">
        <v>26</v>
      </c>
      <c r="I1180">
        <v>0</v>
      </c>
      <c r="J1180">
        <v>0</v>
      </c>
      <c r="K1180" s="142" t="s">
        <v>1674</v>
      </c>
      <c r="L1180">
        <v>2.0441031756999999E-2</v>
      </c>
      <c r="M1180">
        <v>0</v>
      </c>
      <c r="N1180">
        <v>1.8861623966999998E-2</v>
      </c>
      <c r="O1180">
        <v>0</v>
      </c>
    </row>
    <row r="1181" spans="1:15" x14ac:dyDescent="0.25">
      <c r="A1181" s="142" t="s">
        <v>212</v>
      </c>
      <c r="B1181" s="142" t="s">
        <v>52</v>
      </c>
      <c r="C1181" s="142" t="s">
        <v>82</v>
      </c>
      <c r="D1181">
        <v>800.00099999999998</v>
      </c>
      <c r="E1181">
        <v>1200</v>
      </c>
      <c r="F1181">
        <v>0.01</v>
      </c>
      <c r="G1181" s="142" t="s">
        <v>26</v>
      </c>
      <c r="H1181" s="142" t="s">
        <v>26</v>
      </c>
      <c r="I1181">
        <v>0</v>
      </c>
      <c r="J1181">
        <v>0</v>
      </c>
      <c r="K1181" s="142" t="s">
        <v>1674</v>
      </c>
      <c r="L1181">
        <v>2.7260507468E-2</v>
      </c>
      <c r="M1181">
        <v>0</v>
      </c>
      <c r="N1181">
        <v>2.6097132923000001E-2</v>
      </c>
      <c r="O1181">
        <v>0</v>
      </c>
    </row>
    <row r="1182" spans="1:15" x14ac:dyDescent="0.25">
      <c r="A1182" s="142" t="s">
        <v>215</v>
      </c>
      <c r="B1182" s="142" t="s">
        <v>52</v>
      </c>
      <c r="C1182" s="142" t="s">
        <v>82</v>
      </c>
      <c r="D1182">
        <v>1200.001</v>
      </c>
      <c r="E1182">
        <v>1562</v>
      </c>
      <c r="F1182">
        <v>0.01</v>
      </c>
      <c r="G1182" s="142" t="s">
        <v>26</v>
      </c>
      <c r="H1182" s="142" t="s">
        <v>26</v>
      </c>
      <c r="I1182">
        <v>0</v>
      </c>
      <c r="J1182">
        <v>0</v>
      </c>
      <c r="K1182" s="142" t="s">
        <v>1674</v>
      </c>
      <c r="L1182">
        <v>3.5000000000000003E-2</v>
      </c>
      <c r="M1182">
        <v>0</v>
      </c>
      <c r="N1182">
        <v>3.2866752600999999E-2</v>
      </c>
      <c r="O1182">
        <v>0</v>
      </c>
    </row>
    <row r="1183" spans="1:15" x14ac:dyDescent="0.25">
      <c r="A1183" s="142" t="s">
        <v>2158</v>
      </c>
      <c r="B1183" s="142" t="s">
        <v>52</v>
      </c>
      <c r="C1183" s="142" t="s">
        <v>82</v>
      </c>
      <c r="D1183">
        <v>-320</v>
      </c>
      <c r="E1183">
        <v>32</v>
      </c>
      <c r="F1183">
        <v>0.1</v>
      </c>
      <c r="G1183" s="142" t="s">
        <v>26</v>
      </c>
      <c r="H1183" s="142" t="s">
        <v>26</v>
      </c>
      <c r="I1183">
        <v>0</v>
      </c>
      <c r="J1183">
        <v>0</v>
      </c>
      <c r="K1183" s="142" t="s">
        <v>1674</v>
      </c>
      <c r="L1183">
        <v>5.9926637339E-2</v>
      </c>
      <c r="M1183">
        <v>0</v>
      </c>
      <c r="N1183">
        <v>5.8420603746999998E-2</v>
      </c>
      <c r="O1183">
        <v>0</v>
      </c>
    </row>
    <row r="1184" spans="1:15" x14ac:dyDescent="0.25">
      <c r="A1184" s="142" t="s">
        <v>2159</v>
      </c>
      <c r="B1184" s="142" t="s">
        <v>52</v>
      </c>
      <c r="C1184" s="142" t="s">
        <v>82</v>
      </c>
      <c r="D1184">
        <v>32.000999999999998</v>
      </c>
      <c r="E1184">
        <v>400</v>
      </c>
      <c r="F1184">
        <v>0.1</v>
      </c>
      <c r="G1184" s="142" t="s">
        <v>26</v>
      </c>
      <c r="H1184" s="142" t="s">
        <v>26</v>
      </c>
      <c r="I1184">
        <v>0</v>
      </c>
      <c r="J1184">
        <v>0</v>
      </c>
      <c r="K1184" s="142" t="s">
        <v>1674</v>
      </c>
      <c r="L1184">
        <v>6.0734445574999997E-2</v>
      </c>
      <c r="M1184">
        <v>0</v>
      </c>
      <c r="N1184">
        <v>5.9248949008999997E-2</v>
      </c>
      <c r="O1184">
        <v>0</v>
      </c>
    </row>
    <row r="1185" spans="1:15" x14ac:dyDescent="0.25">
      <c r="A1185" s="142" t="s">
        <v>210</v>
      </c>
      <c r="B1185" s="142" t="s">
        <v>52</v>
      </c>
      <c r="C1185" s="142" t="s">
        <v>82</v>
      </c>
      <c r="D1185">
        <v>400.00099999999998</v>
      </c>
      <c r="E1185">
        <v>800</v>
      </c>
      <c r="F1185">
        <v>0.1</v>
      </c>
      <c r="G1185" s="142" t="s">
        <v>26</v>
      </c>
      <c r="H1185" s="142" t="s">
        <v>26</v>
      </c>
      <c r="I1185">
        <v>0</v>
      </c>
      <c r="J1185">
        <v>0</v>
      </c>
      <c r="K1185" s="142" t="s">
        <v>1674</v>
      </c>
      <c r="L1185">
        <v>6.2482481875000002E-2</v>
      </c>
      <c r="M1185">
        <v>0</v>
      </c>
      <c r="N1185">
        <v>6.0462888276E-2</v>
      </c>
      <c r="O1185">
        <v>0</v>
      </c>
    </row>
    <row r="1186" spans="1:15" x14ac:dyDescent="0.25">
      <c r="A1186" s="142" t="s">
        <v>213</v>
      </c>
      <c r="B1186" s="142" t="s">
        <v>52</v>
      </c>
      <c r="C1186" s="142" t="s">
        <v>82</v>
      </c>
      <c r="D1186">
        <v>800.00099999999998</v>
      </c>
      <c r="E1186">
        <v>1200</v>
      </c>
      <c r="F1186">
        <v>0.1</v>
      </c>
      <c r="G1186" s="142" t="s">
        <v>26</v>
      </c>
      <c r="H1186" s="142" t="s">
        <v>26</v>
      </c>
      <c r="I1186">
        <v>0</v>
      </c>
      <c r="J1186">
        <v>0</v>
      </c>
      <c r="K1186" s="142" t="s">
        <v>1674</v>
      </c>
      <c r="L1186">
        <v>6.5033530039000004E-2</v>
      </c>
      <c r="M1186">
        <v>0</v>
      </c>
      <c r="N1186">
        <v>6.3095644436000006E-2</v>
      </c>
      <c r="O1186">
        <v>0</v>
      </c>
    </row>
    <row r="1187" spans="1:15" x14ac:dyDescent="0.25">
      <c r="A1187" s="142" t="s">
        <v>216</v>
      </c>
      <c r="B1187" s="142" t="s">
        <v>52</v>
      </c>
      <c r="C1187" s="142" t="s">
        <v>82</v>
      </c>
      <c r="D1187">
        <v>1200.001</v>
      </c>
      <c r="E1187">
        <v>1562</v>
      </c>
      <c r="F1187">
        <v>0.1</v>
      </c>
      <c r="G1187" s="142" t="s">
        <v>26</v>
      </c>
      <c r="H1187" s="142" t="s">
        <v>26</v>
      </c>
      <c r="I1187">
        <v>0</v>
      </c>
      <c r="J1187">
        <v>0</v>
      </c>
      <c r="K1187" s="142" t="s">
        <v>1674</v>
      </c>
      <c r="L1187">
        <v>6.9375096839000006E-2</v>
      </c>
      <c r="M1187">
        <v>0</v>
      </c>
      <c r="N1187">
        <v>6.6183256391000006E-2</v>
      </c>
      <c r="O1187">
        <v>0</v>
      </c>
    </row>
    <row r="1188" spans="1:15" x14ac:dyDescent="0.25">
      <c r="A1188" s="142" t="s">
        <v>207</v>
      </c>
      <c r="B1188" s="142" t="s">
        <v>52</v>
      </c>
      <c r="C1188" s="142" t="s">
        <v>82</v>
      </c>
      <c r="D1188">
        <v>-320</v>
      </c>
      <c r="E1188">
        <v>32</v>
      </c>
      <c r="F1188">
        <v>1</v>
      </c>
      <c r="G1188" s="142" t="s">
        <v>26</v>
      </c>
      <c r="H1188" s="142" t="s">
        <v>26</v>
      </c>
      <c r="I1188">
        <v>0</v>
      </c>
      <c r="J1188">
        <v>0</v>
      </c>
      <c r="K1188" s="142" t="s">
        <v>1674</v>
      </c>
      <c r="L1188">
        <v>0.57803625026899996</v>
      </c>
      <c r="M1188">
        <v>0</v>
      </c>
      <c r="N1188">
        <v>0.57741922979899996</v>
      </c>
      <c r="O1188">
        <v>0</v>
      </c>
    </row>
    <row r="1189" spans="1:15" x14ac:dyDescent="0.25">
      <c r="A1189" s="142" t="s">
        <v>208</v>
      </c>
      <c r="B1189" s="142" t="s">
        <v>52</v>
      </c>
      <c r="C1189" s="142" t="s">
        <v>82</v>
      </c>
      <c r="D1189">
        <v>32.000999999999998</v>
      </c>
      <c r="E1189">
        <v>400</v>
      </c>
      <c r="F1189">
        <v>1</v>
      </c>
      <c r="G1189" s="142" t="s">
        <v>26</v>
      </c>
      <c r="H1189" s="142" t="s">
        <v>26</v>
      </c>
      <c r="I1189">
        <v>0</v>
      </c>
      <c r="J1189">
        <v>0</v>
      </c>
      <c r="K1189" s="142" t="s">
        <v>1674</v>
      </c>
      <c r="L1189">
        <v>0.57812055632100001</v>
      </c>
      <c r="M1189">
        <v>0</v>
      </c>
      <c r="N1189">
        <v>0.577503625927</v>
      </c>
      <c r="O1189">
        <v>0</v>
      </c>
    </row>
    <row r="1190" spans="1:15" x14ac:dyDescent="0.25">
      <c r="A1190" s="142" t="s">
        <v>211</v>
      </c>
      <c r="B1190" s="142" t="s">
        <v>52</v>
      </c>
      <c r="C1190" s="142" t="s">
        <v>82</v>
      </c>
      <c r="D1190">
        <v>400.00099999999998</v>
      </c>
      <c r="E1190">
        <v>800</v>
      </c>
      <c r="F1190">
        <v>1</v>
      </c>
      <c r="G1190" s="142" t="s">
        <v>26</v>
      </c>
      <c r="H1190" s="142" t="s">
        <v>26</v>
      </c>
      <c r="I1190">
        <v>0</v>
      </c>
      <c r="J1190">
        <v>0</v>
      </c>
      <c r="K1190" s="142" t="s">
        <v>1674</v>
      </c>
      <c r="L1190">
        <v>0.57848851292699999</v>
      </c>
      <c r="M1190">
        <v>0</v>
      </c>
      <c r="N1190">
        <v>0.57762943212600004</v>
      </c>
      <c r="O1190">
        <v>0</v>
      </c>
    </row>
    <row r="1191" spans="1:15" x14ac:dyDescent="0.25">
      <c r="A1191" s="142" t="s">
        <v>214</v>
      </c>
      <c r="B1191" s="142" t="s">
        <v>52</v>
      </c>
      <c r="C1191" s="142" t="s">
        <v>82</v>
      </c>
      <c r="D1191">
        <v>800.00099999999998</v>
      </c>
      <c r="E1191">
        <v>1200</v>
      </c>
      <c r="F1191">
        <v>1</v>
      </c>
      <c r="G1191" s="142" t="s">
        <v>26</v>
      </c>
      <c r="H1191" s="142" t="s">
        <v>26</v>
      </c>
      <c r="I1191">
        <v>0</v>
      </c>
      <c r="J1191">
        <v>0</v>
      </c>
      <c r="K1191" s="142" t="s">
        <v>1674</v>
      </c>
      <c r="L1191">
        <v>0.57876960794200005</v>
      </c>
      <c r="M1191">
        <v>0</v>
      </c>
      <c r="N1191">
        <v>0.57791094499700002</v>
      </c>
      <c r="O1191">
        <v>0</v>
      </c>
    </row>
    <row r="1192" spans="1:15" x14ac:dyDescent="0.25">
      <c r="A1192" s="142" t="s">
        <v>217</v>
      </c>
      <c r="B1192" s="142" t="s">
        <v>52</v>
      </c>
      <c r="C1192" s="142" t="s">
        <v>82</v>
      </c>
      <c r="D1192">
        <v>1200.001</v>
      </c>
      <c r="E1192">
        <v>1562</v>
      </c>
      <c r="F1192">
        <v>1</v>
      </c>
      <c r="G1192" s="142" t="s">
        <v>26</v>
      </c>
      <c r="H1192" s="142" t="s">
        <v>26</v>
      </c>
      <c r="I1192">
        <v>0</v>
      </c>
      <c r="J1192">
        <v>0</v>
      </c>
      <c r="K1192" s="142" t="s">
        <v>1674</v>
      </c>
      <c r="L1192">
        <v>0.57975076193700004</v>
      </c>
      <c r="M1192">
        <v>0</v>
      </c>
      <c r="N1192">
        <v>0.57825619186199995</v>
      </c>
      <c r="O1192">
        <v>0</v>
      </c>
    </row>
    <row r="1193" spans="1:15" x14ac:dyDescent="0.25">
      <c r="A1193" s="142" t="s">
        <v>2160</v>
      </c>
      <c r="B1193" s="142" t="s">
        <v>52</v>
      </c>
      <c r="C1193" s="142" t="s">
        <v>83</v>
      </c>
      <c r="D1193">
        <v>-320</v>
      </c>
      <c r="E1193">
        <v>32</v>
      </c>
      <c r="F1193">
        <v>0.01</v>
      </c>
      <c r="G1193" s="142" t="s">
        <v>26</v>
      </c>
      <c r="H1193" s="142" t="s">
        <v>26</v>
      </c>
      <c r="I1193">
        <v>0</v>
      </c>
      <c r="J1193">
        <v>0</v>
      </c>
      <c r="K1193" s="142" t="s">
        <v>1674</v>
      </c>
      <c r="L1193">
        <v>8.9999999999999993E-3</v>
      </c>
      <c r="M1193">
        <v>0</v>
      </c>
      <c r="N1193">
        <v>7.9821167199999998E-3</v>
      </c>
      <c r="O1193">
        <v>0</v>
      </c>
    </row>
    <row r="1194" spans="1:15" x14ac:dyDescent="0.25">
      <c r="A1194" s="142" t="s">
        <v>200</v>
      </c>
      <c r="B1194" s="142" t="s">
        <v>52</v>
      </c>
      <c r="C1194" s="142" t="s">
        <v>83</v>
      </c>
      <c r="D1194">
        <v>32.000999999999998</v>
      </c>
      <c r="E1194">
        <v>400</v>
      </c>
      <c r="F1194">
        <v>0.01</v>
      </c>
      <c r="G1194" s="142" t="s">
        <v>26</v>
      </c>
      <c r="H1194" s="142" t="s">
        <v>26</v>
      </c>
      <c r="I1194">
        <v>0</v>
      </c>
      <c r="J1194">
        <v>0</v>
      </c>
      <c r="K1194" s="142" t="s">
        <v>1674</v>
      </c>
      <c r="L1194">
        <v>1.6E-2</v>
      </c>
      <c r="M1194">
        <v>0</v>
      </c>
      <c r="N1194">
        <v>1.4466336601E-2</v>
      </c>
      <c r="O1194">
        <v>0</v>
      </c>
    </row>
    <row r="1195" spans="1:15" x14ac:dyDescent="0.25">
      <c r="A1195" s="142" t="s">
        <v>2161</v>
      </c>
      <c r="B1195" s="142" t="s">
        <v>52</v>
      </c>
      <c r="C1195" s="142" t="s">
        <v>83</v>
      </c>
      <c r="D1195">
        <v>400.00099999999998</v>
      </c>
      <c r="E1195">
        <v>800</v>
      </c>
      <c r="F1195">
        <v>0.01</v>
      </c>
      <c r="G1195" s="142" t="s">
        <v>26</v>
      </c>
      <c r="H1195" s="142" t="s">
        <v>26</v>
      </c>
      <c r="I1195">
        <v>0</v>
      </c>
      <c r="J1195">
        <v>0</v>
      </c>
      <c r="K1195" s="142" t="s">
        <v>1674</v>
      </c>
      <c r="L1195">
        <v>0.02</v>
      </c>
      <c r="M1195">
        <v>0</v>
      </c>
      <c r="N1195">
        <v>1.8758799073000001E-2</v>
      </c>
      <c r="O1195">
        <v>0</v>
      </c>
    </row>
    <row r="1196" spans="1:15" x14ac:dyDescent="0.25">
      <c r="A1196" s="142" t="s">
        <v>203</v>
      </c>
      <c r="B1196" s="142" t="s">
        <v>52</v>
      </c>
      <c r="C1196" s="142" t="s">
        <v>83</v>
      </c>
      <c r="D1196">
        <v>800.00099999999998</v>
      </c>
      <c r="E1196">
        <v>1200</v>
      </c>
      <c r="F1196">
        <v>0.01</v>
      </c>
      <c r="G1196" s="142" t="s">
        <v>26</v>
      </c>
      <c r="H1196" s="142" t="s">
        <v>26</v>
      </c>
      <c r="I1196">
        <v>0</v>
      </c>
      <c r="J1196">
        <v>0</v>
      </c>
      <c r="K1196" s="142" t="s">
        <v>1674</v>
      </c>
      <c r="L1196">
        <v>2.7080150588999999E-2</v>
      </c>
      <c r="M1196">
        <v>0</v>
      </c>
      <c r="N1196">
        <v>2.5908678763000001E-2</v>
      </c>
      <c r="O1196">
        <v>0</v>
      </c>
    </row>
    <row r="1197" spans="1:15" x14ac:dyDescent="0.25">
      <c r="A1197" s="142" t="s">
        <v>2162</v>
      </c>
      <c r="B1197" s="142" t="s">
        <v>52</v>
      </c>
      <c r="C1197" s="142" t="s">
        <v>83</v>
      </c>
      <c r="D1197">
        <v>1200.001</v>
      </c>
      <c r="E1197">
        <v>1562</v>
      </c>
      <c r="F1197">
        <v>0.01</v>
      </c>
      <c r="G1197" s="142" t="s">
        <v>26</v>
      </c>
      <c r="H1197" s="142" t="s">
        <v>26</v>
      </c>
      <c r="I1197">
        <v>0</v>
      </c>
      <c r="J1197">
        <v>0</v>
      </c>
      <c r="K1197" s="142" t="s">
        <v>1674</v>
      </c>
      <c r="L1197">
        <v>3.3168701389999999E-2</v>
      </c>
      <c r="M1197">
        <v>0</v>
      </c>
      <c r="N1197">
        <v>3.2593935887999997E-2</v>
      </c>
      <c r="O1197">
        <v>0</v>
      </c>
    </row>
    <row r="1198" spans="1:15" x14ac:dyDescent="0.25">
      <c r="A1198" s="142" t="s">
        <v>2163</v>
      </c>
      <c r="B1198" s="142" t="s">
        <v>52</v>
      </c>
      <c r="C1198" s="142" t="s">
        <v>83</v>
      </c>
      <c r="D1198">
        <v>-320</v>
      </c>
      <c r="E1198">
        <v>32</v>
      </c>
      <c r="F1198">
        <v>0.1</v>
      </c>
      <c r="G1198" s="142" t="s">
        <v>26</v>
      </c>
      <c r="H1198" s="142" t="s">
        <v>26</v>
      </c>
      <c r="I1198">
        <v>0</v>
      </c>
      <c r="J1198">
        <v>0</v>
      </c>
      <c r="K1198" s="142" t="s">
        <v>1674</v>
      </c>
      <c r="L1198">
        <v>5.8577474651000001E-2</v>
      </c>
      <c r="M1198">
        <v>0</v>
      </c>
      <c r="N1198">
        <v>5.7997536044999999E-2</v>
      </c>
      <c r="O1198">
        <v>0</v>
      </c>
    </row>
    <row r="1199" spans="1:15" x14ac:dyDescent="0.25">
      <c r="A1199" s="142" t="s">
        <v>2164</v>
      </c>
      <c r="B1199" s="142" t="s">
        <v>52</v>
      </c>
      <c r="C1199" s="142" t="s">
        <v>83</v>
      </c>
      <c r="D1199">
        <v>32.000999999999998</v>
      </c>
      <c r="E1199">
        <v>400</v>
      </c>
      <c r="F1199">
        <v>0.1</v>
      </c>
      <c r="G1199" s="142" t="s">
        <v>26</v>
      </c>
      <c r="H1199" s="142" t="s">
        <v>26</v>
      </c>
      <c r="I1199">
        <v>0</v>
      </c>
      <c r="J1199">
        <v>0</v>
      </c>
      <c r="K1199" s="142" t="s">
        <v>1674</v>
      </c>
      <c r="L1199">
        <v>5.9981478406000002E-2</v>
      </c>
      <c r="M1199">
        <v>0</v>
      </c>
      <c r="N1199">
        <v>5.9239133136000002E-2</v>
      </c>
      <c r="O1199">
        <v>0</v>
      </c>
    </row>
    <row r="1200" spans="1:15" x14ac:dyDescent="0.25">
      <c r="A1200" s="142" t="s">
        <v>202</v>
      </c>
      <c r="B1200" s="142" t="s">
        <v>52</v>
      </c>
      <c r="C1200" s="142" t="s">
        <v>83</v>
      </c>
      <c r="D1200">
        <v>400.00099999999998</v>
      </c>
      <c r="E1200">
        <v>800</v>
      </c>
      <c r="F1200">
        <v>0.1</v>
      </c>
      <c r="G1200" s="142" t="s">
        <v>26</v>
      </c>
      <c r="H1200" s="142" t="s">
        <v>26</v>
      </c>
      <c r="I1200">
        <v>0</v>
      </c>
      <c r="J1200">
        <v>0</v>
      </c>
      <c r="K1200" s="142" t="s">
        <v>1674</v>
      </c>
      <c r="L1200">
        <v>6.1158772058999999E-2</v>
      </c>
      <c r="M1200">
        <v>0</v>
      </c>
      <c r="N1200">
        <v>6.0430890633000001E-2</v>
      </c>
      <c r="O1200">
        <v>0</v>
      </c>
    </row>
    <row r="1201" spans="1:15" x14ac:dyDescent="0.25">
      <c r="A1201" s="142" t="s">
        <v>204</v>
      </c>
      <c r="B1201" s="142" t="s">
        <v>52</v>
      </c>
      <c r="C1201" s="142" t="s">
        <v>83</v>
      </c>
      <c r="D1201">
        <v>800.00099999999998</v>
      </c>
      <c r="E1201">
        <v>1200</v>
      </c>
      <c r="F1201">
        <v>0.1</v>
      </c>
      <c r="G1201" s="142" t="s">
        <v>26</v>
      </c>
      <c r="H1201" s="142" t="s">
        <v>26</v>
      </c>
      <c r="I1201">
        <v>0</v>
      </c>
      <c r="J1201">
        <v>0</v>
      </c>
      <c r="K1201" s="142" t="s">
        <v>1674</v>
      </c>
      <c r="L1201">
        <v>6.4958135116000001E-2</v>
      </c>
      <c r="M1201">
        <v>0</v>
      </c>
      <c r="N1201">
        <v>6.3017931060999996E-2</v>
      </c>
      <c r="O1201">
        <v>0</v>
      </c>
    </row>
    <row r="1202" spans="1:15" x14ac:dyDescent="0.25">
      <c r="A1202" s="142" t="s">
        <v>2165</v>
      </c>
      <c r="B1202" s="142" t="s">
        <v>52</v>
      </c>
      <c r="C1202" s="142" t="s">
        <v>83</v>
      </c>
      <c r="D1202">
        <v>1200.001</v>
      </c>
      <c r="E1202">
        <v>1562</v>
      </c>
      <c r="F1202">
        <v>0.1</v>
      </c>
      <c r="G1202" s="142" t="s">
        <v>26</v>
      </c>
      <c r="H1202" s="142" t="s">
        <v>26</v>
      </c>
      <c r="I1202">
        <v>0</v>
      </c>
      <c r="J1202">
        <v>0</v>
      </c>
      <c r="K1202" s="142" t="s">
        <v>1674</v>
      </c>
      <c r="L1202">
        <v>6.7183011525000003E-2</v>
      </c>
      <c r="M1202">
        <v>0</v>
      </c>
      <c r="N1202">
        <v>6.6048199496000007E-2</v>
      </c>
      <c r="O1202">
        <v>0</v>
      </c>
    </row>
    <row r="1203" spans="1:15" x14ac:dyDescent="0.25">
      <c r="A1203" s="142" t="s">
        <v>199</v>
      </c>
      <c r="B1203" s="142" t="s">
        <v>52</v>
      </c>
      <c r="C1203" s="142" t="s">
        <v>83</v>
      </c>
      <c r="D1203">
        <v>-320</v>
      </c>
      <c r="E1203">
        <v>32</v>
      </c>
      <c r="F1203">
        <v>1</v>
      </c>
      <c r="G1203" s="142" t="s">
        <v>26</v>
      </c>
      <c r="H1203" s="142" t="s">
        <v>26</v>
      </c>
      <c r="I1203">
        <v>0</v>
      </c>
      <c r="J1203">
        <v>0</v>
      </c>
      <c r="K1203" s="142" t="s">
        <v>1674</v>
      </c>
      <c r="L1203">
        <v>0.57761071630000005</v>
      </c>
      <c r="M1203">
        <v>0</v>
      </c>
      <c r="N1203">
        <v>0.57737657918100005</v>
      </c>
      <c r="O1203">
        <v>0</v>
      </c>
    </row>
    <row r="1204" spans="1:15" x14ac:dyDescent="0.25">
      <c r="A1204" s="142" t="s">
        <v>201</v>
      </c>
      <c r="B1204" s="142" t="s">
        <v>52</v>
      </c>
      <c r="C1204" s="142" t="s">
        <v>83</v>
      </c>
      <c r="D1204">
        <v>32.000999999999998</v>
      </c>
      <c r="E1204">
        <v>400</v>
      </c>
      <c r="F1204">
        <v>1</v>
      </c>
      <c r="G1204" s="142" t="s">
        <v>26</v>
      </c>
      <c r="H1204" s="142" t="s">
        <v>26</v>
      </c>
      <c r="I1204">
        <v>0</v>
      </c>
      <c r="J1204">
        <v>0</v>
      </c>
      <c r="K1204" s="142" t="s">
        <v>1674</v>
      </c>
      <c r="L1204">
        <v>0.57780903966899999</v>
      </c>
      <c r="M1204">
        <v>0</v>
      </c>
      <c r="N1204">
        <v>0.57750261894999999</v>
      </c>
      <c r="O1204">
        <v>0</v>
      </c>
    </row>
    <row r="1205" spans="1:15" x14ac:dyDescent="0.25">
      <c r="A1205" s="142" t="s">
        <v>2166</v>
      </c>
      <c r="B1205" s="142" t="s">
        <v>52</v>
      </c>
      <c r="C1205" s="142" t="s">
        <v>83</v>
      </c>
      <c r="D1205">
        <v>400.00099999999998</v>
      </c>
      <c r="E1205">
        <v>800</v>
      </c>
      <c r="F1205">
        <v>1</v>
      </c>
      <c r="G1205" s="142" t="s">
        <v>26</v>
      </c>
      <c r="H1205" s="142" t="s">
        <v>26</v>
      </c>
      <c r="I1205">
        <v>0</v>
      </c>
      <c r="J1205">
        <v>0</v>
      </c>
      <c r="K1205" s="142" t="s">
        <v>1674</v>
      </c>
      <c r="L1205">
        <v>0.57793243893299995</v>
      </c>
      <c r="M1205">
        <v>0</v>
      </c>
      <c r="N1205">
        <v>0.57762608367599999</v>
      </c>
      <c r="O1205">
        <v>0</v>
      </c>
    </row>
    <row r="1206" spans="1:15" x14ac:dyDescent="0.25">
      <c r="A1206" s="142" t="s">
        <v>205</v>
      </c>
      <c r="B1206" s="142" t="s">
        <v>52</v>
      </c>
      <c r="C1206" s="142" t="s">
        <v>83</v>
      </c>
      <c r="D1206">
        <v>800.00099999999998</v>
      </c>
      <c r="E1206">
        <v>1200</v>
      </c>
      <c r="F1206">
        <v>1</v>
      </c>
      <c r="G1206" s="142" t="s">
        <v>26</v>
      </c>
      <c r="H1206" s="142" t="s">
        <v>26</v>
      </c>
      <c r="I1206">
        <v>0</v>
      </c>
      <c r="J1206">
        <v>0</v>
      </c>
      <c r="K1206" s="142" t="s">
        <v>1674</v>
      </c>
      <c r="L1206">
        <v>0.578761141029</v>
      </c>
      <c r="M1206">
        <v>0</v>
      </c>
      <c r="N1206">
        <v>0.57790246550400004</v>
      </c>
      <c r="O1206">
        <v>0</v>
      </c>
    </row>
    <row r="1207" spans="1:15" x14ac:dyDescent="0.25">
      <c r="A1207" s="142" t="s">
        <v>2167</v>
      </c>
      <c r="B1207" s="142" t="s">
        <v>52</v>
      </c>
      <c r="C1207" s="142" t="s">
        <v>83</v>
      </c>
      <c r="D1207">
        <v>1200.001</v>
      </c>
      <c r="E1207">
        <v>1562</v>
      </c>
      <c r="F1207">
        <v>1</v>
      </c>
      <c r="G1207" s="142" t="s">
        <v>26</v>
      </c>
      <c r="H1207" s="142" t="s">
        <v>26</v>
      </c>
      <c r="I1207">
        <v>0</v>
      </c>
      <c r="J1207">
        <v>0</v>
      </c>
      <c r="K1207" s="142" t="s">
        <v>1674</v>
      </c>
      <c r="L1207">
        <v>0.57876345269899998</v>
      </c>
      <c r="M1207">
        <v>0</v>
      </c>
      <c r="N1207">
        <v>0.57824074973700001</v>
      </c>
      <c r="O1207">
        <v>0</v>
      </c>
    </row>
    <row r="1208" spans="1:15" x14ac:dyDescent="0.25">
      <c r="A1208" s="142" t="s">
        <v>194</v>
      </c>
      <c r="B1208" s="142" t="s">
        <v>52</v>
      </c>
      <c r="C1208" s="142" t="s">
        <v>79</v>
      </c>
      <c r="D1208">
        <v>-58</v>
      </c>
      <c r="E1208">
        <v>31.998999999999999</v>
      </c>
      <c r="F1208">
        <v>0.1</v>
      </c>
      <c r="G1208" s="142" t="s">
        <v>26</v>
      </c>
      <c r="H1208" s="142" t="s">
        <v>26</v>
      </c>
      <c r="I1208">
        <v>0</v>
      </c>
      <c r="J1208">
        <v>0</v>
      </c>
      <c r="K1208" s="142" t="s">
        <v>1674</v>
      </c>
      <c r="L1208">
        <v>1.642151660585</v>
      </c>
      <c r="M1208">
        <v>0</v>
      </c>
      <c r="N1208">
        <v>1.6406684562780001</v>
      </c>
      <c r="O1208">
        <v>0</v>
      </c>
    </row>
    <row r="1209" spans="1:15" x14ac:dyDescent="0.25">
      <c r="A1209" s="142" t="s">
        <v>2152</v>
      </c>
      <c r="B1209" s="142" t="s">
        <v>52</v>
      </c>
      <c r="C1209" s="142" t="s">
        <v>79</v>
      </c>
      <c r="D1209">
        <v>32</v>
      </c>
      <c r="E1209">
        <v>1100</v>
      </c>
      <c r="F1209">
        <v>0.1</v>
      </c>
      <c r="G1209" s="142" t="s">
        <v>26</v>
      </c>
      <c r="H1209" s="142" t="s">
        <v>26</v>
      </c>
      <c r="I1209">
        <v>0</v>
      </c>
      <c r="J1209">
        <v>0</v>
      </c>
      <c r="K1209" s="142" t="s">
        <v>1674</v>
      </c>
      <c r="L1209">
        <v>0.52408046273800002</v>
      </c>
      <c r="M1209">
        <v>0</v>
      </c>
      <c r="N1209">
        <v>0.51941432256800002</v>
      </c>
      <c r="O1209">
        <v>0</v>
      </c>
    </row>
    <row r="1210" spans="1:15" x14ac:dyDescent="0.25">
      <c r="A1210" s="142" t="s">
        <v>2153</v>
      </c>
      <c r="B1210" s="142" t="s">
        <v>52</v>
      </c>
      <c r="C1210" s="142" t="s">
        <v>79</v>
      </c>
      <c r="D1210">
        <v>1100.001</v>
      </c>
      <c r="E1210">
        <v>2200</v>
      </c>
      <c r="F1210">
        <v>0.1</v>
      </c>
      <c r="G1210" s="142" t="s">
        <v>26</v>
      </c>
      <c r="H1210" s="142" t="s">
        <v>26</v>
      </c>
      <c r="I1210">
        <v>0</v>
      </c>
      <c r="J1210">
        <v>0</v>
      </c>
      <c r="K1210" s="142" t="s">
        <v>1674</v>
      </c>
      <c r="L1210">
        <v>0.32838650296499999</v>
      </c>
      <c r="M1210">
        <v>0</v>
      </c>
      <c r="N1210">
        <v>0.323130435459</v>
      </c>
      <c r="O1210">
        <v>0</v>
      </c>
    </row>
    <row r="1211" spans="1:15" x14ac:dyDescent="0.25">
      <c r="A1211" s="142" t="s">
        <v>197</v>
      </c>
      <c r="B1211" s="142" t="s">
        <v>52</v>
      </c>
      <c r="C1211" s="142" t="s">
        <v>79</v>
      </c>
      <c r="D1211">
        <v>2200.0010000000002</v>
      </c>
      <c r="E1211">
        <v>3214</v>
      </c>
      <c r="F1211">
        <v>0.1</v>
      </c>
      <c r="G1211" s="142" t="s">
        <v>26</v>
      </c>
      <c r="H1211" s="142" t="s">
        <v>26</v>
      </c>
      <c r="I1211">
        <v>0</v>
      </c>
      <c r="J1211">
        <v>0</v>
      </c>
      <c r="K1211" s="142" t="s">
        <v>1674</v>
      </c>
      <c r="L1211">
        <v>0.27223410517699997</v>
      </c>
      <c r="M1211">
        <v>0</v>
      </c>
      <c r="N1211">
        <v>0.26587025221299998</v>
      </c>
      <c r="O1211">
        <v>0</v>
      </c>
    </row>
    <row r="1212" spans="1:15" x14ac:dyDescent="0.25">
      <c r="A1212" s="142" t="s">
        <v>195</v>
      </c>
      <c r="B1212" s="142" t="s">
        <v>52</v>
      </c>
      <c r="C1212" s="142" t="s">
        <v>79</v>
      </c>
      <c r="D1212">
        <v>-58</v>
      </c>
      <c r="E1212">
        <v>31.998999999999999</v>
      </c>
      <c r="F1212">
        <v>1</v>
      </c>
      <c r="G1212" s="142" t="s">
        <v>26</v>
      </c>
      <c r="H1212" s="142" t="s">
        <v>26</v>
      </c>
      <c r="I1212">
        <v>0</v>
      </c>
      <c r="J1212">
        <v>0</v>
      </c>
      <c r="K1212" s="142" t="s">
        <v>1674</v>
      </c>
      <c r="L1212">
        <v>0.18295947304400001</v>
      </c>
      <c r="M1212">
        <v>0</v>
      </c>
      <c r="N1212">
        <v>0.17791837240700001</v>
      </c>
      <c r="O1212">
        <v>0</v>
      </c>
    </row>
    <row r="1213" spans="1:15" x14ac:dyDescent="0.25">
      <c r="A1213" s="142" t="s">
        <v>2154</v>
      </c>
      <c r="B1213" s="142" t="s">
        <v>52</v>
      </c>
      <c r="C1213" s="142" t="s">
        <v>79</v>
      </c>
      <c r="D1213">
        <v>32</v>
      </c>
      <c r="E1213">
        <v>1100</v>
      </c>
      <c r="F1213">
        <v>1</v>
      </c>
      <c r="G1213" s="142" t="s">
        <v>26</v>
      </c>
      <c r="H1213" s="142" t="s">
        <v>26</v>
      </c>
      <c r="I1213">
        <v>0</v>
      </c>
      <c r="J1213">
        <v>0</v>
      </c>
      <c r="K1213" s="142" t="s">
        <v>1674</v>
      </c>
      <c r="L1213">
        <v>0.19821004421899999</v>
      </c>
      <c r="M1213">
        <v>0</v>
      </c>
      <c r="N1213">
        <v>0.193151444586</v>
      </c>
      <c r="O1213">
        <v>0</v>
      </c>
    </row>
    <row r="1214" spans="1:15" x14ac:dyDescent="0.25">
      <c r="A1214" s="142" t="s">
        <v>196</v>
      </c>
      <c r="B1214" s="142" t="s">
        <v>52</v>
      </c>
      <c r="C1214" s="142" t="s">
        <v>79</v>
      </c>
      <c r="D1214">
        <v>1100.001</v>
      </c>
      <c r="E1214">
        <v>2200</v>
      </c>
      <c r="F1214">
        <v>1</v>
      </c>
      <c r="G1214" s="142" t="s">
        <v>26</v>
      </c>
      <c r="H1214" s="142" t="s">
        <v>26</v>
      </c>
      <c r="I1214">
        <v>0</v>
      </c>
      <c r="J1214">
        <v>0</v>
      </c>
      <c r="K1214" s="142" t="s">
        <v>1674</v>
      </c>
      <c r="L1214">
        <v>1.743923551985</v>
      </c>
      <c r="M1214">
        <v>0</v>
      </c>
      <c r="N1214">
        <v>1.7383305161639999</v>
      </c>
      <c r="O1214">
        <v>0</v>
      </c>
    </row>
    <row r="1215" spans="1:15" x14ac:dyDescent="0.25">
      <c r="A1215" s="142" t="s">
        <v>198</v>
      </c>
      <c r="B1215" s="142" t="s">
        <v>52</v>
      </c>
      <c r="C1215" s="142" t="s">
        <v>79</v>
      </c>
      <c r="D1215">
        <v>2200.0010000000002</v>
      </c>
      <c r="E1215">
        <v>3214</v>
      </c>
      <c r="F1215">
        <v>1</v>
      </c>
      <c r="G1215" s="142" t="s">
        <v>26</v>
      </c>
      <c r="H1215" s="142" t="s">
        <v>26</v>
      </c>
      <c r="I1215">
        <v>0</v>
      </c>
      <c r="J1215">
        <v>0</v>
      </c>
      <c r="K1215" s="142" t="s">
        <v>1674</v>
      </c>
      <c r="L1215">
        <v>0.78693558200799996</v>
      </c>
      <c r="M1215">
        <v>0</v>
      </c>
      <c r="N1215">
        <v>0.77446190254199998</v>
      </c>
      <c r="O1215">
        <v>0</v>
      </c>
    </row>
    <row r="1216" spans="1:15" x14ac:dyDescent="0.25">
      <c r="A1216" s="142" t="s">
        <v>188</v>
      </c>
      <c r="B1216" s="142" t="s">
        <v>52</v>
      </c>
      <c r="C1216" s="142" t="s">
        <v>80</v>
      </c>
      <c r="D1216">
        <v>-58</v>
      </c>
      <c r="E1216">
        <v>31.998999999999999</v>
      </c>
      <c r="F1216">
        <v>0.1</v>
      </c>
      <c r="G1216" s="142" t="s">
        <v>26</v>
      </c>
      <c r="H1216" s="142" t="s">
        <v>26</v>
      </c>
      <c r="I1216">
        <v>0</v>
      </c>
      <c r="J1216">
        <v>0</v>
      </c>
      <c r="K1216" s="142" t="s">
        <v>1674</v>
      </c>
      <c r="L1216">
        <v>0.24</v>
      </c>
      <c r="M1216">
        <v>0</v>
      </c>
      <c r="N1216">
        <v>0.189930614981</v>
      </c>
      <c r="O1216">
        <v>0</v>
      </c>
    </row>
    <row r="1217" spans="1:15" x14ac:dyDescent="0.25">
      <c r="A1217" s="142" t="s">
        <v>190</v>
      </c>
      <c r="B1217" s="142" t="s">
        <v>52</v>
      </c>
      <c r="C1217" s="142" t="s">
        <v>80</v>
      </c>
      <c r="D1217">
        <v>32</v>
      </c>
      <c r="E1217">
        <v>1100</v>
      </c>
      <c r="F1217">
        <v>0.1</v>
      </c>
      <c r="G1217" s="142" t="s">
        <v>26</v>
      </c>
      <c r="H1217" s="142" t="s">
        <v>26</v>
      </c>
      <c r="I1217">
        <v>0</v>
      </c>
      <c r="J1217">
        <v>0</v>
      </c>
      <c r="K1217" s="142" t="s">
        <v>1674</v>
      </c>
      <c r="L1217">
        <v>0.88724097146100001</v>
      </c>
      <c r="M1217">
        <v>0</v>
      </c>
      <c r="N1217">
        <v>0.85134396188499994</v>
      </c>
      <c r="O1217">
        <v>0</v>
      </c>
    </row>
    <row r="1218" spans="1:15" x14ac:dyDescent="0.25">
      <c r="A1218" s="142" t="s">
        <v>2155</v>
      </c>
      <c r="B1218" s="142" t="s">
        <v>52</v>
      </c>
      <c r="C1218" s="142" t="s">
        <v>80</v>
      </c>
      <c r="D1218">
        <v>1100.001</v>
      </c>
      <c r="E1218">
        <v>2200</v>
      </c>
      <c r="F1218">
        <v>0.1</v>
      </c>
      <c r="G1218" s="142" t="s">
        <v>26</v>
      </c>
      <c r="H1218" s="142" t="s">
        <v>26</v>
      </c>
      <c r="I1218">
        <v>0</v>
      </c>
      <c r="J1218">
        <v>0</v>
      </c>
      <c r="K1218" s="142" t="s">
        <v>1674</v>
      </c>
      <c r="L1218">
        <v>0.71807063169399998</v>
      </c>
      <c r="M1218">
        <v>0</v>
      </c>
      <c r="N1218">
        <v>0.67321276882000003</v>
      </c>
      <c r="O1218">
        <v>0</v>
      </c>
    </row>
    <row r="1219" spans="1:15" x14ac:dyDescent="0.25">
      <c r="A1219" s="142" t="s">
        <v>2156</v>
      </c>
      <c r="B1219" s="142" t="s">
        <v>52</v>
      </c>
      <c r="C1219" s="142" t="s">
        <v>80</v>
      </c>
      <c r="D1219">
        <v>2200.0010000000002</v>
      </c>
      <c r="E1219">
        <v>3214</v>
      </c>
      <c r="F1219">
        <v>0.1</v>
      </c>
      <c r="G1219" s="142" t="s">
        <v>26</v>
      </c>
      <c r="H1219" s="142" t="s">
        <v>26</v>
      </c>
      <c r="I1219">
        <v>0</v>
      </c>
      <c r="J1219">
        <v>0</v>
      </c>
      <c r="K1219" s="142" t="s">
        <v>1674</v>
      </c>
      <c r="L1219">
        <v>0.64634443822999998</v>
      </c>
      <c r="M1219">
        <v>0</v>
      </c>
      <c r="N1219">
        <v>0.60420141927399995</v>
      </c>
      <c r="O1219">
        <v>0</v>
      </c>
    </row>
    <row r="1220" spans="1:15" x14ac:dyDescent="0.25">
      <c r="A1220" s="142" t="s">
        <v>189</v>
      </c>
      <c r="B1220" s="142" t="s">
        <v>52</v>
      </c>
      <c r="C1220" s="142" t="s">
        <v>80</v>
      </c>
      <c r="D1220">
        <v>-58</v>
      </c>
      <c r="E1220">
        <v>31.998999999999999</v>
      </c>
      <c r="F1220">
        <v>1</v>
      </c>
      <c r="G1220" s="142" t="s">
        <v>26</v>
      </c>
      <c r="H1220" s="142" t="s">
        <v>26</v>
      </c>
      <c r="I1220">
        <v>0</v>
      </c>
      <c r="J1220">
        <v>0</v>
      </c>
      <c r="K1220" s="142" t="s">
        <v>1674</v>
      </c>
      <c r="L1220">
        <v>0.640895399925</v>
      </c>
      <c r="M1220">
        <v>0</v>
      </c>
      <c r="N1220">
        <v>0.59836872901899996</v>
      </c>
      <c r="O1220">
        <v>0</v>
      </c>
    </row>
    <row r="1221" spans="1:15" x14ac:dyDescent="0.25">
      <c r="A1221" s="142" t="s">
        <v>191</v>
      </c>
      <c r="B1221" s="142" t="s">
        <v>52</v>
      </c>
      <c r="C1221" s="142" t="s">
        <v>80</v>
      </c>
      <c r="D1221">
        <v>32</v>
      </c>
      <c r="E1221">
        <v>1100</v>
      </c>
      <c r="F1221">
        <v>1</v>
      </c>
      <c r="G1221" s="142" t="s">
        <v>26</v>
      </c>
      <c r="H1221" s="142" t="s">
        <v>26</v>
      </c>
      <c r="I1221">
        <v>0</v>
      </c>
      <c r="J1221">
        <v>0</v>
      </c>
      <c r="K1221" s="142" t="s">
        <v>1674</v>
      </c>
      <c r="L1221">
        <v>0.64712859331399997</v>
      </c>
      <c r="M1221">
        <v>0</v>
      </c>
      <c r="N1221">
        <v>0.60504019577799995</v>
      </c>
      <c r="O1221">
        <v>0</v>
      </c>
    </row>
    <row r="1222" spans="1:15" x14ac:dyDescent="0.25">
      <c r="A1222" s="142" t="s">
        <v>192</v>
      </c>
      <c r="B1222" s="142" t="s">
        <v>52</v>
      </c>
      <c r="C1222" s="142" t="s">
        <v>80</v>
      </c>
      <c r="D1222">
        <v>1100.001</v>
      </c>
      <c r="E1222">
        <v>2200</v>
      </c>
      <c r="F1222">
        <v>1</v>
      </c>
      <c r="G1222" s="142" t="s">
        <v>26</v>
      </c>
      <c r="H1222" s="142" t="s">
        <v>26</v>
      </c>
      <c r="I1222">
        <v>0</v>
      </c>
      <c r="J1222">
        <v>0</v>
      </c>
      <c r="K1222" s="142" t="s">
        <v>1674</v>
      </c>
      <c r="L1222">
        <v>0.60678837669399999</v>
      </c>
      <c r="M1222">
        <v>0</v>
      </c>
      <c r="N1222">
        <v>0.60280722264300002</v>
      </c>
      <c r="O1222">
        <v>0</v>
      </c>
    </row>
    <row r="1223" spans="1:15" x14ac:dyDescent="0.25">
      <c r="A1223" s="142" t="s">
        <v>193</v>
      </c>
      <c r="B1223" s="142" t="s">
        <v>52</v>
      </c>
      <c r="C1223" s="142" t="s">
        <v>80</v>
      </c>
      <c r="D1223">
        <v>2200.0010000000002</v>
      </c>
      <c r="E1223">
        <v>3214</v>
      </c>
      <c r="F1223">
        <v>1</v>
      </c>
      <c r="G1223" s="142" t="s">
        <v>26</v>
      </c>
      <c r="H1223" s="142" t="s">
        <v>26</v>
      </c>
      <c r="I1223">
        <v>0</v>
      </c>
      <c r="J1223">
        <v>0</v>
      </c>
      <c r="K1223" s="142" t="s">
        <v>1674</v>
      </c>
      <c r="L1223">
        <v>0.34218578448499998</v>
      </c>
      <c r="M1223">
        <v>0</v>
      </c>
      <c r="N1223">
        <v>0.33507540148999998</v>
      </c>
      <c r="O1223">
        <v>0</v>
      </c>
    </row>
    <row r="1224" spans="1:15" x14ac:dyDescent="0.25">
      <c r="A1224" s="142" t="s">
        <v>182</v>
      </c>
      <c r="B1224" s="142" t="s">
        <v>52</v>
      </c>
      <c r="C1224" s="142" t="s">
        <v>81</v>
      </c>
      <c r="D1224">
        <v>-454</v>
      </c>
      <c r="E1224">
        <v>-400.00099999999998</v>
      </c>
      <c r="F1224">
        <v>0.1</v>
      </c>
      <c r="G1224" s="142" t="s">
        <v>26</v>
      </c>
      <c r="H1224" s="142" t="s">
        <v>26</v>
      </c>
      <c r="I1224">
        <v>0</v>
      </c>
      <c r="J1224">
        <v>0</v>
      </c>
      <c r="K1224" s="142" t="s">
        <v>1674</v>
      </c>
      <c r="L1224">
        <v>0.51</v>
      </c>
      <c r="M1224">
        <v>0</v>
      </c>
      <c r="N1224">
        <v>0.48829387739000002</v>
      </c>
      <c r="O1224">
        <v>0</v>
      </c>
    </row>
    <row r="1225" spans="1:15" x14ac:dyDescent="0.25">
      <c r="A1225" s="142" t="s">
        <v>184</v>
      </c>
      <c r="B1225" s="142" t="s">
        <v>52</v>
      </c>
      <c r="C1225" s="142" t="s">
        <v>81</v>
      </c>
      <c r="D1225">
        <v>-400</v>
      </c>
      <c r="E1225">
        <v>199.999</v>
      </c>
      <c r="F1225">
        <v>0.1</v>
      </c>
      <c r="G1225" s="142" t="s">
        <v>26</v>
      </c>
      <c r="H1225" s="142" t="s">
        <v>26</v>
      </c>
      <c r="I1225">
        <v>0</v>
      </c>
      <c r="J1225">
        <v>0</v>
      </c>
      <c r="K1225" s="142" t="s">
        <v>1674</v>
      </c>
      <c r="L1225">
        <v>0.33</v>
      </c>
      <c r="M1225">
        <v>0</v>
      </c>
      <c r="N1225">
        <v>0.30510492475599998</v>
      </c>
      <c r="O1225">
        <v>0</v>
      </c>
    </row>
    <row r="1226" spans="1:15" x14ac:dyDescent="0.25">
      <c r="A1226" s="142" t="s">
        <v>186</v>
      </c>
      <c r="B1226" s="142" t="s">
        <v>52</v>
      </c>
      <c r="C1226" s="142" t="s">
        <v>81</v>
      </c>
      <c r="D1226">
        <v>200</v>
      </c>
      <c r="E1226">
        <v>752</v>
      </c>
      <c r="F1226">
        <v>0.1</v>
      </c>
      <c r="G1226" s="142" t="s">
        <v>26</v>
      </c>
      <c r="H1226" s="142" t="s">
        <v>26</v>
      </c>
      <c r="I1226">
        <v>0</v>
      </c>
      <c r="J1226">
        <v>0</v>
      </c>
      <c r="K1226" s="142" t="s">
        <v>1674</v>
      </c>
      <c r="L1226">
        <v>0.27040357775200002</v>
      </c>
      <c r="M1226">
        <v>0</v>
      </c>
      <c r="N1226">
        <v>0.24054587313699999</v>
      </c>
      <c r="O1226">
        <v>0</v>
      </c>
    </row>
    <row r="1227" spans="1:15" x14ac:dyDescent="0.25">
      <c r="A1227" s="142" t="s">
        <v>183</v>
      </c>
      <c r="B1227" s="142" t="s">
        <v>52</v>
      </c>
      <c r="C1227" s="142" t="s">
        <v>81</v>
      </c>
      <c r="D1227">
        <v>-454</v>
      </c>
      <c r="E1227">
        <v>-400.00099999999998</v>
      </c>
      <c r="F1227">
        <v>1</v>
      </c>
      <c r="G1227" s="142" t="s">
        <v>26</v>
      </c>
      <c r="H1227" s="142" t="s">
        <v>26</v>
      </c>
      <c r="I1227">
        <v>0</v>
      </c>
      <c r="J1227">
        <v>0</v>
      </c>
      <c r="K1227" s="142" t="s">
        <v>1674</v>
      </c>
      <c r="L1227">
        <v>0.240576028553</v>
      </c>
      <c r="M1227">
        <v>0</v>
      </c>
      <c r="N1227">
        <v>0.18724143519200001</v>
      </c>
      <c r="O1227">
        <v>0</v>
      </c>
    </row>
    <row r="1228" spans="1:15" x14ac:dyDescent="0.25">
      <c r="A1228" s="142" t="s">
        <v>185</v>
      </c>
      <c r="B1228" s="142" t="s">
        <v>52</v>
      </c>
      <c r="C1228" s="142" t="s">
        <v>81</v>
      </c>
      <c r="D1228">
        <v>-400</v>
      </c>
      <c r="E1228">
        <v>199.999</v>
      </c>
      <c r="F1228">
        <v>1</v>
      </c>
      <c r="G1228" s="142" t="s">
        <v>26</v>
      </c>
      <c r="H1228" s="142" t="s">
        <v>26</v>
      </c>
      <c r="I1228">
        <v>0</v>
      </c>
      <c r="J1228">
        <v>0</v>
      </c>
      <c r="K1228" s="142" t="s">
        <v>1674</v>
      </c>
      <c r="L1228">
        <v>0.24</v>
      </c>
      <c r="M1228">
        <v>0</v>
      </c>
      <c r="N1228">
        <v>0.189930614981</v>
      </c>
      <c r="O1228">
        <v>0</v>
      </c>
    </row>
    <row r="1229" spans="1:15" x14ac:dyDescent="0.25">
      <c r="A1229" s="142" t="s">
        <v>187</v>
      </c>
      <c r="B1229" s="142" t="s">
        <v>52</v>
      </c>
      <c r="C1229" s="142" t="s">
        <v>81</v>
      </c>
      <c r="D1229">
        <v>200</v>
      </c>
      <c r="E1229">
        <v>752</v>
      </c>
      <c r="F1229">
        <v>1</v>
      </c>
      <c r="G1229" s="142" t="s">
        <v>26</v>
      </c>
      <c r="H1229" s="142" t="s">
        <v>26</v>
      </c>
      <c r="I1229">
        <v>0</v>
      </c>
      <c r="J1229">
        <v>0</v>
      </c>
      <c r="K1229" s="142" t="s">
        <v>1674</v>
      </c>
      <c r="L1229">
        <v>0.79425494061900004</v>
      </c>
      <c r="M1229">
        <v>0</v>
      </c>
      <c r="N1229">
        <v>0.75394357262099998</v>
      </c>
      <c r="O1229">
        <v>0</v>
      </c>
    </row>
    <row r="1230" spans="1:15" x14ac:dyDescent="0.25">
      <c r="A1230" s="142" t="s">
        <v>2126</v>
      </c>
      <c r="B1230" s="142" t="s">
        <v>52</v>
      </c>
      <c r="C1230" s="142" t="s">
        <v>17</v>
      </c>
      <c r="D1230">
        <v>0</v>
      </c>
      <c r="E1230">
        <v>40</v>
      </c>
      <c r="F1230">
        <v>9.9999999999999995E-7</v>
      </c>
      <c r="G1230" s="142" t="s">
        <v>9</v>
      </c>
      <c r="H1230" s="142" t="s">
        <v>9</v>
      </c>
      <c r="I1230">
        <v>0</v>
      </c>
      <c r="J1230">
        <v>0</v>
      </c>
      <c r="K1230" s="142" t="s">
        <v>1674</v>
      </c>
      <c r="L1230">
        <v>0</v>
      </c>
      <c r="M1230">
        <v>6E-10</v>
      </c>
      <c r="N1230">
        <v>5.1699999999999997E-10</v>
      </c>
      <c r="O1230">
        <v>5.7699999999999997E-10</v>
      </c>
    </row>
    <row r="1231" spans="1:15" x14ac:dyDescent="0.25">
      <c r="A1231" s="142" t="s">
        <v>148</v>
      </c>
      <c r="B1231" s="142" t="s">
        <v>52</v>
      </c>
      <c r="C1231" s="142" t="s">
        <v>17</v>
      </c>
      <c r="D1231">
        <v>0</v>
      </c>
      <c r="E1231">
        <v>40</v>
      </c>
      <c r="F1231">
        <v>1.0000000000000001E-5</v>
      </c>
      <c r="G1231" s="142" t="s">
        <v>9</v>
      </c>
      <c r="H1231" s="142" t="s">
        <v>9</v>
      </c>
      <c r="I1231">
        <v>0</v>
      </c>
      <c r="J1231">
        <v>0</v>
      </c>
      <c r="K1231" s="142" t="s">
        <v>1674</v>
      </c>
      <c r="L1231">
        <v>0</v>
      </c>
      <c r="M1231">
        <v>6E-10</v>
      </c>
      <c r="N1231">
        <v>5.38E-10</v>
      </c>
      <c r="O1231">
        <v>5.7699999999999997E-10</v>
      </c>
    </row>
    <row r="1232" spans="1:15" x14ac:dyDescent="0.25">
      <c r="A1232" s="142" t="s">
        <v>2127</v>
      </c>
      <c r="B1232" s="142" t="s">
        <v>52</v>
      </c>
      <c r="C1232" s="142" t="s">
        <v>17</v>
      </c>
      <c r="D1232">
        <v>0</v>
      </c>
      <c r="E1232">
        <v>40</v>
      </c>
      <c r="F1232">
        <v>1E-4</v>
      </c>
      <c r="G1232" s="142" t="s">
        <v>9</v>
      </c>
      <c r="H1232" s="142" t="s">
        <v>9</v>
      </c>
      <c r="I1232">
        <v>0</v>
      </c>
      <c r="J1232">
        <v>0</v>
      </c>
      <c r="K1232" s="142" t="s">
        <v>1674</v>
      </c>
      <c r="L1232">
        <v>0</v>
      </c>
      <c r="M1232">
        <v>6E-10</v>
      </c>
      <c r="N1232">
        <v>3.4560000000000001E-9</v>
      </c>
      <c r="O1232">
        <v>5.7699999999999997E-10</v>
      </c>
    </row>
    <row r="1233" spans="1:15" x14ac:dyDescent="0.25">
      <c r="A1233" s="142" t="s">
        <v>155</v>
      </c>
      <c r="B1233" s="142" t="s">
        <v>52</v>
      </c>
      <c r="C1233" s="142" t="s">
        <v>17</v>
      </c>
      <c r="D1233">
        <v>40</v>
      </c>
      <c r="E1233">
        <v>1000</v>
      </c>
      <c r="F1233">
        <v>1E-4</v>
      </c>
      <c r="G1233" s="142" t="s">
        <v>9</v>
      </c>
      <c r="H1233" s="142" t="s">
        <v>9</v>
      </c>
      <c r="I1233">
        <v>0</v>
      </c>
      <c r="J1233">
        <v>0</v>
      </c>
      <c r="K1233" s="142" t="s">
        <v>1674</v>
      </c>
      <c r="L1233">
        <v>2.3E-5</v>
      </c>
      <c r="M1233">
        <v>1.1999999999999999E-6</v>
      </c>
      <c r="N1233">
        <v>2.2844E-5</v>
      </c>
      <c r="O1233">
        <v>1.1826999999999999E-6</v>
      </c>
    </row>
    <row r="1234" spans="1:15" x14ac:dyDescent="0.25">
      <c r="A1234" s="142" t="s">
        <v>2128</v>
      </c>
      <c r="B1234" s="142" t="s">
        <v>52</v>
      </c>
      <c r="C1234" s="142" t="s">
        <v>17</v>
      </c>
      <c r="D1234">
        <v>0</v>
      </c>
      <c r="E1234">
        <v>40</v>
      </c>
      <c r="F1234">
        <v>1E-3</v>
      </c>
      <c r="G1234" s="142" t="s">
        <v>9</v>
      </c>
      <c r="H1234" s="142" t="s">
        <v>9</v>
      </c>
      <c r="I1234">
        <v>0</v>
      </c>
      <c r="J1234">
        <v>0</v>
      </c>
      <c r="K1234" s="142" t="s">
        <v>1674</v>
      </c>
      <c r="L1234">
        <v>2.2380000000000001E-7</v>
      </c>
      <c r="M1234">
        <v>5.9400000000000002E-10</v>
      </c>
      <c r="N1234">
        <v>2.4545000000000002E-7</v>
      </c>
      <c r="O1234">
        <v>5.7099999999999999E-10</v>
      </c>
    </row>
    <row r="1235" spans="1:15" x14ac:dyDescent="0.25">
      <c r="A1235" s="142" t="s">
        <v>156</v>
      </c>
      <c r="B1235" s="142" t="s">
        <v>52</v>
      </c>
      <c r="C1235" s="142" t="s">
        <v>17</v>
      </c>
      <c r="D1235">
        <v>40</v>
      </c>
      <c r="E1235">
        <v>1000</v>
      </c>
      <c r="F1235">
        <v>1E-3</v>
      </c>
      <c r="G1235" s="142" t="s">
        <v>9</v>
      </c>
      <c r="H1235" s="142" t="s">
        <v>9</v>
      </c>
      <c r="I1235">
        <v>0</v>
      </c>
      <c r="J1235">
        <v>0</v>
      </c>
      <c r="K1235" s="142" t="s">
        <v>1674</v>
      </c>
      <c r="L1235">
        <v>2.2867E-5</v>
      </c>
      <c r="M1235">
        <v>1.1826999999999999E-6</v>
      </c>
      <c r="N1235">
        <v>2.2866000000000001E-5</v>
      </c>
      <c r="O1235">
        <v>1.1826999999999999E-6</v>
      </c>
    </row>
    <row r="1236" spans="1:15" x14ac:dyDescent="0.25">
      <c r="A1236" s="142" t="s">
        <v>159</v>
      </c>
      <c r="B1236" s="142" t="s">
        <v>52</v>
      </c>
      <c r="C1236" s="142" t="s">
        <v>17</v>
      </c>
      <c r="D1236">
        <v>1000</v>
      </c>
      <c r="E1236">
        <v>10000</v>
      </c>
      <c r="F1236">
        <v>1E-3</v>
      </c>
      <c r="G1236" s="142" t="s">
        <v>9</v>
      </c>
      <c r="H1236" s="142" t="s">
        <v>9</v>
      </c>
      <c r="I1236">
        <v>0</v>
      </c>
      <c r="J1236">
        <v>0</v>
      </c>
      <c r="K1236" s="142" t="s">
        <v>1674</v>
      </c>
      <c r="L1236">
        <v>1.6000000000000001E-4</v>
      </c>
      <c r="M1236">
        <v>1.1999999999999999E-6</v>
      </c>
      <c r="N1236">
        <v>-1.1028E-5</v>
      </c>
      <c r="O1236">
        <v>1.2165999999999999E-6</v>
      </c>
    </row>
    <row r="1237" spans="1:15" x14ac:dyDescent="0.25">
      <c r="A1237" s="142" t="s">
        <v>149</v>
      </c>
      <c r="B1237" s="142" t="s">
        <v>52</v>
      </c>
      <c r="C1237" s="142" t="s">
        <v>17</v>
      </c>
      <c r="D1237">
        <v>0</v>
      </c>
      <c r="E1237">
        <v>40</v>
      </c>
      <c r="F1237">
        <v>0.01</v>
      </c>
      <c r="G1237" s="142" t="s">
        <v>9</v>
      </c>
      <c r="H1237" s="142" t="s">
        <v>9</v>
      </c>
      <c r="I1237">
        <v>0</v>
      </c>
      <c r="J1237">
        <v>0</v>
      </c>
      <c r="K1237" s="142" t="s">
        <v>1674</v>
      </c>
      <c r="L1237">
        <v>5.3365999999999999E-6</v>
      </c>
      <c r="M1237">
        <v>4.6700000000000004E-10</v>
      </c>
      <c r="N1237">
        <v>5.3409E-6</v>
      </c>
      <c r="O1237">
        <v>4.6200000000000001E-10</v>
      </c>
    </row>
    <row r="1238" spans="1:15" x14ac:dyDescent="0.25">
      <c r="A1238" s="142" t="s">
        <v>157</v>
      </c>
      <c r="B1238" s="142" t="s">
        <v>52</v>
      </c>
      <c r="C1238" s="142" t="s">
        <v>17</v>
      </c>
      <c r="D1238">
        <v>40</v>
      </c>
      <c r="E1238">
        <v>1000</v>
      </c>
      <c r="F1238">
        <v>0.01</v>
      </c>
      <c r="G1238" s="142" t="s">
        <v>9</v>
      </c>
      <c r="H1238" s="142" t="s">
        <v>9</v>
      </c>
      <c r="I1238">
        <v>0</v>
      </c>
      <c r="J1238">
        <v>0</v>
      </c>
      <c r="K1238" s="142" t="s">
        <v>1674</v>
      </c>
      <c r="L1238">
        <v>2.6451000000000001E-5</v>
      </c>
      <c r="M1238">
        <v>1.1839E-6</v>
      </c>
      <c r="N1238">
        <v>2.6444E-5</v>
      </c>
      <c r="O1238">
        <v>1.1839E-6</v>
      </c>
    </row>
    <row r="1239" spans="1:15" x14ac:dyDescent="0.25">
      <c r="A1239" s="142" t="s">
        <v>160</v>
      </c>
      <c r="B1239" s="142" t="s">
        <v>52</v>
      </c>
      <c r="C1239" s="142" t="s">
        <v>17</v>
      </c>
      <c r="D1239">
        <v>1000</v>
      </c>
      <c r="E1239">
        <v>10000</v>
      </c>
      <c r="F1239">
        <v>0.01</v>
      </c>
      <c r="G1239" s="142" t="s">
        <v>9</v>
      </c>
      <c r="H1239" s="142" t="s">
        <v>9</v>
      </c>
      <c r="I1239">
        <v>0</v>
      </c>
      <c r="J1239">
        <v>0</v>
      </c>
      <c r="K1239" s="142" t="s">
        <v>1674</v>
      </c>
      <c r="L1239">
        <v>-1.1028E-5</v>
      </c>
      <c r="M1239">
        <v>1.2165999999999999E-6</v>
      </c>
      <c r="N1239">
        <v>-1.1028E-5</v>
      </c>
      <c r="O1239">
        <v>1.2165999999999999E-6</v>
      </c>
    </row>
    <row r="1240" spans="1:15" x14ac:dyDescent="0.25">
      <c r="A1240" s="142" t="s">
        <v>164</v>
      </c>
      <c r="B1240" s="142" t="s">
        <v>52</v>
      </c>
      <c r="C1240" s="142" t="s">
        <v>17</v>
      </c>
      <c r="D1240">
        <v>10000</v>
      </c>
      <c r="E1240">
        <v>100000</v>
      </c>
      <c r="F1240">
        <v>0.01</v>
      </c>
      <c r="G1240" s="142" t="s">
        <v>9</v>
      </c>
      <c r="H1240" s="142" t="s">
        <v>9</v>
      </c>
      <c r="I1240">
        <v>0</v>
      </c>
      <c r="J1240">
        <v>0</v>
      </c>
      <c r="K1240" s="142" t="s">
        <v>1674</v>
      </c>
      <c r="L1240">
        <v>1.6000000000000001E-3</v>
      </c>
      <c r="M1240">
        <v>-2.6000000000000001E-11</v>
      </c>
      <c r="N1240">
        <v>-2.571E-8</v>
      </c>
      <c r="O1240">
        <v>1.2155000000000001E-6</v>
      </c>
    </row>
    <row r="1241" spans="1:15" x14ac:dyDescent="0.25">
      <c r="A1241" s="142" t="s">
        <v>150</v>
      </c>
      <c r="B1241" s="142" t="s">
        <v>52</v>
      </c>
      <c r="C1241" s="142" t="s">
        <v>17</v>
      </c>
      <c r="D1241">
        <v>0</v>
      </c>
      <c r="E1241">
        <v>40</v>
      </c>
      <c r="F1241">
        <v>0.1</v>
      </c>
      <c r="G1241" s="142" t="s">
        <v>9</v>
      </c>
      <c r="H1241" s="142" t="s">
        <v>9</v>
      </c>
      <c r="I1241">
        <v>0</v>
      </c>
      <c r="J1241">
        <v>0</v>
      </c>
      <c r="K1241" s="142" t="s">
        <v>1674</v>
      </c>
      <c r="L1241">
        <v>5.7624999999999998E-5</v>
      </c>
      <c r="M1241">
        <v>1.1399999999999999E-10</v>
      </c>
      <c r="N1241">
        <v>5.7277000000000001E-5</v>
      </c>
      <c r="O1241">
        <v>1.1399999999999999E-10</v>
      </c>
    </row>
    <row r="1242" spans="1:15" x14ac:dyDescent="0.25">
      <c r="A1242" s="142" t="s">
        <v>2130</v>
      </c>
      <c r="B1242" s="142" t="s">
        <v>52</v>
      </c>
      <c r="C1242" s="142" t="s">
        <v>17</v>
      </c>
      <c r="D1242">
        <v>40</v>
      </c>
      <c r="E1242">
        <v>1000</v>
      </c>
      <c r="F1242">
        <v>0.1</v>
      </c>
      <c r="G1242" s="142" t="s">
        <v>9</v>
      </c>
      <c r="H1242" s="142" t="s">
        <v>9</v>
      </c>
      <c r="I1242">
        <v>0</v>
      </c>
      <c r="J1242">
        <v>0</v>
      </c>
      <c r="K1242" s="142" t="s">
        <v>1674</v>
      </c>
      <c r="L1242">
        <v>1.0245E-3</v>
      </c>
      <c r="M1242">
        <v>1.2976000000000001E-6</v>
      </c>
      <c r="N1242">
        <v>1.0244E-3</v>
      </c>
      <c r="O1242">
        <v>1.2977000000000001E-6</v>
      </c>
    </row>
    <row r="1243" spans="1:15" x14ac:dyDescent="0.25">
      <c r="A1243" s="142" t="s">
        <v>161</v>
      </c>
      <c r="B1243" s="142" t="s">
        <v>52</v>
      </c>
      <c r="C1243" s="142" t="s">
        <v>17</v>
      </c>
      <c r="D1243">
        <v>1000</v>
      </c>
      <c r="E1243">
        <v>10000</v>
      </c>
      <c r="F1243">
        <v>0.1</v>
      </c>
      <c r="G1243" s="142" t="s">
        <v>9</v>
      </c>
      <c r="H1243" s="142" t="s">
        <v>9</v>
      </c>
      <c r="I1243">
        <v>0</v>
      </c>
      <c r="J1243">
        <v>0</v>
      </c>
      <c r="K1243" s="142" t="s">
        <v>1674</v>
      </c>
      <c r="L1243">
        <v>-9.5378000000000004E-6</v>
      </c>
      <c r="M1243">
        <v>1.2164999999999999E-6</v>
      </c>
      <c r="N1243">
        <v>-9.5753999999999998E-6</v>
      </c>
      <c r="O1243">
        <v>1.2164999999999999E-6</v>
      </c>
    </row>
    <row r="1244" spans="1:15" x14ac:dyDescent="0.25">
      <c r="A1244" s="142" t="s">
        <v>165</v>
      </c>
      <c r="B1244" s="142" t="s">
        <v>52</v>
      </c>
      <c r="C1244" s="142" t="s">
        <v>17</v>
      </c>
      <c r="D1244">
        <v>10000</v>
      </c>
      <c r="E1244">
        <v>100000</v>
      </c>
      <c r="F1244">
        <v>0.1</v>
      </c>
      <c r="G1244" s="142" t="s">
        <v>9</v>
      </c>
      <c r="H1244" s="142" t="s">
        <v>9</v>
      </c>
      <c r="I1244">
        <v>0</v>
      </c>
      <c r="J1244">
        <v>0</v>
      </c>
      <c r="K1244" s="142" t="s">
        <v>1674</v>
      </c>
      <c r="L1244">
        <v>1.5857E-7</v>
      </c>
      <c r="M1244">
        <v>1.0999999999999999E-10</v>
      </c>
      <c r="N1244">
        <v>1.1004E-7</v>
      </c>
      <c r="O1244">
        <v>1.2155000000000001E-6</v>
      </c>
    </row>
    <row r="1245" spans="1:15" x14ac:dyDescent="0.25">
      <c r="A1245" s="142" t="s">
        <v>171</v>
      </c>
      <c r="B1245" s="142" t="s">
        <v>52</v>
      </c>
      <c r="C1245" s="142" t="s">
        <v>17</v>
      </c>
      <c r="D1245">
        <v>100000</v>
      </c>
      <c r="E1245">
        <v>1000000</v>
      </c>
      <c r="F1245">
        <v>0.1</v>
      </c>
      <c r="G1245" s="142" t="s">
        <v>9</v>
      </c>
      <c r="H1245" s="142" t="s">
        <v>9</v>
      </c>
      <c r="I1245">
        <v>0</v>
      </c>
      <c r="J1245">
        <v>0</v>
      </c>
      <c r="K1245" s="142" t="s">
        <v>1674</v>
      </c>
      <c r="L1245">
        <v>5.5999999999999999E-3</v>
      </c>
      <c r="M1245">
        <v>1.1999999999999999E-6</v>
      </c>
      <c r="N1245">
        <v>1.1428E-3</v>
      </c>
      <c r="O1245">
        <v>1.2044000000000001E-6</v>
      </c>
    </row>
    <row r="1246" spans="1:15" x14ac:dyDescent="0.25">
      <c r="A1246" s="142" t="s">
        <v>151</v>
      </c>
      <c r="B1246" s="142" t="s">
        <v>52</v>
      </c>
      <c r="C1246" s="142" t="s">
        <v>17</v>
      </c>
      <c r="D1246">
        <v>0</v>
      </c>
      <c r="E1246">
        <v>40</v>
      </c>
      <c r="F1246">
        <v>1</v>
      </c>
      <c r="G1246" s="142" t="s">
        <v>9</v>
      </c>
      <c r="H1246" s="142" t="s">
        <v>9</v>
      </c>
      <c r="I1246">
        <v>0</v>
      </c>
      <c r="J1246">
        <v>0</v>
      </c>
      <c r="K1246" s="142" t="s">
        <v>1674</v>
      </c>
      <c r="L1246">
        <v>5.7733999999999997E-4</v>
      </c>
      <c r="M1246">
        <v>1.2000000000000001E-11</v>
      </c>
      <c r="N1246">
        <v>5.7689000000000004E-4</v>
      </c>
      <c r="O1246">
        <v>1.2000000000000001E-11</v>
      </c>
    </row>
    <row r="1247" spans="1:15" x14ac:dyDescent="0.25">
      <c r="A1247" s="142" t="s">
        <v>2131</v>
      </c>
      <c r="B1247" s="142" t="s">
        <v>52</v>
      </c>
      <c r="C1247" s="142" t="s">
        <v>17</v>
      </c>
      <c r="D1247">
        <v>40</v>
      </c>
      <c r="E1247">
        <v>1000</v>
      </c>
      <c r="F1247">
        <v>1</v>
      </c>
      <c r="G1247" s="142" t="s">
        <v>9</v>
      </c>
      <c r="H1247" s="142" t="s">
        <v>9</v>
      </c>
      <c r="I1247">
        <v>0</v>
      </c>
      <c r="J1247">
        <v>0</v>
      </c>
      <c r="K1247" s="142" t="s">
        <v>1674</v>
      </c>
      <c r="L1247">
        <v>4.019E-3</v>
      </c>
      <c r="M1247">
        <v>5.5379E-6</v>
      </c>
      <c r="N1247">
        <v>4.019E-3</v>
      </c>
      <c r="O1247">
        <v>5.5379E-6</v>
      </c>
    </row>
    <row r="1248" spans="1:15" x14ac:dyDescent="0.25">
      <c r="A1248" s="142" t="s">
        <v>162</v>
      </c>
      <c r="B1248" s="142" t="s">
        <v>52</v>
      </c>
      <c r="C1248" s="142" t="s">
        <v>17</v>
      </c>
      <c r="D1248">
        <v>1000</v>
      </c>
      <c r="E1248">
        <v>10000</v>
      </c>
      <c r="F1248">
        <v>1</v>
      </c>
      <c r="G1248" s="142" t="s">
        <v>9</v>
      </c>
      <c r="H1248" s="142" t="s">
        <v>9</v>
      </c>
      <c r="I1248">
        <v>0</v>
      </c>
      <c r="J1248">
        <v>0</v>
      </c>
      <c r="K1248" s="142" t="s">
        <v>1674</v>
      </c>
      <c r="L1248">
        <v>1.0082000000000001E-2</v>
      </c>
      <c r="M1248">
        <v>1.2036E-6</v>
      </c>
      <c r="N1248">
        <v>1.0082000000000001E-2</v>
      </c>
      <c r="O1248">
        <v>1.2036E-6</v>
      </c>
    </row>
    <row r="1249" spans="1:15" x14ac:dyDescent="0.25">
      <c r="A1249" s="142" t="s">
        <v>166</v>
      </c>
      <c r="B1249" s="142" t="s">
        <v>52</v>
      </c>
      <c r="C1249" s="142" t="s">
        <v>17</v>
      </c>
      <c r="D1249">
        <v>10000</v>
      </c>
      <c r="E1249">
        <v>100000</v>
      </c>
      <c r="F1249">
        <v>1</v>
      </c>
      <c r="G1249" s="142" t="s">
        <v>9</v>
      </c>
      <c r="H1249" s="142" t="s">
        <v>9</v>
      </c>
      <c r="I1249">
        <v>0</v>
      </c>
      <c r="J1249">
        <v>0</v>
      </c>
      <c r="K1249" s="142" t="s">
        <v>1674</v>
      </c>
      <c r="L1249">
        <v>1.5101E-5</v>
      </c>
      <c r="M1249">
        <v>1.4678000000000001E-8</v>
      </c>
      <c r="N1249">
        <v>1.4678000000000001E-5</v>
      </c>
      <c r="O1249">
        <v>1.2154E-6</v>
      </c>
    </row>
    <row r="1250" spans="1:15" x14ac:dyDescent="0.25">
      <c r="A1250" s="142" t="s">
        <v>172</v>
      </c>
      <c r="B1250" s="142" t="s">
        <v>52</v>
      </c>
      <c r="C1250" s="142" t="s">
        <v>17</v>
      </c>
      <c r="D1250">
        <v>100000</v>
      </c>
      <c r="E1250">
        <v>1000000</v>
      </c>
      <c r="F1250">
        <v>1</v>
      </c>
      <c r="G1250" s="142" t="s">
        <v>9</v>
      </c>
      <c r="H1250" s="142" t="s">
        <v>9</v>
      </c>
      <c r="I1250">
        <v>0</v>
      </c>
      <c r="J1250">
        <v>0</v>
      </c>
      <c r="K1250" s="142" t="s">
        <v>1674</v>
      </c>
      <c r="L1250">
        <v>1.1429999999999999E-3</v>
      </c>
      <c r="M1250">
        <v>1.2044000000000001E-6</v>
      </c>
      <c r="N1250">
        <v>1.1429000000000001E-3</v>
      </c>
      <c r="O1250">
        <v>1.2044000000000001E-6</v>
      </c>
    </row>
    <row r="1251" spans="1:15" x14ac:dyDescent="0.25">
      <c r="A1251" s="142" t="s">
        <v>2133</v>
      </c>
      <c r="B1251" s="142" t="s">
        <v>52</v>
      </c>
      <c r="C1251" s="142" t="s">
        <v>17</v>
      </c>
      <c r="D1251">
        <v>1000000</v>
      </c>
      <c r="E1251">
        <v>10000000</v>
      </c>
      <c r="F1251">
        <v>1</v>
      </c>
      <c r="G1251" s="142" t="s">
        <v>9</v>
      </c>
      <c r="H1251" s="142" t="s">
        <v>9</v>
      </c>
      <c r="I1251">
        <v>0</v>
      </c>
      <c r="J1251">
        <v>0</v>
      </c>
      <c r="K1251" s="142" t="s">
        <v>1674</v>
      </c>
      <c r="L1251">
        <v>0.16</v>
      </c>
      <c r="M1251">
        <v>1.1999999999999999E-6</v>
      </c>
      <c r="N1251">
        <v>-1.1028E-2</v>
      </c>
      <c r="O1251">
        <v>1.2165999999999999E-6</v>
      </c>
    </row>
    <row r="1252" spans="1:15" x14ac:dyDescent="0.25">
      <c r="A1252" s="142" t="s">
        <v>152</v>
      </c>
      <c r="B1252" s="142" t="s">
        <v>52</v>
      </c>
      <c r="C1252" s="142" t="s">
        <v>17</v>
      </c>
      <c r="D1252">
        <v>0</v>
      </c>
      <c r="E1252">
        <v>40</v>
      </c>
      <c r="F1252">
        <v>10</v>
      </c>
      <c r="G1252" s="142" t="s">
        <v>9</v>
      </c>
      <c r="H1252" s="142" t="s">
        <v>9</v>
      </c>
      <c r="I1252">
        <v>0</v>
      </c>
      <c r="J1252">
        <v>0</v>
      </c>
      <c r="K1252" s="142" t="s">
        <v>1674</v>
      </c>
      <c r="L1252">
        <v>5.7736000000000003E-3</v>
      </c>
      <c r="M1252">
        <v>9.9999999999999998E-13</v>
      </c>
      <c r="N1252">
        <v>5.7730999999999998E-3</v>
      </c>
      <c r="O1252">
        <v>9.9999999999999998E-13</v>
      </c>
    </row>
    <row r="1253" spans="1:15" x14ac:dyDescent="0.25">
      <c r="A1253" s="142" t="s">
        <v>158</v>
      </c>
      <c r="B1253" s="142" t="s">
        <v>52</v>
      </c>
      <c r="C1253" s="142" t="s">
        <v>17</v>
      </c>
      <c r="D1253">
        <v>40</v>
      </c>
      <c r="E1253">
        <v>1000</v>
      </c>
      <c r="F1253">
        <v>10</v>
      </c>
      <c r="G1253" s="142" t="s">
        <v>9</v>
      </c>
      <c r="H1253" s="142" t="s">
        <v>9</v>
      </c>
      <c r="I1253">
        <v>0</v>
      </c>
      <c r="J1253">
        <v>0</v>
      </c>
      <c r="K1253" s="142" t="s">
        <v>1674</v>
      </c>
      <c r="L1253">
        <v>5.5914999999999999E-2</v>
      </c>
      <c r="M1253">
        <v>5.4138999999999998E-5</v>
      </c>
      <c r="N1253">
        <v>5.5914999999999999E-2</v>
      </c>
      <c r="O1253">
        <v>5.4138999999999998E-5</v>
      </c>
    </row>
    <row r="1254" spans="1:15" x14ac:dyDescent="0.25">
      <c r="A1254" s="142" t="s">
        <v>163</v>
      </c>
      <c r="B1254" s="142" t="s">
        <v>52</v>
      </c>
      <c r="C1254" s="142" t="s">
        <v>17</v>
      </c>
      <c r="D1254">
        <v>1000</v>
      </c>
      <c r="E1254">
        <v>10000</v>
      </c>
      <c r="F1254">
        <v>10</v>
      </c>
      <c r="G1254" s="142" t="s">
        <v>9</v>
      </c>
      <c r="H1254" s="142" t="s">
        <v>9</v>
      </c>
      <c r="I1254">
        <v>0</v>
      </c>
      <c r="J1254">
        <v>0</v>
      </c>
      <c r="K1254" s="142" t="s">
        <v>1674</v>
      </c>
      <c r="L1254">
        <v>1.3407000000000001E-2</v>
      </c>
      <c r="M1254">
        <v>8.3982999999999997E-7</v>
      </c>
      <c r="N1254">
        <v>1.3407000000000001E-2</v>
      </c>
      <c r="O1254">
        <v>8.3982999999999997E-7</v>
      </c>
    </row>
    <row r="1255" spans="1:15" x14ac:dyDescent="0.25">
      <c r="A1255" s="142" t="s">
        <v>167</v>
      </c>
      <c r="B1255" s="142" t="s">
        <v>52</v>
      </c>
      <c r="C1255" s="142" t="s">
        <v>17</v>
      </c>
      <c r="D1255">
        <v>10000</v>
      </c>
      <c r="E1255">
        <v>100000</v>
      </c>
      <c r="F1255">
        <v>10</v>
      </c>
      <c r="G1255" s="142" t="s">
        <v>9</v>
      </c>
      <c r="H1255" s="142" t="s">
        <v>9</v>
      </c>
      <c r="I1255">
        <v>0</v>
      </c>
      <c r="J1255">
        <v>0</v>
      </c>
      <c r="K1255" s="142" t="s">
        <v>1674</v>
      </c>
      <c r="L1255">
        <v>0.10097</v>
      </c>
      <c r="M1255">
        <v>1.0097E-4</v>
      </c>
      <c r="N1255">
        <v>0.10097</v>
      </c>
      <c r="O1255">
        <v>1.2025999999999999E-6</v>
      </c>
    </row>
    <row r="1256" spans="1:15" x14ac:dyDescent="0.25">
      <c r="A1256" s="142" t="s">
        <v>173</v>
      </c>
      <c r="B1256" s="142" t="s">
        <v>52</v>
      </c>
      <c r="C1256" s="142" t="s">
        <v>17</v>
      </c>
      <c r="D1256">
        <v>100000</v>
      </c>
      <c r="E1256">
        <v>1000000</v>
      </c>
      <c r="F1256">
        <v>10</v>
      </c>
      <c r="G1256" s="142" t="s">
        <v>9</v>
      </c>
      <c r="H1256" s="142" t="s">
        <v>9</v>
      </c>
      <c r="I1256">
        <v>0</v>
      </c>
      <c r="J1256">
        <v>0</v>
      </c>
      <c r="K1256" s="142" t="s">
        <v>1674</v>
      </c>
      <c r="L1256">
        <v>1.2570999999999999E-3</v>
      </c>
      <c r="M1256">
        <v>1.2043000000000001E-6</v>
      </c>
      <c r="N1256">
        <v>1.2568E-3</v>
      </c>
      <c r="O1256">
        <v>1.2043000000000001E-6</v>
      </c>
    </row>
    <row r="1257" spans="1:15" x14ac:dyDescent="0.25">
      <c r="A1257" s="142" t="s">
        <v>177</v>
      </c>
      <c r="B1257" s="142" t="s">
        <v>52</v>
      </c>
      <c r="C1257" s="142" t="s">
        <v>17</v>
      </c>
      <c r="D1257">
        <v>1000000</v>
      </c>
      <c r="E1257">
        <v>10000000</v>
      </c>
      <c r="F1257">
        <v>10</v>
      </c>
      <c r="G1257" s="142" t="s">
        <v>9</v>
      </c>
      <c r="H1257" s="142" t="s">
        <v>9</v>
      </c>
      <c r="I1257">
        <v>0</v>
      </c>
      <c r="J1257">
        <v>0</v>
      </c>
      <c r="K1257" s="142" t="s">
        <v>1674</v>
      </c>
      <c r="L1257">
        <v>-1.1028E-2</v>
      </c>
      <c r="M1257">
        <v>1.2165999999999999E-6</v>
      </c>
      <c r="N1257">
        <v>-1.1028E-2</v>
      </c>
      <c r="O1257">
        <v>1.2165999999999999E-6</v>
      </c>
    </row>
    <row r="1258" spans="1:15" x14ac:dyDescent="0.25">
      <c r="A1258" s="142" t="s">
        <v>2129</v>
      </c>
      <c r="B1258" s="142" t="s">
        <v>52</v>
      </c>
      <c r="C1258" s="142" t="s">
        <v>17</v>
      </c>
      <c r="D1258">
        <v>0</v>
      </c>
      <c r="E1258">
        <v>40</v>
      </c>
      <c r="F1258">
        <v>100</v>
      </c>
      <c r="G1258" s="142" t="s">
        <v>9</v>
      </c>
      <c r="H1258" s="142" t="s">
        <v>9</v>
      </c>
      <c r="I1258">
        <v>0</v>
      </c>
      <c r="J1258">
        <v>0</v>
      </c>
      <c r="K1258" s="142" t="s">
        <v>1674</v>
      </c>
      <c r="L1258">
        <v>5.7736000000000003E-2</v>
      </c>
      <c r="M1258">
        <v>0</v>
      </c>
      <c r="N1258">
        <v>5.7735000000000002E-2</v>
      </c>
      <c r="O1258">
        <v>0</v>
      </c>
    </row>
    <row r="1259" spans="1:15" x14ac:dyDescent="0.25">
      <c r="A1259" s="142" t="s">
        <v>2132</v>
      </c>
      <c r="B1259" s="142" t="s">
        <v>52</v>
      </c>
      <c r="C1259" s="142" t="s">
        <v>17</v>
      </c>
      <c r="D1259">
        <v>1000</v>
      </c>
      <c r="E1259">
        <v>10000</v>
      </c>
      <c r="F1259">
        <v>100</v>
      </c>
      <c r="G1259" s="142" t="s">
        <v>9</v>
      </c>
      <c r="H1259" s="142" t="s">
        <v>9</v>
      </c>
      <c r="I1259">
        <v>0</v>
      </c>
      <c r="J1259">
        <v>0</v>
      </c>
      <c r="K1259" s="142" t="s">
        <v>1674</v>
      </c>
      <c r="L1259">
        <v>5.7609E-2</v>
      </c>
      <c r="M1259">
        <v>1.3923000000000001E-7</v>
      </c>
      <c r="N1259">
        <v>5.6908E-2</v>
      </c>
      <c r="O1259">
        <v>1.3923000000000001E-7</v>
      </c>
    </row>
    <row r="1260" spans="1:15" x14ac:dyDescent="0.25">
      <c r="A1260" s="142" t="s">
        <v>168</v>
      </c>
      <c r="B1260" s="142" t="s">
        <v>52</v>
      </c>
      <c r="C1260" s="142" t="s">
        <v>17</v>
      </c>
      <c r="D1260">
        <v>10000</v>
      </c>
      <c r="E1260">
        <v>100000</v>
      </c>
      <c r="F1260">
        <v>100</v>
      </c>
      <c r="G1260" s="142" t="s">
        <v>9</v>
      </c>
      <c r="H1260" s="142" t="s">
        <v>9</v>
      </c>
      <c r="I1260">
        <v>0</v>
      </c>
      <c r="J1260">
        <v>0</v>
      </c>
      <c r="K1260" s="142" t="s">
        <v>1674</v>
      </c>
      <c r="L1260">
        <v>0.13416</v>
      </c>
      <c r="M1260">
        <v>1.3416E-4</v>
      </c>
      <c r="N1260">
        <v>0.13416</v>
      </c>
      <c r="O1260">
        <v>8.3959999999999997E-7</v>
      </c>
    </row>
    <row r="1261" spans="1:15" x14ac:dyDescent="0.25">
      <c r="A1261" s="142" t="s">
        <v>174</v>
      </c>
      <c r="B1261" s="142" t="s">
        <v>52</v>
      </c>
      <c r="C1261" s="142" t="s">
        <v>17</v>
      </c>
      <c r="D1261">
        <v>100000</v>
      </c>
      <c r="E1261">
        <v>1000000</v>
      </c>
      <c r="F1261">
        <v>100</v>
      </c>
      <c r="G1261" s="142" t="s">
        <v>9</v>
      </c>
      <c r="H1261" s="142" t="s">
        <v>9</v>
      </c>
      <c r="I1261">
        <v>0</v>
      </c>
      <c r="J1261">
        <v>0</v>
      </c>
      <c r="K1261" s="142" t="s">
        <v>1674</v>
      </c>
      <c r="L1261">
        <v>1.0029999999999999</v>
      </c>
      <c r="M1261">
        <v>1.1914999999999999E-6</v>
      </c>
      <c r="N1261">
        <v>1.0029999999999999</v>
      </c>
      <c r="O1261">
        <v>1.1914999999999999E-6</v>
      </c>
    </row>
    <row r="1262" spans="1:15" x14ac:dyDescent="0.25">
      <c r="A1262" s="142" t="s">
        <v>178</v>
      </c>
      <c r="B1262" s="142" t="s">
        <v>52</v>
      </c>
      <c r="C1262" s="142" t="s">
        <v>17</v>
      </c>
      <c r="D1262">
        <v>1000000</v>
      </c>
      <c r="E1262">
        <v>10000000</v>
      </c>
      <c r="F1262">
        <v>100</v>
      </c>
      <c r="G1262" s="142" t="s">
        <v>9</v>
      </c>
      <c r="H1262" s="142" t="s">
        <v>9</v>
      </c>
      <c r="I1262">
        <v>0</v>
      </c>
      <c r="J1262">
        <v>0</v>
      </c>
      <c r="K1262" s="142" t="s">
        <v>1674</v>
      </c>
      <c r="L1262">
        <v>-9.5378000000000008E-3</v>
      </c>
      <c r="M1262">
        <v>1.2164999999999999E-6</v>
      </c>
      <c r="N1262">
        <v>-9.5753999999999995E-3</v>
      </c>
      <c r="O1262">
        <v>1.2164999999999999E-6</v>
      </c>
    </row>
    <row r="1263" spans="1:15" x14ac:dyDescent="0.25">
      <c r="A1263" s="142" t="s">
        <v>153</v>
      </c>
      <c r="B1263" s="142" t="s">
        <v>52</v>
      </c>
      <c r="C1263" s="142" t="s">
        <v>17</v>
      </c>
      <c r="D1263">
        <v>0</v>
      </c>
      <c r="E1263">
        <v>40</v>
      </c>
      <c r="F1263">
        <v>1000</v>
      </c>
      <c r="G1263" s="142" t="s">
        <v>9</v>
      </c>
      <c r="H1263" s="142" t="s">
        <v>9</v>
      </c>
      <c r="I1263">
        <v>0</v>
      </c>
      <c r="J1263">
        <v>0</v>
      </c>
      <c r="K1263" s="142" t="s">
        <v>1674</v>
      </c>
      <c r="L1263">
        <v>0.57735999999999998</v>
      </c>
      <c r="M1263">
        <v>0</v>
      </c>
      <c r="N1263">
        <v>0.57735000000000003</v>
      </c>
      <c r="O1263">
        <v>0</v>
      </c>
    </row>
    <row r="1264" spans="1:15" x14ac:dyDescent="0.25">
      <c r="A1264" s="142" t="s">
        <v>169</v>
      </c>
      <c r="B1264" s="142" t="s">
        <v>52</v>
      </c>
      <c r="C1264" s="142" t="s">
        <v>17</v>
      </c>
      <c r="D1264">
        <v>10000</v>
      </c>
      <c r="E1264">
        <v>100000</v>
      </c>
      <c r="F1264">
        <v>1000</v>
      </c>
      <c r="G1264" s="142" t="s">
        <v>9</v>
      </c>
      <c r="H1264" s="142" t="s">
        <v>9</v>
      </c>
      <c r="I1264">
        <v>0</v>
      </c>
      <c r="J1264">
        <v>0</v>
      </c>
      <c r="K1264" s="142" t="s">
        <v>1674</v>
      </c>
      <c r="L1264">
        <v>0.57608999999999999</v>
      </c>
      <c r="M1264">
        <v>5.6908999999999996E-4</v>
      </c>
      <c r="N1264">
        <v>0.56908999999999998</v>
      </c>
      <c r="O1264">
        <v>1.392E-7</v>
      </c>
    </row>
    <row r="1265" spans="1:15" x14ac:dyDescent="0.25">
      <c r="A1265" s="142" t="s">
        <v>175</v>
      </c>
      <c r="B1265" s="142" t="s">
        <v>52</v>
      </c>
      <c r="C1265" s="142" t="s">
        <v>17</v>
      </c>
      <c r="D1265">
        <v>100000</v>
      </c>
      <c r="E1265">
        <v>1000000</v>
      </c>
      <c r="F1265">
        <v>1000</v>
      </c>
      <c r="G1265" s="142" t="s">
        <v>9</v>
      </c>
      <c r="H1265" s="142" t="s">
        <v>9</v>
      </c>
      <c r="I1265">
        <v>0</v>
      </c>
      <c r="J1265">
        <v>0</v>
      </c>
      <c r="K1265" s="142" t="s">
        <v>1674</v>
      </c>
      <c r="L1265">
        <v>1.3348</v>
      </c>
      <c r="M1265">
        <v>8.2961999999999999E-7</v>
      </c>
      <c r="N1265">
        <v>1.3348</v>
      </c>
      <c r="O1265">
        <v>8.2961999999999999E-7</v>
      </c>
    </row>
    <row r="1266" spans="1:15" x14ac:dyDescent="0.25">
      <c r="A1266" s="142" t="s">
        <v>179</v>
      </c>
      <c r="B1266" s="142" t="s">
        <v>52</v>
      </c>
      <c r="C1266" s="142" t="s">
        <v>17</v>
      </c>
      <c r="D1266">
        <v>1000000</v>
      </c>
      <c r="E1266">
        <v>10000000</v>
      </c>
      <c r="F1266">
        <v>1000</v>
      </c>
      <c r="G1266" s="142" t="s">
        <v>9</v>
      </c>
      <c r="H1266" s="142" t="s">
        <v>9</v>
      </c>
      <c r="I1266">
        <v>0</v>
      </c>
      <c r="J1266">
        <v>0</v>
      </c>
      <c r="K1266" s="142" t="s">
        <v>1674</v>
      </c>
      <c r="L1266">
        <v>10.082000000000001</v>
      </c>
      <c r="M1266">
        <v>1.2036E-6</v>
      </c>
      <c r="N1266">
        <v>10.082000000000001</v>
      </c>
      <c r="O1266">
        <v>1.2036E-6</v>
      </c>
    </row>
    <row r="1267" spans="1:15" x14ac:dyDescent="0.25">
      <c r="A1267" s="142" t="s">
        <v>154</v>
      </c>
      <c r="B1267" s="142" t="s">
        <v>52</v>
      </c>
      <c r="C1267" s="142" t="s">
        <v>17</v>
      </c>
      <c r="D1267">
        <v>0</v>
      </c>
      <c r="E1267">
        <v>40</v>
      </c>
      <c r="F1267">
        <v>10000</v>
      </c>
      <c r="G1267" s="142" t="s">
        <v>9</v>
      </c>
      <c r="H1267" s="142" t="s">
        <v>9</v>
      </c>
      <c r="I1267">
        <v>0</v>
      </c>
      <c r="J1267">
        <v>0</v>
      </c>
      <c r="K1267" s="142" t="s">
        <v>1674</v>
      </c>
      <c r="L1267">
        <v>5.7736000000000001</v>
      </c>
      <c r="M1267">
        <v>0</v>
      </c>
      <c r="N1267">
        <v>5.7736000000000001</v>
      </c>
      <c r="O1267">
        <v>0</v>
      </c>
    </row>
    <row r="1268" spans="1:15" x14ac:dyDescent="0.25">
      <c r="A1268" s="142" t="s">
        <v>170</v>
      </c>
      <c r="B1268" s="142" t="s">
        <v>52</v>
      </c>
      <c r="C1268" s="142" t="s">
        <v>17</v>
      </c>
      <c r="D1268">
        <v>10000</v>
      </c>
      <c r="E1268">
        <v>100000</v>
      </c>
      <c r="F1268">
        <v>10000</v>
      </c>
      <c r="G1268" s="142" t="s">
        <v>9</v>
      </c>
      <c r="H1268" s="142" t="s">
        <v>9</v>
      </c>
      <c r="I1268">
        <v>0</v>
      </c>
      <c r="J1268">
        <v>0</v>
      </c>
      <c r="K1268" s="142" t="s">
        <v>1674</v>
      </c>
      <c r="L1268">
        <v>5.7733999999999996</v>
      </c>
      <c r="M1268">
        <v>5.7651999999999998E-3</v>
      </c>
      <c r="N1268">
        <v>5.7652000000000001</v>
      </c>
      <c r="O1268">
        <v>1.4073E-8</v>
      </c>
    </row>
    <row r="1269" spans="1:15" x14ac:dyDescent="0.25">
      <c r="A1269" s="142" t="s">
        <v>176</v>
      </c>
      <c r="B1269" s="142" t="s">
        <v>52</v>
      </c>
      <c r="C1269" s="142" t="s">
        <v>17</v>
      </c>
      <c r="D1269">
        <v>100000</v>
      </c>
      <c r="E1269">
        <v>1000000</v>
      </c>
      <c r="F1269">
        <v>10000</v>
      </c>
      <c r="G1269" s="142" t="s">
        <v>9</v>
      </c>
      <c r="H1269" s="142" t="s">
        <v>9</v>
      </c>
      <c r="I1269">
        <v>0</v>
      </c>
      <c r="J1269">
        <v>0</v>
      </c>
      <c r="K1269" s="142" t="s">
        <v>1674</v>
      </c>
      <c r="L1269">
        <v>5.7610999999999999</v>
      </c>
      <c r="M1269">
        <v>1.3693E-7</v>
      </c>
      <c r="N1269">
        <v>5.6919000000000004</v>
      </c>
      <c r="O1269">
        <v>1.3693E-7</v>
      </c>
    </row>
    <row r="1270" spans="1:15" x14ac:dyDescent="0.25">
      <c r="A1270" s="142" t="s">
        <v>180</v>
      </c>
      <c r="B1270" s="142" t="s">
        <v>52</v>
      </c>
      <c r="C1270" s="142" t="s">
        <v>17</v>
      </c>
      <c r="D1270">
        <v>1000000</v>
      </c>
      <c r="E1270">
        <v>10000000</v>
      </c>
      <c r="F1270">
        <v>10000</v>
      </c>
      <c r="G1270" s="142" t="s">
        <v>9</v>
      </c>
      <c r="H1270" s="142" t="s">
        <v>9</v>
      </c>
      <c r="I1270">
        <v>0</v>
      </c>
      <c r="J1270">
        <v>0</v>
      </c>
      <c r="K1270" s="142" t="s">
        <v>1674</v>
      </c>
      <c r="L1270">
        <v>13.407</v>
      </c>
      <c r="M1270">
        <v>8.3982999999999997E-7</v>
      </c>
      <c r="N1270">
        <v>13.407</v>
      </c>
      <c r="O1270">
        <v>8.3982999999999997E-7</v>
      </c>
    </row>
    <row r="1271" spans="1:15" x14ac:dyDescent="0.25">
      <c r="A1271" s="142" t="s">
        <v>181</v>
      </c>
      <c r="B1271" s="142" t="s">
        <v>52</v>
      </c>
      <c r="C1271" s="142" t="s">
        <v>17</v>
      </c>
      <c r="D1271">
        <v>1000000</v>
      </c>
      <c r="E1271">
        <v>10000000</v>
      </c>
      <c r="F1271">
        <v>100000</v>
      </c>
      <c r="G1271" s="142" t="s">
        <v>9</v>
      </c>
      <c r="H1271" s="142" t="s">
        <v>9</v>
      </c>
      <c r="I1271">
        <v>0</v>
      </c>
      <c r="J1271">
        <v>0</v>
      </c>
      <c r="K1271" s="142" t="s">
        <v>1674</v>
      </c>
      <c r="L1271">
        <v>57.609000000000002</v>
      </c>
      <c r="M1271">
        <v>1.3923000000000001E-7</v>
      </c>
      <c r="N1271">
        <v>56.908000000000001</v>
      </c>
      <c r="O1271">
        <v>1.3923000000000001E-7</v>
      </c>
    </row>
    <row r="1272" spans="1:15" x14ac:dyDescent="0.25">
      <c r="A1272" s="142" t="s">
        <v>2203</v>
      </c>
      <c r="B1272" s="142" t="s">
        <v>52</v>
      </c>
      <c r="C1272" s="142" t="s">
        <v>7</v>
      </c>
      <c r="D1272">
        <v>0</v>
      </c>
      <c r="E1272">
        <v>10</v>
      </c>
      <c r="F1272">
        <v>1.0000000000000001E-5</v>
      </c>
      <c r="G1272" s="142" t="s">
        <v>46</v>
      </c>
      <c r="H1272" s="142" t="s">
        <v>66</v>
      </c>
      <c r="I1272">
        <v>0</v>
      </c>
      <c r="J1272">
        <v>0</v>
      </c>
      <c r="K1272" s="142" t="s">
        <v>1674</v>
      </c>
      <c r="L1272">
        <v>62</v>
      </c>
      <c r="M1272">
        <v>17</v>
      </c>
      <c r="N1272">
        <v>58.22</v>
      </c>
      <c r="O1272">
        <v>17.288</v>
      </c>
    </row>
    <row r="1273" spans="1:15" x14ac:dyDescent="0.25">
      <c r="A1273" s="142" t="s">
        <v>2204</v>
      </c>
      <c r="B1273" s="142" t="s">
        <v>52</v>
      </c>
      <c r="C1273" s="142" t="s">
        <v>7</v>
      </c>
      <c r="D1273">
        <v>0</v>
      </c>
      <c r="E1273">
        <v>10</v>
      </c>
      <c r="F1273">
        <v>1E-4</v>
      </c>
      <c r="G1273" s="142" t="s">
        <v>46</v>
      </c>
      <c r="H1273" s="142" t="s">
        <v>66</v>
      </c>
      <c r="I1273">
        <v>0</v>
      </c>
      <c r="J1273">
        <v>0</v>
      </c>
      <c r="K1273" s="142" t="s">
        <v>1674</v>
      </c>
      <c r="L1273">
        <v>79.043999999999997</v>
      </c>
      <c r="M1273">
        <v>15.92</v>
      </c>
      <c r="N1273">
        <v>78.962999999999994</v>
      </c>
      <c r="O1273">
        <v>15.917</v>
      </c>
    </row>
    <row r="1274" spans="1:15" x14ac:dyDescent="0.25">
      <c r="A1274" s="142" t="s">
        <v>2205</v>
      </c>
      <c r="B1274" s="142" t="s">
        <v>52</v>
      </c>
      <c r="C1274" s="142" t="s">
        <v>7</v>
      </c>
      <c r="D1274">
        <v>10</v>
      </c>
      <c r="E1274">
        <v>100</v>
      </c>
      <c r="F1274">
        <v>1E-4</v>
      </c>
      <c r="G1274" s="142" t="s">
        <v>46</v>
      </c>
      <c r="H1274" s="142" t="s">
        <v>66</v>
      </c>
      <c r="I1274">
        <v>0</v>
      </c>
      <c r="J1274">
        <v>0</v>
      </c>
      <c r="K1274" s="142" t="s">
        <v>1674</v>
      </c>
      <c r="L1274">
        <v>580</v>
      </c>
      <c r="M1274">
        <v>13.842000000000001</v>
      </c>
      <c r="N1274">
        <v>579.88</v>
      </c>
      <c r="O1274">
        <v>13.842000000000001</v>
      </c>
    </row>
    <row r="1275" spans="1:15" x14ac:dyDescent="0.25">
      <c r="A1275" s="142" t="s">
        <v>2206</v>
      </c>
      <c r="B1275" s="142" t="s">
        <v>52</v>
      </c>
      <c r="C1275" s="142" t="s">
        <v>7</v>
      </c>
      <c r="D1275">
        <v>100</v>
      </c>
      <c r="E1275">
        <v>1000</v>
      </c>
      <c r="F1275">
        <v>1E-4</v>
      </c>
      <c r="G1275" s="142" t="s">
        <v>46</v>
      </c>
      <c r="H1275" s="142" t="s">
        <v>66</v>
      </c>
      <c r="I1275">
        <v>0</v>
      </c>
      <c r="J1275">
        <v>0</v>
      </c>
      <c r="K1275" s="142" t="s">
        <v>1674</v>
      </c>
      <c r="L1275">
        <v>590</v>
      </c>
      <c r="M1275">
        <v>12</v>
      </c>
      <c r="N1275">
        <v>579.58000000000004</v>
      </c>
      <c r="O1275">
        <v>11.547000000000001</v>
      </c>
    </row>
    <row r="1276" spans="1:15" x14ac:dyDescent="0.25">
      <c r="A1276" s="142" t="s">
        <v>2207</v>
      </c>
      <c r="B1276" s="142" t="s">
        <v>52</v>
      </c>
      <c r="C1276" s="142" t="s">
        <v>7</v>
      </c>
      <c r="D1276">
        <v>0</v>
      </c>
      <c r="E1276">
        <v>10</v>
      </c>
      <c r="F1276">
        <v>1E-3</v>
      </c>
      <c r="G1276" s="142" t="s">
        <v>46</v>
      </c>
      <c r="H1276" s="142" t="s">
        <v>66</v>
      </c>
      <c r="I1276">
        <v>0</v>
      </c>
      <c r="J1276">
        <v>0</v>
      </c>
      <c r="K1276" s="142" t="s">
        <v>1674</v>
      </c>
      <c r="L1276">
        <v>577.88</v>
      </c>
      <c r="M1276">
        <v>4.415</v>
      </c>
      <c r="N1276">
        <v>577.84</v>
      </c>
      <c r="O1276">
        <v>4.4021999999999997</v>
      </c>
    </row>
    <row r="1277" spans="1:15" x14ac:dyDescent="0.25">
      <c r="A1277" s="142" t="s">
        <v>2208</v>
      </c>
      <c r="B1277" s="142" t="s">
        <v>52</v>
      </c>
      <c r="C1277" s="142" t="s">
        <v>7</v>
      </c>
      <c r="D1277">
        <v>10</v>
      </c>
      <c r="E1277">
        <v>100</v>
      </c>
      <c r="F1277">
        <v>1E-3</v>
      </c>
      <c r="G1277" s="142" t="s">
        <v>46</v>
      </c>
      <c r="H1277" s="142" t="s">
        <v>66</v>
      </c>
      <c r="I1277">
        <v>0</v>
      </c>
      <c r="J1277">
        <v>0</v>
      </c>
      <c r="K1277" s="142" t="s">
        <v>1674</v>
      </c>
      <c r="L1277">
        <v>794.69</v>
      </c>
      <c r="M1277">
        <v>12.518000000000001</v>
      </c>
      <c r="N1277">
        <v>794.57</v>
      </c>
      <c r="O1277">
        <v>12.518000000000001</v>
      </c>
    </row>
    <row r="1278" spans="1:15" x14ac:dyDescent="0.25">
      <c r="A1278" s="142" t="s">
        <v>2209</v>
      </c>
      <c r="B1278" s="142" t="s">
        <v>52</v>
      </c>
      <c r="C1278" s="142" t="s">
        <v>7</v>
      </c>
      <c r="D1278">
        <v>100</v>
      </c>
      <c r="E1278">
        <v>1000</v>
      </c>
      <c r="F1278">
        <v>1E-3</v>
      </c>
      <c r="G1278" s="142" t="s">
        <v>46</v>
      </c>
      <c r="H1278" s="142" t="s">
        <v>66</v>
      </c>
      <c r="I1278">
        <v>0</v>
      </c>
      <c r="J1278">
        <v>0</v>
      </c>
      <c r="K1278" s="142" t="s">
        <v>1674</v>
      </c>
      <c r="L1278">
        <v>631.89</v>
      </c>
      <c r="M1278">
        <v>11.958</v>
      </c>
      <c r="N1278">
        <v>681.05</v>
      </c>
      <c r="O1278">
        <v>11.459</v>
      </c>
    </row>
    <row r="1279" spans="1:15" x14ac:dyDescent="0.25">
      <c r="A1279" s="142" t="s">
        <v>2210</v>
      </c>
      <c r="B1279" s="142" t="s">
        <v>52</v>
      </c>
      <c r="C1279" s="142" t="s">
        <v>7</v>
      </c>
      <c r="D1279">
        <v>1000</v>
      </c>
      <c r="E1279">
        <v>10000</v>
      </c>
      <c r="F1279">
        <v>1E-3</v>
      </c>
      <c r="G1279" s="142" t="s">
        <v>46</v>
      </c>
      <c r="H1279" s="142" t="s">
        <v>45</v>
      </c>
      <c r="I1279">
        <v>0</v>
      </c>
      <c r="J1279">
        <v>0</v>
      </c>
      <c r="K1279" s="142" t="s">
        <v>1674</v>
      </c>
      <c r="L1279">
        <v>5.9</v>
      </c>
      <c r="M1279">
        <v>1.2E-2</v>
      </c>
      <c r="N1279">
        <v>5.7946999999999997</v>
      </c>
      <c r="O1279">
        <v>1.1547E-2</v>
      </c>
    </row>
    <row r="1280" spans="1:15" x14ac:dyDescent="0.25">
      <c r="A1280" s="142" t="s">
        <v>2211</v>
      </c>
      <c r="B1280" s="142" t="s">
        <v>52</v>
      </c>
      <c r="C1280" s="142" t="s">
        <v>7</v>
      </c>
      <c r="D1280">
        <v>0</v>
      </c>
      <c r="E1280">
        <v>10</v>
      </c>
      <c r="F1280">
        <v>0.01</v>
      </c>
      <c r="G1280" s="142" t="s">
        <v>46</v>
      </c>
      <c r="H1280" s="142" t="s">
        <v>66</v>
      </c>
      <c r="I1280">
        <v>0</v>
      </c>
      <c r="J1280">
        <v>0</v>
      </c>
      <c r="K1280" s="142" t="s">
        <v>1674</v>
      </c>
      <c r="L1280">
        <v>5773.6</v>
      </c>
      <c r="M1280">
        <v>0.46451999999999999</v>
      </c>
      <c r="N1280">
        <v>5773.6</v>
      </c>
      <c r="O1280">
        <v>0.45884999999999998</v>
      </c>
    </row>
    <row r="1281" spans="1:15" x14ac:dyDescent="0.25">
      <c r="A1281" s="142" t="s">
        <v>2212</v>
      </c>
      <c r="B1281" s="142" t="s">
        <v>52</v>
      </c>
      <c r="C1281" s="142" t="s">
        <v>7</v>
      </c>
      <c r="D1281">
        <v>10</v>
      </c>
      <c r="E1281">
        <v>100</v>
      </c>
      <c r="F1281">
        <v>0.01</v>
      </c>
      <c r="G1281" s="142" t="s">
        <v>46</v>
      </c>
      <c r="H1281" s="142" t="s">
        <v>66</v>
      </c>
      <c r="I1281">
        <v>0</v>
      </c>
      <c r="J1281">
        <v>0</v>
      </c>
      <c r="K1281" s="142" t="s">
        <v>1674</v>
      </c>
      <c r="L1281">
        <v>5786.7</v>
      </c>
      <c r="M1281">
        <v>3.1168999999999998</v>
      </c>
      <c r="N1281">
        <v>5786.6</v>
      </c>
      <c r="O1281">
        <v>3.1160000000000001</v>
      </c>
    </row>
    <row r="1282" spans="1:15" x14ac:dyDescent="0.25">
      <c r="A1282" s="142" t="s">
        <v>2213</v>
      </c>
      <c r="B1282" s="142" t="s">
        <v>52</v>
      </c>
      <c r="C1282" s="142" t="s">
        <v>7</v>
      </c>
      <c r="D1282">
        <v>100</v>
      </c>
      <c r="E1282">
        <v>1000</v>
      </c>
      <c r="F1282">
        <v>0.01</v>
      </c>
      <c r="G1282" s="142" t="s">
        <v>46</v>
      </c>
      <c r="H1282" s="142" t="s">
        <v>66</v>
      </c>
      <c r="I1282">
        <v>0</v>
      </c>
      <c r="J1282">
        <v>0</v>
      </c>
      <c r="K1282" s="142" t="s">
        <v>1674</v>
      </c>
      <c r="L1282">
        <v>5206.5</v>
      </c>
      <c r="M1282">
        <v>8.2256999999999998</v>
      </c>
      <c r="N1282">
        <v>5205.6000000000004</v>
      </c>
      <c r="O1282">
        <v>8.2248999999999999</v>
      </c>
    </row>
    <row r="1283" spans="1:15" x14ac:dyDescent="0.25">
      <c r="A1283" s="142" t="s">
        <v>2214</v>
      </c>
      <c r="B1283" s="142" t="s">
        <v>52</v>
      </c>
      <c r="C1283" s="142" t="s">
        <v>7</v>
      </c>
      <c r="D1283">
        <v>1000</v>
      </c>
      <c r="E1283">
        <v>10000</v>
      </c>
      <c r="F1283">
        <v>0.01</v>
      </c>
      <c r="G1283" s="142" t="s">
        <v>46</v>
      </c>
      <c r="H1283" s="142" t="s">
        <v>45</v>
      </c>
      <c r="I1283">
        <v>0</v>
      </c>
      <c r="J1283">
        <v>0</v>
      </c>
      <c r="K1283" s="142" t="s">
        <v>1674</v>
      </c>
      <c r="L1283">
        <v>6.3231999999999999</v>
      </c>
      <c r="M1283">
        <v>1.1958E-2</v>
      </c>
      <c r="N1283">
        <v>6.8094999999999999</v>
      </c>
      <c r="O1283">
        <v>1.1459E-2</v>
      </c>
    </row>
    <row r="1284" spans="1:15" x14ac:dyDescent="0.25">
      <c r="A1284" s="142" t="s">
        <v>2215</v>
      </c>
      <c r="B1284" s="142" t="s">
        <v>52</v>
      </c>
      <c r="C1284" s="142" t="s">
        <v>7</v>
      </c>
      <c r="D1284">
        <v>10000</v>
      </c>
      <c r="E1284">
        <v>100000</v>
      </c>
      <c r="F1284">
        <v>0.01</v>
      </c>
      <c r="G1284" s="142" t="s">
        <v>46</v>
      </c>
      <c r="H1284" s="142" t="s">
        <v>45</v>
      </c>
      <c r="I1284">
        <v>0</v>
      </c>
      <c r="J1284">
        <v>0</v>
      </c>
      <c r="K1284" s="142" t="s">
        <v>1674</v>
      </c>
      <c r="L1284">
        <v>58</v>
      </c>
      <c r="M1284">
        <v>1.2E-2</v>
      </c>
      <c r="N1284">
        <v>57.984999999999999</v>
      </c>
      <c r="O1284">
        <v>1.1547E-2</v>
      </c>
    </row>
    <row r="1285" spans="1:15" x14ac:dyDescent="0.25">
      <c r="A1285" s="142" t="s">
        <v>2216</v>
      </c>
      <c r="B1285" s="142" t="s">
        <v>52</v>
      </c>
      <c r="C1285" s="142" t="s">
        <v>7</v>
      </c>
      <c r="D1285">
        <v>0</v>
      </c>
      <c r="E1285">
        <v>10</v>
      </c>
      <c r="F1285">
        <v>0.1</v>
      </c>
      <c r="G1285" s="142" t="s">
        <v>46</v>
      </c>
      <c r="H1285" s="142" t="s">
        <v>66</v>
      </c>
      <c r="I1285">
        <v>0</v>
      </c>
      <c r="J1285">
        <v>0</v>
      </c>
      <c r="K1285" s="142" t="s">
        <v>1674</v>
      </c>
      <c r="L1285">
        <v>57736</v>
      </c>
      <c r="M1285">
        <v>4.8175999999999997E-2</v>
      </c>
      <c r="N1285">
        <v>57736</v>
      </c>
      <c r="O1285">
        <v>4.5905000000000001E-2</v>
      </c>
    </row>
    <row r="1286" spans="1:15" x14ac:dyDescent="0.25">
      <c r="A1286" s="142" t="s">
        <v>2217</v>
      </c>
      <c r="B1286" s="142" t="s">
        <v>52</v>
      </c>
      <c r="C1286" s="142" t="s">
        <v>7</v>
      </c>
      <c r="D1286">
        <v>10</v>
      </c>
      <c r="E1286">
        <v>100</v>
      </c>
      <c r="F1286">
        <v>0.1</v>
      </c>
      <c r="G1286" s="142" t="s">
        <v>46</v>
      </c>
      <c r="H1286" s="142" t="s">
        <v>66</v>
      </c>
      <c r="I1286">
        <v>0</v>
      </c>
      <c r="J1286">
        <v>0</v>
      </c>
      <c r="K1286" s="142" t="s">
        <v>1674</v>
      </c>
      <c r="L1286">
        <v>57737</v>
      </c>
      <c r="M1286">
        <v>0.32185999999999998</v>
      </c>
      <c r="N1286">
        <v>57737</v>
      </c>
      <c r="O1286">
        <v>0.32145000000000001</v>
      </c>
    </row>
    <row r="1287" spans="1:15" x14ac:dyDescent="0.25">
      <c r="A1287" s="142" t="s">
        <v>2218</v>
      </c>
      <c r="B1287" s="142" t="s">
        <v>52</v>
      </c>
      <c r="C1287" s="142" t="s">
        <v>7</v>
      </c>
      <c r="D1287">
        <v>100</v>
      </c>
      <c r="E1287">
        <v>1000</v>
      </c>
      <c r="F1287">
        <v>0.1</v>
      </c>
      <c r="G1287" s="142" t="s">
        <v>46</v>
      </c>
      <c r="H1287" s="142" t="s">
        <v>66</v>
      </c>
      <c r="I1287">
        <v>0</v>
      </c>
      <c r="J1287">
        <v>0</v>
      </c>
      <c r="K1287" s="142" t="s">
        <v>1674</v>
      </c>
      <c r="L1287">
        <v>57625</v>
      </c>
      <c r="M1287">
        <v>1.3720000000000001</v>
      </c>
      <c r="N1287">
        <v>57624</v>
      </c>
      <c r="O1287">
        <v>1.3708</v>
      </c>
    </row>
    <row r="1288" spans="1:15" x14ac:dyDescent="0.25">
      <c r="A1288" s="142" t="s">
        <v>2219</v>
      </c>
      <c r="B1288" s="142" t="s">
        <v>52</v>
      </c>
      <c r="C1288" s="142" t="s">
        <v>7</v>
      </c>
      <c r="D1288">
        <v>1000</v>
      </c>
      <c r="E1288">
        <v>10000</v>
      </c>
      <c r="F1288">
        <v>0.1</v>
      </c>
      <c r="G1288" s="142" t="s">
        <v>46</v>
      </c>
      <c r="H1288" s="142" t="s">
        <v>45</v>
      </c>
      <c r="I1288">
        <v>0</v>
      </c>
      <c r="J1288">
        <v>0</v>
      </c>
      <c r="K1288" s="142" t="s">
        <v>1674</v>
      </c>
      <c r="L1288">
        <v>52.070999999999998</v>
      </c>
      <c r="M1288">
        <v>8.2257000000000007E-3</v>
      </c>
      <c r="N1288">
        <v>52.055999999999997</v>
      </c>
      <c r="O1288">
        <v>8.2249000000000003E-3</v>
      </c>
    </row>
    <row r="1289" spans="1:15" x14ac:dyDescent="0.25">
      <c r="A1289" s="142" t="s">
        <v>2220</v>
      </c>
      <c r="B1289" s="142" t="s">
        <v>52</v>
      </c>
      <c r="C1289" s="142" t="s">
        <v>7</v>
      </c>
      <c r="D1289">
        <v>10000</v>
      </c>
      <c r="E1289">
        <v>100000</v>
      </c>
      <c r="F1289">
        <v>0.1</v>
      </c>
      <c r="G1289" s="142" t="s">
        <v>46</v>
      </c>
      <c r="H1289" s="142" t="s">
        <v>45</v>
      </c>
      <c r="I1289">
        <v>0</v>
      </c>
      <c r="J1289">
        <v>0</v>
      </c>
      <c r="K1289" s="142" t="s">
        <v>1674</v>
      </c>
      <c r="L1289">
        <v>63.343000000000004</v>
      </c>
      <c r="M1289">
        <v>1.1946999999999999E-2</v>
      </c>
      <c r="N1289">
        <v>68.084999999999994</v>
      </c>
      <c r="O1289">
        <v>1.146E-2</v>
      </c>
    </row>
    <row r="1290" spans="1:15" x14ac:dyDescent="0.25">
      <c r="A1290" s="142" t="s">
        <v>2221</v>
      </c>
      <c r="B1290" s="142" t="s">
        <v>52</v>
      </c>
      <c r="C1290" s="142" t="s">
        <v>7</v>
      </c>
      <c r="D1290">
        <v>100000</v>
      </c>
      <c r="E1290">
        <v>1000000</v>
      </c>
      <c r="F1290">
        <v>0.1</v>
      </c>
      <c r="G1290" s="142" t="s">
        <v>46</v>
      </c>
      <c r="H1290" s="142" t="s">
        <v>46</v>
      </c>
      <c r="I1290">
        <v>0</v>
      </c>
      <c r="J1290">
        <v>0</v>
      </c>
      <c r="K1290" s="142" t="s">
        <v>1674</v>
      </c>
      <c r="L1290">
        <v>2.8</v>
      </c>
      <c r="M1290">
        <v>1.7E-5</v>
      </c>
      <c r="N1290">
        <v>2.3077000000000001</v>
      </c>
      <c r="O1290">
        <v>1.7348000000000001E-5</v>
      </c>
    </row>
    <row r="1291" spans="1:15" x14ac:dyDescent="0.25">
      <c r="A1291" s="142" t="s">
        <v>2222</v>
      </c>
      <c r="B1291" s="142" t="s">
        <v>52</v>
      </c>
      <c r="C1291" s="142" t="s">
        <v>7</v>
      </c>
      <c r="D1291">
        <v>0</v>
      </c>
      <c r="E1291">
        <v>10</v>
      </c>
      <c r="F1291">
        <v>1</v>
      </c>
      <c r="G1291" s="142" t="s">
        <v>46</v>
      </c>
      <c r="H1291" s="142" t="s">
        <v>66</v>
      </c>
      <c r="I1291">
        <v>0</v>
      </c>
      <c r="J1291">
        <v>0</v>
      </c>
      <c r="K1291" s="142" t="s">
        <v>1674</v>
      </c>
      <c r="L1291">
        <v>577360</v>
      </c>
      <c r="M1291">
        <v>5.4989000000000001E-3</v>
      </c>
      <c r="N1291">
        <v>577360</v>
      </c>
      <c r="O1291">
        <v>4.5905E-3</v>
      </c>
    </row>
    <row r="1292" spans="1:15" x14ac:dyDescent="0.25">
      <c r="A1292" s="142" t="s">
        <v>2223</v>
      </c>
      <c r="B1292" s="142" t="s">
        <v>52</v>
      </c>
      <c r="C1292" s="142" t="s">
        <v>7</v>
      </c>
      <c r="D1292">
        <v>10</v>
      </c>
      <c r="E1292">
        <v>100</v>
      </c>
      <c r="F1292">
        <v>1</v>
      </c>
      <c r="G1292" s="142" t="s">
        <v>46</v>
      </c>
      <c r="H1292" s="142" t="s">
        <v>66</v>
      </c>
      <c r="I1292">
        <v>0</v>
      </c>
      <c r="J1292">
        <v>0</v>
      </c>
      <c r="K1292" s="142" t="s">
        <v>1674</v>
      </c>
      <c r="L1292">
        <v>577360</v>
      </c>
      <c r="M1292">
        <v>3.2319000000000001E-2</v>
      </c>
      <c r="N1292">
        <v>577350</v>
      </c>
      <c r="O1292">
        <v>3.2155000000000003E-2</v>
      </c>
    </row>
    <row r="1293" spans="1:15" x14ac:dyDescent="0.25">
      <c r="A1293" s="142" t="s">
        <v>2224</v>
      </c>
      <c r="B1293" s="142" t="s">
        <v>52</v>
      </c>
      <c r="C1293" s="142" t="s">
        <v>7</v>
      </c>
      <c r="D1293">
        <v>100</v>
      </c>
      <c r="E1293">
        <v>1000</v>
      </c>
      <c r="F1293">
        <v>1</v>
      </c>
      <c r="G1293" s="142" t="s">
        <v>46</v>
      </c>
      <c r="H1293" s="142" t="s">
        <v>66</v>
      </c>
      <c r="I1293">
        <v>0</v>
      </c>
      <c r="J1293">
        <v>0</v>
      </c>
      <c r="K1293" s="142" t="s">
        <v>1674</v>
      </c>
      <c r="L1293">
        <v>577340</v>
      </c>
      <c r="M1293">
        <v>0.13908999999999999</v>
      </c>
      <c r="N1293">
        <v>577340</v>
      </c>
      <c r="O1293">
        <v>0.13858999999999999</v>
      </c>
    </row>
    <row r="1294" spans="1:15" x14ac:dyDescent="0.25">
      <c r="A1294" s="142" t="s">
        <v>2225</v>
      </c>
      <c r="B1294" s="142" t="s">
        <v>52</v>
      </c>
      <c r="C1294" s="142" t="s">
        <v>7</v>
      </c>
      <c r="D1294">
        <v>1000</v>
      </c>
      <c r="E1294">
        <v>10000</v>
      </c>
      <c r="F1294">
        <v>1</v>
      </c>
      <c r="G1294" s="142" t="s">
        <v>46</v>
      </c>
      <c r="H1294" s="142" t="s">
        <v>45</v>
      </c>
      <c r="I1294">
        <v>0</v>
      </c>
      <c r="J1294">
        <v>0</v>
      </c>
      <c r="K1294" s="142" t="s">
        <v>1674</v>
      </c>
      <c r="L1294">
        <v>576.25</v>
      </c>
      <c r="M1294">
        <v>1.3722999999999999E-3</v>
      </c>
      <c r="N1294">
        <v>576.24</v>
      </c>
      <c r="O1294">
        <v>1.3707999999999999E-3</v>
      </c>
    </row>
    <row r="1295" spans="1:15" x14ac:dyDescent="0.25">
      <c r="A1295" s="142" t="s">
        <v>2226</v>
      </c>
      <c r="B1295" s="142" t="s">
        <v>52</v>
      </c>
      <c r="C1295" s="142" t="s">
        <v>7</v>
      </c>
      <c r="D1295">
        <v>10000</v>
      </c>
      <c r="E1295">
        <v>100000</v>
      </c>
      <c r="F1295">
        <v>1</v>
      </c>
      <c r="G1295" s="142" t="s">
        <v>46</v>
      </c>
      <c r="H1295" s="142" t="s">
        <v>45</v>
      </c>
      <c r="I1295">
        <v>0</v>
      </c>
      <c r="J1295">
        <v>0</v>
      </c>
      <c r="K1295" s="142" t="s">
        <v>1674</v>
      </c>
      <c r="L1295">
        <v>520.70000000000005</v>
      </c>
      <c r="M1295">
        <v>8.2263000000000006E-3</v>
      </c>
      <c r="N1295">
        <v>520.54999999999995</v>
      </c>
      <c r="O1295">
        <v>8.2255000000000002E-3</v>
      </c>
    </row>
    <row r="1296" spans="1:15" x14ac:dyDescent="0.25">
      <c r="A1296" s="142" t="s">
        <v>2227</v>
      </c>
      <c r="B1296" s="142" t="s">
        <v>52</v>
      </c>
      <c r="C1296" s="142" t="s">
        <v>7</v>
      </c>
      <c r="D1296">
        <v>100000</v>
      </c>
      <c r="E1296">
        <v>1000000</v>
      </c>
      <c r="F1296">
        <v>1</v>
      </c>
      <c r="G1296" s="142" t="s">
        <v>46</v>
      </c>
      <c r="H1296" s="142" t="s">
        <v>46</v>
      </c>
      <c r="I1296">
        <v>0</v>
      </c>
      <c r="J1296">
        <v>0</v>
      </c>
      <c r="K1296" s="142" t="s">
        <v>1674</v>
      </c>
      <c r="L1296">
        <v>2.8</v>
      </c>
      <c r="M1296">
        <v>1.7E-5</v>
      </c>
      <c r="N1296">
        <v>2.3519999999999999</v>
      </c>
      <c r="O1296">
        <v>1.7312E-5</v>
      </c>
    </row>
    <row r="1297" spans="1:15" x14ac:dyDescent="0.25">
      <c r="A1297" s="142" t="s">
        <v>2228</v>
      </c>
      <c r="B1297" s="142" t="s">
        <v>52</v>
      </c>
      <c r="C1297" s="142" t="s">
        <v>7</v>
      </c>
      <c r="D1297">
        <v>1000000</v>
      </c>
      <c r="E1297">
        <v>10000000</v>
      </c>
      <c r="F1297">
        <v>1</v>
      </c>
      <c r="G1297" s="142" t="s">
        <v>46</v>
      </c>
      <c r="H1297" s="142" t="s">
        <v>46</v>
      </c>
      <c r="I1297">
        <v>0</v>
      </c>
      <c r="J1297">
        <v>0</v>
      </c>
      <c r="K1297" s="142" t="s">
        <v>1674</v>
      </c>
      <c r="L1297">
        <v>120</v>
      </c>
      <c r="M1297">
        <v>5.8999999999999998E-5</v>
      </c>
      <c r="N1297">
        <v>115.48</v>
      </c>
      <c r="O1297">
        <v>5.7735000000000002E-5</v>
      </c>
    </row>
    <row r="1298" spans="1:15" x14ac:dyDescent="0.25">
      <c r="A1298" s="142" t="s">
        <v>2229</v>
      </c>
      <c r="B1298" s="142" t="s">
        <v>52</v>
      </c>
      <c r="C1298" s="142" t="s">
        <v>7</v>
      </c>
      <c r="D1298">
        <v>0</v>
      </c>
      <c r="E1298">
        <v>10</v>
      </c>
      <c r="F1298">
        <v>10</v>
      </c>
      <c r="G1298" s="142" t="s">
        <v>46</v>
      </c>
      <c r="H1298" s="142" t="s">
        <v>66</v>
      </c>
      <c r="I1298">
        <v>0</v>
      </c>
      <c r="J1298">
        <v>0</v>
      </c>
      <c r="K1298" s="142" t="s">
        <v>1674</v>
      </c>
      <c r="L1298">
        <v>5773600</v>
      </c>
      <c r="M1298">
        <v>8.2240999999999998E-4</v>
      </c>
      <c r="N1298">
        <v>5773600</v>
      </c>
      <c r="O1298">
        <v>4.5905000000000002E-4</v>
      </c>
    </row>
    <row r="1299" spans="1:15" x14ac:dyDescent="0.25">
      <c r="A1299" s="142" t="s">
        <v>2230</v>
      </c>
      <c r="B1299" s="142" t="s">
        <v>52</v>
      </c>
      <c r="C1299" s="142" t="s">
        <v>7</v>
      </c>
      <c r="D1299">
        <v>100</v>
      </c>
      <c r="E1299">
        <v>1000</v>
      </c>
      <c r="F1299">
        <v>10</v>
      </c>
      <c r="G1299" s="142" t="s">
        <v>46</v>
      </c>
      <c r="H1299" s="142" t="s">
        <v>66</v>
      </c>
      <c r="I1299">
        <v>0</v>
      </c>
      <c r="J1299">
        <v>0</v>
      </c>
      <c r="K1299" s="142" t="s">
        <v>1674</v>
      </c>
      <c r="L1299">
        <v>5773600</v>
      </c>
      <c r="M1299">
        <v>1.406E-2</v>
      </c>
      <c r="N1299">
        <v>5773500</v>
      </c>
      <c r="O1299">
        <v>1.3860000000000001E-2</v>
      </c>
    </row>
    <row r="1300" spans="1:15" x14ac:dyDescent="0.25">
      <c r="A1300" s="142" t="s">
        <v>2231</v>
      </c>
      <c r="B1300" s="142" t="s">
        <v>52</v>
      </c>
      <c r="C1300" s="142" t="s">
        <v>7</v>
      </c>
      <c r="D1300">
        <v>1000</v>
      </c>
      <c r="E1300">
        <v>10000</v>
      </c>
      <c r="F1300">
        <v>10</v>
      </c>
      <c r="G1300" s="142" t="s">
        <v>46</v>
      </c>
      <c r="H1300" s="142" t="s">
        <v>45</v>
      </c>
      <c r="I1300">
        <v>0</v>
      </c>
      <c r="J1300">
        <v>0</v>
      </c>
      <c r="K1300" s="142" t="s">
        <v>1674</v>
      </c>
      <c r="L1300">
        <v>5773.4</v>
      </c>
      <c r="M1300">
        <v>1.3924E-4</v>
      </c>
      <c r="N1300">
        <v>5773.4</v>
      </c>
      <c r="O1300">
        <v>1.3859000000000001E-4</v>
      </c>
    </row>
    <row r="1301" spans="1:15" x14ac:dyDescent="0.25">
      <c r="A1301" s="142" t="s">
        <v>2232</v>
      </c>
      <c r="B1301" s="142" t="s">
        <v>52</v>
      </c>
      <c r="C1301" s="142" t="s">
        <v>7</v>
      </c>
      <c r="D1301">
        <v>10000</v>
      </c>
      <c r="E1301">
        <v>100000</v>
      </c>
      <c r="F1301">
        <v>10</v>
      </c>
      <c r="G1301" s="142" t="s">
        <v>46</v>
      </c>
      <c r="H1301" s="142" t="s">
        <v>45</v>
      </c>
      <c r="I1301">
        <v>0</v>
      </c>
      <c r="J1301">
        <v>0</v>
      </c>
      <c r="K1301" s="142" t="s">
        <v>1674</v>
      </c>
      <c r="L1301">
        <v>5762.5</v>
      </c>
      <c r="M1301">
        <v>1.3725E-3</v>
      </c>
      <c r="N1301">
        <v>5762.4</v>
      </c>
      <c r="O1301">
        <v>1.3709E-3</v>
      </c>
    </row>
    <row r="1302" spans="1:15" x14ac:dyDescent="0.25">
      <c r="A1302" s="142" t="s">
        <v>2233</v>
      </c>
      <c r="B1302" s="142" t="s">
        <v>52</v>
      </c>
      <c r="C1302" s="142" t="s">
        <v>7</v>
      </c>
      <c r="D1302">
        <v>100000</v>
      </c>
      <c r="E1302">
        <v>1000000</v>
      </c>
      <c r="F1302">
        <v>10</v>
      </c>
      <c r="G1302" s="142" t="s">
        <v>46</v>
      </c>
      <c r="H1302" s="142" t="s">
        <v>46</v>
      </c>
      <c r="I1302">
        <v>0</v>
      </c>
      <c r="J1302">
        <v>0</v>
      </c>
      <c r="K1302" s="142" t="s">
        <v>1674</v>
      </c>
      <c r="L1302">
        <v>5.5590999999999999</v>
      </c>
      <c r="M1302">
        <v>1.4931E-5</v>
      </c>
      <c r="N1302">
        <v>5.5549999999999997</v>
      </c>
      <c r="O1302">
        <v>1.4931E-5</v>
      </c>
    </row>
    <row r="1303" spans="1:15" x14ac:dyDescent="0.25">
      <c r="A1303" s="142" t="s">
        <v>2234</v>
      </c>
      <c r="B1303" s="142" t="s">
        <v>52</v>
      </c>
      <c r="C1303" s="142" t="s">
        <v>7</v>
      </c>
      <c r="D1303">
        <v>1000000</v>
      </c>
      <c r="E1303">
        <v>10000000</v>
      </c>
      <c r="F1303">
        <v>10</v>
      </c>
      <c r="G1303" s="142" t="s">
        <v>46</v>
      </c>
      <c r="H1303" s="142" t="s">
        <v>46</v>
      </c>
      <c r="I1303">
        <v>0</v>
      </c>
      <c r="J1303">
        <v>0</v>
      </c>
      <c r="K1303" s="142" t="s">
        <v>1674</v>
      </c>
      <c r="L1303">
        <v>120</v>
      </c>
      <c r="M1303">
        <v>5.8999999999999998E-5</v>
      </c>
      <c r="N1303">
        <v>115.59</v>
      </c>
      <c r="O1303">
        <v>5.7726999999999998E-5</v>
      </c>
    </row>
    <row r="1304" spans="1:15" x14ac:dyDescent="0.25">
      <c r="A1304" s="142" t="s">
        <v>2235</v>
      </c>
      <c r="B1304" s="142" t="s">
        <v>52</v>
      </c>
      <c r="C1304" s="142" t="s">
        <v>7</v>
      </c>
      <c r="D1304">
        <v>10000000</v>
      </c>
      <c r="E1304">
        <v>100000000</v>
      </c>
      <c r="F1304">
        <v>10</v>
      </c>
      <c r="G1304" s="142" t="s">
        <v>46</v>
      </c>
      <c r="H1304" s="142" t="s">
        <v>47</v>
      </c>
      <c r="I1304">
        <v>0</v>
      </c>
      <c r="J1304">
        <v>0</v>
      </c>
      <c r="K1304" s="142" t="s">
        <v>1674</v>
      </c>
      <c r="L1304">
        <v>1.2</v>
      </c>
      <c r="M1304">
        <v>5.7999999999999995E-7</v>
      </c>
      <c r="N1304">
        <v>1.1538999999999999</v>
      </c>
      <c r="O1304">
        <v>5.7744000000000001E-7</v>
      </c>
    </row>
    <row r="1305" spans="1:15" x14ac:dyDescent="0.25">
      <c r="A1305" s="142" t="s">
        <v>2236</v>
      </c>
      <c r="B1305" s="142" t="s">
        <v>52</v>
      </c>
      <c r="C1305" s="142" t="s">
        <v>7</v>
      </c>
      <c r="D1305">
        <v>0</v>
      </c>
      <c r="E1305">
        <v>10</v>
      </c>
      <c r="F1305">
        <v>100</v>
      </c>
      <c r="G1305" s="142" t="s">
        <v>46</v>
      </c>
      <c r="H1305" s="142" t="s">
        <v>66</v>
      </c>
      <c r="I1305">
        <v>0</v>
      </c>
      <c r="J1305">
        <v>0</v>
      </c>
      <c r="K1305" s="142" t="s">
        <v>1674</v>
      </c>
      <c r="L1305">
        <v>57736000</v>
      </c>
      <c r="M1305">
        <v>1.9124999999999999E-4</v>
      </c>
      <c r="N1305">
        <v>57736000</v>
      </c>
      <c r="O1305">
        <v>4.5905999999999997E-5</v>
      </c>
    </row>
    <row r="1306" spans="1:15" x14ac:dyDescent="0.25">
      <c r="A1306" s="142" t="s">
        <v>2237</v>
      </c>
      <c r="B1306" s="142" t="s">
        <v>52</v>
      </c>
      <c r="C1306" s="142" t="s">
        <v>7</v>
      </c>
      <c r="D1306">
        <v>1000</v>
      </c>
      <c r="E1306">
        <v>10000</v>
      </c>
      <c r="F1306">
        <v>100</v>
      </c>
      <c r="G1306" s="142" t="s">
        <v>46</v>
      </c>
      <c r="H1306" s="142" t="s">
        <v>45</v>
      </c>
      <c r="I1306">
        <v>0</v>
      </c>
      <c r="J1306">
        <v>0</v>
      </c>
      <c r="K1306" s="142" t="s">
        <v>1674</v>
      </c>
      <c r="L1306">
        <v>57736</v>
      </c>
      <c r="M1306">
        <v>1.4121000000000001E-5</v>
      </c>
      <c r="N1306">
        <v>57735</v>
      </c>
      <c r="O1306">
        <v>1.3859999999999999E-5</v>
      </c>
    </row>
    <row r="1307" spans="1:15" x14ac:dyDescent="0.25">
      <c r="A1307" s="142" t="s">
        <v>2238</v>
      </c>
      <c r="B1307" s="142" t="s">
        <v>52</v>
      </c>
      <c r="C1307" s="142" t="s">
        <v>7</v>
      </c>
      <c r="D1307">
        <v>10000</v>
      </c>
      <c r="E1307">
        <v>100000</v>
      </c>
      <c r="F1307">
        <v>100</v>
      </c>
      <c r="G1307" s="142" t="s">
        <v>46</v>
      </c>
      <c r="H1307" s="142" t="s">
        <v>45</v>
      </c>
      <c r="I1307">
        <v>0</v>
      </c>
      <c r="J1307">
        <v>0</v>
      </c>
      <c r="K1307" s="142" t="s">
        <v>1674</v>
      </c>
      <c r="L1307">
        <v>57734</v>
      </c>
      <c r="M1307">
        <v>1.3925E-4</v>
      </c>
      <c r="N1307">
        <v>57734</v>
      </c>
      <c r="O1307">
        <v>1.3860000000000001E-4</v>
      </c>
    </row>
    <row r="1308" spans="1:15" x14ac:dyDescent="0.25">
      <c r="A1308" s="142" t="s">
        <v>2239</v>
      </c>
      <c r="B1308" s="142" t="s">
        <v>52</v>
      </c>
      <c r="C1308" s="142" t="s">
        <v>7</v>
      </c>
      <c r="D1308">
        <v>100000</v>
      </c>
      <c r="E1308">
        <v>1000000</v>
      </c>
      <c r="F1308">
        <v>100</v>
      </c>
      <c r="G1308" s="142" t="s">
        <v>46</v>
      </c>
      <c r="H1308" s="142" t="s">
        <v>46</v>
      </c>
      <c r="I1308">
        <v>0</v>
      </c>
      <c r="J1308">
        <v>0</v>
      </c>
      <c r="K1308" s="142" t="s">
        <v>1674</v>
      </c>
      <c r="L1308">
        <v>57.533000000000001</v>
      </c>
      <c r="M1308">
        <v>3.4620999999999999E-6</v>
      </c>
      <c r="N1308">
        <v>57.530999999999999</v>
      </c>
      <c r="O1308">
        <v>3.4585999999999998E-6</v>
      </c>
    </row>
    <row r="1309" spans="1:15" x14ac:dyDescent="0.25">
      <c r="A1309" s="142" t="s">
        <v>2240</v>
      </c>
      <c r="B1309" s="142" t="s">
        <v>52</v>
      </c>
      <c r="C1309" s="142" t="s">
        <v>7</v>
      </c>
      <c r="D1309">
        <v>1000000</v>
      </c>
      <c r="E1309">
        <v>10000000</v>
      </c>
      <c r="F1309">
        <v>100</v>
      </c>
      <c r="G1309" s="142" t="s">
        <v>46</v>
      </c>
      <c r="H1309" s="142" t="s">
        <v>46</v>
      </c>
      <c r="I1309">
        <v>0</v>
      </c>
      <c r="J1309">
        <v>0</v>
      </c>
      <c r="K1309" s="142" t="s">
        <v>1674</v>
      </c>
      <c r="L1309">
        <v>124.31</v>
      </c>
      <c r="M1309">
        <v>5.8569000000000001E-5</v>
      </c>
      <c r="N1309">
        <v>125.62</v>
      </c>
      <c r="O1309">
        <v>5.6960999999999999E-5</v>
      </c>
    </row>
    <row r="1310" spans="1:15" x14ac:dyDescent="0.25">
      <c r="A1310" s="142" t="s">
        <v>2241</v>
      </c>
      <c r="B1310" s="142" t="s">
        <v>52</v>
      </c>
      <c r="C1310" s="142" t="s">
        <v>7</v>
      </c>
      <c r="D1310">
        <v>10000000</v>
      </c>
      <c r="E1310">
        <v>100000000</v>
      </c>
      <c r="F1310">
        <v>100</v>
      </c>
      <c r="G1310" s="142" t="s">
        <v>46</v>
      </c>
      <c r="H1310" s="142" t="s">
        <v>47</v>
      </c>
      <c r="I1310">
        <v>0</v>
      </c>
      <c r="J1310">
        <v>0</v>
      </c>
      <c r="K1310" s="142" t="s">
        <v>1674</v>
      </c>
      <c r="L1310">
        <v>1.2</v>
      </c>
      <c r="M1310">
        <v>5.7999999999999995E-7</v>
      </c>
      <c r="N1310">
        <v>1.1541999999999999</v>
      </c>
      <c r="O1310">
        <v>5.7744000000000001E-7</v>
      </c>
    </row>
    <row r="1311" spans="1:15" x14ac:dyDescent="0.25">
      <c r="A1311" s="142" t="s">
        <v>2242</v>
      </c>
      <c r="B1311" s="142" t="s">
        <v>52</v>
      </c>
      <c r="C1311" s="142" t="s">
        <v>7</v>
      </c>
      <c r="D1311">
        <v>100000000</v>
      </c>
      <c r="E1311">
        <v>1000000000</v>
      </c>
      <c r="F1311">
        <v>100</v>
      </c>
      <c r="G1311" s="142" t="s">
        <v>46</v>
      </c>
      <c r="H1311" s="142" t="s">
        <v>47</v>
      </c>
      <c r="I1311">
        <v>0</v>
      </c>
      <c r="J1311">
        <v>0</v>
      </c>
      <c r="K1311" s="142" t="s">
        <v>1674</v>
      </c>
      <c r="L1311">
        <v>12</v>
      </c>
      <c r="M1311">
        <v>5.8000000000000004E-6</v>
      </c>
      <c r="N1311">
        <v>11.489000000000001</v>
      </c>
      <c r="O1311">
        <v>5.7741000000000003E-6</v>
      </c>
    </row>
    <row r="1312" spans="1:15" x14ac:dyDescent="0.25">
      <c r="A1312" s="142" t="s">
        <v>2243</v>
      </c>
      <c r="B1312" s="142" t="s">
        <v>52</v>
      </c>
      <c r="C1312" s="142" t="s">
        <v>7</v>
      </c>
      <c r="D1312">
        <v>0</v>
      </c>
      <c r="E1312">
        <v>10</v>
      </c>
      <c r="F1312">
        <v>1000</v>
      </c>
      <c r="G1312" s="142" t="s">
        <v>46</v>
      </c>
      <c r="H1312" s="142" t="s">
        <v>66</v>
      </c>
      <c r="I1312">
        <v>0</v>
      </c>
      <c r="J1312">
        <v>0</v>
      </c>
      <c r="K1312" s="142" t="s">
        <v>1674</v>
      </c>
      <c r="L1312">
        <v>577360000</v>
      </c>
      <c r="M1312">
        <v>6.2717000000000003E-5</v>
      </c>
      <c r="N1312">
        <v>577360000</v>
      </c>
      <c r="O1312">
        <v>4.5962000000000001E-6</v>
      </c>
    </row>
    <row r="1313" spans="1:15" x14ac:dyDescent="0.25">
      <c r="A1313" s="142" t="s">
        <v>2244</v>
      </c>
      <c r="B1313" s="142" t="s">
        <v>52</v>
      </c>
      <c r="C1313" s="142" t="s">
        <v>7</v>
      </c>
      <c r="D1313">
        <v>10000</v>
      </c>
      <c r="E1313">
        <v>100000</v>
      </c>
      <c r="F1313">
        <v>1000</v>
      </c>
      <c r="G1313" s="142" t="s">
        <v>46</v>
      </c>
      <c r="H1313" s="142" t="s">
        <v>45</v>
      </c>
      <c r="I1313">
        <v>0</v>
      </c>
      <c r="J1313">
        <v>0</v>
      </c>
      <c r="K1313" s="142" t="s">
        <v>1674</v>
      </c>
      <c r="L1313">
        <v>577360</v>
      </c>
      <c r="M1313">
        <v>1.4122E-5</v>
      </c>
      <c r="N1313">
        <v>577350</v>
      </c>
      <c r="O1313">
        <v>1.3862E-5</v>
      </c>
    </row>
    <row r="1314" spans="1:15" x14ac:dyDescent="0.25">
      <c r="A1314" s="142" t="s">
        <v>2245</v>
      </c>
      <c r="B1314" s="142" t="s">
        <v>52</v>
      </c>
      <c r="C1314" s="142" t="s">
        <v>7</v>
      </c>
      <c r="D1314">
        <v>100000</v>
      </c>
      <c r="E1314">
        <v>1000000</v>
      </c>
      <c r="F1314">
        <v>1000</v>
      </c>
      <c r="G1314" s="142" t="s">
        <v>46</v>
      </c>
      <c r="H1314" s="142" t="s">
        <v>46</v>
      </c>
      <c r="I1314">
        <v>0</v>
      </c>
      <c r="J1314">
        <v>0</v>
      </c>
      <c r="K1314" s="142" t="s">
        <v>1674</v>
      </c>
      <c r="L1314">
        <v>577.33000000000004</v>
      </c>
      <c r="M1314">
        <v>3.5742999999999999E-7</v>
      </c>
      <c r="N1314">
        <v>577.33000000000004</v>
      </c>
      <c r="O1314">
        <v>3.5592999999999998E-7</v>
      </c>
    </row>
    <row r="1315" spans="1:15" x14ac:dyDescent="0.25">
      <c r="A1315" s="142" t="s">
        <v>2246</v>
      </c>
      <c r="B1315" s="142" t="s">
        <v>52</v>
      </c>
      <c r="C1315" s="142" t="s">
        <v>7</v>
      </c>
      <c r="D1315">
        <v>1000000</v>
      </c>
      <c r="E1315">
        <v>10000000</v>
      </c>
      <c r="F1315">
        <v>1000</v>
      </c>
      <c r="G1315" s="142" t="s">
        <v>46</v>
      </c>
      <c r="H1315" s="142" t="s">
        <v>46</v>
      </c>
      <c r="I1315">
        <v>0</v>
      </c>
      <c r="J1315">
        <v>0</v>
      </c>
      <c r="K1315" s="142" t="s">
        <v>1674</v>
      </c>
      <c r="L1315">
        <v>569.83000000000004</v>
      </c>
      <c r="M1315">
        <v>3.3309000000000002E-5</v>
      </c>
      <c r="N1315">
        <v>569.54999999999995</v>
      </c>
      <c r="O1315">
        <v>3.3231000000000001E-5</v>
      </c>
    </row>
    <row r="1316" spans="1:15" x14ac:dyDescent="0.25">
      <c r="A1316" s="142" t="s">
        <v>2247</v>
      </c>
      <c r="B1316" s="142" t="s">
        <v>52</v>
      </c>
      <c r="C1316" s="142" t="s">
        <v>7</v>
      </c>
      <c r="D1316">
        <v>10000000</v>
      </c>
      <c r="E1316">
        <v>100000000</v>
      </c>
      <c r="F1316">
        <v>1000</v>
      </c>
      <c r="G1316" s="142" t="s">
        <v>46</v>
      </c>
      <c r="H1316" s="142" t="s">
        <v>47</v>
      </c>
      <c r="I1316">
        <v>0</v>
      </c>
      <c r="J1316">
        <v>0</v>
      </c>
      <c r="K1316" s="142" t="s">
        <v>1674</v>
      </c>
      <c r="L1316">
        <v>1.2</v>
      </c>
      <c r="M1316">
        <v>5.7999999999999995E-7</v>
      </c>
      <c r="N1316">
        <v>1.1806000000000001</v>
      </c>
      <c r="O1316">
        <v>5.7719999999999995E-7</v>
      </c>
    </row>
    <row r="1317" spans="1:15" x14ac:dyDescent="0.25">
      <c r="A1317" s="142" t="s">
        <v>2248</v>
      </c>
      <c r="B1317" s="142" t="s">
        <v>52</v>
      </c>
      <c r="C1317" s="142" t="s">
        <v>7</v>
      </c>
      <c r="D1317">
        <v>100000000</v>
      </c>
      <c r="E1317">
        <v>1000000000</v>
      </c>
      <c r="F1317">
        <v>1000</v>
      </c>
      <c r="G1317" s="142" t="s">
        <v>46</v>
      </c>
      <c r="H1317" s="142" t="s">
        <v>47</v>
      </c>
      <c r="I1317">
        <v>0</v>
      </c>
      <c r="J1317">
        <v>0</v>
      </c>
      <c r="K1317" s="142" t="s">
        <v>1674</v>
      </c>
      <c r="L1317">
        <v>12</v>
      </c>
      <c r="M1317">
        <v>5.8000000000000004E-6</v>
      </c>
      <c r="N1317">
        <v>11.49</v>
      </c>
      <c r="O1317">
        <v>5.7741000000000003E-6</v>
      </c>
    </row>
    <row r="1318" spans="1:15" x14ac:dyDescent="0.25">
      <c r="A1318" s="142" t="s">
        <v>2249</v>
      </c>
      <c r="B1318" s="142" t="s">
        <v>52</v>
      </c>
      <c r="C1318" s="142" t="s">
        <v>7</v>
      </c>
      <c r="D1318">
        <v>0</v>
      </c>
      <c r="E1318">
        <v>10</v>
      </c>
      <c r="F1318">
        <v>10000</v>
      </c>
      <c r="G1318" s="142" t="s">
        <v>46</v>
      </c>
      <c r="H1318" s="142" t="s">
        <v>66</v>
      </c>
      <c r="I1318">
        <v>0</v>
      </c>
      <c r="J1318">
        <v>0</v>
      </c>
      <c r="K1318" s="142" t="s">
        <v>1674</v>
      </c>
      <c r="L1318">
        <v>5773600000</v>
      </c>
      <c r="M1318">
        <v>2.3736000000000001E-5</v>
      </c>
      <c r="N1318">
        <v>5773600000</v>
      </c>
      <c r="O1318">
        <v>0</v>
      </c>
    </row>
    <row r="1319" spans="1:15" x14ac:dyDescent="0.25">
      <c r="A1319" s="142" t="s">
        <v>2250</v>
      </c>
      <c r="B1319" s="142" t="s">
        <v>52</v>
      </c>
      <c r="C1319" s="142" t="s">
        <v>7</v>
      </c>
      <c r="D1319">
        <v>100000</v>
      </c>
      <c r="E1319">
        <v>1000000</v>
      </c>
      <c r="F1319">
        <v>10000</v>
      </c>
      <c r="G1319" s="142" t="s">
        <v>46</v>
      </c>
      <c r="H1319" s="142" t="s">
        <v>46</v>
      </c>
      <c r="I1319">
        <v>0</v>
      </c>
      <c r="J1319">
        <v>0</v>
      </c>
      <c r="K1319" s="142" t="s">
        <v>1674</v>
      </c>
      <c r="L1319">
        <v>5773.6</v>
      </c>
      <c r="M1319">
        <v>3.6206E-8</v>
      </c>
      <c r="N1319">
        <v>5773.5</v>
      </c>
      <c r="O1319">
        <v>3.5602999999999998E-8</v>
      </c>
    </row>
    <row r="1320" spans="1:15" x14ac:dyDescent="0.25">
      <c r="A1320" s="142" t="s">
        <v>2251</v>
      </c>
      <c r="B1320" s="142" t="s">
        <v>52</v>
      </c>
      <c r="C1320" s="142" t="s">
        <v>7</v>
      </c>
      <c r="D1320">
        <v>1000000</v>
      </c>
      <c r="E1320">
        <v>10000000</v>
      </c>
      <c r="F1320">
        <v>10000</v>
      </c>
      <c r="G1320" s="142" t="s">
        <v>46</v>
      </c>
      <c r="H1320" s="142" t="s">
        <v>46</v>
      </c>
      <c r="I1320">
        <v>0</v>
      </c>
      <c r="J1320">
        <v>0</v>
      </c>
      <c r="K1320" s="142" t="s">
        <v>1674</v>
      </c>
      <c r="L1320">
        <v>5771.9</v>
      </c>
      <c r="M1320">
        <v>4.3699999999999997E-6</v>
      </c>
      <c r="N1320">
        <v>5771.8</v>
      </c>
      <c r="O1320">
        <v>4.3138000000000001E-6</v>
      </c>
    </row>
    <row r="1321" spans="1:15" x14ac:dyDescent="0.25">
      <c r="A1321" s="142" t="s">
        <v>2252</v>
      </c>
      <c r="B1321" s="142" t="s">
        <v>52</v>
      </c>
      <c r="C1321" s="142" t="s">
        <v>7</v>
      </c>
      <c r="D1321">
        <v>10000000</v>
      </c>
      <c r="E1321">
        <v>100000000</v>
      </c>
      <c r="F1321">
        <v>10000</v>
      </c>
      <c r="G1321" s="142" t="s">
        <v>46</v>
      </c>
      <c r="H1321" s="142" t="s">
        <v>47</v>
      </c>
      <c r="I1321">
        <v>0</v>
      </c>
      <c r="J1321">
        <v>0</v>
      </c>
      <c r="K1321" s="142" t="s">
        <v>1674</v>
      </c>
      <c r="L1321">
        <v>3.4546999999999999</v>
      </c>
      <c r="M1321">
        <v>5.5744999999999995E-7</v>
      </c>
      <c r="N1321">
        <v>3.4451000000000001</v>
      </c>
      <c r="O1321">
        <v>5.5735000000000005E-7</v>
      </c>
    </row>
    <row r="1322" spans="1:15" x14ac:dyDescent="0.25">
      <c r="A1322" s="142" t="s">
        <v>2253</v>
      </c>
      <c r="B1322" s="142" t="s">
        <v>52</v>
      </c>
      <c r="C1322" s="142" t="s">
        <v>7</v>
      </c>
      <c r="D1322">
        <v>100000000</v>
      </c>
      <c r="E1322">
        <v>1000000000</v>
      </c>
      <c r="F1322">
        <v>10000</v>
      </c>
      <c r="G1322" s="142" t="s">
        <v>46</v>
      </c>
      <c r="H1322" s="142" t="s">
        <v>47</v>
      </c>
      <c r="I1322">
        <v>0</v>
      </c>
      <c r="J1322">
        <v>0</v>
      </c>
      <c r="K1322" s="142" t="s">
        <v>1674</v>
      </c>
      <c r="L1322">
        <v>12</v>
      </c>
      <c r="M1322">
        <v>5.8000000000000004E-6</v>
      </c>
      <c r="N1322">
        <v>11.516999999999999</v>
      </c>
      <c r="O1322">
        <v>5.7713000000000001E-6</v>
      </c>
    </row>
    <row r="1323" spans="1:15" x14ac:dyDescent="0.25">
      <c r="A1323" s="142" t="s">
        <v>2254</v>
      </c>
      <c r="B1323" s="142" t="s">
        <v>52</v>
      </c>
      <c r="C1323" s="142" t="s">
        <v>7</v>
      </c>
      <c r="D1323">
        <v>0</v>
      </c>
      <c r="E1323">
        <v>10</v>
      </c>
      <c r="F1323">
        <v>100000</v>
      </c>
      <c r="G1323" s="142" t="s">
        <v>46</v>
      </c>
      <c r="H1323" s="142" t="s">
        <v>66</v>
      </c>
      <c r="I1323">
        <v>0</v>
      </c>
      <c r="J1323">
        <v>0</v>
      </c>
      <c r="K1323" s="142" t="s">
        <v>1674</v>
      </c>
      <c r="L1323">
        <v>57736000000</v>
      </c>
      <c r="M1323">
        <v>8.4771000000000005E-6</v>
      </c>
      <c r="N1323">
        <v>57736000000</v>
      </c>
      <c r="O1323">
        <v>0</v>
      </c>
    </row>
    <row r="1324" spans="1:15" x14ac:dyDescent="0.25">
      <c r="A1324" s="142" t="s">
        <v>2255</v>
      </c>
      <c r="B1324" s="142" t="s">
        <v>52</v>
      </c>
      <c r="C1324" s="142" t="s">
        <v>7</v>
      </c>
      <c r="D1324">
        <v>1000000</v>
      </c>
      <c r="E1324">
        <v>10000000</v>
      </c>
      <c r="F1324">
        <v>100000</v>
      </c>
      <c r="G1324" s="142" t="s">
        <v>46</v>
      </c>
      <c r="H1324" s="142" t="s">
        <v>46</v>
      </c>
      <c r="I1324">
        <v>0</v>
      </c>
      <c r="J1324">
        <v>0</v>
      </c>
      <c r="K1324" s="142" t="s">
        <v>1674</v>
      </c>
      <c r="L1324">
        <v>57735</v>
      </c>
      <c r="M1324">
        <v>4.5571E-7</v>
      </c>
      <c r="N1324">
        <v>57731</v>
      </c>
      <c r="O1324">
        <v>4.3300000000000003E-7</v>
      </c>
    </row>
    <row r="1325" spans="1:15" x14ac:dyDescent="0.25">
      <c r="A1325" s="142" t="s">
        <v>2256</v>
      </c>
      <c r="B1325" s="142" t="s">
        <v>52</v>
      </c>
      <c r="C1325" s="142" t="s">
        <v>7</v>
      </c>
      <c r="D1325">
        <v>10000000</v>
      </c>
      <c r="E1325">
        <v>100000000</v>
      </c>
      <c r="F1325">
        <v>100000</v>
      </c>
      <c r="G1325" s="142" t="s">
        <v>46</v>
      </c>
      <c r="H1325" s="142" t="s">
        <v>47</v>
      </c>
      <c r="I1325">
        <v>0</v>
      </c>
      <c r="J1325">
        <v>0</v>
      </c>
      <c r="K1325" s="142" t="s">
        <v>1674</v>
      </c>
      <c r="L1325">
        <v>55.451999999999998</v>
      </c>
      <c r="M1325">
        <v>2.7047000000000001E-7</v>
      </c>
      <c r="N1325">
        <v>55.447000000000003</v>
      </c>
      <c r="O1325">
        <v>2.7029999999999998E-7</v>
      </c>
    </row>
    <row r="1326" spans="1:15" x14ac:dyDescent="0.25">
      <c r="A1326" s="142" t="s">
        <v>2257</v>
      </c>
      <c r="B1326" s="142" t="s">
        <v>52</v>
      </c>
      <c r="C1326" s="142" t="s">
        <v>7</v>
      </c>
      <c r="D1326">
        <v>100000000</v>
      </c>
      <c r="E1326">
        <v>1000000000</v>
      </c>
      <c r="F1326">
        <v>100000</v>
      </c>
      <c r="G1326" s="142" t="s">
        <v>46</v>
      </c>
      <c r="H1326" s="142" t="s">
        <v>47</v>
      </c>
      <c r="I1326">
        <v>0</v>
      </c>
      <c r="J1326">
        <v>0</v>
      </c>
      <c r="K1326" s="142" t="s">
        <v>1674</v>
      </c>
      <c r="L1326">
        <v>12</v>
      </c>
      <c r="M1326">
        <v>5.8000000000000004E-6</v>
      </c>
      <c r="N1326">
        <v>14.592000000000001</v>
      </c>
      <c r="O1326">
        <v>5.7713000000000001E-6</v>
      </c>
    </row>
    <row r="1327" spans="1:15" x14ac:dyDescent="0.25">
      <c r="A1327" s="142" t="s">
        <v>2258</v>
      </c>
      <c r="B1327" s="142" t="s">
        <v>52</v>
      </c>
      <c r="C1327" s="142" t="s">
        <v>7</v>
      </c>
      <c r="D1327">
        <v>0</v>
      </c>
      <c r="E1327">
        <v>10</v>
      </c>
      <c r="F1327">
        <v>1000000</v>
      </c>
      <c r="G1327" s="142" t="s">
        <v>46</v>
      </c>
      <c r="H1327" s="142" t="s">
        <v>66</v>
      </c>
      <c r="I1327">
        <v>0</v>
      </c>
      <c r="J1327">
        <v>0</v>
      </c>
      <c r="K1327" s="142" t="s">
        <v>1674</v>
      </c>
      <c r="L1327">
        <v>577360000000</v>
      </c>
      <c r="M1327">
        <v>0</v>
      </c>
      <c r="N1327">
        <v>577360000000</v>
      </c>
      <c r="O1327">
        <v>0</v>
      </c>
    </row>
    <row r="1328" spans="1:15" x14ac:dyDescent="0.25">
      <c r="A1328" s="142" t="s">
        <v>2259</v>
      </c>
      <c r="B1328" s="142" t="s">
        <v>52</v>
      </c>
      <c r="C1328" s="142" t="s">
        <v>7</v>
      </c>
      <c r="D1328">
        <v>10000000</v>
      </c>
      <c r="E1328">
        <v>100000000</v>
      </c>
      <c r="F1328">
        <v>10000000</v>
      </c>
      <c r="G1328" s="142" t="s">
        <v>46</v>
      </c>
      <c r="H1328" s="142" t="s">
        <v>47</v>
      </c>
      <c r="I1328">
        <v>0</v>
      </c>
      <c r="J1328">
        <v>0</v>
      </c>
      <c r="K1328" s="142" t="s">
        <v>1674</v>
      </c>
      <c r="L1328">
        <v>5773.5</v>
      </c>
      <c r="M1328">
        <v>3.3029999999999999E-9</v>
      </c>
      <c r="N1328">
        <v>5770.9</v>
      </c>
      <c r="O1328">
        <v>3.2919999999999998E-9</v>
      </c>
    </row>
    <row r="1329" spans="1:15" x14ac:dyDescent="0.25">
      <c r="A1329" s="142" t="s">
        <v>2260</v>
      </c>
      <c r="B1329" s="142" t="s">
        <v>52</v>
      </c>
      <c r="C1329" s="142" t="s">
        <v>7</v>
      </c>
      <c r="D1329">
        <v>100000000</v>
      </c>
      <c r="E1329">
        <v>1000000000</v>
      </c>
      <c r="F1329">
        <v>10000000</v>
      </c>
      <c r="G1329" s="142" t="s">
        <v>46</v>
      </c>
      <c r="H1329" s="142" t="s">
        <v>47</v>
      </c>
      <c r="I1329">
        <v>0</v>
      </c>
      <c r="J1329">
        <v>0</v>
      </c>
      <c r="K1329" s="142" t="s">
        <v>1674</v>
      </c>
      <c r="L1329">
        <v>5540.2</v>
      </c>
      <c r="M1329">
        <v>2.6334999999999999E-6</v>
      </c>
      <c r="N1329">
        <v>5540.2</v>
      </c>
      <c r="O1329">
        <v>2.6334000000000001E-6</v>
      </c>
    </row>
    <row r="1330" spans="1:15" x14ac:dyDescent="0.25">
      <c r="A1330" s="142" t="s">
        <v>2261</v>
      </c>
      <c r="B1330" s="142" t="s">
        <v>52</v>
      </c>
      <c r="C1330" s="142" t="s">
        <v>7</v>
      </c>
      <c r="D1330">
        <v>100000000</v>
      </c>
      <c r="E1330">
        <v>1000000000</v>
      </c>
      <c r="F1330">
        <v>100000000</v>
      </c>
      <c r="G1330" s="142" t="s">
        <v>46</v>
      </c>
      <c r="H1330" s="142" t="s">
        <v>47</v>
      </c>
      <c r="I1330">
        <v>0</v>
      </c>
      <c r="J1330">
        <v>0</v>
      </c>
      <c r="K1330" s="142" t="s">
        <v>1674</v>
      </c>
      <c r="L1330">
        <v>57707</v>
      </c>
      <c r="M1330">
        <v>3.1796999999999998E-7</v>
      </c>
      <c r="N1330">
        <v>57475</v>
      </c>
      <c r="O1330">
        <v>3.1795000000000001E-7</v>
      </c>
    </row>
    <row r="1331" spans="1:15" x14ac:dyDescent="0.25">
      <c r="A1331" s="142" t="s">
        <v>1482</v>
      </c>
      <c r="B1331" s="142" t="s">
        <v>51</v>
      </c>
      <c r="C1331" s="142" t="s">
        <v>44</v>
      </c>
      <c r="D1331">
        <v>0</v>
      </c>
      <c r="E1331">
        <v>3.3000999999999999E-4</v>
      </c>
      <c r="F1331">
        <v>1E-8</v>
      </c>
      <c r="G1331" s="142" t="s">
        <v>13</v>
      </c>
      <c r="H1331" s="142" t="s">
        <v>11</v>
      </c>
      <c r="I1331">
        <v>0.01</v>
      </c>
      <c r="J1331">
        <v>2.001E-2</v>
      </c>
      <c r="K1331" s="142" t="s">
        <v>10</v>
      </c>
      <c r="L1331">
        <v>0.13</v>
      </c>
      <c r="M1331">
        <v>2300</v>
      </c>
      <c r="N1331">
        <v>0.11565</v>
      </c>
      <c r="O1331">
        <v>2314.1999999999998</v>
      </c>
    </row>
    <row r="1332" spans="1:15" x14ac:dyDescent="0.25">
      <c r="A1332" s="142" t="s">
        <v>1479</v>
      </c>
      <c r="B1332" s="142" t="s">
        <v>51</v>
      </c>
      <c r="C1332" s="142" t="s">
        <v>44</v>
      </c>
      <c r="D1332">
        <v>0</v>
      </c>
      <c r="E1332">
        <v>3.3000999999999999E-4</v>
      </c>
      <c r="F1332">
        <v>1E-8</v>
      </c>
      <c r="G1332" s="142" t="s">
        <v>13</v>
      </c>
      <c r="H1332" s="142" t="s">
        <v>11</v>
      </c>
      <c r="I1332">
        <v>0.02</v>
      </c>
      <c r="J1332">
        <v>4.5010000000000001E-2</v>
      </c>
      <c r="K1332" s="142" t="s">
        <v>10</v>
      </c>
      <c r="L1332">
        <v>0.13</v>
      </c>
      <c r="M1332">
        <v>1700</v>
      </c>
      <c r="N1332">
        <v>0.11582000000000001</v>
      </c>
      <c r="O1332">
        <v>1731.6</v>
      </c>
    </row>
    <row r="1333" spans="1:15" x14ac:dyDescent="0.25">
      <c r="A1333" s="142" t="s">
        <v>1750</v>
      </c>
      <c r="B1333" s="142" t="s">
        <v>51</v>
      </c>
      <c r="C1333" s="142" t="s">
        <v>44</v>
      </c>
      <c r="D1333">
        <v>0</v>
      </c>
      <c r="E1333">
        <v>3.3000999999999999E-4</v>
      </c>
      <c r="F1333">
        <v>1E-8</v>
      </c>
      <c r="G1333" s="142" t="s">
        <v>13</v>
      </c>
      <c r="H1333" s="142" t="s">
        <v>11</v>
      </c>
      <c r="I1333">
        <v>4.4999999999999998E-2</v>
      </c>
      <c r="J1333">
        <v>1.0000100000000001</v>
      </c>
      <c r="K1333" s="142" t="s">
        <v>10</v>
      </c>
      <c r="L1333">
        <v>0.14000000000000001</v>
      </c>
      <c r="M1333">
        <v>1400</v>
      </c>
      <c r="N1333">
        <v>0.11584999999999999</v>
      </c>
      <c r="O1333">
        <v>1442.9</v>
      </c>
    </row>
    <row r="1334" spans="1:15" x14ac:dyDescent="0.25">
      <c r="A1334" s="142" t="s">
        <v>1478</v>
      </c>
      <c r="B1334" s="142" t="s">
        <v>51</v>
      </c>
      <c r="C1334" s="142" t="s">
        <v>44</v>
      </c>
      <c r="D1334">
        <v>0</v>
      </c>
      <c r="E1334">
        <v>3.3000999999999999E-4</v>
      </c>
      <c r="F1334">
        <v>1E-8</v>
      </c>
      <c r="G1334" s="142" t="s">
        <v>13</v>
      </c>
      <c r="H1334" s="142" t="s">
        <v>11</v>
      </c>
      <c r="I1334">
        <v>1</v>
      </c>
      <c r="J1334">
        <v>5.01</v>
      </c>
      <c r="K1334" s="142" t="s">
        <v>10</v>
      </c>
      <c r="L1334">
        <v>0.18</v>
      </c>
      <c r="M1334">
        <v>3500</v>
      </c>
      <c r="N1334">
        <v>0.17344000000000001</v>
      </c>
      <c r="O1334">
        <v>3463.7</v>
      </c>
    </row>
    <row r="1335" spans="1:15" x14ac:dyDescent="0.25">
      <c r="A1335" s="142" t="s">
        <v>1480</v>
      </c>
      <c r="B1335" s="142" t="s">
        <v>51</v>
      </c>
      <c r="C1335" s="142" t="s">
        <v>44</v>
      </c>
      <c r="D1335">
        <v>0</v>
      </c>
      <c r="E1335">
        <v>3.3000999999999999E-4</v>
      </c>
      <c r="F1335">
        <v>1E-8</v>
      </c>
      <c r="G1335" s="142" t="s">
        <v>13</v>
      </c>
      <c r="H1335" s="142" t="s">
        <v>11</v>
      </c>
      <c r="I1335">
        <v>5</v>
      </c>
      <c r="J1335">
        <v>10.01</v>
      </c>
      <c r="K1335" s="142" t="s">
        <v>10</v>
      </c>
      <c r="L1335">
        <v>0.25</v>
      </c>
      <c r="M1335">
        <v>9200</v>
      </c>
      <c r="N1335">
        <v>0.23105999999999999</v>
      </c>
      <c r="O1335">
        <v>9237.4</v>
      </c>
    </row>
    <row r="1336" spans="1:15" x14ac:dyDescent="0.25">
      <c r="A1336" s="142" t="s">
        <v>1758</v>
      </c>
      <c r="B1336" s="142" t="s">
        <v>51</v>
      </c>
      <c r="C1336" s="142" t="s">
        <v>44</v>
      </c>
      <c r="D1336">
        <v>0</v>
      </c>
      <c r="E1336">
        <v>3.3000999999999999E-4</v>
      </c>
      <c r="F1336">
        <v>1E-8</v>
      </c>
      <c r="G1336" s="142" t="s">
        <v>13</v>
      </c>
      <c r="H1336" s="142" t="s">
        <v>11</v>
      </c>
      <c r="I1336">
        <v>10</v>
      </c>
      <c r="J1336">
        <v>30</v>
      </c>
      <c r="K1336" s="142" t="s">
        <v>10</v>
      </c>
      <c r="L1336">
        <v>0.62</v>
      </c>
      <c r="M1336">
        <v>18000</v>
      </c>
      <c r="N1336">
        <v>0.46198</v>
      </c>
      <c r="O1336">
        <v>18475</v>
      </c>
    </row>
    <row r="1337" spans="1:15" x14ac:dyDescent="0.25">
      <c r="A1337" s="142" t="s">
        <v>1481</v>
      </c>
      <c r="B1337" s="142" t="s">
        <v>51</v>
      </c>
      <c r="C1337" s="142" t="s">
        <v>44</v>
      </c>
      <c r="D1337">
        <v>0</v>
      </c>
      <c r="E1337">
        <v>3.3000999999999999E-4</v>
      </c>
      <c r="F1337">
        <v>1E-8</v>
      </c>
      <c r="G1337" s="142" t="s">
        <v>13</v>
      </c>
      <c r="H1337" s="142" t="s">
        <v>11</v>
      </c>
      <c r="I1337">
        <v>30</v>
      </c>
      <c r="J1337">
        <v>30.1</v>
      </c>
      <c r="K1337" s="142" t="s">
        <v>10</v>
      </c>
      <c r="L1337">
        <v>0.62</v>
      </c>
      <c r="M1337">
        <v>18000</v>
      </c>
      <c r="N1337">
        <v>0.46198</v>
      </c>
      <c r="O1337">
        <v>18475</v>
      </c>
    </row>
    <row r="1338" spans="1:15" x14ac:dyDescent="0.25">
      <c r="A1338" s="142" t="s">
        <v>1765</v>
      </c>
      <c r="B1338" s="142" t="s">
        <v>51</v>
      </c>
      <c r="C1338" s="142" t="s">
        <v>44</v>
      </c>
      <c r="D1338">
        <v>3.3E-4</v>
      </c>
      <c r="E1338">
        <v>3.3000999999999998E-3</v>
      </c>
      <c r="F1338">
        <v>1E-8</v>
      </c>
      <c r="G1338" s="142" t="s">
        <v>13</v>
      </c>
      <c r="H1338" s="142" t="s">
        <v>11</v>
      </c>
      <c r="I1338">
        <v>0.01</v>
      </c>
      <c r="J1338">
        <v>2.001E-2</v>
      </c>
      <c r="K1338" s="142" t="s">
        <v>10</v>
      </c>
      <c r="L1338">
        <v>0.23</v>
      </c>
      <c r="M1338">
        <v>2300</v>
      </c>
      <c r="N1338">
        <v>0.17326</v>
      </c>
      <c r="O1338">
        <v>2315.4</v>
      </c>
    </row>
    <row r="1339" spans="1:15" x14ac:dyDescent="0.25">
      <c r="A1339" s="142" t="s">
        <v>1531</v>
      </c>
      <c r="B1339" s="142" t="s">
        <v>51</v>
      </c>
      <c r="C1339" s="142" t="s">
        <v>44</v>
      </c>
      <c r="D1339">
        <v>3.3E-4</v>
      </c>
      <c r="E1339">
        <v>3.3000999999999998E-3</v>
      </c>
      <c r="F1339">
        <v>1E-8</v>
      </c>
      <c r="G1339" s="142" t="s">
        <v>13</v>
      </c>
      <c r="H1339" s="142" t="s">
        <v>11</v>
      </c>
      <c r="I1339">
        <v>0.02</v>
      </c>
      <c r="J1339">
        <v>4.5010000000000001E-2</v>
      </c>
      <c r="K1339" s="142" t="s">
        <v>10</v>
      </c>
      <c r="L1339">
        <v>0.32</v>
      </c>
      <c r="M1339">
        <v>1400</v>
      </c>
      <c r="N1339">
        <v>0.17327000000000001</v>
      </c>
      <c r="O1339">
        <v>1443.8</v>
      </c>
    </row>
    <row r="1340" spans="1:15" x14ac:dyDescent="0.25">
      <c r="A1340" s="142" t="s">
        <v>1767</v>
      </c>
      <c r="B1340" s="142" t="s">
        <v>51</v>
      </c>
      <c r="C1340" s="142" t="s">
        <v>44</v>
      </c>
      <c r="D1340">
        <v>3.3E-4</v>
      </c>
      <c r="E1340">
        <v>3.3000999999999998E-3</v>
      </c>
      <c r="F1340">
        <v>1E-8</v>
      </c>
      <c r="G1340" s="142" t="s">
        <v>13</v>
      </c>
      <c r="H1340" s="142" t="s">
        <v>11</v>
      </c>
      <c r="I1340">
        <v>4.4999999999999998E-2</v>
      </c>
      <c r="J1340">
        <v>1.0000100000000001</v>
      </c>
      <c r="K1340" s="142" t="s">
        <v>10</v>
      </c>
      <c r="L1340">
        <v>0.18</v>
      </c>
      <c r="M1340">
        <v>1200</v>
      </c>
      <c r="N1340">
        <v>0.17374999999999999</v>
      </c>
      <c r="O1340">
        <v>1155.2</v>
      </c>
    </row>
    <row r="1341" spans="1:15" x14ac:dyDescent="0.25">
      <c r="A1341" s="142" t="s">
        <v>1768</v>
      </c>
      <c r="B1341" s="142" t="s">
        <v>51</v>
      </c>
      <c r="C1341" s="142" t="s">
        <v>44</v>
      </c>
      <c r="D1341">
        <v>3.3E-4</v>
      </c>
      <c r="E1341">
        <v>3.3000999999999998E-3</v>
      </c>
      <c r="F1341">
        <v>1E-8</v>
      </c>
      <c r="G1341" s="142" t="s">
        <v>13</v>
      </c>
      <c r="H1341" s="142" t="s">
        <v>11</v>
      </c>
      <c r="I1341">
        <v>1</v>
      </c>
      <c r="J1341">
        <v>5.01</v>
      </c>
      <c r="K1341" s="142" t="s">
        <v>10</v>
      </c>
      <c r="L1341">
        <v>0.27</v>
      </c>
      <c r="M1341">
        <v>2300</v>
      </c>
      <c r="N1341">
        <v>0.23111999999999999</v>
      </c>
      <c r="O1341">
        <v>2309.6999999999998</v>
      </c>
    </row>
    <row r="1342" spans="1:15" x14ac:dyDescent="0.25">
      <c r="A1342" s="142" t="s">
        <v>1529</v>
      </c>
      <c r="B1342" s="142" t="s">
        <v>51</v>
      </c>
      <c r="C1342" s="142" t="s">
        <v>44</v>
      </c>
      <c r="D1342">
        <v>3.3E-4</v>
      </c>
      <c r="E1342">
        <v>3.3000999999999998E-3</v>
      </c>
      <c r="F1342">
        <v>1E-8</v>
      </c>
      <c r="G1342" s="142" t="s">
        <v>13</v>
      </c>
      <c r="H1342" s="142" t="s">
        <v>11</v>
      </c>
      <c r="I1342">
        <v>5</v>
      </c>
      <c r="J1342">
        <v>10.01</v>
      </c>
      <c r="K1342" s="142" t="s">
        <v>10</v>
      </c>
      <c r="L1342">
        <v>0.35</v>
      </c>
      <c r="M1342">
        <v>5800</v>
      </c>
      <c r="N1342">
        <v>0.34654000000000001</v>
      </c>
      <c r="O1342">
        <v>5773.6</v>
      </c>
    </row>
    <row r="1343" spans="1:15" x14ac:dyDescent="0.25">
      <c r="A1343" s="142" t="s">
        <v>1532</v>
      </c>
      <c r="B1343" s="142" t="s">
        <v>51</v>
      </c>
      <c r="C1343" s="142" t="s">
        <v>44</v>
      </c>
      <c r="D1343">
        <v>3.3E-4</v>
      </c>
      <c r="E1343">
        <v>3.3000999999999998E-3</v>
      </c>
      <c r="F1343">
        <v>1E-8</v>
      </c>
      <c r="G1343" s="142" t="s">
        <v>13</v>
      </c>
      <c r="H1343" s="142" t="s">
        <v>11</v>
      </c>
      <c r="I1343">
        <v>10</v>
      </c>
      <c r="J1343">
        <v>30</v>
      </c>
      <c r="K1343" s="142" t="s">
        <v>10</v>
      </c>
      <c r="L1343">
        <v>0.7</v>
      </c>
      <c r="M1343">
        <v>12000</v>
      </c>
      <c r="N1343">
        <v>0.69332000000000005</v>
      </c>
      <c r="O1343">
        <v>11547</v>
      </c>
    </row>
    <row r="1344" spans="1:15" x14ac:dyDescent="0.25">
      <c r="A1344" s="142" t="s">
        <v>1530</v>
      </c>
      <c r="B1344" s="142" t="s">
        <v>51</v>
      </c>
      <c r="C1344" s="142" t="s">
        <v>44</v>
      </c>
      <c r="D1344">
        <v>3.3E-4</v>
      </c>
      <c r="E1344">
        <v>3.3000999999999998E-3</v>
      </c>
      <c r="F1344">
        <v>1E-8</v>
      </c>
      <c r="G1344" s="142" t="s">
        <v>13</v>
      </c>
      <c r="H1344" s="142" t="s">
        <v>11</v>
      </c>
      <c r="I1344">
        <v>30</v>
      </c>
      <c r="J1344">
        <v>30.1</v>
      </c>
      <c r="K1344" s="142" t="s">
        <v>10</v>
      </c>
      <c r="L1344">
        <v>0.7</v>
      </c>
      <c r="M1344">
        <v>12000</v>
      </c>
      <c r="N1344">
        <v>0.69332000000000005</v>
      </c>
      <c r="O1344">
        <v>11547</v>
      </c>
    </row>
    <row r="1345" spans="1:15" x14ac:dyDescent="0.25">
      <c r="A1345" s="142" t="s">
        <v>1555</v>
      </c>
      <c r="B1345" s="142" t="s">
        <v>51</v>
      </c>
      <c r="C1345" s="142" t="s">
        <v>44</v>
      </c>
      <c r="D1345">
        <v>3.3E-3</v>
      </c>
      <c r="E1345">
        <v>3.3001000000000003E-2</v>
      </c>
      <c r="F1345">
        <v>1E-8</v>
      </c>
      <c r="G1345" s="142" t="s">
        <v>13</v>
      </c>
      <c r="H1345" s="142" t="s">
        <v>11</v>
      </c>
      <c r="I1345">
        <v>0.01</v>
      </c>
      <c r="J1345">
        <v>2.001E-2</v>
      </c>
      <c r="K1345" s="142" t="s">
        <v>10</v>
      </c>
      <c r="L1345">
        <v>2.4</v>
      </c>
      <c r="M1345">
        <v>2100</v>
      </c>
      <c r="N1345">
        <v>2.3005</v>
      </c>
      <c r="O1345">
        <v>2087.6</v>
      </c>
    </row>
    <row r="1346" spans="1:15" x14ac:dyDescent="0.25">
      <c r="A1346" s="142" t="s">
        <v>1776</v>
      </c>
      <c r="B1346" s="142" t="s">
        <v>51</v>
      </c>
      <c r="C1346" s="142" t="s">
        <v>44</v>
      </c>
      <c r="D1346">
        <v>3.3E-3</v>
      </c>
      <c r="E1346">
        <v>3.3001000000000003E-2</v>
      </c>
      <c r="F1346">
        <v>1E-8</v>
      </c>
      <c r="G1346" s="142" t="s">
        <v>13</v>
      </c>
      <c r="H1346" s="142" t="s">
        <v>11</v>
      </c>
      <c r="I1346">
        <v>0.02</v>
      </c>
      <c r="J1346">
        <v>4.5010000000000001E-2</v>
      </c>
      <c r="K1346" s="142" t="s">
        <v>10</v>
      </c>
      <c r="L1346">
        <v>3.8</v>
      </c>
      <c r="M1346">
        <v>1000</v>
      </c>
      <c r="N1346">
        <v>2.2968000000000002</v>
      </c>
      <c r="O1346">
        <v>1043.5999999999999</v>
      </c>
    </row>
    <row r="1347" spans="1:15" x14ac:dyDescent="0.25">
      <c r="A1347" s="142" t="s">
        <v>1556</v>
      </c>
      <c r="B1347" s="142" t="s">
        <v>51</v>
      </c>
      <c r="C1347" s="142" t="s">
        <v>44</v>
      </c>
      <c r="D1347">
        <v>3.3E-3</v>
      </c>
      <c r="E1347">
        <v>3.3001000000000003E-2</v>
      </c>
      <c r="F1347">
        <v>1E-8</v>
      </c>
      <c r="G1347" s="142" t="s">
        <v>13</v>
      </c>
      <c r="H1347" s="142" t="s">
        <v>11</v>
      </c>
      <c r="I1347">
        <v>4.4999999999999998E-2</v>
      </c>
      <c r="J1347">
        <v>1.0000100000000001</v>
      </c>
      <c r="K1347" s="142" t="s">
        <v>10</v>
      </c>
      <c r="L1347">
        <v>2.4</v>
      </c>
      <c r="M1347">
        <v>470</v>
      </c>
      <c r="N1347">
        <v>2.2997999999999998</v>
      </c>
      <c r="O1347">
        <v>465.62</v>
      </c>
    </row>
    <row r="1348" spans="1:15" x14ac:dyDescent="0.25">
      <c r="A1348" s="142" t="s">
        <v>1557</v>
      </c>
      <c r="B1348" s="142" t="s">
        <v>51</v>
      </c>
      <c r="C1348" s="142" t="s">
        <v>44</v>
      </c>
      <c r="D1348">
        <v>3.3E-3</v>
      </c>
      <c r="E1348">
        <v>3.3001000000000003E-2</v>
      </c>
      <c r="F1348">
        <v>1E-8</v>
      </c>
      <c r="G1348" s="142" t="s">
        <v>13</v>
      </c>
      <c r="H1348" s="142" t="s">
        <v>11</v>
      </c>
      <c r="I1348">
        <v>1</v>
      </c>
      <c r="J1348">
        <v>5.01</v>
      </c>
      <c r="K1348" s="142" t="s">
        <v>10</v>
      </c>
      <c r="L1348">
        <v>2.4</v>
      </c>
      <c r="M1348">
        <v>930</v>
      </c>
      <c r="N1348">
        <v>2.3048000000000002</v>
      </c>
      <c r="O1348">
        <v>925.75</v>
      </c>
    </row>
    <row r="1349" spans="1:15" x14ac:dyDescent="0.25">
      <c r="A1349" s="142" t="s">
        <v>1558</v>
      </c>
      <c r="B1349" s="142" t="s">
        <v>51</v>
      </c>
      <c r="C1349" s="142" t="s">
        <v>44</v>
      </c>
      <c r="D1349">
        <v>3.3E-3</v>
      </c>
      <c r="E1349">
        <v>3.3001000000000003E-2</v>
      </c>
      <c r="F1349">
        <v>1E-8</v>
      </c>
      <c r="G1349" s="142" t="s">
        <v>13</v>
      </c>
      <c r="H1349" s="142" t="s">
        <v>11</v>
      </c>
      <c r="I1349">
        <v>5</v>
      </c>
      <c r="J1349">
        <v>10.01</v>
      </c>
      <c r="K1349" s="142" t="s">
        <v>10</v>
      </c>
      <c r="L1349">
        <v>3.8</v>
      </c>
      <c r="M1349">
        <v>2300</v>
      </c>
      <c r="N1349">
        <v>3.4643999999999999</v>
      </c>
      <c r="O1349">
        <v>2309.4</v>
      </c>
    </row>
    <row r="1350" spans="1:15" x14ac:dyDescent="0.25">
      <c r="A1350" s="142" t="s">
        <v>1554</v>
      </c>
      <c r="B1350" s="142" t="s">
        <v>51</v>
      </c>
      <c r="C1350" s="142" t="s">
        <v>44</v>
      </c>
      <c r="D1350">
        <v>3.3E-3</v>
      </c>
      <c r="E1350">
        <v>3.3001000000000003E-2</v>
      </c>
      <c r="F1350">
        <v>1E-8</v>
      </c>
      <c r="G1350" s="142" t="s">
        <v>13</v>
      </c>
      <c r="H1350" s="142" t="s">
        <v>11</v>
      </c>
      <c r="I1350">
        <v>10</v>
      </c>
      <c r="J1350">
        <v>30</v>
      </c>
      <c r="K1350" s="142" t="s">
        <v>10</v>
      </c>
      <c r="L1350">
        <v>5.3</v>
      </c>
      <c r="M1350">
        <v>4600</v>
      </c>
      <c r="N1350">
        <v>4.6162999999999998</v>
      </c>
      <c r="O1350">
        <v>4619.8999999999996</v>
      </c>
    </row>
    <row r="1351" spans="1:15" x14ac:dyDescent="0.25">
      <c r="A1351" s="142" t="s">
        <v>2787</v>
      </c>
      <c r="B1351" s="142" t="s">
        <v>51</v>
      </c>
      <c r="C1351" s="142" t="s">
        <v>44</v>
      </c>
      <c r="D1351">
        <v>3.3E-3</v>
      </c>
      <c r="E1351">
        <v>3.3001000000000003E-2</v>
      </c>
      <c r="F1351">
        <v>1E-8</v>
      </c>
      <c r="G1351" s="142" t="s">
        <v>13</v>
      </c>
      <c r="H1351" s="142" t="s">
        <v>11</v>
      </c>
      <c r="I1351">
        <v>30</v>
      </c>
      <c r="J1351">
        <v>30.01</v>
      </c>
      <c r="K1351" s="142" t="s">
        <v>10</v>
      </c>
      <c r="L1351">
        <v>5.3</v>
      </c>
      <c r="M1351">
        <v>4600</v>
      </c>
      <c r="N1351">
        <v>4.6162999999999998</v>
      </c>
      <c r="O1351">
        <v>4619.8999999999996</v>
      </c>
    </row>
    <row r="1352" spans="1:15" x14ac:dyDescent="0.25">
      <c r="A1352" s="142" t="s">
        <v>1485</v>
      </c>
      <c r="B1352" s="142" t="s">
        <v>51</v>
      </c>
      <c r="C1352" s="142" t="s">
        <v>44</v>
      </c>
      <c r="D1352">
        <v>0</v>
      </c>
      <c r="E1352">
        <v>3.3000999999999999E-4</v>
      </c>
      <c r="F1352">
        <v>9.9999999999999995E-8</v>
      </c>
      <c r="G1352" s="142" t="s">
        <v>13</v>
      </c>
      <c r="H1352" s="142" t="s">
        <v>11</v>
      </c>
      <c r="I1352">
        <v>0.01</v>
      </c>
      <c r="J1352">
        <v>2.001E-2</v>
      </c>
      <c r="K1352" s="142" t="s">
        <v>10</v>
      </c>
      <c r="L1352">
        <v>0.13</v>
      </c>
      <c r="M1352">
        <v>2300</v>
      </c>
      <c r="N1352">
        <v>0.12522</v>
      </c>
      <c r="O1352">
        <v>2290.9</v>
      </c>
    </row>
    <row r="1353" spans="1:15" x14ac:dyDescent="0.25">
      <c r="A1353" s="142" t="s">
        <v>1483</v>
      </c>
      <c r="B1353" s="142" t="s">
        <v>51</v>
      </c>
      <c r="C1353" s="142" t="s">
        <v>44</v>
      </c>
      <c r="D1353">
        <v>0</v>
      </c>
      <c r="E1353">
        <v>3.3000999999999999E-4</v>
      </c>
      <c r="F1353">
        <v>9.9999999999999995E-8</v>
      </c>
      <c r="G1353" s="142" t="s">
        <v>13</v>
      </c>
      <c r="H1353" s="142" t="s">
        <v>11</v>
      </c>
      <c r="I1353">
        <v>0.02</v>
      </c>
      <c r="J1353">
        <v>4.5010000000000001E-2</v>
      </c>
      <c r="K1353" s="142" t="s">
        <v>10</v>
      </c>
      <c r="L1353">
        <v>0.13</v>
      </c>
      <c r="M1353">
        <v>1700</v>
      </c>
      <c r="N1353">
        <v>0.12620000000000001</v>
      </c>
      <c r="O1353">
        <v>1707.4</v>
      </c>
    </row>
    <row r="1354" spans="1:15" x14ac:dyDescent="0.25">
      <c r="A1354" s="142" t="s">
        <v>1488</v>
      </c>
      <c r="B1354" s="142" t="s">
        <v>51</v>
      </c>
      <c r="C1354" s="142" t="s">
        <v>44</v>
      </c>
      <c r="D1354">
        <v>0</v>
      </c>
      <c r="E1354">
        <v>3.3000999999999999E-4</v>
      </c>
      <c r="F1354">
        <v>9.9999999999999995E-8</v>
      </c>
      <c r="G1354" s="142" t="s">
        <v>13</v>
      </c>
      <c r="H1354" s="142" t="s">
        <v>11</v>
      </c>
      <c r="I1354">
        <v>4.4999999999999998E-2</v>
      </c>
      <c r="J1354">
        <v>1.0000100000000001</v>
      </c>
      <c r="K1354" s="142" t="s">
        <v>10</v>
      </c>
      <c r="L1354">
        <v>0.14000000000000001</v>
      </c>
      <c r="M1354">
        <v>1400</v>
      </c>
      <c r="N1354">
        <v>0.12669</v>
      </c>
      <c r="O1354">
        <v>1418.5</v>
      </c>
    </row>
    <row r="1355" spans="1:15" x14ac:dyDescent="0.25">
      <c r="A1355" s="142" t="s">
        <v>1484</v>
      </c>
      <c r="B1355" s="142" t="s">
        <v>51</v>
      </c>
      <c r="C1355" s="142" t="s">
        <v>44</v>
      </c>
      <c r="D1355">
        <v>0</v>
      </c>
      <c r="E1355">
        <v>3.3000999999999999E-4</v>
      </c>
      <c r="F1355">
        <v>9.9999999999999995E-8</v>
      </c>
      <c r="G1355" s="142" t="s">
        <v>13</v>
      </c>
      <c r="H1355" s="142" t="s">
        <v>11</v>
      </c>
      <c r="I1355">
        <v>1</v>
      </c>
      <c r="J1355">
        <v>5.01</v>
      </c>
      <c r="K1355" s="142" t="s">
        <v>10</v>
      </c>
      <c r="L1355">
        <v>0.18</v>
      </c>
      <c r="M1355">
        <v>3500</v>
      </c>
      <c r="N1355">
        <v>0.17984</v>
      </c>
      <c r="O1355">
        <v>3448.1</v>
      </c>
    </row>
    <row r="1356" spans="1:15" x14ac:dyDescent="0.25">
      <c r="A1356" s="142" t="s">
        <v>1487</v>
      </c>
      <c r="B1356" s="142" t="s">
        <v>51</v>
      </c>
      <c r="C1356" s="142" t="s">
        <v>44</v>
      </c>
      <c r="D1356">
        <v>0</v>
      </c>
      <c r="E1356">
        <v>3.3000999999999999E-4</v>
      </c>
      <c r="F1356">
        <v>9.9999999999999995E-8</v>
      </c>
      <c r="G1356" s="142" t="s">
        <v>13</v>
      </c>
      <c r="H1356" s="142" t="s">
        <v>11</v>
      </c>
      <c r="I1356">
        <v>5</v>
      </c>
      <c r="J1356">
        <v>10.01</v>
      </c>
      <c r="K1356" s="142" t="s">
        <v>10</v>
      </c>
      <c r="L1356">
        <v>0.25</v>
      </c>
      <c r="M1356">
        <v>9200</v>
      </c>
      <c r="N1356">
        <v>0.23463000000000001</v>
      </c>
      <c r="O1356">
        <v>9228.1</v>
      </c>
    </row>
    <row r="1357" spans="1:15" x14ac:dyDescent="0.25">
      <c r="A1357" s="142" t="s">
        <v>1486</v>
      </c>
      <c r="B1357" s="142" t="s">
        <v>51</v>
      </c>
      <c r="C1357" s="142" t="s">
        <v>44</v>
      </c>
      <c r="D1357">
        <v>0</v>
      </c>
      <c r="E1357">
        <v>3.3000999999999999E-4</v>
      </c>
      <c r="F1357">
        <v>9.9999999999999995E-8</v>
      </c>
      <c r="G1357" s="142" t="s">
        <v>13</v>
      </c>
      <c r="H1357" s="142" t="s">
        <v>11</v>
      </c>
      <c r="I1357">
        <v>10</v>
      </c>
      <c r="J1357">
        <v>30</v>
      </c>
      <c r="K1357" s="142" t="s">
        <v>10</v>
      </c>
      <c r="L1357">
        <v>0.62</v>
      </c>
      <c r="M1357">
        <v>18000</v>
      </c>
      <c r="N1357">
        <v>0.46389000000000002</v>
      </c>
      <c r="O1357">
        <v>18470</v>
      </c>
    </row>
    <row r="1358" spans="1:15" x14ac:dyDescent="0.25">
      <c r="A1358" s="142" t="s">
        <v>1761</v>
      </c>
      <c r="B1358" s="142" t="s">
        <v>51</v>
      </c>
      <c r="C1358" s="142" t="s">
        <v>44</v>
      </c>
      <c r="D1358">
        <v>0</v>
      </c>
      <c r="E1358">
        <v>3.3000999999999999E-4</v>
      </c>
      <c r="F1358">
        <v>9.9999999999999995E-8</v>
      </c>
      <c r="G1358" s="142" t="s">
        <v>13</v>
      </c>
      <c r="H1358" s="142" t="s">
        <v>11</v>
      </c>
      <c r="I1358">
        <v>30</v>
      </c>
      <c r="J1358">
        <v>30.1</v>
      </c>
      <c r="K1358" s="142" t="s">
        <v>10</v>
      </c>
      <c r="L1358">
        <v>0.62</v>
      </c>
      <c r="M1358">
        <v>18000</v>
      </c>
      <c r="N1358">
        <v>0.46389000000000002</v>
      </c>
      <c r="O1358">
        <v>18470</v>
      </c>
    </row>
    <row r="1359" spans="1:15" x14ac:dyDescent="0.25">
      <c r="A1359" s="142" t="s">
        <v>1536</v>
      </c>
      <c r="B1359" s="142" t="s">
        <v>51</v>
      </c>
      <c r="C1359" s="142" t="s">
        <v>44</v>
      </c>
      <c r="D1359">
        <v>3.3E-4</v>
      </c>
      <c r="E1359">
        <v>3.3000999999999998E-3</v>
      </c>
      <c r="F1359">
        <v>9.9999999999999995E-8</v>
      </c>
      <c r="G1359" s="142" t="s">
        <v>13</v>
      </c>
      <c r="H1359" s="142" t="s">
        <v>11</v>
      </c>
      <c r="I1359">
        <v>0.01</v>
      </c>
      <c r="J1359">
        <v>2.001E-2</v>
      </c>
      <c r="K1359" s="142" t="s">
        <v>10</v>
      </c>
      <c r="L1359">
        <v>0.23</v>
      </c>
      <c r="M1359">
        <v>2300</v>
      </c>
      <c r="N1359">
        <v>0.17480999999999999</v>
      </c>
      <c r="O1359">
        <v>2314.9</v>
      </c>
    </row>
    <row r="1360" spans="1:15" x14ac:dyDescent="0.25">
      <c r="A1360" s="142" t="s">
        <v>1538</v>
      </c>
      <c r="B1360" s="142" t="s">
        <v>51</v>
      </c>
      <c r="C1360" s="142" t="s">
        <v>44</v>
      </c>
      <c r="D1360">
        <v>3.3E-4</v>
      </c>
      <c r="E1360">
        <v>3.3000999999999998E-3</v>
      </c>
      <c r="F1360">
        <v>9.9999999999999995E-8</v>
      </c>
      <c r="G1360" s="142" t="s">
        <v>13</v>
      </c>
      <c r="H1360" s="142" t="s">
        <v>11</v>
      </c>
      <c r="I1360">
        <v>0.02</v>
      </c>
      <c r="J1360">
        <v>4.5010000000000001E-2</v>
      </c>
      <c r="K1360" s="142" t="s">
        <v>10</v>
      </c>
      <c r="L1360">
        <v>0.32</v>
      </c>
      <c r="M1360">
        <v>1400</v>
      </c>
      <c r="N1360">
        <v>0.17604</v>
      </c>
      <c r="O1360">
        <v>1443.1</v>
      </c>
    </row>
    <row r="1361" spans="1:15" x14ac:dyDescent="0.25">
      <c r="A1361" s="142" t="s">
        <v>1535</v>
      </c>
      <c r="B1361" s="142" t="s">
        <v>51</v>
      </c>
      <c r="C1361" s="142" t="s">
        <v>44</v>
      </c>
      <c r="D1361">
        <v>3.3E-4</v>
      </c>
      <c r="E1361">
        <v>3.3000999999999998E-3</v>
      </c>
      <c r="F1361">
        <v>9.9999999999999995E-8</v>
      </c>
      <c r="G1361" s="142" t="s">
        <v>13</v>
      </c>
      <c r="H1361" s="142" t="s">
        <v>11</v>
      </c>
      <c r="I1361">
        <v>4.4999999999999998E-2</v>
      </c>
      <c r="J1361">
        <v>1.0000100000000001</v>
      </c>
      <c r="K1361" s="142" t="s">
        <v>10</v>
      </c>
      <c r="L1361">
        <v>0.18</v>
      </c>
      <c r="M1361">
        <v>1200</v>
      </c>
      <c r="N1361">
        <v>0.17651</v>
      </c>
      <c r="O1361">
        <v>1154.4000000000001</v>
      </c>
    </row>
    <row r="1362" spans="1:15" x14ac:dyDescent="0.25">
      <c r="A1362" s="142" t="s">
        <v>1537</v>
      </c>
      <c r="B1362" s="142" t="s">
        <v>51</v>
      </c>
      <c r="C1362" s="142" t="s">
        <v>44</v>
      </c>
      <c r="D1362">
        <v>3.3E-4</v>
      </c>
      <c r="E1362">
        <v>3.3000999999999998E-3</v>
      </c>
      <c r="F1362">
        <v>9.9999999999999995E-8</v>
      </c>
      <c r="G1362" s="142" t="s">
        <v>13</v>
      </c>
      <c r="H1362" s="142" t="s">
        <v>11</v>
      </c>
      <c r="I1362">
        <v>1</v>
      </c>
      <c r="J1362">
        <v>5.01</v>
      </c>
      <c r="K1362" s="142" t="s">
        <v>10</v>
      </c>
      <c r="L1362">
        <v>0.27</v>
      </c>
      <c r="M1362">
        <v>2300</v>
      </c>
      <c r="N1362">
        <v>0.23280000000000001</v>
      </c>
      <c r="O1362">
        <v>2309.1999999999998</v>
      </c>
    </row>
    <row r="1363" spans="1:15" x14ac:dyDescent="0.25">
      <c r="A1363" s="142" t="s">
        <v>1534</v>
      </c>
      <c r="B1363" s="142" t="s">
        <v>51</v>
      </c>
      <c r="C1363" s="142" t="s">
        <v>44</v>
      </c>
      <c r="D1363">
        <v>3.3E-4</v>
      </c>
      <c r="E1363">
        <v>3.3000999999999998E-3</v>
      </c>
      <c r="F1363">
        <v>9.9999999999999995E-8</v>
      </c>
      <c r="G1363" s="142" t="s">
        <v>13</v>
      </c>
      <c r="H1363" s="142" t="s">
        <v>11</v>
      </c>
      <c r="I1363">
        <v>5</v>
      </c>
      <c r="J1363">
        <v>10.01</v>
      </c>
      <c r="K1363" s="142" t="s">
        <v>10</v>
      </c>
      <c r="L1363">
        <v>0.35</v>
      </c>
      <c r="M1363">
        <v>5800</v>
      </c>
      <c r="N1363">
        <v>0.34723999999999999</v>
      </c>
      <c r="O1363">
        <v>5773.4</v>
      </c>
    </row>
    <row r="1364" spans="1:15" x14ac:dyDescent="0.25">
      <c r="A1364" s="142" t="s">
        <v>1533</v>
      </c>
      <c r="B1364" s="142" t="s">
        <v>51</v>
      </c>
      <c r="C1364" s="142" t="s">
        <v>44</v>
      </c>
      <c r="D1364">
        <v>3.3E-4</v>
      </c>
      <c r="E1364">
        <v>3.3000999999999998E-3</v>
      </c>
      <c r="F1364">
        <v>9.9999999999999995E-8</v>
      </c>
      <c r="G1364" s="142" t="s">
        <v>13</v>
      </c>
      <c r="H1364" s="142" t="s">
        <v>11</v>
      </c>
      <c r="I1364">
        <v>10</v>
      </c>
      <c r="J1364">
        <v>30</v>
      </c>
      <c r="K1364" s="142" t="s">
        <v>10</v>
      </c>
      <c r="L1364">
        <v>0.7</v>
      </c>
      <c r="M1364">
        <v>12000</v>
      </c>
      <c r="N1364">
        <v>0.69338999999999995</v>
      </c>
      <c r="O1364">
        <v>11547</v>
      </c>
    </row>
    <row r="1365" spans="1:15" x14ac:dyDescent="0.25">
      <c r="A1365" s="142" t="s">
        <v>1772</v>
      </c>
      <c r="B1365" s="142" t="s">
        <v>51</v>
      </c>
      <c r="C1365" s="142" t="s">
        <v>44</v>
      </c>
      <c r="D1365">
        <v>3.3E-4</v>
      </c>
      <c r="E1365">
        <v>3.3000999999999998E-3</v>
      </c>
      <c r="F1365">
        <v>9.9999999999999995E-8</v>
      </c>
      <c r="G1365" s="142" t="s">
        <v>13</v>
      </c>
      <c r="H1365" s="142" t="s">
        <v>11</v>
      </c>
      <c r="I1365">
        <v>30</v>
      </c>
      <c r="J1365">
        <v>30.1</v>
      </c>
      <c r="K1365" s="142" t="s">
        <v>10</v>
      </c>
      <c r="L1365">
        <v>0.7</v>
      </c>
      <c r="M1365">
        <v>12000</v>
      </c>
      <c r="N1365">
        <v>0.69338999999999995</v>
      </c>
      <c r="O1365">
        <v>11547</v>
      </c>
    </row>
    <row r="1366" spans="1:15" x14ac:dyDescent="0.25">
      <c r="A1366" s="142" t="s">
        <v>1560</v>
      </c>
      <c r="B1366" s="142" t="s">
        <v>51</v>
      </c>
      <c r="C1366" s="142" t="s">
        <v>44</v>
      </c>
      <c r="D1366">
        <v>3.3E-3</v>
      </c>
      <c r="E1366">
        <v>3.3001000000000003E-2</v>
      </c>
      <c r="F1366">
        <v>9.9999999999999995E-8</v>
      </c>
      <c r="G1366" s="142" t="s">
        <v>13</v>
      </c>
      <c r="H1366" s="142" t="s">
        <v>11</v>
      </c>
      <c r="I1366">
        <v>0.01</v>
      </c>
      <c r="J1366">
        <v>2.001E-2</v>
      </c>
      <c r="K1366" s="142" t="s">
        <v>10</v>
      </c>
      <c r="L1366">
        <v>2.4</v>
      </c>
      <c r="M1366">
        <v>2100</v>
      </c>
      <c r="N1366">
        <v>2.3157000000000001</v>
      </c>
      <c r="O1366">
        <v>2087.1</v>
      </c>
    </row>
    <row r="1367" spans="1:15" x14ac:dyDescent="0.25">
      <c r="A1367" s="142" t="s">
        <v>1561</v>
      </c>
      <c r="B1367" s="142" t="s">
        <v>51</v>
      </c>
      <c r="C1367" s="142" t="s">
        <v>44</v>
      </c>
      <c r="D1367">
        <v>3.3E-3</v>
      </c>
      <c r="E1367">
        <v>3.3001000000000003E-2</v>
      </c>
      <c r="F1367">
        <v>9.9999999999999995E-8</v>
      </c>
      <c r="G1367" s="142" t="s">
        <v>13</v>
      </c>
      <c r="H1367" s="142" t="s">
        <v>11</v>
      </c>
      <c r="I1367">
        <v>0.02</v>
      </c>
      <c r="J1367">
        <v>4.5010000000000001E-2</v>
      </c>
      <c r="K1367" s="142" t="s">
        <v>10</v>
      </c>
      <c r="L1367">
        <v>3.8</v>
      </c>
      <c r="M1367">
        <v>1000</v>
      </c>
      <c r="N1367">
        <v>2.3281999999999998</v>
      </c>
      <c r="O1367">
        <v>1042.8</v>
      </c>
    </row>
    <row r="1368" spans="1:15" x14ac:dyDescent="0.25">
      <c r="A1368" s="142" t="s">
        <v>1559</v>
      </c>
      <c r="B1368" s="142" t="s">
        <v>51</v>
      </c>
      <c r="C1368" s="142" t="s">
        <v>44</v>
      </c>
      <c r="D1368">
        <v>3.3E-3</v>
      </c>
      <c r="E1368">
        <v>3.3001000000000003E-2</v>
      </c>
      <c r="F1368">
        <v>9.9999999999999995E-8</v>
      </c>
      <c r="G1368" s="142" t="s">
        <v>13</v>
      </c>
      <c r="H1368" s="142" t="s">
        <v>11</v>
      </c>
      <c r="I1368">
        <v>4.4999999999999998E-2</v>
      </c>
      <c r="J1368">
        <v>1.0000100000000001</v>
      </c>
      <c r="K1368" s="142" t="s">
        <v>10</v>
      </c>
      <c r="L1368">
        <v>2.4</v>
      </c>
      <c r="M1368">
        <v>470</v>
      </c>
      <c r="N1368">
        <v>2.3464</v>
      </c>
      <c r="O1368">
        <v>464.49</v>
      </c>
    </row>
    <row r="1369" spans="1:15" x14ac:dyDescent="0.25">
      <c r="A1369" s="142" t="s">
        <v>1780</v>
      </c>
      <c r="B1369" s="142" t="s">
        <v>51</v>
      </c>
      <c r="C1369" s="142" t="s">
        <v>44</v>
      </c>
      <c r="D1369">
        <v>3.3E-3</v>
      </c>
      <c r="E1369">
        <v>3.3001000000000003E-2</v>
      </c>
      <c r="F1369">
        <v>9.9999999999999995E-8</v>
      </c>
      <c r="G1369" s="142" t="s">
        <v>13</v>
      </c>
      <c r="H1369" s="142" t="s">
        <v>11</v>
      </c>
      <c r="I1369">
        <v>1</v>
      </c>
      <c r="J1369">
        <v>5.01</v>
      </c>
      <c r="K1369" s="142" t="s">
        <v>10</v>
      </c>
      <c r="L1369">
        <v>2.4</v>
      </c>
      <c r="M1369">
        <v>930</v>
      </c>
      <c r="N1369">
        <v>2.3386</v>
      </c>
      <c r="O1369">
        <v>924.88</v>
      </c>
    </row>
    <row r="1370" spans="1:15" x14ac:dyDescent="0.25">
      <c r="A1370" s="142" t="s">
        <v>1782</v>
      </c>
      <c r="B1370" s="142" t="s">
        <v>51</v>
      </c>
      <c r="C1370" s="142" t="s">
        <v>44</v>
      </c>
      <c r="D1370">
        <v>3.3E-3</v>
      </c>
      <c r="E1370">
        <v>3.3001000000000003E-2</v>
      </c>
      <c r="F1370">
        <v>9.9999999999999995E-8</v>
      </c>
      <c r="G1370" s="142" t="s">
        <v>13</v>
      </c>
      <c r="H1370" s="142" t="s">
        <v>11</v>
      </c>
      <c r="I1370">
        <v>5</v>
      </c>
      <c r="J1370">
        <v>10.01</v>
      </c>
      <c r="K1370" s="142" t="s">
        <v>10</v>
      </c>
      <c r="L1370">
        <v>3.8</v>
      </c>
      <c r="M1370">
        <v>2300</v>
      </c>
      <c r="N1370">
        <v>3.4807000000000001</v>
      </c>
      <c r="O1370">
        <v>2309</v>
      </c>
    </row>
    <row r="1371" spans="1:15" x14ac:dyDescent="0.25">
      <c r="A1371" s="142" t="s">
        <v>1562</v>
      </c>
      <c r="B1371" s="142" t="s">
        <v>51</v>
      </c>
      <c r="C1371" s="142" t="s">
        <v>44</v>
      </c>
      <c r="D1371">
        <v>3.3E-3</v>
      </c>
      <c r="E1371">
        <v>3.3001000000000003E-2</v>
      </c>
      <c r="F1371">
        <v>9.9999999999999995E-8</v>
      </c>
      <c r="G1371" s="142" t="s">
        <v>13</v>
      </c>
      <c r="H1371" s="142" t="s">
        <v>11</v>
      </c>
      <c r="I1371">
        <v>10</v>
      </c>
      <c r="J1371">
        <v>30</v>
      </c>
      <c r="K1371" s="142" t="s">
        <v>10</v>
      </c>
      <c r="L1371">
        <v>5.3</v>
      </c>
      <c r="M1371">
        <v>4600</v>
      </c>
      <c r="N1371">
        <v>4.6261999999999999</v>
      </c>
      <c r="O1371">
        <v>4619.6000000000004</v>
      </c>
    </row>
    <row r="1372" spans="1:15" x14ac:dyDescent="0.25">
      <c r="A1372" s="142" t="s">
        <v>2788</v>
      </c>
      <c r="B1372" s="142" t="s">
        <v>51</v>
      </c>
      <c r="C1372" s="142" t="s">
        <v>44</v>
      </c>
      <c r="D1372">
        <v>3.3E-3</v>
      </c>
      <c r="E1372">
        <v>3.3001000000000003E-2</v>
      </c>
      <c r="F1372">
        <v>9.9999999999999995E-8</v>
      </c>
      <c r="G1372" s="142" t="s">
        <v>13</v>
      </c>
      <c r="H1372" s="142" t="s">
        <v>11</v>
      </c>
      <c r="I1372">
        <v>30</v>
      </c>
      <c r="J1372">
        <v>30.01</v>
      </c>
      <c r="K1372" s="142" t="s">
        <v>10</v>
      </c>
      <c r="L1372">
        <v>5.3</v>
      </c>
      <c r="M1372">
        <v>4600</v>
      </c>
      <c r="N1372">
        <v>4.6261999999999999</v>
      </c>
      <c r="O1372">
        <v>4619.6000000000004</v>
      </c>
    </row>
    <row r="1373" spans="1:15" x14ac:dyDescent="0.25">
      <c r="A1373" s="142" t="s">
        <v>1489</v>
      </c>
      <c r="B1373" s="142" t="s">
        <v>51</v>
      </c>
      <c r="C1373" s="142" t="s">
        <v>44</v>
      </c>
      <c r="D1373">
        <v>0</v>
      </c>
      <c r="E1373">
        <v>3.3000999999999999E-4</v>
      </c>
      <c r="F1373">
        <v>9.9999999999999995E-7</v>
      </c>
      <c r="G1373" s="142" t="s">
        <v>13</v>
      </c>
      <c r="H1373" s="142" t="s">
        <v>11</v>
      </c>
      <c r="I1373">
        <v>0.01</v>
      </c>
      <c r="J1373">
        <v>2.001E-2</v>
      </c>
      <c r="K1373" s="142" t="s">
        <v>10</v>
      </c>
      <c r="L1373">
        <v>0.56557999999999997</v>
      </c>
      <c r="M1373">
        <v>1474.9</v>
      </c>
      <c r="N1373">
        <v>0.56533</v>
      </c>
      <c r="O1373">
        <v>1474.5</v>
      </c>
    </row>
    <row r="1374" spans="1:15" x14ac:dyDescent="0.25">
      <c r="A1374" s="142" t="s">
        <v>1747</v>
      </c>
      <c r="B1374" s="142" t="s">
        <v>51</v>
      </c>
      <c r="C1374" s="142" t="s">
        <v>44</v>
      </c>
      <c r="D1374">
        <v>0</v>
      </c>
      <c r="E1374">
        <v>3.3000999999999999E-4</v>
      </c>
      <c r="F1374">
        <v>9.9999999999999995E-7</v>
      </c>
      <c r="G1374" s="142" t="s">
        <v>13</v>
      </c>
      <c r="H1374" s="142" t="s">
        <v>11</v>
      </c>
      <c r="I1374">
        <v>0.02</v>
      </c>
      <c r="J1374">
        <v>4.5010000000000001E-2</v>
      </c>
      <c r="K1374" s="142" t="s">
        <v>10</v>
      </c>
      <c r="L1374">
        <v>0.57237000000000005</v>
      </c>
      <c r="M1374">
        <v>986.73</v>
      </c>
      <c r="N1374">
        <v>0.57213000000000003</v>
      </c>
      <c r="O1374">
        <v>986.13</v>
      </c>
    </row>
    <row r="1375" spans="1:15" x14ac:dyDescent="0.25">
      <c r="A1375" s="142" t="s">
        <v>1491</v>
      </c>
      <c r="B1375" s="142" t="s">
        <v>51</v>
      </c>
      <c r="C1375" s="142" t="s">
        <v>44</v>
      </c>
      <c r="D1375">
        <v>0</v>
      </c>
      <c r="E1375">
        <v>3.3000999999999999E-4</v>
      </c>
      <c r="F1375">
        <v>9.9999999999999995E-7</v>
      </c>
      <c r="G1375" s="142" t="s">
        <v>13</v>
      </c>
      <c r="H1375" s="142" t="s">
        <v>11</v>
      </c>
      <c r="I1375">
        <v>4.4999999999999998E-2</v>
      </c>
      <c r="J1375">
        <v>1.0000100000000001</v>
      </c>
      <c r="K1375" s="142" t="s">
        <v>10</v>
      </c>
      <c r="L1375">
        <v>0.57669999999999999</v>
      </c>
      <c r="M1375">
        <v>759.64</v>
      </c>
      <c r="N1375">
        <v>0.57647000000000004</v>
      </c>
      <c r="O1375">
        <v>758.92</v>
      </c>
    </row>
    <row r="1376" spans="1:15" x14ac:dyDescent="0.25">
      <c r="A1376" s="142" t="s">
        <v>1753</v>
      </c>
      <c r="B1376" s="142" t="s">
        <v>51</v>
      </c>
      <c r="C1376" s="142" t="s">
        <v>44</v>
      </c>
      <c r="D1376">
        <v>0</v>
      </c>
      <c r="E1376">
        <v>3.3000999999999999E-4</v>
      </c>
      <c r="F1376">
        <v>9.9999999999999995E-7</v>
      </c>
      <c r="G1376" s="142" t="s">
        <v>13</v>
      </c>
      <c r="H1376" s="142" t="s">
        <v>11</v>
      </c>
      <c r="I1376">
        <v>1</v>
      </c>
      <c r="J1376">
        <v>5.01</v>
      </c>
      <c r="K1376" s="142" t="s">
        <v>10</v>
      </c>
      <c r="L1376">
        <v>0.56230999999999998</v>
      </c>
      <c r="M1376">
        <v>2652.9</v>
      </c>
      <c r="N1376">
        <v>0.56206999999999996</v>
      </c>
      <c r="O1376">
        <v>2652.8</v>
      </c>
    </row>
    <row r="1377" spans="1:15" x14ac:dyDescent="0.25">
      <c r="A1377" s="142" t="s">
        <v>1490</v>
      </c>
      <c r="B1377" s="142" t="s">
        <v>51</v>
      </c>
      <c r="C1377" s="142" t="s">
        <v>44</v>
      </c>
      <c r="D1377">
        <v>0</v>
      </c>
      <c r="E1377">
        <v>3.3000999999999999E-4</v>
      </c>
      <c r="F1377">
        <v>9.9999999999999995E-7</v>
      </c>
      <c r="G1377" s="142" t="s">
        <v>13</v>
      </c>
      <c r="H1377" s="142" t="s">
        <v>11</v>
      </c>
      <c r="I1377">
        <v>5</v>
      </c>
      <c r="J1377">
        <v>10.01</v>
      </c>
      <c r="K1377" s="142" t="s">
        <v>10</v>
      </c>
      <c r="L1377">
        <v>0.51629999999999998</v>
      </c>
      <c r="M1377">
        <v>8526.7000000000007</v>
      </c>
      <c r="N1377">
        <v>0.51576</v>
      </c>
      <c r="O1377">
        <v>8527.5</v>
      </c>
    </row>
    <row r="1378" spans="1:15" x14ac:dyDescent="0.25">
      <c r="A1378" s="142" t="s">
        <v>1759</v>
      </c>
      <c r="B1378" s="142" t="s">
        <v>51</v>
      </c>
      <c r="C1378" s="142" t="s">
        <v>44</v>
      </c>
      <c r="D1378">
        <v>0</v>
      </c>
      <c r="E1378">
        <v>3.3000999999999999E-4</v>
      </c>
      <c r="F1378">
        <v>9.9999999999999995E-7</v>
      </c>
      <c r="G1378" s="142" t="s">
        <v>13</v>
      </c>
      <c r="H1378" s="142" t="s">
        <v>11</v>
      </c>
      <c r="I1378">
        <v>10</v>
      </c>
      <c r="J1378">
        <v>30</v>
      </c>
      <c r="K1378" s="142" t="s">
        <v>10</v>
      </c>
      <c r="L1378">
        <v>0.62980000000000003</v>
      </c>
      <c r="M1378">
        <v>18044</v>
      </c>
      <c r="N1378">
        <v>0.62958000000000003</v>
      </c>
      <c r="O1378">
        <v>18044</v>
      </c>
    </row>
    <row r="1379" spans="1:15" x14ac:dyDescent="0.25">
      <c r="A1379" s="142" t="s">
        <v>1492</v>
      </c>
      <c r="B1379" s="142" t="s">
        <v>51</v>
      </c>
      <c r="C1379" s="142" t="s">
        <v>44</v>
      </c>
      <c r="D1379">
        <v>0</v>
      </c>
      <c r="E1379">
        <v>3.3000999999999999E-4</v>
      </c>
      <c r="F1379">
        <v>9.9999999999999995E-7</v>
      </c>
      <c r="G1379" s="142" t="s">
        <v>13</v>
      </c>
      <c r="H1379" s="142" t="s">
        <v>11</v>
      </c>
      <c r="I1379">
        <v>30</v>
      </c>
      <c r="J1379">
        <v>30.1</v>
      </c>
      <c r="K1379" s="142" t="s">
        <v>10</v>
      </c>
      <c r="L1379">
        <v>0.62980000000000003</v>
      </c>
      <c r="M1379">
        <v>18044</v>
      </c>
      <c r="N1379">
        <v>0.62958000000000003</v>
      </c>
      <c r="O1379">
        <v>18044</v>
      </c>
    </row>
    <row r="1380" spans="1:15" x14ac:dyDescent="0.25">
      <c r="A1380" s="142" t="s">
        <v>1766</v>
      </c>
      <c r="B1380" s="142" t="s">
        <v>51</v>
      </c>
      <c r="C1380" s="142" t="s">
        <v>44</v>
      </c>
      <c r="D1380">
        <v>3.3E-4</v>
      </c>
      <c r="E1380">
        <v>3.3000999999999998E-3</v>
      </c>
      <c r="F1380">
        <v>9.9999999999999995E-7</v>
      </c>
      <c r="G1380" s="142" t="s">
        <v>13</v>
      </c>
      <c r="H1380" s="142" t="s">
        <v>11</v>
      </c>
      <c r="I1380">
        <v>0.01</v>
      </c>
      <c r="J1380">
        <v>2.001E-2</v>
      </c>
      <c r="K1380" s="142" t="s">
        <v>10</v>
      </c>
      <c r="L1380">
        <v>0.35293999999999998</v>
      </c>
      <c r="M1380">
        <v>2267.3000000000002</v>
      </c>
      <c r="N1380">
        <v>0.35227000000000003</v>
      </c>
      <c r="O1380">
        <v>2267.5</v>
      </c>
    </row>
    <row r="1381" spans="1:15" x14ac:dyDescent="0.25">
      <c r="A1381" s="142" t="s">
        <v>1541</v>
      </c>
      <c r="B1381" s="142" t="s">
        <v>51</v>
      </c>
      <c r="C1381" s="142" t="s">
        <v>44</v>
      </c>
      <c r="D1381">
        <v>3.3E-4</v>
      </c>
      <c r="E1381">
        <v>3.3000999999999998E-3</v>
      </c>
      <c r="F1381">
        <v>9.9999999999999995E-7</v>
      </c>
      <c r="G1381" s="142" t="s">
        <v>13</v>
      </c>
      <c r="H1381" s="142" t="s">
        <v>11</v>
      </c>
      <c r="I1381">
        <v>0.02</v>
      </c>
      <c r="J1381">
        <v>4.5010000000000001E-2</v>
      </c>
      <c r="K1381" s="142" t="s">
        <v>10</v>
      </c>
      <c r="L1381">
        <v>0.41399000000000002</v>
      </c>
      <c r="M1381">
        <v>1381.1</v>
      </c>
      <c r="N1381">
        <v>0.41349000000000002</v>
      </c>
      <c r="O1381">
        <v>1381.2</v>
      </c>
    </row>
    <row r="1382" spans="1:15" x14ac:dyDescent="0.25">
      <c r="A1382" s="142" t="s">
        <v>1539</v>
      </c>
      <c r="B1382" s="142" t="s">
        <v>51</v>
      </c>
      <c r="C1382" s="142" t="s">
        <v>44</v>
      </c>
      <c r="D1382">
        <v>3.3E-4</v>
      </c>
      <c r="E1382">
        <v>3.3000999999999998E-3</v>
      </c>
      <c r="F1382">
        <v>9.9999999999999995E-7</v>
      </c>
      <c r="G1382" s="142" t="s">
        <v>13</v>
      </c>
      <c r="H1382" s="142" t="s">
        <v>11</v>
      </c>
      <c r="I1382">
        <v>4.4999999999999998E-2</v>
      </c>
      <c r="J1382">
        <v>1.0000100000000001</v>
      </c>
      <c r="K1382" s="142" t="s">
        <v>10</v>
      </c>
      <c r="L1382">
        <v>0.43013000000000001</v>
      </c>
      <c r="M1382">
        <v>1124.2</v>
      </c>
      <c r="N1382">
        <v>0.44201000000000001</v>
      </c>
      <c r="O1382">
        <v>1086.4000000000001</v>
      </c>
    </row>
    <row r="1383" spans="1:15" x14ac:dyDescent="0.25">
      <c r="A1383" s="142" t="s">
        <v>1544</v>
      </c>
      <c r="B1383" s="142" t="s">
        <v>51</v>
      </c>
      <c r="C1383" s="142" t="s">
        <v>44</v>
      </c>
      <c r="D1383">
        <v>3.3E-4</v>
      </c>
      <c r="E1383">
        <v>3.3000999999999998E-3</v>
      </c>
      <c r="F1383">
        <v>9.9999999999999995E-7</v>
      </c>
      <c r="G1383" s="142" t="s">
        <v>13</v>
      </c>
      <c r="H1383" s="142" t="s">
        <v>11</v>
      </c>
      <c r="I1383">
        <v>1</v>
      </c>
      <c r="J1383">
        <v>5.01</v>
      </c>
      <c r="K1383" s="142" t="s">
        <v>10</v>
      </c>
      <c r="L1383">
        <v>0.40200999999999998</v>
      </c>
      <c r="M1383">
        <v>2264.3000000000002</v>
      </c>
      <c r="N1383">
        <v>0.40155999999999997</v>
      </c>
      <c r="O1383">
        <v>2264.4</v>
      </c>
    </row>
    <row r="1384" spans="1:15" x14ac:dyDescent="0.25">
      <c r="A1384" s="142" t="s">
        <v>1543</v>
      </c>
      <c r="B1384" s="142" t="s">
        <v>51</v>
      </c>
      <c r="C1384" s="142" t="s">
        <v>44</v>
      </c>
      <c r="D1384">
        <v>3.3E-4</v>
      </c>
      <c r="E1384">
        <v>3.3000999999999998E-3</v>
      </c>
      <c r="F1384">
        <v>9.9999999999999995E-7</v>
      </c>
      <c r="G1384" s="142" t="s">
        <v>13</v>
      </c>
      <c r="H1384" s="142" t="s">
        <v>11</v>
      </c>
      <c r="I1384">
        <v>5</v>
      </c>
      <c r="J1384">
        <v>10.01</v>
      </c>
      <c r="K1384" s="142" t="s">
        <v>10</v>
      </c>
      <c r="L1384">
        <v>0.41769000000000001</v>
      </c>
      <c r="M1384">
        <v>5779.5</v>
      </c>
      <c r="N1384">
        <v>0.4264</v>
      </c>
      <c r="O1384">
        <v>5752</v>
      </c>
    </row>
    <row r="1385" spans="1:15" x14ac:dyDescent="0.25">
      <c r="A1385" s="142" t="s">
        <v>1540</v>
      </c>
      <c r="B1385" s="142" t="s">
        <v>51</v>
      </c>
      <c r="C1385" s="142" t="s">
        <v>44</v>
      </c>
      <c r="D1385">
        <v>3.3E-4</v>
      </c>
      <c r="E1385">
        <v>3.3000999999999998E-3</v>
      </c>
      <c r="F1385">
        <v>9.9999999999999995E-7</v>
      </c>
      <c r="G1385" s="142" t="s">
        <v>13</v>
      </c>
      <c r="H1385" s="142" t="s">
        <v>11</v>
      </c>
      <c r="I1385">
        <v>10</v>
      </c>
      <c r="J1385">
        <v>30</v>
      </c>
      <c r="K1385" s="142" t="s">
        <v>10</v>
      </c>
      <c r="L1385">
        <v>0.7</v>
      </c>
      <c r="M1385">
        <v>12000</v>
      </c>
      <c r="N1385">
        <v>0.7339</v>
      </c>
      <c r="O1385">
        <v>11536</v>
      </c>
    </row>
    <row r="1386" spans="1:15" x14ac:dyDescent="0.25">
      <c r="A1386" s="142" t="s">
        <v>1542</v>
      </c>
      <c r="B1386" s="142" t="s">
        <v>51</v>
      </c>
      <c r="C1386" s="142" t="s">
        <v>44</v>
      </c>
      <c r="D1386">
        <v>3.3E-4</v>
      </c>
      <c r="E1386">
        <v>3.3000999999999998E-3</v>
      </c>
      <c r="F1386">
        <v>9.9999999999999995E-7</v>
      </c>
      <c r="G1386" s="142" t="s">
        <v>13</v>
      </c>
      <c r="H1386" s="142" t="s">
        <v>11</v>
      </c>
      <c r="I1386">
        <v>30</v>
      </c>
      <c r="J1386">
        <v>30.1</v>
      </c>
      <c r="K1386" s="142" t="s">
        <v>10</v>
      </c>
      <c r="L1386">
        <v>0.7</v>
      </c>
      <c r="M1386">
        <v>12000</v>
      </c>
      <c r="N1386">
        <v>0.7339</v>
      </c>
      <c r="O1386">
        <v>11536</v>
      </c>
    </row>
    <row r="1387" spans="1:15" x14ac:dyDescent="0.25">
      <c r="A1387" s="142" t="s">
        <v>1564</v>
      </c>
      <c r="B1387" s="142" t="s">
        <v>51</v>
      </c>
      <c r="C1387" s="142" t="s">
        <v>44</v>
      </c>
      <c r="D1387">
        <v>3.3E-3</v>
      </c>
      <c r="E1387">
        <v>3.3001000000000003E-2</v>
      </c>
      <c r="F1387">
        <v>9.9999999999999995E-7</v>
      </c>
      <c r="G1387" s="142" t="s">
        <v>13</v>
      </c>
      <c r="H1387" s="142" t="s">
        <v>11</v>
      </c>
      <c r="I1387">
        <v>0.01</v>
      </c>
      <c r="J1387">
        <v>2.001E-2</v>
      </c>
      <c r="K1387" s="142" t="s">
        <v>10</v>
      </c>
      <c r="L1387">
        <v>4.0896999999999997</v>
      </c>
      <c r="M1387">
        <v>2048.8000000000002</v>
      </c>
      <c r="N1387">
        <v>4.1185</v>
      </c>
      <c r="O1387">
        <v>2039.5</v>
      </c>
    </row>
    <row r="1388" spans="1:15" x14ac:dyDescent="0.25">
      <c r="A1388" s="142" t="s">
        <v>1777</v>
      </c>
      <c r="B1388" s="142" t="s">
        <v>51</v>
      </c>
      <c r="C1388" s="142" t="s">
        <v>44</v>
      </c>
      <c r="D1388">
        <v>3.3E-3</v>
      </c>
      <c r="E1388">
        <v>3.3001000000000003E-2</v>
      </c>
      <c r="F1388">
        <v>9.9999999999999995E-7</v>
      </c>
      <c r="G1388" s="142" t="s">
        <v>13</v>
      </c>
      <c r="H1388" s="142" t="s">
        <v>11</v>
      </c>
      <c r="I1388">
        <v>0.02</v>
      </c>
      <c r="J1388">
        <v>4.5010000000000001E-2</v>
      </c>
      <c r="K1388" s="142" t="s">
        <v>10</v>
      </c>
      <c r="L1388">
        <v>4.9169999999999998</v>
      </c>
      <c r="M1388">
        <v>977.92</v>
      </c>
      <c r="N1388">
        <v>4.9145000000000003</v>
      </c>
      <c r="O1388">
        <v>977.93</v>
      </c>
    </row>
    <row r="1389" spans="1:15" x14ac:dyDescent="0.25">
      <c r="A1389" s="142" t="s">
        <v>1779</v>
      </c>
      <c r="B1389" s="142" t="s">
        <v>51</v>
      </c>
      <c r="C1389" s="142" t="s">
        <v>44</v>
      </c>
      <c r="D1389">
        <v>3.3E-3</v>
      </c>
      <c r="E1389">
        <v>3.3001000000000003E-2</v>
      </c>
      <c r="F1389">
        <v>9.9999999999999995E-7</v>
      </c>
      <c r="G1389" s="142" t="s">
        <v>13</v>
      </c>
      <c r="H1389" s="142" t="s">
        <v>11</v>
      </c>
      <c r="I1389">
        <v>4.4999999999999998E-2</v>
      </c>
      <c r="J1389">
        <v>1.0000100000000001</v>
      </c>
      <c r="K1389" s="142" t="s">
        <v>10</v>
      </c>
      <c r="L1389">
        <v>5.6395999999999997</v>
      </c>
      <c r="M1389">
        <v>392.41</v>
      </c>
      <c r="N1389">
        <v>5.6368999999999998</v>
      </c>
      <c r="O1389">
        <v>392.36</v>
      </c>
    </row>
    <row r="1390" spans="1:15" x14ac:dyDescent="0.25">
      <c r="A1390" s="142" t="s">
        <v>1566</v>
      </c>
      <c r="B1390" s="142" t="s">
        <v>51</v>
      </c>
      <c r="C1390" s="142" t="s">
        <v>44</v>
      </c>
      <c r="D1390">
        <v>3.3E-3</v>
      </c>
      <c r="E1390">
        <v>3.3001000000000003E-2</v>
      </c>
      <c r="F1390">
        <v>9.9999999999999995E-7</v>
      </c>
      <c r="G1390" s="142" t="s">
        <v>13</v>
      </c>
      <c r="H1390" s="142" t="s">
        <v>11</v>
      </c>
      <c r="I1390">
        <v>1</v>
      </c>
      <c r="J1390">
        <v>5.01</v>
      </c>
      <c r="K1390" s="142" t="s">
        <v>10</v>
      </c>
      <c r="L1390">
        <v>5.0491000000000001</v>
      </c>
      <c r="M1390">
        <v>857.92</v>
      </c>
      <c r="N1390">
        <v>5.0465999999999998</v>
      </c>
      <c r="O1390">
        <v>857.92</v>
      </c>
    </row>
    <row r="1391" spans="1:15" x14ac:dyDescent="0.25">
      <c r="A1391" s="142" t="s">
        <v>1565</v>
      </c>
      <c r="B1391" s="142" t="s">
        <v>51</v>
      </c>
      <c r="C1391" s="142" t="s">
        <v>44</v>
      </c>
      <c r="D1391">
        <v>3.3E-3</v>
      </c>
      <c r="E1391">
        <v>3.3001000000000003E-2</v>
      </c>
      <c r="F1391">
        <v>9.9999999999999995E-7</v>
      </c>
      <c r="G1391" s="142" t="s">
        <v>13</v>
      </c>
      <c r="H1391" s="142" t="s">
        <v>11</v>
      </c>
      <c r="I1391">
        <v>5</v>
      </c>
      <c r="J1391">
        <v>10.01</v>
      </c>
      <c r="K1391" s="142" t="s">
        <v>10</v>
      </c>
      <c r="L1391">
        <v>5.0186000000000002</v>
      </c>
      <c r="M1391">
        <v>2268.6999999999998</v>
      </c>
      <c r="N1391">
        <v>5.0129000000000001</v>
      </c>
      <c r="O1391">
        <v>2268.8000000000002</v>
      </c>
    </row>
    <row r="1392" spans="1:15" x14ac:dyDescent="0.25">
      <c r="A1392" s="142" t="s">
        <v>1563</v>
      </c>
      <c r="B1392" s="142" t="s">
        <v>51</v>
      </c>
      <c r="C1392" s="142" t="s">
        <v>44</v>
      </c>
      <c r="D1392">
        <v>3.3E-3</v>
      </c>
      <c r="E1392">
        <v>3.3001000000000003E-2</v>
      </c>
      <c r="F1392">
        <v>9.9999999999999995E-7</v>
      </c>
      <c r="G1392" s="142" t="s">
        <v>13</v>
      </c>
      <c r="H1392" s="142" t="s">
        <v>11</v>
      </c>
      <c r="I1392">
        <v>10</v>
      </c>
      <c r="J1392">
        <v>30</v>
      </c>
      <c r="K1392" s="142" t="s">
        <v>10</v>
      </c>
      <c r="L1392">
        <v>5.5293999999999999</v>
      </c>
      <c r="M1392">
        <v>4595.5</v>
      </c>
      <c r="N1392">
        <v>5.5179</v>
      </c>
      <c r="O1392">
        <v>4595.8</v>
      </c>
    </row>
    <row r="1393" spans="1:15" x14ac:dyDescent="0.25">
      <c r="A1393" s="142" t="s">
        <v>2789</v>
      </c>
      <c r="B1393" s="142" t="s">
        <v>51</v>
      </c>
      <c r="C1393" s="142" t="s">
        <v>44</v>
      </c>
      <c r="D1393">
        <v>3.3E-3</v>
      </c>
      <c r="E1393">
        <v>3.3001000000000003E-2</v>
      </c>
      <c r="F1393">
        <v>9.9999999999999995E-7</v>
      </c>
      <c r="G1393" s="142" t="s">
        <v>13</v>
      </c>
      <c r="H1393" s="142" t="s">
        <v>11</v>
      </c>
      <c r="I1393">
        <v>30</v>
      </c>
      <c r="J1393">
        <v>30.01</v>
      </c>
      <c r="K1393" s="142" t="s">
        <v>10</v>
      </c>
      <c r="L1393">
        <v>5.5293999999999999</v>
      </c>
      <c r="M1393">
        <v>4595.5</v>
      </c>
      <c r="N1393">
        <v>5.5179</v>
      </c>
      <c r="O1393">
        <v>4595.8</v>
      </c>
    </row>
    <row r="1394" spans="1:15" x14ac:dyDescent="0.25">
      <c r="A1394" s="142" t="s">
        <v>1582</v>
      </c>
      <c r="B1394" s="142" t="s">
        <v>51</v>
      </c>
      <c r="C1394" s="142" t="s">
        <v>44</v>
      </c>
      <c r="D1394">
        <v>3.3000000000000002E-2</v>
      </c>
      <c r="E1394">
        <v>0.33001000000000003</v>
      </c>
      <c r="F1394">
        <v>9.9999999999999995E-7</v>
      </c>
      <c r="G1394" s="142" t="s">
        <v>13</v>
      </c>
      <c r="H1394" s="142" t="s">
        <v>12</v>
      </c>
      <c r="I1394">
        <v>0.01</v>
      </c>
      <c r="J1394">
        <v>2.001E-2</v>
      </c>
      <c r="K1394" s="142" t="s">
        <v>10</v>
      </c>
      <c r="L1394">
        <v>2.3E-2</v>
      </c>
      <c r="M1394">
        <v>2.1</v>
      </c>
      <c r="N1394">
        <v>2.2917E-2</v>
      </c>
      <c r="O1394">
        <v>2.0907</v>
      </c>
    </row>
    <row r="1395" spans="1:15" x14ac:dyDescent="0.25">
      <c r="A1395" s="142" t="s">
        <v>1580</v>
      </c>
      <c r="B1395" s="142" t="s">
        <v>51</v>
      </c>
      <c r="C1395" s="142" t="s">
        <v>44</v>
      </c>
      <c r="D1395">
        <v>3.3000000000000002E-2</v>
      </c>
      <c r="E1395">
        <v>0.33001000000000003</v>
      </c>
      <c r="F1395">
        <v>9.9999999999999995E-7</v>
      </c>
      <c r="G1395" s="142" t="s">
        <v>13</v>
      </c>
      <c r="H1395" s="142" t="s">
        <v>12</v>
      </c>
      <c r="I1395">
        <v>0.02</v>
      </c>
      <c r="J1395">
        <v>4.5010000000000001E-2</v>
      </c>
      <c r="K1395" s="142" t="s">
        <v>10</v>
      </c>
      <c r="L1395">
        <v>3.7999999999999999E-2</v>
      </c>
      <c r="M1395">
        <v>1</v>
      </c>
      <c r="N1395">
        <v>2.3094E-2</v>
      </c>
      <c r="O1395">
        <v>1.0436000000000001</v>
      </c>
    </row>
    <row r="1396" spans="1:15" x14ac:dyDescent="0.25">
      <c r="A1396" s="142" t="s">
        <v>1576</v>
      </c>
      <c r="B1396" s="142" t="s">
        <v>51</v>
      </c>
      <c r="C1396" s="142" t="s">
        <v>44</v>
      </c>
      <c r="D1396">
        <v>3.3000000000000002E-2</v>
      </c>
      <c r="E1396">
        <v>0.33001000000000003</v>
      </c>
      <c r="F1396">
        <v>9.9999999999999995E-7</v>
      </c>
      <c r="G1396" s="142" t="s">
        <v>13</v>
      </c>
      <c r="H1396" s="142" t="s">
        <v>12</v>
      </c>
      <c r="I1396">
        <v>4.4999999999999998E-2</v>
      </c>
      <c r="J1396">
        <v>1.0000100000000001</v>
      </c>
      <c r="K1396" s="142" t="s">
        <v>10</v>
      </c>
      <c r="L1396">
        <v>2.4E-2</v>
      </c>
      <c r="M1396">
        <v>0.47</v>
      </c>
      <c r="N1396">
        <v>2.282E-2</v>
      </c>
      <c r="O1396">
        <v>0.47204000000000002</v>
      </c>
    </row>
    <row r="1397" spans="1:15" x14ac:dyDescent="0.25">
      <c r="A1397" s="142" t="s">
        <v>1581</v>
      </c>
      <c r="B1397" s="142" t="s">
        <v>51</v>
      </c>
      <c r="C1397" s="142" t="s">
        <v>44</v>
      </c>
      <c r="D1397">
        <v>3.3000000000000002E-2</v>
      </c>
      <c r="E1397">
        <v>0.33001000000000003</v>
      </c>
      <c r="F1397">
        <v>9.9999999999999995E-7</v>
      </c>
      <c r="G1397" s="142" t="s">
        <v>13</v>
      </c>
      <c r="H1397" s="142" t="s">
        <v>12</v>
      </c>
      <c r="I1397">
        <v>1</v>
      </c>
      <c r="J1397">
        <v>5.01</v>
      </c>
      <c r="K1397" s="142" t="s">
        <v>10</v>
      </c>
      <c r="L1397">
        <v>5.8000000000000003E-2</v>
      </c>
      <c r="M1397">
        <v>1.2</v>
      </c>
      <c r="N1397">
        <v>5.7624000000000002E-2</v>
      </c>
      <c r="O1397">
        <v>1.1588000000000001</v>
      </c>
    </row>
    <row r="1398" spans="1:15" x14ac:dyDescent="0.25">
      <c r="A1398" s="142" t="s">
        <v>1578</v>
      </c>
      <c r="B1398" s="142" t="s">
        <v>51</v>
      </c>
      <c r="C1398" s="142" t="s">
        <v>44</v>
      </c>
      <c r="D1398">
        <v>3.3000000000000002E-2</v>
      </c>
      <c r="E1398">
        <v>0.33001000000000003</v>
      </c>
      <c r="F1398">
        <v>9.9999999999999995E-7</v>
      </c>
      <c r="G1398" s="142" t="s">
        <v>13</v>
      </c>
      <c r="H1398" s="142" t="s">
        <v>12</v>
      </c>
      <c r="I1398">
        <v>5</v>
      </c>
      <c r="J1398">
        <v>10.01</v>
      </c>
      <c r="K1398" s="142" t="s">
        <v>10</v>
      </c>
      <c r="L1398">
        <v>0.12</v>
      </c>
      <c r="M1398">
        <v>2.2999999999999998</v>
      </c>
      <c r="N1398">
        <v>0.11543</v>
      </c>
      <c r="O1398">
        <v>2.3113999999999999</v>
      </c>
    </row>
    <row r="1399" spans="1:15" x14ac:dyDescent="0.25">
      <c r="A1399" s="142" t="s">
        <v>1579</v>
      </c>
      <c r="B1399" s="142" t="s">
        <v>51</v>
      </c>
      <c r="C1399" s="142" t="s">
        <v>44</v>
      </c>
      <c r="D1399">
        <v>3.3000000000000002E-2</v>
      </c>
      <c r="E1399">
        <v>0.33001000000000003</v>
      </c>
      <c r="F1399">
        <v>9.9999999999999995E-7</v>
      </c>
      <c r="G1399" s="142" t="s">
        <v>13</v>
      </c>
      <c r="H1399" s="142" t="s">
        <v>12</v>
      </c>
      <c r="I1399">
        <v>10</v>
      </c>
      <c r="J1399">
        <v>30</v>
      </c>
      <c r="K1399" s="142" t="s">
        <v>10</v>
      </c>
      <c r="L1399">
        <v>0.24</v>
      </c>
      <c r="M1399">
        <v>4.5999999999999996</v>
      </c>
      <c r="N1399">
        <v>0.23085</v>
      </c>
      <c r="O1399">
        <v>4.6219000000000001</v>
      </c>
    </row>
    <row r="1400" spans="1:15" x14ac:dyDescent="0.25">
      <c r="A1400" s="142" t="s">
        <v>1577</v>
      </c>
      <c r="B1400" s="142" t="s">
        <v>51</v>
      </c>
      <c r="C1400" s="142" t="s">
        <v>44</v>
      </c>
      <c r="D1400">
        <v>3.3000000000000002E-2</v>
      </c>
      <c r="E1400">
        <v>0.33001000000000003</v>
      </c>
      <c r="F1400">
        <v>9.9999999999999995E-7</v>
      </c>
      <c r="G1400" s="142" t="s">
        <v>13</v>
      </c>
      <c r="H1400" s="142" t="s">
        <v>12</v>
      </c>
      <c r="I1400">
        <v>30</v>
      </c>
      <c r="J1400">
        <v>30.01</v>
      </c>
      <c r="K1400" s="142" t="s">
        <v>10</v>
      </c>
      <c r="L1400">
        <v>0.24</v>
      </c>
      <c r="M1400">
        <v>4.5999999999999996</v>
      </c>
      <c r="N1400">
        <v>0.23085</v>
      </c>
      <c r="O1400">
        <v>4.6219000000000001</v>
      </c>
    </row>
    <row r="1401" spans="1:15" x14ac:dyDescent="0.25">
      <c r="A1401" s="142" t="s">
        <v>1495</v>
      </c>
      <c r="B1401" s="142" t="s">
        <v>51</v>
      </c>
      <c r="C1401" s="142" t="s">
        <v>44</v>
      </c>
      <c r="D1401">
        <v>0</v>
      </c>
      <c r="E1401">
        <v>3.3000999999999999E-4</v>
      </c>
      <c r="F1401">
        <v>1.0000000000000001E-5</v>
      </c>
      <c r="G1401" s="142" t="s">
        <v>13</v>
      </c>
      <c r="H1401" s="142" t="s">
        <v>11</v>
      </c>
      <c r="I1401">
        <v>0.01</v>
      </c>
      <c r="J1401">
        <v>2.001E-2</v>
      </c>
      <c r="K1401" s="142" t="s">
        <v>10</v>
      </c>
      <c r="L1401">
        <v>5.7994000000000003</v>
      </c>
      <c r="M1401">
        <v>124.28</v>
      </c>
      <c r="N1401">
        <v>5.7992999999999997</v>
      </c>
      <c r="O1401">
        <v>123.73</v>
      </c>
    </row>
    <row r="1402" spans="1:15" x14ac:dyDescent="0.25">
      <c r="A1402" s="142" t="s">
        <v>1748</v>
      </c>
      <c r="B1402" s="142" t="s">
        <v>51</v>
      </c>
      <c r="C1402" s="142" t="s">
        <v>44</v>
      </c>
      <c r="D1402">
        <v>0</v>
      </c>
      <c r="E1402">
        <v>3.3000999999999999E-4</v>
      </c>
      <c r="F1402">
        <v>1.0000000000000001E-5</v>
      </c>
      <c r="G1402" s="142" t="s">
        <v>13</v>
      </c>
      <c r="H1402" s="142" t="s">
        <v>11</v>
      </c>
      <c r="I1402">
        <v>0.02</v>
      </c>
      <c r="J1402">
        <v>4.5010000000000001E-2</v>
      </c>
      <c r="K1402" s="142" t="s">
        <v>10</v>
      </c>
      <c r="L1402">
        <v>5.7723000000000004</v>
      </c>
      <c r="M1402">
        <v>128.02000000000001</v>
      </c>
      <c r="N1402">
        <v>5.7721999999999998</v>
      </c>
      <c r="O1402">
        <v>127.48</v>
      </c>
    </row>
    <row r="1403" spans="1:15" x14ac:dyDescent="0.25">
      <c r="A1403" s="142" t="s">
        <v>1496</v>
      </c>
      <c r="B1403" s="142" t="s">
        <v>51</v>
      </c>
      <c r="C1403" s="142" t="s">
        <v>44</v>
      </c>
      <c r="D1403">
        <v>0</v>
      </c>
      <c r="E1403">
        <v>3.3000999999999999E-4</v>
      </c>
      <c r="F1403">
        <v>1.0000000000000001E-5</v>
      </c>
      <c r="G1403" s="142" t="s">
        <v>13</v>
      </c>
      <c r="H1403" s="142" t="s">
        <v>11</v>
      </c>
      <c r="I1403">
        <v>4.4999999999999998E-2</v>
      </c>
      <c r="J1403">
        <v>1.0000100000000001</v>
      </c>
      <c r="K1403" s="142" t="s">
        <v>10</v>
      </c>
      <c r="L1403">
        <v>5.7731000000000003</v>
      </c>
      <c r="M1403">
        <v>93.963999999999999</v>
      </c>
      <c r="N1403">
        <v>5.7729999999999997</v>
      </c>
      <c r="O1403">
        <v>93.42</v>
      </c>
    </row>
    <row r="1404" spans="1:15" x14ac:dyDescent="0.25">
      <c r="A1404" s="142" t="s">
        <v>1497</v>
      </c>
      <c r="B1404" s="142" t="s">
        <v>51</v>
      </c>
      <c r="C1404" s="142" t="s">
        <v>44</v>
      </c>
      <c r="D1404">
        <v>0</v>
      </c>
      <c r="E1404">
        <v>3.3000999999999999E-4</v>
      </c>
      <c r="F1404">
        <v>1.0000000000000001E-5</v>
      </c>
      <c r="G1404" s="142" t="s">
        <v>13</v>
      </c>
      <c r="H1404" s="142" t="s">
        <v>11</v>
      </c>
      <c r="I1404">
        <v>1</v>
      </c>
      <c r="J1404">
        <v>5.01</v>
      </c>
      <c r="K1404" s="142" t="s">
        <v>10</v>
      </c>
      <c r="L1404">
        <v>5.7664999999999997</v>
      </c>
      <c r="M1404">
        <v>471.27</v>
      </c>
      <c r="N1404">
        <v>5.7664</v>
      </c>
      <c r="O1404">
        <v>470.74</v>
      </c>
    </row>
    <row r="1405" spans="1:15" x14ac:dyDescent="0.25">
      <c r="A1405" s="142" t="s">
        <v>1494</v>
      </c>
      <c r="B1405" s="142" t="s">
        <v>51</v>
      </c>
      <c r="C1405" s="142" t="s">
        <v>44</v>
      </c>
      <c r="D1405">
        <v>0</v>
      </c>
      <c r="E1405">
        <v>3.3000999999999999E-4</v>
      </c>
      <c r="F1405">
        <v>1.0000000000000001E-5</v>
      </c>
      <c r="G1405" s="142" t="s">
        <v>13</v>
      </c>
      <c r="H1405" s="142" t="s">
        <v>11</v>
      </c>
      <c r="I1405">
        <v>5</v>
      </c>
      <c r="J1405">
        <v>10.01</v>
      </c>
      <c r="K1405" s="142" t="s">
        <v>10</v>
      </c>
      <c r="L1405">
        <v>5.7138999999999998</v>
      </c>
      <c r="M1405">
        <v>2807.7</v>
      </c>
      <c r="N1405">
        <v>5.7137000000000002</v>
      </c>
      <c r="O1405">
        <v>2806.8</v>
      </c>
    </row>
    <row r="1406" spans="1:15" x14ac:dyDescent="0.25">
      <c r="A1406" s="142" t="s">
        <v>1493</v>
      </c>
      <c r="B1406" s="142" t="s">
        <v>51</v>
      </c>
      <c r="C1406" s="142" t="s">
        <v>44</v>
      </c>
      <c r="D1406">
        <v>0</v>
      </c>
      <c r="E1406">
        <v>3.3000999999999999E-4</v>
      </c>
      <c r="F1406">
        <v>1.0000000000000001E-5</v>
      </c>
      <c r="G1406" s="142" t="s">
        <v>13</v>
      </c>
      <c r="H1406" s="142" t="s">
        <v>11</v>
      </c>
      <c r="I1406">
        <v>10</v>
      </c>
      <c r="J1406">
        <v>30</v>
      </c>
      <c r="K1406" s="142" t="s">
        <v>10</v>
      </c>
      <c r="L1406">
        <v>5.5819999999999999</v>
      </c>
      <c r="M1406">
        <v>9564.6</v>
      </c>
      <c r="N1406">
        <v>5.5818000000000003</v>
      </c>
      <c r="O1406">
        <v>9564.1</v>
      </c>
    </row>
    <row r="1407" spans="1:15" x14ac:dyDescent="0.25">
      <c r="A1407" s="142" t="s">
        <v>1762</v>
      </c>
      <c r="B1407" s="142" t="s">
        <v>51</v>
      </c>
      <c r="C1407" s="142" t="s">
        <v>44</v>
      </c>
      <c r="D1407">
        <v>0</v>
      </c>
      <c r="E1407">
        <v>3.3000999999999999E-4</v>
      </c>
      <c r="F1407">
        <v>1.0000000000000001E-5</v>
      </c>
      <c r="G1407" s="142" t="s">
        <v>13</v>
      </c>
      <c r="H1407" s="142" t="s">
        <v>11</v>
      </c>
      <c r="I1407">
        <v>30</v>
      </c>
      <c r="J1407">
        <v>30.1</v>
      </c>
      <c r="K1407" s="142" t="s">
        <v>10</v>
      </c>
      <c r="L1407">
        <v>5.5819999999999999</v>
      </c>
      <c r="M1407">
        <v>9564.6</v>
      </c>
      <c r="N1407">
        <v>5.5818000000000003</v>
      </c>
      <c r="O1407">
        <v>9564.1</v>
      </c>
    </row>
    <row r="1408" spans="1:15" x14ac:dyDescent="0.25">
      <c r="A1408" s="142" t="s">
        <v>1546</v>
      </c>
      <c r="B1408" s="142" t="s">
        <v>51</v>
      </c>
      <c r="C1408" s="142" t="s">
        <v>44</v>
      </c>
      <c r="D1408">
        <v>3.3E-4</v>
      </c>
      <c r="E1408">
        <v>3.3000999999999998E-3</v>
      </c>
      <c r="F1408">
        <v>1.0000000000000001E-5</v>
      </c>
      <c r="G1408" s="142" t="s">
        <v>13</v>
      </c>
      <c r="H1408" s="142" t="s">
        <v>11</v>
      </c>
      <c r="I1408">
        <v>0.01</v>
      </c>
      <c r="J1408">
        <v>2.001E-2</v>
      </c>
      <c r="K1408" s="142" t="s">
        <v>10</v>
      </c>
      <c r="L1408">
        <v>5.4199000000000002</v>
      </c>
      <c r="M1408">
        <v>1301.8</v>
      </c>
      <c r="N1408">
        <v>5.4195000000000002</v>
      </c>
      <c r="O1408">
        <v>1301.8</v>
      </c>
    </row>
    <row r="1409" spans="1:15" x14ac:dyDescent="0.25">
      <c r="A1409" s="142" t="s">
        <v>1547</v>
      </c>
      <c r="B1409" s="142" t="s">
        <v>51</v>
      </c>
      <c r="C1409" s="142" t="s">
        <v>44</v>
      </c>
      <c r="D1409">
        <v>3.3E-4</v>
      </c>
      <c r="E1409">
        <v>3.3000999999999998E-3</v>
      </c>
      <c r="F1409">
        <v>1.0000000000000001E-5</v>
      </c>
      <c r="G1409" s="142" t="s">
        <v>13</v>
      </c>
      <c r="H1409" s="142" t="s">
        <v>11</v>
      </c>
      <c r="I1409">
        <v>0.02</v>
      </c>
      <c r="J1409">
        <v>4.5010000000000001E-2</v>
      </c>
      <c r="K1409" s="142" t="s">
        <v>10</v>
      </c>
      <c r="L1409">
        <v>5.6117999999999997</v>
      </c>
      <c r="M1409">
        <v>601.75</v>
      </c>
      <c r="N1409">
        <v>5.6113999999999997</v>
      </c>
      <c r="O1409">
        <v>601.72</v>
      </c>
    </row>
    <row r="1410" spans="1:15" x14ac:dyDescent="0.25">
      <c r="A1410" s="142" t="s">
        <v>1545</v>
      </c>
      <c r="B1410" s="142" t="s">
        <v>51</v>
      </c>
      <c r="C1410" s="142" t="s">
        <v>44</v>
      </c>
      <c r="D1410">
        <v>3.3E-4</v>
      </c>
      <c r="E1410">
        <v>3.3000999999999998E-3</v>
      </c>
      <c r="F1410">
        <v>1.0000000000000001E-5</v>
      </c>
      <c r="G1410" s="142" t="s">
        <v>13</v>
      </c>
      <c r="H1410" s="142" t="s">
        <v>11</v>
      </c>
      <c r="I1410">
        <v>4.4999999999999998E-2</v>
      </c>
      <c r="J1410">
        <v>1.0000100000000001</v>
      </c>
      <c r="K1410" s="142" t="s">
        <v>10</v>
      </c>
      <c r="L1410">
        <v>5.6654</v>
      </c>
      <c r="M1410">
        <v>409.29</v>
      </c>
      <c r="N1410">
        <v>5.6650999999999998</v>
      </c>
      <c r="O1410">
        <v>409.25</v>
      </c>
    </row>
    <row r="1411" spans="1:15" x14ac:dyDescent="0.25">
      <c r="A1411" s="142" t="s">
        <v>1769</v>
      </c>
      <c r="B1411" s="142" t="s">
        <v>51</v>
      </c>
      <c r="C1411" s="142" t="s">
        <v>44</v>
      </c>
      <c r="D1411">
        <v>3.3E-4</v>
      </c>
      <c r="E1411">
        <v>3.3000999999999998E-3</v>
      </c>
      <c r="F1411">
        <v>1.0000000000000001E-5</v>
      </c>
      <c r="G1411" s="142" t="s">
        <v>13</v>
      </c>
      <c r="H1411" s="142" t="s">
        <v>11</v>
      </c>
      <c r="I1411">
        <v>1</v>
      </c>
      <c r="J1411">
        <v>5.01</v>
      </c>
      <c r="K1411" s="142" t="s">
        <v>10</v>
      </c>
      <c r="L1411">
        <v>5.4265999999999996</v>
      </c>
      <c r="M1411">
        <v>1309.3</v>
      </c>
      <c r="N1411">
        <v>5.4263000000000003</v>
      </c>
      <c r="O1411">
        <v>1309.3</v>
      </c>
    </row>
    <row r="1412" spans="1:15" x14ac:dyDescent="0.25">
      <c r="A1412" s="142" t="s">
        <v>1770</v>
      </c>
      <c r="B1412" s="142" t="s">
        <v>51</v>
      </c>
      <c r="C1412" s="142" t="s">
        <v>44</v>
      </c>
      <c r="D1412">
        <v>3.3E-4</v>
      </c>
      <c r="E1412">
        <v>3.3000999999999998E-3</v>
      </c>
      <c r="F1412">
        <v>1.0000000000000001E-5</v>
      </c>
      <c r="G1412" s="142" t="s">
        <v>13</v>
      </c>
      <c r="H1412" s="142" t="s">
        <v>11</v>
      </c>
      <c r="I1412">
        <v>5</v>
      </c>
      <c r="J1412">
        <v>10.01</v>
      </c>
      <c r="K1412" s="142" t="s">
        <v>10</v>
      </c>
      <c r="L1412">
        <v>4.6372999999999998</v>
      </c>
      <c r="M1412">
        <v>4728.3</v>
      </c>
      <c r="N1412">
        <v>4.6368999999999998</v>
      </c>
      <c r="O1412">
        <v>4728.3</v>
      </c>
    </row>
    <row r="1413" spans="1:15" x14ac:dyDescent="0.25">
      <c r="A1413" s="142" t="s">
        <v>1548</v>
      </c>
      <c r="B1413" s="142" t="s">
        <v>51</v>
      </c>
      <c r="C1413" s="142" t="s">
        <v>44</v>
      </c>
      <c r="D1413">
        <v>3.3E-4</v>
      </c>
      <c r="E1413">
        <v>3.3000999999999998E-3</v>
      </c>
      <c r="F1413">
        <v>1.0000000000000001E-5</v>
      </c>
      <c r="G1413" s="142" t="s">
        <v>13</v>
      </c>
      <c r="H1413" s="142" t="s">
        <v>11</v>
      </c>
      <c r="I1413">
        <v>10</v>
      </c>
      <c r="J1413">
        <v>30</v>
      </c>
      <c r="K1413" s="142" t="s">
        <v>10</v>
      </c>
      <c r="L1413">
        <v>3.6591999999999998</v>
      </c>
      <c r="M1413">
        <v>11103</v>
      </c>
      <c r="N1413">
        <v>3.7772999999999999</v>
      </c>
      <c r="O1413">
        <v>10742</v>
      </c>
    </row>
    <row r="1414" spans="1:15" x14ac:dyDescent="0.25">
      <c r="A1414" s="142" t="s">
        <v>1773</v>
      </c>
      <c r="B1414" s="142" t="s">
        <v>51</v>
      </c>
      <c r="C1414" s="142" t="s">
        <v>44</v>
      </c>
      <c r="D1414">
        <v>3.3E-4</v>
      </c>
      <c r="E1414">
        <v>3.3000999999999998E-3</v>
      </c>
      <c r="F1414">
        <v>1.0000000000000001E-5</v>
      </c>
      <c r="G1414" s="142" t="s">
        <v>13</v>
      </c>
      <c r="H1414" s="142" t="s">
        <v>11</v>
      </c>
      <c r="I1414">
        <v>30</v>
      </c>
      <c r="J1414">
        <v>30.1</v>
      </c>
      <c r="K1414" s="142" t="s">
        <v>10</v>
      </c>
      <c r="L1414">
        <v>3.6591999999999998</v>
      </c>
      <c r="M1414">
        <v>11103</v>
      </c>
      <c r="N1414">
        <v>3.7772999999999999</v>
      </c>
      <c r="O1414">
        <v>10742</v>
      </c>
    </row>
    <row r="1415" spans="1:15" x14ac:dyDescent="0.25">
      <c r="A1415" s="142" t="s">
        <v>1568</v>
      </c>
      <c r="B1415" s="142" t="s">
        <v>51</v>
      </c>
      <c r="C1415" s="142" t="s">
        <v>44</v>
      </c>
      <c r="D1415">
        <v>3.3E-3</v>
      </c>
      <c r="E1415">
        <v>3.3001000000000003E-2</v>
      </c>
      <c r="F1415">
        <v>1.0000000000000001E-5</v>
      </c>
      <c r="G1415" s="142" t="s">
        <v>13</v>
      </c>
      <c r="H1415" s="142" t="s">
        <v>11</v>
      </c>
      <c r="I1415">
        <v>0.01</v>
      </c>
      <c r="J1415">
        <v>2.001E-2</v>
      </c>
      <c r="K1415" s="142" t="s">
        <v>10</v>
      </c>
      <c r="L1415">
        <v>54.774000000000001</v>
      </c>
      <c r="M1415">
        <v>1117.8</v>
      </c>
      <c r="N1415">
        <v>54.773000000000003</v>
      </c>
      <c r="O1415">
        <v>1117.7</v>
      </c>
    </row>
    <row r="1416" spans="1:15" x14ac:dyDescent="0.25">
      <c r="A1416" s="142" t="s">
        <v>1569</v>
      </c>
      <c r="B1416" s="142" t="s">
        <v>51</v>
      </c>
      <c r="C1416" s="142" t="s">
        <v>44</v>
      </c>
      <c r="D1416">
        <v>3.3E-3</v>
      </c>
      <c r="E1416">
        <v>3.3001000000000003E-2</v>
      </c>
      <c r="F1416">
        <v>1.0000000000000001E-5</v>
      </c>
      <c r="G1416" s="142" t="s">
        <v>13</v>
      </c>
      <c r="H1416" s="142" t="s">
        <v>11</v>
      </c>
      <c r="I1416">
        <v>0.02</v>
      </c>
      <c r="J1416">
        <v>4.5010000000000001E-2</v>
      </c>
      <c r="K1416" s="142" t="s">
        <v>10</v>
      </c>
      <c r="L1416">
        <v>56.865000000000002</v>
      </c>
      <c r="M1416">
        <v>350.66</v>
      </c>
      <c r="N1416">
        <v>56.863</v>
      </c>
      <c r="O1416">
        <v>350.55</v>
      </c>
    </row>
    <row r="1417" spans="1:15" x14ac:dyDescent="0.25">
      <c r="A1417" s="142" t="s">
        <v>1570</v>
      </c>
      <c r="B1417" s="142" t="s">
        <v>51</v>
      </c>
      <c r="C1417" s="142" t="s">
        <v>44</v>
      </c>
      <c r="D1417">
        <v>3.3E-3</v>
      </c>
      <c r="E1417">
        <v>3.3001000000000003E-2</v>
      </c>
      <c r="F1417">
        <v>1.0000000000000001E-5</v>
      </c>
      <c r="G1417" s="142" t="s">
        <v>13</v>
      </c>
      <c r="H1417" s="142" t="s">
        <v>11</v>
      </c>
      <c r="I1417">
        <v>4.4999999999999998E-2</v>
      </c>
      <c r="J1417">
        <v>1.0000100000000001</v>
      </c>
      <c r="K1417" s="142" t="s">
        <v>10</v>
      </c>
      <c r="L1417">
        <v>57.584000000000003</v>
      </c>
      <c r="M1417">
        <v>84.81</v>
      </c>
      <c r="N1417">
        <v>57.582999999999998</v>
      </c>
      <c r="O1417">
        <v>84.671999999999997</v>
      </c>
    </row>
    <row r="1418" spans="1:15" x14ac:dyDescent="0.25">
      <c r="A1418" s="142" t="s">
        <v>1781</v>
      </c>
      <c r="B1418" s="142" t="s">
        <v>51</v>
      </c>
      <c r="C1418" s="142" t="s">
        <v>44</v>
      </c>
      <c r="D1418">
        <v>3.3E-3</v>
      </c>
      <c r="E1418">
        <v>3.3001000000000003E-2</v>
      </c>
      <c r="F1418">
        <v>1.0000000000000001E-5</v>
      </c>
      <c r="G1418" s="142" t="s">
        <v>13</v>
      </c>
      <c r="H1418" s="142" t="s">
        <v>11</v>
      </c>
      <c r="I1418">
        <v>1</v>
      </c>
      <c r="J1418">
        <v>5.01</v>
      </c>
      <c r="K1418" s="142" t="s">
        <v>10</v>
      </c>
      <c r="L1418">
        <v>57.046999999999997</v>
      </c>
      <c r="M1418">
        <v>284.47000000000003</v>
      </c>
      <c r="N1418">
        <v>57.045000000000002</v>
      </c>
      <c r="O1418">
        <v>284.35000000000002</v>
      </c>
    </row>
    <row r="1419" spans="1:15" x14ac:dyDescent="0.25">
      <c r="A1419" s="142" t="s">
        <v>1783</v>
      </c>
      <c r="B1419" s="142" t="s">
        <v>51</v>
      </c>
      <c r="C1419" s="142" t="s">
        <v>44</v>
      </c>
      <c r="D1419">
        <v>3.3E-3</v>
      </c>
      <c r="E1419">
        <v>3.3001000000000003E-2</v>
      </c>
      <c r="F1419">
        <v>1.0000000000000001E-5</v>
      </c>
      <c r="G1419" s="142" t="s">
        <v>13</v>
      </c>
      <c r="H1419" s="142" t="s">
        <v>11</v>
      </c>
      <c r="I1419">
        <v>5</v>
      </c>
      <c r="J1419">
        <v>10.01</v>
      </c>
      <c r="K1419" s="142" t="s">
        <v>10</v>
      </c>
      <c r="L1419">
        <v>54.396999999999998</v>
      </c>
      <c r="M1419">
        <v>1333.5</v>
      </c>
      <c r="N1419">
        <v>54.39</v>
      </c>
      <c r="O1419">
        <v>1333.5</v>
      </c>
    </row>
    <row r="1420" spans="1:15" x14ac:dyDescent="0.25">
      <c r="A1420" s="142" t="s">
        <v>1567</v>
      </c>
      <c r="B1420" s="142" t="s">
        <v>51</v>
      </c>
      <c r="C1420" s="142" t="s">
        <v>44</v>
      </c>
      <c r="D1420">
        <v>3.3E-3</v>
      </c>
      <c r="E1420">
        <v>3.3001000000000003E-2</v>
      </c>
      <c r="F1420">
        <v>1.0000000000000001E-5</v>
      </c>
      <c r="G1420" s="142" t="s">
        <v>13</v>
      </c>
      <c r="H1420" s="142" t="s">
        <v>11</v>
      </c>
      <c r="I1420">
        <v>10</v>
      </c>
      <c r="J1420">
        <v>30</v>
      </c>
      <c r="K1420" s="142" t="s">
        <v>10</v>
      </c>
      <c r="L1420">
        <v>49.259</v>
      </c>
      <c r="M1420">
        <v>3578.8</v>
      </c>
      <c r="N1420">
        <v>49.247</v>
      </c>
      <c r="O1420">
        <v>3578.8</v>
      </c>
    </row>
    <row r="1421" spans="1:15" x14ac:dyDescent="0.25">
      <c r="A1421" s="142" t="s">
        <v>2790</v>
      </c>
      <c r="B1421" s="142" t="s">
        <v>51</v>
      </c>
      <c r="C1421" s="142" t="s">
        <v>44</v>
      </c>
      <c r="D1421">
        <v>3.3E-3</v>
      </c>
      <c r="E1421">
        <v>3.3001000000000003E-2</v>
      </c>
      <c r="F1421">
        <v>1.0000000000000001E-5</v>
      </c>
      <c r="G1421" s="142" t="s">
        <v>13</v>
      </c>
      <c r="H1421" s="142" t="s">
        <v>11</v>
      </c>
      <c r="I1421">
        <v>30</v>
      </c>
      <c r="J1421">
        <v>30.01</v>
      </c>
      <c r="K1421" s="142" t="s">
        <v>10</v>
      </c>
      <c r="L1421">
        <v>49.259</v>
      </c>
      <c r="M1421">
        <v>3578.8</v>
      </c>
      <c r="N1421">
        <v>49.247</v>
      </c>
      <c r="O1421">
        <v>3578.8</v>
      </c>
    </row>
    <row r="1422" spans="1:15" x14ac:dyDescent="0.25">
      <c r="A1422" s="142" t="s">
        <v>1586</v>
      </c>
      <c r="B1422" s="142" t="s">
        <v>51</v>
      </c>
      <c r="C1422" s="142" t="s">
        <v>44</v>
      </c>
      <c r="D1422">
        <v>3.3000000000000002E-2</v>
      </c>
      <c r="E1422">
        <v>0.33001000000000003</v>
      </c>
      <c r="F1422">
        <v>1.0000000000000001E-5</v>
      </c>
      <c r="G1422" s="142" t="s">
        <v>13</v>
      </c>
      <c r="H1422" s="142" t="s">
        <v>12</v>
      </c>
      <c r="I1422">
        <v>0.01</v>
      </c>
      <c r="J1422">
        <v>2.001E-2</v>
      </c>
      <c r="K1422" s="142" t="s">
        <v>10</v>
      </c>
      <c r="L1422">
        <v>2.3E-2</v>
      </c>
      <c r="M1422">
        <v>2.1</v>
      </c>
      <c r="N1422">
        <v>2.3129E-2</v>
      </c>
      <c r="O1422">
        <v>2.0901000000000001</v>
      </c>
    </row>
    <row r="1423" spans="1:15" x14ac:dyDescent="0.25">
      <c r="A1423" s="142" t="s">
        <v>1583</v>
      </c>
      <c r="B1423" s="142" t="s">
        <v>51</v>
      </c>
      <c r="C1423" s="142" t="s">
        <v>44</v>
      </c>
      <c r="D1423">
        <v>3.3000000000000002E-2</v>
      </c>
      <c r="E1423">
        <v>0.33001000000000003</v>
      </c>
      <c r="F1423">
        <v>1.0000000000000001E-5</v>
      </c>
      <c r="G1423" s="142" t="s">
        <v>13</v>
      </c>
      <c r="H1423" s="142" t="s">
        <v>12</v>
      </c>
      <c r="I1423">
        <v>0.02</v>
      </c>
      <c r="J1423">
        <v>4.5010000000000001E-2</v>
      </c>
      <c r="K1423" s="142" t="s">
        <v>10</v>
      </c>
      <c r="L1423">
        <v>3.7999999999999999E-2</v>
      </c>
      <c r="M1423">
        <v>1</v>
      </c>
      <c r="N1423">
        <v>2.3358E-2</v>
      </c>
      <c r="O1423">
        <v>1.0427999999999999</v>
      </c>
    </row>
    <row r="1424" spans="1:15" x14ac:dyDescent="0.25">
      <c r="A1424" s="142" t="s">
        <v>1786</v>
      </c>
      <c r="B1424" s="142" t="s">
        <v>51</v>
      </c>
      <c r="C1424" s="142" t="s">
        <v>44</v>
      </c>
      <c r="D1424">
        <v>3.3000000000000002E-2</v>
      </c>
      <c r="E1424">
        <v>0.33001000000000003</v>
      </c>
      <c r="F1424">
        <v>1.0000000000000001E-5</v>
      </c>
      <c r="G1424" s="142" t="s">
        <v>13</v>
      </c>
      <c r="H1424" s="142" t="s">
        <v>12</v>
      </c>
      <c r="I1424">
        <v>4.4999999999999998E-2</v>
      </c>
      <c r="J1424">
        <v>1.0000100000000001</v>
      </c>
      <c r="K1424" s="142" t="s">
        <v>10</v>
      </c>
      <c r="L1424">
        <v>2.4E-2</v>
      </c>
      <c r="M1424">
        <v>0.47</v>
      </c>
      <c r="N1424">
        <v>2.3285E-2</v>
      </c>
      <c r="O1424">
        <v>0.47091</v>
      </c>
    </row>
    <row r="1425" spans="1:15" x14ac:dyDescent="0.25">
      <c r="A1425" s="142" t="s">
        <v>1584</v>
      </c>
      <c r="B1425" s="142" t="s">
        <v>51</v>
      </c>
      <c r="C1425" s="142" t="s">
        <v>44</v>
      </c>
      <c r="D1425">
        <v>3.3000000000000002E-2</v>
      </c>
      <c r="E1425">
        <v>0.33001000000000003</v>
      </c>
      <c r="F1425">
        <v>1.0000000000000001E-5</v>
      </c>
      <c r="G1425" s="142" t="s">
        <v>13</v>
      </c>
      <c r="H1425" s="142" t="s">
        <v>12</v>
      </c>
      <c r="I1425">
        <v>1</v>
      </c>
      <c r="J1425">
        <v>5.01</v>
      </c>
      <c r="K1425" s="142" t="s">
        <v>10</v>
      </c>
      <c r="L1425">
        <v>5.8000000000000003E-2</v>
      </c>
      <c r="M1425">
        <v>1.2</v>
      </c>
      <c r="N1425">
        <v>5.7825000000000001E-2</v>
      </c>
      <c r="O1425">
        <v>1.1583000000000001</v>
      </c>
    </row>
    <row r="1426" spans="1:15" x14ac:dyDescent="0.25">
      <c r="A1426" s="142" t="s">
        <v>1788</v>
      </c>
      <c r="B1426" s="142" t="s">
        <v>51</v>
      </c>
      <c r="C1426" s="142" t="s">
        <v>44</v>
      </c>
      <c r="D1426">
        <v>3.3000000000000002E-2</v>
      </c>
      <c r="E1426">
        <v>0.33001000000000003</v>
      </c>
      <c r="F1426">
        <v>1.0000000000000001E-5</v>
      </c>
      <c r="G1426" s="142" t="s">
        <v>13</v>
      </c>
      <c r="H1426" s="142" t="s">
        <v>12</v>
      </c>
      <c r="I1426">
        <v>5</v>
      </c>
      <c r="J1426">
        <v>10.01</v>
      </c>
      <c r="K1426" s="142" t="s">
        <v>10</v>
      </c>
      <c r="L1426">
        <v>0.12</v>
      </c>
      <c r="M1426">
        <v>2.2999999999999998</v>
      </c>
      <c r="N1426">
        <v>0.11552</v>
      </c>
      <c r="O1426">
        <v>2.3111999999999999</v>
      </c>
    </row>
    <row r="1427" spans="1:15" x14ac:dyDescent="0.25">
      <c r="A1427" s="142" t="s">
        <v>1585</v>
      </c>
      <c r="B1427" s="142" t="s">
        <v>51</v>
      </c>
      <c r="C1427" s="142" t="s">
        <v>44</v>
      </c>
      <c r="D1427">
        <v>3.3000000000000002E-2</v>
      </c>
      <c r="E1427">
        <v>0.33001000000000003</v>
      </c>
      <c r="F1427">
        <v>1.0000000000000001E-5</v>
      </c>
      <c r="G1427" s="142" t="s">
        <v>13</v>
      </c>
      <c r="H1427" s="142" t="s">
        <v>12</v>
      </c>
      <c r="I1427">
        <v>10</v>
      </c>
      <c r="J1427">
        <v>30</v>
      </c>
      <c r="K1427" s="142" t="s">
        <v>10</v>
      </c>
      <c r="L1427">
        <v>0.24</v>
      </c>
      <c r="M1427">
        <v>4.5999999999999996</v>
      </c>
      <c r="N1427">
        <v>0.23089999999999999</v>
      </c>
      <c r="O1427">
        <v>4.6218000000000004</v>
      </c>
    </row>
    <row r="1428" spans="1:15" x14ac:dyDescent="0.25">
      <c r="A1428" s="142" t="s">
        <v>1587</v>
      </c>
      <c r="B1428" s="142" t="s">
        <v>51</v>
      </c>
      <c r="C1428" s="142" t="s">
        <v>44</v>
      </c>
      <c r="D1428">
        <v>3.3000000000000002E-2</v>
      </c>
      <c r="E1428">
        <v>0.33001000000000003</v>
      </c>
      <c r="F1428">
        <v>1.0000000000000001E-5</v>
      </c>
      <c r="G1428" s="142" t="s">
        <v>13</v>
      </c>
      <c r="H1428" s="142" t="s">
        <v>12</v>
      </c>
      <c r="I1428">
        <v>30</v>
      </c>
      <c r="J1428">
        <v>30.01</v>
      </c>
      <c r="K1428" s="142" t="s">
        <v>10</v>
      </c>
      <c r="L1428">
        <v>0.24</v>
      </c>
      <c r="M1428">
        <v>4.5999999999999996</v>
      </c>
      <c r="N1428">
        <v>0.23089999999999999</v>
      </c>
      <c r="O1428">
        <v>4.6218000000000004</v>
      </c>
    </row>
    <row r="1429" spans="1:15" x14ac:dyDescent="0.25">
      <c r="A1429" s="142" t="s">
        <v>1605</v>
      </c>
      <c r="B1429" s="142" t="s">
        <v>51</v>
      </c>
      <c r="C1429" s="142" t="s">
        <v>44</v>
      </c>
      <c r="D1429">
        <v>0.33</v>
      </c>
      <c r="E1429">
        <v>1.1000099999999999</v>
      </c>
      <c r="F1429">
        <v>1.0000000000000001E-5</v>
      </c>
      <c r="G1429" s="142" t="s">
        <v>13</v>
      </c>
      <c r="H1429" s="142" t="s">
        <v>12</v>
      </c>
      <c r="I1429">
        <v>0.01</v>
      </c>
      <c r="J1429">
        <v>4.5010000000000001E-2</v>
      </c>
      <c r="K1429" s="142" t="s">
        <v>10</v>
      </c>
      <c r="L1429">
        <v>0.12</v>
      </c>
      <c r="M1429">
        <v>2.1</v>
      </c>
      <c r="N1429">
        <v>0.11617</v>
      </c>
      <c r="O1429">
        <v>2.0783999999999998</v>
      </c>
    </row>
    <row r="1430" spans="1:15" x14ac:dyDescent="0.25">
      <c r="A1430" s="142" t="s">
        <v>1607</v>
      </c>
      <c r="B1430" s="142" t="s">
        <v>51</v>
      </c>
      <c r="C1430" s="142" t="s">
        <v>44</v>
      </c>
      <c r="D1430">
        <v>0.33</v>
      </c>
      <c r="E1430">
        <v>1.1000099999999999</v>
      </c>
      <c r="F1430">
        <v>1.0000000000000001E-5</v>
      </c>
      <c r="G1430" s="142" t="s">
        <v>13</v>
      </c>
      <c r="H1430" s="142" t="s">
        <v>12</v>
      </c>
      <c r="I1430">
        <v>4.4999999999999998E-2</v>
      </c>
      <c r="J1430">
        <v>1.0000100000000001</v>
      </c>
      <c r="K1430" s="142" t="s">
        <v>10</v>
      </c>
      <c r="L1430">
        <v>0.12</v>
      </c>
      <c r="M1430">
        <v>0.57999999999999996</v>
      </c>
      <c r="N1430">
        <v>0.11734</v>
      </c>
      <c r="O1430">
        <v>0.57738999999999996</v>
      </c>
    </row>
    <row r="1431" spans="1:15" x14ac:dyDescent="0.25">
      <c r="A1431" s="142" t="s">
        <v>1606</v>
      </c>
      <c r="B1431" s="142" t="s">
        <v>51</v>
      </c>
      <c r="C1431" s="142" t="s">
        <v>44</v>
      </c>
      <c r="D1431">
        <v>0.33</v>
      </c>
      <c r="E1431">
        <v>1.1000099999999999</v>
      </c>
      <c r="F1431">
        <v>1.0000000000000001E-5</v>
      </c>
      <c r="G1431" s="142" t="s">
        <v>13</v>
      </c>
      <c r="H1431" s="142" t="s">
        <v>12</v>
      </c>
      <c r="I1431">
        <v>1</v>
      </c>
      <c r="J1431">
        <v>5.01</v>
      </c>
      <c r="K1431" s="142" t="s">
        <v>10</v>
      </c>
      <c r="L1431">
        <v>1.2</v>
      </c>
      <c r="M1431">
        <v>6.9</v>
      </c>
      <c r="N1431">
        <v>1.1549</v>
      </c>
      <c r="O1431">
        <v>6.9282000000000004</v>
      </c>
    </row>
    <row r="1432" spans="1:15" x14ac:dyDescent="0.25">
      <c r="A1432" s="142" t="s">
        <v>1794</v>
      </c>
      <c r="B1432" s="142" t="s">
        <v>51</v>
      </c>
      <c r="C1432" s="142" t="s">
        <v>44</v>
      </c>
      <c r="D1432">
        <v>0.33</v>
      </c>
      <c r="E1432">
        <v>1.1000099999999999</v>
      </c>
      <c r="F1432">
        <v>1.0000000000000001E-5</v>
      </c>
      <c r="G1432" s="142" t="s">
        <v>13</v>
      </c>
      <c r="H1432" s="142" t="s">
        <v>12</v>
      </c>
      <c r="I1432">
        <v>5</v>
      </c>
      <c r="J1432">
        <v>10</v>
      </c>
      <c r="K1432" s="142" t="s">
        <v>10</v>
      </c>
      <c r="L1432">
        <v>5.8</v>
      </c>
      <c r="M1432">
        <v>29</v>
      </c>
      <c r="N1432">
        <v>5.7733999999999996</v>
      </c>
      <c r="O1432">
        <v>28.867999999999999</v>
      </c>
    </row>
    <row r="1433" spans="1:15" x14ac:dyDescent="0.25">
      <c r="A1433" s="142" t="s">
        <v>1608</v>
      </c>
      <c r="B1433" s="142" t="s">
        <v>51</v>
      </c>
      <c r="C1433" s="142" t="s">
        <v>44</v>
      </c>
      <c r="D1433">
        <v>0.33</v>
      </c>
      <c r="E1433">
        <v>1.1000099999999999</v>
      </c>
      <c r="F1433">
        <v>1.0000000000000001E-5</v>
      </c>
      <c r="G1433" s="142" t="s">
        <v>13</v>
      </c>
      <c r="H1433" s="142" t="s">
        <v>12</v>
      </c>
      <c r="I1433">
        <v>10</v>
      </c>
      <c r="J1433">
        <v>10.01</v>
      </c>
      <c r="K1433" s="142" t="s">
        <v>10</v>
      </c>
      <c r="L1433">
        <v>5.8</v>
      </c>
      <c r="M1433">
        <v>29</v>
      </c>
      <c r="N1433">
        <v>5.7733999999999996</v>
      </c>
      <c r="O1433">
        <v>28.867999999999999</v>
      </c>
    </row>
    <row r="1434" spans="1:15" x14ac:dyDescent="0.25">
      <c r="A1434" s="142" t="s">
        <v>1626</v>
      </c>
      <c r="B1434" s="142" t="s">
        <v>51</v>
      </c>
      <c r="C1434" s="142" t="s">
        <v>44</v>
      </c>
      <c r="D1434">
        <v>1.1000000000000001</v>
      </c>
      <c r="E1434">
        <v>3.0009999999999999</v>
      </c>
      <c r="F1434">
        <v>1.0000000000000001E-5</v>
      </c>
      <c r="G1434" s="142" t="s">
        <v>13</v>
      </c>
      <c r="H1434" s="142" t="s">
        <v>12</v>
      </c>
      <c r="I1434">
        <v>0.01</v>
      </c>
      <c r="J1434">
        <v>4.5010000000000001E-2</v>
      </c>
      <c r="K1434" s="142" t="s">
        <v>10</v>
      </c>
      <c r="L1434">
        <v>0.12</v>
      </c>
      <c r="M1434">
        <v>2.1</v>
      </c>
      <c r="N1434">
        <v>0.11589000000000001</v>
      </c>
      <c r="O1434">
        <v>2.0787</v>
      </c>
    </row>
    <row r="1435" spans="1:15" x14ac:dyDescent="0.25">
      <c r="A1435" s="142" t="s">
        <v>1623</v>
      </c>
      <c r="B1435" s="142" t="s">
        <v>51</v>
      </c>
      <c r="C1435" s="142" t="s">
        <v>44</v>
      </c>
      <c r="D1435">
        <v>1.1000000000000001</v>
      </c>
      <c r="E1435">
        <v>3.0009999999999999</v>
      </c>
      <c r="F1435">
        <v>1.0000000000000001E-5</v>
      </c>
      <c r="G1435" s="142" t="s">
        <v>13</v>
      </c>
      <c r="H1435" s="142" t="s">
        <v>12</v>
      </c>
      <c r="I1435">
        <v>4.4999999999999998E-2</v>
      </c>
      <c r="J1435">
        <v>1.0000100000000001</v>
      </c>
      <c r="K1435" s="142" t="s">
        <v>10</v>
      </c>
      <c r="L1435">
        <v>0.13</v>
      </c>
      <c r="M1435">
        <v>0.69</v>
      </c>
      <c r="N1435">
        <v>0.11619</v>
      </c>
      <c r="O1435">
        <v>0.69369000000000003</v>
      </c>
    </row>
    <row r="1436" spans="1:15" x14ac:dyDescent="0.25">
      <c r="A1436" s="142" t="s">
        <v>1802</v>
      </c>
      <c r="B1436" s="142" t="s">
        <v>51</v>
      </c>
      <c r="C1436" s="142" t="s">
        <v>44</v>
      </c>
      <c r="D1436">
        <v>1.1000000000000001</v>
      </c>
      <c r="E1436">
        <v>3.0009999999999999</v>
      </c>
      <c r="F1436">
        <v>1.0000000000000001E-5</v>
      </c>
      <c r="G1436" s="142" t="s">
        <v>13</v>
      </c>
      <c r="H1436" s="142" t="s">
        <v>12</v>
      </c>
      <c r="I1436">
        <v>1</v>
      </c>
      <c r="J1436">
        <v>5.01</v>
      </c>
      <c r="K1436" s="142" t="s">
        <v>10</v>
      </c>
      <c r="L1436">
        <v>1.3</v>
      </c>
      <c r="M1436">
        <v>6.9</v>
      </c>
      <c r="N1436">
        <v>1.1548</v>
      </c>
      <c r="O1436">
        <v>6.9283000000000001</v>
      </c>
    </row>
    <row r="1437" spans="1:15" x14ac:dyDescent="0.25">
      <c r="A1437" s="142" t="s">
        <v>1624</v>
      </c>
      <c r="B1437" s="142" t="s">
        <v>51</v>
      </c>
      <c r="C1437" s="142" t="s">
        <v>44</v>
      </c>
      <c r="D1437">
        <v>1.1000000000000001</v>
      </c>
      <c r="E1437">
        <v>3.0009999999999999</v>
      </c>
      <c r="F1437">
        <v>1.0000000000000001E-5</v>
      </c>
      <c r="G1437" s="142" t="s">
        <v>13</v>
      </c>
      <c r="H1437" s="142" t="s">
        <v>12</v>
      </c>
      <c r="I1437">
        <v>5</v>
      </c>
      <c r="J1437">
        <v>10</v>
      </c>
      <c r="K1437" s="142" t="s">
        <v>10</v>
      </c>
      <c r="L1437">
        <v>5.8</v>
      </c>
      <c r="M1437">
        <v>29</v>
      </c>
      <c r="N1437">
        <v>5.7729999999999997</v>
      </c>
      <c r="O1437">
        <v>28.867999999999999</v>
      </c>
    </row>
    <row r="1438" spans="1:15" x14ac:dyDescent="0.25">
      <c r="A1438" s="142" t="s">
        <v>1625</v>
      </c>
      <c r="B1438" s="142" t="s">
        <v>51</v>
      </c>
      <c r="C1438" s="142" t="s">
        <v>44</v>
      </c>
      <c r="D1438">
        <v>1.1000000000000001</v>
      </c>
      <c r="E1438">
        <v>3.0009999999999999</v>
      </c>
      <c r="F1438">
        <v>1.0000000000000001E-5</v>
      </c>
      <c r="G1438" s="142" t="s">
        <v>13</v>
      </c>
      <c r="H1438" s="142" t="s">
        <v>12</v>
      </c>
      <c r="I1438">
        <v>10</v>
      </c>
      <c r="J1438">
        <v>10.01</v>
      </c>
      <c r="K1438" s="142" t="s">
        <v>10</v>
      </c>
      <c r="L1438">
        <v>5.8</v>
      </c>
      <c r="M1438">
        <v>29</v>
      </c>
      <c r="N1438">
        <v>5.7729999999999997</v>
      </c>
      <c r="O1438">
        <v>28.867999999999999</v>
      </c>
    </row>
    <row r="1439" spans="1:15" x14ac:dyDescent="0.25">
      <c r="A1439" s="142" t="s">
        <v>1499</v>
      </c>
      <c r="B1439" s="142" t="s">
        <v>51</v>
      </c>
      <c r="C1439" s="142" t="s">
        <v>44</v>
      </c>
      <c r="D1439">
        <v>0</v>
      </c>
      <c r="E1439">
        <v>3.3000999999999999E-4</v>
      </c>
      <c r="F1439">
        <v>1E-4</v>
      </c>
      <c r="G1439" s="142" t="s">
        <v>13</v>
      </c>
      <c r="H1439" s="142" t="s">
        <v>11</v>
      </c>
      <c r="I1439">
        <v>0.01</v>
      </c>
      <c r="J1439">
        <v>2.001E-2</v>
      </c>
      <c r="K1439" s="142" t="s">
        <v>10</v>
      </c>
      <c r="L1439">
        <v>58.024999999999999</v>
      </c>
      <c r="M1439">
        <v>-857.45</v>
      </c>
      <c r="N1439">
        <v>58.024999999999999</v>
      </c>
      <c r="O1439">
        <v>-857.67</v>
      </c>
    </row>
    <row r="1440" spans="1:15" x14ac:dyDescent="0.25">
      <c r="A1440" s="142" t="s">
        <v>1498</v>
      </c>
      <c r="B1440" s="142" t="s">
        <v>51</v>
      </c>
      <c r="C1440" s="142" t="s">
        <v>44</v>
      </c>
      <c r="D1440">
        <v>0</v>
      </c>
      <c r="E1440">
        <v>3.3000999999999999E-4</v>
      </c>
      <c r="F1440">
        <v>1E-4</v>
      </c>
      <c r="G1440" s="142" t="s">
        <v>13</v>
      </c>
      <c r="H1440" s="142" t="s">
        <v>11</v>
      </c>
      <c r="I1440">
        <v>0.02</v>
      </c>
      <c r="J1440">
        <v>4.5010000000000001E-2</v>
      </c>
      <c r="K1440" s="142" t="s">
        <v>10</v>
      </c>
      <c r="L1440">
        <v>57.734999999999999</v>
      </c>
      <c r="M1440">
        <v>13.015000000000001</v>
      </c>
      <c r="N1440">
        <v>57.734999999999999</v>
      </c>
      <c r="O1440">
        <v>12.795</v>
      </c>
    </row>
    <row r="1441" spans="1:15" x14ac:dyDescent="0.25">
      <c r="A1441" s="142" t="s">
        <v>1500</v>
      </c>
      <c r="B1441" s="142" t="s">
        <v>51</v>
      </c>
      <c r="C1441" s="142" t="s">
        <v>44</v>
      </c>
      <c r="D1441">
        <v>0</v>
      </c>
      <c r="E1441">
        <v>3.3000999999999999E-4</v>
      </c>
      <c r="F1441">
        <v>1E-4</v>
      </c>
      <c r="G1441" s="142" t="s">
        <v>13</v>
      </c>
      <c r="H1441" s="142" t="s">
        <v>11</v>
      </c>
      <c r="I1441">
        <v>4.4999999999999998E-2</v>
      </c>
      <c r="J1441">
        <v>1.0000100000000001</v>
      </c>
      <c r="K1441" s="142" t="s">
        <v>10</v>
      </c>
      <c r="L1441">
        <v>57.735999999999997</v>
      </c>
      <c r="M1441">
        <v>9.5875000000000004</v>
      </c>
      <c r="N1441">
        <v>57.734999999999999</v>
      </c>
      <c r="O1441">
        <v>9.3679000000000006</v>
      </c>
    </row>
    <row r="1442" spans="1:15" x14ac:dyDescent="0.25">
      <c r="A1442" s="142" t="s">
        <v>1501</v>
      </c>
      <c r="B1442" s="142" t="s">
        <v>51</v>
      </c>
      <c r="C1442" s="142" t="s">
        <v>44</v>
      </c>
      <c r="D1442">
        <v>0</v>
      </c>
      <c r="E1442">
        <v>3.3000999999999999E-4</v>
      </c>
      <c r="F1442">
        <v>1E-4</v>
      </c>
      <c r="G1442" s="142" t="s">
        <v>13</v>
      </c>
      <c r="H1442" s="142" t="s">
        <v>11</v>
      </c>
      <c r="I1442">
        <v>1</v>
      </c>
      <c r="J1442">
        <v>5.01</v>
      </c>
      <c r="K1442" s="142" t="s">
        <v>10</v>
      </c>
      <c r="L1442">
        <v>57.734999999999999</v>
      </c>
      <c r="M1442">
        <v>47.917999999999999</v>
      </c>
      <c r="N1442">
        <v>57.734999999999999</v>
      </c>
      <c r="O1442">
        <v>47.698999999999998</v>
      </c>
    </row>
    <row r="1443" spans="1:15" x14ac:dyDescent="0.25">
      <c r="A1443" s="142" t="s">
        <v>1502</v>
      </c>
      <c r="B1443" s="142" t="s">
        <v>51</v>
      </c>
      <c r="C1443" s="142" t="s">
        <v>44</v>
      </c>
      <c r="D1443">
        <v>0</v>
      </c>
      <c r="E1443">
        <v>3.3000999999999999E-4</v>
      </c>
      <c r="F1443">
        <v>1E-4</v>
      </c>
      <c r="G1443" s="142" t="s">
        <v>13</v>
      </c>
      <c r="H1443" s="142" t="s">
        <v>11</v>
      </c>
      <c r="I1443">
        <v>5</v>
      </c>
      <c r="J1443">
        <v>10.01</v>
      </c>
      <c r="K1443" s="142" t="s">
        <v>10</v>
      </c>
      <c r="L1443">
        <v>57.728999999999999</v>
      </c>
      <c r="M1443">
        <v>302.48</v>
      </c>
      <c r="N1443">
        <v>57.728999999999999</v>
      </c>
      <c r="O1443">
        <v>302.01</v>
      </c>
    </row>
    <row r="1444" spans="1:15" x14ac:dyDescent="0.25">
      <c r="A1444" s="142" t="s">
        <v>1503</v>
      </c>
      <c r="B1444" s="142" t="s">
        <v>51</v>
      </c>
      <c r="C1444" s="142" t="s">
        <v>44</v>
      </c>
      <c r="D1444">
        <v>0</v>
      </c>
      <c r="E1444">
        <v>3.3000999999999999E-4</v>
      </c>
      <c r="F1444">
        <v>1E-4</v>
      </c>
      <c r="G1444" s="142" t="s">
        <v>13</v>
      </c>
      <c r="H1444" s="142" t="s">
        <v>11</v>
      </c>
      <c r="I1444">
        <v>10</v>
      </c>
      <c r="J1444">
        <v>30</v>
      </c>
      <c r="K1444" s="142" t="s">
        <v>10</v>
      </c>
      <c r="L1444">
        <v>57.709000000000003</v>
      </c>
      <c r="M1444">
        <v>1205.5</v>
      </c>
      <c r="N1444">
        <v>57.709000000000003</v>
      </c>
      <c r="O1444">
        <v>1205.0999999999999</v>
      </c>
    </row>
    <row r="1445" spans="1:15" x14ac:dyDescent="0.25">
      <c r="A1445" s="142" t="s">
        <v>1763</v>
      </c>
      <c r="B1445" s="142" t="s">
        <v>51</v>
      </c>
      <c r="C1445" s="142" t="s">
        <v>44</v>
      </c>
      <c r="D1445">
        <v>0</v>
      </c>
      <c r="E1445">
        <v>3.3000999999999999E-4</v>
      </c>
      <c r="F1445">
        <v>1E-4</v>
      </c>
      <c r="G1445" s="142" t="s">
        <v>13</v>
      </c>
      <c r="H1445" s="142" t="s">
        <v>11</v>
      </c>
      <c r="I1445">
        <v>30</v>
      </c>
      <c r="J1445">
        <v>30.1</v>
      </c>
      <c r="K1445" s="142" t="s">
        <v>10</v>
      </c>
      <c r="L1445">
        <v>57.709000000000003</v>
      </c>
      <c r="M1445">
        <v>1205.5</v>
      </c>
      <c r="N1445">
        <v>57.709000000000003</v>
      </c>
      <c r="O1445">
        <v>1205.0999999999999</v>
      </c>
    </row>
    <row r="1446" spans="1:15" x14ac:dyDescent="0.25">
      <c r="A1446" s="142" t="s">
        <v>1553</v>
      </c>
      <c r="B1446" s="142" t="s">
        <v>51</v>
      </c>
      <c r="C1446" s="142" t="s">
        <v>44</v>
      </c>
      <c r="D1446">
        <v>3.3E-4</v>
      </c>
      <c r="E1446">
        <v>3.3000999999999998E-3</v>
      </c>
      <c r="F1446">
        <v>1E-4</v>
      </c>
      <c r="G1446" s="142" t="s">
        <v>13</v>
      </c>
      <c r="H1446" s="142" t="s">
        <v>11</v>
      </c>
      <c r="I1446">
        <v>0.01</v>
      </c>
      <c r="J1446">
        <v>2.001E-2</v>
      </c>
      <c r="K1446" s="142" t="s">
        <v>10</v>
      </c>
      <c r="L1446">
        <v>57.686</v>
      </c>
      <c r="M1446">
        <v>174.69</v>
      </c>
      <c r="N1446">
        <v>57.685000000000002</v>
      </c>
      <c r="O1446">
        <v>174.66</v>
      </c>
    </row>
    <row r="1447" spans="1:15" x14ac:dyDescent="0.25">
      <c r="A1447" s="142" t="s">
        <v>1551</v>
      </c>
      <c r="B1447" s="142" t="s">
        <v>51</v>
      </c>
      <c r="C1447" s="142" t="s">
        <v>44</v>
      </c>
      <c r="D1447">
        <v>3.3E-4</v>
      </c>
      <c r="E1447">
        <v>3.3000999999999998E-3</v>
      </c>
      <c r="F1447">
        <v>1E-4</v>
      </c>
      <c r="G1447" s="142" t="s">
        <v>13</v>
      </c>
      <c r="H1447" s="142" t="s">
        <v>11</v>
      </c>
      <c r="I1447">
        <v>0.02</v>
      </c>
      <c r="J1447">
        <v>4.5010000000000001E-2</v>
      </c>
      <c r="K1447" s="142" t="s">
        <v>10</v>
      </c>
      <c r="L1447">
        <v>57.716000000000001</v>
      </c>
      <c r="M1447">
        <v>69.766000000000005</v>
      </c>
      <c r="N1447">
        <v>57.716000000000001</v>
      </c>
      <c r="O1447">
        <v>69.734999999999999</v>
      </c>
    </row>
    <row r="1448" spans="1:15" x14ac:dyDescent="0.25">
      <c r="A1448" s="142" t="s">
        <v>1550</v>
      </c>
      <c r="B1448" s="142" t="s">
        <v>51</v>
      </c>
      <c r="C1448" s="142" t="s">
        <v>44</v>
      </c>
      <c r="D1448">
        <v>3.3E-4</v>
      </c>
      <c r="E1448">
        <v>3.3000999999999998E-3</v>
      </c>
      <c r="F1448">
        <v>1E-4</v>
      </c>
      <c r="G1448" s="142" t="s">
        <v>13</v>
      </c>
      <c r="H1448" s="142" t="s">
        <v>11</v>
      </c>
      <c r="I1448">
        <v>4.4999999999999998E-2</v>
      </c>
      <c r="J1448">
        <v>1.0000100000000001</v>
      </c>
      <c r="K1448" s="142" t="s">
        <v>10</v>
      </c>
      <c r="L1448">
        <v>57.722999999999999</v>
      </c>
      <c r="M1448">
        <v>45.396999999999998</v>
      </c>
      <c r="N1448">
        <v>57.722999999999999</v>
      </c>
      <c r="O1448">
        <v>45.366</v>
      </c>
    </row>
    <row r="1449" spans="1:15" x14ac:dyDescent="0.25">
      <c r="A1449" s="142" t="s">
        <v>1552</v>
      </c>
      <c r="B1449" s="142" t="s">
        <v>51</v>
      </c>
      <c r="C1449" s="142" t="s">
        <v>44</v>
      </c>
      <c r="D1449">
        <v>3.3E-4</v>
      </c>
      <c r="E1449">
        <v>3.3000999999999998E-3</v>
      </c>
      <c r="F1449">
        <v>1E-4</v>
      </c>
      <c r="G1449" s="142" t="s">
        <v>13</v>
      </c>
      <c r="H1449" s="142" t="s">
        <v>11</v>
      </c>
      <c r="I1449">
        <v>1</v>
      </c>
      <c r="J1449">
        <v>5.01</v>
      </c>
      <c r="K1449" s="142" t="s">
        <v>10</v>
      </c>
      <c r="L1449">
        <v>57.686</v>
      </c>
      <c r="M1449">
        <v>176.15</v>
      </c>
      <c r="N1449">
        <v>57.686</v>
      </c>
      <c r="O1449">
        <v>176.12</v>
      </c>
    </row>
    <row r="1450" spans="1:15" x14ac:dyDescent="0.25">
      <c r="A1450" s="142" t="s">
        <v>1549</v>
      </c>
      <c r="B1450" s="142" t="s">
        <v>51</v>
      </c>
      <c r="C1450" s="142" t="s">
        <v>44</v>
      </c>
      <c r="D1450">
        <v>3.3E-4</v>
      </c>
      <c r="E1450">
        <v>3.3000999999999998E-3</v>
      </c>
      <c r="F1450">
        <v>1E-4</v>
      </c>
      <c r="G1450" s="142" t="s">
        <v>13</v>
      </c>
      <c r="H1450" s="142" t="s">
        <v>11</v>
      </c>
      <c r="I1450">
        <v>5</v>
      </c>
      <c r="J1450">
        <v>10.01</v>
      </c>
      <c r="K1450" s="142" t="s">
        <v>10</v>
      </c>
      <c r="L1450">
        <v>57.432000000000002</v>
      </c>
      <c r="M1450">
        <v>1053.3</v>
      </c>
      <c r="N1450">
        <v>57.432000000000002</v>
      </c>
      <c r="O1450">
        <v>1053.2</v>
      </c>
    </row>
    <row r="1451" spans="1:15" x14ac:dyDescent="0.25">
      <c r="A1451" s="142" t="s">
        <v>1771</v>
      </c>
      <c r="B1451" s="142" t="s">
        <v>51</v>
      </c>
      <c r="C1451" s="142" t="s">
        <v>44</v>
      </c>
      <c r="D1451">
        <v>3.3E-4</v>
      </c>
      <c r="E1451">
        <v>3.3000999999999998E-3</v>
      </c>
      <c r="F1451">
        <v>1E-4</v>
      </c>
      <c r="G1451" s="142" t="s">
        <v>13</v>
      </c>
      <c r="H1451" s="142" t="s">
        <v>11</v>
      </c>
      <c r="I1451">
        <v>10</v>
      </c>
      <c r="J1451">
        <v>30</v>
      </c>
      <c r="K1451" s="142" t="s">
        <v>10</v>
      </c>
      <c r="L1451">
        <v>56.616999999999997</v>
      </c>
      <c r="M1451">
        <v>3922.7</v>
      </c>
      <c r="N1451">
        <v>56.616</v>
      </c>
      <c r="O1451">
        <v>3922.6</v>
      </c>
    </row>
    <row r="1452" spans="1:15" x14ac:dyDescent="0.25">
      <c r="A1452" s="142" t="s">
        <v>1774</v>
      </c>
      <c r="B1452" s="142" t="s">
        <v>51</v>
      </c>
      <c r="C1452" s="142" t="s">
        <v>44</v>
      </c>
      <c r="D1452">
        <v>3.3E-4</v>
      </c>
      <c r="E1452">
        <v>3.3000999999999998E-3</v>
      </c>
      <c r="F1452">
        <v>1E-4</v>
      </c>
      <c r="G1452" s="142" t="s">
        <v>13</v>
      </c>
      <c r="H1452" s="142" t="s">
        <v>11</v>
      </c>
      <c r="I1452">
        <v>30</v>
      </c>
      <c r="J1452">
        <v>30.1</v>
      </c>
      <c r="K1452" s="142" t="s">
        <v>10</v>
      </c>
      <c r="L1452">
        <v>56.616999999999997</v>
      </c>
      <c r="M1452">
        <v>3922.7</v>
      </c>
      <c r="N1452">
        <v>56.616</v>
      </c>
      <c r="O1452">
        <v>3922.6</v>
      </c>
    </row>
    <row r="1453" spans="1:15" x14ac:dyDescent="0.25">
      <c r="A1453" s="142" t="s">
        <v>1775</v>
      </c>
      <c r="B1453" s="142" t="s">
        <v>51</v>
      </c>
      <c r="C1453" s="142" t="s">
        <v>44</v>
      </c>
      <c r="D1453">
        <v>3.3E-3</v>
      </c>
      <c r="E1453">
        <v>3.3001000000000003E-2</v>
      </c>
      <c r="F1453">
        <v>1E-4</v>
      </c>
      <c r="G1453" s="142" t="s">
        <v>13</v>
      </c>
      <c r="H1453" s="142" t="s">
        <v>11</v>
      </c>
      <c r="I1453">
        <v>0.01</v>
      </c>
      <c r="J1453">
        <v>2.001E-2</v>
      </c>
      <c r="K1453" s="142" t="s">
        <v>10</v>
      </c>
      <c r="L1453">
        <v>576.95000000000005</v>
      </c>
      <c r="M1453">
        <v>144.81</v>
      </c>
      <c r="N1453">
        <v>576.95000000000005</v>
      </c>
      <c r="O1453">
        <v>144.75</v>
      </c>
    </row>
    <row r="1454" spans="1:15" x14ac:dyDescent="0.25">
      <c r="A1454" s="142" t="s">
        <v>1778</v>
      </c>
      <c r="B1454" s="142" t="s">
        <v>51</v>
      </c>
      <c r="C1454" s="142" t="s">
        <v>44</v>
      </c>
      <c r="D1454">
        <v>3.3E-3</v>
      </c>
      <c r="E1454">
        <v>3.3001000000000003E-2</v>
      </c>
      <c r="F1454">
        <v>1E-4</v>
      </c>
      <c r="G1454" s="142" t="s">
        <v>13</v>
      </c>
      <c r="H1454" s="142" t="s">
        <v>11</v>
      </c>
      <c r="I1454">
        <v>0.02</v>
      </c>
      <c r="J1454">
        <v>4.5010000000000001E-2</v>
      </c>
      <c r="K1454" s="142" t="s">
        <v>10</v>
      </c>
      <c r="L1454">
        <v>577.26</v>
      </c>
      <c r="M1454">
        <v>38.406999999999996</v>
      </c>
      <c r="N1454">
        <v>577.26</v>
      </c>
      <c r="O1454">
        <v>38.348999999999997</v>
      </c>
    </row>
    <row r="1455" spans="1:15" x14ac:dyDescent="0.25">
      <c r="A1455" s="142" t="s">
        <v>1574</v>
      </c>
      <c r="B1455" s="142" t="s">
        <v>51</v>
      </c>
      <c r="C1455" s="142" t="s">
        <v>44</v>
      </c>
      <c r="D1455">
        <v>3.3E-3</v>
      </c>
      <c r="E1455">
        <v>3.3001000000000003E-2</v>
      </c>
      <c r="F1455">
        <v>1E-4</v>
      </c>
      <c r="G1455" s="142" t="s">
        <v>13</v>
      </c>
      <c r="H1455" s="142" t="s">
        <v>11</v>
      </c>
      <c r="I1455">
        <v>4.4999999999999998E-2</v>
      </c>
      <c r="J1455">
        <v>1.0000100000000001</v>
      </c>
      <c r="K1455" s="142" t="s">
        <v>10</v>
      </c>
      <c r="L1455">
        <v>577.34</v>
      </c>
      <c r="M1455">
        <v>8.7265999999999995</v>
      </c>
      <c r="N1455">
        <v>577.34</v>
      </c>
      <c r="O1455">
        <v>8.6681000000000008</v>
      </c>
    </row>
    <row r="1456" spans="1:15" x14ac:dyDescent="0.25">
      <c r="A1456" s="142" t="s">
        <v>1571</v>
      </c>
      <c r="B1456" s="142" t="s">
        <v>51</v>
      </c>
      <c r="C1456" s="142" t="s">
        <v>44</v>
      </c>
      <c r="D1456">
        <v>3.3E-3</v>
      </c>
      <c r="E1456">
        <v>3.3001000000000003E-2</v>
      </c>
      <c r="F1456">
        <v>1E-4</v>
      </c>
      <c r="G1456" s="142" t="s">
        <v>13</v>
      </c>
      <c r="H1456" s="142" t="s">
        <v>11</v>
      </c>
      <c r="I1456">
        <v>1</v>
      </c>
      <c r="J1456">
        <v>5.01</v>
      </c>
      <c r="K1456" s="142" t="s">
        <v>10</v>
      </c>
      <c r="L1456">
        <v>577.28</v>
      </c>
      <c r="M1456">
        <v>30.67</v>
      </c>
      <c r="N1456">
        <v>577.28</v>
      </c>
      <c r="O1456">
        <v>30.611999999999998</v>
      </c>
    </row>
    <row r="1457" spans="1:15" x14ac:dyDescent="0.25">
      <c r="A1457" s="142" t="s">
        <v>1575</v>
      </c>
      <c r="B1457" s="142" t="s">
        <v>51</v>
      </c>
      <c r="C1457" s="142" t="s">
        <v>44</v>
      </c>
      <c r="D1457">
        <v>3.3E-3</v>
      </c>
      <c r="E1457">
        <v>3.3001000000000003E-2</v>
      </c>
      <c r="F1457">
        <v>1E-4</v>
      </c>
      <c r="G1457" s="142" t="s">
        <v>13</v>
      </c>
      <c r="H1457" s="142" t="s">
        <v>11</v>
      </c>
      <c r="I1457">
        <v>5</v>
      </c>
      <c r="J1457">
        <v>10.01</v>
      </c>
      <c r="K1457" s="142" t="s">
        <v>10</v>
      </c>
      <c r="L1457">
        <v>576.87</v>
      </c>
      <c r="M1457">
        <v>180.75</v>
      </c>
      <c r="N1457">
        <v>576.87</v>
      </c>
      <c r="O1457">
        <v>180.65</v>
      </c>
    </row>
    <row r="1458" spans="1:15" x14ac:dyDescent="0.25">
      <c r="A1458" s="142" t="s">
        <v>1572</v>
      </c>
      <c r="B1458" s="142" t="s">
        <v>51</v>
      </c>
      <c r="C1458" s="142" t="s">
        <v>44</v>
      </c>
      <c r="D1458">
        <v>3.3E-3</v>
      </c>
      <c r="E1458">
        <v>3.3001000000000003E-2</v>
      </c>
      <c r="F1458">
        <v>1E-4</v>
      </c>
      <c r="G1458" s="142" t="s">
        <v>13</v>
      </c>
      <c r="H1458" s="142" t="s">
        <v>11</v>
      </c>
      <c r="I1458">
        <v>10</v>
      </c>
      <c r="J1458">
        <v>30</v>
      </c>
      <c r="K1458" s="142" t="s">
        <v>10</v>
      </c>
      <c r="L1458">
        <v>575.41</v>
      </c>
      <c r="M1458">
        <v>695.3</v>
      </c>
      <c r="N1458">
        <v>575.4</v>
      </c>
      <c r="O1458">
        <v>695.06</v>
      </c>
    </row>
    <row r="1459" spans="1:15" x14ac:dyDescent="0.25">
      <c r="A1459" s="142" t="s">
        <v>1573</v>
      </c>
      <c r="B1459" s="142" t="s">
        <v>51</v>
      </c>
      <c r="C1459" s="142" t="s">
        <v>44</v>
      </c>
      <c r="D1459">
        <v>3.3E-3</v>
      </c>
      <c r="E1459">
        <v>3.3001000000000003E-2</v>
      </c>
      <c r="F1459">
        <v>1E-4</v>
      </c>
      <c r="G1459" s="142" t="s">
        <v>13</v>
      </c>
      <c r="H1459" s="142" t="s">
        <v>11</v>
      </c>
      <c r="I1459">
        <v>30</v>
      </c>
      <c r="J1459">
        <v>30.01</v>
      </c>
      <c r="K1459" s="142" t="s">
        <v>10</v>
      </c>
      <c r="L1459">
        <v>575.41</v>
      </c>
      <c r="M1459">
        <v>695.3</v>
      </c>
      <c r="N1459">
        <v>575.4</v>
      </c>
      <c r="O1459">
        <v>695.06</v>
      </c>
    </row>
    <row r="1460" spans="1:15" x14ac:dyDescent="0.25">
      <c r="A1460" s="142" t="s">
        <v>1592</v>
      </c>
      <c r="B1460" s="142" t="s">
        <v>51</v>
      </c>
      <c r="C1460" s="142" t="s">
        <v>44</v>
      </c>
      <c r="D1460">
        <v>3.3000000000000002E-2</v>
      </c>
      <c r="E1460">
        <v>0.33001000000000003</v>
      </c>
      <c r="F1460">
        <v>1E-4</v>
      </c>
      <c r="G1460" s="142" t="s">
        <v>13</v>
      </c>
      <c r="H1460" s="142" t="s">
        <v>12</v>
      </c>
      <c r="I1460">
        <v>0.01</v>
      </c>
      <c r="J1460">
        <v>2.001E-2</v>
      </c>
      <c r="K1460" s="142" t="s">
        <v>10</v>
      </c>
      <c r="L1460">
        <v>4.1051999999999998E-2</v>
      </c>
      <c r="M1460">
        <v>2.0453000000000001</v>
      </c>
      <c r="N1460">
        <v>4.1147999999999997E-2</v>
      </c>
      <c r="O1460">
        <v>2.0425</v>
      </c>
    </row>
    <row r="1461" spans="1:15" x14ac:dyDescent="0.25">
      <c r="A1461" s="142" t="s">
        <v>1785</v>
      </c>
      <c r="B1461" s="142" t="s">
        <v>51</v>
      </c>
      <c r="C1461" s="142" t="s">
        <v>44</v>
      </c>
      <c r="D1461">
        <v>3.3000000000000002E-2</v>
      </c>
      <c r="E1461">
        <v>0.33001000000000003</v>
      </c>
      <c r="F1461">
        <v>1E-4</v>
      </c>
      <c r="G1461" s="142" t="s">
        <v>13</v>
      </c>
      <c r="H1461" s="142" t="s">
        <v>12</v>
      </c>
      <c r="I1461">
        <v>0.02</v>
      </c>
      <c r="J1461">
        <v>4.5010000000000001E-2</v>
      </c>
      <c r="K1461" s="142" t="s">
        <v>10</v>
      </c>
      <c r="L1461">
        <v>4.9202999999999997E-2</v>
      </c>
      <c r="M1461">
        <v>0.97804000000000002</v>
      </c>
      <c r="N1461">
        <v>4.9192E-2</v>
      </c>
      <c r="O1461">
        <v>0.97804000000000002</v>
      </c>
    </row>
    <row r="1462" spans="1:15" x14ac:dyDescent="0.25">
      <c r="A1462" s="142" t="s">
        <v>1588</v>
      </c>
      <c r="B1462" s="142" t="s">
        <v>51</v>
      </c>
      <c r="C1462" s="142" t="s">
        <v>44</v>
      </c>
      <c r="D1462">
        <v>3.3000000000000002E-2</v>
      </c>
      <c r="E1462">
        <v>0.33001000000000003</v>
      </c>
      <c r="F1462">
        <v>1E-4</v>
      </c>
      <c r="G1462" s="142" t="s">
        <v>13</v>
      </c>
      <c r="H1462" s="142" t="s">
        <v>12</v>
      </c>
      <c r="I1462">
        <v>4.4999999999999998E-2</v>
      </c>
      <c r="J1462">
        <v>1.0000100000000001</v>
      </c>
      <c r="K1462" s="142" t="s">
        <v>10</v>
      </c>
      <c r="L1462">
        <v>5.6196999999999997E-2</v>
      </c>
      <c r="M1462">
        <v>0.39853</v>
      </c>
      <c r="N1462">
        <v>5.6184999999999999E-2</v>
      </c>
      <c r="O1462">
        <v>0.39850999999999998</v>
      </c>
    </row>
    <row r="1463" spans="1:15" x14ac:dyDescent="0.25">
      <c r="A1463" s="142" t="s">
        <v>1590</v>
      </c>
      <c r="B1463" s="142" t="s">
        <v>51</v>
      </c>
      <c r="C1463" s="142" t="s">
        <v>44</v>
      </c>
      <c r="D1463">
        <v>3.3000000000000002E-2</v>
      </c>
      <c r="E1463">
        <v>0.33001000000000003</v>
      </c>
      <c r="F1463">
        <v>1E-4</v>
      </c>
      <c r="G1463" s="142" t="s">
        <v>13</v>
      </c>
      <c r="H1463" s="142" t="s">
        <v>12</v>
      </c>
      <c r="I1463">
        <v>1</v>
      </c>
      <c r="J1463">
        <v>5.01</v>
      </c>
      <c r="K1463" s="142" t="s">
        <v>10</v>
      </c>
      <c r="L1463">
        <v>7.3934E-2</v>
      </c>
      <c r="M1463">
        <v>1.1516999999999999</v>
      </c>
      <c r="N1463">
        <v>7.5028999999999998E-2</v>
      </c>
      <c r="O1463">
        <v>1.1174999999999999</v>
      </c>
    </row>
    <row r="1464" spans="1:15" x14ac:dyDescent="0.25">
      <c r="A1464" s="142" t="s">
        <v>1591</v>
      </c>
      <c r="B1464" s="142" t="s">
        <v>51</v>
      </c>
      <c r="C1464" s="142" t="s">
        <v>44</v>
      </c>
      <c r="D1464">
        <v>3.3000000000000002E-2</v>
      </c>
      <c r="E1464">
        <v>0.33001000000000003</v>
      </c>
      <c r="F1464">
        <v>1E-4</v>
      </c>
      <c r="G1464" s="142" t="s">
        <v>13</v>
      </c>
      <c r="H1464" s="142" t="s">
        <v>12</v>
      </c>
      <c r="I1464">
        <v>5</v>
      </c>
      <c r="J1464">
        <v>10.01</v>
      </c>
      <c r="K1464" s="142" t="s">
        <v>10</v>
      </c>
      <c r="L1464">
        <v>0.12471</v>
      </c>
      <c r="M1464">
        <v>2.2890999999999999</v>
      </c>
      <c r="N1464">
        <v>0.12466000000000001</v>
      </c>
      <c r="O1464">
        <v>2.2892000000000001</v>
      </c>
    </row>
    <row r="1465" spans="1:15" x14ac:dyDescent="0.25">
      <c r="A1465" s="142" t="s">
        <v>1589</v>
      </c>
      <c r="B1465" s="142" t="s">
        <v>51</v>
      </c>
      <c r="C1465" s="142" t="s">
        <v>44</v>
      </c>
      <c r="D1465">
        <v>3.3000000000000002E-2</v>
      </c>
      <c r="E1465">
        <v>0.33001000000000003</v>
      </c>
      <c r="F1465">
        <v>1E-4</v>
      </c>
      <c r="G1465" s="142" t="s">
        <v>13</v>
      </c>
      <c r="H1465" s="142" t="s">
        <v>12</v>
      </c>
      <c r="I1465">
        <v>10</v>
      </c>
      <c r="J1465">
        <v>30</v>
      </c>
      <c r="K1465" s="142" t="s">
        <v>10</v>
      </c>
      <c r="L1465">
        <v>0.24</v>
      </c>
      <c r="M1465">
        <v>4.5999999999999996</v>
      </c>
      <c r="N1465">
        <v>0.23555999999999999</v>
      </c>
      <c r="O1465">
        <v>4.6105</v>
      </c>
    </row>
    <row r="1466" spans="1:15" x14ac:dyDescent="0.25">
      <c r="A1466" s="142" t="s">
        <v>1790</v>
      </c>
      <c r="B1466" s="142" t="s">
        <v>51</v>
      </c>
      <c r="C1466" s="142" t="s">
        <v>44</v>
      </c>
      <c r="D1466">
        <v>3.3000000000000002E-2</v>
      </c>
      <c r="E1466">
        <v>0.33001000000000003</v>
      </c>
      <c r="F1466">
        <v>1E-4</v>
      </c>
      <c r="G1466" s="142" t="s">
        <v>13</v>
      </c>
      <c r="H1466" s="142" t="s">
        <v>12</v>
      </c>
      <c r="I1466">
        <v>30</v>
      </c>
      <c r="J1466">
        <v>30.01</v>
      </c>
      <c r="K1466" s="142" t="s">
        <v>10</v>
      </c>
      <c r="L1466">
        <v>0.24</v>
      </c>
      <c r="M1466">
        <v>4.5999999999999996</v>
      </c>
      <c r="N1466">
        <v>0.23555999999999999</v>
      </c>
      <c r="O1466">
        <v>4.6105</v>
      </c>
    </row>
    <row r="1467" spans="1:15" x14ac:dyDescent="0.25">
      <c r="A1467" s="142" t="s">
        <v>1611</v>
      </c>
      <c r="B1467" s="142" t="s">
        <v>51</v>
      </c>
      <c r="C1467" s="142" t="s">
        <v>44</v>
      </c>
      <c r="D1467">
        <v>0.33</v>
      </c>
      <c r="E1467">
        <v>1.1000099999999999</v>
      </c>
      <c r="F1467">
        <v>1E-4</v>
      </c>
      <c r="G1467" s="142" t="s">
        <v>13</v>
      </c>
      <c r="H1467" s="142" t="s">
        <v>12</v>
      </c>
      <c r="I1467">
        <v>0.01</v>
      </c>
      <c r="J1467">
        <v>4.5010000000000001E-2</v>
      </c>
      <c r="K1467" s="142" t="s">
        <v>10</v>
      </c>
      <c r="L1467">
        <v>0.12</v>
      </c>
      <c r="M1467">
        <v>2.1</v>
      </c>
      <c r="N1467">
        <v>0.11882</v>
      </c>
      <c r="O1467">
        <v>2.0766</v>
      </c>
    </row>
    <row r="1468" spans="1:15" x14ac:dyDescent="0.25">
      <c r="A1468" s="142" t="s">
        <v>1793</v>
      </c>
      <c r="B1468" s="142" t="s">
        <v>51</v>
      </c>
      <c r="C1468" s="142" t="s">
        <v>44</v>
      </c>
      <c r="D1468">
        <v>0.33</v>
      </c>
      <c r="E1468">
        <v>1.1000099999999999</v>
      </c>
      <c r="F1468">
        <v>1E-4</v>
      </c>
      <c r="G1468" s="142" t="s">
        <v>13</v>
      </c>
      <c r="H1468" s="142" t="s">
        <v>12</v>
      </c>
      <c r="I1468">
        <v>4.4999999999999998E-2</v>
      </c>
      <c r="J1468">
        <v>1.0000100000000001</v>
      </c>
      <c r="K1468" s="142" t="s">
        <v>10</v>
      </c>
      <c r="L1468">
        <v>0.12267</v>
      </c>
      <c r="M1468">
        <v>0.57757999999999998</v>
      </c>
      <c r="N1468">
        <v>0.124</v>
      </c>
      <c r="O1468">
        <v>0.57333000000000001</v>
      </c>
    </row>
    <row r="1469" spans="1:15" x14ac:dyDescent="0.25">
      <c r="A1469" s="142" t="s">
        <v>1610</v>
      </c>
      <c r="B1469" s="142" t="s">
        <v>51</v>
      </c>
      <c r="C1469" s="142" t="s">
        <v>44</v>
      </c>
      <c r="D1469">
        <v>0.33</v>
      </c>
      <c r="E1469">
        <v>1.1000099999999999</v>
      </c>
      <c r="F1469">
        <v>1E-4</v>
      </c>
      <c r="G1469" s="142" t="s">
        <v>13</v>
      </c>
      <c r="H1469" s="142" t="s">
        <v>12</v>
      </c>
      <c r="I1469">
        <v>1</v>
      </c>
      <c r="J1469">
        <v>5.01</v>
      </c>
      <c r="K1469" s="142" t="s">
        <v>10</v>
      </c>
      <c r="L1469">
        <v>1.2</v>
      </c>
      <c r="M1469">
        <v>6.9</v>
      </c>
      <c r="N1469">
        <v>1.1555</v>
      </c>
      <c r="O1469">
        <v>6.9278000000000004</v>
      </c>
    </row>
    <row r="1470" spans="1:15" x14ac:dyDescent="0.25">
      <c r="A1470" s="142" t="s">
        <v>1609</v>
      </c>
      <c r="B1470" s="142" t="s">
        <v>51</v>
      </c>
      <c r="C1470" s="142" t="s">
        <v>44</v>
      </c>
      <c r="D1470">
        <v>0.33</v>
      </c>
      <c r="E1470">
        <v>1.1000099999999999</v>
      </c>
      <c r="F1470">
        <v>1E-4</v>
      </c>
      <c r="G1470" s="142" t="s">
        <v>13</v>
      </c>
      <c r="H1470" s="142" t="s">
        <v>12</v>
      </c>
      <c r="I1470">
        <v>5</v>
      </c>
      <c r="J1470">
        <v>10</v>
      </c>
      <c r="K1470" s="142" t="s">
        <v>10</v>
      </c>
      <c r="L1470">
        <v>5.8</v>
      </c>
      <c r="M1470">
        <v>29</v>
      </c>
      <c r="N1470">
        <v>5.7742000000000004</v>
      </c>
      <c r="O1470">
        <v>28.867000000000001</v>
      </c>
    </row>
    <row r="1471" spans="1:15" x14ac:dyDescent="0.25">
      <c r="A1471" s="142" t="s">
        <v>1796</v>
      </c>
      <c r="B1471" s="142" t="s">
        <v>51</v>
      </c>
      <c r="C1471" s="142" t="s">
        <v>44</v>
      </c>
      <c r="D1471">
        <v>0.33</v>
      </c>
      <c r="E1471">
        <v>1.1000099999999999</v>
      </c>
      <c r="F1471">
        <v>1E-4</v>
      </c>
      <c r="G1471" s="142" t="s">
        <v>13</v>
      </c>
      <c r="H1471" s="142" t="s">
        <v>12</v>
      </c>
      <c r="I1471">
        <v>10</v>
      </c>
      <c r="J1471">
        <v>10.01</v>
      </c>
      <c r="K1471" s="142" t="s">
        <v>10</v>
      </c>
      <c r="L1471">
        <v>5.8</v>
      </c>
      <c r="M1471">
        <v>29</v>
      </c>
      <c r="N1471">
        <v>5.7742000000000004</v>
      </c>
      <c r="O1471">
        <v>28.867000000000001</v>
      </c>
    </row>
    <row r="1472" spans="1:15" x14ac:dyDescent="0.25">
      <c r="A1472" s="142" t="s">
        <v>1630</v>
      </c>
      <c r="B1472" s="142" t="s">
        <v>51</v>
      </c>
      <c r="C1472" s="142" t="s">
        <v>44</v>
      </c>
      <c r="D1472">
        <v>1.1000000000000001</v>
      </c>
      <c r="E1472">
        <v>3.0009999999999999</v>
      </c>
      <c r="F1472">
        <v>1E-4</v>
      </c>
      <c r="G1472" s="142" t="s">
        <v>13</v>
      </c>
      <c r="H1472" s="142" t="s">
        <v>12</v>
      </c>
      <c r="I1472">
        <v>0.01</v>
      </c>
      <c r="J1472">
        <v>4.5010000000000001E-2</v>
      </c>
      <c r="K1472" s="142" t="s">
        <v>10</v>
      </c>
      <c r="L1472">
        <v>0.12</v>
      </c>
      <c r="M1472">
        <v>2.1</v>
      </c>
      <c r="N1472">
        <v>0.11676</v>
      </c>
      <c r="O1472">
        <v>2.0785</v>
      </c>
    </row>
    <row r="1473" spans="1:15" x14ac:dyDescent="0.25">
      <c r="A1473" s="142" t="s">
        <v>1800</v>
      </c>
      <c r="B1473" s="142" t="s">
        <v>51</v>
      </c>
      <c r="C1473" s="142" t="s">
        <v>44</v>
      </c>
      <c r="D1473">
        <v>1.1000000000000001</v>
      </c>
      <c r="E1473">
        <v>3.0009999999999999</v>
      </c>
      <c r="F1473">
        <v>1E-4</v>
      </c>
      <c r="G1473" s="142" t="s">
        <v>13</v>
      </c>
      <c r="H1473" s="142" t="s">
        <v>12</v>
      </c>
      <c r="I1473">
        <v>4.4999999999999998E-2</v>
      </c>
      <c r="J1473">
        <v>1.0000100000000001</v>
      </c>
      <c r="K1473" s="142" t="s">
        <v>10</v>
      </c>
      <c r="L1473">
        <v>0.13</v>
      </c>
      <c r="M1473">
        <v>0.69</v>
      </c>
      <c r="N1473">
        <v>0.11867999999999999</v>
      </c>
      <c r="O1473">
        <v>0.69310000000000005</v>
      </c>
    </row>
    <row r="1474" spans="1:15" x14ac:dyDescent="0.25">
      <c r="A1474" s="142" t="s">
        <v>1629</v>
      </c>
      <c r="B1474" s="142" t="s">
        <v>51</v>
      </c>
      <c r="C1474" s="142" t="s">
        <v>44</v>
      </c>
      <c r="D1474">
        <v>1.1000000000000001</v>
      </c>
      <c r="E1474">
        <v>3.0009999999999999</v>
      </c>
      <c r="F1474">
        <v>1E-4</v>
      </c>
      <c r="G1474" s="142" t="s">
        <v>13</v>
      </c>
      <c r="H1474" s="142" t="s">
        <v>12</v>
      </c>
      <c r="I1474">
        <v>1</v>
      </c>
      <c r="J1474">
        <v>5.01</v>
      </c>
      <c r="K1474" s="142" t="s">
        <v>10</v>
      </c>
      <c r="L1474">
        <v>1.3</v>
      </c>
      <c r="M1474">
        <v>6.9</v>
      </c>
      <c r="N1474">
        <v>1.1552</v>
      </c>
      <c r="O1474">
        <v>6.9282000000000004</v>
      </c>
    </row>
    <row r="1475" spans="1:15" x14ac:dyDescent="0.25">
      <c r="A1475" s="142" t="s">
        <v>1628</v>
      </c>
      <c r="B1475" s="142" t="s">
        <v>51</v>
      </c>
      <c r="C1475" s="142" t="s">
        <v>44</v>
      </c>
      <c r="D1475">
        <v>1.1000000000000001</v>
      </c>
      <c r="E1475">
        <v>3.0009999999999999</v>
      </c>
      <c r="F1475">
        <v>1E-4</v>
      </c>
      <c r="G1475" s="142" t="s">
        <v>13</v>
      </c>
      <c r="H1475" s="142" t="s">
        <v>12</v>
      </c>
      <c r="I1475">
        <v>5</v>
      </c>
      <c r="J1475">
        <v>10</v>
      </c>
      <c r="K1475" s="142" t="s">
        <v>10</v>
      </c>
      <c r="L1475">
        <v>5.8</v>
      </c>
      <c r="M1475">
        <v>29</v>
      </c>
      <c r="N1475">
        <v>5.7731000000000003</v>
      </c>
      <c r="O1475">
        <v>28.867999999999999</v>
      </c>
    </row>
    <row r="1476" spans="1:15" x14ac:dyDescent="0.25">
      <c r="A1476" s="142" t="s">
        <v>1627</v>
      </c>
      <c r="B1476" s="142" t="s">
        <v>51</v>
      </c>
      <c r="C1476" s="142" t="s">
        <v>44</v>
      </c>
      <c r="D1476">
        <v>1.1000000000000001</v>
      </c>
      <c r="E1476">
        <v>3.0009999999999999</v>
      </c>
      <c r="F1476">
        <v>1E-4</v>
      </c>
      <c r="G1476" s="142" t="s">
        <v>13</v>
      </c>
      <c r="H1476" s="142" t="s">
        <v>12</v>
      </c>
      <c r="I1476">
        <v>10</v>
      </c>
      <c r="J1476">
        <v>10.01</v>
      </c>
      <c r="K1476" s="142" t="s">
        <v>10</v>
      </c>
      <c r="L1476">
        <v>5.8</v>
      </c>
      <c r="M1476">
        <v>29</v>
      </c>
      <c r="N1476">
        <v>5.7731000000000003</v>
      </c>
      <c r="O1476">
        <v>28.867999999999999</v>
      </c>
    </row>
    <row r="1477" spans="1:15" x14ac:dyDescent="0.25">
      <c r="A1477" s="142" t="s">
        <v>1804</v>
      </c>
      <c r="B1477" s="142" t="s">
        <v>51</v>
      </c>
      <c r="C1477" s="142" t="s">
        <v>44</v>
      </c>
      <c r="D1477">
        <v>3</v>
      </c>
      <c r="E1477">
        <v>11.000999999999999</v>
      </c>
      <c r="F1477">
        <v>1E-4</v>
      </c>
      <c r="G1477" s="142" t="s">
        <v>13</v>
      </c>
      <c r="H1477" s="142" t="s">
        <v>12</v>
      </c>
      <c r="I1477">
        <v>4.4999999999999998E-2</v>
      </c>
      <c r="J1477">
        <v>0.10001</v>
      </c>
      <c r="K1477" s="142" t="s">
        <v>10</v>
      </c>
      <c r="L1477">
        <v>2.4</v>
      </c>
      <c r="M1477">
        <v>0.69</v>
      </c>
      <c r="N1477">
        <v>2.3298000000000001</v>
      </c>
      <c r="O1477">
        <v>0.69372999999999996</v>
      </c>
    </row>
    <row r="1478" spans="1:15" x14ac:dyDescent="0.25">
      <c r="A1478" s="142" t="s">
        <v>1807</v>
      </c>
      <c r="B1478" s="142" t="s">
        <v>51</v>
      </c>
      <c r="C1478" s="142" t="s">
        <v>44</v>
      </c>
      <c r="D1478">
        <v>3</v>
      </c>
      <c r="E1478">
        <v>11.000999999999999</v>
      </c>
      <c r="F1478">
        <v>1E-4</v>
      </c>
      <c r="G1478" s="142" t="s">
        <v>13</v>
      </c>
      <c r="H1478" s="142" t="s">
        <v>12</v>
      </c>
      <c r="I1478">
        <v>0.1</v>
      </c>
      <c r="J1478">
        <v>1.0000100000000001</v>
      </c>
      <c r="K1478" s="142" t="s">
        <v>10</v>
      </c>
      <c r="L1478">
        <v>2.4</v>
      </c>
      <c r="M1478">
        <v>1.2</v>
      </c>
      <c r="N1478">
        <v>2.3239999999999998</v>
      </c>
      <c r="O1478">
        <v>1.1553</v>
      </c>
    </row>
    <row r="1479" spans="1:15" x14ac:dyDescent="0.25">
      <c r="A1479" s="142" t="s">
        <v>1643</v>
      </c>
      <c r="B1479" s="142" t="s">
        <v>51</v>
      </c>
      <c r="C1479" s="142" t="s">
        <v>44</v>
      </c>
      <c r="D1479">
        <v>3</v>
      </c>
      <c r="E1479">
        <v>11.000999999999999</v>
      </c>
      <c r="F1479">
        <v>1E-4</v>
      </c>
      <c r="G1479" s="142" t="s">
        <v>13</v>
      </c>
      <c r="H1479" s="142" t="s">
        <v>12</v>
      </c>
      <c r="I1479">
        <v>1</v>
      </c>
      <c r="J1479">
        <v>5</v>
      </c>
      <c r="K1479" s="142" t="s">
        <v>10</v>
      </c>
      <c r="L1479">
        <v>2.5</v>
      </c>
      <c r="M1479">
        <v>35</v>
      </c>
      <c r="N1479">
        <v>2.3102999999999998</v>
      </c>
      <c r="O1479">
        <v>34.640999999999998</v>
      </c>
    </row>
    <row r="1480" spans="1:15" x14ac:dyDescent="0.25">
      <c r="A1480" s="142" t="s">
        <v>1642</v>
      </c>
      <c r="B1480" s="142" t="s">
        <v>51</v>
      </c>
      <c r="C1480" s="142" t="s">
        <v>44</v>
      </c>
      <c r="D1480">
        <v>3</v>
      </c>
      <c r="E1480">
        <v>11.000999999999999</v>
      </c>
      <c r="F1480">
        <v>1E-4</v>
      </c>
      <c r="G1480" s="142" t="s">
        <v>13</v>
      </c>
      <c r="H1480" s="142" t="s">
        <v>12</v>
      </c>
      <c r="I1480">
        <v>5</v>
      </c>
      <c r="J1480">
        <v>5.01</v>
      </c>
      <c r="K1480" s="142" t="s">
        <v>10</v>
      </c>
      <c r="L1480">
        <v>2.5</v>
      </c>
      <c r="M1480">
        <v>35</v>
      </c>
      <c r="N1480">
        <v>2.3102999999999998</v>
      </c>
      <c r="O1480">
        <v>34.640999999999998</v>
      </c>
    </row>
    <row r="1481" spans="1:15" x14ac:dyDescent="0.25">
      <c r="A1481" s="142" t="s">
        <v>1656</v>
      </c>
      <c r="B1481" s="142" t="s">
        <v>51</v>
      </c>
      <c r="C1481" s="142" t="s">
        <v>44</v>
      </c>
      <c r="D1481">
        <v>11</v>
      </c>
      <c r="E1481">
        <v>20.501000000000001</v>
      </c>
      <c r="F1481">
        <v>1E-4</v>
      </c>
      <c r="G1481" s="142" t="s">
        <v>13</v>
      </c>
      <c r="H1481" s="142" t="s">
        <v>12</v>
      </c>
      <c r="I1481">
        <v>4.4999999999999998E-2</v>
      </c>
      <c r="J1481">
        <v>0.10001</v>
      </c>
      <c r="K1481" s="142" t="s">
        <v>10</v>
      </c>
      <c r="L1481">
        <v>5.8</v>
      </c>
      <c r="M1481">
        <v>1.4</v>
      </c>
      <c r="N1481">
        <v>5.7744999999999997</v>
      </c>
      <c r="O1481">
        <v>1.3859999999999999</v>
      </c>
    </row>
    <row r="1482" spans="1:15" x14ac:dyDescent="0.25">
      <c r="A1482" s="142" t="s">
        <v>1658</v>
      </c>
      <c r="B1482" s="142" t="s">
        <v>51</v>
      </c>
      <c r="C1482" s="142" t="s">
        <v>44</v>
      </c>
      <c r="D1482">
        <v>11</v>
      </c>
      <c r="E1482">
        <v>20.501000000000001</v>
      </c>
      <c r="F1482">
        <v>1E-4</v>
      </c>
      <c r="G1482" s="142" t="s">
        <v>13</v>
      </c>
      <c r="H1482" s="142" t="s">
        <v>12</v>
      </c>
      <c r="I1482">
        <v>0.1</v>
      </c>
      <c r="J1482">
        <v>1.0000100000000001</v>
      </c>
      <c r="K1482" s="142" t="s">
        <v>10</v>
      </c>
      <c r="L1482">
        <v>6.5</v>
      </c>
      <c r="M1482">
        <v>1.7</v>
      </c>
      <c r="N1482">
        <v>5.7754000000000003</v>
      </c>
      <c r="O1482">
        <v>1.7323999999999999</v>
      </c>
    </row>
    <row r="1483" spans="1:15" x14ac:dyDescent="0.25">
      <c r="A1483" s="142" t="s">
        <v>1657</v>
      </c>
      <c r="B1483" s="142" t="s">
        <v>51</v>
      </c>
      <c r="C1483" s="142" t="s">
        <v>44</v>
      </c>
      <c r="D1483">
        <v>11</v>
      </c>
      <c r="E1483">
        <v>20.501000000000001</v>
      </c>
      <c r="F1483">
        <v>1E-4</v>
      </c>
      <c r="G1483" s="142" t="s">
        <v>13</v>
      </c>
      <c r="H1483" s="142" t="s">
        <v>12</v>
      </c>
      <c r="I1483">
        <v>1</v>
      </c>
      <c r="J1483">
        <v>5</v>
      </c>
      <c r="K1483" s="142" t="s">
        <v>10</v>
      </c>
      <c r="L1483">
        <v>5.9</v>
      </c>
      <c r="M1483">
        <v>35</v>
      </c>
      <c r="N1483">
        <v>5.7742000000000004</v>
      </c>
      <c r="O1483">
        <v>34.640999999999998</v>
      </c>
    </row>
    <row r="1484" spans="1:15" x14ac:dyDescent="0.25">
      <c r="A1484" s="142" t="s">
        <v>1659</v>
      </c>
      <c r="B1484" s="142" t="s">
        <v>51</v>
      </c>
      <c r="C1484" s="142" t="s">
        <v>44</v>
      </c>
      <c r="D1484">
        <v>11</v>
      </c>
      <c r="E1484">
        <v>20.501000000000001</v>
      </c>
      <c r="F1484">
        <v>1E-4</v>
      </c>
      <c r="G1484" s="142" t="s">
        <v>13</v>
      </c>
      <c r="H1484" s="142" t="s">
        <v>12</v>
      </c>
      <c r="I1484">
        <v>5</v>
      </c>
      <c r="J1484">
        <v>5.01</v>
      </c>
      <c r="K1484" s="142" t="s">
        <v>10</v>
      </c>
      <c r="L1484">
        <v>5.9</v>
      </c>
      <c r="M1484">
        <v>35</v>
      </c>
      <c r="N1484">
        <v>5.7742000000000004</v>
      </c>
      <c r="O1484">
        <v>34.640999999999998</v>
      </c>
    </row>
    <row r="1485" spans="1:15" x14ac:dyDescent="0.25">
      <c r="A1485" s="142" t="s">
        <v>1507</v>
      </c>
      <c r="B1485" s="142" t="s">
        <v>51</v>
      </c>
      <c r="C1485" s="142" t="s">
        <v>44</v>
      </c>
      <c r="D1485">
        <v>0</v>
      </c>
      <c r="E1485">
        <v>3.3000999999999999E-4</v>
      </c>
      <c r="F1485">
        <v>1E-3</v>
      </c>
      <c r="G1485" s="142" t="s">
        <v>13</v>
      </c>
      <c r="H1485" s="142" t="s">
        <v>11</v>
      </c>
      <c r="I1485">
        <v>0.01</v>
      </c>
      <c r="J1485">
        <v>2.001E-2</v>
      </c>
      <c r="K1485" s="142" t="s">
        <v>10</v>
      </c>
      <c r="L1485">
        <v>580.26</v>
      </c>
      <c r="M1485">
        <v>-8787.4</v>
      </c>
      <c r="N1485">
        <v>580.03</v>
      </c>
      <c r="O1485">
        <v>-8787.5</v>
      </c>
    </row>
    <row r="1486" spans="1:15" x14ac:dyDescent="0.25">
      <c r="A1486" s="142" t="s">
        <v>1508</v>
      </c>
      <c r="B1486" s="142" t="s">
        <v>51</v>
      </c>
      <c r="C1486" s="142" t="s">
        <v>44</v>
      </c>
      <c r="D1486">
        <v>0</v>
      </c>
      <c r="E1486">
        <v>3.3000999999999999E-4</v>
      </c>
      <c r="F1486">
        <v>1E-3</v>
      </c>
      <c r="G1486" s="142" t="s">
        <v>13</v>
      </c>
      <c r="H1486" s="142" t="s">
        <v>11</v>
      </c>
      <c r="I1486">
        <v>0.02</v>
      </c>
      <c r="J1486">
        <v>4.5010000000000001E-2</v>
      </c>
      <c r="K1486" s="142" t="s">
        <v>10</v>
      </c>
      <c r="L1486">
        <v>577.36</v>
      </c>
      <c r="M1486">
        <v>1.3673999999999999</v>
      </c>
      <c r="N1486">
        <v>577.35</v>
      </c>
      <c r="O1486">
        <v>1.2795000000000001</v>
      </c>
    </row>
    <row r="1487" spans="1:15" x14ac:dyDescent="0.25">
      <c r="A1487" s="142" t="s">
        <v>1751</v>
      </c>
      <c r="B1487" s="142" t="s">
        <v>51</v>
      </c>
      <c r="C1487" s="142" t="s">
        <v>44</v>
      </c>
      <c r="D1487">
        <v>0</v>
      </c>
      <c r="E1487">
        <v>3.3000999999999999E-4</v>
      </c>
      <c r="F1487">
        <v>1E-3</v>
      </c>
      <c r="G1487" s="142" t="s">
        <v>13</v>
      </c>
      <c r="H1487" s="142" t="s">
        <v>11</v>
      </c>
      <c r="I1487">
        <v>4.4999999999999998E-2</v>
      </c>
      <c r="J1487">
        <v>1.0000100000000001</v>
      </c>
      <c r="K1487" s="142" t="s">
        <v>10</v>
      </c>
      <c r="L1487">
        <v>577.36</v>
      </c>
      <c r="M1487">
        <v>1.0246</v>
      </c>
      <c r="N1487">
        <v>577.36</v>
      </c>
      <c r="O1487">
        <v>0.93681999999999999</v>
      </c>
    </row>
    <row r="1488" spans="1:15" x14ac:dyDescent="0.25">
      <c r="A1488" s="142" t="s">
        <v>1754</v>
      </c>
      <c r="B1488" s="142" t="s">
        <v>51</v>
      </c>
      <c r="C1488" s="142" t="s">
        <v>44</v>
      </c>
      <c r="D1488">
        <v>0</v>
      </c>
      <c r="E1488">
        <v>3.3000999999999999E-4</v>
      </c>
      <c r="F1488">
        <v>1E-3</v>
      </c>
      <c r="G1488" s="142" t="s">
        <v>13</v>
      </c>
      <c r="H1488" s="142" t="s">
        <v>11</v>
      </c>
      <c r="I1488">
        <v>1</v>
      </c>
      <c r="J1488">
        <v>5.01</v>
      </c>
      <c r="K1488" s="142" t="s">
        <v>10</v>
      </c>
      <c r="L1488">
        <v>577.36</v>
      </c>
      <c r="M1488">
        <v>4.8582999999999998</v>
      </c>
      <c r="N1488">
        <v>577.35</v>
      </c>
      <c r="O1488">
        <v>4.7705000000000002</v>
      </c>
    </row>
    <row r="1489" spans="1:15" x14ac:dyDescent="0.25">
      <c r="A1489" s="142" t="s">
        <v>1505</v>
      </c>
      <c r="B1489" s="142" t="s">
        <v>51</v>
      </c>
      <c r="C1489" s="142" t="s">
        <v>44</v>
      </c>
      <c r="D1489">
        <v>0</v>
      </c>
      <c r="E1489">
        <v>3.3000999999999999E-4</v>
      </c>
      <c r="F1489">
        <v>1E-3</v>
      </c>
      <c r="G1489" s="142" t="s">
        <v>13</v>
      </c>
      <c r="H1489" s="142" t="s">
        <v>11</v>
      </c>
      <c r="I1489">
        <v>5</v>
      </c>
      <c r="J1489">
        <v>10.01</v>
      </c>
      <c r="K1489" s="142" t="s">
        <v>10</v>
      </c>
      <c r="L1489">
        <v>577.35</v>
      </c>
      <c r="M1489">
        <v>30.413</v>
      </c>
      <c r="N1489">
        <v>577.35</v>
      </c>
      <c r="O1489">
        <v>30.225999999999999</v>
      </c>
    </row>
    <row r="1490" spans="1:15" x14ac:dyDescent="0.25">
      <c r="A1490" s="142" t="s">
        <v>1506</v>
      </c>
      <c r="B1490" s="142" t="s">
        <v>51</v>
      </c>
      <c r="C1490" s="142" t="s">
        <v>44</v>
      </c>
      <c r="D1490">
        <v>0</v>
      </c>
      <c r="E1490">
        <v>3.3000999999999999E-4</v>
      </c>
      <c r="F1490">
        <v>1E-3</v>
      </c>
      <c r="G1490" s="142" t="s">
        <v>13</v>
      </c>
      <c r="H1490" s="142" t="s">
        <v>11</v>
      </c>
      <c r="I1490">
        <v>10</v>
      </c>
      <c r="J1490">
        <v>30</v>
      </c>
      <c r="K1490" s="142" t="s">
        <v>10</v>
      </c>
      <c r="L1490">
        <v>577.35</v>
      </c>
      <c r="M1490">
        <v>121.09</v>
      </c>
      <c r="N1490">
        <v>577.32000000000005</v>
      </c>
      <c r="O1490">
        <v>120.9</v>
      </c>
    </row>
    <row r="1491" spans="1:15" x14ac:dyDescent="0.25">
      <c r="A1491" s="142" t="s">
        <v>1504</v>
      </c>
      <c r="B1491" s="142" t="s">
        <v>51</v>
      </c>
      <c r="C1491" s="142" t="s">
        <v>44</v>
      </c>
      <c r="D1491">
        <v>0</v>
      </c>
      <c r="E1491">
        <v>3.3000999999999999E-4</v>
      </c>
      <c r="F1491">
        <v>1E-3</v>
      </c>
      <c r="G1491" s="142" t="s">
        <v>13</v>
      </c>
      <c r="H1491" s="142" t="s">
        <v>11</v>
      </c>
      <c r="I1491">
        <v>30</v>
      </c>
      <c r="J1491">
        <v>30.1</v>
      </c>
      <c r="K1491" s="142" t="s">
        <v>10</v>
      </c>
      <c r="L1491">
        <v>577.35</v>
      </c>
      <c r="M1491">
        <v>121.09</v>
      </c>
      <c r="N1491">
        <v>577.32000000000005</v>
      </c>
      <c r="O1491">
        <v>120.9</v>
      </c>
    </row>
    <row r="1492" spans="1:15" x14ac:dyDescent="0.25">
      <c r="A1492" s="142" t="s">
        <v>1593</v>
      </c>
      <c r="B1492" s="142" t="s">
        <v>51</v>
      </c>
      <c r="C1492" s="142" t="s">
        <v>44</v>
      </c>
      <c r="D1492">
        <v>3.3000000000000002E-2</v>
      </c>
      <c r="E1492">
        <v>0.33001000000000003</v>
      </c>
      <c r="F1492">
        <v>1E-3</v>
      </c>
      <c r="G1492" s="142" t="s">
        <v>13</v>
      </c>
      <c r="H1492" s="142" t="s">
        <v>12</v>
      </c>
      <c r="I1492">
        <v>0.01</v>
      </c>
      <c r="J1492">
        <v>2.001E-2</v>
      </c>
      <c r="K1492" s="142" t="s">
        <v>10</v>
      </c>
      <c r="L1492">
        <v>0.54766999999999999</v>
      </c>
      <c r="M1492">
        <v>1.1202000000000001</v>
      </c>
      <c r="N1492">
        <v>0.54766000000000004</v>
      </c>
      <c r="O1492">
        <v>1.1202000000000001</v>
      </c>
    </row>
    <row r="1493" spans="1:15" x14ac:dyDescent="0.25">
      <c r="A1493" s="142" t="s">
        <v>1598</v>
      </c>
      <c r="B1493" s="142" t="s">
        <v>51</v>
      </c>
      <c r="C1493" s="142" t="s">
        <v>44</v>
      </c>
      <c r="D1493">
        <v>3.3000000000000002E-2</v>
      </c>
      <c r="E1493">
        <v>0.33001000000000003</v>
      </c>
      <c r="F1493">
        <v>1E-3</v>
      </c>
      <c r="G1493" s="142" t="s">
        <v>13</v>
      </c>
      <c r="H1493" s="142" t="s">
        <v>12</v>
      </c>
      <c r="I1493">
        <v>0.02</v>
      </c>
      <c r="J1493">
        <v>4.5010000000000001E-2</v>
      </c>
      <c r="K1493" s="142" t="s">
        <v>10</v>
      </c>
      <c r="L1493">
        <v>0.56864000000000003</v>
      </c>
      <c r="M1493">
        <v>0.35072999999999999</v>
      </c>
      <c r="N1493">
        <v>0.56864000000000003</v>
      </c>
      <c r="O1493">
        <v>0.35067999999999999</v>
      </c>
    </row>
    <row r="1494" spans="1:15" x14ac:dyDescent="0.25">
      <c r="A1494" s="142" t="s">
        <v>1597</v>
      </c>
      <c r="B1494" s="142" t="s">
        <v>51</v>
      </c>
      <c r="C1494" s="142" t="s">
        <v>44</v>
      </c>
      <c r="D1494">
        <v>3.3000000000000002E-2</v>
      </c>
      <c r="E1494">
        <v>0.33001000000000003</v>
      </c>
      <c r="F1494">
        <v>1E-3</v>
      </c>
      <c r="G1494" s="142" t="s">
        <v>13</v>
      </c>
      <c r="H1494" s="142" t="s">
        <v>12</v>
      </c>
      <c r="I1494">
        <v>4.4999999999999998E-2</v>
      </c>
      <c r="J1494">
        <v>1.0000100000000001</v>
      </c>
      <c r="K1494" s="142" t="s">
        <v>10</v>
      </c>
      <c r="L1494">
        <v>0.57577999999999996</v>
      </c>
      <c r="M1494">
        <v>8.6645E-2</v>
      </c>
      <c r="N1494">
        <v>0.57577</v>
      </c>
      <c r="O1494">
        <v>8.6583999999999994E-2</v>
      </c>
    </row>
    <row r="1495" spans="1:15" x14ac:dyDescent="0.25">
      <c r="A1495" s="142" t="s">
        <v>1787</v>
      </c>
      <c r="B1495" s="142" t="s">
        <v>51</v>
      </c>
      <c r="C1495" s="142" t="s">
        <v>44</v>
      </c>
      <c r="D1495">
        <v>3.3000000000000002E-2</v>
      </c>
      <c r="E1495">
        <v>0.33001000000000003</v>
      </c>
      <c r="F1495">
        <v>1E-3</v>
      </c>
      <c r="G1495" s="142" t="s">
        <v>13</v>
      </c>
      <c r="H1495" s="142" t="s">
        <v>12</v>
      </c>
      <c r="I1495">
        <v>1</v>
      </c>
      <c r="J1495">
        <v>5.01</v>
      </c>
      <c r="K1495" s="142" t="s">
        <v>10</v>
      </c>
      <c r="L1495">
        <v>0.56964999999999999</v>
      </c>
      <c r="M1495">
        <v>0.47367999999999999</v>
      </c>
      <c r="N1495">
        <v>0.56962999999999997</v>
      </c>
      <c r="O1495">
        <v>0.47360999999999998</v>
      </c>
    </row>
    <row r="1496" spans="1:15" x14ac:dyDescent="0.25">
      <c r="A1496" s="142" t="s">
        <v>1596</v>
      </c>
      <c r="B1496" s="142" t="s">
        <v>51</v>
      </c>
      <c r="C1496" s="142" t="s">
        <v>44</v>
      </c>
      <c r="D1496">
        <v>3.3000000000000002E-2</v>
      </c>
      <c r="E1496">
        <v>0.33001000000000003</v>
      </c>
      <c r="F1496">
        <v>1E-3</v>
      </c>
      <c r="G1496" s="142" t="s">
        <v>13</v>
      </c>
      <c r="H1496" s="142" t="s">
        <v>12</v>
      </c>
      <c r="I1496">
        <v>5</v>
      </c>
      <c r="J1496">
        <v>10.01</v>
      </c>
      <c r="K1496" s="142" t="s">
        <v>10</v>
      </c>
      <c r="L1496">
        <v>0.55922000000000005</v>
      </c>
      <c r="M1496">
        <v>1.4903999999999999</v>
      </c>
      <c r="N1496">
        <v>0.55915999999999999</v>
      </c>
      <c r="O1496">
        <v>1.4903999999999999</v>
      </c>
    </row>
    <row r="1497" spans="1:15" x14ac:dyDescent="0.25">
      <c r="A1497" s="142" t="s">
        <v>1594</v>
      </c>
      <c r="B1497" s="142" t="s">
        <v>51</v>
      </c>
      <c r="C1497" s="142" t="s">
        <v>44</v>
      </c>
      <c r="D1497">
        <v>3.3000000000000002E-2</v>
      </c>
      <c r="E1497">
        <v>0.33001000000000003</v>
      </c>
      <c r="F1497">
        <v>1E-3</v>
      </c>
      <c r="G1497" s="142" t="s">
        <v>13</v>
      </c>
      <c r="H1497" s="142" t="s">
        <v>12</v>
      </c>
      <c r="I1497">
        <v>10</v>
      </c>
      <c r="J1497">
        <v>30</v>
      </c>
      <c r="K1497" s="142" t="s">
        <v>10</v>
      </c>
      <c r="L1497">
        <v>0.56477999999999995</v>
      </c>
      <c r="M1497">
        <v>3.8904999999999998</v>
      </c>
      <c r="N1497">
        <v>0.56466000000000005</v>
      </c>
      <c r="O1497">
        <v>3.8906000000000001</v>
      </c>
    </row>
    <row r="1498" spans="1:15" x14ac:dyDescent="0.25">
      <c r="A1498" s="142" t="s">
        <v>1595</v>
      </c>
      <c r="B1498" s="142" t="s">
        <v>51</v>
      </c>
      <c r="C1498" s="142" t="s">
        <v>44</v>
      </c>
      <c r="D1498">
        <v>3.3000000000000002E-2</v>
      </c>
      <c r="E1498">
        <v>0.33001000000000003</v>
      </c>
      <c r="F1498">
        <v>1E-3</v>
      </c>
      <c r="G1498" s="142" t="s">
        <v>13</v>
      </c>
      <c r="H1498" s="142" t="s">
        <v>12</v>
      </c>
      <c r="I1498">
        <v>30</v>
      </c>
      <c r="J1498">
        <v>30.01</v>
      </c>
      <c r="K1498" s="142" t="s">
        <v>10</v>
      </c>
      <c r="L1498">
        <v>0.56477999999999995</v>
      </c>
      <c r="M1498">
        <v>3.8904999999999998</v>
      </c>
      <c r="N1498">
        <v>0.56466000000000005</v>
      </c>
      <c r="O1498">
        <v>3.8906000000000001</v>
      </c>
    </row>
    <row r="1499" spans="1:15" x14ac:dyDescent="0.25">
      <c r="A1499" s="142" t="s">
        <v>1613</v>
      </c>
      <c r="B1499" s="142" t="s">
        <v>51</v>
      </c>
      <c r="C1499" s="142" t="s">
        <v>44</v>
      </c>
      <c r="D1499">
        <v>0.33</v>
      </c>
      <c r="E1499">
        <v>1.1000099999999999</v>
      </c>
      <c r="F1499">
        <v>1E-3</v>
      </c>
      <c r="G1499" s="142" t="s">
        <v>13</v>
      </c>
      <c r="H1499" s="142" t="s">
        <v>12</v>
      </c>
      <c r="I1499">
        <v>0.01</v>
      </c>
      <c r="J1499">
        <v>4.5010000000000001E-2</v>
      </c>
      <c r="K1499" s="142" t="s">
        <v>10</v>
      </c>
      <c r="L1499">
        <v>0.35291</v>
      </c>
      <c r="M1499">
        <v>1.9255</v>
      </c>
      <c r="N1499">
        <v>0.35283999999999999</v>
      </c>
      <c r="O1499">
        <v>1.9254</v>
      </c>
    </row>
    <row r="1500" spans="1:15" x14ac:dyDescent="0.25">
      <c r="A1500" s="142" t="s">
        <v>1614</v>
      </c>
      <c r="B1500" s="142" t="s">
        <v>51</v>
      </c>
      <c r="C1500" s="142" t="s">
        <v>44</v>
      </c>
      <c r="D1500">
        <v>0.33</v>
      </c>
      <c r="E1500">
        <v>1.1000099999999999</v>
      </c>
      <c r="F1500">
        <v>1E-3</v>
      </c>
      <c r="G1500" s="142" t="s">
        <v>13</v>
      </c>
      <c r="H1500" s="142" t="s">
        <v>12</v>
      </c>
      <c r="I1500">
        <v>4.4999999999999998E-2</v>
      </c>
      <c r="J1500">
        <v>1.0000100000000001</v>
      </c>
      <c r="K1500" s="142" t="s">
        <v>10</v>
      </c>
      <c r="L1500">
        <v>0.52825</v>
      </c>
      <c r="M1500">
        <v>0.38235000000000002</v>
      </c>
      <c r="N1500">
        <v>0.52822999999999998</v>
      </c>
      <c r="O1500">
        <v>0.38200000000000001</v>
      </c>
    </row>
    <row r="1501" spans="1:15" x14ac:dyDescent="0.25">
      <c r="A1501" s="142" t="s">
        <v>1615</v>
      </c>
      <c r="B1501" s="142" t="s">
        <v>51</v>
      </c>
      <c r="C1501" s="142" t="s">
        <v>44</v>
      </c>
      <c r="D1501">
        <v>0.33</v>
      </c>
      <c r="E1501">
        <v>1.1000099999999999</v>
      </c>
      <c r="F1501">
        <v>1E-3</v>
      </c>
      <c r="G1501" s="142" t="s">
        <v>13</v>
      </c>
      <c r="H1501" s="142" t="s">
        <v>12</v>
      </c>
      <c r="I1501">
        <v>1</v>
      </c>
      <c r="J1501">
        <v>5.01</v>
      </c>
      <c r="K1501" s="142" t="s">
        <v>10</v>
      </c>
      <c r="L1501">
        <v>1.2163999999999999</v>
      </c>
      <c r="M1501">
        <v>6.8902999999999999</v>
      </c>
      <c r="N1501">
        <v>1.2155</v>
      </c>
      <c r="O1501">
        <v>6.8903999999999996</v>
      </c>
    </row>
    <row r="1502" spans="1:15" x14ac:dyDescent="0.25">
      <c r="A1502" s="142" t="s">
        <v>1612</v>
      </c>
      <c r="B1502" s="142" t="s">
        <v>51</v>
      </c>
      <c r="C1502" s="142" t="s">
        <v>44</v>
      </c>
      <c r="D1502">
        <v>0.33</v>
      </c>
      <c r="E1502">
        <v>1.1000099999999999</v>
      </c>
      <c r="F1502">
        <v>1E-3</v>
      </c>
      <c r="G1502" s="142" t="s">
        <v>13</v>
      </c>
      <c r="H1502" s="142" t="s">
        <v>12</v>
      </c>
      <c r="I1502">
        <v>5</v>
      </c>
      <c r="J1502">
        <v>10</v>
      </c>
      <c r="K1502" s="142" t="s">
        <v>10</v>
      </c>
      <c r="L1502">
        <v>5.8</v>
      </c>
      <c r="M1502">
        <v>29</v>
      </c>
      <c r="N1502">
        <v>5.7873999999999999</v>
      </c>
      <c r="O1502">
        <v>28.859000000000002</v>
      </c>
    </row>
    <row r="1503" spans="1:15" x14ac:dyDescent="0.25">
      <c r="A1503" s="142" t="s">
        <v>1797</v>
      </c>
      <c r="B1503" s="142" t="s">
        <v>51</v>
      </c>
      <c r="C1503" s="142" t="s">
        <v>44</v>
      </c>
      <c r="D1503">
        <v>0.33</v>
      </c>
      <c r="E1503">
        <v>1.1000099999999999</v>
      </c>
      <c r="F1503">
        <v>1E-3</v>
      </c>
      <c r="G1503" s="142" t="s">
        <v>13</v>
      </c>
      <c r="H1503" s="142" t="s">
        <v>12</v>
      </c>
      <c r="I1503">
        <v>10</v>
      </c>
      <c r="J1503">
        <v>10.01</v>
      </c>
      <c r="K1503" s="142" t="s">
        <v>10</v>
      </c>
      <c r="L1503">
        <v>5.8</v>
      </c>
      <c r="M1503">
        <v>29</v>
      </c>
      <c r="N1503">
        <v>5.7873999999999999</v>
      </c>
      <c r="O1503">
        <v>28.859000000000002</v>
      </c>
    </row>
    <row r="1504" spans="1:15" x14ac:dyDescent="0.25">
      <c r="A1504" s="142" t="s">
        <v>1798</v>
      </c>
      <c r="B1504" s="142" t="s">
        <v>51</v>
      </c>
      <c r="C1504" s="142" t="s">
        <v>44</v>
      </c>
      <c r="D1504">
        <v>1.1000000000000001</v>
      </c>
      <c r="E1504">
        <v>3.0009999999999999</v>
      </c>
      <c r="F1504">
        <v>1E-3</v>
      </c>
      <c r="G1504" s="142" t="s">
        <v>13</v>
      </c>
      <c r="H1504" s="142" t="s">
        <v>12</v>
      </c>
      <c r="I1504">
        <v>0.01</v>
      </c>
      <c r="J1504">
        <v>4.5010000000000001E-2</v>
      </c>
      <c r="K1504" s="142" t="s">
        <v>10</v>
      </c>
      <c r="L1504">
        <v>0.18892</v>
      </c>
      <c r="M1504">
        <v>2.077</v>
      </c>
      <c r="N1504">
        <v>0.20868</v>
      </c>
      <c r="O1504">
        <v>2.0565000000000002</v>
      </c>
    </row>
    <row r="1505" spans="1:15" x14ac:dyDescent="0.25">
      <c r="A1505" s="142" t="s">
        <v>1631</v>
      </c>
      <c r="B1505" s="142" t="s">
        <v>51</v>
      </c>
      <c r="C1505" s="142" t="s">
        <v>44</v>
      </c>
      <c r="D1505">
        <v>1.1000000000000001</v>
      </c>
      <c r="E1505">
        <v>3.0009999999999999</v>
      </c>
      <c r="F1505">
        <v>1E-3</v>
      </c>
      <c r="G1505" s="142" t="s">
        <v>13</v>
      </c>
      <c r="H1505" s="142" t="s">
        <v>12</v>
      </c>
      <c r="I1505">
        <v>4.4999999999999998E-2</v>
      </c>
      <c r="J1505">
        <v>1.0000100000000001</v>
      </c>
      <c r="K1505" s="142" t="s">
        <v>10</v>
      </c>
      <c r="L1505">
        <v>0.35192000000000001</v>
      </c>
      <c r="M1505">
        <v>0.64234000000000002</v>
      </c>
      <c r="N1505">
        <v>0.34550999999999998</v>
      </c>
      <c r="O1505">
        <v>0.6421</v>
      </c>
    </row>
    <row r="1506" spans="1:15" x14ac:dyDescent="0.25">
      <c r="A1506" s="142" t="s">
        <v>1803</v>
      </c>
      <c r="B1506" s="142" t="s">
        <v>51</v>
      </c>
      <c r="C1506" s="142" t="s">
        <v>44</v>
      </c>
      <c r="D1506">
        <v>1.1000000000000001</v>
      </c>
      <c r="E1506">
        <v>3.0009999999999999</v>
      </c>
      <c r="F1506">
        <v>1E-3</v>
      </c>
      <c r="G1506" s="142" t="s">
        <v>13</v>
      </c>
      <c r="H1506" s="142" t="s">
        <v>12</v>
      </c>
      <c r="I1506">
        <v>1</v>
      </c>
      <c r="J1506">
        <v>5.01</v>
      </c>
      <c r="K1506" s="142" t="s">
        <v>10</v>
      </c>
      <c r="L1506">
        <v>1.3</v>
      </c>
      <c r="M1506">
        <v>6.9</v>
      </c>
      <c r="N1506">
        <v>1.1803999999999999</v>
      </c>
      <c r="O1506">
        <v>6.9222999999999999</v>
      </c>
    </row>
    <row r="1507" spans="1:15" x14ac:dyDescent="0.25">
      <c r="A1507" s="142" t="s">
        <v>1633</v>
      </c>
      <c r="B1507" s="142" t="s">
        <v>51</v>
      </c>
      <c r="C1507" s="142" t="s">
        <v>44</v>
      </c>
      <c r="D1507">
        <v>1.1000000000000001</v>
      </c>
      <c r="E1507">
        <v>3.0009999999999999</v>
      </c>
      <c r="F1507">
        <v>1E-3</v>
      </c>
      <c r="G1507" s="142" t="s">
        <v>13</v>
      </c>
      <c r="H1507" s="142" t="s">
        <v>12</v>
      </c>
      <c r="I1507">
        <v>5</v>
      </c>
      <c r="J1507">
        <v>10</v>
      </c>
      <c r="K1507" s="142" t="s">
        <v>10</v>
      </c>
      <c r="L1507">
        <v>5.8</v>
      </c>
      <c r="M1507">
        <v>29</v>
      </c>
      <c r="N1507">
        <v>5.78</v>
      </c>
      <c r="O1507">
        <v>28.866</v>
      </c>
    </row>
    <row r="1508" spans="1:15" x14ac:dyDescent="0.25">
      <c r="A1508" s="142" t="s">
        <v>1632</v>
      </c>
      <c r="B1508" s="142" t="s">
        <v>51</v>
      </c>
      <c r="C1508" s="142" t="s">
        <v>44</v>
      </c>
      <c r="D1508">
        <v>1.1000000000000001</v>
      </c>
      <c r="E1508">
        <v>3.0009999999999999</v>
      </c>
      <c r="F1508">
        <v>1E-3</v>
      </c>
      <c r="G1508" s="142" t="s">
        <v>13</v>
      </c>
      <c r="H1508" s="142" t="s">
        <v>12</v>
      </c>
      <c r="I1508">
        <v>10</v>
      </c>
      <c r="J1508">
        <v>10.01</v>
      </c>
      <c r="K1508" s="142" t="s">
        <v>10</v>
      </c>
      <c r="L1508">
        <v>5.8</v>
      </c>
      <c r="M1508">
        <v>29</v>
      </c>
      <c r="N1508">
        <v>5.78</v>
      </c>
      <c r="O1508">
        <v>28.866</v>
      </c>
    </row>
    <row r="1509" spans="1:15" x14ac:dyDescent="0.25">
      <c r="A1509" s="142" t="s">
        <v>1645</v>
      </c>
      <c r="B1509" s="142" t="s">
        <v>51</v>
      </c>
      <c r="C1509" s="142" t="s">
        <v>44</v>
      </c>
      <c r="D1509">
        <v>3</v>
      </c>
      <c r="E1509">
        <v>11.000999999999999</v>
      </c>
      <c r="F1509">
        <v>1E-3</v>
      </c>
      <c r="G1509" s="142" t="s">
        <v>13</v>
      </c>
      <c r="H1509" s="142" t="s">
        <v>12</v>
      </c>
      <c r="I1509">
        <v>4.4999999999999998E-2</v>
      </c>
      <c r="J1509">
        <v>0.10001</v>
      </c>
      <c r="K1509" s="142" t="s">
        <v>10</v>
      </c>
      <c r="L1509">
        <v>2.4</v>
      </c>
      <c r="M1509">
        <v>0.69</v>
      </c>
      <c r="N1509">
        <v>2.3708999999999998</v>
      </c>
      <c r="O1509">
        <v>0.69111999999999996</v>
      </c>
    </row>
    <row r="1510" spans="1:15" x14ac:dyDescent="0.25">
      <c r="A1510" s="142" t="s">
        <v>1808</v>
      </c>
      <c r="B1510" s="142" t="s">
        <v>51</v>
      </c>
      <c r="C1510" s="142" t="s">
        <v>44</v>
      </c>
      <c r="D1510">
        <v>3</v>
      </c>
      <c r="E1510">
        <v>11.000999999999999</v>
      </c>
      <c r="F1510">
        <v>1E-3</v>
      </c>
      <c r="G1510" s="142" t="s">
        <v>13</v>
      </c>
      <c r="H1510" s="142" t="s">
        <v>12</v>
      </c>
      <c r="I1510">
        <v>0.1</v>
      </c>
      <c r="J1510">
        <v>1.0000100000000001</v>
      </c>
      <c r="K1510" s="142" t="s">
        <v>10</v>
      </c>
      <c r="L1510">
        <v>2.4</v>
      </c>
      <c r="M1510">
        <v>1.2</v>
      </c>
      <c r="N1510">
        <v>2.3551000000000002</v>
      </c>
      <c r="O1510">
        <v>1.1531</v>
      </c>
    </row>
    <row r="1511" spans="1:15" x14ac:dyDescent="0.25">
      <c r="A1511" s="142" t="s">
        <v>1646</v>
      </c>
      <c r="B1511" s="142" t="s">
        <v>51</v>
      </c>
      <c r="C1511" s="142" t="s">
        <v>44</v>
      </c>
      <c r="D1511">
        <v>3</v>
      </c>
      <c r="E1511">
        <v>11.000999999999999</v>
      </c>
      <c r="F1511">
        <v>1E-3</v>
      </c>
      <c r="G1511" s="142" t="s">
        <v>13</v>
      </c>
      <c r="H1511" s="142" t="s">
        <v>12</v>
      </c>
      <c r="I1511">
        <v>1</v>
      </c>
      <c r="J1511">
        <v>5</v>
      </c>
      <c r="K1511" s="142" t="s">
        <v>10</v>
      </c>
      <c r="L1511">
        <v>2.5</v>
      </c>
      <c r="M1511">
        <v>35</v>
      </c>
      <c r="N1511">
        <v>2.3111999999999999</v>
      </c>
      <c r="O1511">
        <v>34.640999999999998</v>
      </c>
    </row>
    <row r="1512" spans="1:15" x14ac:dyDescent="0.25">
      <c r="A1512" s="142" t="s">
        <v>1644</v>
      </c>
      <c r="B1512" s="142" t="s">
        <v>51</v>
      </c>
      <c r="C1512" s="142" t="s">
        <v>44</v>
      </c>
      <c r="D1512">
        <v>3</v>
      </c>
      <c r="E1512">
        <v>11.000999999999999</v>
      </c>
      <c r="F1512">
        <v>1E-3</v>
      </c>
      <c r="G1512" s="142" t="s">
        <v>13</v>
      </c>
      <c r="H1512" s="142" t="s">
        <v>12</v>
      </c>
      <c r="I1512">
        <v>5</v>
      </c>
      <c r="J1512">
        <v>5.01</v>
      </c>
      <c r="K1512" s="142" t="s">
        <v>10</v>
      </c>
      <c r="L1512">
        <v>2.5</v>
      </c>
      <c r="M1512">
        <v>35</v>
      </c>
      <c r="N1512">
        <v>2.3111999999999999</v>
      </c>
      <c r="O1512">
        <v>34.640999999999998</v>
      </c>
    </row>
    <row r="1513" spans="1:15" x14ac:dyDescent="0.25">
      <c r="A1513" s="142" t="s">
        <v>1661</v>
      </c>
      <c r="B1513" s="142" t="s">
        <v>51</v>
      </c>
      <c r="C1513" s="142" t="s">
        <v>44</v>
      </c>
      <c r="D1513">
        <v>11</v>
      </c>
      <c r="E1513">
        <v>20.501000000000001</v>
      </c>
      <c r="F1513">
        <v>1E-3</v>
      </c>
      <c r="G1513" s="142" t="s">
        <v>13</v>
      </c>
      <c r="H1513" s="142" t="s">
        <v>12</v>
      </c>
      <c r="I1513">
        <v>4.4999999999999998E-2</v>
      </c>
      <c r="J1513">
        <v>0.10001</v>
      </c>
      <c r="K1513" s="142" t="s">
        <v>10</v>
      </c>
      <c r="L1513">
        <v>5.8</v>
      </c>
      <c r="M1513">
        <v>1.4</v>
      </c>
      <c r="N1513">
        <v>5.7854999999999999</v>
      </c>
      <c r="O1513">
        <v>1.3856999999999999</v>
      </c>
    </row>
    <row r="1514" spans="1:15" x14ac:dyDescent="0.25">
      <c r="A1514" s="142" t="s">
        <v>1662</v>
      </c>
      <c r="B1514" s="142" t="s">
        <v>51</v>
      </c>
      <c r="C1514" s="142" t="s">
        <v>44</v>
      </c>
      <c r="D1514">
        <v>11</v>
      </c>
      <c r="E1514">
        <v>20.501000000000001</v>
      </c>
      <c r="F1514">
        <v>1E-3</v>
      </c>
      <c r="G1514" s="142" t="s">
        <v>13</v>
      </c>
      <c r="H1514" s="142" t="s">
        <v>12</v>
      </c>
      <c r="I1514">
        <v>0.1</v>
      </c>
      <c r="J1514">
        <v>1.0000100000000001</v>
      </c>
      <c r="K1514" s="142" t="s">
        <v>10</v>
      </c>
      <c r="L1514">
        <v>6.5</v>
      </c>
      <c r="M1514">
        <v>1.7</v>
      </c>
      <c r="N1514">
        <v>5.7851999999999997</v>
      </c>
      <c r="O1514">
        <v>1.7321</v>
      </c>
    </row>
    <row r="1515" spans="1:15" x14ac:dyDescent="0.25">
      <c r="A1515" s="142" t="s">
        <v>1660</v>
      </c>
      <c r="B1515" s="142" t="s">
        <v>51</v>
      </c>
      <c r="C1515" s="142" t="s">
        <v>44</v>
      </c>
      <c r="D1515">
        <v>11</v>
      </c>
      <c r="E1515">
        <v>20.501000000000001</v>
      </c>
      <c r="F1515">
        <v>1E-3</v>
      </c>
      <c r="G1515" s="142" t="s">
        <v>13</v>
      </c>
      <c r="H1515" s="142" t="s">
        <v>12</v>
      </c>
      <c r="I1515">
        <v>1</v>
      </c>
      <c r="J1515">
        <v>5</v>
      </c>
      <c r="K1515" s="142" t="s">
        <v>10</v>
      </c>
      <c r="L1515">
        <v>5.9</v>
      </c>
      <c r="M1515">
        <v>35</v>
      </c>
      <c r="N1515">
        <v>5.7744999999999997</v>
      </c>
      <c r="O1515">
        <v>34.640999999999998</v>
      </c>
    </row>
    <row r="1516" spans="1:15" x14ac:dyDescent="0.25">
      <c r="A1516" s="142" t="s">
        <v>1663</v>
      </c>
      <c r="B1516" s="142" t="s">
        <v>51</v>
      </c>
      <c r="C1516" s="142" t="s">
        <v>44</v>
      </c>
      <c r="D1516">
        <v>11</v>
      </c>
      <c r="E1516">
        <v>20.501000000000001</v>
      </c>
      <c r="F1516">
        <v>1E-3</v>
      </c>
      <c r="G1516" s="142" t="s">
        <v>13</v>
      </c>
      <c r="H1516" s="142" t="s">
        <v>12</v>
      </c>
      <c r="I1516">
        <v>5</v>
      </c>
      <c r="J1516">
        <v>5.01</v>
      </c>
      <c r="K1516" s="142" t="s">
        <v>10</v>
      </c>
      <c r="L1516">
        <v>5.9</v>
      </c>
      <c r="M1516">
        <v>35</v>
      </c>
      <c r="N1516">
        <v>5.7744999999999997</v>
      </c>
      <c r="O1516">
        <v>34.640999999999998</v>
      </c>
    </row>
    <row r="1517" spans="1:15" x14ac:dyDescent="0.25">
      <c r="A1517" s="142" t="s">
        <v>1510</v>
      </c>
      <c r="B1517" s="142" t="s">
        <v>51</v>
      </c>
      <c r="C1517" s="142" t="s">
        <v>44</v>
      </c>
      <c r="D1517">
        <v>0</v>
      </c>
      <c r="E1517">
        <v>3.3000999999999999E-4</v>
      </c>
      <c r="F1517">
        <v>0.01</v>
      </c>
      <c r="G1517" s="142" t="s">
        <v>13</v>
      </c>
      <c r="H1517" s="142" t="s">
        <v>11</v>
      </c>
      <c r="I1517">
        <v>0.01</v>
      </c>
      <c r="J1517">
        <v>2.001E-2</v>
      </c>
      <c r="K1517" s="142" t="s">
        <v>10</v>
      </c>
      <c r="L1517">
        <v>5802.6</v>
      </c>
      <c r="M1517">
        <v>-87896</v>
      </c>
      <c r="N1517">
        <v>5800</v>
      </c>
      <c r="O1517">
        <v>-87896</v>
      </c>
    </row>
    <row r="1518" spans="1:15" x14ac:dyDescent="0.25">
      <c r="A1518" s="142" t="s">
        <v>1511</v>
      </c>
      <c r="B1518" s="142" t="s">
        <v>51</v>
      </c>
      <c r="C1518" s="142" t="s">
        <v>44</v>
      </c>
      <c r="D1518">
        <v>0</v>
      </c>
      <c r="E1518">
        <v>3.3000999999999999E-4</v>
      </c>
      <c r="F1518">
        <v>0.01</v>
      </c>
      <c r="G1518" s="142" t="s">
        <v>13</v>
      </c>
      <c r="H1518" s="142" t="s">
        <v>11</v>
      </c>
      <c r="I1518">
        <v>0.02</v>
      </c>
      <c r="J1518">
        <v>4.5010000000000001E-2</v>
      </c>
      <c r="K1518" s="142" t="s">
        <v>10</v>
      </c>
      <c r="L1518">
        <v>5773.6</v>
      </c>
      <c r="M1518">
        <v>0.16308</v>
      </c>
      <c r="N1518">
        <v>5773.6</v>
      </c>
      <c r="O1518">
        <v>0.12795999999999999</v>
      </c>
    </row>
    <row r="1519" spans="1:15" x14ac:dyDescent="0.25">
      <c r="A1519" s="142" t="s">
        <v>1752</v>
      </c>
      <c r="B1519" s="142" t="s">
        <v>51</v>
      </c>
      <c r="C1519" s="142" t="s">
        <v>44</v>
      </c>
      <c r="D1519">
        <v>0</v>
      </c>
      <c r="E1519">
        <v>3.3000999999999999E-4</v>
      </c>
      <c r="F1519">
        <v>0.01</v>
      </c>
      <c r="G1519" s="142" t="s">
        <v>13</v>
      </c>
      <c r="H1519" s="142" t="s">
        <v>11</v>
      </c>
      <c r="I1519">
        <v>4.4999999999999998E-2</v>
      </c>
      <c r="J1519">
        <v>1.0000100000000001</v>
      </c>
      <c r="K1519" s="142" t="s">
        <v>10</v>
      </c>
      <c r="L1519">
        <v>5773.6</v>
      </c>
      <c r="M1519">
        <v>0.12881000000000001</v>
      </c>
      <c r="N1519">
        <v>5773.6</v>
      </c>
      <c r="O1519">
        <v>9.3682000000000001E-2</v>
      </c>
    </row>
    <row r="1520" spans="1:15" x14ac:dyDescent="0.25">
      <c r="A1520" s="142" t="s">
        <v>1755</v>
      </c>
      <c r="B1520" s="142" t="s">
        <v>51</v>
      </c>
      <c r="C1520" s="142" t="s">
        <v>44</v>
      </c>
      <c r="D1520">
        <v>0</v>
      </c>
      <c r="E1520">
        <v>3.3000999999999999E-4</v>
      </c>
      <c r="F1520">
        <v>0.01</v>
      </c>
      <c r="G1520" s="142" t="s">
        <v>13</v>
      </c>
      <c r="H1520" s="142" t="s">
        <v>11</v>
      </c>
      <c r="I1520">
        <v>1</v>
      </c>
      <c r="J1520">
        <v>5.01</v>
      </c>
      <c r="K1520" s="142" t="s">
        <v>10</v>
      </c>
      <c r="L1520">
        <v>5773.6</v>
      </c>
      <c r="M1520">
        <v>0.51217999999999997</v>
      </c>
      <c r="N1520">
        <v>5773.6</v>
      </c>
      <c r="O1520">
        <v>0.47704999999999997</v>
      </c>
    </row>
    <row r="1521" spans="1:15" x14ac:dyDescent="0.25">
      <c r="A1521" s="142" t="s">
        <v>1509</v>
      </c>
      <c r="B1521" s="142" t="s">
        <v>51</v>
      </c>
      <c r="C1521" s="142" t="s">
        <v>44</v>
      </c>
      <c r="D1521">
        <v>0</v>
      </c>
      <c r="E1521">
        <v>3.3000999999999999E-4</v>
      </c>
      <c r="F1521">
        <v>0.01</v>
      </c>
      <c r="G1521" s="142" t="s">
        <v>13</v>
      </c>
      <c r="H1521" s="142" t="s">
        <v>11</v>
      </c>
      <c r="I1521">
        <v>5</v>
      </c>
      <c r="J1521">
        <v>10.01</v>
      </c>
      <c r="K1521" s="142" t="s">
        <v>10</v>
      </c>
      <c r="L1521">
        <v>5773.6</v>
      </c>
      <c r="M1521">
        <v>3.0975999999999999</v>
      </c>
      <c r="N1521">
        <v>5773.5</v>
      </c>
      <c r="O1521">
        <v>3.0226000000000002</v>
      </c>
    </row>
    <row r="1522" spans="1:15" x14ac:dyDescent="0.25">
      <c r="A1522" s="142" t="s">
        <v>1760</v>
      </c>
      <c r="B1522" s="142" t="s">
        <v>51</v>
      </c>
      <c r="C1522" s="142" t="s">
        <v>44</v>
      </c>
      <c r="D1522">
        <v>0</v>
      </c>
      <c r="E1522">
        <v>3.3000999999999999E-4</v>
      </c>
      <c r="F1522">
        <v>0.01</v>
      </c>
      <c r="G1522" s="142" t="s">
        <v>13</v>
      </c>
      <c r="H1522" s="142" t="s">
        <v>11</v>
      </c>
      <c r="I1522">
        <v>10</v>
      </c>
      <c r="J1522">
        <v>30</v>
      </c>
      <c r="K1522" s="142" t="s">
        <v>10</v>
      </c>
      <c r="L1522">
        <v>5773.6</v>
      </c>
      <c r="M1522">
        <v>12.164999999999999</v>
      </c>
      <c r="N1522">
        <v>5773.5</v>
      </c>
      <c r="O1522">
        <v>12.09</v>
      </c>
    </row>
    <row r="1523" spans="1:15" x14ac:dyDescent="0.25">
      <c r="A1523" s="142" t="s">
        <v>1512</v>
      </c>
      <c r="B1523" s="142" t="s">
        <v>51</v>
      </c>
      <c r="C1523" s="142" t="s">
        <v>44</v>
      </c>
      <c r="D1523">
        <v>0</v>
      </c>
      <c r="E1523">
        <v>3.3000999999999999E-4</v>
      </c>
      <c r="F1523">
        <v>0.01</v>
      </c>
      <c r="G1523" s="142" t="s">
        <v>13</v>
      </c>
      <c r="H1523" s="142" t="s">
        <v>11</v>
      </c>
      <c r="I1523">
        <v>30</v>
      </c>
      <c r="J1523">
        <v>30.1</v>
      </c>
      <c r="K1523" s="142" t="s">
        <v>10</v>
      </c>
      <c r="L1523">
        <v>5773.6</v>
      </c>
      <c r="M1523">
        <v>12.164999999999999</v>
      </c>
      <c r="N1523">
        <v>5773.5</v>
      </c>
      <c r="O1523">
        <v>12.09</v>
      </c>
    </row>
    <row r="1524" spans="1:15" x14ac:dyDescent="0.25">
      <c r="A1524" s="142" t="s">
        <v>1602</v>
      </c>
      <c r="B1524" s="142" t="s">
        <v>51</v>
      </c>
      <c r="C1524" s="142" t="s">
        <v>44</v>
      </c>
      <c r="D1524">
        <v>3.3000000000000002E-2</v>
      </c>
      <c r="E1524">
        <v>0.33001000000000003</v>
      </c>
      <c r="F1524">
        <v>0.01</v>
      </c>
      <c r="G1524" s="142" t="s">
        <v>13</v>
      </c>
      <c r="H1524" s="142" t="s">
        <v>12</v>
      </c>
      <c r="I1524">
        <v>0.01</v>
      </c>
      <c r="J1524">
        <v>2.001E-2</v>
      </c>
      <c r="K1524" s="142" t="s">
        <v>10</v>
      </c>
      <c r="L1524">
        <v>5.7694999999999999</v>
      </c>
      <c r="M1524">
        <v>0.14516999999999999</v>
      </c>
      <c r="N1524">
        <v>5.7694999999999999</v>
      </c>
      <c r="O1524">
        <v>0.14515</v>
      </c>
    </row>
    <row r="1525" spans="1:15" x14ac:dyDescent="0.25">
      <c r="A1525" s="142" t="s">
        <v>1603</v>
      </c>
      <c r="B1525" s="142" t="s">
        <v>51</v>
      </c>
      <c r="C1525" s="142" t="s">
        <v>44</v>
      </c>
      <c r="D1525">
        <v>3.3000000000000002E-2</v>
      </c>
      <c r="E1525">
        <v>0.33001000000000003</v>
      </c>
      <c r="F1525">
        <v>0.01</v>
      </c>
      <c r="G1525" s="142" t="s">
        <v>13</v>
      </c>
      <c r="H1525" s="142" t="s">
        <v>12</v>
      </c>
      <c r="I1525">
        <v>0.02</v>
      </c>
      <c r="J1525">
        <v>4.5010000000000001E-2</v>
      </c>
      <c r="K1525" s="142" t="s">
        <v>10</v>
      </c>
      <c r="L1525">
        <v>5.7725999999999997</v>
      </c>
      <c r="M1525">
        <v>3.8390000000000001E-2</v>
      </c>
      <c r="N1525">
        <v>5.7725999999999997</v>
      </c>
      <c r="O1525">
        <v>3.8365000000000003E-2</v>
      </c>
    </row>
    <row r="1526" spans="1:15" x14ac:dyDescent="0.25">
      <c r="A1526" s="142" t="s">
        <v>1601</v>
      </c>
      <c r="B1526" s="142" t="s">
        <v>51</v>
      </c>
      <c r="C1526" s="142" t="s">
        <v>44</v>
      </c>
      <c r="D1526">
        <v>3.3000000000000002E-2</v>
      </c>
      <c r="E1526">
        <v>0.33001000000000003</v>
      </c>
      <c r="F1526">
        <v>0.01</v>
      </c>
      <c r="G1526" s="142" t="s">
        <v>13</v>
      </c>
      <c r="H1526" s="142" t="s">
        <v>12</v>
      </c>
      <c r="I1526">
        <v>4.4999999999999998E-2</v>
      </c>
      <c r="J1526">
        <v>1.0000100000000001</v>
      </c>
      <c r="K1526" s="142" t="s">
        <v>10</v>
      </c>
      <c r="L1526">
        <v>5.7733999999999996</v>
      </c>
      <c r="M1526">
        <v>8.8941000000000003E-3</v>
      </c>
      <c r="N1526">
        <v>5.7733999999999996</v>
      </c>
      <c r="O1526">
        <v>8.8681999999999997E-3</v>
      </c>
    </row>
    <row r="1527" spans="1:15" x14ac:dyDescent="0.25">
      <c r="A1527" s="142" t="s">
        <v>1604</v>
      </c>
      <c r="B1527" s="142" t="s">
        <v>51</v>
      </c>
      <c r="C1527" s="142" t="s">
        <v>44</v>
      </c>
      <c r="D1527">
        <v>3.3000000000000002E-2</v>
      </c>
      <c r="E1527">
        <v>0.33001000000000003</v>
      </c>
      <c r="F1527">
        <v>0.01</v>
      </c>
      <c r="G1527" s="142" t="s">
        <v>13</v>
      </c>
      <c r="H1527" s="142" t="s">
        <v>12</v>
      </c>
      <c r="I1527">
        <v>1</v>
      </c>
      <c r="J1527">
        <v>5.01</v>
      </c>
      <c r="K1527" s="142" t="s">
        <v>10</v>
      </c>
      <c r="L1527">
        <v>5.7725999999999997</v>
      </c>
      <c r="M1527">
        <v>5.3741999999999998E-2</v>
      </c>
      <c r="N1527">
        <v>5.7725999999999997</v>
      </c>
      <c r="O1527">
        <v>5.3697000000000002E-2</v>
      </c>
    </row>
    <row r="1528" spans="1:15" x14ac:dyDescent="0.25">
      <c r="A1528" s="142" t="s">
        <v>1600</v>
      </c>
      <c r="B1528" s="142" t="s">
        <v>51</v>
      </c>
      <c r="C1528" s="142" t="s">
        <v>44</v>
      </c>
      <c r="D1528">
        <v>3.3000000000000002E-2</v>
      </c>
      <c r="E1528">
        <v>0.33001000000000003</v>
      </c>
      <c r="F1528">
        <v>0.01</v>
      </c>
      <c r="G1528" s="142" t="s">
        <v>13</v>
      </c>
      <c r="H1528" s="142" t="s">
        <v>12</v>
      </c>
      <c r="I1528">
        <v>5</v>
      </c>
      <c r="J1528">
        <v>10.01</v>
      </c>
      <c r="K1528" s="142" t="s">
        <v>10</v>
      </c>
      <c r="L1528">
        <v>5.7697000000000003</v>
      </c>
      <c r="M1528">
        <v>0.21298</v>
      </c>
      <c r="N1528">
        <v>5.7697000000000003</v>
      </c>
      <c r="O1528">
        <v>0.21288000000000001</v>
      </c>
    </row>
    <row r="1529" spans="1:15" x14ac:dyDescent="0.25">
      <c r="A1529" s="142" t="s">
        <v>1789</v>
      </c>
      <c r="B1529" s="142" t="s">
        <v>51</v>
      </c>
      <c r="C1529" s="142" t="s">
        <v>44</v>
      </c>
      <c r="D1529">
        <v>3.3000000000000002E-2</v>
      </c>
      <c r="E1529">
        <v>0.33001000000000003</v>
      </c>
      <c r="F1529">
        <v>0.01</v>
      </c>
      <c r="G1529" s="142" t="s">
        <v>13</v>
      </c>
      <c r="H1529" s="142" t="s">
        <v>12</v>
      </c>
      <c r="I1529">
        <v>10</v>
      </c>
      <c r="J1529">
        <v>30</v>
      </c>
      <c r="K1529" s="142" t="s">
        <v>10</v>
      </c>
      <c r="L1529">
        <v>5.7587000000000002</v>
      </c>
      <c r="M1529">
        <v>0.83674000000000004</v>
      </c>
      <c r="N1529">
        <v>5.7587000000000002</v>
      </c>
      <c r="O1529">
        <v>0.83650999999999998</v>
      </c>
    </row>
    <row r="1530" spans="1:15" x14ac:dyDescent="0.25">
      <c r="A1530" s="142" t="s">
        <v>1599</v>
      </c>
      <c r="B1530" s="142" t="s">
        <v>51</v>
      </c>
      <c r="C1530" s="142" t="s">
        <v>44</v>
      </c>
      <c r="D1530">
        <v>3.3000000000000002E-2</v>
      </c>
      <c r="E1530">
        <v>0.33001000000000003</v>
      </c>
      <c r="F1530">
        <v>0.01</v>
      </c>
      <c r="G1530" s="142" t="s">
        <v>13</v>
      </c>
      <c r="H1530" s="142" t="s">
        <v>12</v>
      </c>
      <c r="I1530">
        <v>30</v>
      </c>
      <c r="J1530">
        <v>30.01</v>
      </c>
      <c r="K1530" s="142" t="s">
        <v>10</v>
      </c>
      <c r="L1530">
        <v>5.7587000000000002</v>
      </c>
      <c r="M1530">
        <v>0.83674000000000004</v>
      </c>
      <c r="N1530">
        <v>5.7587000000000002</v>
      </c>
      <c r="O1530">
        <v>0.83650999999999998</v>
      </c>
    </row>
    <row r="1531" spans="1:15" x14ac:dyDescent="0.25">
      <c r="A1531" s="142" t="s">
        <v>1791</v>
      </c>
      <c r="B1531" s="142" t="s">
        <v>51</v>
      </c>
      <c r="C1531" s="142" t="s">
        <v>44</v>
      </c>
      <c r="D1531">
        <v>0.33</v>
      </c>
      <c r="E1531">
        <v>1.1000099999999999</v>
      </c>
      <c r="F1531">
        <v>0.01</v>
      </c>
      <c r="G1531" s="142" t="s">
        <v>13</v>
      </c>
      <c r="H1531" s="142" t="s">
        <v>12</v>
      </c>
      <c r="I1531">
        <v>0.01</v>
      </c>
      <c r="J1531">
        <v>4.5010000000000001E-2</v>
      </c>
      <c r="K1531" s="142" t="s">
        <v>10</v>
      </c>
      <c r="L1531">
        <v>5.6471</v>
      </c>
      <c r="M1531">
        <v>0.55145</v>
      </c>
      <c r="N1531">
        <v>5.6471</v>
      </c>
      <c r="O1531">
        <v>0.55120999999999998</v>
      </c>
    </row>
    <row r="1532" spans="1:15" x14ac:dyDescent="0.25">
      <c r="A1532" s="142" t="s">
        <v>1619</v>
      </c>
      <c r="B1532" s="142" t="s">
        <v>51</v>
      </c>
      <c r="C1532" s="142" t="s">
        <v>44</v>
      </c>
      <c r="D1532">
        <v>0.33</v>
      </c>
      <c r="E1532">
        <v>1.1000099999999999</v>
      </c>
      <c r="F1532">
        <v>0.01</v>
      </c>
      <c r="G1532" s="142" t="s">
        <v>13</v>
      </c>
      <c r="H1532" s="142" t="s">
        <v>12</v>
      </c>
      <c r="I1532">
        <v>4.4999999999999998E-2</v>
      </c>
      <c r="J1532">
        <v>1.0000100000000001</v>
      </c>
      <c r="K1532" s="142" t="s">
        <v>10</v>
      </c>
      <c r="L1532">
        <v>5.7643000000000004</v>
      </c>
      <c r="M1532">
        <v>5.3023000000000001E-2</v>
      </c>
      <c r="N1532">
        <v>5.7643000000000004</v>
      </c>
      <c r="O1532">
        <v>5.2760000000000001E-2</v>
      </c>
    </row>
    <row r="1533" spans="1:15" x14ac:dyDescent="0.25">
      <c r="A1533" s="142" t="s">
        <v>1616</v>
      </c>
      <c r="B1533" s="142" t="s">
        <v>51</v>
      </c>
      <c r="C1533" s="142" t="s">
        <v>44</v>
      </c>
      <c r="D1533">
        <v>0.33</v>
      </c>
      <c r="E1533">
        <v>1.1000099999999999</v>
      </c>
      <c r="F1533">
        <v>0.01</v>
      </c>
      <c r="G1533" s="142" t="s">
        <v>13</v>
      </c>
      <c r="H1533" s="142" t="s">
        <v>12</v>
      </c>
      <c r="I1533">
        <v>1</v>
      </c>
      <c r="J1533">
        <v>5.01</v>
      </c>
      <c r="K1533" s="142" t="s">
        <v>10</v>
      </c>
      <c r="L1533">
        <v>5.1010999999999997</v>
      </c>
      <c r="M1533">
        <v>4.9149000000000003</v>
      </c>
      <c r="N1533">
        <v>5.0998000000000001</v>
      </c>
      <c r="O1533">
        <v>4.9135999999999997</v>
      </c>
    </row>
    <row r="1534" spans="1:15" x14ac:dyDescent="0.25">
      <c r="A1534" s="142" t="s">
        <v>1617</v>
      </c>
      <c r="B1534" s="142" t="s">
        <v>51</v>
      </c>
      <c r="C1534" s="142" t="s">
        <v>44</v>
      </c>
      <c r="D1534">
        <v>0.33</v>
      </c>
      <c r="E1534">
        <v>1.1000099999999999</v>
      </c>
      <c r="F1534">
        <v>0.01</v>
      </c>
      <c r="G1534" s="142" t="s">
        <v>13</v>
      </c>
      <c r="H1534" s="142" t="s">
        <v>12</v>
      </c>
      <c r="I1534">
        <v>5</v>
      </c>
      <c r="J1534">
        <v>10</v>
      </c>
      <c r="K1534" s="142" t="s">
        <v>10</v>
      </c>
      <c r="L1534">
        <v>7.0907999999999998</v>
      </c>
      <c r="M1534">
        <v>28.073</v>
      </c>
      <c r="N1534">
        <v>7.0891000000000002</v>
      </c>
      <c r="O1534">
        <v>28.073</v>
      </c>
    </row>
    <row r="1535" spans="1:15" x14ac:dyDescent="0.25">
      <c r="A1535" s="142" t="s">
        <v>1618</v>
      </c>
      <c r="B1535" s="142" t="s">
        <v>51</v>
      </c>
      <c r="C1535" s="142" t="s">
        <v>44</v>
      </c>
      <c r="D1535">
        <v>0.33</v>
      </c>
      <c r="E1535">
        <v>1.1000099999999999</v>
      </c>
      <c r="F1535">
        <v>0.01</v>
      </c>
      <c r="G1535" s="142" t="s">
        <v>13</v>
      </c>
      <c r="H1535" s="142" t="s">
        <v>12</v>
      </c>
      <c r="I1535">
        <v>10</v>
      </c>
      <c r="J1535">
        <v>10.01</v>
      </c>
      <c r="K1535" s="142" t="s">
        <v>10</v>
      </c>
      <c r="L1535">
        <v>7.0907999999999998</v>
      </c>
      <c r="M1535">
        <v>28.073</v>
      </c>
      <c r="N1535">
        <v>7.0891000000000002</v>
      </c>
      <c r="O1535">
        <v>28.073</v>
      </c>
    </row>
    <row r="1536" spans="1:15" x14ac:dyDescent="0.25">
      <c r="A1536" s="142" t="s">
        <v>1636</v>
      </c>
      <c r="B1536" s="142" t="s">
        <v>51</v>
      </c>
      <c r="C1536" s="142" t="s">
        <v>44</v>
      </c>
      <c r="D1536">
        <v>1.1000000000000001</v>
      </c>
      <c r="E1536">
        <v>3.0009999999999999</v>
      </c>
      <c r="F1536">
        <v>0.01</v>
      </c>
      <c r="G1536" s="142" t="s">
        <v>13</v>
      </c>
      <c r="H1536" s="142" t="s">
        <v>12</v>
      </c>
      <c r="I1536">
        <v>0.01</v>
      </c>
      <c r="J1536">
        <v>4.5010000000000001E-2</v>
      </c>
      <c r="K1536" s="142" t="s">
        <v>10</v>
      </c>
      <c r="L1536">
        <v>4.9070999999999998</v>
      </c>
      <c r="M1536">
        <v>1.2281</v>
      </c>
      <c r="N1536">
        <v>4.9043000000000001</v>
      </c>
      <c r="O1536">
        <v>1.2264999999999999</v>
      </c>
    </row>
    <row r="1537" spans="1:15" x14ac:dyDescent="0.25">
      <c r="A1537" s="142" t="s">
        <v>1635</v>
      </c>
      <c r="B1537" s="142" t="s">
        <v>51</v>
      </c>
      <c r="C1537" s="142" t="s">
        <v>44</v>
      </c>
      <c r="D1537">
        <v>1.1000000000000001</v>
      </c>
      <c r="E1537">
        <v>3.0009999999999999</v>
      </c>
      <c r="F1537">
        <v>0.01</v>
      </c>
      <c r="G1537" s="142" t="s">
        <v>13</v>
      </c>
      <c r="H1537" s="142" t="s">
        <v>12</v>
      </c>
      <c r="I1537">
        <v>4.4999999999999998E-2</v>
      </c>
      <c r="J1537">
        <v>1.0000100000000001</v>
      </c>
      <c r="K1537" s="142" t="s">
        <v>10</v>
      </c>
      <c r="L1537">
        <v>5.6463000000000001</v>
      </c>
      <c r="M1537">
        <v>0.18057000000000001</v>
      </c>
      <c r="N1537">
        <v>5.6448</v>
      </c>
      <c r="O1537">
        <v>0.17757999999999999</v>
      </c>
    </row>
    <row r="1538" spans="1:15" x14ac:dyDescent="0.25">
      <c r="A1538" s="142" t="s">
        <v>1637</v>
      </c>
      <c r="B1538" s="142" t="s">
        <v>51</v>
      </c>
      <c r="C1538" s="142" t="s">
        <v>44</v>
      </c>
      <c r="D1538">
        <v>1.1000000000000001</v>
      </c>
      <c r="E1538">
        <v>3.0009999999999999</v>
      </c>
      <c r="F1538">
        <v>0.01</v>
      </c>
      <c r="G1538" s="142" t="s">
        <v>13</v>
      </c>
      <c r="H1538" s="142" t="s">
        <v>12</v>
      </c>
      <c r="I1538">
        <v>1</v>
      </c>
      <c r="J1538">
        <v>5.01</v>
      </c>
      <c r="K1538" s="142" t="s">
        <v>10</v>
      </c>
      <c r="L1538">
        <v>3.4546999999999999</v>
      </c>
      <c r="M1538">
        <v>6.4116</v>
      </c>
      <c r="N1538">
        <v>3.4521000000000002</v>
      </c>
      <c r="O1538">
        <v>6.4115000000000002</v>
      </c>
    </row>
    <row r="1539" spans="1:15" x14ac:dyDescent="0.25">
      <c r="A1539" s="142" t="s">
        <v>1638</v>
      </c>
      <c r="B1539" s="142" t="s">
        <v>51</v>
      </c>
      <c r="C1539" s="142" t="s">
        <v>44</v>
      </c>
      <c r="D1539">
        <v>1.1000000000000001</v>
      </c>
      <c r="E1539">
        <v>3.0009999999999999</v>
      </c>
      <c r="F1539">
        <v>0.01</v>
      </c>
      <c r="G1539" s="142" t="s">
        <v>13</v>
      </c>
      <c r="H1539" s="142" t="s">
        <v>12</v>
      </c>
      <c r="I1539">
        <v>5</v>
      </c>
      <c r="J1539">
        <v>10</v>
      </c>
      <c r="K1539" s="142" t="s">
        <v>10</v>
      </c>
      <c r="L1539">
        <v>6.2283999999999997</v>
      </c>
      <c r="M1539">
        <v>28.856999999999999</v>
      </c>
      <c r="N1539">
        <v>6.3663999999999996</v>
      </c>
      <c r="O1539">
        <v>28.73</v>
      </c>
    </row>
    <row r="1540" spans="1:15" x14ac:dyDescent="0.25">
      <c r="A1540" s="142" t="s">
        <v>1634</v>
      </c>
      <c r="B1540" s="142" t="s">
        <v>51</v>
      </c>
      <c r="C1540" s="142" t="s">
        <v>44</v>
      </c>
      <c r="D1540">
        <v>1.1000000000000001</v>
      </c>
      <c r="E1540">
        <v>3.0009999999999999</v>
      </c>
      <c r="F1540">
        <v>0.01</v>
      </c>
      <c r="G1540" s="142" t="s">
        <v>13</v>
      </c>
      <c r="H1540" s="142" t="s">
        <v>12</v>
      </c>
      <c r="I1540">
        <v>10</v>
      </c>
      <c r="J1540">
        <v>10.01</v>
      </c>
      <c r="K1540" s="142" t="s">
        <v>10</v>
      </c>
      <c r="L1540">
        <v>6.2283999999999997</v>
      </c>
      <c r="M1540">
        <v>28.856999999999999</v>
      </c>
      <c r="N1540">
        <v>6.3663999999999996</v>
      </c>
      <c r="O1540">
        <v>28.73</v>
      </c>
    </row>
    <row r="1541" spans="1:15" x14ac:dyDescent="0.25">
      <c r="A1541" s="142" t="s">
        <v>1805</v>
      </c>
      <c r="B1541" s="142" t="s">
        <v>51</v>
      </c>
      <c r="C1541" s="142" t="s">
        <v>44</v>
      </c>
      <c r="D1541">
        <v>3</v>
      </c>
      <c r="E1541">
        <v>11.000999999999999</v>
      </c>
      <c r="F1541">
        <v>0.01</v>
      </c>
      <c r="G1541" s="142" t="s">
        <v>13</v>
      </c>
      <c r="H1541" s="142" t="s">
        <v>12</v>
      </c>
      <c r="I1541">
        <v>4.4999999999999998E-2</v>
      </c>
      <c r="J1541">
        <v>0.10001</v>
      </c>
      <c r="K1541" s="142" t="s">
        <v>10</v>
      </c>
      <c r="L1541">
        <v>5.6643999999999997</v>
      </c>
      <c r="M1541">
        <v>0.53041000000000005</v>
      </c>
      <c r="N1541">
        <v>5.6622000000000003</v>
      </c>
      <c r="O1541">
        <v>0.53025999999999995</v>
      </c>
    </row>
    <row r="1542" spans="1:15" x14ac:dyDescent="0.25">
      <c r="A1542" s="142" t="s">
        <v>1648</v>
      </c>
      <c r="B1542" s="142" t="s">
        <v>51</v>
      </c>
      <c r="C1542" s="142" t="s">
        <v>44</v>
      </c>
      <c r="D1542">
        <v>3</v>
      </c>
      <c r="E1542">
        <v>11.000999999999999</v>
      </c>
      <c r="F1542">
        <v>0.01</v>
      </c>
      <c r="G1542" s="142" t="s">
        <v>13</v>
      </c>
      <c r="H1542" s="142" t="s">
        <v>12</v>
      </c>
      <c r="I1542">
        <v>0.1</v>
      </c>
      <c r="J1542">
        <v>1.0000100000000001</v>
      </c>
      <c r="K1542" s="142" t="s">
        <v>10</v>
      </c>
      <c r="L1542">
        <v>5.1971999999999996</v>
      </c>
      <c r="M1542">
        <v>0.99041000000000001</v>
      </c>
      <c r="N1542">
        <v>5.1951000000000001</v>
      </c>
      <c r="O1542">
        <v>0.99036000000000002</v>
      </c>
    </row>
    <row r="1543" spans="1:15" x14ac:dyDescent="0.25">
      <c r="A1543" s="142" t="s">
        <v>1647</v>
      </c>
      <c r="B1543" s="142" t="s">
        <v>51</v>
      </c>
      <c r="C1543" s="142" t="s">
        <v>44</v>
      </c>
      <c r="D1543">
        <v>3</v>
      </c>
      <c r="E1543">
        <v>11.000999999999999</v>
      </c>
      <c r="F1543">
        <v>0.01</v>
      </c>
      <c r="G1543" s="142" t="s">
        <v>13</v>
      </c>
      <c r="H1543" s="142" t="s">
        <v>12</v>
      </c>
      <c r="I1543">
        <v>1</v>
      </c>
      <c r="J1543">
        <v>5</v>
      </c>
      <c r="K1543" s="142" t="s">
        <v>10</v>
      </c>
      <c r="L1543">
        <v>2.5</v>
      </c>
      <c r="M1543">
        <v>35</v>
      </c>
      <c r="N1543">
        <v>2.5084</v>
      </c>
      <c r="O1543">
        <v>34.627000000000002</v>
      </c>
    </row>
    <row r="1544" spans="1:15" x14ac:dyDescent="0.25">
      <c r="A1544" s="142" t="s">
        <v>1809</v>
      </c>
      <c r="B1544" s="142" t="s">
        <v>51</v>
      </c>
      <c r="C1544" s="142" t="s">
        <v>44</v>
      </c>
      <c r="D1544">
        <v>3</v>
      </c>
      <c r="E1544">
        <v>11.000999999999999</v>
      </c>
      <c r="F1544">
        <v>0.01</v>
      </c>
      <c r="G1544" s="142" t="s">
        <v>13</v>
      </c>
      <c r="H1544" s="142" t="s">
        <v>12</v>
      </c>
      <c r="I1544">
        <v>5</v>
      </c>
      <c r="J1544">
        <v>5.01</v>
      </c>
      <c r="K1544" s="142" t="s">
        <v>10</v>
      </c>
      <c r="L1544">
        <v>2.5</v>
      </c>
      <c r="M1544">
        <v>35</v>
      </c>
      <c r="N1544">
        <v>2.5084</v>
      </c>
      <c r="O1544">
        <v>34.627000000000002</v>
      </c>
    </row>
    <row r="1545" spans="1:15" x14ac:dyDescent="0.25">
      <c r="A1545" s="142" t="s">
        <v>1810</v>
      </c>
      <c r="B1545" s="142" t="s">
        <v>51</v>
      </c>
      <c r="C1545" s="142" t="s">
        <v>44</v>
      </c>
      <c r="D1545">
        <v>11</v>
      </c>
      <c r="E1545">
        <v>20.501000000000001</v>
      </c>
      <c r="F1545">
        <v>0.01</v>
      </c>
      <c r="G1545" s="142" t="s">
        <v>13</v>
      </c>
      <c r="H1545" s="142" t="s">
        <v>12</v>
      </c>
      <c r="I1545">
        <v>4.4999999999999998E-2</v>
      </c>
      <c r="J1545">
        <v>0.10001</v>
      </c>
      <c r="K1545" s="142" t="s">
        <v>10</v>
      </c>
      <c r="L1545">
        <v>6.9249000000000001</v>
      </c>
      <c r="M1545">
        <v>1.3567</v>
      </c>
      <c r="N1545">
        <v>6.9028</v>
      </c>
      <c r="O1545">
        <v>1.3548</v>
      </c>
    </row>
    <row r="1546" spans="1:15" x14ac:dyDescent="0.25">
      <c r="A1546" s="142" t="s">
        <v>1665</v>
      </c>
      <c r="B1546" s="142" t="s">
        <v>51</v>
      </c>
      <c r="C1546" s="142" t="s">
        <v>44</v>
      </c>
      <c r="D1546">
        <v>11</v>
      </c>
      <c r="E1546">
        <v>20.501000000000001</v>
      </c>
      <c r="F1546">
        <v>0.01</v>
      </c>
      <c r="G1546" s="142" t="s">
        <v>13</v>
      </c>
      <c r="H1546" s="142" t="s">
        <v>12</v>
      </c>
      <c r="I1546">
        <v>0.1</v>
      </c>
      <c r="J1546">
        <v>1.0000100000000001</v>
      </c>
      <c r="K1546" s="142" t="s">
        <v>10</v>
      </c>
      <c r="L1546">
        <v>6.7671000000000001</v>
      </c>
      <c r="M1546">
        <v>1.7061999999999999</v>
      </c>
      <c r="N1546">
        <v>6.7465999999999999</v>
      </c>
      <c r="O1546">
        <v>1.7047000000000001</v>
      </c>
    </row>
    <row r="1547" spans="1:15" x14ac:dyDescent="0.25">
      <c r="A1547" s="142" t="s">
        <v>1666</v>
      </c>
      <c r="B1547" s="142" t="s">
        <v>51</v>
      </c>
      <c r="C1547" s="142" t="s">
        <v>44</v>
      </c>
      <c r="D1547">
        <v>11</v>
      </c>
      <c r="E1547">
        <v>20.501000000000001</v>
      </c>
      <c r="F1547">
        <v>0.01</v>
      </c>
      <c r="G1547" s="142" t="s">
        <v>13</v>
      </c>
      <c r="H1547" s="142" t="s">
        <v>12</v>
      </c>
      <c r="I1547">
        <v>1</v>
      </c>
      <c r="J1547">
        <v>5</v>
      </c>
      <c r="K1547" s="142" t="s">
        <v>10</v>
      </c>
      <c r="L1547">
        <v>5.9</v>
      </c>
      <c r="M1547">
        <v>35</v>
      </c>
      <c r="N1547">
        <v>5.8395000000000001</v>
      </c>
      <c r="O1547">
        <v>34.639000000000003</v>
      </c>
    </row>
    <row r="1548" spans="1:15" x14ac:dyDescent="0.25">
      <c r="A1548" s="142" t="s">
        <v>1664</v>
      </c>
      <c r="B1548" s="142" t="s">
        <v>51</v>
      </c>
      <c r="C1548" s="142" t="s">
        <v>44</v>
      </c>
      <c r="D1548">
        <v>11</v>
      </c>
      <c r="E1548">
        <v>20.501000000000001</v>
      </c>
      <c r="F1548">
        <v>0.01</v>
      </c>
      <c r="G1548" s="142" t="s">
        <v>13</v>
      </c>
      <c r="H1548" s="142" t="s">
        <v>12</v>
      </c>
      <c r="I1548">
        <v>5</v>
      </c>
      <c r="J1548">
        <v>5.01</v>
      </c>
      <c r="K1548" s="142" t="s">
        <v>10</v>
      </c>
      <c r="L1548">
        <v>5.9</v>
      </c>
      <c r="M1548">
        <v>35</v>
      </c>
      <c r="N1548">
        <v>5.8395000000000001</v>
      </c>
      <c r="O1548">
        <v>34.639000000000003</v>
      </c>
    </row>
    <row r="1549" spans="1:15" x14ac:dyDescent="0.25">
      <c r="A1549" s="142" t="s">
        <v>1513</v>
      </c>
      <c r="B1549" s="142" t="s">
        <v>51</v>
      </c>
      <c r="C1549" s="142" t="s">
        <v>44</v>
      </c>
      <c r="D1549">
        <v>0</v>
      </c>
      <c r="E1549">
        <v>3.3000999999999999E-4</v>
      </c>
      <c r="F1549">
        <v>0.1</v>
      </c>
      <c r="G1549" s="142" t="s">
        <v>13</v>
      </c>
      <c r="H1549" s="142" t="s">
        <v>11</v>
      </c>
      <c r="I1549">
        <v>0.01</v>
      </c>
      <c r="J1549">
        <v>2.001E-2</v>
      </c>
      <c r="K1549" s="142" t="s">
        <v>10</v>
      </c>
      <c r="L1549">
        <v>58026</v>
      </c>
      <c r="M1549">
        <v>-878960</v>
      </c>
      <c r="N1549">
        <v>58000</v>
      </c>
      <c r="O1549">
        <v>-878960</v>
      </c>
    </row>
    <row r="1550" spans="1:15" x14ac:dyDescent="0.25">
      <c r="A1550" s="142" t="s">
        <v>1518</v>
      </c>
      <c r="B1550" s="142" t="s">
        <v>51</v>
      </c>
      <c r="C1550" s="142" t="s">
        <v>44</v>
      </c>
      <c r="D1550">
        <v>0</v>
      </c>
      <c r="E1550">
        <v>3.3000999999999999E-4</v>
      </c>
      <c r="F1550">
        <v>0.1</v>
      </c>
      <c r="G1550" s="142" t="s">
        <v>13</v>
      </c>
      <c r="H1550" s="142" t="s">
        <v>11</v>
      </c>
      <c r="I1550">
        <v>0.02</v>
      </c>
      <c r="J1550">
        <v>4.5010000000000001E-2</v>
      </c>
      <c r="K1550" s="142" t="s">
        <v>10</v>
      </c>
      <c r="L1550">
        <v>57736</v>
      </c>
      <c r="M1550">
        <v>2.6846999999999999E-2</v>
      </c>
      <c r="N1550">
        <v>57736</v>
      </c>
      <c r="O1550">
        <v>1.2796E-2</v>
      </c>
    </row>
    <row r="1551" spans="1:15" x14ac:dyDescent="0.25">
      <c r="A1551" s="142" t="s">
        <v>1517</v>
      </c>
      <c r="B1551" s="142" t="s">
        <v>51</v>
      </c>
      <c r="C1551" s="142" t="s">
        <v>44</v>
      </c>
      <c r="D1551">
        <v>0</v>
      </c>
      <c r="E1551">
        <v>3.3000999999999999E-4</v>
      </c>
      <c r="F1551">
        <v>0.1</v>
      </c>
      <c r="G1551" s="142" t="s">
        <v>13</v>
      </c>
      <c r="H1551" s="142" t="s">
        <v>11</v>
      </c>
      <c r="I1551">
        <v>4.4999999999999998E-2</v>
      </c>
      <c r="J1551">
        <v>1.0000100000000001</v>
      </c>
      <c r="K1551" s="142" t="s">
        <v>10</v>
      </c>
      <c r="L1551">
        <v>57736</v>
      </c>
      <c r="M1551">
        <v>2.342E-2</v>
      </c>
      <c r="N1551">
        <v>57736</v>
      </c>
      <c r="O1551">
        <v>9.3682000000000001E-3</v>
      </c>
    </row>
    <row r="1552" spans="1:15" x14ac:dyDescent="0.25">
      <c r="A1552" s="142" t="s">
        <v>1756</v>
      </c>
      <c r="B1552" s="142" t="s">
        <v>51</v>
      </c>
      <c r="C1552" s="142" t="s">
        <v>44</v>
      </c>
      <c r="D1552">
        <v>0</v>
      </c>
      <c r="E1552">
        <v>3.3000999999999999E-4</v>
      </c>
      <c r="F1552">
        <v>0.1</v>
      </c>
      <c r="G1552" s="142" t="s">
        <v>13</v>
      </c>
      <c r="H1552" s="142" t="s">
        <v>11</v>
      </c>
      <c r="I1552">
        <v>1</v>
      </c>
      <c r="J1552">
        <v>5.01</v>
      </c>
      <c r="K1552" s="142" t="s">
        <v>10</v>
      </c>
      <c r="L1552">
        <v>57736</v>
      </c>
      <c r="M1552">
        <v>6.1755999999999998E-2</v>
      </c>
      <c r="N1552">
        <v>57736</v>
      </c>
      <c r="O1552">
        <v>4.7704999999999997E-2</v>
      </c>
    </row>
    <row r="1553" spans="1:15" x14ac:dyDescent="0.25">
      <c r="A1553" s="142" t="s">
        <v>1515</v>
      </c>
      <c r="B1553" s="142" t="s">
        <v>51</v>
      </c>
      <c r="C1553" s="142" t="s">
        <v>44</v>
      </c>
      <c r="D1553">
        <v>0</v>
      </c>
      <c r="E1553">
        <v>3.3000999999999999E-4</v>
      </c>
      <c r="F1553">
        <v>0.1</v>
      </c>
      <c r="G1553" s="142" t="s">
        <v>13</v>
      </c>
      <c r="H1553" s="142" t="s">
        <v>11</v>
      </c>
      <c r="I1553">
        <v>5</v>
      </c>
      <c r="J1553">
        <v>10.01</v>
      </c>
      <c r="K1553" s="142" t="s">
        <v>10</v>
      </c>
      <c r="L1553">
        <v>57736</v>
      </c>
      <c r="M1553">
        <v>0.33223999999999998</v>
      </c>
      <c r="N1553">
        <v>57736</v>
      </c>
      <c r="O1553">
        <v>0.30225999999999997</v>
      </c>
    </row>
    <row r="1554" spans="1:15" x14ac:dyDescent="0.25">
      <c r="A1554" s="142" t="s">
        <v>1514</v>
      </c>
      <c r="B1554" s="142" t="s">
        <v>51</v>
      </c>
      <c r="C1554" s="142" t="s">
        <v>44</v>
      </c>
      <c r="D1554">
        <v>0</v>
      </c>
      <c r="E1554">
        <v>3.3000999999999999E-4</v>
      </c>
      <c r="F1554">
        <v>0.1</v>
      </c>
      <c r="G1554" s="142" t="s">
        <v>13</v>
      </c>
      <c r="H1554" s="142" t="s">
        <v>11</v>
      </c>
      <c r="I1554">
        <v>10</v>
      </c>
      <c r="J1554">
        <v>30</v>
      </c>
      <c r="K1554" s="142" t="s">
        <v>10</v>
      </c>
      <c r="L1554">
        <v>57736</v>
      </c>
      <c r="M1554">
        <v>1.2390000000000001</v>
      </c>
      <c r="N1554">
        <v>57735</v>
      </c>
      <c r="O1554">
        <v>1.2090000000000001</v>
      </c>
    </row>
    <row r="1555" spans="1:15" x14ac:dyDescent="0.25">
      <c r="A1555" s="142" t="s">
        <v>1516</v>
      </c>
      <c r="B1555" s="142" t="s">
        <v>51</v>
      </c>
      <c r="C1555" s="142" t="s">
        <v>44</v>
      </c>
      <c r="D1555">
        <v>0</v>
      </c>
      <c r="E1555">
        <v>3.3000999999999999E-4</v>
      </c>
      <c r="F1555">
        <v>0.1</v>
      </c>
      <c r="G1555" s="142" t="s">
        <v>13</v>
      </c>
      <c r="H1555" s="142" t="s">
        <v>11</v>
      </c>
      <c r="I1555">
        <v>30</v>
      </c>
      <c r="J1555">
        <v>30.1</v>
      </c>
      <c r="K1555" s="142" t="s">
        <v>10</v>
      </c>
      <c r="L1555">
        <v>57736</v>
      </c>
      <c r="M1555">
        <v>1.2390000000000001</v>
      </c>
      <c r="N1555">
        <v>57735</v>
      </c>
      <c r="O1555">
        <v>1.2090000000000001</v>
      </c>
    </row>
    <row r="1556" spans="1:15" x14ac:dyDescent="0.25">
      <c r="A1556" s="142" t="s">
        <v>1792</v>
      </c>
      <c r="B1556" s="142" t="s">
        <v>51</v>
      </c>
      <c r="C1556" s="142" t="s">
        <v>44</v>
      </c>
      <c r="D1556">
        <v>0.33</v>
      </c>
      <c r="E1556">
        <v>1.1000099999999999</v>
      </c>
      <c r="F1556">
        <v>0.1</v>
      </c>
      <c r="G1556" s="142" t="s">
        <v>13</v>
      </c>
      <c r="H1556" s="142" t="s">
        <v>12</v>
      </c>
      <c r="I1556">
        <v>0.01</v>
      </c>
      <c r="J1556">
        <v>4.5010000000000001E-2</v>
      </c>
      <c r="K1556" s="142" t="s">
        <v>10</v>
      </c>
      <c r="L1556">
        <v>57.722000000000001</v>
      </c>
      <c r="M1556">
        <v>5.7755000000000001E-2</v>
      </c>
      <c r="N1556">
        <v>57.722000000000001</v>
      </c>
      <c r="O1556">
        <v>5.7648999999999999E-2</v>
      </c>
    </row>
    <row r="1557" spans="1:15" x14ac:dyDescent="0.25">
      <c r="A1557" s="142" t="s">
        <v>1621</v>
      </c>
      <c r="B1557" s="142" t="s">
        <v>51</v>
      </c>
      <c r="C1557" s="142" t="s">
        <v>44</v>
      </c>
      <c r="D1557">
        <v>0.33</v>
      </c>
      <c r="E1557">
        <v>1.1000099999999999</v>
      </c>
      <c r="F1557">
        <v>0.1</v>
      </c>
      <c r="G1557" s="142" t="s">
        <v>13</v>
      </c>
      <c r="H1557" s="142" t="s">
        <v>12</v>
      </c>
      <c r="I1557">
        <v>4.4999999999999998E-2</v>
      </c>
      <c r="J1557">
        <v>1.0000100000000001</v>
      </c>
      <c r="K1557" s="142" t="s">
        <v>10</v>
      </c>
      <c r="L1557">
        <v>57.734999999999999</v>
      </c>
      <c r="M1557">
        <v>5.4079999999999996E-3</v>
      </c>
      <c r="N1557">
        <v>57.734999999999999</v>
      </c>
      <c r="O1557">
        <v>5.3017999999999997E-3</v>
      </c>
    </row>
    <row r="1558" spans="1:15" x14ac:dyDescent="0.25">
      <c r="A1558" s="142" t="s">
        <v>1620</v>
      </c>
      <c r="B1558" s="142" t="s">
        <v>51</v>
      </c>
      <c r="C1558" s="142" t="s">
        <v>44</v>
      </c>
      <c r="D1558">
        <v>0.33</v>
      </c>
      <c r="E1558">
        <v>1.1000099999999999</v>
      </c>
      <c r="F1558">
        <v>0.1</v>
      </c>
      <c r="G1558" s="142" t="s">
        <v>13</v>
      </c>
      <c r="H1558" s="142" t="s">
        <v>12</v>
      </c>
      <c r="I1558">
        <v>1</v>
      </c>
      <c r="J1558">
        <v>5.01</v>
      </c>
      <c r="K1558" s="142" t="s">
        <v>10</v>
      </c>
      <c r="L1558">
        <v>57.597999999999999</v>
      </c>
      <c r="M1558">
        <v>0.72965000000000002</v>
      </c>
      <c r="N1558">
        <v>57.597999999999999</v>
      </c>
      <c r="O1558">
        <v>0.72819</v>
      </c>
    </row>
    <row r="1559" spans="1:15" x14ac:dyDescent="0.25">
      <c r="A1559" s="142" t="s">
        <v>1795</v>
      </c>
      <c r="B1559" s="142" t="s">
        <v>51</v>
      </c>
      <c r="C1559" s="142" t="s">
        <v>44</v>
      </c>
      <c r="D1559">
        <v>0.33</v>
      </c>
      <c r="E1559">
        <v>1.1000099999999999</v>
      </c>
      <c r="F1559">
        <v>0.1</v>
      </c>
      <c r="G1559" s="142" t="s">
        <v>13</v>
      </c>
      <c r="H1559" s="142" t="s">
        <v>12</v>
      </c>
      <c r="I1559">
        <v>5</v>
      </c>
      <c r="J1559">
        <v>10</v>
      </c>
      <c r="K1559" s="142" t="s">
        <v>10</v>
      </c>
      <c r="L1559">
        <v>55.816000000000003</v>
      </c>
      <c r="M1559">
        <v>11.862</v>
      </c>
      <c r="N1559">
        <v>55.814999999999998</v>
      </c>
      <c r="O1559">
        <v>11.86</v>
      </c>
    </row>
    <row r="1560" spans="1:15" x14ac:dyDescent="0.25">
      <c r="A1560" s="142" t="s">
        <v>1622</v>
      </c>
      <c r="B1560" s="142" t="s">
        <v>51</v>
      </c>
      <c r="C1560" s="142" t="s">
        <v>44</v>
      </c>
      <c r="D1560">
        <v>0.33</v>
      </c>
      <c r="E1560">
        <v>1.1000099999999999</v>
      </c>
      <c r="F1560">
        <v>0.1</v>
      </c>
      <c r="G1560" s="142" t="s">
        <v>13</v>
      </c>
      <c r="H1560" s="142" t="s">
        <v>12</v>
      </c>
      <c r="I1560">
        <v>10</v>
      </c>
      <c r="J1560">
        <v>10.01</v>
      </c>
      <c r="K1560" s="142" t="s">
        <v>10</v>
      </c>
      <c r="L1560">
        <v>55.816000000000003</v>
      </c>
      <c r="M1560">
        <v>11.862</v>
      </c>
      <c r="N1560">
        <v>55.814999999999998</v>
      </c>
      <c r="O1560">
        <v>11.86</v>
      </c>
    </row>
    <row r="1561" spans="1:15" x14ac:dyDescent="0.25">
      <c r="A1561" s="142" t="s">
        <v>1799</v>
      </c>
      <c r="B1561" s="142" t="s">
        <v>51</v>
      </c>
      <c r="C1561" s="142" t="s">
        <v>44</v>
      </c>
      <c r="D1561">
        <v>1.1000000000000001</v>
      </c>
      <c r="E1561">
        <v>3.0009999999999999</v>
      </c>
      <c r="F1561">
        <v>0.1</v>
      </c>
      <c r="G1561" s="142" t="s">
        <v>13</v>
      </c>
      <c r="H1561" s="142" t="s">
        <v>12</v>
      </c>
      <c r="I1561">
        <v>0.01</v>
      </c>
      <c r="J1561">
        <v>4.5010000000000001E-2</v>
      </c>
      <c r="K1561" s="142" t="s">
        <v>10</v>
      </c>
      <c r="L1561">
        <v>57.613</v>
      </c>
      <c r="M1561">
        <v>0.15837999999999999</v>
      </c>
      <c r="N1561">
        <v>57.613</v>
      </c>
      <c r="O1561">
        <v>0.15706000000000001</v>
      </c>
    </row>
    <row r="1562" spans="1:15" x14ac:dyDescent="0.25">
      <c r="A1562" s="142" t="s">
        <v>1801</v>
      </c>
      <c r="B1562" s="142" t="s">
        <v>51</v>
      </c>
      <c r="C1562" s="142" t="s">
        <v>44</v>
      </c>
      <c r="D1562">
        <v>1.1000000000000001</v>
      </c>
      <c r="E1562">
        <v>3.0009999999999999</v>
      </c>
      <c r="F1562">
        <v>0.1</v>
      </c>
      <c r="G1562" s="142" t="s">
        <v>13</v>
      </c>
      <c r="H1562" s="142" t="s">
        <v>12</v>
      </c>
      <c r="I1562">
        <v>4.4999999999999998E-2</v>
      </c>
      <c r="J1562">
        <v>1.0000100000000001</v>
      </c>
      <c r="K1562" s="142" t="s">
        <v>10</v>
      </c>
      <c r="L1562">
        <v>57.722000000000001</v>
      </c>
      <c r="M1562">
        <v>1.9812E-2</v>
      </c>
      <c r="N1562">
        <v>57.722000000000001</v>
      </c>
      <c r="O1562">
        <v>1.8474000000000001E-2</v>
      </c>
    </row>
    <row r="1563" spans="1:15" x14ac:dyDescent="0.25">
      <c r="A1563" s="142" t="s">
        <v>1640</v>
      </c>
      <c r="B1563" s="142" t="s">
        <v>51</v>
      </c>
      <c r="C1563" s="142" t="s">
        <v>44</v>
      </c>
      <c r="D1563">
        <v>1.1000000000000001</v>
      </c>
      <c r="E1563">
        <v>3.0009999999999999</v>
      </c>
      <c r="F1563">
        <v>0.1</v>
      </c>
      <c r="G1563" s="142" t="s">
        <v>13</v>
      </c>
      <c r="H1563" s="142" t="s">
        <v>12</v>
      </c>
      <c r="I1563">
        <v>1</v>
      </c>
      <c r="J1563">
        <v>5.01</v>
      </c>
      <c r="K1563" s="142" t="s">
        <v>10</v>
      </c>
      <c r="L1563">
        <v>56.451000000000001</v>
      </c>
      <c r="M1563">
        <v>1.7722</v>
      </c>
      <c r="N1563">
        <v>56.451000000000001</v>
      </c>
      <c r="O1563">
        <v>1.7709999999999999</v>
      </c>
    </row>
    <row r="1564" spans="1:15" x14ac:dyDescent="0.25">
      <c r="A1564" s="142" t="s">
        <v>1641</v>
      </c>
      <c r="B1564" s="142" t="s">
        <v>51</v>
      </c>
      <c r="C1564" s="142" t="s">
        <v>44</v>
      </c>
      <c r="D1564">
        <v>1.1000000000000001</v>
      </c>
      <c r="E1564">
        <v>3.0009999999999999</v>
      </c>
      <c r="F1564">
        <v>0.1</v>
      </c>
      <c r="G1564" s="142" t="s">
        <v>13</v>
      </c>
      <c r="H1564" s="142" t="s">
        <v>12</v>
      </c>
      <c r="I1564">
        <v>5</v>
      </c>
      <c r="J1564">
        <v>10</v>
      </c>
      <c r="K1564" s="142" t="s">
        <v>10</v>
      </c>
      <c r="L1564">
        <v>45.661999999999999</v>
      </c>
      <c r="M1564">
        <v>21.093</v>
      </c>
      <c r="N1564">
        <v>45.658999999999999</v>
      </c>
      <c r="O1564">
        <v>21.091999999999999</v>
      </c>
    </row>
    <row r="1565" spans="1:15" x14ac:dyDescent="0.25">
      <c r="A1565" s="142" t="s">
        <v>1639</v>
      </c>
      <c r="B1565" s="142" t="s">
        <v>51</v>
      </c>
      <c r="C1565" s="142" t="s">
        <v>44</v>
      </c>
      <c r="D1565">
        <v>1.1000000000000001</v>
      </c>
      <c r="E1565">
        <v>3.0009999999999999</v>
      </c>
      <c r="F1565">
        <v>0.1</v>
      </c>
      <c r="G1565" s="142" t="s">
        <v>13</v>
      </c>
      <c r="H1565" s="142" t="s">
        <v>12</v>
      </c>
      <c r="I1565">
        <v>10</v>
      </c>
      <c r="J1565">
        <v>10.01</v>
      </c>
      <c r="K1565" s="142" t="s">
        <v>10</v>
      </c>
      <c r="L1565">
        <v>45.661999999999999</v>
      </c>
      <c r="M1565">
        <v>21.093</v>
      </c>
      <c r="N1565">
        <v>45.658999999999999</v>
      </c>
      <c r="O1565">
        <v>21.091999999999999</v>
      </c>
    </row>
    <row r="1566" spans="1:15" x14ac:dyDescent="0.25">
      <c r="A1566" s="142" t="s">
        <v>1806</v>
      </c>
      <c r="B1566" s="142" t="s">
        <v>51</v>
      </c>
      <c r="C1566" s="142" t="s">
        <v>44</v>
      </c>
      <c r="D1566">
        <v>3</v>
      </c>
      <c r="E1566">
        <v>11.000999999999999</v>
      </c>
      <c r="F1566">
        <v>0.1</v>
      </c>
      <c r="G1566" s="142" t="s">
        <v>13</v>
      </c>
      <c r="H1566" s="142" t="s">
        <v>12</v>
      </c>
      <c r="I1566">
        <v>4.4999999999999998E-2</v>
      </c>
      <c r="J1566">
        <v>0.10001</v>
      </c>
      <c r="K1566" s="142" t="s">
        <v>10</v>
      </c>
      <c r="L1566">
        <v>57.646999999999998</v>
      </c>
      <c r="M1566">
        <v>8.5551000000000002E-2</v>
      </c>
      <c r="N1566">
        <v>57.646000000000001</v>
      </c>
      <c r="O1566">
        <v>8.5343000000000002E-2</v>
      </c>
    </row>
    <row r="1567" spans="1:15" x14ac:dyDescent="0.25">
      <c r="A1567" s="142" t="s">
        <v>1649</v>
      </c>
      <c r="B1567" s="142" t="s">
        <v>51</v>
      </c>
      <c r="C1567" s="142" t="s">
        <v>44</v>
      </c>
      <c r="D1567">
        <v>3</v>
      </c>
      <c r="E1567">
        <v>11.000999999999999</v>
      </c>
      <c r="F1567">
        <v>0.1</v>
      </c>
      <c r="G1567" s="142" t="s">
        <v>13</v>
      </c>
      <c r="H1567" s="142" t="s">
        <v>12</v>
      </c>
      <c r="I1567">
        <v>0.1</v>
      </c>
      <c r="J1567">
        <v>1.0000100000000001</v>
      </c>
      <c r="K1567" s="142" t="s">
        <v>10</v>
      </c>
      <c r="L1567">
        <v>57.411999999999999</v>
      </c>
      <c r="M1567">
        <v>0.20433000000000001</v>
      </c>
      <c r="N1567">
        <v>57.411000000000001</v>
      </c>
      <c r="O1567">
        <v>0.20413000000000001</v>
      </c>
    </row>
    <row r="1568" spans="1:15" x14ac:dyDescent="0.25">
      <c r="A1568" s="142" t="s">
        <v>1650</v>
      </c>
      <c r="B1568" s="142" t="s">
        <v>51</v>
      </c>
      <c r="C1568" s="142" t="s">
        <v>44</v>
      </c>
      <c r="D1568">
        <v>3</v>
      </c>
      <c r="E1568">
        <v>11.000999999999999</v>
      </c>
      <c r="F1568">
        <v>0.1</v>
      </c>
      <c r="G1568" s="142" t="s">
        <v>13</v>
      </c>
      <c r="H1568" s="142" t="s">
        <v>12</v>
      </c>
      <c r="I1568">
        <v>1</v>
      </c>
      <c r="J1568">
        <v>5</v>
      </c>
      <c r="K1568" s="142" t="s">
        <v>10</v>
      </c>
      <c r="L1568">
        <v>20.888000000000002</v>
      </c>
      <c r="M1568">
        <v>33.345999999999997</v>
      </c>
      <c r="N1568">
        <v>20.867000000000001</v>
      </c>
      <c r="O1568">
        <v>33.347000000000001</v>
      </c>
    </row>
    <row r="1569" spans="1:15" x14ac:dyDescent="0.25">
      <c r="A1569" s="142" t="s">
        <v>1651</v>
      </c>
      <c r="B1569" s="142" t="s">
        <v>51</v>
      </c>
      <c r="C1569" s="142" t="s">
        <v>44</v>
      </c>
      <c r="D1569">
        <v>3</v>
      </c>
      <c r="E1569">
        <v>11.000999999999999</v>
      </c>
      <c r="F1569">
        <v>0.1</v>
      </c>
      <c r="G1569" s="142" t="s">
        <v>13</v>
      </c>
      <c r="H1569" s="142" t="s">
        <v>12</v>
      </c>
      <c r="I1569">
        <v>5</v>
      </c>
      <c r="J1569">
        <v>5.01</v>
      </c>
      <c r="K1569" s="142" t="s">
        <v>10</v>
      </c>
      <c r="L1569">
        <v>20.888000000000002</v>
      </c>
      <c r="M1569">
        <v>33.345999999999997</v>
      </c>
      <c r="N1569">
        <v>20.867000000000001</v>
      </c>
      <c r="O1569">
        <v>33.347000000000001</v>
      </c>
    </row>
    <row r="1570" spans="1:15" x14ac:dyDescent="0.25">
      <c r="A1570" s="142" t="s">
        <v>1667</v>
      </c>
      <c r="B1570" s="142" t="s">
        <v>51</v>
      </c>
      <c r="C1570" s="142" t="s">
        <v>44</v>
      </c>
      <c r="D1570">
        <v>11</v>
      </c>
      <c r="E1570">
        <v>20.501000000000001</v>
      </c>
      <c r="F1570">
        <v>0.1</v>
      </c>
      <c r="G1570" s="142" t="s">
        <v>13</v>
      </c>
      <c r="H1570" s="142" t="s">
        <v>12</v>
      </c>
      <c r="I1570">
        <v>4.4999999999999998E-2</v>
      </c>
      <c r="J1570">
        <v>0.10001</v>
      </c>
      <c r="K1570" s="142" t="s">
        <v>10</v>
      </c>
      <c r="L1570">
        <v>55.152999999999999</v>
      </c>
      <c r="M1570">
        <v>0.59996000000000005</v>
      </c>
      <c r="N1570">
        <v>55.167999999999999</v>
      </c>
      <c r="O1570">
        <v>0.59309999999999996</v>
      </c>
    </row>
    <row r="1571" spans="1:15" x14ac:dyDescent="0.25">
      <c r="A1571" s="142" t="s">
        <v>1669</v>
      </c>
      <c r="B1571" s="142" t="s">
        <v>51</v>
      </c>
      <c r="C1571" s="142" t="s">
        <v>44</v>
      </c>
      <c r="D1571">
        <v>11</v>
      </c>
      <c r="E1571">
        <v>20.501000000000001</v>
      </c>
      <c r="F1571">
        <v>0.1</v>
      </c>
      <c r="G1571" s="142" t="s">
        <v>13</v>
      </c>
      <c r="H1571" s="142" t="s">
        <v>12</v>
      </c>
      <c r="I1571">
        <v>0.1</v>
      </c>
      <c r="J1571">
        <v>1.0000100000000001</v>
      </c>
      <c r="K1571" s="142" t="s">
        <v>10</v>
      </c>
      <c r="L1571">
        <v>53.698999999999998</v>
      </c>
      <c r="M1571">
        <v>0.85924999999999996</v>
      </c>
      <c r="N1571">
        <v>53.709000000000003</v>
      </c>
      <c r="O1571">
        <v>0.85296000000000005</v>
      </c>
    </row>
    <row r="1572" spans="1:15" x14ac:dyDescent="0.25">
      <c r="A1572" s="142" t="s">
        <v>1812</v>
      </c>
      <c r="B1572" s="142" t="s">
        <v>51</v>
      </c>
      <c r="C1572" s="142" t="s">
        <v>44</v>
      </c>
      <c r="D1572">
        <v>11</v>
      </c>
      <c r="E1572">
        <v>20.501000000000001</v>
      </c>
      <c r="F1572">
        <v>0.1</v>
      </c>
      <c r="G1572" s="142" t="s">
        <v>13</v>
      </c>
      <c r="H1572" s="142" t="s">
        <v>12</v>
      </c>
      <c r="I1572">
        <v>1</v>
      </c>
      <c r="J1572">
        <v>5</v>
      </c>
      <c r="K1572" s="142" t="s">
        <v>10</v>
      </c>
      <c r="L1572">
        <v>6.5765000000000002</v>
      </c>
      <c r="M1572">
        <v>34.962000000000003</v>
      </c>
      <c r="N1572">
        <v>12.385999999999999</v>
      </c>
      <c r="O1572">
        <v>34.433</v>
      </c>
    </row>
    <row r="1573" spans="1:15" x14ac:dyDescent="0.25">
      <c r="A1573" s="142" t="s">
        <v>1668</v>
      </c>
      <c r="B1573" s="142" t="s">
        <v>51</v>
      </c>
      <c r="C1573" s="142" t="s">
        <v>44</v>
      </c>
      <c r="D1573">
        <v>11</v>
      </c>
      <c r="E1573">
        <v>20.501000000000001</v>
      </c>
      <c r="F1573">
        <v>0.1</v>
      </c>
      <c r="G1573" s="142" t="s">
        <v>13</v>
      </c>
      <c r="H1573" s="142" t="s">
        <v>12</v>
      </c>
      <c r="I1573">
        <v>5</v>
      </c>
      <c r="J1573">
        <v>5.01</v>
      </c>
      <c r="K1573" s="142" t="s">
        <v>10</v>
      </c>
      <c r="L1573">
        <v>6.5765000000000002</v>
      </c>
      <c r="M1573">
        <v>34.962000000000003</v>
      </c>
      <c r="N1573">
        <v>12.385999999999999</v>
      </c>
      <c r="O1573">
        <v>34.433</v>
      </c>
    </row>
    <row r="1574" spans="1:15" x14ac:dyDescent="0.25">
      <c r="A1574" s="142" t="s">
        <v>1520</v>
      </c>
      <c r="B1574" s="142" t="s">
        <v>51</v>
      </c>
      <c r="C1574" s="142" t="s">
        <v>44</v>
      </c>
      <c r="D1574">
        <v>0</v>
      </c>
      <c r="E1574">
        <v>3.3000999999999999E-4</v>
      </c>
      <c r="F1574">
        <v>1</v>
      </c>
      <c r="G1574" s="142" t="s">
        <v>13</v>
      </c>
      <c r="H1574" s="142" t="s">
        <v>11</v>
      </c>
      <c r="I1574">
        <v>0.01</v>
      </c>
      <c r="J1574">
        <v>2.001E-2</v>
      </c>
      <c r="K1574" s="142" t="s">
        <v>10</v>
      </c>
      <c r="L1574">
        <v>580260</v>
      </c>
      <c r="M1574">
        <v>-8789600</v>
      </c>
      <c r="N1574">
        <v>580000</v>
      </c>
      <c r="O1574">
        <v>-8789600</v>
      </c>
    </row>
    <row r="1575" spans="1:15" x14ac:dyDescent="0.25">
      <c r="A1575" s="142" t="s">
        <v>1749</v>
      </c>
      <c r="B1575" s="142" t="s">
        <v>51</v>
      </c>
      <c r="C1575" s="142" t="s">
        <v>44</v>
      </c>
      <c r="D1575">
        <v>0</v>
      </c>
      <c r="E1575">
        <v>3.3000999999999999E-4</v>
      </c>
      <c r="F1575">
        <v>1</v>
      </c>
      <c r="G1575" s="142" t="s">
        <v>13</v>
      </c>
      <c r="H1575" s="142" t="s">
        <v>11</v>
      </c>
      <c r="I1575">
        <v>0.02</v>
      </c>
      <c r="J1575">
        <v>4.5010000000000001E-2</v>
      </c>
      <c r="K1575" s="142" t="s">
        <v>10</v>
      </c>
      <c r="L1575">
        <v>577360</v>
      </c>
      <c r="M1575">
        <v>6.8998000000000002E-3</v>
      </c>
      <c r="N1575">
        <v>577360</v>
      </c>
      <c r="O1575">
        <v>1.2794E-3</v>
      </c>
    </row>
    <row r="1576" spans="1:15" x14ac:dyDescent="0.25">
      <c r="A1576" s="142" t="s">
        <v>1524</v>
      </c>
      <c r="B1576" s="142" t="s">
        <v>51</v>
      </c>
      <c r="C1576" s="142" t="s">
        <v>44</v>
      </c>
      <c r="D1576">
        <v>0</v>
      </c>
      <c r="E1576">
        <v>3.3000999999999999E-4</v>
      </c>
      <c r="F1576">
        <v>1</v>
      </c>
      <c r="G1576" s="142" t="s">
        <v>13</v>
      </c>
      <c r="H1576" s="142" t="s">
        <v>11</v>
      </c>
      <c r="I1576">
        <v>4.4999999999999998E-2</v>
      </c>
      <c r="J1576">
        <v>1.0000100000000001</v>
      </c>
      <c r="K1576" s="142" t="s">
        <v>10</v>
      </c>
      <c r="L1576">
        <v>577360</v>
      </c>
      <c r="M1576">
        <v>6.5572E-3</v>
      </c>
      <c r="N1576">
        <v>577360</v>
      </c>
      <c r="O1576">
        <v>9.3674000000000003E-4</v>
      </c>
    </row>
    <row r="1577" spans="1:15" x14ac:dyDescent="0.25">
      <c r="A1577" s="142" t="s">
        <v>1521</v>
      </c>
      <c r="B1577" s="142" t="s">
        <v>51</v>
      </c>
      <c r="C1577" s="142" t="s">
        <v>44</v>
      </c>
      <c r="D1577">
        <v>0</v>
      </c>
      <c r="E1577">
        <v>3.3000999999999999E-4</v>
      </c>
      <c r="F1577">
        <v>1</v>
      </c>
      <c r="G1577" s="142" t="s">
        <v>13</v>
      </c>
      <c r="H1577" s="142" t="s">
        <v>11</v>
      </c>
      <c r="I1577">
        <v>1</v>
      </c>
      <c r="J1577">
        <v>5.01</v>
      </c>
      <c r="K1577" s="142" t="s">
        <v>10</v>
      </c>
      <c r="L1577">
        <v>577360</v>
      </c>
      <c r="M1577">
        <v>1.0390999999999999E-2</v>
      </c>
      <c r="N1577">
        <v>577360</v>
      </c>
      <c r="O1577">
        <v>4.7702999999999999E-3</v>
      </c>
    </row>
    <row r="1578" spans="1:15" x14ac:dyDescent="0.25">
      <c r="A1578" s="142" t="s">
        <v>1523</v>
      </c>
      <c r="B1578" s="142" t="s">
        <v>51</v>
      </c>
      <c r="C1578" s="142" t="s">
        <v>44</v>
      </c>
      <c r="D1578">
        <v>0</v>
      </c>
      <c r="E1578">
        <v>3.3000999999999999E-4</v>
      </c>
      <c r="F1578">
        <v>1</v>
      </c>
      <c r="G1578" s="142" t="s">
        <v>13</v>
      </c>
      <c r="H1578" s="142" t="s">
        <v>11</v>
      </c>
      <c r="I1578">
        <v>5</v>
      </c>
      <c r="J1578">
        <v>10.01</v>
      </c>
      <c r="K1578" s="142" t="s">
        <v>10</v>
      </c>
      <c r="L1578">
        <v>577360</v>
      </c>
      <c r="M1578">
        <v>4.2220000000000001E-2</v>
      </c>
      <c r="N1578">
        <v>577360</v>
      </c>
      <c r="O1578">
        <v>3.0225999999999999E-2</v>
      </c>
    </row>
    <row r="1579" spans="1:15" x14ac:dyDescent="0.25">
      <c r="A1579" s="142" t="s">
        <v>1519</v>
      </c>
      <c r="B1579" s="142" t="s">
        <v>51</v>
      </c>
      <c r="C1579" s="142" t="s">
        <v>44</v>
      </c>
      <c r="D1579">
        <v>0</v>
      </c>
      <c r="E1579">
        <v>3.3000999999999999E-4</v>
      </c>
      <c r="F1579">
        <v>1</v>
      </c>
      <c r="G1579" s="142" t="s">
        <v>13</v>
      </c>
      <c r="H1579" s="142" t="s">
        <v>11</v>
      </c>
      <c r="I1579">
        <v>10</v>
      </c>
      <c r="J1579">
        <v>30</v>
      </c>
      <c r="K1579" s="142" t="s">
        <v>10</v>
      </c>
      <c r="L1579">
        <v>577360</v>
      </c>
      <c r="M1579">
        <v>0.13289999999999999</v>
      </c>
      <c r="N1579">
        <v>577360</v>
      </c>
      <c r="O1579">
        <v>0.12089999999999999</v>
      </c>
    </row>
    <row r="1580" spans="1:15" x14ac:dyDescent="0.25">
      <c r="A1580" s="142" t="s">
        <v>1522</v>
      </c>
      <c r="B1580" s="142" t="s">
        <v>51</v>
      </c>
      <c r="C1580" s="142" t="s">
        <v>44</v>
      </c>
      <c r="D1580">
        <v>0</v>
      </c>
      <c r="E1580">
        <v>3.3000999999999999E-4</v>
      </c>
      <c r="F1580">
        <v>1</v>
      </c>
      <c r="G1580" s="142" t="s">
        <v>13</v>
      </c>
      <c r="H1580" s="142" t="s">
        <v>11</v>
      </c>
      <c r="I1580">
        <v>30</v>
      </c>
      <c r="J1580">
        <v>30.1</v>
      </c>
      <c r="K1580" s="142" t="s">
        <v>10</v>
      </c>
      <c r="L1580">
        <v>577360</v>
      </c>
      <c r="M1580">
        <v>0.13289999999999999</v>
      </c>
      <c r="N1580">
        <v>577360</v>
      </c>
      <c r="O1580">
        <v>0.12089999999999999</v>
      </c>
    </row>
    <row r="1581" spans="1:15" x14ac:dyDescent="0.25">
      <c r="A1581" s="142" t="s">
        <v>1652</v>
      </c>
      <c r="B1581" s="142" t="s">
        <v>51</v>
      </c>
      <c r="C1581" s="142" t="s">
        <v>44</v>
      </c>
      <c r="D1581">
        <v>3</v>
      </c>
      <c r="E1581">
        <v>11.000999999999999</v>
      </c>
      <c r="F1581">
        <v>1</v>
      </c>
      <c r="G1581" s="142" t="s">
        <v>13</v>
      </c>
      <c r="H1581" s="142" t="s">
        <v>12</v>
      </c>
      <c r="I1581">
        <v>4.4999999999999998E-2</v>
      </c>
      <c r="J1581">
        <v>0.10001</v>
      </c>
      <c r="K1581" s="142" t="s">
        <v>10</v>
      </c>
      <c r="L1581">
        <v>577.35</v>
      </c>
      <c r="M1581">
        <v>8.6937999999999998E-3</v>
      </c>
      <c r="N1581">
        <v>577.35</v>
      </c>
      <c r="O1581">
        <v>8.6087000000000004E-3</v>
      </c>
    </row>
    <row r="1582" spans="1:15" x14ac:dyDescent="0.25">
      <c r="A1582" s="142" t="s">
        <v>1654</v>
      </c>
      <c r="B1582" s="142" t="s">
        <v>51</v>
      </c>
      <c r="C1582" s="142" t="s">
        <v>44</v>
      </c>
      <c r="D1582">
        <v>3</v>
      </c>
      <c r="E1582">
        <v>11.000999999999999</v>
      </c>
      <c r="F1582">
        <v>1</v>
      </c>
      <c r="G1582" s="142" t="s">
        <v>13</v>
      </c>
      <c r="H1582" s="142" t="s">
        <v>12</v>
      </c>
      <c r="I1582">
        <v>0.1</v>
      </c>
      <c r="J1582">
        <v>1.0000100000000001</v>
      </c>
      <c r="K1582" s="142" t="s">
        <v>10</v>
      </c>
      <c r="L1582">
        <v>577.32000000000005</v>
      </c>
      <c r="M1582">
        <v>2.0884E-2</v>
      </c>
      <c r="N1582">
        <v>577.32000000000005</v>
      </c>
      <c r="O1582">
        <v>2.0799000000000002E-2</v>
      </c>
    </row>
    <row r="1583" spans="1:15" x14ac:dyDescent="0.25">
      <c r="A1583" s="142" t="s">
        <v>1655</v>
      </c>
      <c r="B1583" s="142" t="s">
        <v>51</v>
      </c>
      <c r="C1583" s="142" t="s">
        <v>44</v>
      </c>
      <c r="D1583">
        <v>3</v>
      </c>
      <c r="E1583">
        <v>11.000999999999999</v>
      </c>
      <c r="F1583">
        <v>1</v>
      </c>
      <c r="G1583" s="142" t="s">
        <v>13</v>
      </c>
      <c r="H1583" s="142" t="s">
        <v>12</v>
      </c>
      <c r="I1583">
        <v>1</v>
      </c>
      <c r="J1583">
        <v>5</v>
      </c>
      <c r="K1583" s="142" t="s">
        <v>10</v>
      </c>
      <c r="L1583">
        <v>547.30999999999995</v>
      </c>
      <c r="M1583">
        <v>13.25</v>
      </c>
      <c r="N1583">
        <v>547.29999999999995</v>
      </c>
      <c r="O1583">
        <v>13.249000000000001</v>
      </c>
    </row>
    <row r="1584" spans="1:15" x14ac:dyDescent="0.25">
      <c r="A1584" s="142" t="s">
        <v>1653</v>
      </c>
      <c r="B1584" s="142" t="s">
        <v>51</v>
      </c>
      <c r="C1584" s="142" t="s">
        <v>44</v>
      </c>
      <c r="D1584">
        <v>3</v>
      </c>
      <c r="E1584">
        <v>11.000999999999999</v>
      </c>
      <c r="F1584">
        <v>1</v>
      </c>
      <c r="G1584" s="142" t="s">
        <v>13</v>
      </c>
      <c r="H1584" s="142" t="s">
        <v>12</v>
      </c>
      <c r="I1584">
        <v>5</v>
      </c>
      <c r="J1584">
        <v>5.01</v>
      </c>
      <c r="K1584" s="142" t="s">
        <v>10</v>
      </c>
      <c r="L1584">
        <v>547.30999999999995</v>
      </c>
      <c r="M1584">
        <v>13.25</v>
      </c>
      <c r="N1584">
        <v>547.29999999999995</v>
      </c>
      <c r="O1584">
        <v>13.249000000000001</v>
      </c>
    </row>
    <row r="1585" spans="1:15" x14ac:dyDescent="0.25">
      <c r="A1585" s="142" t="s">
        <v>1671</v>
      </c>
      <c r="B1585" s="142" t="s">
        <v>51</v>
      </c>
      <c r="C1585" s="142" t="s">
        <v>44</v>
      </c>
      <c r="D1585">
        <v>11</v>
      </c>
      <c r="E1585">
        <v>20.501000000000001</v>
      </c>
      <c r="F1585">
        <v>1</v>
      </c>
      <c r="G1585" s="142" t="s">
        <v>13</v>
      </c>
      <c r="H1585" s="142" t="s">
        <v>12</v>
      </c>
      <c r="I1585">
        <v>4.4999999999999998E-2</v>
      </c>
      <c r="J1585">
        <v>0.10001</v>
      </c>
      <c r="K1585" s="142" t="s">
        <v>10</v>
      </c>
      <c r="L1585">
        <v>579.65</v>
      </c>
      <c r="M1585">
        <v>6.9317000000000004E-2</v>
      </c>
      <c r="N1585">
        <v>579.66</v>
      </c>
      <c r="O1585">
        <v>6.5887000000000001E-2</v>
      </c>
    </row>
    <row r="1586" spans="1:15" x14ac:dyDescent="0.25">
      <c r="A1586" s="142" t="s">
        <v>1811</v>
      </c>
      <c r="B1586" s="142" t="s">
        <v>51</v>
      </c>
      <c r="C1586" s="142" t="s">
        <v>44</v>
      </c>
      <c r="D1586">
        <v>11</v>
      </c>
      <c r="E1586">
        <v>20.501000000000001</v>
      </c>
      <c r="F1586">
        <v>1</v>
      </c>
      <c r="G1586" s="142" t="s">
        <v>13</v>
      </c>
      <c r="H1586" s="142" t="s">
        <v>12</v>
      </c>
      <c r="I1586">
        <v>0.1</v>
      </c>
      <c r="J1586">
        <v>1.0000100000000001</v>
      </c>
      <c r="K1586" s="142" t="s">
        <v>10</v>
      </c>
      <c r="L1586">
        <v>579.44000000000005</v>
      </c>
      <c r="M1586">
        <v>0.10199999999999999</v>
      </c>
      <c r="N1586">
        <v>579.45000000000005</v>
      </c>
      <c r="O1586">
        <v>9.8572000000000007E-2</v>
      </c>
    </row>
    <row r="1587" spans="1:15" x14ac:dyDescent="0.25">
      <c r="A1587" s="142" t="s">
        <v>1670</v>
      </c>
      <c r="B1587" s="142" t="s">
        <v>51</v>
      </c>
      <c r="C1587" s="142" t="s">
        <v>44</v>
      </c>
      <c r="D1587">
        <v>11</v>
      </c>
      <c r="E1587">
        <v>20.501000000000001</v>
      </c>
      <c r="F1587">
        <v>1</v>
      </c>
      <c r="G1587" s="142" t="s">
        <v>13</v>
      </c>
      <c r="H1587" s="142" t="s">
        <v>12</v>
      </c>
      <c r="I1587">
        <v>1</v>
      </c>
      <c r="J1587">
        <v>5</v>
      </c>
      <c r="K1587" s="142" t="s">
        <v>10</v>
      </c>
      <c r="L1587">
        <v>437.55</v>
      </c>
      <c r="M1587">
        <v>23.603000000000002</v>
      </c>
      <c r="N1587">
        <v>437.54</v>
      </c>
      <c r="O1587">
        <v>23.602</v>
      </c>
    </row>
    <row r="1588" spans="1:15" x14ac:dyDescent="0.25">
      <c r="A1588" s="142" t="s">
        <v>1672</v>
      </c>
      <c r="B1588" s="142" t="s">
        <v>51</v>
      </c>
      <c r="C1588" s="142" t="s">
        <v>44</v>
      </c>
      <c r="D1588">
        <v>11</v>
      </c>
      <c r="E1588">
        <v>20.501000000000001</v>
      </c>
      <c r="F1588">
        <v>1</v>
      </c>
      <c r="G1588" s="142" t="s">
        <v>13</v>
      </c>
      <c r="H1588" s="142" t="s">
        <v>12</v>
      </c>
      <c r="I1588">
        <v>5</v>
      </c>
      <c r="J1588">
        <v>5.01</v>
      </c>
      <c r="K1588" s="142" t="s">
        <v>10</v>
      </c>
      <c r="L1588">
        <v>437.55</v>
      </c>
      <c r="M1588">
        <v>23.603000000000002</v>
      </c>
      <c r="N1588">
        <v>437.54</v>
      </c>
      <c r="O1588">
        <v>23.602</v>
      </c>
    </row>
    <row r="1589" spans="1:15" x14ac:dyDescent="0.25">
      <c r="A1589" s="142" t="s">
        <v>1746</v>
      </c>
      <c r="B1589" s="142" t="s">
        <v>51</v>
      </c>
      <c r="C1589" s="142" t="s">
        <v>44</v>
      </c>
      <c r="D1589">
        <v>0</v>
      </c>
      <c r="E1589">
        <v>3.3000999999999999E-4</v>
      </c>
      <c r="F1589">
        <v>10</v>
      </c>
      <c r="G1589" s="142" t="s">
        <v>13</v>
      </c>
      <c r="H1589" s="142" t="s">
        <v>11</v>
      </c>
      <c r="I1589">
        <v>0.01</v>
      </c>
      <c r="J1589">
        <v>2.001E-2</v>
      </c>
      <c r="K1589" s="142" t="s">
        <v>10</v>
      </c>
      <c r="L1589">
        <v>5802600</v>
      </c>
      <c r="M1589">
        <v>-87896000</v>
      </c>
      <c r="N1589">
        <v>5800000</v>
      </c>
      <c r="O1589">
        <v>-87896000</v>
      </c>
    </row>
    <row r="1590" spans="1:15" x14ac:dyDescent="0.25">
      <c r="A1590" s="142" t="s">
        <v>1528</v>
      </c>
      <c r="B1590" s="142" t="s">
        <v>51</v>
      </c>
      <c r="C1590" s="142" t="s">
        <v>44</v>
      </c>
      <c r="D1590">
        <v>0</v>
      </c>
      <c r="E1590">
        <v>3.3000999999999999E-4</v>
      </c>
      <c r="F1590">
        <v>10</v>
      </c>
      <c r="G1590" s="142" t="s">
        <v>13</v>
      </c>
      <c r="H1590" s="142" t="s">
        <v>11</v>
      </c>
      <c r="I1590">
        <v>0.02</v>
      </c>
      <c r="J1590">
        <v>4.5010000000000001E-2</v>
      </c>
      <c r="K1590" s="142" t="s">
        <v>10</v>
      </c>
      <c r="L1590">
        <v>5773600</v>
      </c>
      <c r="M1590">
        <v>2.3793999999999998E-3</v>
      </c>
      <c r="N1590">
        <v>5773600</v>
      </c>
      <c r="O1590">
        <v>1.2994999999999999E-4</v>
      </c>
    </row>
    <row r="1591" spans="1:15" x14ac:dyDescent="0.25">
      <c r="A1591" s="142" t="s">
        <v>1525</v>
      </c>
      <c r="B1591" s="142" t="s">
        <v>51</v>
      </c>
      <c r="C1591" s="142" t="s">
        <v>44</v>
      </c>
      <c r="D1591">
        <v>0</v>
      </c>
      <c r="E1591">
        <v>3.3000999999999999E-4</v>
      </c>
      <c r="F1591">
        <v>10</v>
      </c>
      <c r="G1591" s="142" t="s">
        <v>13</v>
      </c>
      <c r="H1591" s="142" t="s">
        <v>11</v>
      </c>
      <c r="I1591">
        <v>4.4999999999999998E-2</v>
      </c>
      <c r="J1591">
        <v>1.0000100000000001</v>
      </c>
      <c r="K1591" s="142" t="s">
        <v>10</v>
      </c>
      <c r="L1591">
        <v>5773600</v>
      </c>
      <c r="M1591">
        <v>2.3422E-3</v>
      </c>
      <c r="N1591">
        <v>5773600</v>
      </c>
      <c r="O1591">
        <v>9.5916999999999997E-5</v>
      </c>
    </row>
    <row r="1592" spans="1:15" x14ac:dyDescent="0.25">
      <c r="A1592" s="142" t="s">
        <v>1526</v>
      </c>
      <c r="B1592" s="142" t="s">
        <v>51</v>
      </c>
      <c r="C1592" s="142" t="s">
        <v>44</v>
      </c>
      <c r="D1592">
        <v>0</v>
      </c>
      <c r="E1592">
        <v>3.3000999999999999E-4</v>
      </c>
      <c r="F1592">
        <v>10</v>
      </c>
      <c r="G1592" s="142" t="s">
        <v>13</v>
      </c>
      <c r="H1592" s="142" t="s">
        <v>11</v>
      </c>
      <c r="I1592">
        <v>1</v>
      </c>
      <c r="J1592">
        <v>5.01</v>
      </c>
      <c r="K1592" s="142" t="s">
        <v>10</v>
      </c>
      <c r="L1592">
        <v>5773600</v>
      </c>
      <c r="M1592">
        <v>2.7258999999999999E-3</v>
      </c>
      <c r="N1592">
        <v>5773600</v>
      </c>
      <c r="O1592">
        <v>4.7648999999999999E-4</v>
      </c>
    </row>
    <row r="1593" spans="1:15" x14ac:dyDescent="0.25">
      <c r="A1593" s="142" t="s">
        <v>1757</v>
      </c>
      <c r="B1593" s="142" t="s">
        <v>51</v>
      </c>
      <c r="C1593" s="142" t="s">
        <v>44</v>
      </c>
      <c r="D1593">
        <v>0</v>
      </c>
      <c r="E1593">
        <v>3.3000999999999999E-4</v>
      </c>
      <c r="F1593">
        <v>10</v>
      </c>
      <c r="G1593" s="142" t="s">
        <v>13</v>
      </c>
      <c r="H1593" s="142" t="s">
        <v>11</v>
      </c>
      <c r="I1593">
        <v>5</v>
      </c>
      <c r="J1593">
        <v>10.01</v>
      </c>
      <c r="K1593" s="142" t="s">
        <v>10</v>
      </c>
      <c r="L1593">
        <v>5773600</v>
      </c>
      <c r="M1593">
        <v>7.8188000000000007E-3</v>
      </c>
      <c r="N1593">
        <v>5773600</v>
      </c>
      <c r="O1593">
        <v>3.0228999999999998E-3</v>
      </c>
    </row>
    <row r="1594" spans="1:15" x14ac:dyDescent="0.25">
      <c r="A1594" s="142" t="s">
        <v>1527</v>
      </c>
      <c r="B1594" s="142" t="s">
        <v>51</v>
      </c>
      <c r="C1594" s="142" t="s">
        <v>44</v>
      </c>
      <c r="D1594">
        <v>0</v>
      </c>
      <c r="E1594">
        <v>3.3000999999999999E-4</v>
      </c>
      <c r="F1594">
        <v>10</v>
      </c>
      <c r="G1594" s="142" t="s">
        <v>13</v>
      </c>
      <c r="H1594" s="142" t="s">
        <v>11</v>
      </c>
      <c r="I1594">
        <v>10</v>
      </c>
      <c r="J1594">
        <v>30</v>
      </c>
      <c r="K1594" s="142" t="s">
        <v>10</v>
      </c>
      <c r="L1594">
        <v>5773600</v>
      </c>
      <c r="M1594">
        <v>1.6888E-2</v>
      </c>
      <c r="N1594">
        <v>5773600</v>
      </c>
      <c r="O1594">
        <v>1.2089000000000001E-2</v>
      </c>
    </row>
    <row r="1595" spans="1:15" x14ac:dyDescent="0.25">
      <c r="A1595" s="142" t="s">
        <v>1764</v>
      </c>
      <c r="B1595" s="142" t="s">
        <v>51</v>
      </c>
      <c r="C1595" s="142" t="s">
        <v>44</v>
      </c>
      <c r="D1595">
        <v>0</v>
      </c>
      <c r="E1595">
        <v>3.3000999999999999E-4</v>
      </c>
      <c r="F1595">
        <v>10</v>
      </c>
      <c r="G1595" s="142" t="s">
        <v>13</v>
      </c>
      <c r="H1595" s="142" t="s">
        <v>11</v>
      </c>
      <c r="I1595">
        <v>30</v>
      </c>
      <c r="J1595">
        <v>30.1</v>
      </c>
      <c r="K1595" s="142" t="s">
        <v>10</v>
      </c>
      <c r="L1595">
        <v>5773600</v>
      </c>
      <c r="M1595">
        <v>1.6888E-2</v>
      </c>
      <c r="N1595">
        <v>5773600</v>
      </c>
      <c r="O1595">
        <v>1.2089000000000001E-2</v>
      </c>
    </row>
    <row r="1596" spans="1:15" x14ac:dyDescent="0.25">
      <c r="A1596" s="142" t="s">
        <v>1404</v>
      </c>
      <c r="B1596" s="142" t="s">
        <v>51</v>
      </c>
      <c r="C1596" s="142" t="s">
        <v>58</v>
      </c>
      <c r="D1596">
        <v>1</v>
      </c>
      <c r="E1596">
        <v>11.000999999999999</v>
      </c>
      <c r="F1596">
        <v>1E-4</v>
      </c>
      <c r="G1596" s="142" t="s">
        <v>13</v>
      </c>
      <c r="H1596" s="142" t="s">
        <v>12</v>
      </c>
      <c r="I1596">
        <v>0.01</v>
      </c>
      <c r="J1596">
        <v>4.5010000000000001E-2</v>
      </c>
      <c r="K1596" s="142" t="s">
        <v>10</v>
      </c>
      <c r="L1596">
        <v>3.3</v>
      </c>
      <c r="M1596">
        <v>2.7</v>
      </c>
      <c r="N1596">
        <v>0.97318000000000005</v>
      </c>
      <c r="O1596">
        <v>2.8730000000000002</v>
      </c>
    </row>
    <row r="1597" spans="1:15" x14ac:dyDescent="0.25">
      <c r="A1597" s="142" t="s">
        <v>1408</v>
      </c>
      <c r="B1597" s="142" t="s">
        <v>51</v>
      </c>
      <c r="C1597" s="142" t="s">
        <v>58</v>
      </c>
      <c r="D1597">
        <v>1</v>
      </c>
      <c r="E1597">
        <v>11.000999999999999</v>
      </c>
      <c r="F1597">
        <v>1E-3</v>
      </c>
      <c r="G1597" s="142" t="s">
        <v>13</v>
      </c>
      <c r="H1597" s="142" t="s">
        <v>12</v>
      </c>
      <c r="I1597">
        <v>0.01</v>
      </c>
      <c r="J1597">
        <v>4.5010000000000001E-2</v>
      </c>
      <c r="K1597" s="142" t="s">
        <v>10</v>
      </c>
      <c r="L1597">
        <v>4.3265000000000002</v>
      </c>
      <c r="M1597">
        <v>2.6149</v>
      </c>
      <c r="N1597">
        <v>4.3204000000000002</v>
      </c>
      <c r="O1597">
        <v>2.6147999999999998</v>
      </c>
    </row>
    <row r="1598" spans="1:15" x14ac:dyDescent="0.25">
      <c r="A1598" s="142" t="s">
        <v>1406</v>
      </c>
      <c r="B1598" s="142" t="s">
        <v>51</v>
      </c>
      <c r="C1598" s="142" t="s">
        <v>58</v>
      </c>
      <c r="D1598">
        <v>1</v>
      </c>
      <c r="E1598">
        <v>11.000999999999999</v>
      </c>
      <c r="F1598">
        <v>1E-3</v>
      </c>
      <c r="G1598" s="142" t="s">
        <v>13</v>
      </c>
      <c r="H1598" s="142" t="s">
        <v>12</v>
      </c>
      <c r="I1598">
        <v>4.4999999999999998E-2</v>
      </c>
      <c r="J1598">
        <v>1.0000100000000001</v>
      </c>
      <c r="K1598" s="142" t="s">
        <v>10</v>
      </c>
      <c r="L1598">
        <v>0.66</v>
      </c>
      <c r="M1598">
        <v>2.1</v>
      </c>
      <c r="N1598">
        <v>0.65508</v>
      </c>
      <c r="O1598">
        <v>2.0543</v>
      </c>
    </row>
    <row r="1599" spans="1:15" x14ac:dyDescent="0.25">
      <c r="A1599" s="142" t="s">
        <v>1407</v>
      </c>
      <c r="B1599" s="142" t="s">
        <v>51</v>
      </c>
      <c r="C1599" s="142" t="s">
        <v>58</v>
      </c>
      <c r="D1599">
        <v>1</v>
      </c>
      <c r="E1599">
        <v>11.000999999999999</v>
      </c>
      <c r="F1599">
        <v>1E-3</v>
      </c>
      <c r="G1599" s="142" t="s">
        <v>13</v>
      </c>
      <c r="H1599" s="142" t="s">
        <v>12</v>
      </c>
      <c r="I1599">
        <v>1</v>
      </c>
      <c r="J1599">
        <v>5.01</v>
      </c>
      <c r="K1599" s="142" t="s">
        <v>10</v>
      </c>
      <c r="L1599">
        <v>12</v>
      </c>
      <c r="M1599">
        <v>7.2</v>
      </c>
      <c r="N1599">
        <v>11.404999999999999</v>
      </c>
      <c r="O1599">
        <v>7.1882000000000001</v>
      </c>
    </row>
    <row r="1600" spans="1:15" x14ac:dyDescent="0.25">
      <c r="A1600" s="142" t="s">
        <v>1405</v>
      </c>
      <c r="B1600" s="142" t="s">
        <v>51</v>
      </c>
      <c r="C1600" s="142" t="s">
        <v>58</v>
      </c>
      <c r="D1600">
        <v>1</v>
      </c>
      <c r="E1600">
        <v>11.000999999999999</v>
      </c>
      <c r="F1600">
        <v>1E-3</v>
      </c>
      <c r="G1600" s="142" t="s">
        <v>13</v>
      </c>
      <c r="H1600" s="142" t="s">
        <v>12</v>
      </c>
      <c r="I1600">
        <v>5</v>
      </c>
      <c r="J1600">
        <v>10</v>
      </c>
      <c r="K1600" s="142" t="s">
        <v>10</v>
      </c>
      <c r="L1600">
        <v>58</v>
      </c>
      <c r="M1600">
        <v>29</v>
      </c>
      <c r="N1600">
        <v>57.703000000000003</v>
      </c>
      <c r="O1600">
        <v>28.928999999999998</v>
      </c>
    </row>
    <row r="1601" spans="1:15" x14ac:dyDescent="0.25">
      <c r="A1601" s="142" t="s">
        <v>1409</v>
      </c>
      <c r="B1601" s="142" t="s">
        <v>51</v>
      </c>
      <c r="C1601" s="142" t="s">
        <v>58</v>
      </c>
      <c r="D1601">
        <v>1</v>
      </c>
      <c r="E1601">
        <v>11.000999999999999</v>
      </c>
      <c r="F1601">
        <v>1E-3</v>
      </c>
      <c r="G1601" s="142" t="s">
        <v>13</v>
      </c>
      <c r="H1601" s="142" t="s">
        <v>12</v>
      </c>
      <c r="I1601">
        <v>10</v>
      </c>
      <c r="J1601">
        <v>10.01</v>
      </c>
      <c r="K1601" s="142" t="s">
        <v>10</v>
      </c>
      <c r="L1601">
        <v>58</v>
      </c>
      <c r="M1601">
        <v>29</v>
      </c>
      <c r="N1601">
        <v>57.703000000000003</v>
      </c>
      <c r="O1601">
        <v>28.928999999999998</v>
      </c>
    </row>
    <row r="1602" spans="1:15" x14ac:dyDescent="0.25">
      <c r="A1602" s="142" t="s">
        <v>1817</v>
      </c>
      <c r="B1602" s="142" t="s">
        <v>51</v>
      </c>
      <c r="C1602" s="142" t="s">
        <v>58</v>
      </c>
      <c r="D1602">
        <v>11</v>
      </c>
      <c r="E1602">
        <v>30.001000000000001</v>
      </c>
      <c r="F1602">
        <v>1E-3</v>
      </c>
      <c r="G1602" s="142" t="s">
        <v>13</v>
      </c>
      <c r="H1602" s="142" t="s">
        <v>12</v>
      </c>
      <c r="I1602">
        <v>0.01</v>
      </c>
      <c r="J1602">
        <v>4.5010000000000001E-2</v>
      </c>
      <c r="K1602" s="142" t="s">
        <v>10</v>
      </c>
      <c r="L1602">
        <v>0.87</v>
      </c>
      <c r="M1602">
        <v>2.9</v>
      </c>
      <c r="N1602">
        <v>0.85389000000000004</v>
      </c>
      <c r="O1602">
        <v>2.8839000000000001</v>
      </c>
    </row>
    <row r="1603" spans="1:15" x14ac:dyDescent="0.25">
      <c r="A1603" s="142" t="s">
        <v>1429</v>
      </c>
      <c r="B1603" s="142" t="s">
        <v>51</v>
      </c>
      <c r="C1603" s="142" t="s">
        <v>58</v>
      </c>
      <c r="D1603">
        <v>11</v>
      </c>
      <c r="E1603">
        <v>30.001000000000001</v>
      </c>
      <c r="F1603">
        <v>1E-3</v>
      </c>
      <c r="G1603" s="142" t="s">
        <v>13</v>
      </c>
      <c r="H1603" s="142" t="s">
        <v>12</v>
      </c>
      <c r="I1603">
        <v>4.4999999999999998E-2</v>
      </c>
      <c r="J1603">
        <v>1.0000100000000001</v>
      </c>
      <c r="K1603" s="142" t="s">
        <v>10</v>
      </c>
      <c r="L1603">
        <v>0.9</v>
      </c>
      <c r="M1603">
        <v>2.1</v>
      </c>
      <c r="N1603">
        <v>0.42297000000000001</v>
      </c>
      <c r="O1603">
        <v>2.1154999999999999</v>
      </c>
    </row>
    <row r="1604" spans="1:15" x14ac:dyDescent="0.25">
      <c r="A1604" s="142" t="s">
        <v>1426</v>
      </c>
      <c r="B1604" s="142" t="s">
        <v>51</v>
      </c>
      <c r="C1604" s="142" t="s">
        <v>58</v>
      </c>
      <c r="D1604">
        <v>11</v>
      </c>
      <c r="E1604">
        <v>30.001000000000001</v>
      </c>
      <c r="F1604">
        <v>1E-3</v>
      </c>
      <c r="G1604" s="142" t="s">
        <v>13</v>
      </c>
      <c r="H1604" s="142" t="s">
        <v>12</v>
      </c>
      <c r="I1604">
        <v>1</v>
      </c>
      <c r="J1604">
        <v>5.01</v>
      </c>
      <c r="K1604" s="142" t="s">
        <v>10</v>
      </c>
      <c r="L1604">
        <v>12</v>
      </c>
      <c r="M1604">
        <v>7.2</v>
      </c>
      <c r="N1604">
        <v>11.173999999999999</v>
      </c>
      <c r="O1604">
        <v>7.2092000000000001</v>
      </c>
    </row>
    <row r="1605" spans="1:15" x14ac:dyDescent="0.25">
      <c r="A1605" s="142" t="s">
        <v>1428</v>
      </c>
      <c r="B1605" s="142" t="s">
        <v>51</v>
      </c>
      <c r="C1605" s="142" t="s">
        <v>58</v>
      </c>
      <c r="D1605">
        <v>11</v>
      </c>
      <c r="E1605">
        <v>30.001000000000001</v>
      </c>
      <c r="F1605">
        <v>1E-3</v>
      </c>
      <c r="G1605" s="142" t="s">
        <v>13</v>
      </c>
      <c r="H1605" s="142" t="s">
        <v>12</v>
      </c>
      <c r="I1605">
        <v>5</v>
      </c>
      <c r="J1605">
        <v>10</v>
      </c>
      <c r="K1605" s="142" t="s">
        <v>10</v>
      </c>
      <c r="L1605">
        <v>58</v>
      </c>
      <c r="M1605">
        <v>29</v>
      </c>
      <c r="N1605">
        <v>57.627000000000002</v>
      </c>
      <c r="O1605">
        <v>28.936</v>
      </c>
    </row>
    <row r="1606" spans="1:15" x14ac:dyDescent="0.25">
      <c r="A1606" s="142" t="s">
        <v>1427</v>
      </c>
      <c r="B1606" s="142" t="s">
        <v>51</v>
      </c>
      <c r="C1606" s="142" t="s">
        <v>58</v>
      </c>
      <c r="D1606">
        <v>11</v>
      </c>
      <c r="E1606">
        <v>30.001000000000001</v>
      </c>
      <c r="F1606">
        <v>1E-3</v>
      </c>
      <c r="G1606" s="142" t="s">
        <v>13</v>
      </c>
      <c r="H1606" s="142" t="s">
        <v>12</v>
      </c>
      <c r="I1606">
        <v>10</v>
      </c>
      <c r="J1606">
        <v>10.01</v>
      </c>
      <c r="K1606" s="142" t="s">
        <v>10</v>
      </c>
      <c r="L1606">
        <v>58</v>
      </c>
      <c r="M1606">
        <v>29</v>
      </c>
      <c r="N1606">
        <v>57.627000000000002</v>
      </c>
      <c r="O1606">
        <v>28.936</v>
      </c>
    </row>
    <row r="1607" spans="1:15" x14ac:dyDescent="0.25">
      <c r="A1607" s="142" t="s">
        <v>1813</v>
      </c>
      <c r="B1607" s="142" t="s">
        <v>51</v>
      </c>
      <c r="C1607" s="142" t="s">
        <v>58</v>
      </c>
      <c r="D1607">
        <v>1</v>
      </c>
      <c r="E1607">
        <v>11.000999999999999</v>
      </c>
      <c r="F1607">
        <v>0.01</v>
      </c>
      <c r="G1607" s="142" t="s">
        <v>13</v>
      </c>
      <c r="H1607" s="142" t="s">
        <v>12</v>
      </c>
      <c r="I1607">
        <v>0.01</v>
      </c>
      <c r="J1607">
        <v>4.5010000000000001E-2</v>
      </c>
      <c r="K1607" s="142" t="s">
        <v>10</v>
      </c>
      <c r="L1607">
        <v>57.286999999999999</v>
      </c>
      <c r="M1607">
        <v>0.84058999999999995</v>
      </c>
      <c r="N1607">
        <v>57.284999999999997</v>
      </c>
      <c r="O1607">
        <v>0.83952000000000004</v>
      </c>
    </row>
    <row r="1608" spans="1:15" x14ac:dyDescent="0.25">
      <c r="A1608" s="142" t="s">
        <v>1411</v>
      </c>
      <c r="B1608" s="142" t="s">
        <v>51</v>
      </c>
      <c r="C1608" s="142" t="s">
        <v>58</v>
      </c>
      <c r="D1608">
        <v>1</v>
      </c>
      <c r="E1608">
        <v>11.000999999999999</v>
      </c>
      <c r="F1608">
        <v>0.01</v>
      </c>
      <c r="G1608" s="142" t="s">
        <v>13</v>
      </c>
      <c r="H1608" s="142" t="s">
        <v>12</v>
      </c>
      <c r="I1608">
        <v>4.4999999999999998E-2</v>
      </c>
      <c r="J1608">
        <v>1.0000100000000001</v>
      </c>
      <c r="K1608" s="142" t="s">
        <v>10</v>
      </c>
      <c r="L1608">
        <v>4.6182999999999996</v>
      </c>
      <c r="M1608">
        <v>1.7586999999999999</v>
      </c>
      <c r="N1608">
        <v>4.6169000000000002</v>
      </c>
      <c r="O1608">
        <v>1.7583</v>
      </c>
    </row>
    <row r="1609" spans="1:15" x14ac:dyDescent="0.25">
      <c r="A1609" s="142" t="s">
        <v>1410</v>
      </c>
      <c r="B1609" s="142" t="s">
        <v>51</v>
      </c>
      <c r="C1609" s="142" t="s">
        <v>58</v>
      </c>
      <c r="D1609">
        <v>1</v>
      </c>
      <c r="E1609">
        <v>11.000999999999999</v>
      </c>
      <c r="F1609">
        <v>0.01</v>
      </c>
      <c r="G1609" s="142" t="s">
        <v>13</v>
      </c>
      <c r="H1609" s="142" t="s">
        <v>12</v>
      </c>
      <c r="I1609">
        <v>1</v>
      </c>
      <c r="J1609">
        <v>5.01</v>
      </c>
      <c r="K1609" s="142" t="s">
        <v>10</v>
      </c>
      <c r="L1609">
        <v>12.361000000000001</v>
      </c>
      <c r="M1609">
        <v>7.1186999999999996</v>
      </c>
      <c r="N1609">
        <v>12.349</v>
      </c>
      <c r="O1609">
        <v>7.1191000000000004</v>
      </c>
    </row>
    <row r="1610" spans="1:15" x14ac:dyDescent="0.25">
      <c r="A1610" s="142" t="s">
        <v>1412</v>
      </c>
      <c r="B1610" s="142" t="s">
        <v>51</v>
      </c>
      <c r="C1610" s="142" t="s">
        <v>58</v>
      </c>
      <c r="D1610">
        <v>1</v>
      </c>
      <c r="E1610">
        <v>11.000999999999999</v>
      </c>
      <c r="F1610">
        <v>0.01</v>
      </c>
      <c r="G1610" s="142" t="s">
        <v>13</v>
      </c>
      <c r="H1610" s="142" t="s">
        <v>12</v>
      </c>
      <c r="I1610">
        <v>5</v>
      </c>
      <c r="J1610">
        <v>10</v>
      </c>
      <c r="K1610" s="142" t="s">
        <v>10</v>
      </c>
      <c r="L1610">
        <v>58</v>
      </c>
      <c r="M1610">
        <v>28.914000000000001</v>
      </c>
      <c r="N1610">
        <v>57.905000000000001</v>
      </c>
      <c r="O1610">
        <v>28.914999999999999</v>
      </c>
    </row>
    <row r="1611" spans="1:15" x14ac:dyDescent="0.25">
      <c r="A1611" s="142" t="s">
        <v>1816</v>
      </c>
      <c r="B1611" s="142" t="s">
        <v>51</v>
      </c>
      <c r="C1611" s="142" t="s">
        <v>58</v>
      </c>
      <c r="D1611">
        <v>1</v>
      </c>
      <c r="E1611">
        <v>11.000999999999999</v>
      </c>
      <c r="F1611">
        <v>0.01</v>
      </c>
      <c r="G1611" s="142" t="s">
        <v>13</v>
      </c>
      <c r="H1611" s="142" t="s">
        <v>12</v>
      </c>
      <c r="I1611">
        <v>10</v>
      </c>
      <c r="J1611">
        <v>10.01</v>
      </c>
      <c r="K1611" s="142" t="s">
        <v>10</v>
      </c>
      <c r="L1611">
        <v>58</v>
      </c>
      <c r="M1611">
        <v>28.914000000000001</v>
      </c>
      <c r="N1611">
        <v>57.905000000000001</v>
      </c>
      <c r="O1611">
        <v>28.914999999999999</v>
      </c>
    </row>
    <row r="1612" spans="1:15" x14ac:dyDescent="0.25">
      <c r="A1612" s="142" t="s">
        <v>1434</v>
      </c>
      <c r="B1612" s="142" t="s">
        <v>51</v>
      </c>
      <c r="C1612" s="142" t="s">
        <v>58</v>
      </c>
      <c r="D1612">
        <v>11</v>
      </c>
      <c r="E1612">
        <v>30.001000000000001</v>
      </c>
      <c r="F1612">
        <v>0.01</v>
      </c>
      <c r="G1612" s="142" t="s">
        <v>13</v>
      </c>
      <c r="H1612" s="142" t="s">
        <v>12</v>
      </c>
      <c r="I1612">
        <v>0.01</v>
      </c>
      <c r="J1612">
        <v>4.5010000000000001E-2</v>
      </c>
      <c r="K1612" s="142" t="s">
        <v>10</v>
      </c>
      <c r="L1612">
        <v>1.4280999999999999</v>
      </c>
      <c r="M1612">
        <v>2.8814000000000002</v>
      </c>
      <c r="N1612">
        <v>1.5428999999999999</v>
      </c>
      <c r="O1612">
        <v>2.8673000000000002</v>
      </c>
    </row>
    <row r="1613" spans="1:15" x14ac:dyDescent="0.25">
      <c r="A1613" s="142" t="s">
        <v>1433</v>
      </c>
      <c r="B1613" s="142" t="s">
        <v>51</v>
      </c>
      <c r="C1613" s="142" t="s">
        <v>58</v>
      </c>
      <c r="D1613">
        <v>11</v>
      </c>
      <c r="E1613">
        <v>30.001000000000001</v>
      </c>
      <c r="F1613">
        <v>0.01</v>
      </c>
      <c r="G1613" s="142" t="s">
        <v>13</v>
      </c>
      <c r="H1613" s="142" t="s">
        <v>12</v>
      </c>
      <c r="I1613">
        <v>4.4999999999999998E-2</v>
      </c>
      <c r="J1613">
        <v>1.0000100000000001</v>
      </c>
      <c r="K1613" s="142" t="s">
        <v>10</v>
      </c>
      <c r="L1613">
        <v>1.3908</v>
      </c>
      <c r="M1613">
        <v>2.0926999999999998</v>
      </c>
      <c r="N1613">
        <v>1.3648</v>
      </c>
      <c r="O1613">
        <v>2.0928</v>
      </c>
    </row>
    <row r="1614" spans="1:15" x14ac:dyDescent="0.25">
      <c r="A1614" s="142" t="s">
        <v>1432</v>
      </c>
      <c r="B1614" s="142" t="s">
        <v>51</v>
      </c>
      <c r="C1614" s="142" t="s">
        <v>58</v>
      </c>
      <c r="D1614">
        <v>11</v>
      </c>
      <c r="E1614">
        <v>30.001000000000001</v>
      </c>
      <c r="F1614">
        <v>0.01</v>
      </c>
      <c r="G1614" s="142" t="s">
        <v>13</v>
      </c>
      <c r="H1614" s="142" t="s">
        <v>12</v>
      </c>
      <c r="I1614">
        <v>1</v>
      </c>
      <c r="J1614">
        <v>5.01</v>
      </c>
      <c r="K1614" s="142" t="s">
        <v>10</v>
      </c>
      <c r="L1614">
        <v>12</v>
      </c>
      <c r="M1614">
        <v>7.2</v>
      </c>
      <c r="N1614">
        <v>11.422000000000001</v>
      </c>
      <c r="O1614">
        <v>7.2034000000000002</v>
      </c>
    </row>
    <row r="1615" spans="1:15" x14ac:dyDescent="0.25">
      <c r="A1615" s="142" t="s">
        <v>1431</v>
      </c>
      <c r="B1615" s="142" t="s">
        <v>51</v>
      </c>
      <c r="C1615" s="142" t="s">
        <v>58</v>
      </c>
      <c r="D1615">
        <v>11</v>
      </c>
      <c r="E1615">
        <v>30.001000000000001</v>
      </c>
      <c r="F1615">
        <v>0.01</v>
      </c>
      <c r="G1615" s="142" t="s">
        <v>13</v>
      </c>
      <c r="H1615" s="142" t="s">
        <v>12</v>
      </c>
      <c r="I1615">
        <v>5</v>
      </c>
      <c r="J1615">
        <v>10</v>
      </c>
      <c r="K1615" s="142" t="s">
        <v>10</v>
      </c>
      <c r="L1615">
        <v>58</v>
      </c>
      <c r="M1615">
        <v>29</v>
      </c>
      <c r="N1615">
        <v>57.682000000000002</v>
      </c>
      <c r="O1615">
        <v>28.934999999999999</v>
      </c>
    </row>
    <row r="1616" spans="1:15" x14ac:dyDescent="0.25">
      <c r="A1616" s="142" t="s">
        <v>1430</v>
      </c>
      <c r="B1616" s="142" t="s">
        <v>51</v>
      </c>
      <c r="C1616" s="142" t="s">
        <v>58</v>
      </c>
      <c r="D1616">
        <v>11</v>
      </c>
      <c r="E1616">
        <v>30.001000000000001</v>
      </c>
      <c r="F1616">
        <v>0.01</v>
      </c>
      <c r="G1616" s="142" t="s">
        <v>13</v>
      </c>
      <c r="H1616" s="142" t="s">
        <v>12</v>
      </c>
      <c r="I1616">
        <v>10</v>
      </c>
      <c r="J1616">
        <v>10.01</v>
      </c>
      <c r="K1616" s="142" t="s">
        <v>10</v>
      </c>
      <c r="L1616">
        <v>58</v>
      </c>
      <c r="M1616">
        <v>29</v>
      </c>
      <c r="N1616">
        <v>57.682000000000002</v>
      </c>
      <c r="O1616">
        <v>28.934999999999999</v>
      </c>
    </row>
    <row r="1617" spans="1:15" x14ac:dyDescent="0.25">
      <c r="A1617" s="142" t="s">
        <v>1446</v>
      </c>
      <c r="B1617" s="142" t="s">
        <v>51</v>
      </c>
      <c r="C1617" s="142" t="s">
        <v>58</v>
      </c>
      <c r="D1617">
        <v>30</v>
      </c>
      <c r="E1617">
        <v>110.01</v>
      </c>
      <c r="F1617">
        <v>0.01</v>
      </c>
      <c r="G1617" s="142" t="s">
        <v>13</v>
      </c>
      <c r="H1617" s="142" t="s">
        <v>12</v>
      </c>
      <c r="I1617">
        <v>4.4999999999999998E-2</v>
      </c>
      <c r="J1617">
        <v>0.10001</v>
      </c>
      <c r="K1617" s="142" t="s">
        <v>10</v>
      </c>
      <c r="L1617">
        <v>12</v>
      </c>
      <c r="M1617">
        <v>2.1</v>
      </c>
      <c r="N1617">
        <v>11.984</v>
      </c>
      <c r="O1617">
        <v>2.0859999999999999</v>
      </c>
    </row>
    <row r="1618" spans="1:15" x14ac:dyDescent="0.25">
      <c r="A1618" s="142" t="s">
        <v>1447</v>
      </c>
      <c r="B1618" s="142" t="s">
        <v>51</v>
      </c>
      <c r="C1618" s="142" t="s">
        <v>58</v>
      </c>
      <c r="D1618">
        <v>30</v>
      </c>
      <c r="E1618">
        <v>110.01</v>
      </c>
      <c r="F1618">
        <v>0.01</v>
      </c>
      <c r="G1618" s="142" t="s">
        <v>13</v>
      </c>
      <c r="H1618" s="142" t="s">
        <v>12</v>
      </c>
      <c r="I1618">
        <v>0.1</v>
      </c>
      <c r="J1618">
        <v>1.0000100000000001</v>
      </c>
      <c r="K1618" s="142" t="s">
        <v>10</v>
      </c>
      <c r="L1618">
        <v>15</v>
      </c>
      <c r="M1618">
        <v>2.2999999999999998</v>
      </c>
      <c r="N1618">
        <v>14.872</v>
      </c>
      <c r="O1618">
        <v>2.2866</v>
      </c>
    </row>
    <row r="1619" spans="1:15" x14ac:dyDescent="0.25">
      <c r="A1619" s="142" t="s">
        <v>1445</v>
      </c>
      <c r="B1619" s="142" t="s">
        <v>51</v>
      </c>
      <c r="C1619" s="142" t="s">
        <v>58</v>
      </c>
      <c r="D1619">
        <v>30</v>
      </c>
      <c r="E1619">
        <v>110.01</v>
      </c>
      <c r="F1619">
        <v>0.01</v>
      </c>
      <c r="G1619" s="142" t="s">
        <v>13</v>
      </c>
      <c r="H1619" s="142" t="s">
        <v>12</v>
      </c>
      <c r="I1619">
        <v>1</v>
      </c>
      <c r="J1619">
        <v>5</v>
      </c>
      <c r="K1619" s="142" t="s">
        <v>10</v>
      </c>
      <c r="L1619">
        <v>24</v>
      </c>
      <c r="M1619">
        <v>35</v>
      </c>
      <c r="N1619">
        <v>23.064</v>
      </c>
      <c r="O1619">
        <v>34.698999999999998</v>
      </c>
    </row>
    <row r="1620" spans="1:15" x14ac:dyDescent="0.25">
      <c r="A1620" s="142" t="s">
        <v>1448</v>
      </c>
      <c r="B1620" s="142" t="s">
        <v>51</v>
      </c>
      <c r="C1620" s="142" t="s">
        <v>58</v>
      </c>
      <c r="D1620">
        <v>30</v>
      </c>
      <c r="E1620">
        <v>110.01</v>
      </c>
      <c r="F1620">
        <v>0.01</v>
      </c>
      <c r="G1620" s="142" t="s">
        <v>13</v>
      </c>
      <c r="H1620" s="142" t="s">
        <v>12</v>
      </c>
      <c r="I1620">
        <v>5</v>
      </c>
      <c r="J1620">
        <v>5.01</v>
      </c>
      <c r="K1620" s="142" t="s">
        <v>10</v>
      </c>
      <c r="L1620">
        <v>24</v>
      </c>
      <c r="M1620">
        <v>35</v>
      </c>
      <c r="N1620">
        <v>23.064</v>
      </c>
      <c r="O1620">
        <v>34.698999999999998</v>
      </c>
    </row>
    <row r="1621" spans="1:15" x14ac:dyDescent="0.25">
      <c r="A1621" s="142" t="s">
        <v>1463</v>
      </c>
      <c r="B1621" s="142" t="s">
        <v>51</v>
      </c>
      <c r="C1621" s="142" t="s">
        <v>58</v>
      </c>
      <c r="D1621">
        <v>110</v>
      </c>
      <c r="E1621">
        <v>205.01</v>
      </c>
      <c r="F1621">
        <v>0.01</v>
      </c>
      <c r="G1621" s="142" t="s">
        <v>13</v>
      </c>
      <c r="H1621" s="142" t="s">
        <v>12</v>
      </c>
      <c r="I1621">
        <v>4.4999999999999998E-2</v>
      </c>
      <c r="J1621">
        <v>0.10001</v>
      </c>
      <c r="K1621" s="142" t="s">
        <v>10</v>
      </c>
      <c r="L1621">
        <v>42</v>
      </c>
      <c r="M1621">
        <v>2.4</v>
      </c>
      <c r="N1621">
        <v>38.552999999999997</v>
      </c>
      <c r="O1621">
        <v>2.4159000000000002</v>
      </c>
    </row>
    <row r="1622" spans="1:15" x14ac:dyDescent="0.25">
      <c r="A1622" s="142" t="s">
        <v>1826</v>
      </c>
      <c r="B1622" s="142" t="s">
        <v>51</v>
      </c>
      <c r="C1622" s="142" t="s">
        <v>58</v>
      </c>
      <c r="D1622">
        <v>110</v>
      </c>
      <c r="E1622">
        <v>205.01</v>
      </c>
      <c r="F1622">
        <v>0.01</v>
      </c>
      <c r="G1622" s="142" t="s">
        <v>13</v>
      </c>
      <c r="H1622" s="142" t="s">
        <v>12</v>
      </c>
      <c r="I1622">
        <v>0.1</v>
      </c>
      <c r="J1622">
        <v>1.0000100000000001</v>
      </c>
      <c r="K1622" s="142" t="s">
        <v>10</v>
      </c>
      <c r="L1622">
        <v>49</v>
      </c>
      <c r="M1622">
        <v>2.6</v>
      </c>
      <c r="N1622">
        <v>42.201999999999998</v>
      </c>
      <c r="O1622">
        <v>2.6324000000000001</v>
      </c>
    </row>
    <row r="1623" spans="1:15" x14ac:dyDescent="0.25">
      <c r="A1623" s="142" t="s">
        <v>1828</v>
      </c>
      <c r="B1623" s="142" t="s">
        <v>51</v>
      </c>
      <c r="C1623" s="142" t="s">
        <v>58</v>
      </c>
      <c r="D1623">
        <v>110</v>
      </c>
      <c r="E1623">
        <v>205.01</v>
      </c>
      <c r="F1623">
        <v>0.01</v>
      </c>
      <c r="G1623" s="142" t="s">
        <v>13</v>
      </c>
      <c r="H1623" s="142" t="s">
        <v>12</v>
      </c>
      <c r="I1623">
        <v>1</v>
      </c>
      <c r="J1623">
        <v>5</v>
      </c>
      <c r="K1623" s="142" t="s">
        <v>10</v>
      </c>
      <c r="L1623">
        <v>58</v>
      </c>
      <c r="M1623">
        <v>35</v>
      </c>
      <c r="N1623">
        <v>57.612000000000002</v>
      </c>
      <c r="O1623">
        <v>34.698999999999998</v>
      </c>
    </row>
    <row r="1624" spans="1:15" x14ac:dyDescent="0.25">
      <c r="A1624" s="142" t="s">
        <v>1462</v>
      </c>
      <c r="B1624" s="142" t="s">
        <v>51</v>
      </c>
      <c r="C1624" s="142" t="s">
        <v>58</v>
      </c>
      <c r="D1624">
        <v>110</v>
      </c>
      <c r="E1624">
        <v>205.01</v>
      </c>
      <c r="F1624">
        <v>0.01</v>
      </c>
      <c r="G1624" s="142" t="s">
        <v>13</v>
      </c>
      <c r="H1624" s="142" t="s">
        <v>12</v>
      </c>
      <c r="I1624">
        <v>5</v>
      </c>
      <c r="J1624">
        <v>5.01</v>
      </c>
      <c r="K1624" s="142" t="s">
        <v>10</v>
      </c>
      <c r="L1624">
        <v>58</v>
      </c>
      <c r="M1624">
        <v>35</v>
      </c>
      <c r="N1624">
        <v>57.612000000000002</v>
      </c>
      <c r="O1624">
        <v>34.698999999999998</v>
      </c>
    </row>
    <row r="1625" spans="1:15" x14ac:dyDescent="0.25">
      <c r="A1625" s="142" t="s">
        <v>1415</v>
      </c>
      <c r="B1625" s="142" t="s">
        <v>51</v>
      </c>
      <c r="C1625" s="142" t="s">
        <v>58</v>
      </c>
      <c r="D1625">
        <v>1</v>
      </c>
      <c r="E1625">
        <v>11.000999999999999</v>
      </c>
      <c r="F1625">
        <v>0.1</v>
      </c>
      <c r="G1625" s="142" t="s">
        <v>13</v>
      </c>
      <c r="H1625" s="142" t="s">
        <v>12</v>
      </c>
      <c r="I1625">
        <v>0.01</v>
      </c>
      <c r="J1625">
        <v>4.5010000000000001E-2</v>
      </c>
      <c r="K1625" s="142" t="s">
        <v>10</v>
      </c>
      <c r="L1625">
        <v>579.91999999999996</v>
      </c>
      <c r="M1625">
        <v>9.0643000000000001E-2</v>
      </c>
      <c r="N1625">
        <v>579.91999999999996</v>
      </c>
      <c r="O1625">
        <v>9.0135999999999994E-2</v>
      </c>
    </row>
    <row r="1626" spans="1:15" x14ac:dyDescent="0.25">
      <c r="A1626" s="142" t="s">
        <v>1416</v>
      </c>
      <c r="B1626" s="142" t="s">
        <v>51</v>
      </c>
      <c r="C1626" s="142" t="s">
        <v>58</v>
      </c>
      <c r="D1626">
        <v>1</v>
      </c>
      <c r="E1626">
        <v>11.000999999999999</v>
      </c>
      <c r="F1626">
        <v>0.1</v>
      </c>
      <c r="G1626" s="142" t="s">
        <v>13</v>
      </c>
      <c r="H1626" s="142" t="s">
        <v>12</v>
      </c>
      <c r="I1626">
        <v>4.4999999999999998E-2</v>
      </c>
      <c r="J1626">
        <v>1.0000100000000001</v>
      </c>
      <c r="K1626" s="142" t="s">
        <v>10</v>
      </c>
      <c r="L1626">
        <v>57.618000000000002</v>
      </c>
      <c r="M1626">
        <v>0.44323000000000001</v>
      </c>
      <c r="N1626">
        <v>57.618000000000002</v>
      </c>
      <c r="O1626">
        <v>0.44244</v>
      </c>
    </row>
    <row r="1627" spans="1:15" x14ac:dyDescent="0.25">
      <c r="A1627" s="142" t="s">
        <v>1814</v>
      </c>
      <c r="B1627" s="142" t="s">
        <v>51</v>
      </c>
      <c r="C1627" s="142" t="s">
        <v>58</v>
      </c>
      <c r="D1627">
        <v>1</v>
      </c>
      <c r="E1627">
        <v>11.000999999999999</v>
      </c>
      <c r="F1627">
        <v>0.1</v>
      </c>
      <c r="G1627" s="142" t="s">
        <v>13</v>
      </c>
      <c r="H1627" s="142" t="s">
        <v>12</v>
      </c>
      <c r="I1627">
        <v>1</v>
      </c>
      <c r="J1627">
        <v>5.01</v>
      </c>
      <c r="K1627" s="142" t="s">
        <v>10</v>
      </c>
      <c r="L1627">
        <v>56.262</v>
      </c>
      <c r="M1627">
        <v>4.6574</v>
      </c>
      <c r="N1627">
        <v>56.247999999999998</v>
      </c>
      <c r="O1627">
        <v>4.6563999999999997</v>
      </c>
    </row>
    <row r="1628" spans="1:15" x14ac:dyDescent="0.25">
      <c r="A1628" s="142" t="s">
        <v>1414</v>
      </c>
      <c r="B1628" s="142" t="s">
        <v>51</v>
      </c>
      <c r="C1628" s="142" t="s">
        <v>58</v>
      </c>
      <c r="D1628">
        <v>1</v>
      </c>
      <c r="E1628">
        <v>11.000999999999999</v>
      </c>
      <c r="F1628">
        <v>0.1</v>
      </c>
      <c r="G1628" s="142" t="s">
        <v>13</v>
      </c>
      <c r="H1628" s="142" t="s">
        <v>12</v>
      </c>
      <c r="I1628">
        <v>5</v>
      </c>
      <c r="J1628">
        <v>10</v>
      </c>
      <c r="K1628" s="142" t="s">
        <v>10</v>
      </c>
      <c r="L1628">
        <v>76.668000000000006</v>
      </c>
      <c r="M1628">
        <v>27.611000000000001</v>
      </c>
      <c r="N1628">
        <v>76.638000000000005</v>
      </c>
      <c r="O1628">
        <v>27.611999999999998</v>
      </c>
    </row>
    <row r="1629" spans="1:15" x14ac:dyDescent="0.25">
      <c r="A1629" s="142" t="s">
        <v>1413</v>
      </c>
      <c r="B1629" s="142" t="s">
        <v>51</v>
      </c>
      <c r="C1629" s="142" t="s">
        <v>58</v>
      </c>
      <c r="D1629">
        <v>1</v>
      </c>
      <c r="E1629">
        <v>11.000999999999999</v>
      </c>
      <c r="F1629">
        <v>0.1</v>
      </c>
      <c r="G1629" s="142" t="s">
        <v>13</v>
      </c>
      <c r="H1629" s="142" t="s">
        <v>12</v>
      </c>
      <c r="I1629">
        <v>10</v>
      </c>
      <c r="J1629">
        <v>10.01</v>
      </c>
      <c r="K1629" s="142" t="s">
        <v>10</v>
      </c>
      <c r="L1629">
        <v>76.668000000000006</v>
      </c>
      <c r="M1629">
        <v>27.611000000000001</v>
      </c>
      <c r="N1629">
        <v>76.638000000000005</v>
      </c>
      <c r="O1629">
        <v>27.611999999999998</v>
      </c>
    </row>
    <row r="1630" spans="1:15" x14ac:dyDescent="0.25">
      <c r="A1630" s="142" t="s">
        <v>1437</v>
      </c>
      <c r="B1630" s="142" t="s">
        <v>51</v>
      </c>
      <c r="C1630" s="142" t="s">
        <v>58</v>
      </c>
      <c r="D1630">
        <v>11</v>
      </c>
      <c r="E1630">
        <v>30.001000000000001</v>
      </c>
      <c r="F1630">
        <v>0.1</v>
      </c>
      <c r="G1630" s="142" t="s">
        <v>13</v>
      </c>
      <c r="H1630" s="142" t="s">
        <v>12</v>
      </c>
      <c r="I1630">
        <v>0.01</v>
      </c>
      <c r="J1630">
        <v>4.5010000000000001E-2</v>
      </c>
      <c r="K1630" s="142" t="s">
        <v>10</v>
      </c>
      <c r="L1630">
        <v>44.393999999999998</v>
      </c>
      <c r="M1630">
        <v>2.0188000000000001</v>
      </c>
      <c r="N1630">
        <v>44.317</v>
      </c>
      <c r="O1630">
        <v>2.0184000000000002</v>
      </c>
    </row>
    <row r="1631" spans="1:15" x14ac:dyDescent="0.25">
      <c r="A1631" s="142" t="s">
        <v>1435</v>
      </c>
      <c r="B1631" s="142" t="s">
        <v>51</v>
      </c>
      <c r="C1631" s="142" t="s">
        <v>58</v>
      </c>
      <c r="D1631">
        <v>11</v>
      </c>
      <c r="E1631">
        <v>30.001000000000001</v>
      </c>
      <c r="F1631">
        <v>0.1</v>
      </c>
      <c r="G1631" s="142" t="s">
        <v>13</v>
      </c>
      <c r="H1631" s="142" t="s">
        <v>12</v>
      </c>
      <c r="I1631">
        <v>4.4999999999999998E-2</v>
      </c>
      <c r="J1631">
        <v>1.0000100000000001</v>
      </c>
      <c r="K1631" s="142" t="s">
        <v>10</v>
      </c>
      <c r="L1631">
        <v>48.985999999999997</v>
      </c>
      <c r="M1631">
        <v>1.2457</v>
      </c>
      <c r="N1631">
        <v>48.966999999999999</v>
      </c>
      <c r="O1631">
        <v>1.244</v>
      </c>
    </row>
    <row r="1632" spans="1:15" x14ac:dyDescent="0.25">
      <c r="A1632" s="142" t="s">
        <v>1820</v>
      </c>
      <c r="B1632" s="142" t="s">
        <v>51</v>
      </c>
      <c r="C1632" s="142" t="s">
        <v>58</v>
      </c>
      <c r="D1632">
        <v>11</v>
      </c>
      <c r="E1632">
        <v>30.001000000000001</v>
      </c>
      <c r="F1632">
        <v>0.1</v>
      </c>
      <c r="G1632" s="142" t="s">
        <v>13</v>
      </c>
      <c r="H1632" s="142" t="s">
        <v>12</v>
      </c>
      <c r="I1632">
        <v>1</v>
      </c>
      <c r="J1632">
        <v>5.01</v>
      </c>
      <c r="K1632" s="142" t="s">
        <v>10</v>
      </c>
      <c r="L1632">
        <v>33.826999999999998</v>
      </c>
      <c r="M1632">
        <v>6.6978</v>
      </c>
      <c r="N1632">
        <v>33.792000000000002</v>
      </c>
      <c r="O1632">
        <v>6.6978999999999997</v>
      </c>
    </row>
    <row r="1633" spans="1:15" x14ac:dyDescent="0.25">
      <c r="A1633" s="142" t="s">
        <v>1436</v>
      </c>
      <c r="B1633" s="142" t="s">
        <v>51</v>
      </c>
      <c r="C1633" s="142" t="s">
        <v>58</v>
      </c>
      <c r="D1633">
        <v>11</v>
      </c>
      <c r="E1633">
        <v>30.001000000000001</v>
      </c>
      <c r="F1633">
        <v>0.1</v>
      </c>
      <c r="G1633" s="142" t="s">
        <v>13</v>
      </c>
      <c r="H1633" s="142" t="s">
        <v>12</v>
      </c>
      <c r="I1633">
        <v>5</v>
      </c>
      <c r="J1633">
        <v>10</v>
      </c>
      <c r="K1633" s="142" t="s">
        <v>10</v>
      </c>
      <c r="L1633">
        <v>63.353000000000002</v>
      </c>
      <c r="M1633">
        <v>28.821999999999999</v>
      </c>
      <c r="N1633">
        <v>63.613</v>
      </c>
      <c r="O1633">
        <v>28.797000000000001</v>
      </c>
    </row>
    <row r="1634" spans="1:15" x14ac:dyDescent="0.25">
      <c r="A1634" s="142" t="s">
        <v>1821</v>
      </c>
      <c r="B1634" s="142" t="s">
        <v>51</v>
      </c>
      <c r="C1634" s="142" t="s">
        <v>58</v>
      </c>
      <c r="D1634">
        <v>11</v>
      </c>
      <c r="E1634">
        <v>30.001000000000001</v>
      </c>
      <c r="F1634">
        <v>0.1</v>
      </c>
      <c r="G1634" s="142" t="s">
        <v>13</v>
      </c>
      <c r="H1634" s="142" t="s">
        <v>12</v>
      </c>
      <c r="I1634">
        <v>10</v>
      </c>
      <c r="J1634">
        <v>10.01</v>
      </c>
      <c r="K1634" s="142" t="s">
        <v>10</v>
      </c>
      <c r="L1634">
        <v>63.353000000000002</v>
      </c>
      <c r="M1634">
        <v>28.821999999999999</v>
      </c>
      <c r="N1634">
        <v>63.613</v>
      </c>
      <c r="O1634">
        <v>28.797000000000001</v>
      </c>
    </row>
    <row r="1635" spans="1:15" x14ac:dyDescent="0.25">
      <c r="A1635" s="142" t="s">
        <v>1450</v>
      </c>
      <c r="B1635" s="142" t="s">
        <v>51</v>
      </c>
      <c r="C1635" s="142" t="s">
        <v>58</v>
      </c>
      <c r="D1635">
        <v>30</v>
      </c>
      <c r="E1635">
        <v>110.01</v>
      </c>
      <c r="F1635">
        <v>0.1</v>
      </c>
      <c r="G1635" s="142" t="s">
        <v>13</v>
      </c>
      <c r="H1635" s="142" t="s">
        <v>12</v>
      </c>
      <c r="I1635">
        <v>4.4999999999999998E-2</v>
      </c>
      <c r="J1635">
        <v>0.10001</v>
      </c>
      <c r="K1635" s="142" t="s">
        <v>10</v>
      </c>
      <c r="L1635">
        <v>36.579000000000001</v>
      </c>
      <c r="M1635">
        <v>1.9251</v>
      </c>
      <c r="N1635">
        <v>36.551000000000002</v>
      </c>
      <c r="O1635">
        <v>1.9245000000000001</v>
      </c>
    </row>
    <row r="1636" spans="1:15" x14ac:dyDescent="0.25">
      <c r="A1636" s="142" t="s">
        <v>1449</v>
      </c>
      <c r="B1636" s="142" t="s">
        <v>51</v>
      </c>
      <c r="C1636" s="142" t="s">
        <v>58</v>
      </c>
      <c r="D1636">
        <v>30</v>
      </c>
      <c r="E1636">
        <v>110.01</v>
      </c>
      <c r="F1636">
        <v>0.1</v>
      </c>
      <c r="G1636" s="142" t="s">
        <v>13</v>
      </c>
      <c r="H1636" s="142" t="s">
        <v>12</v>
      </c>
      <c r="I1636">
        <v>0.1</v>
      </c>
      <c r="J1636">
        <v>1.0000100000000001</v>
      </c>
      <c r="K1636" s="142" t="s">
        <v>10</v>
      </c>
      <c r="L1636">
        <v>37.347999999999999</v>
      </c>
      <c r="M1636">
        <v>2.1392000000000002</v>
      </c>
      <c r="N1636">
        <v>37.319000000000003</v>
      </c>
      <c r="O1636">
        <v>2.1387</v>
      </c>
    </row>
    <row r="1637" spans="1:15" x14ac:dyDescent="0.25">
      <c r="A1637" s="142" t="s">
        <v>1451</v>
      </c>
      <c r="B1637" s="142" t="s">
        <v>51</v>
      </c>
      <c r="C1637" s="142" t="s">
        <v>58</v>
      </c>
      <c r="D1637">
        <v>30</v>
      </c>
      <c r="E1637">
        <v>110.01</v>
      </c>
      <c r="F1637">
        <v>0.1</v>
      </c>
      <c r="G1637" s="142" t="s">
        <v>13</v>
      </c>
      <c r="H1637" s="142" t="s">
        <v>12</v>
      </c>
      <c r="I1637">
        <v>1</v>
      </c>
      <c r="J1637">
        <v>5</v>
      </c>
      <c r="K1637" s="142" t="s">
        <v>10</v>
      </c>
      <c r="L1637">
        <v>24</v>
      </c>
      <c r="M1637">
        <v>35</v>
      </c>
      <c r="N1637">
        <v>25.111999999999998</v>
      </c>
      <c r="O1637">
        <v>34.683999999999997</v>
      </c>
    </row>
    <row r="1638" spans="1:15" x14ac:dyDescent="0.25">
      <c r="A1638" s="142" t="s">
        <v>1452</v>
      </c>
      <c r="B1638" s="142" t="s">
        <v>51</v>
      </c>
      <c r="C1638" s="142" t="s">
        <v>58</v>
      </c>
      <c r="D1638">
        <v>30</v>
      </c>
      <c r="E1638">
        <v>110.01</v>
      </c>
      <c r="F1638">
        <v>0.1</v>
      </c>
      <c r="G1638" s="142" t="s">
        <v>13</v>
      </c>
      <c r="H1638" s="142" t="s">
        <v>12</v>
      </c>
      <c r="I1638">
        <v>5</v>
      </c>
      <c r="J1638">
        <v>5.01</v>
      </c>
      <c r="K1638" s="142" t="s">
        <v>10</v>
      </c>
      <c r="L1638">
        <v>24</v>
      </c>
      <c r="M1638">
        <v>35</v>
      </c>
      <c r="N1638">
        <v>25.111999999999998</v>
      </c>
      <c r="O1638">
        <v>34.683999999999997</v>
      </c>
    </row>
    <row r="1639" spans="1:15" x14ac:dyDescent="0.25">
      <c r="A1639" s="142" t="s">
        <v>1465</v>
      </c>
      <c r="B1639" s="142" t="s">
        <v>51</v>
      </c>
      <c r="C1639" s="142" t="s">
        <v>58</v>
      </c>
      <c r="D1639">
        <v>110</v>
      </c>
      <c r="E1639">
        <v>205.01</v>
      </c>
      <c r="F1639">
        <v>0.1</v>
      </c>
      <c r="G1639" s="142" t="s">
        <v>13</v>
      </c>
      <c r="H1639" s="142" t="s">
        <v>12</v>
      </c>
      <c r="I1639">
        <v>4.4999999999999998E-2</v>
      </c>
      <c r="J1639">
        <v>0.10001</v>
      </c>
      <c r="K1639" s="142" t="s">
        <v>10</v>
      </c>
      <c r="L1639">
        <v>46.786999999999999</v>
      </c>
      <c r="M1639">
        <v>2.3923999999999999</v>
      </c>
      <c r="N1639">
        <v>46.65</v>
      </c>
      <c r="O1639">
        <v>2.3915999999999999</v>
      </c>
    </row>
    <row r="1640" spans="1:15" x14ac:dyDescent="0.25">
      <c r="A1640" s="142" t="s">
        <v>1827</v>
      </c>
      <c r="B1640" s="142" t="s">
        <v>51</v>
      </c>
      <c r="C1640" s="142" t="s">
        <v>58</v>
      </c>
      <c r="D1640">
        <v>110</v>
      </c>
      <c r="E1640">
        <v>205.01</v>
      </c>
      <c r="F1640">
        <v>0.1</v>
      </c>
      <c r="G1640" s="142" t="s">
        <v>13</v>
      </c>
      <c r="H1640" s="142" t="s">
        <v>12</v>
      </c>
      <c r="I1640">
        <v>0.1</v>
      </c>
      <c r="J1640">
        <v>1.0000100000000001</v>
      </c>
      <c r="K1640" s="142" t="s">
        <v>10</v>
      </c>
      <c r="L1640">
        <v>49.765000000000001</v>
      </c>
      <c r="M1640">
        <v>2.6107999999999998</v>
      </c>
      <c r="N1640">
        <v>49.649000000000001</v>
      </c>
      <c r="O1640">
        <v>2.61</v>
      </c>
    </row>
    <row r="1641" spans="1:15" x14ac:dyDescent="0.25">
      <c r="A1641" s="142" t="s">
        <v>1464</v>
      </c>
      <c r="B1641" s="142" t="s">
        <v>51</v>
      </c>
      <c r="C1641" s="142" t="s">
        <v>58</v>
      </c>
      <c r="D1641">
        <v>110</v>
      </c>
      <c r="E1641">
        <v>205.01</v>
      </c>
      <c r="F1641">
        <v>0.1</v>
      </c>
      <c r="G1641" s="142" t="s">
        <v>13</v>
      </c>
      <c r="H1641" s="142" t="s">
        <v>12</v>
      </c>
      <c r="I1641">
        <v>1</v>
      </c>
      <c r="J1641">
        <v>5</v>
      </c>
      <c r="K1641" s="142" t="s">
        <v>10</v>
      </c>
      <c r="L1641">
        <v>58</v>
      </c>
      <c r="M1641">
        <v>35</v>
      </c>
      <c r="N1641">
        <v>58.262</v>
      </c>
      <c r="O1641">
        <v>34.697000000000003</v>
      </c>
    </row>
    <row r="1642" spans="1:15" x14ac:dyDescent="0.25">
      <c r="A1642" s="142" t="s">
        <v>1829</v>
      </c>
      <c r="B1642" s="142" t="s">
        <v>51</v>
      </c>
      <c r="C1642" s="142" t="s">
        <v>58</v>
      </c>
      <c r="D1642">
        <v>110</v>
      </c>
      <c r="E1642">
        <v>205.01</v>
      </c>
      <c r="F1642">
        <v>0.1</v>
      </c>
      <c r="G1642" s="142" t="s">
        <v>13</v>
      </c>
      <c r="H1642" s="142" t="s">
        <v>12</v>
      </c>
      <c r="I1642">
        <v>5</v>
      </c>
      <c r="J1642">
        <v>5.01</v>
      </c>
      <c r="K1642" s="142" t="s">
        <v>10</v>
      </c>
      <c r="L1642">
        <v>58</v>
      </c>
      <c r="M1642">
        <v>35</v>
      </c>
      <c r="N1642">
        <v>58.262</v>
      </c>
      <c r="O1642">
        <v>34.697000000000003</v>
      </c>
    </row>
    <row r="1643" spans="1:15" x14ac:dyDescent="0.25">
      <c r="A1643" s="142" t="s">
        <v>1420</v>
      </c>
      <c r="B1643" s="142" t="s">
        <v>51</v>
      </c>
      <c r="C1643" s="142" t="s">
        <v>58</v>
      </c>
      <c r="D1643">
        <v>1</v>
      </c>
      <c r="E1643">
        <v>11.000999999999999</v>
      </c>
      <c r="F1643">
        <v>1</v>
      </c>
      <c r="G1643" s="142" t="s">
        <v>13</v>
      </c>
      <c r="H1643" s="142" t="s">
        <v>12</v>
      </c>
      <c r="I1643">
        <v>0.01</v>
      </c>
      <c r="J1643">
        <v>4.5010000000000001E-2</v>
      </c>
      <c r="K1643" s="142" t="s">
        <v>10</v>
      </c>
      <c r="L1643">
        <v>5800</v>
      </c>
      <c r="M1643">
        <v>9.2241000000000007E-3</v>
      </c>
      <c r="N1643">
        <v>5800</v>
      </c>
      <c r="O1643">
        <v>9.0206999999999996E-3</v>
      </c>
    </row>
    <row r="1644" spans="1:15" x14ac:dyDescent="0.25">
      <c r="A1644" s="142" t="s">
        <v>1418</v>
      </c>
      <c r="B1644" s="142" t="s">
        <v>51</v>
      </c>
      <c r="C1644" s="142" t="s">
        <v>58</v>
      </c>
      <c r="D1644">
        <v>1</v>
      </c>
      <c r="E1644">
        <v>11.000999999999999</v>
      </c>
      <c r="F1644">
        <v>1</v>
      </c>
      <c r="G1644" s="142" t="s">
        <v>13</v>
      </c>
      <c r="H1644" s="142" t="s">
        <v>12</v>
      </c>
      <c r="I1644">
        <v>4.4999999999999998E-2</v>
      </c>
      <c r="J1644">
        <v>1.0000100000000001</v>
      </c>
      <c r="K1644" s="142" t="s">
        <v>10</v>
      </c>
      <c r="L1644">
        <v>579.96</v>
      </c>
      <c r="M1644">
        <v>4.6302000000000003E-2</v>
      </c>
      <c r="N1644">
        <v>579.96</v>
      </c>
      <c r="O1644">
        <v>4.5959E-2</v>
      </c>
    </row>
    <row r="1645" spans="1:15" x14ac:dyDescent="0.25">
      <c r="A1645" s="142" t="s">
        <v>1419</v>
      </c>
      <c r="B1645" s="142" t="s">
        <v>51</v>
      </c>
      <c r="C1645" s="142" t="s">
        <v>58</v>
      </c>
      <c r="D1645">
        <v>1</v>
      </c>
      <c r="E1645">
        <v>11.000999999999999</v>
      </c>
      <c r="F1645">
        <v>1</v>
      </c>
      <c r="G1645" s="142" t="s">
        <v>13</v>
      </c>
      <c r="H1645" s="142" t="s">
        <v>12</v>
      </c>
      <c r="I1645">
        <v>1</v>
      </c>
      <c r="J1645">
        <v>5.01</v>
      </c>
      <c r="K1645" s="142" t="s">
        <v>10</v>
      </c>
      <c r="L1645">
        <v>579.63</v>
      </c>
      <c r="M1645">
        <v>0.67288000000000003</v>
      </c>
      <c r="N1645">
        <v>579.63</v>
      </c>
      <c r="O1645">
        <v>0.67162999999999995</v>
      </c>
    </row>
    <row r="1646" spans="1:15" x14ac:dyDescent="0.25">
      <c r="A1646" s="142" t="s">
        <v>1417</v>
      </c>
      <c r="B1646" s="142" t="s">
        <v>51</v>
      </c>
      <c r="C1646" s="142" t="s">
        <v>58</v>
      </c>
      <c r="D1646">
        <v>1</v>
      </c>
      <c r="E1646">
        <v>11.000999999999999</v>
      </c>
      <c r="F1646">
        <v>1</v>
      </c>
      <c r="G1646" s="142" t="s">
        <v>13</v>
      </c>
      <c r="H1646" s="142" t="s">
        <v>12</v>
      </c>
      <c r="I1646">
        <v>5</v>
      </c>
      <c r="J1646">
        <v>10</v>
      </c>
      <c r="K1646" s="142" t="s">
        <v>10</v>
      </c>
      <c r="L1646">
        <v>575.98</v>
      </c>
      <c r="M1646">
        <v>10.476000000000001</v>
      </c>
      <c r="N1646">
        <v>575.96</v>
      </c>
      <c r="O1646">
        <v>10.474</v>
      </c>
    </row>
    <row r="1647" spans="1:15" x14ac:dyDescent="0.25">
      <c r="A1647" s="142" t="s">
        <v>1421</v>
      </c>
      <c r="B1647" s="142" t="s">
        <v>51</v>
      </c>
      <c r="C1647" s="142" t="s">
        <v>58</v>
      </c>
      <c r="D1647">
        <v>1</v>
      </c>
      <c r="E1647">
        <v>11.000999999999999</v>
      </c>
      <c r="F1647">
        <v>1</v>
      </c>
      <c r="G1647" s="142" t="s">
        <v>13</v>
      </c>
      <c r="H1647" s="142" t="s">
        <v>12</v>
      </c>
      <c r="I1647">
        <v>10</v>
      </c>
      <c r="J1647">
        <v>10.01</v>
      </c>
      <c r="K1647" s="142" t="s">
        <v>10</v>
      </c>
      <c r="L1647">
        <v>575.98</v>
      </c>
      <c r="M1647">
        <v>10.476000000000001</v>
      </c>
      <c r="N1647">
        <v>575.96</v>
      </c>
      <c r="O1647">
        <v>10.474</v>
      </c>
    </row>
    <row r="1648" spans="1:15" x14ac:dyDescent="0.25">
      <c r="A1648" s="142" t="s">
        <v>1439</v>
      </c>
      <c r="B1648" s="142" t="s">
        <v>51</v>
      </c>
      <c r="C1648" s="142" t="s">
        <v>58</v>
      </c>
      <c r="D1648">
        <v>11</v>
      </c>
      <c r="E1648">
        <v>30.001000000000001</v>
      </c>
      <c r="F1648">
        <v>1</v>
      </c>
      <c r="G1648" s="142" t="s">
        <v>13</v>
      </c>
      <c r="H1648" s="142" t="s">
        <v>12</v>
      </c>
      <c r="I1648">
        <v>0.01</v>
      </c>
      <c r="J1648">
        <v>4.5010000000000001E-2</v>
      </c>
      <c r="K1648" s="142" t="s">
        <v>10</v>
      </c>
      <c r="L1648">
        <v>577.67999999999995</v>
      </c>
      <c r="M1648">
        <v>0.29774</v>
      </c>
      <c r="N1648">
        <v>577.66</v>
      </c>
      <c r="O1648">
        <v>0.29630000000000001</v>
      </c>
    </row>
    <row r="1649" spans="1:15" x14ac:dyDescent="0.25">
      <c r="A1649" s="142" t="s">
        <v>1819</v>
      </c>
      <c r="B1649" s="142" t="s">
        <v>51</v>
      </c>
      <c r="C1649" s="142" t="s">
        <v>58</v>
      </c>
      <c r="D1649">
        <v>11</v>
      </c>
      <c r="E1649">
        <v>30.001000000000001</v>
      </c>
      <c r="F1649">
        <v>1</v>
      </c>
      <c r="G1649" s="142" t="s">
        <v>13</v>
      </c>
      <c r="H1649" s="142" t="s">
        <v>12</v>
      </c>
      <c r="I1649">
        <v>4.4999999999999998E-2</v>
      </c>
      <c r="J1649">
        <v>1.0000100000000001</v>
      </c>
      <c r="K1649" s="142" t="s">
        <v>10</v>
      </c>
      <c r="L1649">
        <v>578.74</v>
      </c>
      <c r="M1649">
        <v>0.1605</v>
      </c>
      <c r="N1649">
        <v>578.73</v>
      </c>
      <c r="O1649">
        <v>0.15917999999999999</v>
      </c>
    </row>
    <row r="1650" spans="1:15" x14ac:dyDescent="0.25">
      <c r="A1650" s="142" t="s">
        <v>1441</v>
      </c>
      <c r="B1650" s="142" t="s">
        <v>51</v>
      </c>
      <c r="C1650" s="142" t="s">
        <v>58</v>
      </c>
      <c r="D1650">
        <v>11</v>
      </c>
      <c r="E1650">
        <v>30.001000000000001</v>
      </c>
      <c r="F1650">
        <v>1</v>
      </c>
      <c r="G1650" s="142" t="s">
        <v>13</v>
      </c>
      <c r="H1650" s="142" t="s">
        <v>12</v>
      </c>
      <c r="I1650">
        <v>1</v>
      </c>
      <c r="J1650">
        <v>5.01</v>
      </c>
      <c r="K1650" s="142" t="s">
        <v>10</v>
      </c>
      <c r="L1650">
        <v>566.19000000000005</v>
      </c>
      <c r="M1650">
        <v>1.8955</v>
      </c>
      <c r="N1650">
        <v>566.17999999999995</v>
      </c>
      <c r="O1650">
        <v>1.8942000000000001</v>
      </c>
    </row>
    <row r="1651" spans="1:15" x14ac:dyDescent="0.25">
      <c r="A1651" s="142" t="s">
        <v>1438</v>
      </c>
      <c r="B1651" s="142" t="s">
        <v>51</v>
      </c>
      <c r="C1651" s="142" t="s">
        <v>58</v>
      </c>
      <c r="D1651">
        <v>11</v>
      </c>
      <c r="E1651">
        <v>30.001000000000001</v>
      </c>
      <c r="F1651">
        <v>1</v>
      </c>
      <c r="G1651" s="142" t="s">
        <v>13</v>
      </c>
      <c r="H1651" s="142" t="s">
        <v>12</v>
      </c>
      <c r="I1651">
        <v>5</v>
      </c>
      <c r="J1651">
        <v>10</v>
      </c>
      <c r="K1651" s="142" t="s">
        <v>10</v>
      </c>
      <c r="L1651">
        <v>458.92</v>
      </c>
      <c r="M1651">
        <v>21.117999999999999</v>
      </c>
      <c r="N1651">
        <v>458.89</v>
      </c>
      <c r="O1651">
        <v>21.117000000000001</v>
      </c>
    </row>
    <row r="1652" spans="1:15" x14ac:dyDescent="0.25">
      <c r="A1652" s="142" t="s">
        <v>1440</v>
      </c>
      <c r="B1652" s="142" t="s">
        <v>51</v>
      </c>
      <c r="C1652" s="142" t="s">
        <v>58</v>
      </c>
      <c r="D1652">
        <v>11</v>
      </c>
      <c r="E1652">
        <v>30.001000000000001</v>
      </c>
      <c r="F1652">
        <v>1</v>
      </c>
      <c r="G1652" s="142" t="s">
        <v>13</v>
      </c>
      <c r="H1652" s="142" t="s">
        <v>12</v>
      </c>
      <c r="I1652">
        <v>10</v>
      </c>
      <c r="J1652">
        <v>10.01</v>
      </c>
      <c r="K1652" s="142" t="s">
        <v>10</v>
      </c>
      <c r="L1652">
        <v>458.92</v>
      </c>
      <c r="M1652">
        <v>21.117999999999999</v>
      </c>
      <c r="N1652">
        <v>458.89</v>
      </c>
      <c r="O1652">
        <v>21.117000000000001</v>
      </c>
    </row>
    <row r="1653" spans="1:15" x14ac:dyDescent="0.25">
      <c r="A1653" s="142" t="s">
        <v>1453</v>
      </c>
      <c r="B1653" s="142" t="s">
        <v>51</v>
      </c>
      <c r="C1653" s="142" t="s">
        <v>58</v>
      </c>
      <c r="D1653">
        <v>30</v>
      </c>
      <c r="E1653">
        <v>110.01</v>
      </c>
      <c r="F1653">
        <v>1</v>
      </c>
      <c r="G1653" s="142" t="s">
        <v>13</v>
      </c>
      <c r="H1653" s="142" t="s">
        <v>12</v>
      </c>
      <c r="I1653">
        <v>4.4999999999999998E-2</v>
      </c>
      <c r="J1653">
        <v>0.10001</v>
      </c>
      <c r="K1653" s="142" t="s">
        <v>10</v>
      </c>
      <c r="L1653">
        <v>568.42999999999995</v>
      </c>
      <c r="M1653">
        <v>0.54491000000000001</v>
      </c>
      <c r="N1653">
        <v>568.44000000000005</v>
      </c>
      <c r="O1653">
        <v>0.54347000000000001</v>
      </c>
    </row>
    <row r="1654" spans="1:15" x14ac:dyDescent="0.25">
      <c r="A1654" s="142" t="s">
        <v>1456</v>
      </c>
      <c r="B1654" s="142" t="s">
        <v>51</v>
      </c>
      <c r="C1654" s="142" t="s">
        <v>58</v>
      </c>
      <c r="D1654">
        <v>30</v>
      </c>
      <c r="E1654">
        <v>110.01</v>
      </c>
      <c r="F1654">
        <v>1</v>
      </c>
      <c r="G1654" s="142" t="s">
        <v>13</v>
      </c>
      <c r="H1654" s="142" t="s">
        <v>12</v>
      </c>
      <c r="I1654">
        <v>0.1</v>
      </c>
      <c r="J1654">
        <v>1.0000100000000001</v>
      </c>
      <c r="K1654" s="142" t="s">
        <v>10</v>
      </c>
      <c r="L1654">
        <v>566.33000000000004</v>
      </c>
      <c r="M1654">
        <v>0.65491999999999995</v>
      </c>
      <c r="N1654">
        <v>566.34</v>
      </c>
      <c r="O1654">
        <v>0.65351000000000004</v>
      </c>
    </row>
    <row r="1655" spans="1:15" x14ac:dyDescent="0.25">
      <c r="A1655" s="142" t="s">
        <v>1454</v>
      </c>
      <c r="B1655" s="142" t="s">
        <v>51</v>
      </c>
      <c r="C1655" s="142" t="s">
        <v>58</v>
      </c>
      <c r="D1655">
        <v>30</v>
      </c>
      <c r="E1655">
        <v>110.01</v>
      </c>
      <c r="F1655">
        <v>1</v>
      </c>
      <c r="G1655" s="142" t="s">
        <v>13</v>
      </c>
      <c r="H1655" s="142" t="s">
        <v>12</v>
      </c>
      <c r="I1655">
        <v>1</v>
      </c>
      <c r="J1655">
        <v>5</v>
      </c>
      <c r="K1655" s="142" t="s">
        <v>10</v>
      </c>
      <c r="L1655">
        <v>210.04</v>
      </c>
      <c r="M1655">
        <v>33.396000000000001</v>
      </c>
      <c r="N1655">
        <v>210.02</v>
      </c>
      <c r="O1655">
        <v>33.395000000000003</v>
      </c>
    </row>
    <row r="1656" spans="1:15" x14ac:dyDescent="0.25">
      <c r="A1656" s="142" t="s">
        <v>1455</v>
      </c>
      <c r="B1656" s="142" t="s">
        <v>51</v>
      </c>
      <c r="C1656" s="142" t="s">
        <v>58</v>
      </c>
      <c r="D1656">
        <v>30</v>
      </c>
      <c r="E1656">
        <v>110.01</v>
      </c>
      <c r="F1656">
        <v>1</v>
      </c>
      <c r="G1656" s="142" t="s">
        <v>13</v>
      </c>
      <c r="H1656" s="142" t="s">
        <v>12</v>
      </c>
      <c r="I1656">
        <v>5</v>
      </c>
      <c r="J1656">
        <v>5.01</v>
      </c>
      <c r="K1656" s="142" t="s">
        <v>10</v>
      </c>
      <c r="L1656">
        <v>210.04</v>
      </c>
      <c r="M1656">
        <v>33.396000000000001</v>
      </c>
      <c r="N1656">
        <v>210.02</v>
      </c>
      <c r="O1656">
        <v>33.395000000000003</v>
      </c>
    </row>
    <row r="1657" spans="1:15" x14ac:dyDescent="0.25">
      <c r="A1657" s="142" t="s">
        <v>1467</v>
      </c>
      <c r="B1657" s="142" t="s">
        <v>51</v>
      </c>
      <c r="C1657" s="142" t="s">
        <v>58</v>
      </c>
      <c r="D1657">
        <v>110</v>
      </c>
      <c r="E1657">
        <v>205.01</v>
      </c>
      <c r="F1657">
        <v>1</v>
      </c>
      <c r="G1657" s="142" t="s">
        <v>13</v>
      </c>
      <c r="H1657" s="142" t="s">
        <v>12</v>
      </c>
      <c r="I1657">
        <v>4.4999999999999998E-2</v>
      </c>
      <c r="J1657">
        <v>0.10001</v>
      </c>
      <c r="K1657" s="142" t="s">
        <v>10</v>
      </c>
      <c r="L1657">
        <v>500.59</v>
      </c>
      <c r="M1657">
        <v>1.4072</v>
      </c>
      <c r="N1657">
        <v>500.63</v>
      </c>
      <c r="O1657">
        <v>1.403</v>
      </c>
    </row>
    <row r="1658" spans="1:15" x14ac:dyDescent="0.25">
      <c r="A1658" s="142" t="s">
        <v>1468</v>
      </c>
      <c r="B1658" s="142" t="s">
        <v>51</v>
      </c>
      <c r="C1658" s="142" t="s">
        <v>58</v>
      </c>
      <c r="D1658">
        <v>110</v>
      </c>
      <c r="E1658">
        <v>205.01</v>
      </c>
      <c r="F1658">
        <v>1</v>
      </c>
      <c r="G1658" s="142" t="s">
        <v>13</v>
      </c>
      <c r="H1658" s="142" t="s">
        <v>12</v>
      </c>
      <c r="I1658">
        <v>0.1</v>
      </c>
      <c r="J1658">
        <v>1.0000100000000001</v>
      </c>
      <c r="K1658" s="142" t="s">
        <v>10</v>
      </c>
      <c r="L1658">
        <v>490.55</v>
      </c>
      <c r="M1658">
        <v>1.6184000000000001</v>
      </c>
      <c r="N1658">
        <v>490.58</v>
      </c>
      <c r="O1658">
        <v>1.6144000000000001</v>
      </c>
    </row>
    <row r="1659" spans="1:15" x14ac:dyDescent="0.25">
      <c r="A1659" s="142" t="s">
        <v>1469</v>
      </c>
      <c r="B1659" s="142" t="s">
        <v>51</v>
      </c>
      <c r="C1659" s="142" t="s">
        <v>58</v>
      </c>
      <c r="D1659">
        <v>110</v>
      </c>
      <c r="E1659">
        <v>205.01</v>
      </c>
      <c r="F1659">
        <v>1</v>
      </c>
      <c r="G1659" s="142" t="s">
        <v>13</v>
      </c>
      <c r="H1659" s="142" t="s">
        <v>12</v>
      </c>
      <c r="I1659">
        <v>1</v>
      </c>
      <c r="J1659">
        <v>5</v>
      </c>
      <c r="K1659" s="142" t="s">
        <v>10</v>
      </c>
      <c r="L1659">
        <v>79.069999999999993</v>
      </c>
      <c r="M1659">
        <v>34.896999999999998</v>
      </c>
      <c r="N1659">
        <v>123.66</v>
      </c>
      <c r="O1659">
        <v>34.491</v>
      </c>
    </row>
    <row r="1660" spans="1:15" x14ac:dyDescent="0.25">
      <c r="A1660" s="142" t="s">
        <v>1466</v>
      </c>
      <c r="B1660" s="142" t="s">
        <v>51</v>
      </c>
      <c r="C1660" s="142" t="s">
        <v>58</v>
      </c>
      <c r="D1660">
        <v>110</v>
      </c>
      <c r="E1660">
        <v>205.01</v>
      </c>
      <c r="F1660">
        <v>1</v>
      </c>
      <c r="G1660" s="142" t="s">
        <v>13</v>
      </c>
      <c r="H1660" s="142" t="s">
        <v>12</v>
      </c>
      <c r="I1660">
        <v>5</v>
      </c>
      <c r="J1660">
        <v>5.01</v>
      </c>
      <c r="K1660" s="142" t="s">
        <v>10</v>
      </c>
      <c r="L1660">
        <v>79.069999999999993</v>
      </c>
      <c r="M1660">
        <v>34.896999999999998</v>
      </c>
      <c r="N1660">
        <v>123.66</v>
      </c>
      <c r="O1660">
        <v>34.491</v>
      </c>
    </row>
    <row r="1661" spans="1:15" x14ac:dyDescent="0.25">
      <c r="A1661" s="142" t="s">
        <v>1423</v>
      </c>
      <c r="B1661" s="142" t="s">
        <v>51</v>
      </c>
      <c r="C1661" s="142" t="s">
        <v>58</v>
      </c>
      <c r="D1661">
        <v>1</v>
      </c>
      <c r="E1661">
        <v>11.000999999999999</v>
      </c>
      <c r="F1661">
        <v>10</v>
      </c>
      <c r="G1661" s="142" t="s">
        <v>13</v>
      </c>
      <c r="H1661" s="142" t="s">
        <v>12</v>
      </c>
      <c r="I1661">
        <v>0.01</v>
      </c>
      <c r="J1661">
        <v>4.5010000000000001E-2</v>
      </c>
      <c r="K1661" s="142" t="s">
        <v>10</v>
      </c>
      <c r="L1661">
        <v>58000</v>
      </c>
      <c r="M1661">
        <v>9.8346000000000002E-4</v>
      </c>
      <c r="N1661">
        <v>58000</v>
      </c>
      <c r="O1661">
        <v>9.0207999999999998E-4</v>
      </c>
    </row>
    <row r="1662" spans="1:15" x14ac:dyDescent="0.25">
      <c r="A1662" s="142" t="s">
        <v>1424</v>
      </c>
      <c r="B1662" s="142" t="s">
        <v>51</v>
      </c>
      <c r="C1662" s="142" t="s">
        <v>58</v>
      </c>
      <c r="D1662">
        <v>1</v>
      </c>
      <c r="E1662">
        <v>11.000999999999999</v>
      </c>
      <c r="F1662">
        <v>10</v>
      </c>
      <c r="G1662" s="142" t="s">
        <v>13</v>
      </c>
      <c r="H1662" s="142" t="s">
        <v>12</v>
      </c>
      <c r="I1662">
        <v>4.4999999999999998E-2</v>
      </c>
      <c r="J1662">
        <v>1.0000100000000001</v>
      </c>
      <c r="K1662" s="142" t="s">
        <v>10</v>
      </c>
      <c r="L1662">
        <v>5800</v>
      </c>
      <c r="M1662">
        <v>4.7349999999999996E-3</v>
      </c>
      <c r="N1662">
        <v>5800</v>
      </c>
      <c r="O1662">
        <v>4.5976999999999997E-3</v>
      </c>
    </row>
    <row r="1663" spans="1:15" x14ac:dyDescent="0.25">
      <c r="A1663" s="142" t="s">
        <v>1815</v>
      </c>
      <c r="B1663" s="142" t="s">
        <v>51</v>
      </c>
      <c r="C1663" s="142" t="s">
        <v>58</v>
      </c>
      <c r="D1663">
        <v>1</v>
      </c>
      <c r="E1663">
        <v>11.000999999999999</v>
      </c>
      <c r="F1663">
        <v>10</v>
      </c>
      <c r="G1663" s="142" t="s">
        <v>13</v>
      </c>
      <c r="H1663" s="142" t="s">
        <v>12</v>
      </c>
      <c r="I1663">
        <v>1</v>
      </c>
      <c r="J1663">
        <v>5.01</v>
      </c>
      <c r="K1663" s="142" t="s">
        <v>10</v>
      </c>
      <c r="L1663">
        <v>5800</v>
      </c>
      <c r="M1663">
        <v>6.8090999999999999E-2</v>
      </c>
      <c r="N1663">
        <v>5800</v>
      </c>
      <c r="O1663">
        <v>6.7582000000000003E-2</v>
      </c>
    </row>
    <row r="1664" spans="1:15" x14ac:dyDescent="0.25">
      <c r="A1664" s="142" t="s">
        <v>1422</v>
      </c>
      <c r="B1664" s="142" t="s">
        <v>51</v>
      </c>
      <c r="C1664" s="142" t="s">
        <v>58</v>
      </c>
      <c r="D1664">
        <v>1</v>
      </c>
      <c r="E1664">
        <v>11.000999999999999</v>
      </c>
      <c r="F1664">
        <v>10</v>
      </c>
      <c r="G1664" s="142" t="s">
        <v>13</v>
      </c>
      <c r="H1664" s="142" t="s">
        <v>12</v>
      </c>
      <c r="I1664">
        <v>5</v>
      </c>
      <c r="J1664">
        <v>10</v>
      </c>
      <c r="K1664" s="142" t="s">
        <v>10</v>
      </c>
      <c r="L1664">
        <v>5799.5</v>
      </c>
      <c r="M1664">
        <v>1.1535</v>
      </c>
      <c r="N1664">
        <v>5799.5</v>
      </c>
      <c r="O1664">
        <v>1.1523000000000001</v>
      </c>
    </row>
    <row r="1665" spans="1:15" x14ac:dyDescent="0.25">
      <c r="A1665" s="142" t="s">
        <v>1425</v>
      </c>
      <c r="B1665" s="142" t="s">
        <v>51</v>
      </c>
      <c r="C1665" s="142" t="s">
        <v>58</v>
      </c>
      <c r="D1665">
        <v>1</v>
      </c>
      <c r="E1665">
        <v>11.000999999999999</v>
      </c>
      <c r="F1665">
        <v>10</v>
      </c>
      <c r="G1665" s="142" t="s">
        <v>13</v>
      </c>
      <c r="H1665" s="142" t="s">
        <v>12</v>
      </c>
      <c r="I1665">
        <v>10</v>
      </c>
      <c r="J1665">
        <v>10.01</v>
      </c>
      <c r="K1665" s="142" t="s">
        <v>10</v>
      </c>
      <c r="L1665">
        <v>5799.5</v>
      </c>
      <c r="M1665">
        <v>1.1535</v>
      </c>
      <c r="N1665">
        <v>5799.5</v>
      </c>
      <c r="O1665">
        <v>1.1523000000000001</v>
      </c>
    </row>
    <row r="1666" spans="1:15" x14ac:dyDescent="0.25">
      <c r="A1666" s="142" t="s">
        <v>1818</v>
      </c>
      <c r="B1666" s="142" t="s">
        <v>51</v>
      </c>
      <c r="C1666" s="142" t="s">
        <v>58</v>
      </c>
      <c r="D1666">
        <v>11</v>
      </c>
      <c r="E1666">
        <v>30.001000000000001</v>
      </c>
      <c r="F1666">
        <v>10</v>
      </c>
      <c r="G1666" s="142" t="s">
        <v>13</v>
      </c>
      <c r="H1666" s="142" t="s">
        <v>12</v>
      </c>
      <c r="I1666">
        <v>0.01</v>
      </c>
      <c r="J1666">
        <v>4.5010000000000001E-2</v>
      </c>
      <c r="K1666" s="142" t="s">
        <v>10</v>
      </c>
      <c r="L1666">
        <v>5799.8</v>
      </c>
      <c r="M1666">
        <v>3.0408000000000001E-2</v>
      </c>
      <c r="N1666">
        <v>5799.8</v>
      </c>
      <c r="O1666">
        <v>2.9818999999999998E-2</v>
      </c>
    </row>
    <row r="1667" spans="1:15" x14ac:dyDescent="0.25">
      <c r="A1667" s="142" t="s">
        <v>1443</v>
      </c>
      <c r="B1667" s="142" t="s">
        <v>51</v>
      </c>
      <c r="C1667" s="142" t="s">
        <v>58</v>
      </c>
      <c r="D1667">
        <v>11</v>
      </c>
      <c r="E1667">
        <v>30.001000000000001</v>
      </c>
      <c r="F1667">
        <v>10</v>
      </c>
      <c r="G1667" s="142" t="s">
        <v>13</v>
      </c>
      <c r="H1667" s="142" t="s">
        <v>12</v>
      </c>
      <c r="I1667">
        <v>4.4999999999999998E-2</v>
      </c>
      <c r="J1667">
        <v>1.0000100000000001</v>
      </c>
      <c r="K1667" s="142" t="s">
        <v>10</v>
      </c>
      <c r="L1667">
        <v>5799.9</v>
      </c>
      <c r="M1667">
        <v>1.6507000000000001E-2</v>
      </c>
      <c r="N1667">
        <v>5799.9</v>
      </c>
      <c r="O1667">
        <v>1.5972E-2</v>
      </c>
    </row>
    <row r="1668" spans="1:15" x14ac:dyDescent="0.25">
      <c r="A1668" s="142" t="s">
        <v>1444</v>
      </c>
      <c r="B1668" s="142" t="s">
        <v>51</v>
      </c>
      <c r="C1668" s="142" t="s">
        <v>58</v>
      </c>
      <c r="D1668">
        <v>11</v>
      </c>
      <c r="E1668">
        <v>30.001000000000001</v>
      </c>
      <c r="F1668">
        <v>10</v>
      </c>
      <c r="G1668" s="142" t="s">
        <v>13</v>
      </c>
      <c r="H1668" s="142" t="s">
        <v>12</v>
      </c>
      <c r="I1668">
        <v>1</v>
      </c>
      <c r="J1668">
        <v>5.01</v>
      </c>
      <c r="K1668" s="142" t="s">
        <v>10</v>
      </c>
      <c r="L1668">
        <v>5798.5</v>
      </c>
      <c r="M1668">
        <v>0.19808000000000001</v>
      </c>
      <c r="N1668">
        <v>5798.5</v>
      </c>
      <c r="O1668">
        <v>0.19750000000000001</v>
      </c>
    </row>
    <row r="1669" spans="1:15" x14ac:dyDescent="0.25">
      <c r="A1669" s="142" t="s">
        <v>1442</v>
      </c>
      <c r="B1669" s="142" t="s">
        <v>51</v>
      </c>
      <c r="C1669" s="142" t="s">
        <v>58</v>
      </c>
      <c r="D1669">
        <v>11</v>
      </c>
      <c r="E1669">
        <v>30.001000000000001</v>
      </c>
      <c r="F1669">
        <v>10</v>
      </c>
      <c r="G1669" s="142" t="s">
        <v>13</v>
      </c>
      <c r="H1669" s="142" t="s">
        <v>12</v>
      </c>
      <c r="I1669">
        <v>5</v>
      </c>
      <c r="J1669">
        <v>10</v>
      </c>
      <c r="K1669" s="142" t="s">
        <v>10</v>
      </c>
      <c r="L1669">
        <v>5776.7</v>
      </c>
      <c r="M1669">
        <v>3.2241</v>
      </c>
      <c r="N1669">
        <v>5776.7</v>
      </c>
      <c r="O1669">
        <v>3.2231000000000001</v>
      </c>
    </row>
    <row r="1670" spans="1:15" x14ac:dyDescent="0.25">
      <c r="A1670" s="142" t="s">
        <v>1822</v>
      </c>
      <c r="B1670" s="142" t="s">
        <v>51</v>
      </c>
      <c r="C1670" s="142" t="s">
        <v>58</v>
      </c>
      <c r="D1670">
        <v>11</v>
      </c>
      <c r="E1670">
        <v>30.001000000000001</v>
      </c>
      <c r="F1670">
        <v>10</v>
      </c>
      <c r="G1670" s="142" t="s">
        <v>13</v>
      </c>
      <c r="H1670" s="142" t="s">
        <v>12</v>
      </c>
      <c r="I1670">
        <v>10</v>
      </c>
      <c r="J1670">
        <v>10.01</v>
      </c>
      <c r="K1670" s="142" t="s">
        <v>10</v>
      </c>
      <c r="L1670">
        <v>5776.7</v>
      </c>
      <c r="M1670">
        <v>3.2241</v>
      </c>
      <c r="N1670">
        <v>5776.7</v>
      </c>
      <c r="O1670">
        <v>3.2231000000000001</v>
      </c>
    </row>
    <row r="1671" spans="1:15" x14ac:dyDescent="0.25">
      <c r="A1671" s="142" t="s">
        <v>1457</v>
      </c>
      <c r="B1671" s="142" t="s">
        <v>51</v>
      </c>
      <c r="C1671" s="142" t="s">
        <v>58</v>
      </c>
      <c r="D1671">
        <v>30</v>
      </c>
      <c r="E1671">
        <v>110.01</v>
      </c>
      <c r="F1671">
        <v>10</v>
      </c>
      <c r="G1671" s="142" t="s">
        <v>13</v>
      </c>
      <c r="H1671" s="142" t="s">
        <v>12</v>
      </c>
      <c r="I1671">
        <v>4.4999999999999998E-2</v>
      </c>
      <c r="J1671">
        <v>0.10001</v>
      </c>
      <c r="K1671" s="142" t="s">
        <v>10</v>
      </c>
      <c r="L1671">
        <v>5798.8</v>
      </c>
      <c r="M1671">
        <v>5.7436000000000001E-2</v>
      </c>
      <c r="N1671">
        <v>5798.8</v>
      </c>
      <c r="O1671">
        <v>5.6800999999999997E-2</v>
      </c>
    </row>
    <row r="1672" spans="1:15" x14ac:dyDescent="0.25">
      <c r="A1672" s="142" t="s">
        <v>1823</v>
      </c>
      <c r="B1672" s="142" t="s">
        <v>51</v>
      </c>
      <c r="C1672" s="142" t="s">
        <v>58</v>
      </c>
      <c r="D1672">
        <v>30</v>
      </c>
      <c r="E1672">
        <v>110.01</v>
      </c>
      <c r="F1672">
        <v>10</v>
      </c>
      <c r="G1672" s="142" t="s">
        <v>13</v>
      </c>
      <c r="H1672" s="142" t="s">
        <v>12</v>
      </c>
      <c r="I1672">
        <v>0.1</v>
      </c>
      <c r="J1672">
        <v>1.0000100000000001</v>
      </c>
      <c r="K1672" s="142" t="s">
        <v>10</v>
      </c>
      <c r="L1672">
        <v>5798.5</v>
      </c>
      <c r="M1672">
        <v>6.9560999999999998E-2</v>
      </c>
      <c r="N1672">
        <v>5798.5</v>
      </c>
      <c r="O1672">
        <v>6.8926000000000001E-2</v>
      </c>
    </row>
    <row r="1673" spans="1:15" x14ac:dyDescent="0.25">
      <c r="A1673" s="142" t="s">
        <v>1459</v>
      </c>
      <c r="B1673" s="142" t="s">
        <v>51</v>
      </c>
      <c r="C1673" s="142" t="s">
        <v>58</v>
      </c>
      <c r="D1673">
        <v>30</v>
      </c>
      <c r="E1673">
        <v>110.01</v>
      </c>
      <c r="F1673">
        <v>10</v>
      </c>
      <c r="G1673" s="142" t="s">
        <v>13</v>
      </c>
      <c r="H1673" s="142" t="s">
        <v>12</v>
      </c>
      <c r="I1673">
        <v>1</v>
      </c>
      <c r="J1673">
        <v>5</v>
      </c>
      <c r="K1673" s="142" t="s">
        <v>10</v>
      </c>
      <c r="L1673">
        <v>5499.6</v>
      </c>
      <c r="M1673">
        <v>13.241</v>
      </c>
      <c r="N1673">
        <v>5499.7</v>
      </c>
      <c r="O1673">
        <v>13.239000000000001</v>
      </c>
    </row>
    <row r="1674" spans="1:15" x14ac:dyDescent="0.25">
      <c r="A1674" s="142" t="s">
        <v>1458</v>
      </c>
      <c r="B1674" s="142" t="s">
        <v>51</v>
      </c>
      <c r="C1674" s="142" t="s">
        <v>58</v>
      </c>
      <c r="D1674">
        <v>30</v>
      </c>
      <c r="E1674">
        <v>110.01</v>
      </c>
      <c r="F1674">
        <v>10</v>
      </c>
      <c r="G1674" s="142" t="s">
        <v>13</v>
      </c>
      <c r="H1674" s="142" t="s">
        <v>12</v>
      </c>
      <c r="I1674">
        <v>5</v>
      </c>
      <c r="J1674">
        <v>5.01</v>
      </c>
      <c r="K1674" s="142" t="s">
        <v>10</v>
      </c>
      <c r="L1674">
        <v>5499.6</v>
      </c>
      <c r="M1674">
        <v>13.241</v>
      </c>
      <c r="N1674">
        <v>5499.7</v>
      </c>
      <c r="O1674">
        <v>13.239000000000001</v>
      </c>
    </row>
    <row r="1675" spans="1:15" x14ac:dyDescent="0.25">
      <c r="A1675" s="142" t="s">
        <v>1473</v>
      </c>
      <c r="B1675" s="142" t="s">
        <v>51</v>
      </c>
      <c r="C1675" s="142" t="s">
        <v>58</v>
      </c>
      <c r="D1675">
        <v>110</v>
      </c>
      <c r="E1675">
        <v>205.01</v>
      </c>
      <c r="F1675">
        <v>10</v>
      </c>
      <c r="G1675" s="142" t="s">
        <v>13</v>
      </c>
      <c r="H1675" s="142" t="s">
        <v>12</v>
      </c>
      <c r="I1675">
        <v>4.4999999999999998E-2</v>
      </c>
      <c r="J1675">
        <v>0.10001</v>
      </c>
      <c r="K1675" s="142" t="s">
        <v>10</v>
      </c>
      <c r="L1675">
        <v>5788.7</v>
      </c>
      <c r="M1675">
        <v>0.17673</v>
      </c>
      <c r="N1675">
        <v>5788.8</v>
      </c>
      <c r="O1675">
        <v>0.17407</v>
      </c>
    </row>
    <row r="1676" spans="1:15" x14ac:dyDescent="0.25">
      <c r="A1676" s="142" t="s">
        <v>1472</v>
      </c>
      <c r="B1676" s="142" t="s">
        <v>51</v>
      </c>
      <c r="C1676" s="142" t="s">
        <v>58</v>
      </c>
      <c r="D1676">
        <v>110</v>
      </c>
      <c r="E1676">
        <v>205.01</v>
      </c>
      <c r="F1676">
        <v>10</v>
      </c>
      <c r="G1676" s="142" t="s">
        <v>13</v>
      </c>
      <c r="H1676" s="142" t="s">
        <v>12</v>
      </c>
      <c r="I1676">
        <v>0.1</v>
      </c>
      <c r="J1676">
        <v>1.0000100000000001</v>
      </c>
      <c r="K1676" s="142" t="s">
        <v>10</v>
      </c>
      <c r="L1676">
        <v>5786.7</v>
      </c>
      <c r="M1676">
        <v>0.20930000000000001</v>
      </c>
      <c r="N1676">
        <v>5786.8</v>
      </c>
      <c r="O1676">
        <v>0.20663999999999999</v>
      </c>
    </row>
    <row r="1677" spans="1:15" x14ac:dyDescent="0.25">
      <c r="A1677" s="142" t="s">
        <v>1471</v>
      </c>
      <c r="B1677" s="142" t="s">
        <v>51</v>
      </c>
      <c r="C1677" s="142" t="s">
        <v>58</v>
      </c>
      <c r="D1677">
        <v>110</v>
      </c>
      <c r="E1677">
        <v>205.01</v>
      </c>
      <c r="F1677">
        <v>10</v>
      </c>
      <c r="G1677" s="142" t="s">
        <v>13</v>
      </c>
      <c r="H1677" s="142" t="s">
        <v>12</v>
      </c>
      <c r="I1677">
        <v>1</v>
      </c>
      <c r="J1677">
        <v>5</v>
      </c>
      <c r="K1677" s="142" t="s">
        <v>10</v>
      </c>
      <c r="L1677">
        <v>4372.5</v>
      </c>
      <c r="M1677">
        <v>23.661999999999999</v>
      </c>
      <c r="N1677">
        <v>4372.3999999999996</v>
      </c>
      <c r="O1677">
        <v>23.661000000000001</v>
      </c>
    </row>
    <row r="1678" spans="1:15" x14ac:dyDescent="0.25">
      <c r="A1678" s="142" t="s">
        <v>1470</v>
      </c>
      <c r="B1678" s="142" t="s">
        <v>51</v>
      </c>
      <c r="C1678" s="142" t="s">
        <v>58</v>
      </c>
      <c r="D1678">
        <v>110</v>
      </c>
      <c r="E1678">
        <v>205.01</v>
      </c>
      <c r="F1678">
        <v>10</v>
      </c>
      <c r="G1678" s="142" t="s">
        <v>13</v>
      </c>
      <c r="H1678" s="142" t="s">
        <v>12</v>
      </c>
      <c r="I1678">
        <v>5</v>
      </c>
      <c r="J1678">
        <v>5.01</v>
      </c>
      <c r="K1678" s="142" t="s">
        <v>10</v>
      </c>
      <c r="L1678">
        <v>4372.5</v>
      </c>
      <c r="M1678">
        <v>23.661999999999999</v>
      </c>
      <c r="N1678">
        <v>4372.3999999999996</v>
      </c>
      <c r="O1678">
        <v>23.661000000000001</v>
      </c>
    </row>
    <row r="1679" spans="1:15" x14ac:dyDescent="0.25">
      <c r="A1679" s="142" t="s">
        <v>1460</v>
      </c>
      <c r="B1679" s="142" t="s">
        <v>51</v>
      </c>
      <c r="C1679" s="142" t="s">
        <v>58</v>
      </c>
      <c r="D1679">
        <v>30</v>
      </c>
      <c r="E1679">
        <v>110.01</v>
      </c>
      <c r="F1679">
        <v>100</v>
      </c>
      <c r="G1679" s="142" t="s">
        <v>13</v>
      </c>
      <c r="H1679" s="142" t="s">
        <v>12</v>
      </c>
      <c r="I1679">
        <v>4.4999999999999998E-2</v>
      </c>
      <c r="J1679">
        <v>0.10001</v>
      </c>
      <c r="K1679" s="142" t="s">
        <v>10</v>
      </c>
      <c r="L1679">
        <v>58000</v>
      </c>
      <c r="M1679">
        <v>5.9370999999999998E-3</v>
      </c>
      <c r="N1679">
        <v>58000</v>
      </c>
      <c r="O1679">
        <v>5.6828E-3</v>
      </c>
    </row>
    <row r="1680" spans="1:15" x14ac:dyDescent="0.25">
      <c r="A1680" s="142" t="s">
        <v>1461</v>
      </c>
      <c r="B1680" s="142" t="s">
        <v>51</v>
      </c>
      <c r="C1680" s="142" t="s">
        <v>58</v>
      </c>
      <c r="D1680">
        <v>30</v>
      </c>
      <c r="E1680">
        <v>110.01</v>
      </c>
      <c r="F1680">
        <v>100</v>
      </c>
      <c r="G1680" s="142" t="s">
        <v>13</v>
      </c>
      <c r="H1680" s="142" t="s">
        <v>12</v>
      </c>
      <c r="I1680">
        <v>0.1</v>
      </c>
      <c r="J1680">
        <v>1.0000100000000001</v>
      </c>
      <c r="K1680" s="142" t="s">
        <v>10</v>
      </c>
      <c r="L1680">
        <v>58000</v>
      </c>
      <c r="M1680">
        <v>7.1509E-3</v>
      </c>
      <c r="N1680">
        <v>58000</v>
      </c>
      <c r="O1680">
        <v>6.8966000000000001E-3</v>
      </c>
    </row>
    <row r="1681" spans="1:15" x14ac:dyDescent="0.25">
      <c r="A1681" s="142" t="s">
        <v>1824</v>
      </c>
      <c r="B1681" s="142" t="s">
        <v>51</v>
      </c>
      <c r="C1681" s="142" t="s">
        <v>58</v>
      </c>
      <c r="D1681">
        <v>30</v>
      </c>
      <c r="E1681">
        <v>110.01</v>
      </c>
      <c r="F1681">
        <v>100</v>
      </c>
      <c r="G1681" s="142" t="s">
        <v>13</v>
      </c>
      <c r="H1681" s="142" t="s">
        <v>12</v>
      </c>
      <c r="I1681">
        <v>1</v>
      </c>
      <c r="J1681">
        <v>5</v>
      </c>
      <c r="K1681" s="142" t="s">
        <v>10</v>
      </c>
      <c r="L1681">
        <v>57966</v>
      </c>
      <c r="M1681">
        <v>1.4661</v>
      </c>
      <c r="N1681">
        <v>57966</v>
      </c>
      <c r="O1681">
        <v>1.4652000000000001</v>
      </c>
    </row>
    <row r="1682" spans="1:15" x14ac:dyDescent="0.25">
      <c r="A1682" s="142" t="s">
        <v>1825</v>
      </c>
      <c r="B1682" s="142" t="s">
        <v>51</v>
      </c>
      <c r="C1682" s="142" t="s">
        <v>58</v>
      </c>
      <c r="D1682">
        <v>30</v>
      </c>
      <c r="E1682">
        <v>110.01</v>
      </c>
      <c r="F1682">
        <v>100</v>
      </c>
      <c r="G1682" s="142" t="s">
        <v>13</v>
      </c>
      <c r="H1682" s="142" t="s">
        <v>12</v>
      </c>
      <c r="I1682">
        <v>5</v>
      </c>
      <c r="J1682">
        <v>5.01</v>
      </c>
      <c r="K1682" s="142" t="s">
        <v>10</v>
      </c>
      <c r="L1682">
        <v>57966</v>
      </c>
      <c r="M1682">
        <v>1.4661</v>
      </c>
      <c r="N1682">
        <v>57966</v>
      </c>
      <c r="O1682">
        <v>1.4652000000000001</v>
      </c>
    </row>
    <row r="1683" spans="1:15" x14ac:dyDescent="0.25">
      <c r="A1683" s="142" t="s">
        <v>1474</v>
      </c>
      <c r="B1683" s="142" t="s">
        <v>51</v>
      </c>
      <c r="C1683" s="142" t="s">
        <v>58</v>
      </c>
      <c r="D1683">
        <v>110</v>
      </c>
      <c r="E1683">
        <v>205.01</v>
      </c>
      <c r="F1683">
        <v>100</v>
      </c>
      <c r="G1683" s="142" t="s">
        <v>13</v>
      </c>
      <c r="H1683" s="142" t="s">
        <v>12</v>
      </c>
      <c r="I1683">
        <v>4.4999999999999998E-2</v>
      </c>
      <c r="J1683">
        <v>0.10001</v>
      </c>
      <c r="K1683" s="142" t="s">
        <v>10</v>
      </c>
      <c r="L1683">
        <v>57999</v>
      </c>
      <c r="M1683">
        <v>1.8526000000000001E-2</v>
      </c>
      <c r="N1683">
        <v>57999</v>
      </c>
      <c r="O1683">
        <v>1.7454999999999998E-2</v>
      </c>
    </row>
    <row r="1684" spans="1:15" x14ac:dyDescent="0.25">
      <c r="A1684" s="142" t="s">
        <v>1476</v>
      </c>
      <c r="B1684" s="142" t="s">
        <v>51</v>
      </c>
      <c r="C1684" s="142" t="s">
        <v>58</v>
      </c>
      <c r="D1684">
        <v>110</v>
      </c>
      <c r="E1684">
        <v>205.01</v>
      </c>
      <c r="F1684">
        <v>100</v>
      </c>
      <c r="G1684" s="142" t="s">
        <v>13</v>
      </c>
      <c r="H1684" s="142" t="s">
        <v>12</v>
      </c>
      <c r="I1684">
        <v>0.1</v>
      </c>
      <c r="J1684">
        <v>1.0000100000000001</v>
      </c>
      <c r="K1684" s="142" t="s">
        <v>10</v>
      </c>
      <c r="L1684">
        <v>57999</v>
      </c>
      <c r="M1684">
        <v>2.1802999999999999E-2</v>
      </c>
      <c r="N1684">
        <v>57999</v>
      </c>
      <c r="O1684">
        <v>2.0732E-2</v>
      </c>
    </row>
    <row r="1685" spans="1:15" x14ac:dyDescent="0.25">
      <c r="A1685" s="142" t="s">
        <v>1475</v>
      </c>
      <c r="B1685" s="142" t="s">
        <v>51</v>
      </c>
      <c r="C1685" s="142" t="s">
        <v>58</v>
      </c>
      <c r="D1685">
        <v>110</v>
      </c>
      <c r="E1685">
        <v>205.01</v>
      </c>
      <c r="F1685">
        <v>100</v>
      </c>
      <c r="G1685" s="142" t="s">
        <v>13</v>
      </c>
      <c r="H1685" s="142" t="s">
        <v>12</v>
      </c>
      <c r="I1685">
        <v>1</v>
      </c>
      <c r="J1685">
        <v>5</v>
      </c>
      <c r="K1685" s="142" t="s">
        <v>10</v>
      </c>
      <c r="L1685">
        <v>57768</v>
      </c>
      <c r="M1685">
        <v>3.2888999999999999</v>
      </c>
      <c r="N1685">
        <v>57768</v>
      </c>
      <c r="O1685">
        <v>3.2877999999999998</v>
      </c>
    </row>
    <row r="1686" spans="1:15" x14ac:dyDescent="0.25">
      <c r="A1686" s="142" t="s">
        <v>1477</v>
      </c>
      <c r="B1686" s="142" t="s">
        <v>51</v>
      </c>
      <c r="C1686" s="142" t="s">
        <v>58</v>
      </c>
      <c r="D1686">
        <v>110</v>
      </c>
      <c r="E1686">
        <v>205.01</v>
      </c>
      <c r="F1686">
        <v>100</v>
      </c>
      <c r="G1686" s="142" t="s">
        <v>13</v>
      </c>
      <c r="H1686" s="142" t="s">
        <v>12</v>
      </c>
      <c r="I1686">
        <v>5</v>
      </c>
      <c r="J1686">
        <v>5.01</v>
      </c>
      <c r="K1686" s="142" t="s">
        <v>10</v>
      </c>
      <c r="L1686">
        <v>57768</v>
      </c>
      <c r="M1686">
        <v>3.2888999999999999</v>
      </c>
      <c r="N1686">
        <v>57768</v>
      </c>
      <c r="O1686">
        <v>3.2877999999999998</v>
      </c>
    </row>
    <row r="1687" spans="1:15" x14ac:dyDescent="0.25">
      <c r="A1687" s="142" t="s">
        <v>1356</v>
      </c>
      <c r="B1687" s="142" t="s">
        <v>51</v>
      </c>
      <c r="C1687" s="142" t="s">
        <v>59</v>
      </c>
      <c r="D1687">
        <v>22</v>
      </c>
      <c r="E1687">
        <v>60.000999999999998</v>
      </c>
      <c r="F1687">
        <v>1E-3</v>
      </c>
      <c r="G1687" s="142" t="s">
        <v>13</v>
      </c>
      <c r="H1687" s="142" t="s">
        <v>12</v>
      </c>
      <c r="I1687">
        <v>0.01</v>
      </c>
      <c r="J1687">
        <v>4.5010000000000001E-2</v>
      </c>
      <c r="K1687" s="142" t="s">
        <v>10</v>
      </c>
      <c r="L1687">
        <v>-5.2</v>
      </c>
      <c r="M1687">
        <v>3</v>
      </c>
      <c r="N1687">
        <v>-6.3514999999999997</v>
      </c>
      <c r="O1687">
        <v>3.0358000000000001</v>
      </c>
    </row>
    <row r="1688" spans="1:15" x14ac:dyDescent="0.25">
      <c r="A1688" s="142" t="s">
        <v>1355</v>
      </c>
      <c r="B1688" s="142" t="s">
        <v>51</v>
      </c>
      <c r="C1688" s="142" t="s">
        <v>59</v>
      </c>
      <c r="D1688">
        <v>22</v>
      </c>
      <c r="E1688">
        <v>60.000999999999998</v>
      </c>
      <c r="F1688">
        <v>1E-3</v>
      </c>
      <c r="G1688" s="142" t="s">
        <v>13</v>
      </c>
      <c r="H1688" s="142" t="s">
        <v>12</v>
      </c>
      <c r="I1688">
        <v>4.4999999999999998E-2</v>
      </c>
      <c r="J1688">
        <v>1.0000100000000001</v>
      </c>
      <c r="K1688" s="142" t="s">
        <v>10</v>
      </c>
      <c r="L1688">
        <v>15</v>
      </c>
      <c r="M1688">
        <v>2.2999999999999998</v>
      </c>
      <c r="N1688">
        <v>-5.0780000000000003</v>
      </c>
      <c r="O1688">
        <v>2.2269999999999999</v>
      </c>
    </row>
    <row r="1689" spans="1:15" x14ac:dyDescent="0.25">
      <c r="A1689" s="142" t="s">
        <v>1357</v>
      </c>
      <c r="B1689" s="142" t="s">
        <v>51</v>
      </c>
      <c r="C1689" s="142" t="s">
        <v>59</v>
      </c>
      <c r="D1689">
        <v>22</v>
      </c>
      <c r="E1689">
        <v>60.000999999999998</v>
      </c>
      <c r="F1689">
        <v>1E-3</v>
      </c>
      <c r="G1689" s="142" t="s">
        <v>13</v>
      </c>
      <c r="H1689" s="142" t="s">
        <v>12</v>
      </c>
      <c r="I1689">
        <v>1</v>
      </c>
      <c r="J1689">
        <v>5.01</v>
      </c>
      <c r="K1689" s="142" t="s">
        <v>10</v>
      </c>
      <c r="L1689">
        <v>2.2999999999999998</v>
      </c>
      <c r="M1689">
        <v>7.6</v>
      </c>
      <c r="N1689">
        <v>2.2214999999999998</v>
      </c>
      <c r="O1689">
        <v>7.5885999999999996</v>
      </c>
    </row>
    <row r="1690" spans="1:15" x14ac:dyDescent="0.25">
      <c r="A1690" s="142" t="s">
        <v>1834</v>
      </c>
      <c r="B1690" s="142" t="s">
        <v>51</v>
      </c>
      <c r="C1690" s="142" t="s">
        <v>59</v>
      </c>
      <c r="D1690">
        <v>22</v>
      </c>
      <c r="E1690">
        <v>60.000999999999998</v>
      </c>
      <c r="F1690">
        <v>1E-3</v>
      </c>
      <c r="G1690" s="142" t="s">
        <v>13</v>
      </c>
      <c r="H1690" s="142" t="s">
        <v>12</v>
      </c>
      <c r="I1690">
        <v>5</v>
      </c>
      <c r="J1690">
        <v>10</v>
      </c>
      <c r="K1690" s="142" t="s">
        <v>10</v>
      </c>
      <c r="L1690">
        <v>52</v>
      </c>
      <c r="M1690">
        <v>30</v>
      </c>
      <c r="N1690">
        <v>34.529000000000003</v>
      </c>
      <c r="O1690">
        <v>30.459</v>
      </c>
    </row>
    <row r="1691" spans="1:15" x14ac:dyDescent="0.25">
      <c r="A1691" s="142" t="s">
        <v>1358</v>
      </c>
      <c r="B1691" s="142" t="s">
        <v>51</v>
      </c>
      <c r="C1691" s="142" t="s">
        <v>59</v>
      </c>
      <c r="D1691">
        <v>22</v>
      </c>
      <c r="E1691">
        <v>60.000999999999998</v>
      </c>
      <c r="F1691">
        <v>1E-3</v>
      </c>
      <c r="G1691" s="142" t="s">
        <v>13</v>
      </c>
      <c r="H1691" s="142" t="s">
        <v>12</v>
      </c>
      <c r="I1691">
        <v>10</v>
      </c>
      <c r="J1691">
        <v>10.01</v>
      </c>
      <c r="K1691" s="142" t="s">
        <v>10</v>
      </c>
      <c r="L1691">
        <v>52</v>
      </c>
      <c r="M1691">
        <v>30</v>
      </c>
      <c r="N1691">
        <v>34.529000000000003</v>
      </c>
      <c r="O1691">
        <v>30.459</v>
      </c>
    </row>
    <row r="1692" spans="1:15" x14ac:dyDescent="0.25">
      <c r="A1692" s="142" t="s">
        <v>1360</v>
      </c>
      <c r="B1692" s="142" t="s">
        <v>51</v>
      </c>
      <c r="C1692" s="142" t="s">
        <v>59</v>
      </c>
      <c r="D1692">
        <v>22</v>
      </c>
      <c r="E1692">
        <v>60.000999999999998</v>
      </c>
      <c r="F1692">
        <v>0.01</v>
      </c>
      <c r="G1692" s="142" t="s">
        <v>13</v>
      </c>
      <c r="H1692" s="142" t="s">
        <v>12</v>
      </c>
      <c r="I1692">
        <v>0.01</v>
      </c>
      <c r="J1692">
        <v>4.5010000000000001E-2</v>
      </c>
      <c r="K1692" s="142" t="s">
        <v>10</v>
      </c>
      <c r="L1692">
        <v>-5.2</v>
      </c>
      <c r="M1692">
        <v>3.0308999999999999</v>
      </c>
      <c r="N1692">
        <v>-6.0166000000000004</v>
      </c>
      <c r="O1692">
        <v>3.0310000000000001</v>
      </c>
    </row>
    <row r="1693" spans="1:15" x14ac:dyDescent="0.25">
      <c r="A1693" s="142" t="s">
        <v>1361</v>
      </c>
      <c r="B1693" s="142" t="s">
        <v>51</v>
      </c>
      <c r="C1693" s="142" t="s">
        <v>59</v>
      </c>
      <c r="D1693">
        <v>22</v>
      </c>
      <c r="E1693">
        <v>60.000999999999998</v>
      </c>
      <c r="F1693">
        <v>0.01</v>
      </c>
      <c r="G1693" s="142" t="s">
        <v>13</v>
      </c>
      <c r="H1693" s="142" t="s">
        <v>12</v>
      </c>
      <c r="I1693">
        <v>4.4999999999999998E-2</v>
      </c>
      <c r="J1693">
        <v>1.0000100000000001</v>
      </c>
      <c r="K1693" s="142" t="s">
        <v>10</v>
      </c>
      <c r="L1693">
        <v>15</v>
      </c>
      <c r="M1693">
        <v>2.2999999999999998</v>
      </c>
      <c r="N1693">
        <v>-4.6150000000000002</v>
      </c>
      <c r="O1693">
        <v>2.2202999999999999</v>
      </c>
    </row>
    <row r="1694" spans="1:15" x14ac:dyDescent="0.25">
      <c r="A1694" s="142" t="s">
        <v>1359</v>
      </c>
      <c r="B1694" s="142" t="s">
        <v>51</v>
      </c>
      <c r="C1694" s="142" t="s">
        <v>59</v>
      </c>
      <c r="D1694">
        <v>22</v>
      </c>
      <c r="E1694">
        <v>60.000999999999998</v>
      </c>
      <c r="F1694">
        <v>0.01</v>
      </c>
      <c r="G1694" s="142" t="s">
        <v>13</v>
      </c>
      <c r="H1694" s="142" t="s">
        <v>12</v>
      </c>
      <c r="I1694">
        <v>1</v>
      </c>
      <c r="J1694">
        <v>5.01</v>
      </c>
      <c r="K1694" s="142" t="s">
        <v>10</v>
      </c>
      <c r="L1694">
        <v>2.3481999999999998</v>
      </c>
      <c r="M1694">
        <v>7.5869</v>
      </c>
      <c r="N1694">
        <v>2.3433000000000002</v>
      </c>
      <c r="O1694">
        <v>7.5869</v>
      </c>
    </row>
    <row r="1695" spans="1:15" x14ac:dyDescent="0.25">
      <c r="A1695" s="142" t="s">
        <v>1835</v>
      </c>
      <c r="B1695" s="142" t="s">
        <v>51</v>
      </c>
      <c r="C1695" s="142" t="s">
        <v>59</v>
      </c>
      <c r="D1695">
        <v>22</v>
      </c>
      <c r="E1695">
        <v>60.000999999999998</v>
      </c>
      <c r="F1695">
        <v>0.01</v>
      </c>
      <c r="G1695" s="142" t="s">
        <v>13</v>
      </c>
      <c r="H1695" s="142" t="s">
        <v>12</v>
      </c>
      <c r="I1695">
        <v>5</v>
      </c>
      <c r="J1695">
        <v>10</v>
      </c>
      <c r="K1695" s="142" t="s">
        <v>10</v>
      </c>
      <c r="L1695">
        <v>52</v>
      </c>
      <c r="M1695">
        <v>30.457999999999998</v>
      </c>
      <c r="N1695">
        <v>34.545000000000002</v>
      </c>
      <c r="O1695">
        <v>30.459</v>
      </c>
    </row>
    <row r="1696" spans="1:15" x14ac:dyDescent="0.25">
      <c r="A1696" s="142" t="s">
        <v>1362</v>
      </c>
      <c r="B1696" s="142" t="s">
        <v>51</v>
      </c>
      <c r="C1696" s="142" t="s">
        <v>59</v>
      </c>
      <c r="D1696">
        <v>22</v>
      </c>
      <c r="E1696">
        <v>60.000999999999998</v>
      </c>
      <c r="F1696">
        <v>0.01</v>
      </c>
      <c r="G1696" s="142" t="s">
        <v>13</v>
      </c>
      <c r="H1696" s="142" t="s">
        <v>12</v>
      </c>
      <c r="I1696">
        <v>10</v>
      </c>
      <c r="J1696">
        <v>10.01</v>
      </c>
      <c r="K1696" s="142" t="s">
        <v>10</v>
      </c>
      <c r="L1696">
        <v>52</v>
      </c>
      <c r="M1696">
        <v>30.457999999999998</v>
      </c>
      <c r="N1696">
        <v>34.545000000000002</v>
      </c>
      <c r="O1696">
        <v>30.459</v>
      </c>
    </row>
    <row r="1697" spans="1:15" x14ac:dyDescent="0.25">
      <c r="A1697" s="142" t="s">
        <v>1837</v>
      </c>
      <c r="B1697" s="142" t="s">
        <v>51</v>
      </c>
      <c r="C1697" s="142" t="s">
        <v>59</v>
      </c>
      <c r="D1697">
        <v>60</v>
      </c>
      <c r="E1697">
        <v>220.01</v>
      </c>
      <c r="F1697">
        <v>0.01</v>
      </c>
      <c r="G1697" s="142" t="s">
        <v>13</v>
      </c>
      <c r="H1697" s="142" t="s">
        <v>12</v>
      </c>
      <c r="I1697">
        <v>4.4999999999999998E-2</v>
      </c>
      <c r="J1697">
        <v>0.10001</v>
      </c>
      <c r="K1697" s="142" t="s">
        <v>10</v>
      </c>
      <c r="L1697">
        <v>24</v>
      </c>
      <c r="M1697">
        <v>2.1</v>
      </c>
      <c r="N1697">
        <v>23.533999999999999</v>
      </c>
      <c r="O1697">
        <v>2.0874999999999999</v>
      </c>
    </row>
    <row r="1698" spans="1:15" x14ac:dyDescent="0.25">
      <c r="A1698" s="142" t="s">
        <v>1839</v>
      </c>
      <c r="B1698" s="142" t="s">
        <v>51</v>
      </c>
      <c r="C1698" s="142" t="s">
        <v>59</v>
      </c>
      <c r="D1698">
        <v>60</v>
      </c>
      <c r="E1698">
        <v>220.01</v>
      </c>
      <c r="F1698">
        <v>0.01</v>
      </c>
      <c r="G1698" s="142" t="s">
        <v>13</v>
      </c>
      <c r="H1698" s="142" t="s">
        <v>12</v>
      </c>
      <c r="I1698">
        <v>0.1</v>
      </c>
      <c r="J1698">
        <v>1.0000100000000001</v>
      </c>
      <c r="K1698" s="142" t="s">
        <v>10</v>
      </c>
      <c r="L1698">
        <v>30</v>
      </c>
      <c r="M1698">
        <v>2.2999999999999998</v>
      </c>
      <c r="N1698">
        <v>29.364000000000001</v>
      </c>
      <c r="O1698">
        <v>2.2879</v>
      </c>
    </row>
    <row r="1699" spans="1:15" x14ac:dyDescent="0.25">
      <c r="A1699" s="142" t="s">
        <v>1373</v>
      </c>
      <c r="B1699" s="142" t="s">
        <v>51</v>
      </c>
      <c r="C1699" s="142" t="s">
        <v>59</v>
      </c>
      <c r="D1699">
        <v>60</v>
      </c>
      <c r="E1699">
        <v>220.01</v>
      </c>
      <c r="F1699">
        <v>0.01</v>
      </c>
      <c r="G1699" s="142" t="s">
        <v>13</v>
      </c>
      <c r="H1699" s="142" t="s">
        <v>12</v>
      </c>
      <c r="I1699">
        <v>1</v>
      </c>
      <c r="J1699">
        <v>5</v>
      </c>
      <c r="K1699" s="142" t="s">
        <v>10</v>
      </c>
      <c r="L1699">
        <v>47</v>
      </c>
      <c r="M1699">
        <v>35</v>
      </c>
      <c r="N1699">
        <v>46.103000000000002</v>
      </c>
      <c r="O1699">
        <v>34.698999999999998</v>
      </c>
    </row>
    <row r="1700" spans="1:15" x14ac:dyDescent="0.25">
      <c r="A1700" s="142" t="s">
        <v>1374</v>
      </c>
      <c r="B1700" s="142" t="s">
        <v>51</v>
      </c>
      <c r="C1700" s="142" t="s">
        <v>59</v>
      </c>
      <c r="D1700">
        <v>60</v>
      </c>
      <c r="E1700">
        <v>220.01</v>
      </c>
      <c r="F1700">
        <v>0.01</v>
      </c>
      <c r="G1700" s="142" t="s">
        <v>13</v>
      </c>
      <c r="H1700" s="142" t="s">
        <v>12</v>
      </c>
      <c r="I1700">
        <v>5</v>
      </c>
      <c r="J1700">
        <v>5.01</v>
      </c>
      <c r="K1700" s="142" t="s">
        <v>10</v>
      </c>
      <c r="L1700">
        <v>47</v>
      </c>
      <c r="M1700">
        <v>35</v>
      </c>
      <c r="N1700">
        <v>46.103000000000002</v>
      </c>
      <c r="O1700">
        <v>34.698999999999998</v>
      </c>
    </row>
    <row r="1701" spans="1:15" x14ac:dyDescent="0.25">
      <c r="A1701" s="142" t="s">
        <v>1388</v>
      </c>
      <c r="B1701" s="142" t="s">
        <v>51</v>
      </c>
      <c r="C1701" s="142" t="s">
        <v>59</v>
      </c>
      <c r="D1701">
        <v>220</v>
      </c>
      <c r="E1701">
        <v>410.01</v>
      </c>
      <c r="F1701">
        <v>0.01</v>
      </c>
      <c r="G1701" s="142" t="s">
        <v>13</v>
      </c>
      <c r="H1701" s="142" t="s">
        <v>12</v>
      </c>
      <c r="I1701">
        <v>4.4999999999999998E-2</v>
      </c>
      <c r="J1701">
        <v>0.10001</v>
      </c>
      <c r="K1701" s="142" t="s">
        <v>10</v>
      </c>
      <c r="L1701">
        <v>84</v>
      </c>
      <c r="M1701">
        <v>2.4</v>
      </c>
      <c r="N1701">
        <v>76.977999999999994</v>
      </c>
      <c r="O1701">
        <v>2.4161000000000001</v>
      </c>
    </row>
    <row r="1702" spans="1:15" x14ac:dyDescent="0.25">
      <c r="A1702" s="142" t="s">
        <v>1389</v>
      </c>
      <c r="B1702" s="142" t="s">
        <v>51</v>
      </c>
      <c r="C1702" s="142" t="s">
        <v>59</v>
      </c>
      <c r="D1702">
        <v>220</v>
      </c>
      <c r="E1702">
        <v>410.01</v>
      </c>
      <c r="F1702">
        <v>0.01</v>
      </c>
      <c r="G1702" s="142" t="s">
        <v>13</v>
      </c>
      <c r="H1702" s="142" t="s">
        <v>12</v>
      </c>
      <c r="I1702">
        <v>0.1</v>
      </c>
      <c r="J1702">
        <v>1.0000100000000001</v>
      </c>
      <c r="K1702" s="142" t="s">
        <v>10</v>
      </c>
      <c r="L1702">
        <v>98</v>
      </c>
      <c r="M1702">
        <v>2.6</v>
      </c>
      <c r="N1702">
        <v>84.28</v>
      </c>
      <c r="O1702">
        <v>2.6326000000000001</v>
      </c>
    </row>
    <row r="1703" spans="1:15" x14ac:dyDescent="0.25">
      <c r="A1703" s="142" t="s">
        <v>1387</v>
      </c>
      <c r="B1703" s="142" t="s">
        <v>51</v>
      </c>
      <c r="C1703" s="142" t="s">
        <v>59</v>
      </c>
      <c r="D1703">
        <v>220</v>
      </c>
      <c r="E1703">
        <v>410.01</v>
      </c>
      <c r="F1703">
        <v>0.01</v>
      </c>
      <c r="G1703" s="142" t="s">
        <v>13</v>
      </c>
      <c r="H1703" s="142" t="s">
        <v>12</v>
      </c>
      <c r="I1703">
        <v>1</v>
      </c>
      <c r="J1703">
        <v>5</v>
      </c>
      <c r="K1703" s="142" t="s">
        <v>10</v>
      </c>
      <c r="L1703">
        <v>120</v>
      </c>
      <c r="M1703">
        <v>35</v>
      </c>
      <c r="N1703">
        <v>115.22</v>
      </c>
      <c r="O1703">
        <v>34.698999999999998</v>
      </c>
    </row>
    <row r="1704" spans="1:15" x14ac:dyDescent="0.25">
      <c r="A1704" s="142" t="s">
        <v>1390</v>
      </c>
      <c r="B1704" s="142" t="s">
        <v>51</v>
      </c>
      <c r="C1704" s="142" t="s">
        <v>59</v>
      </c>
      <c r="D1704">
        <v>220</v>
      </c>
      <c r="E1704">
        <v>410.01</v>
      </c>
      <c r="F1704">
        <v>0.01</v>
      </c>
      <c r="G1704" s="142" t="s">
        <v>13</v>
      </c>
      <c r="H1704" s="142" t="s">
        <v>12</v>
      </c>
      <c r="I1704">
        <v>5</v>
      </c>
      <c r="J1704">
        <v>5.01</v>
      </c>
      <c r="K1704" s="142" t="s">
        <v>10</v>
      </c>
      <c r="L1704">
        <v>120</v>
      </c>
      <c r="M1704">
        <v>35</v>
      </c>
      <c r="N1704">
        <v>115.22</v>
      </c>
      <c r="O1704">
        <v>34.698999999999998</v>
      </c>
    </row>
    <row r="1705" spans="1:15" x14ac:dyDescent="0.25">
      <c r="A1705" s="142" t="s">
        <v>1363</v>
      </c>
      <c r="B1705" s="142" t="s">
        <v>51</v>
      </c>
      <c r="C1705" s="142" t="s">
        <v>59</v>
      </c>
      <c r="D1705">
        <v>22</v>
      </c>
      <c r="E1705">
        <v>60.000999999999998</v>
      </c>
      <c r="F1705">
        <v>0.1</v>
      </c>
      <c r="G1705" s="142" t="s">
        <v>13</v>
      </c>
      <c r="H1705" s="142" t="s">
        <v>12</v>
      </c>
      <c r="I1705">
        <v>0.01</v>
      </c>
      <c r="J1705">
        <v>4.5010000000000001E-2</v>
      </c>
      <c r="K1705" s="142" t="s">
        <v>10</v>
      </c>
      <c r="L1705">
        <v>24.504000000000001</v>
      </c>
      <c r="M1705">
        <v>2.6608999999999998</v>
      </c>
      <c r="N1705">
        <v>24.465</v>
      </c>
      <c r="O1705">
        <v>2.6608000000000001</v>
      </c>
    </row>
    <row r="1706" spans="1:15" x14ac:dyDescent="0.25">
      <c r="A1706" s="142" t="s">
        <v>1364</v>
      </c>
      <c r="B1706" s="142" t="s">
        <v>51</v>
      </c>
      <c r="C1706" s="142" t="s">
        <v>59</v>
      </c>
      <c r="D1706">
        <v>22</v>
      </c>
      <c r="E1706">
        <v>60.000999999999998</v>
      </c>
      <c r="F1706">
        <v>0.1</v>
      </c>
      <c r="G1706" s="142" t="s">
        <v>13</v>
      </c>
      <c r="H1706" s="142" t="s">
        <v>12</v>
      </c>
      <c r="I1706">
        <v>4.4999999999999998E-2</v>
      </c>
      <c r="J1706">
        <v>1.0000100000000001</v>
      </c>
      <c r="K1706" s="142" t="s">
        <v>10</v>
      </c>
      <c r="L1706">
        <v>25.632000000000001</v>
      </c>
      <c r="M1706">
        <v>2.1227999999999998</v>
      </c>
      <c r="N1706">
        <v>32.901000000000003</v>
      </c>
      <c r="O1706">
        <v>1.7903</v>
      </c>
    </row>
    <row r="1707" spans="1:15" x14ac:dyDescent="0.25">
      <c r="A1707" s="142" t="s">
        <v>1367</v>
      </c>
      <c r="B1707" s="142" t="s">
        <v>51</v>
      </c>
      <c r="C1707" s="142" t="s">
        <v>59</v>
      </c>
      <c r="D1707">
        <v>22</v>
      </c>
      <c r="E1707">
        <v>60.000999999999998</v>
      </c>
      <c r="F1707">
        <v>0.1</v>
      </c>
      <c r="G1707" s="142" t="s">
        <v>13</v>
      </c>
      <c r="H1707" s="142" t="s">
        <v>12</v>
      </c>
      <c r="I1707">
        <v>1</v>
      </c>
      <c r="J1707">
        <v>5.01</v>
      </c>
      <c r="K1707" s="142" t="s">
        <v>10</v>
      </c>
      <c r="L1707">
        <v>14.11</v>
      </c>
      <c r="M1707">
        <v>7.4272999999999998</v>
      </c>
      <c r="N1707">
        <v>14.090999999999999</v>
      </c>
      <c r="O1707">
        <v>7.4272999999999998</v>
      </c>
    </row>
    <row r="1708" spans="1:15" x14ac:dyDescent="0.25">
      <c r="A1708" s="142" t="s">
        <v>1365</v>
      </c>
      <c r="B1708" s="142" t="s">
        <v>51</v>
      </c>
      <c r="C1708" s="142" t="s">
        <v>59</v>
      </c>
      <c r="D1708">
        <v>22</v>
      </c>
      <c r="E1708">
        <v>60.000999999999998</v>
      </c>
      <c r="F1708">
        <v>0.1</v>
      </c>
      <c r="G1708" s="142" t="s">
        <v>13</v>
      </c>
      <c r="H1708" s="142" t="s">
        <v>12</v>
      </c>
      <c r="I1708">
        <v>5</v>
      </c>
      <c r="J1708">
        <v>10</v>
      </c>
      <c r="K1708" s="142" t="s">
        <v>10</v>
      </c>
      <c r="L1708">
        <v>52</v>
      </c>
      <c r="M1708">
        <v>30.419</v>
      </c>
      <c r="N1708">
        <v>37.46</v>
      </c>
      <c r="O1708">
        <v>30.419</v>
      </c>
    </row>
    <row r="1709" spans="1:15" x14ac:dyDescent="0.25">
      <c r="A1709" s="142" t="s">
        <v>1366</v>
      </c>
      <c r="B1709" s="142" t="s">
        <v>51</v>
      </c>
      <c r="C1709" s="142" t="s">
        <v>59</v>
      </c>
      <c r="D1709">
        <v>22</v>
      </c>
      <c r="E1709">
        <v>60.000999999999998</v>
      </c>
      <c r="F1709">
        <v>0.1</v>
      </c>
      <c r="G1709" s="142" t="s">
        <v>13</v>
      </c>
      <c r="H1709" s="142" t="s">
        <v>12</v>
      </c>
      <c r="I1709">
        <v>10</v>
      </c>
      <c r="J1709">
        <v>10.01</v>
      </c>
      <c r="K1709" s="142" t="s">
        <v>10</v>
      </c>
      <c r="L1709">
        <v>52</v>
      </c>
      <c r="M1709">
        <v>30.419</v>
      </c>
      <c r="N1709">
        <v>37.46</v>
      </c>
      <c r="O1709">
        <v>30.419</v>
      </c>
    </row>
    <row r="1710" spans="1:15" x14ac:dyDescent="0.25">
      <c r="A1710" s="142" t="s">
        <v>1838</v>
      </c>
      <c r="B1710" s="142" t="s">
        <v>51</v>
      </c>
      <c r="C1710" s="142" t="s">
        <v>59</v>
      </c>
      <c r="D1710">
        <v>60</v>
      </c>
      <c r="E1710">
        <v>220.01</v>
      </c>
      <c r="F1710">
        <v>0.1</v>
      </c>
      <c r="G1710" s="142" t="s">
        <v>13</v>
      </c>
      <c r="H1710" s="142" t="s">
        <v>12</v>
      </c>
      <c r="I1710">
        <v>4.4999999999999998E-2</v>
      </c>
      <c r="J1710">
        <v>0.10001</v>
      </c>
      <c r="K1710" s="142" t="s">
        <v>10</v>
      </c>
      <c r="L1710">
        <v>37.146000000000001</v>
      </c>
      <c r="M1710">
        <v>2.0415000000000001</v>
      </c>
      <c r="N1710">
        <v>37.093000000000004</v>
      </c>
      <c r="O1710">
        <v>2.0415000000000001</v>
      </c>
    </row>
    <row r="1711" spans="1:15" x14ac:dyDescent="0.25">
      <c r="A1711" s="142" t="s">
        <v>1375</v>
      </c>
      <c r="B1711" s="142" t="s">
        <v>51</v>
      </c>
      <c r="C1711" s="142" t="s">
        <v>59</v>
      </c>
      <c r="D1711">
        <v>60</v>
      </c>
      <c r="E1711">
        <v>220.01</v>
      </c>
      <c r="F1711">
        <v>0.1</v>
      </c>
      <c r="G1711" s="142" t="s">
        <v>13</v>
      </c>
      <c r="H1711" s="142" t="s">
        <v>12</v>
      </c>
      <c r="I1711">
        <v>0.1</v>
      </c>
      <c r="J1711">
        <v>1.0000100000000001</v>
      </c>
      <c r="K1711" s="142" t="s">
        <v>10</v>
      </c>
      <c r="L1711">
        <v>41.543999999999997</v>
      </c>
      <c r="M1711">
        <v>2.2475000000000001</v>
      </c>
      <c r="N1711">
        <v>41.546999999999997</v>
      </c>
      <c r="O1711">
        <v>2.2467000000000001</v>
      </c>
    </row>
    <row r="1712" spans="1:15" x14ac:dyDescent="0.25">
      <c r="A1712" s="142" t="s">
        <v>1840</v>
      </c>
      <c r="B1712" s="142" t="s">
        <v>51</v>
      </c>
      <c r="C1712" s="142" t="s">
        <v>59</v>
      </c>
      <c r="D1712">
        <v>60</v>
      </c>
      <c r="E1712">
        <v>220.01</v>
      </c>
      <c r="F1712">
        <v>0.1</v>
      </c>
      <c r="G1712" s="142" t="s">
        <v>13</v>
      </c>
      <c r="H1712" s="142" t="s">
        <v>12</v>
      </c>
      <c r="I1712">
        <v>1</v>
      </c>
      <c r="J1712">
        <v>5</v>
      </c>
      <c r="K1712" s="142" t="s">
        <v>10</v>
      </c>
      <c r="L1712">
        <v>47</v>
      </c>
      <c r="M1712">
        <v>35</v>
      </c>
      <c r="N1712">
        <v>47.146000000000001</v>
      </c>
      <c r="O1712">
        <v>34.695</v>
      </c>
    </row>
    <row r="1713" spans="1:15" x14ac:dyDescent="0.25">
      <c r="A1713" s="142" t="s">
        <v>1842</v>
      </c>
      <c r="B1713" s="142" t="s">
        <v>51</v>
      </c>
      <c r="C1713" s="142" t="s">
        <v>59</v>
      </c>
      <c r="D1713">
        <v>60</v>
      </c>
      <c r="E1713">
        <v>220.01</v>
      </c>
      <c r="F1713">
        <v>0.1</v>
      </c>
      <c r="G1713" s="142" t="s">
        <v>13</v>
      </c>
      <c r="H1713" s="142" t="s">
        <v>12</v>
      </c>
      <c r="I1713">
        <v>5</v>
      </c>
      <c r="J1713">
        <v>5.01</v>
      </c>
      <c r="K1713" s="142" t="s">
        <v>10</v>
      </c>
      <c r="L1713">
        <v>47</v>
      </c>
      <c r="M1713">
        <v>35</v>
      </c>
      <c r="N1713">
        <v>47.146000000000001</v>
      </c>
      <c r="O1713">
        <v>34.695</v>
      </c>
    </row>
    <row r="1714" spans="1:15" x14ac:dyDescent="0.25">
      <c r="A1714" s="142" t="s">
        <v>1393</v>
      </c>
      <c r="B1714" s="142" t="s">
        <v>51</v>
      </c>
      <c r="C1714" s="142" t="s">
        <v>59</v>
      </c>
      <c r="D1714">
        <v>220</v>
      </c>
      <c r="E1714">
        <v>410.01</v>
      </c>
      <c r="F1714">
        <v>0.1</v>
      </c>
      <c r="G1714" s="142" t="s">
        <v>13</v>
      </c>
      <c r="H1714" s="142" t="s">
        <v>12</v>
      </c>
      <c r="I1714">
        <v>4.4999999999999998E-2</v>
      </c>
      <c r="J1714">
        <v>0.10001</v>
      </c>
      <c r="K1714" s="142" t="s">
        <v>10</v>
      </c>
      <c r="L1714">
        <v>84</v>
      </c>
      <c r="M1714">
        <v>2.4068999999999998</v>
      </c>
      <c r="N1714">
        <v>81.076999999999998</v>
      </c>
      <c r="O1714">
        <v>2.4098999999999999</v>
      </c>
    </row>
    <row r="1715" spans="1:15" x14ac:dyDescent="0.25">
      <c r="A1715" s="142" t="s">
        <v>1392</v>
      </c>
      <c r="B1715" s="142" t="s">
        <v>51</v>
      </c>
      <c r="C1715" s="142" t="s">
        <v>59</v>
      </c>
      <c r="D1715">
        <v>220</v>
      </c>
      <c r="E1715">
        <v>410.01</v>
      </c>
      <c r="F1715">
        <v>0.1</v>
      </c>
      <c r="G1715" s="142" t="s">
        <v>13</v>
      </c>
      <c r="H1715" s="142" t="s">
        <v>12</v>
      </c>
      <c r="I1715">
        <v>0.1</v>
      </c>
      <c r="J1715">
        <v>1.0000100000000001</v>
      </c>
      <c r="K1715" s="142" t="s">
        <v>10</v>
      </c>
      <c r="L1715">
        <v>98</v>
      </c>
      <c r="M1715">
        <v>2.6065</v>
      </c>
      <c r="N1715">
        <v>88.046000000000006</v>
      </c>
      <c r="O1715">
        <v>2.6269</v>
      </c>
    </row>
    <row r="1716" spans="1:15" x14ac:dyDescent="0.25">
      <c r="A1716" s="142" t="s">
        <v>1391</v>
      </c>
      <c r="B1716" s="142" t="s">
        <v>51</v>
      </c>
      <c r="C1716" s="142" t="s">
        <v>59</v>
      </c>
      <c r="D1716">
        <v>220</v>
      </c>
      <c r="E1716">
        <v>410.01</v>
      </c>
      <c r="F1716">
        <v>0.1</v>
      </c>
      <c r="G1716" s="142" t="s">
        <v>13</v>
      </c>
      <c r="H1716" s="142" t="s">
        <v>12</v>
      </c>
      <c r="I1716">
        <v>1</v>
      </c>
      <c r="J1716">
        <v>5</v>
      </c>
      <c r="K1716" s="142" t="s">
        <v>10</v>
      </c>
      <c r="L1716">
        <v>120</v>
      </c>
      <c r="M1716">
        <v>35</v>
      </c>
      <c r="N1716">
        <v>115.69</v>
      </c>
      <c r="O1716">
        <v>34.698</v>
      </c>
    </row>
    <row r="1717" spans="1:15" x14ac:dyDescent="0.25">
      <c r="A1717" s="142" t="s">
        <v>1394</v>
      </c>
      <c r="B1717" s="142" t="s">
        <v>51</v>
      </c>
      <c r="C1717" s="142" t="s">
        <v>59</v>
      </c>
      <c r="D1717">
        <v>220</v>
      </c>
      <c r="E1717">
        <v>410.01</v>
      </c>
      <c r="F1717">
        <v>0.1</v>
      </c>
      <c r="G1717" s="142" t="s">
        <v>13</v>
      </c>
      <c r="H1717" s="142" t="s">
        <v>12</v>
      </c>
      <c r="I1717">
        <v>5</v>
      </c>
      <c r="J1717">
        <v>5.01</v>
      </c>
      <c r="K1717" s="142" t="s">
        <v>10</v>
      </c>
      <c r="L1717">
        <v>120</v>
      </c>
      <c r="M1717">
        <v>35</v>
      </c>
      <c r="N1717">
        <v>115.69</v>
      </c>
      <c r="O1717">
        <v>34.698</v>
      </c>
    </row>
    <row r="1718" spans="1:15" x14ac:dyDescent="0.25">
      <c r="A1718" s="142" t="s">
        <v>1830</v>
      </c>
      <c r="B1718" s="142" t="s">
        <v>51</v>
      </c>
      <c r="C1718" s="142" t="s">
        <v>59</v>
      </c>
      <c r="D1718">
        <v>22</v>
      </c>
      <c r="E1718">
        <v>60.000999999999998</v>
      </c>
      <c r="F1718">
        <v>1</v>
      </c>
      <c r="G1718" s="142" t="s">
        <v>13</v>
      </c>
      <c r="H1718" s="142" t="s">
        <v>12</v>
      </c>
      <c r="I1718">
        <v>0.01</v>
      </c>
      <c r="J1718">
        <v>4.5010000000000001E-2</v>
      </c>
      <c r="K1718" s="142" t="s">
        <v>10</v>
      </c>
      <c r="L1718">
        <v>569.88</v>
      </c>
      <c r="M1718">
        <v>0.59872000000000003</v>
      </c>
      <c r="N1718">
        <v>569.88</v>
      </c>
      <c r="O1718">
        <v>0.59787000000000001</v>
      </c>
    </row>
    <row r="1719" spans="1:15" x14ac:dyDescent="0.25">
      <c r="A1719" s="142" t="s">
        <v>1832</v>
      </c>
      <c r="B1719" s="142" t="s">
        <v>51</v>
      </c>
      <c r="C1719" s="142" t="s">
        <v>59</v>
      </c>
      <c r="D1719">
        <v>22</v>
      </c>
      <c r="E1719">
        <v>60.000999999999998</v>
      </c>
      <c r="F1719">
        <v>1</v>
      </c>
      <c r="G1719" s="142" t="s">
        <v>13</v>
      </c>
      <c r="H1719" s="142" t="s">
        <v>12</v>
      </c>
      <c r="I1719">
        <v>4.4999999999999998E-2</v>
      </c>
      <c r="J1719">
        <v>1.0000100000000001</v>
      </c>
      <c r="K1719" s="142" t="s">
        <v>10</v>
      </c>
      <c r="L1719">
        <v>574.48</v>
      </c>
      <c r="M1719">
        <v>0.32468000000000002</v>
      </c>
      <c r="N1719">
        <v>574.48</v>
      </c>
      <c r="O1719">
        <v>0.32379999999999998</v>
      </c>
    </row>
    <row r="1720" spans="1:15" x14ac:dyDescent="0.25">
      <c r="A1720" s="142" t="s">
        <v>1369</v>
      </c>
      <c r="B1720" s="142" t="s">
        <v>51</v>
      </c>
      <c r="C1720" s="142" t="s">
        <v>59</v>
      </c>
      <c r="D1720">
        <v>22</v>
      </c>
      <c r="E1720">
        <v>60.000999999999998</v>
      </c>
      <c r="F1720">
        <v>1</v>
      </c>
      <c r="G1720" s="142" t="s">
        <v>13</v>
      </c>
      <c r="H1720" s="142" t="s">
        <v>12</v>
      </c>
      <c r="I1720">
        <v>1</v>
      </c>
      <c r="J1720">
        <v>5.01</v>
      </c>
      <c r="K1720" s="142" t="s">
        <v>10</v>
      </c>
      <c r="L1720">
        <v>526.04999999999995</v>
      </c>
      <c r="M1720">
        <v>3.5184000000000002</v>
      </c>
      <c r="N1720">
        <v>526.04999999999995</v>
      </c>
      <c r="O1720">
        <v>3.5177999999999998</v>
      </c>
    </row>
    <row r="1721" spans="1:15" x14ac:dyDescent="0.25">
      <c r="A1721" s="142" t="s">
        <v>1370</v>
      </c>
      <c r="B1721" s="142" t="s">
        <v>51</v>
      </c>
      <c r="C1721" s="142" t="s">
        <v>59</v>
      </c>
      <c r="D1721">
        <v>22</v>
      </c>
      <c r="E1721">
        <v>60.000999999999998</v>
      </c>
      <c r="F1721">
        <v>1</v>
      </c>
      <c r="G1721" s="142" t="s">
        <v>13</v>
      </c>
      <c r="H1721" s="142" t="s">
        <v>12</v>
      </c>
      <c r="I1721">
        <v>5</v>
      </c>
      <c r="J1721">
        <v>10</v>
      </c>
      <c r="K1721" s="142" t="s">
        <v>10</v>
      </c>
      <c r="L1721">
        <v>304.91000000000003</v>
      </c>
      <c r="M1721">
        <v>27.254999999999999</v>
      </c>
      <c r="N1721">
        <v>304.83999999999997</v>
      </c>
      <c r="O1721">
        <v>27.254999999999999</v>
      </c>
    </row>
    <row r="1722" spans="1:15" x14ac:dyDescent="0.25">
      <c r="A1722" s="142" t="s">
        <v>1368</v>
      </c>
      <c r="B1722" s="142" t="s">
        <v>51</v>
      </c>
      <c r="C1722" s="142" t="s">
        <v>59</v>
      </c>
      <c r="D1722">
        <v>22</v>
      </c>
      <c r="E1722">
        <v>60.000999999999998</v>
      </c>
      <c r="F1722">
        <v>1</v>
      </c>
      <c r="G1722" s="142" t="s">
        <v>13</v>
      </c>
      <c r="H1722" s="142" t="s">
        <v>12</v>
      </c>
      <c r="I1722">
        <v>10</v>
      </c>
      <c r="J1722">
        <v>10.01</v>
      </c>
      <c r="K1722" s="142" t="s">
        <v>10</v>
      </c>
      <c r="L1722">
        <v>304.91000000000003</v>
      </c>
      <c r="M1722">
        <v>27.254999999999999</v>
      </c>
      <c r="N1722">
        <v>304.83999999999997</v>
      </c>
      <c r="O1722">
        <v>27.254999999999999</v>
      </c>
    </row>
    <row r="1723" spans="1:15" x14ac:dyDescent="0.25">
      <c r="A1723" s="142" t="s">
        <v>1377</v>
      </c>
      <c r="B1723" s="142" t="s">
        <v>51</v>
      </c>
      <c r="C1723" s="142" t="s">
        <v>59</v>
      </c>
      <c r="D1723">
        <v>60</v>
      </c>
      <c r="E1723">
        <v>220.01</v>
      </c>
      <c r="F1723">
        <v>1</v>
      </c>
      <c r="G1723" s="142" t="s">
        <v>13</v>
      </c>
      <c r="H1723" s="142" t="s">
        <v>12</v>
      </c>
      <c r="I1723">
        <v>4.4999999999999998E-2</v>
      </c>
      <c r="J1723">
        <v>0.10001</v>
      </c>
      <c r="K1723" s="142" t="s">
        <v>10</v>
      </c>
      <c r="L1723">
        <v>540.32000000000005</v>
      </c>
      <c r="M1723">
        <v>0.97470999999999997</v>
      </c>
      <c r="N1723">
        <v>540.29999999999995</v>
      </c>
      <c r="O1723">
        <v>0.97416999999999998</v>
      </c>
    </row>
    <row r="1724" spans="1:15" x14ac:dyDescent="0.25">
      <c r="A1724" s="142" t="s">
        <v>1378</v>
      </c>
      <c r="B1724" s="142" t="s">
        <v>51</v>
      </c>
      <c r="C1724" s="142" t="s">
        <v>59</v>
      </c>
      <c r="D1724">
        <v>60</v>
      </c>
      <c r="E1724">
        <v>220.01</v>
      </c>
      <c r="F1724">
        <v>1</v>
      </c>
      <c r="G1724" s="142" t="s">
        <v>13</v>
      </c>
      <c r="H1724" s="142" t="s">
        <v>12</v>
      </c>
      <c r="I1724">
        <v>0.1</v>
      </c>
      <c r="J1724">
        <v>1.0000100000000001</v>
      </c>
      <c r="K1724" s="142" t="s">
        <v>10</v>
      </c>
      <c r="L1724">
        <v>534.45000000000005</v>
      </c>
      <c r="M1724">
        <v>1.1508</v>
      </c>
      <c r="N1724">
        <v>534.41999999999996</v>
      </c>
      <c r="O1724">
        <v>1.1503000000000001</v>
      </c>
    </row>
    <row r="1725" spans="1:15" x14ac:dyDescent="0.25">
      <c r="A1725" s="142" t="s">
        <v>1841</v>
      </c>
      <c r="B1725" s="142" t="s">
        <v>51</v>
      </c>
      <c r="C1725" s="142" t="s">
        <v>59</v>
      </c>
      <c r="D1725">
        <v>60</v>
      </c>
      <c r="E1725">
        <v>220.01</v>
      </c>
      <c r="F1725">
        <v>1</v>
      </c>
      <c r="G1725" s="142" t="s">
        <v>13</v>
      </c>
      <c r="H1725" s="142" t="s">
        <v>12</v>
      </c>
      <c r="I1725">
        <v>1</v>
      </c>
      <c r="J1725">
        <v>5</v>
      </c>
      <c r="K1725" s="142" t="s">
        <v>10</v>
      </c>
      <c r="L1725">
        <v>127.73</v>
      </c>
      <c r="M1725">
        <v>34.633000000000003</v>
      </c>
      <c r="N1725">
        <v>144.69999999999999</v>
      </c>
      <c r="O1725">
        <v>34.35</v>
      </c>
    </row>
    <row r="1726" spans="1:15" x14ac:dyDescent="0.25">
      <c r="A1726" s="142" t="s">
        <v>1376</v>
      </c>
      <c r="B1726" s="142" t="s">
        <v>51</v>
      </c>
      <c r="C1726" s="142" t="s">
        <v>59</v>
      </c>
      <c r="D1726">
        <v>60</v>
      </c>
      <c r="E1726">
        <v>220.01</v>
      </c>
      <c r="F1726">
        <v>1</v>
      </c>
      <c r="G1726" s="142" t="s">
        <v>13</v>
      </c>
      <c r="H1726" s="142" t="s">
        <v>12</v>
      </c>
      <c r="I1726">
        <v>5</v>
      </c>
      <c r="J1726">
        <v>5.01</v>
      </c>
      <c r="K1726" s="142" t="s">
        <v>10</v>
      </c>
      <c r="L1726">
        <v>127.73</v>
      </c>
      <c r="M1726">
        <v>34.633000000000003</v>
      </c>
      <c r="N1726">
        <v>144.69999999999999</v>
      </c>
      <c r="O1726">
        <v>34.35</v>
      </c>
    </row>
    <row r="1727" spans="1:15" x14ac:dyDescent="0.25">
      <c r="A1727" s="142" t="s">
        <v>1396</v>
      </c>
      <c r="B1727" s="142" t="s">
        <v>51</v>
      </c>
      <c r="C1727" s="142" t="s">
        <v>59</v>
      </c>
      <c r="D1727">
        <v>220</v>
      </c>
      <c r="E1727">
        <v>410.01</v>
      </c>
      <c r="F1727">
        <v>1</v>
      </c>
      <c r="G1727" s="142" t="s">
        <v>13</v>
      </c>
      <c r="H1727" s="142" t="s">
        <v>12</v>
      </c>
      <c r="I1727">
        <v>4.4999999999999998E-2</v>
      </c>
      <c r="J1727">
        <v>0.10001</v>
      </c>
      <c r="K1727" s="142" t="s">
        <v>10</v>
      </c>
      <c r="L1727">
        <v>407.38</v>
      </c>
      <c r="M1727">
        <v>1.9712000000000001</v>
      </c>
      <c r="N1727">
        <v>407.21</v>
      </c>
      <c r="O1727">
        <v>1.9701</v>
      </c>
    </row>
    <row r="1728" spans="1:15" x14ac:dyDescent="0.25">
      <c r="A1728" s="142" t="s">
        <v>1397</v>
      </c>
      <c r="B1728" s="142" t="s">
        <v>51</v>
      </c>
      <c r="C1728" s="142" t="s">
        <v>59</v>
      </c>
      <c r="D1728">
        <v>220</v>
      </c>
      <c r="E1728">
        <v>410.01</v>
      </c>
      <c r="F1728">
        <v>1</v>
      </c>
      <c r="G1728" s="142" t="s">
        <v>13</v>
      </c>
      <c r="H1728" s="142" t="s">
        <v>12</v>
      </c>
      <c r="I1728">
        <v>0.1</v>
      </c>
      <c r="J1728">
        <v>1.0000100000000001</v>
      </c>
      <c r="K1728" s="142" t="s">
        <v>10</v>
      </c>
      <c r="L1728">
        <v>396.27</v>
      </c>
      <c r="M1728">
        <v>2.2061000000000002</v>
      </c>
      <c r="N1728">
        <v>396.12</v>
      </c>
      <c r="O1728">
        <v>2.2050000000000001</v>
      </c>
    </row>
    <row r="1729" spans="1:15" x14ac:dyDescent="0.25">
      <c r="A1729" s="142" t="s">
        <v>1398</v>
      </c>
      <c r="B1729" s="142" t="s">
        <v>51</v>
      </c>
      <c r="C1729" s="142" t="s">
        <v>59</v>
      </c>
      <c r="D1729">
        <v>220</v>
      </c>
      <c r="E1729">
        <v>410.01</v>
      </c>
      <c r="F1729">
        <v>1</v>
      </c>
      <c r="G1729" s="142" t="s">
        <v>13</v>
      </c>
      <c r="H1729" s="142" t="s">
        <v>12</v>
      </c>
      <c r="I1729">
        <v>1</v>
      </c>
      <c r="J1729">
        <v>5</v>
      </c>
      <c r="K1729" s="142" t="s">
        <v>10</v>
      </c>
      <c r="L1729">
        <v>120</v>
      </c>
      <c r="M1729">
        <v>35</v>
      </c>
      <c r="N1729">
        <v>148.62</v>
      </c>
      <c r="O1729">
        <v>34.646000000000001</v>
      </c>
    </row>
    <row r="1730" spans="1:15" x14ac:dyDescent="0.25">
      <c r="A1730" s="142" t="s">
        <v>1395</v>
      </c>
      <c r="B1730" s="142" t="s">
        <v>51</v>
      </c>
      <c r="C1730" s="142" t="s">
        <v>59</v>
      </c>
      <c r="D1730">
        <v>220</v>
      </c>
      <c r="E1730">
        <v>410.01</v>
      </c>
      <c r="F1730">
        <v>1</v>
      </c>
      <c r="G1730" s="142" t="s">
        <v>13</v>
      </c>
      <c r="H1730" s="142" t="s">
        <v>12</v>
      </c>
      <c r="I1730">
        <v>5</v>
      </c>
      <c r="J1730">
        <v>5.01</v>
      </c>
      <c r="K1730" s="142" t="s">
        <v>10</v>
      </c>
      <c r="L1730">
        <v>120</v>
      </c>
      <c r="M1730">
        <v>35</v>
      </c>
      <c r="N1730">
        <v>148.62</v>
      </c>
      <c r="O1730">
        <v>34.646000000000001</v>
      </c>
    </row>
    <row r="1731" spans="1:15" x14ac:dyDescent="0.25">
      <c r="A1731" s="142" t="s">
        <v>1831</v>
      </c>
      <c r="B1731" s="142" t="s">
        <v>51</v>
      </c>
      <c r="C1731" s="142" t="s">
        <v>59</v>
      </c>
      <c r="D1731">
        <v>22</v>
      </c>
      <c r="E1731">
        <v>60.000999999999998</v>
      </c>
      <c r="F1731">
        <v>10</v>
      </c>
      <c r="G1731" s="142" t="s">
        <v>13</v>
      </c>
      <c r="H1731" s="142" t="s">
        <v>12</v>
      </c>
      <c r="I1731">
        <v>0.01</v>
      </c>
      <c r="J1731">
        <v>4.5010000000000001E-2</v>
      </c>
      <c r="K1731" s="142" t="s">
        <v>10</v>
      </c>
      <c r="L1731">
        <v>5799</v>
      </c>
      <c r="M1731">
        <v>6.1619E-2</v>
      </c>
      <c r="N1731">
        <v>5799</v>
      </c>
      <c r="O1731">
        <v>6.1254999999999997E-2</v>
      </c>
    </row>
    <row r="1732" spans="1:15" x14ac:dyDescent="0.25">
      <c r="A1732" s="142" t="s">
        <v>1833</v>
      </c>
      <c r="B1732" s="142" t="s">
        <v>51</v>
      </c>
      <c r="C1732" s="142" t="s">
        <v>59</v>
      </c>
      <c r="D1732">
        <v>22</v>
      </c>
      <c r="E1732">
        <v>60.000999999999998</v>
      </c>
      <c r="F1732">
        <v>10</v>
      </c>
      <c r="G1732" s="142" t="s">
        <v>13</v>
      </c>
      <c r="H1732" s="142" t="s">
        <v>12</v>
      </c>
      <c r="I1732">
        <v>4.4999999999999998E-2</v>
      </c>
      <c r="J1732">
        <v>1.0000100000000001</v>
      </c>
      <c r="K1732" s="142" t="s">
        <v>10</v>
      </c>
      <c r="L1732">
        <v>5799.4</v>
      </c>
      <c r="M1732">
        <v>3.3173000000000001E-2</v>
      </c>
      <c r="N1732">
        <v>5799.4</v>
      </c>
      <c r="O1732">
        <v>3.2808999999999998E-2</v>
      </c>
    </row>
    <row r="1733" spans="1:15" x14ac:dyDescent="0.25">
      <c r="A1733" s="142" t="s">
        <v>1372</v>
      </c>
      <c r="B1733" s="142" t="s">
        <v>51</v>
      </c>
      <c r="C1733" s="142" t="s">
        <v>59</v>
      </c>
      <c r="D1733">
        <v>22</v>
      </c>
      <c r="E1733">
        <v>60.000999999999998</v>
      </c>
      <c r="F1733">
        <v>10</v>
      </c>
      <c r="G1733" s="142" t="s">
        <v>13</v>
      </c>
      <c r="H1733" s="142" t="s">
        <v>12</v>
      </c>
      <c r="I1733">
        <v>1</v>
      </c>
      <c r="J1733">
        <v>5.01</v>
      </c>
      <c r="K1733" s="142" t="s">
        <v>10</v>
      </c>
      <c r="L1733">
        <v>5793.5</v>
      </c>
      <c r="M1733">
        <v>0.40619</v>
      </c>
      <c r="N1733">
        <v>5793.5</v>
      </c>
      <c r="O1733">
        <v>0.40583000000000002</v>
      </c>
    </row>
    <row r="1734" spans="1:15" x14ac:dyDescent="0.25">
      <c r="A1734" s="142" t="s">
        <v>1836</v>
      </c>
      <c r="B1734" s="142" t="s">
        <v>51</v>
      </c>
      <c r="C1734" s="142" t="s">
        <v>59</v>
      </c>
      <c r="D1734">
        <v>22</v>
      </c>
      <c r="E1734">
        <v>60.000999999999998</v>
      </c>
      <c r="F1734">
        <v>10</v>
      </c>
      <c r="G1734" s="142" t="s">
        <v>13</v>
      </c>
      <c r="H1734" s="142" t="s">
        <v>12</v>
      </c>
      <c r="I1734">
        <v>5</v>
      </c>
      <c r="J1734">
        <v>10</v>
      </c>
      <c r="K1734" s="142" t="s">
        <v>10</v>
      </c>
      <c r="L1734">
        <v>5698.4</v>
      </c>
      <c r="M1734">
        <v>6.4999000000000002</v>
      </c>
      <c r="N1734">
        <v>5698.4</v>
      </c>
      <c r="O1734">
        <v>6.4988999999999999</v>
      </c>
    </row>
    <row r="1735" spans="1:15" x14ac:dyDescent="0.25">
      <c r="A1735" s="142" t="s">
        <v>1371</v>
      </c>
      <c r="B1735" s="142" t="s">
        <v>51</v>
      </c>
      <c r="C1735" s="142" t="s">
        <v>59</v>
      </c>
      <c r="D1735">
        <v>22</v>
      </c>
      <c r="E1735">
        <v>60.000999999999998</v>
      </c>
      <c r="F1735">
        <v>10</v>
      </c>
      <c r="G1735" s="142" t="s">
        <v>13</v>
      </c>
      <c r="H1735" s="142" t="s">
        <v>12</v>
      </c>
      <c r="I1735">
        <v>10</v>
      </c>
      <c r="J1735">
        <v>10.01</v>
      </c>
      <c r="K1735" s="142" t="s">
        <v>10</v>
      </c>
      <c r="L1735">
        <v>5698.4</v>
      </c>
      <c r="M1735">
        <v>6.4999000000000002</v>
      </c>
      <c r="N1735">
        <v>5698.4</v>
      </c>
      <c r="O1735">
        <v>6.4988999999999999</v>
      </c>
    </row>
    <row r="1736" spans="1:15" x14ac:dyDescent="0.25">
      <c r="A1736" s="142" t="s">
        <v>1382</v>
      </c>
      <c r="B1736" s="142" t="s">
        <v>51</v>
      </c>
      <c r="C1736" s="142" t="s">
        <v>59</v>
      </c>
      <c r="D1736">
        <v>60</v>
      </c>
      <c r="E1736">
        <v>220.01</v>
      </c>
      <c r="F1736">
        <v>10</v>
      </c>
      <c r="G1736" s="142" t="s">
        <v>13</v>
      </c>
      <c r="H1736" s="142" t="s">
        <v>12</v>
      </c>
      <c r="I1736">
        <v>4.4999999999999998E-2</v>
      </c>
      <c r="J1736">
        <v>0.10001</v>
      </c>
      <c r="K1736" s="142" t="s">
        <v>10</v>
      </c>
      <c r="L1736">
        <v>5795.1</v>
      </c>
      <c r="M1736">
        <v>0.11376</v>
      </c>
      <c r="N1736">
        <v>5795.1</v>
      </c>
      <c r="O1736">
        <v>0.11344</v>
      </c>
    </row>
    <row r="1737" spans="1:15" x14ac:dyDescent="0.25">
      <c r="A1737" s="142" t="s">
        <v>1380</v>
      </c>
      <c r="B1737" s="142" t="s">
        <v>51</v>
      </c>
      <c r="C1737" s="142" t="s">
        <v>59</v>
      </c>
      <c r="D1737">
        <v>60</v>
      </c>
      <c r="E1737">
        <v>220.01</v>
      </c>
      <c r="F1737">
        <v>10</v>
      </c>
      <c r="G1737" s="142" t="s">
        <v>13</v>
      </c>
      <c r="H1737" s="142" t="s">
        <v>12</v>
      </c>
      <c r="I1737">
        <v>0.1</v>
      </c>
      <c r="J1737">
        <v>1.0000100000000001</v>
      </c>
      <c r="K1737" s="142" t="s">
        <v>10</v>
      </c>
      <c r="L1737">
        <v>5794.1</v>
      </c>
      <c r="M1737">
        <v>0.13793</v>
      </c>
      <c r="N1737">
        <v>5794.1</v>
      </c>
      <c r="O1737">
        <v>0.13761000000000001</v>
      </c>
    </row>
    <row r="1738" spans="1:15" x14ac:dyDescent="0.25">
      <c r="A1738" s="142" t="s">
        <v>1381</v>
      </c>
      <c r="B1738" s="142" t="s">
        <v>51</v>
      </c>
      <c r="C1738" s="142" t="s">
        <v>59</v>
      </c>
      <c r="D1738">
        <v>60</v>
      </c>
      <c r="E1738">
        <v>220.01</v>
      </c>
      <c r="F1738">
        <v>10</v>
      </c>
      <c r="G1738" s="142" t="s">
        <v>13</v>
      </c>
      <c r="H1738" s="142" t="s">
        <v>12</v>
      </c>
      <c r="I1738">
        <v>1</v>
      </c>
      <c r="J1738">
        <v>5</v>
      </c>
      <c r="K1738" s="142" t="s">
        <v>10</v>
      </c>
      <c r="L1738">
        <v>4885.8999999999996</v>
      </c>
      <c r="M1738">
        <v>21.536999999999999</v>
      </c>
      <c r="N1738">
        <v>4885.8999999999996</v>
      </c>
      <c r="O1738">
        <v>21.536999999999999</v>
      </c>
    </row>
    <row r="1739" spans="1:15" x14ac:dyDescent="0.25">
      <c r="A1739" s="142" t="s">
        <v>1379</v>
      </c>
      <c r="B1739" s="142" t="s">
        <v>51</v>
      </c>
      <c r="C1739" s="142" t="s">
        <v>59</v>
      </c>
      <c r="D1739">
        <v>60</v>
      </c>
      <c r="E1739">
        <v>220.01</v>
      </c>
      <c r="F1739">
        <v>10</v>
      </c>
      <c r="G1739" s="142" t="s">
        <v>13</v>
      </c>
      <c r="H1739" s="142" t="s">
        <v>12</v>
      </c>
      <c r="I1739">
        <v>5</v>
      </c>
      <c r="J1739">
        <v>5.01</v>
      </c>
      <c r="K1739" s="142" t="s">
        <v>10</v>
      </c>
      <c r="L1739">
        <v>4885.8999999999996</v>
      </c>
      <c r="M1739">
        <v>21.536999999999999</v>
      </c>
      <c r="N1739">
        <v>4885.8999999999996</v>
      </c>
      <c r="O1739">
        <v>21.536999999999999</v>
      </c>
    </row>
    <row r="1740" spans="1:15" x14ac:dyDescent="0.25">
      <c r="A1740" s="142" t="s">
        <v>1843</v>
      </c>
      <c r="B1740" s="142" t="s">
        <v>51</v>
      </c>
      <c r="C1740" s="142" t="s">
        <v>59</v>
      </c>
      <c r="D1740">
        <v>220</v>
      </c>
      <c r="E1740">
        <v>410.01</v>
      </c>
      <c r="F1740">
        <v>10</v>
      </c>
      <c r="G1740" s="142" t="s">
        <v>13</v>
      </c>
      <c r="H1740" s="142" t="s">
        <v>12</v>
      </c>
      <c r="I1740">
        <v>4.4999999999999998E-2</v>
      </c>
      <c r="J1740">
        <v>0.10001</v>
      </c>
      <c r="K1740" s="142" t="s">
        <v>10</v>
      </c>
      <c r="L1740">
        <v>5755.8</v>
      </c>
      <c r="M1740">
        <v>0.34672999999999998</v>
      </c>
      <c r="N1740">
        <v>5755.9</v>
      </c>
      <c r="O1740">
        <v>0.34526000000000001</v>
      </c>
    </row>
    <row r="1741" spans="1:15" x14ac:dyDescent="0.25">
      <c r="A1741" s="142" t="s">
        <v>1399</v>
      </c>
      <c r="B1741" s="142" t="s">
        <v>51</v>
      </c>
      <c r="C1741" s="142" t="s">
        <v>59</v>
      </c>
      <c r="D1741">
        <v>220</v>
      </c>
      <c r="E1741">
        <v>410.01</v>
      </c>
      <c r="F1741">
        <v>10</v>
      </c>
      <c r="G1741" s="142" t="s">
        <v>13</v>
      </c>
      <c r="H1741" s="142" t="s">
        <v>12</v>
      </c>
      <c r="I1741">
        <v>0.1</v>
      </c>
      <c r="J1741">
        <v>1.0000100000000001</v>
      </c>
      <c r="K1741" s="142" t="s">
        <v>10</v>
      </c>
      <c r="L1741">
        <v>5747.7</v>
      </c>
      <c r="M1741">
        <v>0.41071000000000002</v>
      </c>
      <c r="N1741">
        <v>5747.8</v>
      </c>
      <c r="O1741">
        <v>0.40925</v>
      </c>
    </row>
    <row r="1742" spans="1:15" x14ac:dyDescent="0.25">
      <c r="A1742" s="142" t="s">
        <v>1400</v>
      </c>
      <c r="B1742" s="142" t="s">
        <v>51</v>
      </c>
      <c r="C1742" s="142" t="s">
        <v>59</v>
      </c>
      <c r="D1742">
        <v>220</v>
      </c>
      <c r="E1742">
        <v>410.01</v>
      </c>
      <c r="F1742">
        <v>10</v>
      </c>
      <c r="G1742" s="142" t="s">
        <v>13</v>
      </c>
      <c r="H1742" s="142" t="s">
        <v>12</v>
      </c>
      <c r="I1742">
        <v>1</v>
      </c>
      <c r="J1742">
        <v>5</v>
      </c>
      <c r="K1742" s="142" t="s">
        <v>10</v>
      </c>
      <c r="L1742">
        <v>2974.4</v>
      </c>
      <c r="M1742">
        <v>30.478999999999999</v>
      </c>
      <c r="N1742">
        <v>2973.8</v>
      </c>
      <c r="O1742">
        <v>30.478999999999999</v>
      </c>
    </row>
    <row r="1743" spans="1:15" x14ac:dyDescent="0.25">
      <c r="A1743" s="142" t="s">
        <v>1401</v>
      </c>
      <c r="B1743" s="142" t="s">
        <v>51</v>
      </c>
      <c r="C1743" s="142" t="s">
        <v>59</v>
      </c>
      <c r="D1743">
        <v>220</v>
      </c>
      <c r="E1743">
        <v>410.01</v>
      </c>
      <c r="F1743">
        <v>10</v>
      </c>
      <c r="G1743" s="142" t="s">
        <v>13</v>
      </c>
      <c r="H1743" s="142" t="s">
        <v>12</v>
      </c>
      <c r="I1743">
        <v>5</v>
      </c>
      <c r="J1743">
        <v>5.01</v>
      </c>
      <c r="K1743" s="142" t="s">
        <v>10</v>
      </c>
      <c r="L1743">
        <v>2974.4</v>
      </c>
      <c r="M1743">
        <v>30.478999999999999</v>
      </c>
      <c r="N1743">
        <v>2973.8</v>
      </c>
      <c r="O1743">
        <v>30.478999999999999</v>
      </c>
    </row>
    <row r="1744" spans="1:15" x14ac:dyDescent="0.25">
      <c r="A1744" s="142" t="s">
        <v>1386</v>
      </c>
      <c r="B1744" s="142" t="s">
        <v>51</v>
      </c>
      <c r="C1744" s="142" t="s">
        <v>59</v>
      </c>
      <c r="D1744">
        <v>60</v>
      </c>
      <c r="E1744">
        <v>220.01</v>
      </c>
      <c r="F1744">
        <v>100</v>
      </c>
      <c r="G1744" s="142" t="s">
        <v>13</v>
      </c>
      <c r="H1744" s="142" t="s">
        <v>12</v>
      </c>
      <c r="I1744">
        <v>4.4999999999999998E-2</v>
      </c>
      <c r="J1744">
        <v>0.10001</v>
      </c>
      <c r="K1744" s="142" t="s">
        <v>10</v>
      </c>
      <c r="L1744">
        <v>58000</v>
      </c>
      <c r="M1744">
        <v>1.1493E-2</v>
      </c>
      <c r="N1744">
        <v>58000</v>
      </c>
      <c r="O1744">
        <v>1.1365E-2</v>
      </c>
    </row>
    <row r="1745" spans="1:15" x14ac:dyDescent="0.25">
      <c r="A1745" s="142" t="s">
        <v>1385</v>
      </c>
      <c r="B1745" s="142" t="s">
        <v>51</v>
      </c>
      <c r="C1745" s="142" t="s">
        <v>59</v>
      </c>
      <c r="D1745">
        <v>60</v>
      </c>
      <c r="E1745">
        <v>220.01</v>
      </c>
      <c r="F1745">
        <v>100</v>
      </c>
      <c r="G1745" s="142" t="s">
        <v>13</v>
      </c>
      <c r="H1745" s="142" t="s">
        <v>12</v>
      </c>
      <c r="I1745">
        <v>0.1</v>
      </c>
      <c r="J1745">
        <v>1.0000100000000001</v>
      </c>
      <c r="K1745" s="142" t="s">
        <v>10</v>
      </c>
      <c r="L1745">
        <v>58000</v>
      </c>
      <c r="M1745">
        <v>1.392E-2</v>
      </c>
      <c r="N1745">
        <v>58000</v>
      </c>
      <c r="O1745">
        <v>1.3793E-2</v>
      </c>
    </row>
    <row r="1746" spans="1:15" x14ac:dyDescent="0.25">
      <c r="A1746" s="142" t="s">
        <v>1383</v>
      </c>
      <c r="B1746" s="142" t="s">
        <v>51</v>
      </c>
      <c r="C1746" s="142" t="s">
        <v>59</v>
      </c>
      <c r="D1746">
        <v>60</v>
      </c>
      <c r="E1746">
        <v>220.01</v>
      </c>
      <c r="F1746">
        <v>100</v>
      </c>
      <c r="G1746" s="142" t="s">
        <v>13</v>
      </c>
      <c r="H1746" s="142" t="s">
        <v>12</v>
      </c>
      <c r="I1746">
        <v>1</v>
      </c>
      <c r="J1746">
        <v>5</v>
      </c>
      <c r="K1746" s="142" t="s">
        <v>10</v>
      </c>
      <c r="L1746">
        <v>57864</v>
      </c>
      <c r="M1746">
        <v>2.9205000000000001</v>
      </c>
      <c r="N1746">
        <v>57864</v>
      </c>
      <c r="O1746">
        <v>2.9201000000000001</v>
      </c>
    </row>
    <row r="1747" spans="1:15" x14ac:dyDescent="0.25">
      <c r="A1747" s="142" t="s">
        <v>1384</v>
      </c>
      <c r="B1747" s="142" t="s">
        <v>51</v>
      </c>
      <c r="C1747" s="142" t="s">
        <v>59</v>
      </c>
      <c r="D1747">
        <v>60</v>
      </c>
      <c r="E1747">
        <v>220.01</v>
      </c>
      <c r="F1747">
        <v>100</v>
      </c>
      <c r="G1747" s="142" t="s">
        <v>13</v>
      </c>
      <c r="H1747" s="142" t="s">
        <v>12</v>
      </c>
      <c r="I1747">
        <v>5</v>
      </c>
      <c r="J1747">
        <v>5.01</v>
      </c>
      <c r="K1747" s="142" t="s">
        <v>10</v>
      </c>
      <c r="L1747">
        <v>57864</v>
      </c>
      <c r="M1747">
        <v>2.9205000000000001</v>
      </c>
      <c r="N1747">
        <v>57864</v>
      </c>
      <c r="O1747">
        <v>2.9201000000000001</v>
      </c>
    </row>
    <row r="1748" spans="1:15" x14ac:dyDescent="0.25">
      <c r="A1748" s="142" t="s">
        <v>1403</v>
      </c>
      <c r="B1748" s="142" t="s">
        <v>51</v>
      </c>
      <c r="C1748" s="142" t="s">
        <v>59</v>
      </c>
      <c r="D1748">
        <v>220</v>
      </c>
      <c r="E1748">
        <v>410.01</v>
      </c>
      <c r="F1748">
        <v>100</v>
      </c>
      <c r="G1748" s="142" t="s">
        <v>13</v>
      </c>
      <c r="H1748" s="142" t="s">
        <v>12</v>
      </c>
      <c r="I1748">
        <v>4.4999999999999998E-2</v>
      </c>
      <c r="J1748">
        <v>0.10001</v>
      </c>
      <c r="K1748" s="142" t="s">
        <v>10</v>
      </c>
      <c r="L1748">
        <v>57996</v>
      </c>
      <c r="M1748">
        <v>3.551E-2</v>
      </c>
      <c r="N1748">
        <v>57996</v>
      </c>
      <c r="O1748">
        <v>3.4907000000000001E-2</v>
      </c>
    </row>
    <row r="1749" spans="1:15" x14ac:dyDescent="0.25">
      <c r="A1749" s="142" t="s">
        <v>1402</v>
      </c>
      <c r="B1749" s="142" t="s">
        <v>51</v>
      </c>
      <c r="C1749" s="142" t="s">
        <v>59</v>
      </c>
      <c r="D1749">
        <v>220</v>
      </c>
      <c r="E1749">
        <v>410.01</v>
      </c>
      <c r="F1749">
        <v>100</v>
      </c>
      <c r="G1749" s="142" t="s">
        <v>13</v>
      </c>
      <c r="H1749" s="142" t="s">
        <v>12</v>
      </c>
      <c r="I1749">
        <v>0.1</v>
      </c>
      <c r="J1749">
        <v>1.0000100000000001</v>
      </c>
      <c r="K1749" s="142" t="s">
        <v>10</v>
      </c>
      <c r="L1749">
        <v>57995</v>
      </c>
      <c r="M1749">
        <v>4.2063000000000003E-2</v>
      </c>
      <c r="N1749">
        <v>57995</v>
      </c>
      <c r="O1749">
        <v>4.1459999999999997E-2</v>
      </c>
    </row>
    <row r="1750" spans="1:15" x14ac:dyDescent="0.25">
      <c r="A1750" s="142" t="s">
        <v>1844</v>
      </c>
      <c r="B1750" s="142" t="s">
        <v>51</v>
      </c>
      <c r="C1750" s="142" t="s">
        <v>59</v>
      </c>
      <c r="D1750">
        <v>220</v>
      </c>
      <c r="E1750">
        <v>410.01</v>
      </c>
      <c r="F1750">
        <v>100</v>
      </c>
      <c r="G1750" s="142" t="s">
        <v>13</v>
      </c>
      <c r="H1750" s="142" t="s">
        <v>12</v>
      </c>
      <c r="I1750">
        <v>1</v>
      </c>
      <c r="J1750">
        <v>5</v>
      </c>
      <c r="K1750" s="142" t="s">
        <v>10</v>
      </c>
      <c r="L1750">
        <v>57090</v>
      </c>
      <c r="M1750">
        <v>6.4831000000000003</v>
      </c>
      <c r="N1750">
        <v>57090</v>
      </c>
      <c r="O1750">
        <v>6.4816000000000003</v>
      </c>
    </row>
    <row r="1751" spans="1:15" x14ac:dyDescent="0.25">
      <c r="A1751" s="142" t="s">
        <v>1845</v>
      </c>
      <c r="B1751" s="142" t="s">
        <v>51</v>
      </c>
      <c r="C1751" s="142" t="s">
        <v>59</v>
      </c>
      <c r="D1751">
        <v>220</v>
      </c>
      <c r="E1751">
        <v>410.01</v>
      </c>
      <c r="F1751">
        <v>100</v>
      </c>
      <c r="G1751" s="142" t="s">
        <v>13</v>
      </c>
      <c r="H1751" s="142" t="s">
        <v>12</v>
      </c>
      <c r="I1751">
        <v>5</v>
      </c>
      <c r="J1751">
        <v>5.01</v>
      </c>
      <c r="K1751" s="142" t="s">
        <v>10</v>
      </c>
      <c r="L1751">
        <v>57090</v>
      </c>
      <c r="M1751">
        <v>6.4831000000000003</v>
      </c>
      <c r="N1751">
        <v>57090</v>
      </c>
      <c r="O1751">
        <v>6.4816000000000003</v>
      </c>
    </row>
    <row r="1752" spans="1:15" x14ac:dyDescent="0.25">
      <c r="A1752" s="142" t="s">
        <v>1304</v>
      </c>
      <c r="B1752" s="142" t="s">
        <v>51</v>
      </c>
      <c r="C1752" s="142" t="s">
        <v>60</v>
      </c>
      <c r="D1752">
        <v>55</v>
      </c>
      <c r="E1752">
        <v>150.01</v>
      </c>
      <c r="F1752">
        <v>1E-3</v>
      </c>
      <c r="G1752" s="142" t="s">
        <v>13</v>
      </c>
      <c r="H1752" s="142" t="s">
        <v>12</v>
      </c>
      <c r="I1752">
        <v>0.01</v>
      </c>
      <c r="J1752">
        <v>4.4999999999999998E-2</v>
      </c>
      <c r="K1752" s="142" t="s">
        <v>10</v>
      </c>
      <c r="L1752">
        <v>22</v>
      </c>
      <c r="M1752">
        <v>2.8</v>
      </c>
      <c r="N1752">
        <v>4.2301000000000002</v>
      </c>
      <c r="O1752">
        <v>2.8841000000000001</v>
      </c>
    </row>
    <row r="1753" spans="1:15" x14ac:dyDescent="0.25">
      <c r="A1753" s="142" t="s">
        <v>1306</v>
      </c>
      <c r="B1753" s="142" t="s">
        <v>51</v>
      </c>
      <c r="C1753" s="142" t="s">
        <v>60</v>
      </c>
      <c r="D1753">
        <v>55</v>
      </c>
      <c r="E1753">
        <v>150.01</v>
      </c>
      <c r="F1753">
        <v>1E-3</v>
      </c>
      <c r="G1753" s="142" t="s">
        <v>13</v>
      </c>
      <c r="H1753" s="142" t="s">
        <v>12</v>
      </c>
      <c r="I1753">
        <v>4.4999999999999998E-2</v>
      </c>
      <c r="J1753">
        <v>0.1</v>
      </c>
      <c r="K1753" s="142" t="s">
        <v>10</v>
      </c>
      <c r="L1753">
        <v>49</v>
      </c>
      <c r="M1753">
        <v>2.6</v>
      </c>
      <c r="N1753">
        <v>2.0611000000000002</v>
      </c>
      <c r="O1753">
        <v>2.1158000000000001</v>
      </c>
    </row>
    <row r="1754" spans="1:15" x14ac:dyDescent="0.25">
      <c r="A1754" s="142" t="s">
        <v>1309</v>
      </c>
      <c r="B1754" s="142" t="s">
        <v>51</v>
      </c>
      <c r="C1754" s="142" t="s">
        <v>60</v>
      </c>
      <c r="D1754">
        <v>55</v>
      </c>
      <c r="E1754">
        <v>150.01</v>
      </c>
      <c r="F1754">
        <v>1E-3</v>
      </c>
      <c r="G1754" s="142" t="s">
        <v>13</v>
      </c>
      <c r="H1754" s="142" t="s">
        <v>12</v>
      </c>
      <c r="I1754">
        <v>0.1</v>
      </c>
      <c r="J1754">
        <v>1</v>
      </c>
      <c r="K1754" s="142" t="s">
        <v>10</v>
      </c>
      <c r="L1754">
        <v>49</v>
      </c>
      <c r="M1754">
        <v>2.6</v>
      </c>
      <c r="N1754">
        <v>2.0611000000000002</v>
      </c>
      <c r="O1754">
        <v>2.1158000000000001</v>
      </c>
    </row>
    <row r="1755" spans="1:15" x14ac:dyDescent="0.25">
      <c r="A1755" s="142" t="s">
        <v>1305</v>
      </c>
      <c r="B1755" s="142" t="s">
        <v>51</v>
      </c>
      <c r="C1755" s="142" t="s">
        <v>60</v>
      </c>
      <c r="D1755">
        <v>55</v>
      </c>
      <c r="E1755">
        <v>150.01</v>
      </c>
      <c r="F1755">
        <v>1E-3</v>
      </c>
      <c r="G1755" s="142" t="s">
        <v>13</v>
      </c>
      <c r="H1755" s="142" t="s">
        <v>12</v>
      </c>
      <c r="I1755">
        <v>1</v>
      </c>
      <c r="J1755">
        <v>5.01</v>
      </c>
      <c r="K1755" s="142" t="s">
        <v>10</v>
      </c>
      <c r="L1755">
        <v>58</v>
      </c>
      <c r="M1755">
        <v>7.2</v>
      </c>
      <c r="N1755">
        <v>55.853000000000002</v>
      </c>
      <c r="O1755">
        <v>7.2092999999999998</v>
      </c>
    </row>
    <row r="1756" spans="1:15" x14ac:dyDescent="0.25">
      <c r="A1756" s="142" t="s">
        <v>1307</v>
      </c>
      <c r="B1756" s="142" t="s">
        <v>51</v>
      </c>
      <c r="C1756" s="142" t="s">
        <v>60</v>
      </c>
      <c r="D1756">
        <v>55</v>
      </c>
      <c r="E1756">
        <v>150.01</v>
      </c>
      <c r="F1756">
        <v>1E-3</v>
      </c>
      <c r="G1756" s="142" t="s">
        <v>13</v>
      </c>
      <c r="H1756" s="142" t="s">
        <v>12</v>
      </c>
      <c r="I1756">
        <v>5</v>
      </c>
      <c r="J1756">
        <v>10</v>
      </c>
      <c r="K1756" s="142" t="s">
        <v>10</v>
      </c>
      <c r="L1756">
        <v>290</v>
      </c>
      <c r="M1756">
        <v>29</v>
      </c>
      <c r="N1756">
        <v>288.13</v>
      </c>
      <c r="O1756">
        <v>28.936</v>
      </c>
    </row>
    <row r="1757" spans="1:15" x14ac:dyDescent="0.25">
      <c r="A1757" s="142" t="s">
        <v>1308</v>
      </c>
      <c r="B1757" s="142" t="s">
        <v>51</v>
      </c>
      <c r="C1757" s="142" t="s">
        <v>60</v>
      </c>
      <c r="D1757">
        <v>55</v>
      </c>
      <c r="E1757">
        <v>150.01</v>
      </c>
      <c r="F1757">
        <v>1E-3</v>
      </c>
      <c r="G1757" s="142" t="s">
        <v>13</v>
      </c>
      <c r="H1757" s="142" t="s">
        <v>12</v>
      </c>
      <c r="I1757">
        <v>10</v>
      </c>
      <c r="J1757">
        <v>10.01</v>
      </c>
      <c r="K1757" s="142" t="s">
        <v>10</v>
      </c>
      <c r="L1757">
        <v>290</v>
      </c>
      <c r="M1757">
        <v>29</v>
      </c>
      <c r="N1757">
        <v>288.13</v>
      </c>
      <c r="O1757">
        <v>28.936</v>
      </c>
    </row>
    <row r="1758" spans="1:15" x14ac:dyDescent="0.25">
      <c r="A1758" s="142" t="s">
        <v>1310</v>
      </c>
      <c r="B1758" s="142" t="s">
        <v>51</v>
      </c>
      <c r="C1758" s="142" t="s">
        <v>60</v>
      </c>
      <c r="D1758">
        <v>55</v>
      </c>
      <c r="E1758">
        <v>150.01</v>
      </c>
      <c r="F1758">
        <v>0.01</v>
      </c>
      <c r="G1758" s="142" t="s">
        <v>13</v>
      </c>
      <c r="H1758" s="142" t="s">
        <v>12</v>
      </c>
      <c r="I1758">
        <v>0.01</v>
      </c>
      <c r="J1758">
        <v>4.4999999999999998E-2</v>
      </c>
      <c r="K1758" s="142" t="s">
        <v>10</v>
      </c>
      <c r="L1758">
        <v>22</v>
      </c>
      <c r="M1758">
        <v>2.7673000000000001</v>
      </c>
      <c r="N1758">
        <v>4.3733000000000004</v>
      </c>
      <c r="O1758">
        <v>2.8834</v>
      </c>
    </row>
    <row r="1759" spans="1:15" x14ac:dyDescent="0.25">
      <c r="A1759" s="142" t="s">
        <v>1315</v>
      </c>
      <c r="B1759" s="142" t="s">
        <v>51</v>
      </c>
      <c r="C1759" s="142" t="s">
        <v>60</v>
      </c>
      <c r="D1759">
        <v>55</v>
      </c>
      <c r="E1759">
        <v>150.01</v>
      </c>
      <c r="F1759">
        <v>0.01</v>
      </c>
      <c r="G1759" s="142" t="s">
        <v>13</v>
      </c>
      <c r="H1759" s="142" t="s">
        <v>12</v>
      </c>
      <c r="I1759">
        <v>4.4999999999999998E-2</v>
      </c>
      <c r="J1759">
        <v>0.1</v>
      </c>
      <c r="K1759" s="142" t="s">
        <v>10</v>
      </c>
      <c r="L1759">
        <v>49</v>
      </c>
      <c r="M1759">
        <v>2.6</v>
      </c>
      <c r="N1759">
        <v>2.2593000000000001</v>
      </c>
      <c r="O1759">
        <v>2.1147999999999998</v>
      </c>
    </row>
    <row r="1760" spans="1:15" x14ac:dyDescent="0.25">
      <c r="A1760" s="142" t="s">
        <v>1311</v>
      </c>
      <c r="B1760" s="142" t="s">
        <v>51</v>
      </c>
      <c r="C1760" s="142" t="s">
        <v>60</v>
      </c>
      <c r="D1760">
        <v>55</v>
      </c>
      <c r="E1760">
        <v>150.01</v>
      </c>
      <c r="F1760">
        <v>0.01</v>
      </c>
      <c r="G1760" s="142" t="s">
        <v>13</v>
      </c>
      <c r="H1760" s="142" t="s">
        <v>12</v>
      </c>
      <c r="I1760">
        <v>0.1</v>
      </c>
      <c r="J1760">
        <v>1</v>
      </c>
      <c r="K1760" s="142" t="s">
        <v>10</v>
      </c>
      <c r="L1760">
        <v>49</v>
      </c>
      <c r="M1760">
        <v>2.6</v>
      </c>
      <c r="N1760">
        <v>2.2593000000000001</v>
      </c>
      <c r="O1760">
        <v>2.1147999999999998</v>
      </c>
    </row>
    <row r="1761" spans="1:15" x14ac:dyDescent="0.25">
      <c r="A1761" s="142" t="s">
        <v>1313</v>
      </c>
      <c r="B1761" s="142" t="s">
        <v>51</v>
      </c>
      <c r="C1761" s="142" t="s">
        <v>60</v>
      </c>
      <c r="D1761">
        <v>55</v>
      </c>
      <c r="E1761">
        <v>150.01</v>
      </c>
      <c r="F1761">
        <v>0.01</v>
      </c>
      <c r="G1761" s="142" t="s">
        <v>13</v>
      </c>
      <c r="H1761" s="142" t="s">
        <v>12</v>
      </c>
      <c r="I1761">
        <v>1</v>
      </c>
      <c r="J1761">
        <v>5.01</v>
      </c>
      <c r="K1761" s="142" t="s">
        <v>10</v>
      </c>
      <c r="L1761">
        <v>58</v>
      </c>
      <c r="M1761">
        <v>7.2089999999999996</v>
      </c>
      <c r="N1761">
        <v>55.901000000000003</v>
      </c>
      <c r="O1761">
        <v>7.2091000000000003</v>
      </c>
    </row>
    <row r="1762" spans="1:15" x14ac:dyDescent="0.25">
      <c r="A1762" s="142" t="s">
        <v>1314</v>
      </c>
      <c r="B1762" s="142" t="s">
        <v>51</v>
      </c>
      <c r="C1762" s="142" t="s">
        <v>60</v>
      </c>
      <c r="D1762">
        <v>55</v>
      </c>
      <c r="E1762">
        <v>150.01</v>
      </c>
      <c r="F1762">
        <v>0.01</v>
      </c>
      <c r="G1762" s="142" t="s">
        <v>13</v>
      </c>
      <c r="H1762" s="142" t="s">
        <v>12</v>
      </c>
      <c r="I1762">
        <v>5</v>
      </c>
      <c r="J1762">
        <v>10</v>
      </c>
      <c r="K1762" s="142" t="s">
        <v>10</v>
      </c>
      <c r="L1762">
        <v>290</v>
      </c>
      <c r="M1762">
        <v>28.936</v>
      </c>
      <c r="N1762">
        <v>288.14</v>
      </c>
      <c r="O1762">
        <v>28.936</v>
      </c>
    </row>
    <row r="1763" spans="1:15" x14ac:dyDescent="0.25">
      <c r="A1763" s="142" t="s">
        <v>1312</v>
      </c>
      <c r="B1763" s="142" t="s">
        <v>51</v>
      </c>
      <c r="C1763" s="142" t="s">
        <v>60</v>
      </c>
      <c r="D1763">
        <v>55</v>
      </c>
      <c r="E1763">
        <v>150.01</v>
      </c>
      <c r="F1763">
        <v>0.01</v>
      </c>
      <c r="G1763" s="142" t="s">
        <v>13</v>
      </c>
      <c r="H1763" s="142" t="s">
        <v>12</v>
      </c>
      <c r="I1763">
        <v>10</v>
      </c>
      <c r="J1763">
        <v>10.01</v>
      </c>
      <c r="K1763" s="142" t="s">
        <v>10</v>
      </c>
      <c r="L1763">
        <v>290</v>
      </c>
      <c r="M1763">
        <v>28.936</v>
      </c>
      <c r="N1763">
        <v>288.14</v>
      </c>
      <c r="O1763">
        <v>28.936</v>
      </c>
    </row>
    <row r="1764" spans="1:15" x14ac:dyDescent="0.25">
      <c r="A1764" s="142" t="s">
        <v>1333</v>
      </c>
      <c r="B1764" s="142" t="s">
        <v>51</v>
      </c>
      <c r="C1764" s="142" t="s">
        <v>60</v>
      </c>
      <c r="D1764">
        <v>150</v>
      </c>
      <c r="E1764">
        <v>550.01</v>
      </c>
      <c r="F1764">
        <v>0.01</v>
      </c>
      <c r="G1764" s="142" t="s">
        <v>13</v>
      </c>
      <c r="H1764" s="142" t="s">
        <v>12</v>
      </c>
      <c r="I1764">
        <v>4.4999999999999998E-2</v>
      </c>
      <c r="J1764">
        <v>0.10001</v>
      </c>
      <c r="K1764" s="142" t="s">
        <v>10</v>
      </c>
      <c r="L1764">
        <v>59</v>
      </c>
      <c r="M1764">
        <v>2.1</v>
      </c>
      <c r="N1764">
        <v>58.542000000000002</v>
      </c>
      <c r="O1764">
        <v>2.0878999999999999</v>
      </c>
    </row>
    <row r="1765" spans="1:15" x14ac:dyDescent="0.25">
      <c r="A1765" s="142" t="s">
        <v>1336</v>
      </c>
      <c r="B1765" s="142" t="s">
        <v>51</v>
      </c>
      <c r="C1765" s="142" t="s">
        <v>60</v>
      </c>
      <c r="D1765">
        <v>150</v>
      </c>
      <c r="E1765">
        <v>550.01</v>
      </c>
      <c r="F1765">
        <v>0.01</v>
      </c>
      <c r="G1765" s="142" t="s">
        <v>13</v>
      </c>
      <c r="H1765" s="142" t="s">
        <v>12</v>
      </c>
      <c r="I1765">
        <v>0.1</v>
      </c>
      <c r="J1765">
        <v>1.0000100000000001</v>
      </c>
      <c r="K1765" s="142" t="s">
        <v>10</v>
      </c>
      <c r="L1765">
        <v>74</v>
      </c>
      <c r="M1765">
        <v>2.2999999999999998</v>
      </c>
      <c r="N1765">
        <v>73.171000000000006</v>
      </c>
      <c r="O1765">
        <v>2.2881999999999998</v>
      </c>
    </row>
    <row r="1766" spans="1:15" x14ac:dyDescent="0.25">
      <c r="A1766" s="142" t="s">
        <v>1334</v>
      </c>
      <c r="B1766" s="142" t="s">
        <v>51</v>
      </c>
      <c r="C1766" s="142" t="s">
        <v>60</v>
      </c>
      <c r="D1766">
        <v>150</v>
      </c>
      <c r="E1766">
        <v>550.01</v>
      </c>
      <c r="F1766">
        <v>0.01</v>
      </c>
      <c r="G1766" s="142" t="s">
        <v>13</v>
      </c>
      <c r="H1766" s="142" t="s">
        <v>12</v>
      </c>
      <c r="I1766">
        <v>1</v>
      </c>
      <c r="J1766">
        <v>5</v>
      </c>
      <c r="K1766" s="142" t="s">
        <v>10</v>
      </c>
      <c r="L1766">
        <v>120</v>
      </c>
      <c r="M1766">
        <v>35</v>
      </c>
      <c r="N1766">
        <v>115.24</v>
      </c>
      <c r="O1766">
        <v>34.698999999999998</v>
      </c>
    </row>
    <row r="1767" spans="1:15" x14ac:dyDescent="0.25">
      <c r="A1767" s="142" t="s">
        <v>1335</v>
      </c>
      <c r="B1767" s="142" t="s">
        <v>51</v>
      </c>
      <c r="C1767" s="142" t="s">
        <v>60</v>
      </c>
      <c r="D1767">
        <v>150</v>
      </c>
      <c r="E1767">
        <v>550.01</v>
      </c>
      <c r="F1767">
        <v>0.01</v>
      </c>
      <c r="G1767" s="142" t="s">
        <v>13</v>
      </c>
      <c r="H1767" s="142" t="s">
        <v>12</v>
      </c>
      <c r="I1767">
        <v>5</v>
      </c>
      <c r="J1767">
        <v>5.01</v>
      </c>
      <c r="K1767" s="142" t="s">
        <v>10</v>
      </c>
      <c r="L1767">
        <v>120</v>
      </c>
      <c r="M1767">
        <v>35</v>
      </c>
      <c r="N1767">
        <v>115.24</v>
      </c>
      <c r="O1767">
        <v>34.698999999999998</v>
      </c>
    </row>
    <row r="1768" spans="1:15" x14ac:dyDescent="0.25">
      <c r="A1768" s="142" t="s">
        <v>1858</v>
      </c>
      <c r="B1768" s="142" t="s">
        <v>51</v>
      </c>
      <c r="C1768" s="142" t="s">
        <v>60</v>
      </c>
      <c r="D1768">
        <v>550</v>
      </c>
      <c r="E1768">
        <v>1025.01</v>
      </c>
      <c r="F1768">
        <v>0.01</v>
      </c>
      <c r="G1768" s="142" t="s">
        <v>13</v>
      </c>
      <c r="H1768" s="142" t="s">
        <v>12</v>
      </c>
      <c r="I1768">
        <v>4.4999999999999998E-2</v>
      </c>
      <c r="J1768">
        <v>0.10001</v>
      </c>
      <c r="K1768" s="142" t="s">
        <v>10</v>
      </c>
      <c r="L1768">
        <v>210</v>
      </c>
      <c r="M1768">
        <v>2.4</v>
      </c>
      <c r="N1768">
        <v>192.41</v>
      </c>
      <c r="O1768">
        <v>2.4161000000000001</v>
      </c>
    </row>
    <row r="1769" spans="1:15" x14ac:dyDescent="0.25">
      <c r="A1769" s="142" t="s">
        <v>1348</v>
      </c>
      <c r="B1769" s="142" t="s">
        <v>51</v>
      </c>
      <c r="C1769" s="142" t="s">
        <v>60</v>
      </c>
      <c r="D1769">
        <v>550</v>
      </c>
      <c r="E1769">
        <v>1025.01</v>
      </c>
      <c r="F1769">
        <v>0.01</v>
      </c>
      <c r="G1769" s="142" t="s">
        <v>13</v>
      </c>
      <c r="H1769" s="142" t="s">
        <v>12</v>
      </c>
      <c r="I1769">
        <v>0.1</v>
      </c>
      <c r="J1769">
        <v>1</v>
      </c>
      <c r="K1769" s="142" t="s">
        <v>10</v>
      </c>
      <c r="L1769">
        <v>250</v>
      </c>
      <c r="M1769">
        <v>2.6</v>
      </c>
      <c r="N1769">
        <v>210.67</v>
      </c>
      <c r="O1769">
        <v>2.6326000000000001</v>
      </c>
    </row>
    <row r="1770" spans="1:15" x14ac:dyDescent="0.25">
      <c r="A1770" s="142" t="s">
        <v>1860</v>
      </c>
      <c r="B1770" s="142" t="s">
        <v>51</v>
      </c>
      <c r="C1770" s="142" t="s">
        <v>60</v>
      </c>
      <c r="D1770">
        <v>550</v>
      </c>
      <c r="E1770">
        <v>1025.01</v>
      </c>
      <c r="F1770">
        <v>0.01</v>
      </c>
      <c r="G1770" s="142" t="s">
        <v>13</v>
      </c>
      <c r="H1770" s="142" t="s">
        <v>12</v>
      </c>
      <c r="I1770">
        <v>1</v>
      </c>
      <c r="J1770">
        <v>1.0000100000000001</v>
      </c>
      <c r="K1770" s="142" t="s">
        <v>10</v>
      </c>
      <c r="L1770">
        <v>250</v>
      </c>
      <c r="M1770">
        <v>2.6</v>
      </c>
      <c r="N1770">
        <v>210.67</v>
      </c>
      <c r="O1770">
        <v>2.6326000000000001</v>
      </c>
    </row>
    <row r="1771" spans="1:15" x14ac:dyDescent="0.25">
      <c r="A1771" s="142" t="s">
        <v>1846</v>
      </c>
      <c r="B1771" s="142" t="s">
        <v>51</v>
      </c>
      <c r="C1771" s="142" t="s">
        <v>60</v>
      </c>
      <c r="D1771">
        <v>55</v>
      </c>
      <c r="E1771">
        <v>150.01</v>
      </c>
      <c r="F1771">
        <v>0.1</v>
      </c>
      <c r="G1771" s="142" t="s">
        <v>13</v>
      </c>
      <c r="H1771" s="142" t="s">
        <v>12</v>
      </c>
      <c r="I1771">
        <v>0.01</v>
      </c>
      <c r="J1771">
        <v>4.4999999999999998E-2</v>
      </c>
      <c r="K1771" s="142" t="s">
        <v>10</v>
      </c>
      <c r="L1771">
        <v>22</v>
      </c>
      <c r="M1771">
        <v>2.8075999999999999</v>
      </c>
      <c r="N1771">
        <v>17.829000000000001</v>
      </c>
      <c r="O1771">
        <v>2.819</v>
      </c>
    </row>
    <row r="1772" spans="1:15" x14ac:dyDescent="0.25">
      <c r="A1772" s="142" t="s">
        <v>1319</v>
      </c>
      <c r="B1772" s="142" t="s">
        <v>51</v>
      </c>
      <c r="C1772" s="142" t="s">
        <v>60</v>
      </c>
      <c r="D1772">
        <v>55</v>
      </c>
      <c r="E1772">
        <v>150.01</v>
      </c>
      <c r="F1772">
        <v>0.1</v>
      </c>
      <c r="G1772" s="142" t="s">
        <v>13</v>
      </c>
      <c r="H1772" s="142" t="s">
        <v>12</v>
      </c>
      <c r="I1772">
        <v>4.4999999999999998E-2</v>
      </c>
      <c r="J1772">
        <v>0.1</v>
      </c>
      <c r="K1772" s="142" t="s">
        <v>10</v>
      </c>
      <c r="L1772">
        <v>49</v>
      </c>
      <c r="M1772">
        <v>2.6</v>
      </c>
      <c r="N1772">
        <v>20.257000000000001</v>
      </c>
      <c r="O1772">
        <v>2.0293000000000001</v>
      </c>
    </row>
    <row r="1773" spans="1:15" x14ac:dyDescent="0.25">
      <c r="A1773" s="142" t="s">
        <v>1316</v>
      </c>
      <c r="B1773" s="142" t="s">
        <v>51</v>
      </c>
      <c r="C1773" s="142" t="s">
        <v>60</v>
      </c>
      <c r="D1773">
        <v>55</v>
      </c>
      <c r="E1773">
        <v>150.01</v>
      </c>
      <c r="F1773">
        <v>0.1</v>
      </c>
      <c r="G1773" s="142" t="s">
        <v>13</v>
      </c>
      <c r="H1773" s="142" t="s">
        <v>12</v>
      </c>
      <c r="I1773">
        <v>0.1</v>
      </c>
      <c r="J1773">
        <v>1</v>
      </c>
      <c r="K1773" s="142" t="s">
        <v>10</v>
      </c>
      <c r="L1773">
        <v>49</v>
      </c>
      <c r="M1773">
        <v>2.6</v>
      </c>
      <c r="N1773">
        <v>20.257000000000001</v>
      </c>
      <c r="O1773">
        <v>2.0293000000000001</v>
      </c>
    </row>
    <row r="1774" spans="1:15" x14ac:dyDescent="0.25">
      <c r="A1774" s="142" t="s">
        <v>1849</v>
      </c>
      <c r="B1774" s="142" t="s">
        <v>51</v>
      </c>
      <c r="C1774" s="142" t="s">
        <v>60</v>
      </c>
      <c r="D1774">
        <v>55</v>
      </c>
      <c r="E1774">
        <v>150.01</v>
      </c>
      <c r="F1774">
        <v>0.1</v>
      </c>
      <c r="G1774" s="142" t="s">
        <v>13</v>
      </c>
      <c r="H1774" s="142" t="s">
        <v>12</v>
      </c>
      <c r="I1774">
        <v>1</v>
      </c>
      <c r="J1774">
        <v>5.01</v>
      </c>
      <c r="K1774" s="142" t="s">
        <v>10</v>
      </c>
      <c r="L1774">
        <v>60.896000000000001</v>
      </c>
      <c r="M1774">
        <v>7.1858000000000004</v>
      </c>
      <c r="N1774">
        <v>60.843000000000004</v>
      </c>
      <c r="O1774">
        <v>7.1859000000000002</v>
      </c>
    </row>
    <row r="1775" spans="1:15" x14ac:dyDescent="0.25">
      <c r="A1775" s="142" t="s">
        <v>1318</v>
      </c>
      <c r="B1775" s="142" t="s">
        <v>51</v>
      </c>
      <c r="C1775" s="142" t="s">
        <v>60</v>
      </c>
      <c r="D1775">
        <v>55</v>
      </c>
      <c r="E1775">
        <v>150.01</v>
      </c>
      <c r="F1775">
        <v>0.1</v>
      </c>
      <c r="G1775" s="142" t="s">
        <v>13</v>
      </c>
      <c r="H1775" s="142" t="s">
        <v>12</v>
      </c>
      <c r="I1775">
        <v>5</v>
      </c>
      <c r="J1775">
        <v>10</v>
      </c>
      <c r="K1775" s="142" t="s">
        <v>10</v>
      </c>
      <c r="L1775">
        <v>290</v>
      </c>
      <c r="M1775">
        <v>28.931000000000001</v>
      </c>
      <c r="N1775">
        <v>289.39999999999998</v>
      </c>
      <c r="O1775">
        <v>28.93</v>
      </c>
    </row>
    <row r="1776" spans="1:15" x14ac:dyDescent="0.25">
      <c r="A1776" s="142" t="s">
        <v>1317</v>
      </c>
      <c r="B1776" s="142" t="s">
        <v>51</v>
      </c>
      <c r="C1776" s="142" t="s">
        <v>60</v>
      </c>
      <c r="D1776">
        <v>55</v>
      </c>
      <c r="E1776">
        <v>150.01</v>
      </c>
      <c r="F1776">
        <v>0.1</v>
      </c>
      <c r="G1776" s="142" t="s">
        <v>13</v>
      </c>
      <c r="H1776" s="142" t="s">
        <v>12</v>
      </c>
      <c r="I1776">
        <v>10</v>
      </c>
      <c r="J1776">
        <v>10.01</v>
      </c>
      <c r="K1776" s="142" t="s">
        <v>10</v>
      </c>
      <c r="L1776">
        <v>290</v>
      </c>
      <c r="M1776">
        <v>28.931000000000001</v>
      </c>
      <c r="N1776">
        <v>289.39999999999998</v>
      </c>
      <c r="O1776">
        <v>28.93</v>
      </c>
    </row>
    <row r="1777" spans="1:15" x14ac:dyDescent="0.25">
      <c r="A1777" s="142" t="s">
        <v>1853</v>
      </c>
      <c r="B1777" s="142" t="s">
        <v>51</v>
      </c>
      <c r="C1777" s="142" t="s">
        <v>60</v>
      </c>
      <c r="D1777">
        <v>150</v>
      </c>
      <c r="E1777">
        <v>550.01</v>
      </c>
      <c r="F1777">
        <v>0.1</v>
      </c>
      <c r="G1777" s="142" t="s">
        <v>13</v>
      </c>
      <c r="H1777" s="142" t="s">
        <v>12</v>
      </c>
      <c r="I1777">
        <v>4.4999999999999998E-2</v>
      </c>
      <c r="J1777">
        <v>0.10001</v>
      </c>
      <c r="K1777" s="142" t="s">
        <v>10</v>
      </c>
      <c r="L1777">
        <v>62.204999999999998</v>
      </c>
      <c r="M1777">
        <v>2.0941999999999998</v>
      </c>
      <c r="N1777">
        <v>64.156000000000006</v>
      </c>
      <c r="O1777">
        <v>2.0802</v>
      </c>
    </row>
    <row r="1778" spans="1:15" x14ac:dyDescent="0.25">
      <c r="A1778" s="142" t="s">
        <v>1339</v>
      </c>
      <c r="B1778" s="142" t="s">
        <v>51</v>
      </c>
      <c r="C1778" s="142" t="s">
        <v>60</v>
      </c>
      <c r="D1778">
        <v>150</v>
      </c>
      <c r="E1778">
        <v>550.01</v>
      </c>
      <c r="F1778">
        <v>0.1</v>
      </c>
      <c r="G1778" s="142" t="s">
        <v>13</v>
      </c>
      <c r="H1778" s="142" t="s">
        <v>12</v>
      </c>
      <c r="I1778">
        <v>0.1</v>
      </c>
      <c r="J1778">
        <v>1.0000100000000001</v>
      </c>
      <c r="K1778" s="142" t="s">
        <v>10</v>
      </c>
      <c r="L1778">
        <v>76.075999999999993</v>
      </c>
      <c r="M1778">
        <v>2.2961999999999998</v>
      </c>
      <c r="N1778">
        <v>78.162000000000006</v>
      </c>
      <c r="O1778">
        <v>2.2814000000000001</v>
      </c>
    </row>
    <row r="1779" spans="1:15" x14ac:dyDescent="0.25">
      <c r="A1779" s="142" t="s">
        <v>1338</v>
      </c>
      <c r="B1779" s="142" t="s">
        <v>51</v>
      </c>
      <c r="C1779" s="142" t="s">
        <v>60</v>
      </c>
      <c r="D1779">
        <v>150</v>
      </c>
      <c r="E1779">
        <v>550.01</v>
      </c>
      <c r="F1779">
        <v>0.1</v>
      </c>
      <c r="G1779" s="142" t="s">
        <v>13</v>
      </c>
      <c r="H1779" s="142" t="s">
        <v>12</v>
      </c>
      <c r="I1779">
        <v>1</v>
      </c>
      <c r="J1779">
        <v>5</v>
      </c>
      <c r="K1779" s="142" t="s">
        <v>10</v>
      </c>
      <c r="L1779">
        <v>120</v>
      </c>
      <c r="M1779">
        <v>35</v>
      </c>
      <c r="N1779">
        <v>115.76</v>
      </c>
      <c r="O1779">
        <v>34.698</v>
      </c>
    </row>
    <row r="1780" spans="1:15" x14ac:dyDescent="0.25">
      <c r="A1780" s="142" t="s">
        <v>1337</v>
      </c>
      <c r="B1780" s="142" t="s">
        <v>51</v>
      </c>
      <c r="C1780" s="142" t="s">
        <v>60</v>
      </c>
      <c r="D1780">
        <v>150</v>
      </c>
      <c r="E1780">
        <v>550.01</v>
      </c>
      <c r="F1780">
        <v>0.1</v>
      </c>
      <c r="G1780" s="142" t="s">
        <v>13</v>
      </c>
      <c r="H1780" s="142" t="s">
        <v>12</v>
      </c>
      <c r="I1780">
        <v>5</v>
      </c>
      <c r="J1780">
        <v>5.01</v>
      </c>
      <c r="K1780" s="142" t="s">
        <v>10</v>
      </c>
      <c r="L1780">
        <v>120</v>
      </c>
      <c r="M1780">
        <v>35</v>
      </c>
      <c r="N1780">
        <v>115.76</v>
      </c>
      <c r="O1780">
        <v>34.698</v>
      </c>
    </row>
    <row r="1781" spans="1:15" x14ac:dyDescent="0.25">
      <c r="A1781" s="142" t="s">
        <v>1349</v>
      </c>
      <c r="B1781" s="142" t="s">
        <v>51</v>
      </c>
      <c r="C1781" s="142" t="s">
        <v>60</v>
      </c>
      <c r="D1781">
        <v>550</v>
      </c>
      <c r="E1781">
        <v>1025.01</v>
      </c>
      <c r="F1781">
        <v>0.1</v>
      </c>
      <c r="G1781" s="142" t="s">
        <v>13</v>
      </c>
      <c r="H1781" s="142" t="s">
        <v>12</v>
      </c>
      <c r="I1781">
        <v>4.4999999999999998E-2</v>
      </c>
      <c r="J1781">
        <v>0.10001</v>
      </c>
      <c r="K1781" s="142" t="s">
        <v>10</v>
      </c>
      <c r="L1781">
        <v>210</v>
      </c>
      <c r="M1781">
        <v>2.4</v>
      </c>
      <c r="N1781">
        <v>193.98</v>
      </c>
      <c r="O1781">
        <v>2.4152</v>
      </c>
    </row>
    <row r="1782" spans="1:15" x14ac:dyDescent="0.25">
      <c r="A1782" s="142" t="s">
        <v>1350</v>
      </c>
      <c r="B1782" s="142" t="s">
        <v>51</v>
      </c>
      <c r="C1782" s="142" t="s">
        <v>60</v>
      </c>
      <c r="D1782">
        <v>550</v>
      </c>
      <c r="E1782">
        <v>1025.01</v>
      </c>
      <c r="F1782">
        <v>0.1</v>
      </c>
      <c r="G1782" s="142" t="s">
        <v>13</v>
      </c>
      <c r="H1782" s="142" t="s">
        <v>12</v>
      </c>
      <c r="I1782">
        <v>0.1</v>
      </c>
      <c r="J1782">
        <v>1</v>
      </c>
      <c r="K1782" s="142" t="s">
        <v>10</v>
      </c>
      <c r="L1782">
        <v>250</v>
      </c>
      <c r="M1782">
        <v>2.6</v>
      </c>
      <c r="N1782">
        <v>212.17</v>
      </c>
      <c r="O1782">
        <v>2.6316999999999999</v>
      </c>
    </row>
    <row r="1783" spans="1:15" x14ac:dyDescent="0.25">
      <c r="A1783" s="142" t="s">
        <v>1861</v>
      </c>
      <c r="B1783" s="142" t="s">
        <v>51</v>
      </c>
      <c r="C1783" s="142" t="s">
        <v>60</v>
      </c>
      <c r="D1783">
        <v>550</v>
      </c>
      <c r="E1783">
        <v>1025.01</v>
      </c>
      <c r="F1783">
        <v>0.1</v>
      </c>
      <c r="G1783" s="142" t="s">
        <v>13</v>
      </c>
      <c r="H1783" s="142" t="s">
        <v>12</v>
      </c>
      <c r="I1783">
        <v>1</v>
      </c>
      <c r="J1783">
        <v>1.0000100000000001</v>
      </c>
      <c r="K1783" s="142" t="s">
        <v>10</v>
      </c>
      <c r="L1783">
        <v>250</v>
      </c>
      <c r="M1783">
        <v>2.6</v>
      </c>
      <c r="N1783">
        <v>212.17</v>
      </c>
      <c r="O1783">
        <v>2.6316999999999999</v>
      </c>
    </row>
    <row r="1784" spans="1:15" x14ac:dyDescent="0.25">
      <c r="A1784" s="142" t="s">
        <v>1322</v>
      </c>
      <c r="B1784" s="142" t="s">
        <v>51</v>
      </c>
      <c r="C1784" s="142" t="s">
        <v>60</v>
      </c>
      <c r="D1784">
        <v>55</v>
      </c>
      <c r="E1784">
        <v>150.01</v>
      </c>
      <c r="F1784">
        <v>1</v>
      </c>
      <c r="G1784" s="142" t="s">
        <v>13</v>
      </c>
      <c r="H1784" s="142" t="s">
        <v>12</v>
      </c>
      <c r="I1784">
        <v>0.01</v>
      </c>
      <c r="J1784">
        <v>4.4999999999999998E-2</v>
      </c>
      <c r="K1784" s="142" t="s">
        <v>10</v>
      </c>
      <c r="L1784">
        <v>530.85</v>
      </c>
      <c r="M1784">
        <v>1.3025</v>
      </c>
      <c r="N1784">
        <v>530.83000000000004</v>
      </c>
      <c r="O1784">
        <v>1.3019000000000001</v>
      </c>
    </row>
    <row r="1785" spans="1:15" x14ac:dyDescent="0.25">
      <c r="A1785" s="142" t="s">
        <v>1320</v>
      </c>
      <c r="B1785" s="142" t="s">
        <v>51</v>
      </c>
      <c r="C1785" s="142" t="s">
        <v>60</v>
      </c>
      <c r="D1785">
        <v>55</v>
      </c>
      <c r="E1785">
        <v>150.01</v>
      </c>
      <c r="F1785">
        <v>1</v>
      </c>
      <c r="G1785" s="142" t="s">
        <v>13</v>
      </c>
      <c r="H1785" s="142" t="s">
        <v>12</v>
      </c>
      <c r="I1785">
        <v>4.4999999999999998E-2</v>
      </c>
      <c r="J1785">
        <v>0.1</v>
      </c>
      <c r="K1785" s="142" t="s">
        <v>10</v>
      </c>
      <c r="L1785">
        <v>551.36</v>
      </c>
      <c r="M1785">
        <v>0.73945000000000005</v>
      </c>
      <c r="N1785">
        <v>551.34</v>
      </c>
      <c r="O1785">
        <v>0.73870000000000002</v>
      </c>
    </row>
    <row r="1786" spans="1:15" x14ac:dyDescent="0.25">
      <c r="A1786" s="142" t="s">
        <v>1847</v>
      </c>
      <c r="B1786" s="142" t="s">
        <v>51</v>
      </c>
      <c r="C1786" s="142" t="s">
        <v>60</v>
      </c>
      <c r="D1786">
        <v>55</v>
      </c>
      <c r="E1786">
        <v>150.01</v>
      </c>
      <c r="F1786">
        <v>1</v>
      </c>
      <c r="G1786" s="142" t="s">
        <v>13</v>
      </c>
      <c r="H1786" s="142" t="s">
        <v>12</v>
      </c>
      <c r="I1786">
        <v>0.1</v>
      </c>
      <c r="J1786">
        <v>1</v>
      </c>
      <c r="K1786" s="142" t="s">
        <v>10</v>
      </c>
      <c r="L1786">
        <v>551.36</v>
      </c>
      <c r="M1786">
        <v>0.73945000000000005</v>
      </c>
      <c r="N1786">
        <v>551.34</v>
      </c>
      <c r="O1786">
        <v>0.73870000000000002</v>
      </c>
    </row>
    <row r="1787" spans="1:15" x14ac:dyDescent="0.25">
      <c r="A1787" s="142" t="s">
        <v>1321</v>
      </c>
      <c r="B1787" s="142" t="s">
        <v>51</v>
      </c>
      <c r="C1787" s="142" t="s">
        <v>60</v>
      </c>
      <c r="D1787">
        <v>55</v>
      </c>
      <c r="E1787">
        <v>150.01</v>
      </c>
      <c r="F1787">
        <v>1</v>
      </c>
      <c r="G1787" s="142" t="s">
        <v>13</v>
      </c>
      <c r="H1787" s="142" t="s">
        <v>12</v>
      </c>
      <c r="I1787">
        <v>1</v>
      </c>
      <c r="J1787">
        <v>5.01</v>
      </c>
      <c r="K1787" s="142" t="s">
        <v>10</v>
      </c>
      <c r="L1787">
        <v>422.41</v>
      </c>
      <c r="M1787">
        <v>5.6955999999999998</v>
      </c>
      <c r="N1787">
        <v>422.3</v>
      </c>
      <c r="O1787">
        <v>5.6954000000000002</v>
      </c>
    </row>
    <row r="1788" spans="1:15" x14ac:dyDescent="0.25">
      <c r="A1788" s="142" t="s">
        <v>1851</v>
      </c>
      <c r="B1788" s="142" t="s">
        <v>51</v>
      </c>
      <c r="C1788" s="142" t="s">
        <v>60</v>
      </c>
      <c r="D1788">
        <v>55</v>
      </c>
      <c r="E1788">
        <v>150.01</v>
      </c>
      <c r="F1788">
        <v>1</v>
      </c>
      <c r="G1788" s="142" t="s">
        <v>13</v>
      </c>
      <c r="H1788" s="142" t="s">
        <v>12</v>
      </c>
      <c r="I1788">
        <v>5</v>
      </c>
      <c r="J1788">
        <v>10</v>
      </c>
      <c r="K1788" s="142" t="s">
        <v>10</v>
      </c>
      <c r="L1788">
        <v>405.34</v>
      </c>
      <c r="M1788">
        <v>28.398</v>
      </c>
      <c r="N1788">
        <v>405.23</v>
      </c>
      <c r="O1788">
        <v>28.396999999999998</v>
      </c>
    </row>
    <row r="1789" spans="1:15" x14ac:dyDescent="0.25">
      <c r="A1789" s="142" t="s">
        <v>1323</v>
      </c>
      <c r="B1789" s="142" t="s">
        <v>51</v>
      </c>
      <c r="C1789" s="142" t="s">
        <v>60</v>
      </c>
      <c r="D1789">
        <v>55</v>
      </c>
      <c r="E1789">
        <v>150.01</v>
      </c>
      <c r="F1789">
        <v>1</v>
      </c>
      <c r="G1789" s="142" t="s">
        <v>13</v>
      </c>
      <c r="H1789" s="142" t="s">
        <v>12</v>
      </c>
      <c r="I1789">
        <v>10</v>
      </c>
      <c r="J1789">
        <v>10.01</v>
      </c>
      <c r="K1789" s="142" t="s">
        <v>10</v>
      </c>
      <c r="L1789">
        <v>405.34</v>
      </c>
      <c r="M1789">
        <v>28.398</v>
      </c>
      <c r="N1789">
        <v>405.23</v>
      </c>
      <c r="O1789">
        <v>28.396999999999998</v>
      </c>
    </row>
    <row r="1790" spans="1:15" x14ac:dyDescent="0.25">
      <c r="A1790" s="142" t="s">
        <v>1341</v>
      </c>
      <c r="B1790" s="142" t="s">
        <v>51</v>
      </c>
      <c r="C1790" s="142" t="s">
        <v>60</v>
      </c>
      <c r="D1790">
        <v>150</v>
      </c>
      <c r="E1790">
        <v>550.01</v>
      </c>
      <c r="F1790">
        <v>1</v>
      </c>
      <c r="G1790" s="142" t="s">
        <v>13</v>
      </c>
      <c r="H1790" s="142" t="s">
        <v>12</v>
      </c>
      <c r="I1790">
        <v>4.4999999999999998E-2</v>
      </c>
      <c r="J1790">
        <v>0.10001</v>
      </c>
      <c r="K1790" s="142" t="s">
        <v>10</v>
      </c>
      <c r="L1790">
        <v>445.36</v>
      </c>
      <c r="M1790">
        <v>1.6256999999999999</v>
      </c>
      <c r="N1790">
        <v>445.1</v>
      </c>
      <c r="O1790">
        <v>1.6253</v>
      </c>
    </row>
    <row r="1791" spans="1:15" x14ac:dyDescent="0.25">
      <c r="A1791" s="142" t="s">
        <v>1856</v>
      </c>
      <c r="B1791" s="142" t="s">
        <v>51</v>
      </c>
      <c r="C1791" s="142" t="s">
        <v>60</v>
      </c>
      <c r="D1791">
        <v>150</v>
      </c>
      <c r="E1791">
        <v>550.01</v>
      </c>
      <c r="F1791">
        <v>1</v>
      </c>
      <c r="G1791" s="142" t="s">
        <v>13</v>
      </c>
      <c r="H1791" s="142" t="s">
        <v>12</v>
      </c>
      <c r="I1791">
        <v>0.1</v>
      </c>
      <c r="J1791">
        <v>1.0000100000000001</v>
      </c>
      <c r="K1791" s="142" t="s">
        <v>10</v>
      </c>
      <c r="L1791">
        <v>437.31</v>
      </c>
      <c r="M1791">
        <v>1.8466</v>
      </c>
      <c r="N1791">
        <v>437.03</v>
      </c>
      <c r="O1791">
        <v>1.8463000000000001</v>
      </c>
    </row>
    <row r="1792" spans="1:15" x14ac:dyDescent="0.25">
      <c r="A1792" s="142" t="s">
        <v>1340</v>
      </c>
      <c r="B1792" s="142" t="s">
        <v>51</v>
      </c>
      <c r="C1792" s="142" t="s">
        <v>60</v>
      </c>
      <c r="D1792">
        <v>150</v>
      </c>
      <c r="E1792">
        <v>550.01</v>
      </c>
      <c r="F1792">
        <v>1</v>
      </c>
      <c r="G1792" s="142" t="s">
        <v>13</v>
      </c>
      <c r="H1792" s="142" t="s">
        <v>12</v>
      </c>
      <c r="I1792">
        <v>1</v>
      </c>
      <c r="J1792">
        <v>5</v>
      </c>
      <c r="K1792" s="142" t="s">
        <v>10</v>
      </c>
      <c r="L1792">
        <v>120</v>
      </c>
      <c r="M1792">
        <v>35</v>
      </c>
      <c r="N1792">
        <v>155.32</v>
      </c>
      <c r="O1792">
        <v>34.642000000000003</v>
      </c>
    </row>
    <row r="1793" spans="1:15" x14ac:dyDescent="0.25">
      <c r="A1793" s="142" t="s">
        <v>1857</v>
      </c>
      <c r="B1793" s="142" t="s">
        <v>51</v>
      </c>
      <c r="C1793" s="142" t="s">
        <v>60</v>
      </c>
      <c r="D1793">
        <v>150</v>
      </c>
      <c r="E1793">
        <v>550.01</v>
      </c>
      <c r="F1793">
        <v>1</v>
      </c>
      <c r="G1793" s="142" t="s">
        <v>13</v>
      </c>
      <c r="H1793" s="142" t="s">
        <v>12</v>
      </c>
      <c r="I1793">
        <v>5</v>
      </c>
      <c r="J1793">
        <v>5.01</v>
      </c>
      <c r="K1793" s="142" t="s">
        <v>10</v>
      </c>
      <c r="L1793">
        <v>120</v>
      </c>
      <c r="M1793">
        <v>35</v>
      </c>
      <c r="N1793">
        <v>155.32</v>
      </c>
      <c r="O1793">
        <v>34.642000000000003</v>
      </c>
    </row>
    <row r="1794" spans="1:15" x14ac:dyDescent="0.25">
      <c r="A1794" s="142" t="s">
        <v>1352</v>
      </c>
      <c r="B1794" s="142" t="s">
        <v>51</v>
      </c>
      <c r="C1794" s="142" t="s">
        <v>60</v>
      </c>
      <c r="D1794">
        <v>550</v>
      </c>
      <c r="E1794">
        <v>1025.01</v>
      </c>
      <c r="F1794">
        <v>1</v>
      </c>
      <c r="G1794" s="142" t="s">
        <v>13</v>
      </c>
      <c r="H1794" s="142" t="s">
        <v>12</v>
      </c>
      <c r="I1794">
        <v>4.4999999999999998E-2</v>
      </c>
      <c r="J1794">
        <v>0.10001</v>
      </c>
      <c r="K1794" s="142" t="s">
        <v>10</v>
      </c>
      <c r="L1794">
        <v>350.89</v>
      </c>
      <c r="M1794">
        <v>2.3235999999999999</v>
      </c>
      <c r="N1794">
        <v>350.74</v>
      </c>
      <c r="O1794">
        <v>2.3224</v>
      </c>
    </row>
    <row r="1795" spans="1:15" x14ac:dyDescent="0.25">
      <c r="A1795" s="142" t="s">
        <v>1351</v>
      </c>
      <c r="B1795" s="142" t="s">
        <v>51</v>
      </c>
      <c r="C1795" s="142" t="s">
        <v>60</v>
      </c>
      <c r="D1795">
        <v>550</v>
      </c>
      <c r="E1795">
        <v>1025.01</v>
      </c>
      <c r="F1795">
        <v>1</v>
      </c>
      <c r="G1795" s="142" t="s">
        <v>13</v>
      </c>
      <c r="H1795" s="142" t="s">
        <v>12</v>
      </c>
      <c r="I1795">
        <v>0.1</v>
      </c>
      <c r="J1795">
        <v>1</v>
      </c>
      <c r="K1795" s="142" t="s">
        <v>10</v>
      </c>
      <c r="L1795">
        <v>357.02</v>
      </c>
      <c r="M1795">
        <v>2.5468999999999999</v>
      </c>
      <c r="N1795">
        <v>356.89</v>
      </c>
      <c r="O1795">
        <v>2.5457999999999998</v>
      </c>
    </row>
    <row r="1796" spans="1:15" x14ac:dyDescent="0.25">
      <c r="A1796" s="142" t="s">
        <v>1862</v>
      </c>
      <c r="B1796" s="142" t="s">
        <v>51</v>
      </c>
      <c r="C1796" s="142" t="s">
        <v>60</v>
      </c>
      <c r="D1796">
        <v>550</v>
      </c>
      <c r="E1796">
        <v>1025.01</v>
      </c>
      <c r="F1796">
        <v>1</v>
      </c>
      <c r="G1796" s="142" t="s">
        <v>13</v>
      </c>
      <c r="H1796" s="142" t="s">
        <v>12</v>
      </c>
      <c r="I1796">
        <v>1</v>
      </c>
      <c r="J1796">
        <v>1.0000100000000001</v>
      </c>
      <c r="K1796" s="142" t="s">
        <v>10</v>
      </c>
      <c r="L1796">
        <v>357.02</v>
      </c>
      <c r="M1796">
        <v>2.5468999999999999</v>
      </c>
      <c r="N1796">
        <v>356.89</v>
      </c>
      <c r="O1796">
        <v>2.5457999999999998</v>
      </c>
    </row>
    <row r="1797" spans="1:15" x14ac:dyDescent="0.25">
      <c r="A1797" s="142" t="s">
        <v>1326</v>
      </c>
      <c r="B1797" s="142" t="s">
        <v>51</v>
      </c>
      <c r="C1797" s="142" t="s">
        <v>60</v>
      </c>
      <c r="D1797">
        <v>55</v>
      </c>
      <c r="E1797">
        <v>150.01</v>
      </c>
      <c r="F1797">
        <v>10</v>
      </c>
      <c r="G1797" s="142" t="s">
        <v>13</v>
      </c>
      <c r="H1797" s="142" t="s">
        <v>12</v>
      </c>
      <c r="I1797">
        <v>0.01</v>
      </c>
      <c r="J1797">
        <v>4.4999999999999998E-2</v>
      </c>
      <c r="K1797" s="142" t="s">
        <v>10</v>
      </c>
      <c r="L1797">
        <v>5794.1</v>
      </c>
      <c r="M1797">
        <v>0.14924000000000001</v>
      </c>
      <c r="N1797">
        <v>5794.1</v>
      </c>
      <c r="O1797">
        <v>0.14885999999999999</v>
      </c>
    </row>
    <row r="1798" spans="1:15" x14ac:dyDescent="0.25">
      <c r="A1798" s="142" t="s">
        <v>1324</v>
      </c>
      <c r="B1798" s="142" t="s">
        <v>51</v>
      </c>
      <c r="C1798" s="142" t="s">
        <v>60</v>
      </c>
      <c r="D1798">
        <v>55</v>
      </c>
      <c r="E1798">
        <v>150.01</v>
      </c>
      <c r="F1798">
        <v>10</v>
      </c>
      <c r="G1798" s="142" t="s">
        <v>13</v>
      </c>
      <c r="H1798" s="142" t="s">
        <v>12</v>
      </c>
      <c r="I1798">
        <v>4.4999999999999998E-2</v>
      </c>
      <c r="J1798">
        <v>0.1</v>
      </c>
      <c r="K1798" s="142" t="s">
        <v>10</v>
      </c>
      <c r="L1798">
        <v>5796.8</v>
      </c>
      <c r="M1798">
        <v>8.0168000000000003E-2</v>
      </c>
      <c r="N1798">
        <v>5796.8</v>
      </c>
      <c r="O1798">
        <v>7.9794000000000004E-2</v>
      </c>
    </row>
    <row r="1799" spans="1:15" x14ac:dyDescent="0.25">
      <c r="A1799" s="142" t="s">
        <v>1325</v>
      </c>
      <c r="B1799" s="142" t="s">
        <v>51</v>
      </c>
      <c r="C1799" s="142" t="s">
        <v>60</v>
      </c>
      <c r="D1799">
        <v>55</v>
      </c>
      <c r="E1799">
        <v>150.01</v>
      </c>
      <c r="F1799">
        <v>10</v>
      </c>
      <c r="G1799" s="142" t="s">
        <v>13</v>
      </c>
      <c r="H1799" s="142" t="s">
        <v>12</v>
      </c>
      <c r="I1799">
        <v>0.1</v>
      </c>
      <c r="J1799">
        <v>1</v>
      </c>
      <c r="K1799" s="142" t="s">
        <v>10</v>
      </c>
      <c r="L1799">
        <v>5796.8</v>
      </c>
      <c r="M1799">
        <v>8.0168000000000003E-2</v>
      </c>
      <c r="N1799">
        <v>5796.8</v>
      </c>
      <c r="O1799">
        <v>7.9794000000000004E-2</v>
      </c>
    </row>
    <row r="1800" spans="1:15" x14ac:dyDescent="0.25">
      <c r="A1800" s="142" t="s">
        <v>1850</v>
      </c>
      <c r="B1800" s="142" t="s">
        <v>51</v>
      </c>
      <c r="C1800" s="142" t="s">
        <v>60</v>
      </c>
      <c r="D1800">
        <v>55</v>
      </c>
      <c r="E1800">
        <v>150.01</v>
      </c>
      <c r="F1800">
        <v>10</v>
      </c>
      <c r="G1800" s="142" t="s">
        <v>13</v>
      </c>
      <c r="H1800" s="142" t="s">
        <v>12</v>
      </c>
      <c r="I1800">
        <v>1</v>
      </c>
      <c r="J1800">
        <v>5.01</v>
      </c>
      <c r="K1800" s="142" t="s">
        <v>10</v>
      </c>
      <c r="L1800">
        <v>5763.9</v>
      </c>
      <c r="M1800">
        <v>0.97779000000000005</v>
      </c>
      <c r="N1800">
        <v>5763.9</v>
      </c>
      <c r="O1800">
        <v>0.97714999999999996</v>
      </c>
    </row>
    <row r="1801" spans="1:15" x14ac:dyDescent="0.25">
      <c r="A1801" s="142" t="s">
        <v>1852</v>
      </c>
      <c r="B1801" s="142" t="s">
        <v>51</v>
      </c>
      <c r="C1801" s="142" t="s">
        <v>60</v>
      </c>
      <c r="D1801">
        <v>55</v>
      </c>
      <c r="E1801">
        <v>150.01</v>
      </c>
      <c r="F1801">
        <v>10</v>
      </c>
      <c r="G1801" s="142" t="s">
        <v>13</v>
      </c>
      <c r="H1801" s="142" t="s">
        <v>12</v>
      </c>
      <c r="I1801">
        <v>5</v>
      </c>
      <c r="J1801">
        <v>10</v>
      </c>
      <c r="K1801" s="142" t="s">
        <v>10</v>
      </c>
      <c r="L1801">
        <v>5330.6</v>
      </c>
      <c r="M1801">
        <v>13.938000000000001</v>
      </c>
      <c r="N1801">
        <v>5330.7</v>
      </c>
      <c r="O1801">
        <v>13.932</v>
      </c>
    </row>
    <row r="1802" spans="1:15" x14ac:dyDescent="0.25">
      <c r="A1802" s="142" t="s">
        <v>1327</v>
      </c>
      <c r="B1802" s="142" t="s">
        <v>51</v>
      </c>
      <c r="C1802" s="142" t="s">
        <v>60</v>
      </c>
      <c r="D1802">
        <v>55</v>
      </c>
      <c r="E1802">
        <v>150.01</v>
      </c>
      <c r="F1802">
        <v>10</v>
      </c>
      <c r="G1802" s="142" t="s">
        <v>13</v>
      </c>
      <c r="H1802" s="142" t="s">
        <v>12</v>
      </c>
      <c r="I1802">
        <v>10</v>
      </c>
      <c r="J1802">
        <v>10.01</v>
      </c>
      <c r="K1802" s="142" t="s">
        <v>10</v>
      </c>
      <c r="L1802">
        <v>5330.6</v>
      </c>
      <c r="M1802">
        <v>13.938000000000001</v>
      </c>
      <c r="N1802">
        <v>5330.7</v>
      </c>
      <c r="O1802">
        <v>13.932</v>
      </c>
    </row>
    <row r="1803" spans="1:15" x14ac:dyDescent="0.25">
      <c r="A1803" s="142" t="s">
        <v>1854</v>
      </c>
      <c r="B1803" s="142" t="s">
        <v>51</v>
      </c>
      <c r="C1803" s="142" t="s">
        <v>60</v>
      </c>
      <c r="D1803">
        <v>150</v>
      </c>
      <c r="E1803">
        <v>550.01</v>
      </c>
      <c r="F1803">
        <v>10</v>
      </c>
      <c r="G1803" s="142" t="s">
        <v>13</v>
      </c>
      <c r="H1803" s="142" t="s">
        <v>12</v>
      </c>
      <c r="I1803">
        <v>4.4999999999999998E-2</v>
      </c>
      <c r="J1803">
        <v>0.10001</v>
      </c>
      <c r="K1803" s="142" t="s">
        <v>10</v>
      </c>
      <c r="L1803">
        <v>5769.8</v>
      </c>
      <c r="M1803">
        <v>0.28151999999999999</v>
      </c>
      <c r="N1803">
        <v>5769.8</v>
      </c>
      <c r="O1803">
        <v>0.28083999999999998</v>
      </c>
    </row>
    <row r="1804" spans="1:15" x14ac:dyDescent="0.25">
      <c r="A1804" s="142" t="s">
        <v>1342</v>
      </c>
      <c r="B1804" s="142" t="s">
        <v>51</v>
      </c>
      <c r="C1804" s="142" t="s">
        <v>60</v>
      </c>
      <c r="D1804">
        <v>150</v>
      </c>
      <c r="E1804">
        <v>550.01</v>
      </c>
      <c r="F1804">
        <v>10</v>
      </c>
      <c r="G1804" s="142" t="s">
        <v>13</v>
      </c>
      <c r="H1804" s="142" t="s">
        <v>12</v>
      </c>
      <c r="I1804">
        <v>0.1</v>
      </c>
      <c r="J1804">
        <v>1.0000100000000001</v>
      </c>
      <c r="K1804" s="142" t="s">
        <v>10</v>
      </c>
      <c r="L1804">
        <v>5764</v>
      </c>
      <c r="M1804">
        <v>0.34064</v>
      </c>
      <c r="N1804">
        <v>5763.9</v>
      </c>
      <c r="O1804">
        <v>0.33996999999999999</v>
      </c>
    </row>
    <row r="1805" spans="1:15" x14ac:dyDescent="0.25">
      <c r="A1805" s="142" t="s">
        <v>1344</v>
      </c>
      <c r="B1805" s="142" t="s">
        <v>51</v>
      </c>
      <c r="C1805" s="142" t="s">
        <v>60</v>
      </c>
      <c r="D1805">
        <v>150</v>
      </c>
      <c r="E1805">
        <v>550.01</v>
      </c>
      <c r="F1805">
        <v>10</v>
      </c>
      <c r="G1805" s="142" t="s">
        <v>13</v>
      </c>
      <c r="H1805" s="142" t="s">
        <v>12</v>
      </c>
      <c r="I1805">
        <v>1</v>
      </c>
      <c r="J1805">
        <v>5</v>
      </c>
      <c r="K1805" s="142" t="s">
        <v>10</v>
      </c>
      <c r="L1805">
        <v>3301.1</v>
      </c>
      <c r="M1805">
        <v>30.465</v>
      </c>
      <c r="N1805">
        <v>3300.8</v>
      </c>
      <c r="O1805">
        <v>30.465</v>
      </c>
    </row>
    <row r="1806" spans="1:15" x14ac:dyDescent="0.25">
      <c r="A1806" s="142" t="s">
        <v>1343</v>
      </c>
      <c r="B1806" s="142" t="s">
        <v>51</v>
      </c>
      <c r="C1806" s="142" t="s">
        <v>60</v>
      </c>
      <c r="D1806">
        <v>150</v>
      </c>
      <c r="E1806">
        <v>550.01</v>
      </c>
      <c r="F1806">
        <v>10</v>
      </c>
      <c r="G1806" s="142" t="s">
        <v>13</v>
      </c>
      <c r="H1806" s="142" t="s">
        <v>12</v>
      </c>
      <c r="I1806">
        <v>5</v>
      </c>
      <c r="J1806">
        <v>5.01</v>
      </c>
      <c r="K1806" s="142" t="s">
        <v>10</v>
      </c>
      <c r="L1806">
        <v>3301.1</v>
      </c>
      <c r="M1806">
        <v>30.465</v>
      </c>
      <c r="N1806">
        <v>3300.8</v>
      </c>
      <c r="O1806">
        <v>30.465</v>
      </c>
    </row>
    <row r="1807" spans="1:15" x14ac:dyDescent="0.25">
      <c r="A1807" s="142" t="s">
        <v>1353</v>
      </c>
      <c r="B1807" s="142" t="s">
        <v>51</v>
      </c>
      <c r="C1807" s="142" t="s">
        <v>60</v>
      </c>
      <c r="D1807">
        <v>550</v>
      </c>
      <c r="E1807">
        <v>1025.01</v>
      </c>
      <c r="F1807">
        <v>10</v>
      </c>
      <c r="G1807" s="142" t="s">
        <v>13</v>
      </c>
      <c r="H1807" s="142" t="s">
        <v>12</v>
      </c>
      <c r="I1807">
        <v>4.4999999999999998E-2</v>
      </c>
      <c r="J1807">
        <v>0.10001</v>
      </c>
      <c r="K1807" s="142" t="s">
        <v>10</v>
      </c>
      <c r="L1807">
        <v>5545.6</v>
      </c>
      <c r="M1807">
        <v>0.82077999999999995</v>
      </c>
      <c r="N1807">
        <v>5546.4</v>
      </c>
      <c r="O1807">
        <v>0.81772</v>
      </c>
    </row>
    <row r="1808" spans="1:15" x14ac:dyDescent="0.25">
      <c r="A1808" s="142" t="s">
        <v>1859</v>
      </c>
      <c r="B1808" s="142" t="s">
        <v>51</v>
      </c>
      <c r="C1808" s="142" t="s">
        <v>60</v>
      </c>
      <c r="D1808">
        <v>550</v>
      </c>
      <c r="E1808">
        <v>1025.01</v>
      </c>
      <c r="F1808">
        <v>10</v>
      </c>
      <c r="G1808" s="142" t="s">
        <v>13</v>
      </c>
      <c r="H1808" s="142" t="s">
        <v>12</v>
      </c>
      <c r="I1808">
        <v>0.1</v>
      </c>
      <c r="J1808">
        <v>1</v>
      </c>
      <c r="K1808" s="142" t="s">
        <v>10</v>
      </c>
      <c r="L1808">
        <v>5503.5</v>
      </c>
      <c r="M1808">
        <v>0.96336999999999995</v>
      </c>
      <c r="N1808">
        <v>5504.3</v>
      </c>
      <c r="O1808">
        <v>0.96038000000000001</v>
      </c>
    </row>
    <row r="1809" spans="1:15" x14ac:dyDescent="0.25">
      <c r="A1809" s="142" t="s">
        <v>1863</v>
      </c>
      <c r="B1809" s="142" t="s">
        <v>51</v>
      </c>
      <c r="C1809" s="142" t="s">
        <v>60</v>
      </c>
      <c r="D1809">
        <v>550</v>
      </c>
      <c r="E1809">
        <v>1025.01</v>
      </c>
      <c r="F1809">
        <v>10</v>
      </c>
      <c r="G1809" s="142" t="s">
        <v>13</v>
      </c>
      <c r="H1809" s="142" t="s">
        <v>12</v>
      </c>
      <c r="I1809">
        <v>1</v>
      </c>
      <c r="J1809">
        <v>1.0000100000000001</v>
      </c>
      <c r="K1809" s="142" t="s">
        <v>10</v>
      </c>
      <c r="L1809">
        <v>5503.5</v>
      </c>
      <c r="M1809">
        <v>0.96336999999999995</v>
      </c>
      <c r="N1809">
        <v>5504.3</v>
      </c>
      <c r="O1809">
        <v>0.96038000000000001</v>
      </c>
    </row>
    <row r="1810" spans="1:15" x14ac:dyDescent="0.25">
      <c r="A1810" s="142" t="s">
        <v>1328</v>
      </c>
      <c r="B1810" s="142" t="s">
        <v>51</v>
      </c>
      <c r="C1810" s="142" t="s">
        <v>60</v>
      </c>
      <c r="D1810">
        <v>55</v>
      </c>
      <c r="E1810">
        <v>150.01</v>
      </c>
      <c r="F1810">
        <v>100</v>
      </c>
      <c r="G1810" s="142" t="s">
        <v>13</v>
      </c>
      <c r="H1810" s="142" t="s">
        <v>12</v>
      </c>
      <c r="I1810">
        <v>0.01</v>
      </c>
      <c r="J1810">
        <v>4.4999999999999998E-2</v>
      </c>
      <c r="K1810" s="142" t="s">
        <v>10</v>
      </c>
      <c r="L1810">
        <v>58000</v>
      </c>
      <c r="M1810">
        <v>1.506E-2</v>
      </c>
      <c r="N1810">
        <v>57992</v>
      </c>
      <c r="O1810">
        <v>1.491E-2</v>
      </c>
    </row>
    <row r="1811" spans="1:15" x14ac:dyDescent="0.25">
      <c r="A1811" s="142" t="s">
        <v>1330</v>
      </c>
      <c r="B1811" s="142" t="s">
        <v>51</v>
      </c>
      <c r="C1811" s="142" t="s">
        <v>60</v>
      </c>
      <c r="D1811">
        <v>55</v>
      </c>
      <c r="E1811">
        <v>150.01</v>
      </c>
      <c r="F1811">
        <v>100</v>
      </c>
      <c r="G1811" s="142" t="s">
        <v>13</v>
      </c>
      <c r="H1811" s="142" t="s">
        <v>12</v>
      </c>
      <c r="I1811">
        <v>4.4999999999999998E-2</v>
      </c>
      <c r="J1811">
        <v>0.1</v>
      </c>
      <c r="K1811" s="142" t="s">
        <v>10</v>
      </c>
      <c r="L1811">
        <v>58000</v>
      </c>
      <c r="M1811">
        <v>8.1364000000000002E-3</v>
      </c>
      <c r="N1811">
        <v>57996</v>
      </c>
      <c r="O1811">
        <v>7.9862000000000006E-3</v>
      </c>
    </row>
    <row r="1812" spans="1:15" x14ac:dyDescent="0.25">
      <c r="A1812" s="142" t="s">
        <v>1848</v>
      </c>
      <c r="B1812" s="142" t="s">
        <v>51</v>
      </c>
      <c r="C1812" s="142" t="s">
        <v>60</v>
      </c>
      <c r="D1812">
        <v>55</v>
      </c>
      <c r="E1812">
        <v>150.01</v>
      </c>
      <c r="F1812">
        <v>100</v>
      </c>
      <c r="G1812" s="142" t="s">
        <v>13</v>
      </c>
      <c r="H1812" s="142" t="s">
        <v>12</v>
      </c>
      <c r="I1812">
        <v>0.1</v>
      </c>
      <c r="J1812">
        <v>1</v>
      </c>
      <c r="K1812" s="142" t="s">
        <v>10</v>
      </c>
      <c r="L1812">
        <v>58000</v>
      </c>
      <c r="M1812">
        <v>8.1364000000000002E-3</v>
      </c>
      <c r="N1812">
        <v>57996</v>
      </c>
      <c r="O1812">
        <v>7.9862000000000006E-3</v>
      </c>
    </row>
    <row r="1813" spans="1:15" x14ac:dyDescent="0.25">
      <c r="A1813" s="142" t="s">
        <v>1332</v>
      </c>
      <c r="B1813" s="142" t="s">
        <v>51</v>
      </c>
      <c r="C1813" s="142" t="s">
        <v>60</v>
      </c>
      <c r="D1813">
        <v>55</v>
      </c>
      <c r="E1813">
        <v>150.01</v>
      </c>
      <c r="F1813">
        <v>100</v>
      </c>
      <c r="G1813" s="142" t="s">
        <v>13</v>
      </c>
      <c r="H1813" s="142" t="s">
        <v>12</v>
      </c>
      <c r="I1813">
        <v>1</v>
      </c>
      <c r="J1813">
        <v>5.01</v>
      </c>
      <c r="K1813" s="142" t="s">
        <v>10</v>
      </c>
      <c r="L1813">
        <v>57996</v>
      </c>
      <c r="M1813">
        <v>9.9046999999999996E-2</v>
      </c>
      <c r="N1813">
        <v>57948</v>
      </c>
      <c r="O1813">
        <v>9.8782999999999996E-2</v>
      </c>
    </row>
    <row r="1814" spans="1:15" x14ac:dyDescent="0.25">
      <c r="A1814" s="142" t="s">
        <v>1329</v>
      </c>
      <c r="B1814" s="142" t="s">
        <v>51</v>
      </c>
      <c r="C1814" s="142" t="s">
        <v>60</v>
      </c>
      <c r="D1814">
        <v>55</v>
      </c>
      <c r="E1814">
        <v>150.01</v>
      </c>
      <c r="F1814">
        <v>100</v>
      </c>
      <c r="G1814" s="142" t="s">
        <v>13</v>
      </c>
      <c r="H1814" s="142" t="s">
        <v>12</v>
      </c>
      <c r="I1814">
        <v>5</v>
      </c>
      <c r="J1814">
        <v>10</v>
      </c>
      <c r="K1814" s="142" t="s">
        <v>10</v>
      </c>
      <c r="L1814">
        <v>57941</v>
      </c>
      <c r="M1814">
        <v>1.6236999999999999</v>
      </c>
      <c r="N1814">
        <v>57264</v>
      </c>
      <c r="O1814">
        <v>1.6205000000000001</v>
      </c>
    </row>
    <row r="1815" spans="1:15" x14ac:dyDescent="0.25">
      <c r="A1815" s="142" t="s">
        <v>1331</v>
      </c>
      <c r="B1815" s="142" t="s">
        <v>51</v>
      </c>
      <c r="C1815" s="142" t="s">
        <v>60</v>
      </c>
      <c r="D1815">
        <v>55</v>
      </c>
      <c r="E1815">
        <v>150.01</v>
      </c>
      <c r="F1815">
        <v>100</v>
      </c>
      <c r="G1815" s="142" t="s">
        <v>13</v>
      </c>
      <c r="H1815" s="142" t="s">
        <v>12</v>
      </c>
      <c r="I1815">
        <v>10</v>
      </c>
      <c r="J1815">
        <v>10.01</v>
      </c>
      <c r="K1815" s="142" t="s">
        <v>10</v>
      </c>
      <c r="L1815">
        <v>57941</v>
      </c>
      <c r="M1815">
        <v>1.6236999999999999</v>
      </c>
      <c r="N1815">
        <v>57264</v>
      </c>
      <c r="O1815">
        <v>1.6205000000000001</v>
      </c>
    </row>
    <row r="1816" spans="1:15" x14ac:dyDescent="0.25">
      <c r="A1816" s="142" t="s">
        <v>1855</v>
      </c>
      <c r="B1816" s="142" t="s">
        <v>51</v>
      </c>
      <c r="C1816" s="142" t="s">
        <v>60</v>
      </c>
      <c r="D1816">
        <v>150</v>
      </c>
      <c r="E1816">
        <v>550.01</v>
      </c>
      <c r="F1816">
        <v>100</v>
      </c>
      <c r="G1816" s="142" t="s">
        <v>13</v>
      </c>
      <c r="H1816" s="142" t="s">
        <v>12</v>
      </c>
      <c r="I1816">
        <v>4.4999999999999998E-2</v>
      </c>
      <c r="J1816">
        <v>0.10001</v>
      </c>
      <c r="K1816" s="142" t="s">
        <v>10</v>
      </c>
      <c r="L1816">
        <v>57997</v>
      </c>
      <c r="M1816">
        <v>2.869E-2</v>
      </c>
      <c r="N1816">
        <v>57997</v>
      </c>
      <c r="O1816">
        <v>2.8410999999999999E-2</v>
      </c>
    </row>
    <row r="1817" spans="1:15" x14ac:dyDescent="0.25">
      <c r="A1817" s="142" t="s">
        <v>1346</v>
      </c>
      <c r="B1817" s="142" t="s">
        <v>51</v>
      </c>
      <c r="C1817" s="142" t="s">
        <v>60</v>
      </c>
      <c r="D1817">
        <v>150</v>
      </c>
      <c r="E1817">
        <v>550.01</v>
      </c>
      <c r="F1817">
        <v>100</v>
      </c>
      <c r="G1817" s="142" t="s">
        <v>13</v>
      </c>
      <c r="H1817" s="142" t="s">
        <v>12</v>
      </c>
      <c r="I1817">
        <v>0.1</v>
      </c>
      <c r="J1817">
        <v>1.0000100000000001</v>
      </c>
      <c r="K1817" s="142" t="s">
        <v>10</v>
      </c>
      <c r="L1817">
        <v>57996</v>
      </c>
      <c r="M1817">
        <v>3.4757999999999997E-2</v>
      </c>
      <c r="N1817">
        <v>57996</v>
      </c>
      <c r="O1817">
        <v>3.4478000000000002E-2</v>
      </c>
    </row>
    <row r="1818" spans="1:15" x14ac:dyDescent="0.25">
      <c r="A1818" s="142" t="s">
        <v>1345</v>
      </c>
      <c r="B1818" s="142" t="s">
        <v>51</v>
      </c>
      <c r="C1818" s="142" t="s">
        <v>60</v>
      </c>
      <c r="D1818">
        <v>150</v>
      </c>
      <c r="E1818">
        <v>550.01</v>
      </c>
      <c r="F1818">
        <v>100</v>
      </c>
      <c r="G1818" s="142" t="s">
        <v>13</v>
      </c>
      <c r="H1818" s="142" t="s">
        <v>12</v>
      </c>
      <c r="I1818">
        <v>1</v>
      </c>
      <c r="J1818">
        <v>5</v>
      </c>
      <c r="K1818" s="142" t="s">
        <v>10</v>
      </c>
      <c r="L1818">
        <v>57174</v>
      </c>
      <c r="M1818">
        <v>7.1298000000000004</v>
      </c>
      <c r="N1818">
        <v>57174</v>
      </c>
      <c r="O1818">
        <v>7.1292999999999997</v>
      </c>
    </row>
    <row r="1819" spans="1:15" x14ac:dyDescent="0.25">
      <c r="A1819" s="142" t="s">
        <v>1347</v>
      </c>
      <c r="B1819" s="142" t="s">
        <v>51</v>
      </c>
      <c r="C1819" s="142" t="s">
        <v>60</v>
      </c>
      <c r="D1819">
        <v>150</v>
      </c>
      <c r="E1819">
        <v>550.01</v>
      </c>
      <c r="F1819">
        <v>100</v>
      </c>
      <c r="G1819" s="142" t="s">
        <v>13</v>
      </c>
      <c r="H1819" s="142" t="s">
        <v>12</v>
      </c>
      <c r="I1819">
        <v>5</v>
      </c>
      <c r="J1819">
        <v>5.01</v>
      </c>
      <c r="K1819" s="142" t="s">
        <v>10</v>
      </c>
      <c r="L1819">
        <v>57174</v>
      </c>
      <c r="M1819">
        <v>7.1298000000000004</v>
      </c>
      <c r="N1819">
        <v>57174</v>
      </c>
      <c r="O1819">
        <v>7.1292999999999997</v>
      </c>
    </row>
    <row r="1820" spans="1:15" x14ac:dyDescent="0.25">
      <c r="A1820" s="142" t="s">
        <v>1354</v>
      </c>
      <c r="B1820" s="142" t="s">
        <v>51</v>
      </c>
      <c r="C1820" s="142" t="s">
        <v>60</v>
      </c>
      <c r="D1820">
        <v>550</v>
      </c>
      <c r="E1820">
        <v>1025.01</v>
      </c>
      <c r="F1820">
        <v>100</v>
      </c>
      <c r="G1820" s="142" t="s">
        <v>13</v>
      </c>
      <c r="H1820" s="142" t="s">
        <v>12</v>
      </c>
      <c r="I1820">
        <v>4.4999999999999998E-2</v>
      </c>
      <c r="J1820">
        <v>0.10001</v>
      </c>
      <c r="K1820" s="142" t="s">
        <v>10</v>
      </c>
      <c r="L1820">
        <v>57972</v>
      </c>
      <c r="M1820">
        <v>8.8607000000000005E-2</v>
      </c>
      <c r="N1820">
        <v>57972</v>
      </c>
      <c r="O1820">
        <v>8.7215000000000001E-2</v>
      </c>
    </row>
    <row r="1821" spans="1:15" x14ac:dyDescent="0.25">
      <c r="A1821" s="142" t="s">
        <v>1143</v>
      </c>
      <c r="B1821" s="142" t="s">
        <v>51</v>
      </c>
      <c r="C1821" s="142" t="s">
        <v>8</v>
      </c>
      <c r="D1821">
        <v>0</v>
      </c>
      <c r="E1821">
        <v>3.3009999999999998E-2</v>
      </c>
      <c r="F1821">
        <v>9.9999999999999995E-7</v>
      </c>
      <c r="G1821" s="142" t="s">
        <v>6</v>
      </c>
      <c r="H1821" s="142" t="s">
        <v>5</v>
      </c>
      <c r="I1821">
        <v>0.01</v>
      </c>
      <c r="J1821">
        <v>4.5010000000000001E-2</v>
      </c>
      <c r="K1821" s="142" t="s">
        <v>10</v>
      </c>
      <c r="L1821">
        <v>25</v>
      </c>
      <c r="M1821">
        <v>1700</v>
      </c>
      <c r="N1821">
        <v>23.181000000000001</v>
      </c>
      <c r="O1821">
        <v>1732</v>
      </c>
    </row>
    <row r="1822" spans="1:15" x14ac:dyDescent="0.25">
      <c r="A1822" s="142" t="s">
        <v>1146</v>
      </c>
      <c r="B1822" s="142" t="s">
        <v>51</v>
      </c>
      <c r="C1822" s="142" t="s">
        <v>8</v>
      </c>
      <c r="D1822">
        <v>0</v>
      </c>
      <c r="E1822">
        <v>3.3009999999999998E-2</v>
      </c>
      <c r="F1822">
        <v>9.9999999999999995E-7</v>
      </c>
      <c r="G1822" s="142" t="s">
        <v>6</v>
      </c>
      <c r="H1822" s="142" t="s">
        <v>5</v>
      </c>
      <c r="I1822">
        <v>4.4999999999999998E-2</v>
      </c>
      <c r="J1822">
        <v>10.00001</v>
      </c>
      <c r="K1822" s="142" t="s">
        <v>10</v>
      </c>
      <c r="L1822">
        <v>24</v>
      </c>
      <c r="M1822">
        <v>1200</v>
      </c>
      <c r="N1822">
        <v>23.184999999999999</v>
      </c>
      <c r="O1822">
        <v>1155.4000000000001</v>
      </c>
    </row>
    <row r="1823" spans="1:15" x14ac:dyDescent="0.25">
      <c r="A1823" s="142" t="s">
        <v>1708</v>
      </c>
      <c r="B1823" s="142" t="s">
        <v>51</v>
      </c>
      <c r="C1823" s="142" t="s">
        <v>8</v>
      </c>
      <c r="D1823">
        <v>0</v>
      </c>
      <c r="E1823">
        <v>3.3009999999999998E-2</v>
      </c>
      <c r="F1823">
        <v>9.9999999999999995E-7</v>
      </c>
      <c r="G1823" s="142" t="s">
        <v>6</v>
      </c>
      <c r="H1823" s="142" t="s">
        <v>5</v>
      </c>
      <c r="I1823">
        <v>10</v>
      </c>
      <c r="J1823">
        <v>20.010000000000002</v>
      </c>
      <c r="K1823" s="142" t="s">
        <v>10</v>
      </c>
      <c r="L1823">
        <v>25</v>
      </c>
      <c r="M1823">
        <v>1700</v>
      </c>
      <c r="N1823">
        <v>23.181000000000001</v>
      </c>
      <c r="O1823">
        <v>1732</v>
      </c>
    </row>
    <row r="1824" spans="1:15" x14ac:dyDescent="0.25">
      <c r="A1824" s="142" t="s">
        <v>1145</v>
      </c>
      <c r="B1824" s="142" t="s">
        <v>51</v>
      </c>
      <c r="C1824" s="142" t="s">
        <v>8</v>
      </c>
      <c r="D1824">
        <v>0</v>
      </c>
      <c r="E1824">
        <v>3.3009999999999998E-2</v>
      </c>
      <c r="F1824">
        <v>9.9999999999999995E-7</v>
      </c>
      <c r="G1824" s="142" t="s">
        <v>6</v>
      </c>
      <c r="H1824" s="142" t="s">
        <v>5</v>
      </c>
      <c r="I1824">
        <v>20</v>
      </c>
      <c r="J1824">
        <v>50.01</v>
      </c>
      <c r="K1824" s="142" t="s">
        <v>10</v>
      </c>
      <c r="L1824">
        <v>24</v>
      </c>
      <c r="M1824">
        <v>2300</v>
      </c>
      <c r="N1824">
        <v>23.565000000000001</v>
      </c>
      <c r="O1824">
        <v>2300.9</v>
      </c>
    </row>
    <row r="1825" spans="1:15" x14ac:dyDescent="0.25">
      <c r="A1825" s="142" t="s">
        <v>1709</v>
      </c>
      <c r="B1825" s="142" t="s">
        <v>51</v>
      </c>
      <c r="C1825" s="142" t="s">
        <v>8</v>
      </c>
      <c r="D1825">
        <v>0</v>
      </c>
      <c r="E1825">
        <v>3.3009999999999998E-2</v>
      </c>
      <c r="F1825">
        <v>9.9999999999999995E-7</v>
      </c>
      <c r="G1825" s="142" t="s">
        <v>6</v>
      </c>
      <c r="H1825" s="142" t="s">
        <v>5</v>
      </c>
      <c r="I1825">
        <v>50</v>
      </c>
      <c r="J1825">
        <v>100</v>
      </c>
      <c r="K1825" s="142" t="s">
        <v>10</v>
      </c>
      <c r="L1825">
        <v>40</v>
      </c>
      <c r="M1825">
        <v>4000</v>
      </c>
      <c r="N1825">
        <v>38.936999999999998</v>
      </c>
      <c r="O1825">
        <v>4027</v>
      </c>
    </row>
    <row r="1826" spans="1:15" x14ac:dyDescent="0.25">
      <c r="A1826" s="142" t="s">
        <v>1144</v>
      </c>
      <c r="B1826" s="142" t="s">
        <v>51</v>
      </c>
      <c r="C1826" s="142" t="s">
        <v>8</v>
      </c>
      <c r="D1826">
        <v>0</v>
      </c>
      <c r="E1826">
        <v>3.3009999999999998E-2</v>
      </c>
      <c r="F1826">
        <v>9.9999999999999995E-7</v>
      </c>
      <c r="G1826" s="142" t="s">
        <v>6</v>
      </c>
      <c r="H1826" s="142" t="s">
        <v>5</v>
      </c>
      <c r="I1826">
        <v>100</v>
      </c>
      <c r="J1826">
        <v>500</v>
      </c>
      <c r="K1826" s="142" t="s">
        <v>10</v>
      </c>
      <c r="L1826">
        <v>89</v>
      </c>
      <c r="M1826">
        <v>11000</v>
      </c>
      <c r="N1826">
        <v>72.86</v>
      </c>
      <c r="O1826">
        <v>11473</v>
      </c>
    </row>
    <row r="1827" spans="1:15" x14ac:dyDescent="0.25">
      <c r="A1827" s="142" t="s">
        <v>1712</v>
      </c>
      <c r="B1827" s="142" t="s">
        <v>51</v>
      </c>
      <c r="C1827" s="142" t="s">
        <v>8</v>
      </c>
      <c r="D1827">
        <v>0</v>
      </c>
      <c r="E1827">
        <v>3.3009999999999998E-2</v>
      </c>
      <c r="F1827">
        <v>9.9999999999999995E-7</v>
      </c>
      <c r="G1827" s="142" t="s">
        <v>6</v>
      </c>
      <c r="H1827" s="142" t="s">
        <v>5</v>
      </c>
      <c r="I1827">
        <v>500</v>
      </c>
      <c r="J1827">
        <v>501</v>
      </c>
      <c r="K1827" s="142" t="s">
        <v>10</v>
      </c>
      <c r="L1827">
        <v>89</v>
      </c>
      <c r="M1827">
        <v>11000</v>
      </c>
      <c r="N1827">
        <v>72.86</v>
      </c>
      <c r="O1827">
        <v>11473</v>
      </c>
    </row>
    <row r="1828" spans="1:15" x14ac:dyDescent="0.25">
      <c r="A1828" s="142" t="s">
        <v>1190</v>
      </c>
      <c r="B1828" s="142" t="s">
        <v>51</v>
      </c>
      <c r="C1828" s="142" t="s">
        <v>8</v>
      </c>
      <c r="D1828">
        <v>3.3000000000000002E-2</v>
      </c>
      <c r="E1828">
        <v>0.33001000000000003</v>
      </c>
      <c r="F1828">
        <v>9.9999999999999995E-7</v>
      </c>
      <c r="G1828" s="142" t="s">
        <v>6</v>
      </c>
      <c r="H1828" s="142" t="s">
        <v>5</v>
      </c>
      <c r="I1828">
        <v>0.01</v>
      </c>
      <c r="J1828">
        <v>4.5010000000000001E-2</v>
      </c>
      <c r="K1828" s="142" t="s">
        <v>10</v>
      </c>
      <c r="L1828">
        <v>33</v>
      </c>
      <c r="M1828">
        <v>550</v>
      </c>
      <c r="N1828">
        <v>23.236000000000001</v>
      </c>
      <c r="O1828">
        <v>577.95000000000005</v>
      </c>
    </row>
    <row r="1829" spans="1:15" x14ac:dyDescent="0.25">
      <c r="A1829" s="142" t="s">
        <v>1191</v>
      </c>
      <c r="B1829" s="142" t="s">
        <v>51</v>
      </c>
      <c r="C1829" s="142" t="s">
        <v>8</v>
      </c>
      <c r="D1829">
        <v>3.3000000000000002E-2</v>
      </c>
      <c r="E1829">
        <v>0.33001000000000003</v>
      </c>
      <c r="F1829">
        <v>9.9999999999999995E-7</v>
      </c>
      <c r="G1829" s="142" t="s">
        <v>6</v>
      </c>
      <c r="H1829" s="142" t="s">
        <v>5</v>
      </c>
      <c r="I1829">
        <v>4.4999999999999998E-2</v>
      </c>
      <c r="J1829">
        <v>10.00001</v>
      </c>
      <c r="K1829" s="142" t="s">
        <v>10</v>
      </c>
      <c r="L1829">
        <v>24</v>
      </c>
      <c r="M1829">
        <v>350</v>
      </c>
      <c r="N1829">
        <v>23.254000000000001</v>
      </c>
      <c r="O1829">
        <v>347.52</v>
      </c>
    </row>
    <row r="1830" spans="1:15" x14ac:dyDescent="0.25">
      <c r="A1830" s="142" t="s">
        <v>1192</v>
      </c>
      <c r="B1830" s="142" t="s">
        <v>51</v>
      </c>
      <c r="C1830" s="142" t="s">
        <v>8</v>
      </c>
      <c r="D1830">
        <v>3.3000000000000002E-2</v>
      </c>
      <c r="E1830">
        <v>0.33001000000000003</v>
      </c>
      <c r="F1830">
        <v>9.9999999999999995E-7</v>
      </c>
      <c r="G1830" s="142" t="s">
        <v>6</v>
      </c>
      <c r="H1830" s="142" t="s">
        <v>5</v>
      </c>
      <c r="I1830">
        <v>10</v>
      </c>
      <c r="J1830">
        <v>20.010000000000002</v>
      </c>
      <c r="K1830" s="142" t="s">
        <v>10</v>
      </c>
      <c r="L1830">
        <v>24</v>
      </c>
      <c r="M1830">
        <v>810</v>
      </c>
      <c r="N1830">
        <v>23.218</v>
      </c>
      <c r="O1830">
        <v>808.67</v>
      </c>
    </row>
    <row r="1831" spans="1:15" x14ac:dyDescent="0.25">
      <c r="A1831" s="142" t="s">
        <v>1194</v>
      </c>
      <c r="B1831" s="142" t="s">
        <v>51</v>
      </c>
      <c r="C1831" s="142" t="s">
        <v>8</v>
      </c>
      <c r="D1831">
        <v>3.3000000000000002E-2</v>
      </c>
      <c r="E1831">
        <v>0.33001000000000003</v>
      </c>
      <c r="F1831">
        <v>9.9999999999999995E-7</v>
      </c>
      <c r="G1831" s="142" t="s">
        <v>6</v>
      </c>
      <c r="H1831" s="142" t="s">
        <v>5</v>
      </c>
      <c r="I1831">
        <v>20</v>
      </c>
      <c r="J1831">
        <v>50.01</v>
      </c>
      <c r="K1831" s="142" t="s">
        <v>10</v>
      </c>
      <c r="L1831">
        <v>47</v>
      </c>
      <c r="M1831">
        <v>1200</v>
      </c>
      <c r="N1831">
        <v>46.389000000000003</v>
      </c>
      <c r="O1831">
        <v>1155.4000000000001</v>
      </c>
    </row>
    <row r="1832" spans="1:15" x14ac:dyDescent="0.25">
      <c r="A1832" s="142" t="s">
        <v>1193</v>
      </c>
      <c r="B1832" s="142" t="s">
        <v>51</v>
      </c>
      <c r="C1832" s="142" t="s">
        <v>8</v>
      </c>
      <c r="D1832">
        <v>3.3000000000000002E-2</v>
      </c>
      <c r="E1832">
        <v>0.33001000000000003</v>
      </c>
      <c r="F1832">
        <v>9.9999999999999995E-7</v>
      </c>
      <c r="G1832" s="142" t="s">
        <v>6</v>
      </c>
      <c r="H1832" s="142" t="s">
        <v>5</v>
      </c>
      <c r="I1832">
        <v>50</v>
      </c>
      <c r="J1832">
        <v>100.01</v>
      </c>
      <c r="K1832" s="142" t="s">
        <v>10</v>
      </c>
      <c r="L1832">
        <v>200</v>
      </c>
      <c r="M1832">
        <v>2700</v>
      </c>
      <c r="N1832">
        <v>196.5</v>
      </c>
      <c r="O1832">
        <v>2656.4</v>
      </c>
    </row>
    <row r="1833" spans="1:15" x14ac:dyDescent="0.25">
      <c r="A1833" s="142" t="s">
        <v>1195</v>
      </c>
      <c r="B1833" s="142" t="s">
        <v>51</v>
      </c>
      <c r="C1833" s="142" t="s">
        <v>8</v>
      </c>
      <c r="D1833">
        <v>3.3000000000000002E-2</v>
      </c>
      <c r="E1833">
        <v>0.33001000000000003</v>
      </c>
      <c r="F1833">
        <v>9.9999999999999995E-7</v>
      </c>
      <c r="G1833" s="142" t="s">
        <v>6</v>
      </c>
      <c r="H1833" s="142" t="s">
        <v>5</v>
      </c>
      <c r="I1833">
        <v>100</v>
      </c>
      <c r="J1833">
        <v>500</v>
      </c>
      <c r="K1833" s="142" t="s">
        <v>10</v>
      </c>
      <c r="L1833">
        <v>390</v>
      </c>
      <c r="M1833">
        <v>5800</v>
      </c>
      <c r="N1833">
        <v>381.75</v>
      </c>
      <c r="O1833">
        <v>5779.4</v>
      </c>
    </row>
    <row r="1834" spans="1:15" x14ac:dyDescent="0.25">
      <c r="A1834" s="142" t="s">
        <v>1196</v>
      </c>
      <c r="B1834" s="142" t="s">
        <v>51</v>
      </c>
      <c r="C1834" s="142" t="s">
        <v>8</v>
      </c>
      <c r="D1834">
        <v>3.3000000000000002E-2</v>
      </c>
      <c r="E1834">
        <v>0.33001000000000003</v>
      </c>
      <c r="F1834">
        <v>9.9999999999999995E-7</v>
      </c>
      <c r="G1834" s="142" t="s">
        <v>6</v>
      </c>
      <c r="H1834" s="142" t="s">
        <v>5</v>
      </c>
      <c r="I1834">
        <v>500</v>
      </c>
      <c r="J1834">
        <v>501</v>
      </c>
      <c r="K1834" s="142" t="s">
        <v>10</v>
      </c>
      <c r="L1834">
        <v>390</v>
      </c>
      <c r="M1834">
        <v>5800</v>
      </c>
      <c r="N1834">
        <v>381.75</v>
      </c>
      <c r="O1834">
        <v>5779.4</v>
      </c>
    </row>
    <row r="1835" spans="1:15" x14ac:dyDescent="0.25">
      <c r="A1835" s="142" t="s">
        <v>1151</v>
      </c>
      <c r="B1835" s="142" t="s">
        <v>51</v>
      </c>
      <c r="C1835" s="142" t="s">
        <v>8</v>
      </c>
      <c r="D1835">
        <v>0</v>
      </c>
      <c r="E1835">
        <v>3.3009999999999998E-2</v>
      </c>
      <c r="F1835">
        <v>1.0000000000000001E-5</v>
      </c>
      <c r="G1835" s="142" t="s">
        <v>6</v>
      </c>
      <c r="H1835" s="142" t="s">
        <v>5</v>
      </c>
      <c r="I1835">
        <v>0.01</v>
      </c>
      <c r="J1835">
        <v>4.5010000000000001E-2</v>
      </c>
      <c r="K1835" s="142" t="s">
        <v>10</v>
      </c>
      <c r="L1835">
        <v>25</v>
      </c>
      <c r="M1835">
        <v>1718.2</v>
      </c>
      <c r="N1835">
        <v>23.853999999999999</v>
      </c>
      <c r="O1835">
        <v>1717.9</v>
      </c>
    </row>
    <row r="1836" spans="1:15" x14ac:dyDescent="0.25">
      <c r="A1836" s="142" t="s">
        <v>2172</v>
      </c>
      <c r="B1836" s="142" t="s">
        <v>51</v>
      </c>
      <c r="C1836" s="142" t="s">
        <v>8</v>
      </c>
      <c r="D1836">
        <v>0</v>
      </c>
      <c r="E1836">
        <v>3.3009999999999998E-2</v>
      </c>
      <c r="F1836">
        <v>1.0000000000000001E-5</v>
      </c>
      <c r="G1836" s="142" t="s">
        <v>6</v>
      </c>
      <c r="H1836" s="142" t="s">
        <v>5</v>
      </c>
      <c r="I1836">
        <v>4.4999999999999998E-2</v>
      </c>
      <c r="J1836">
        <v>10.00001</v>
      </c>
      <c r="K1836" s="142" t="s">
        <v>10</v>
      </c>
      <c r="L1836">
        <v>24</v>
      </c>
      <c r="M1836">
        <v>1143.4000000000001</v>
      </c>
      <c r="N1836">
        <v>23.87</v>
      </c>
      <c r="O1836">
        <v>1142.8</v>
      </c>
    </row>
    <row r="1837" spans="1:15" x14ac:dyDescent="0.25">
      <c r="A1837" s="142" t="s">
        <v>1148</v>
      </c>
      <c r="B1837" s="142" t="s">
        <v>51</v>
      </c>
      <c r="C1837" s="142" t="s">
        <v>8</v>
      </c>
      <c r="D1837">
        <v>0</v>
      </c>
      <c r="E1837">
        <v>3.3009999999999998E-2</v>
      </c>
      <c r="F1837">
        <v>1.0000000000000001E-5</v>
      </c>
      <c r="G1837" s="142" t="s">
        <v>6</v>
      </c>
      <c r="H1837" s="142" t="s">
        <v>5</v>
      </c>
      <c r="I1837">
        <v>10</v>
      </c>
      <c r="J1837">
        <v>20.010000000000002</v>
      </c>
      <c r="K1837" s="142" t="s">
        <v>10</v>
      </c>
      <c r="L1837">
        <v>25</v>
      </c>
      <c r="M1837">
        <v>1718.2</v>
      </c>
      <c r="N1837">
        <v>23.853999999999999</v>
      </c>
      <c r="O1837">
        <v>1717.9</v>
      </c>
    </row>
    <row r="1838" spans="1:15" x14ac:dyDescent="0.25">
      <c r="A1838" s="142" t="s">
        <v>1150</v>
      </c>
      <c r="B1838" s="142" t="s">
        <v>51</v>
      </c>
      <c r="C1838" s="142" t="s">
        <v>8</v>
      </c>
      <c r="D1838">
        <v>0</v>
      </c>
      <c r="E1838">
        <v>3.3009999999999998E-2</v>
      </c>
      <c r="F1838">
        <v>1.0000000000000001E-5</v>
      </c>
      <c r="G1838" s="142" t="s">
        <v>6</v>
      </c>
      <c r="H1838" s="142" t="s">
        <v>5</v>
      </c>
      <c r="I1838">
        <v>20</v>
      </c>
      <c r="J1838">
        <v>50.01</v>
      </c>
      <c r="K1838" s="142" t="s">
        <v>10</v>
      </c>
      <c r="L1838">
        <v>24.224</v>
      </c>
      <c r="M1838">
        <v>2286.5</v>
      </c>
      <c r="N1838">
        <v>24.216000000000001</v>
      </c>
      <c r="O1838">
        <v>2286.3000000000002</v>
      </c>
    </row>
    <row r="1839" spans="1:15" x14ac:dyDescent="0.25">
      <c r="A1839" s="142" t="s">
        <v>1147</v>
      </c>
      <c r="B1839" s="142" t="s">
        <v>51</v>
      </c>
      <c r="C1839" s="142" t="s">
        <v>8</v>
      </c>
      <c r="D1839">
        <v>0</v>
      </c>
      <c r="E1839">
        <v>3.3009999999999998E-2</v>
      </c>
      <c r="F1839">
        <v>1.0000000000000001E-5</v>
      </c>
      <c r="G1839" s="142" t="s">
        <v>6</v>
      </c>
      <c r="H1839" s="142" t="s">
        <v>5</v>
      </c>
      <c r="I1839">
        <v>50</v>
      </c>
      <c r="J1839">
        <v>100.01</v>
      </c>
      <c r="K1839" s="142" t="s">
        <v>10</v>
      </c>
      <c r="L1839">
        <v>40</v>
      </c>
      <c r="M1839">
        <v>4017.5</v>
      </c>
      <c r="N1839">
        <v>39.332000000000001</v>
      </c>
      <c r="O1839">
        <v>4018</v>
      </c>
    </row>
    <row r="1840" spans="1:15" x14ac:dyDescent="0.25">
      <c r="A1840" s="142" t="s">
        <v>1152</v>
      </c>
      <c r="B1840" s="142" t="s">
        <v>51</v>
      </c>
      <c r="C1840" s="142" t="s">
        <v>8</v>
      </c>
      <c r="D1840">
        <v>0</v>
      </c>
      <c r="E1840">
        <v>3.3009999999999998E-2</v>
      </c>
      <c r="F1840">
        <v>1.0000000000000001E-5</v>
      </c>
      <c r="G1840" s="142" t="s">
        <v>6</v>
      </c>
      <c r="H1840" s="142" t="s">
        <v>5</v>
      </c>
      <c r="I1840">
        <v>100</v>
      </c>
      <c r="J1840">
        <v>500</v>
      </c>
      <c r="K1840" s="142" t="s">
        <v>10</v>
      </c>
      <c r="L1840">
        <v>89</v>
      </c>
      <c r="M1840">
        <v>11468</v>
      </c>
      <c r="N1840">
        <v>73.063000000000002</v>
      </c>
      <c r="O1840">
        <v>11468</v>
      </c>
    </row>
    <row r="1841" spans="1:15" x14ac:dyDescent="0.25">
      <c r="A1841" s="142" t="s">
        <v>1149</v>
      </c>
      <c r="B1841" s="142" t="s">
        <v>51</v>
      </c>
      <c r="C1841" s="142" t="s">
        <v>8</v>
      </c>
      <c r="D1841">
        <v>0</v>
      </c>
      <c r="E1841">
        <v>3.3009999999999998E-2</v>
      </c>
      <c r="F1841">
        <v>1.0000000000000001E-5</v>
      </c>
      <c r="G1841" s="142" t="s">
        <v>6</v>
      </c>
      <c r="H1841" s="142" t="s">
        <v>5</v>
      </c>
      <c r="I1841">
        <v>500</v>
      </c>
      <c r="J1841">
        <v>501</v>
      </c>
      <c r="K1841" s="142" t="s">
        <v>10</v>
      </c>
      <c r="L1841">
        <v>89</v>
      </c>
      <c r="M1841">
        <v>11468</v>
      </c>
      <c r="N1841">
        <v>73.063000000000002</v>
      </c>
      <c r="O1841">
        <v>11468</v>
      </c>
    </row>
    <row r="1842" spans="1:15" x14ac:dyDescent="0.25">
      <c r="A1842" s="142" t="s">
        <v>1199</v>
      </c>
      <c r="B1842" s="142" t="s">
        <v>51</v>
      </c>
      <c r="C1842" s="142" t="s">
        <v>8</v>
      </c>
      <c r="D1842">
        <v>3.3000000000000002E-2</v>
      </c>
      <c r="E1842">
        <v>0.33001000000000003</v>
      </c>
      <c r="F1842">
        <v>1.0000000000000001E-5</v>
      </c>
      <c r="G1842" s="142" t="s">
        <v>6</v>
      </c>
      <c r="H1842" s="142" t="s">
        <v>5</v>
      </c>
      <c r="I1842">
        <v>0.01</v>
      </c>
      <c r="J1842">
        <v>4.5010000000000001E-2</v>
      </c>
      <c r="K1842" s="142" t="s">
        <v>10</v>
      </c>
      <c r="L1842">
        <v>33</v>
      </c>
      <c r="M1842">
        <v>550.17999999999995</v>
      </c>
      <c r="N1842">
        <v>23.663</v>
      </c>
      <c r="O1842">
        <v>576.89</v>
      </c>
    </row>
    <row r="1843" spans="1:15" x14ac:dyDescent="0.25">
      <c r="A1843" s="142" t="s">
        <v>2181</v>
      </c>
      <c r="B1843" s="142" t="s">
        <v>51</v>
      </c>
      <c r="C1843" s="142" t="s">
        <v>8</v>
      </c>
      <c r="D1843">
        <v>3.3000000000000002E-2</v>
      </c>
      <c r="E1843">
        <v>0.33001000000000003</v>
      </c>
      <c r="F1843">
        <v>1.0000000000000001E-5</v>
      </c>
      <c r="G1843" s="142" t="s">
        <v>6</v>
      </c>
      <c r="H1843" s="142" t="s">
        <v>5</v>
      </c>
      <c r="I1843">
        <v>4.4999999999999998E-2</v>
      </c>
      <c r="J1843">
        <v>10.00001</v>
      </c>
      <c r="K1843" s="142" t="s">
        <v>10</v>
      </c>
      <c r="L1843">
        <v>24</v>
      </c>
      <c r="M1843">
        <v>346.2</v>
      </c>
      <c r="N1843">
        <v>23.771000000000001</v>
      </c>
      <c r="O1843">
        <v>346.32</v>
      </c>
    </row>
    <row r="1844" spans="1:15" x14ac:dyDescent="0.25">
      <c r="A1844" s="142" t="s">
        <v>1202</v>
      </c>
      <c r="B1844" s="142" t="s">
        <v>51</v>
      </c>
      <c r="C1844" s="142" t="s">
        <v>8</v>
      </c>
      <c r="D1844">
        <v>3.3000000000000002E-2</v>
      </c>
      <c r="E1844">
        <v>0.33001000000000003</v>
      </c>
      <c r="F1844">
        <v>1.0000000000000001E-5</v>
      </c>
      <c r="G1844" s="142" t="s">
        <v>6</v>
      </c>
      <c r="H1844" s="142" t="s">
        <v>5</v>
      </c>
      <c r="I1844">
        <v>10</v>
      </c>
      <c r="J1844">
        <v>20.010000000000002</v>
      </c>
      <c r="K1844" s="142" t="s">
        <v>10</v>
      </c>
      <c r="L1844">
        <v>24</v>
      </c>
      <c r="M1844">
        <v>807.65</v>
      </c>
      <c r="N1844">
        <v>23.582999999999998</v>
      </c>
      <c r="O1844">
        <v>807.74</v>
      </c>
    </row>
    <row r="1845" spans="1:15" x14ac:dyDescent="0.25">
      <c r="A1845" s="142" t="s">
        <v>1201</v>
      </c>
      <c r="B1845" s="142" t="s">
        <v>51</v>
      </c>
      <c r="C1845" s="142" t="s">
        <v>8</v>
      </c>
      <c r="D1845">
        <v>3.3000000000000002E-2</v>
      </c>
      <c r="E1845">
        <v>0.33001000000000003</v>
      </c>
      <c r="F1845">
        <v>1.0000000000000001E-5</v>
      </c>
      <c r="G1845" s="142" t="s">
        <v>6</v>
      </c>
      <c r="H1845" s="142" t="s">
        <v>5</v>
      </c>
      <c r="I1845">
        <v>20</v>
      </c>
      <c r="J1845">
        <v>50.01</v>
      </c>
      <c r="K1845" s="142" t="s">
        <v>10</v>
      </c>
      <c r="L1845">
        <v>47</v>
      </c>
      <c r="M1845">
        <v>1154.8</v>
      </c>
      <c r="N1845">
        <v>46.618000000000002</v>
      </c>
      <c r="O1845">
        <v>1154.8</v>
      </c>
    </row>
    <row r="1846" spans="1:15" x14ac:dyDescent="0.25">
      <c r="A1846" s="142" t="s">
        <v>1200</v>
      </c>
      <c r="B1846" s="142" t="s">
        <v>51</v>
      </c>
      <c r="C1846" s="142" t="s">
        <v>8</v>
      </c>
      <c r="D1846">
        <v>3.3000000000000002E-2</v>
      </c>
      <c r="E1846">
        <v>0.33001000000000003</v>
      </c>
      <c r="F1846">
        <v>1.0000000000000001E-5</v>
      </c>
      <c r="G1846" s="142" t="s">
        <v>6</v>
      </c>
      <c r="H1846" s="142" t="s">
        <v>5</v>
      </c>
      <c r="I1846">
        <v>50</v>
      </c>
      <c r="J1846">
        <v>100.01</v>
      </c>
      <c r="K1846" s="142" t="s">
        <v>10</v>
      </c>
      <c r="L1846">
        <v>200</v>
      </c>
      <c r="M1846">
        <v>2656.2</v>
      </c>
      <c r="N1846">
        <v>196.56</v>
      </c>
      <c r="O1846">
        <v>2656.3</v>
      </c>
    </row>
    <row r="1847" spans="1:15" x14ac:dyDescent="0.25">
      <c r="A1847" s="142" t="s">
        <v>1198</v>
      </c>
      <c r="B1847" s="142" t="s">
        <v>51</v>
      </c>
      <c r="C1847" s="142" t="s">
        <v>8</v>
      </c>
      <c r="D1847">
        <v>3.3000000000000002E-2</v>
      </c>
      <c r="E1847">
        <v>0.33001000000000003</v>
      </c>
      <c r="F1847">
        <v>1.0000000000000001E-5</v>
      </c>
      <c r="G1847" s="142" t="s">
        <v>6</v>
      </c>
      <c r="H1847" s="142" t="s">
        <v>5</v>
      </c>
      <c r="I1847">
        <v>100</v>
      </c>
      <c r="J1847">
        <v>500</v>
      </c>
      <c r="K1847" s="142" t="s">
        <v>10</v>
      </c>
      <c r="L1847">
        <v>390</v>
      </c>
      <c r="M1847">
        <v>5779.3</v>
      </c>
      <c r="N1847">
        <v>381.8</v>
      </c>
      <c r="O1847">
        <v>5779.3</v>
      </c>
    </row>
    <row r="1848" spans="1:15" x14ac:dyDescent="0.25">
      <c r="A1848" s="142" t="s">
        <v>1197</v>
      </c>
      <c r="B1848" s="142" t="s">
        <v>51</v>
      </c>
      <c r="C1848" s="142" t="s">
        <v>8</v>
      </c>
      <c r="D1848">
        <v>3.3000000000000002E-2</v>
      </c>
      <c r="E1848">
        <v>0.33001000000000003</v>
      </c>
      <c r="F1848">
        <v>1.0000000000000001E-5</v>
      </c>
      <c r="G1848" s="142" t="s">
        <v>6</v>
      </c>
      <c r="H1848" s="142" t="s">
        <v>5</v>
      </c>
      <c r="I1848">
        <v>500</v>
      </c>
      <c r="J1848">
        <v>501</v>
      </c>
      <c r="K1848" s="142" t="s">
        <v>10</v>
      </c>
      <c r="L1848">
        <v>390</v>
      </c>
      <c r="M1848">
        <v>5779.3</v>
      </c>
      <c r="N1848">
        <v>381.8</v>
      </c>
      <c r="O1848">
        <v>5779.3</v>
      </c>
    </row>
    <row r="1849" spans="1:15" x14ac:dyDescent="0.25">
      <c r="A1849" s="142" t="s">
        <v>1221</v>
      </c>
      <c r="B1849" s="142" t="s">
        <v>51</v>
      </c>
      <c r="C1849" s="142" t="s">
        <v>8</v>
      </c>
      <c r="D1849">
        <v>0.33</v>
      </c>
      <c r="E1849">
        <v>3.3001</v>
      </c>
      <c r="F1849">
        <v>1.0000000000000001E-5</v>
      </c>
      <c r="G1849" s="142" t="s">
        <v>6</v>
      </c>
      <c r="H1849" s="142" t="s">
        <v>4</v>
      </c>
      <c r="I1849">
        <v>0.01</v>
      </c>
      <c r="J1849">
        <v>4.5010000000000001E-2</v>
      </c>
      <c r="K1849" s="142" t="s">
        <v>10</v>
      </c>
      <c r="L1849">
        <v>0.11</v>
      </c>
      <c r="M1849">
        <v>0.56000000000000005</v>
      </c>
      <c r="N1849">
        <v>0.10391</v>
      </c>
      <c r="O1849">
        <v>0.56220999999999999</v>
      </c>
    </row>
    <row r="1850" spans="1:15" x14ac:dyDescent="0.25">
      <c r="A1850" s="142" t="s">
        <v>1219</v>
      </c>
      <c r="B1850" s="142" t="s">
        <v>51</v>
      </c>
      <c r="C1850" s="142" t="s">
        <v>8</v>
      </c>
      <c r="D1850">
        <v>0.33</v>
      </c>
      <c r="E1850">
        <v>3.3001</v>
      </c>
      <c r="F1850">
        <v>1.0000000000000001E-5</v>
      </c>
      <c r="G1850" s="142" t="s">
        <v>6</v>
      </c>
      <c r="H1850" s="142" t="s">
        <v>4</v>
      </c>
      <c r="I1850">
        <v>4.4999999999999998E-2</v>
      </c>
      <c r="J1850">
        <v>10.00001</v>
      </c>
      <c r="K1850" s="142" t="s">
        <v>10</v>
      </c>
      <c r="L1850">
        <v>7.0000000000000007E-2</v>
      </c>
      <c r="M1850">
        <v>0.35</v>
      </c>
      <c r="N1850">
        <v>6.9476999999999997E-2</v>
      </c>
      <c r="O1850">
        <v>0.34755999999999998</v>
      </c>
    </row>
    <row r="1851" spans="1:15" x14ac:dyDescent="0.25">
      <c r="A1851" s="142" t="s">
        <v>1220</v>
      </c>
      <c r="B1851" s="142" t="s">
        <v>51</v>
      </c>
      <c r="C1851" s="142" t="s">
        <v>8</v>
      </c>
      <c r="D1851">
        <v>0.33</v>
      </c>
      <c r="E1851">
        <v>3.3001</v>
      </c>
      <c r="F1851">
        <v>1.0000000000000001E-5</v>
      </c>
      <c r="G1851" s="142" t="s">
        <v>6</v>
      </c>
      <c r="H1851" s="142" t="s">
        <v>4</v>
      </c>
      <c r="I1851">
        <v>10</v>
      </c>
      <c r="J1851">
        <v>20.010000000000002</v>
      </c>
      <c r="K1851" s="142" t="s">
        <v>10</v>
      </c>
      <c r="L1851">
        <v>7.0000000000000007E-2</v>
      </c>
      <c r="M1851">
        <v>0.81</v>
      </c>
      <c r="N1851">
        <v>6.9434999999999997E-2</v>
      </c>
      <c r="O1851">
        <v>0.80878000000000005</v>
      </c>
    </row>
    <row r="1852" spans="1:15" x14ac:dyDescent="0.25">
      <c r="A1852" s="142" t="s">
        <v>1719</v>
      </c>
      <c r="B1852" s="142" t="s">
        <v>51</v>
      </c>
      <c r="C1852" s="142" t="s">
        <v>8</v>
      </c>
      <c r="D1852">
        <v>0.33</v>
      </c>
      <c r="E1852">
        <v>3.3001</v>
      </c>
      <c r="F1852">
        <v>1.0000000000000001E-5</v>
      </c>
      <c r="G1852" s="142" t="s">
        <v>6</v>
      </c>
      <c r="H1852" s="142" t="s">
        <v>4</v>
      </c>
      <c r="I1852">
        <v>20</v>
      </c>
      <c r="J1852">
        <v>50.01</v>
      </c>
      <c r="K1852" s="142" t="s">
        <v>10</v>
      </c>
      <c r="L1852">
        <v>7.0000000000000007E-2</v>
      </c>
      <c r="M1852">
        <v>1.2</v>
      </c>
      <c r="N1852">
        <v>6.9505999999999998E-2</v>
      </c>
      <c r="O1852">
        <v>1.1558999999999999</v>
      </c>
    </row>
    <row r="1853" spans="1:15" x14ac:dyDescent="0.25">
      <c r="A1853" s="142" t="s">
        <v>1721</v>
      </c>
      <c r="B1853" s="142" t="s">
        <v>51</v>
      </c>
      <c r="C1853" s="142" t="s">
        <v>8</v>
      </c>
      <c r="D1853">
        <v>0.33</v>
      </c>
      <c r="E1853">
        <v>3.3001</v>
      </c>
      <c r="F1853">
        <v>1.0000000000000001E-5</v>
      </c>
      <c r="G1853" s="142" t="s">
        <v>6</v>
      </c>
      <c r="H1853" s="142" t="s">
        <v>4</v>
      </c>
      <c r="I1853">
        <v>50</v>
      </c>
      <c r="J1853">
        <v>100.01</v>
      </c>
      <c r="K1853" s="142" t="s">
        <v>10</v>
      </c>
      <c r="L1853">
        <v>0.24</v>
      </c>
      <c r="M1853">
        <v>2.7</v>
      </c>
      <c r="N1853">
        <v>0.23108000000000001</v>
      </c>
      <c r="O1853">
        <v>2.6570999999999998</v>
      </c>
    </row>
    <row r="1854" spans="1:15" x14ac:dyDescent="0.25">
      <c r="A1854" s="142" t="s">
        <v>1223</v>
      </c>
      <c r="B1854" s="142" t="s">
        <v>51</v>
      </c>
      <c r="C1854" s="142" t="s">
        <v>8</v>
      </c>
      <c r="D1854">
        <v>0.33</v>
      </c>
      <c r="E1854">
        <v>3.3001</v>
      </c>
      <c r="F1854">
        <v>1.0000000000000001E-5</v>
      </c>
      <c r="G1854" s="142" t="s">
        <v>6</v>
      </c>
      <c r="H1854" s="142" t="s">
        <v>4</v>
      </c>
      <c r="I1854">
        <v>100</v>
      </c>
      <c r="J1854">
        <v>500</v>
      </c>
      <c r="K1854" s="142" t="s">
        <v>10</v>
      </c>
      <c r="L1854">
        <v>1.1000000000000001</v>
      </c>
      <c r="M1854">
        <v>5.8</v>
      </c>
      <c r="N1854">
        <v>1.0377000000000001</v>
      </c>
      <c r="O1854">
        <v>5.7942</v>
      </c>
    </row>
    <row r="1855" spans="1:15" x14ac:dyDescent="0.25">
      <c r="A1855" s="142" t="s">
        <v>1222</v>
      </c>
      <c r="B1855" s="142" t="s">
        <v>51</v>
      </c>
      <c r="C1855" s="142" t="s">
        <v>8</v>
      </c>
      <c r="D1855">
        <v>0.33</v>
      </c>
      <c r="E1855">
        <v>3.3001</v>
      </c>
      <c r="F1855">
        <v>1.0000000000000001E-5</v>
      </c>
      <c r="G1855" s="142" t="s">
        <v>6</v>
      </c>
      <c r="H1855" s="142" t="s">
        <v>4</v>
      </c>
      <c r="I1855">
        <v>500</v>
      </c>
      <c r="J1855">
        <v>501</v>
      </c>
      <c r="K1855" s="142" t="s">
        <v>10</v>
      </c>
      <c r="L1855">
        <v>1.1000000000000001</v>
      </c>
      <c r="M1855">
        <v>5.8</v>
      </c>
      <c r="N1855">
        <v>1.0377000000000001</v>
      </c>
      <c r="O1855">
        <v>5.7942</v>
      </c>
    </row>
    <row r="1856" spans="1:15" x14ac:dyDescent="0.25">
      <c r="A1856" s="142" t="s">
        <v>1155</v>
      </c>
      <c r="B1856" s="142" t="s">
        <v>51</v>
      </c>
      <c r="C1856" s="142" t="s">
        <v>8</v>
      </c>
      <c r="D1856">
        <v>0</v>
      </c>
      <c r="E1856">
        <v>3.3009999999999998E-2</v>
      </c>
      <c r="F1856">
        <v>1E-4</v>
      </c>
      <c r="G1856" s="142" t="s">
        <v>6</v>
      </c>
      <c r="H1856" s="142" t="s">
        <v>5</v>
      </c>
      <c r="I1856">
        <v>0.01</v>
      </c>
      <c r="J1856">
        <v>4.5010000000000001E-2</v>
      </c>
      <c r="K1856" s="142" t="s">
        <v>10</v>
      </c>
      <c r="L1856">
        <v>62.01</v>
      </c>
      <c r="M1856">
        <v>1125.5</v>
      </c>
      <c r="N1856">
        <v>61.999000000000002</v>
      </c>
      <c r="O1856">
        <v>1123.8</v>
      </c>
    </row>
    <row r="1857" spans="1:15" x14ac:dyDescent="0.25">
      <c r="A1857" s="142" t="s">
        <v>1154</v>
      </c>
      <c r="B1857" s="142" t="s">
        <v>51</v>
      </c>
      <c r="C1857" s="142" t="s">
        <v>8</v>
      </c>
      <c r="D1857">
        <v>0</v>
      </c>
      <c r="E1857">
        <v>3.3009999999999998E-2</v>
      </c>
      <c r="F1857">
        <v>1E-4</v>
      </c>
      <c r="G1857" s="142" t="s">
        <v>6</v>
      </c>
      <c r="H1857" s="142" t="s">
        <v>5</v>
      </c>
      <c r="I1857">
        <v>4.4999999999999998E-2</v>
      </c>
      <c r="J1857">
        <v>10.00001</v>
      </c>
      <c r="K1857" s="142" t="s">
        <v>10</v>
      </c>
      <c r="L1857">
        <v>62.237000000000002</v>
      </c>
      <c r="M1857">
        <v>673.84</v>
      </c>
      <c r="N1857">
        <v>62.225000000000001</v>
      </c>
      <c r="O1857">
        <v>671.86</v>
      </c>
    </row>
    <row r="1858" spans="1:15" x14ac:dyDescent="0.25">
      <c r="A1858" s="142" t="s">
        <v>1157</v>
      </c>
      <c r="B1858" s="142" t="s">
        <v>51</v>
      </c>
      <c r="C1858" s="142" t="s">
        <v>8</v>
      </c>
      <c r="D1858">
        <v>0</v>
      </c>
      <c r="E1858">
        <v>3.3009999999999998E-2</v>
      </c>
      <c r="F1858">
        <v>1E-4</v>
      </c>
      <c r="G1858" s="142" t="s">
        <v>6</v>
      </c>
      <c r="H1858" s="142" t="s">
        <v>5</v>
      </c>
      <c r="I1858">
        <v>10</v>
      </c>
      <c r="J1858">
        <v>20.010000000000002</v>
      </c>
      <c r="K1858" s="142" t="s">
        <v>10</v>
      </c>
      <c r="L1858">
        <v>62.01</v>
      </c>
      <c r="M1858">
        <v>1125.5</v>
      </c>
      <c r="N1858">
        <v>61.999000000000002</v>
      </c>
      <c r="O1858">
        <v>1123.8</v>
      </c>
    </row>
    <row r="1859" spans="1:15" x14ac:dyDescent="0.25">
      <c r="A1859" s="142" t="s">
        <v>1158</v>
      </c>
      <c r="B1859" s="142" t="s">
        <v>51</v>
      </c>
      <c r="C1859" s="142" t="s">
        <v>8</v>
      </c>
      <c r="D1859">
        <v>0</v>
      </c>
      <c r="E1859">
        <v>3.3009999999999998E-2</v>
      </c>
      <c r="F1859">
        <v>1E-4</v>
      </c>
      <c r="G1859" s="142" t="s">
        <v>6</v>
      </c>
      <c r="H1859" s="142" t="s">
        <v>5</v>
      </c>
      <c r="I1859">
        <v>20</v>
      </c>
      <c r="J1859">
        <v>50.01</v>
      </c>
      <c r="K1859" s="142" t="s">
        <v>10</v>
      </c>
      <c r="L1859">
        <v>61.904000000000003</v>
      </c>
      <c r="M1859">
        <v>1615.7</v>
      </c>
      <c r="N1859">
        <v>61.89</v>
      </c>
      <c r="O1859">
        <v>1614.4</v>
      </c>
    </row>
    <row r="1860" spans="1:15" x14ac:dyDescent="0.25">
      <c r="A1860" s="142" t="s">
        <v>1153</v>
      </c>
      <c r="B1860" s="142" t="s">
        <v>51</v>
      </c>
      <c r="C1860" s="142" t="s">
        <v>8</v>
      </c>
      <c r="D1860">
        <v>0</v>
      </c>
      <c r="E1860">
        <v>3.3009999999999998E-2</v>
      </c>
      <c r="F1860">
        <v>1E-4</v>
      </c>
      <c r="G1860" s="142" t="s">
        <v>6</v>
      </c>
      <c r="H1860" s="142" t="s">
        <v>5</v>
      </c>
      <c r="I1860">
        <v>50</v>
      </c>
      <c r="J1860">
        <v>100.01</v>
      </c>
      <c r="K1860" s="142" t="s">
        <v>10</v>
      </c>
      <c r="L1860">
        <v>68.858000000000004</v>
      </c>
      <c r="M1860">
        <v>3411.4</v>
      </c>
      <c r="N1860">
        <v>68.766000000000005</v>
      </c>
      <c r="O1860">
        <v>3411.7</v>
      </c>
    </row>
    <row r="1861" spans="1:15" x14ac:dyDescent="0.25">
      <c r="A1861" s="142" t="s">
        <v>1156</v>
      </c>
      <c r="B1861" s="142" t="s">
        <v>51</v>
      </c>
      <c r="C1861" s="142" t="s">
        <v>8</v>
      </c>
      <c r="D1861">
        <v>0</v>
      </c>
      <c r="E1861">
        <v>3.3009999999999998E-2</v>
      </c>
      <c r="F1861">
        <v>1E-4</v>
      </c>
      <c r="G1861" s="142" t="s">
        <v>6</v>
      </c>
      <c r="H1861" s="142" t="s">
        <v>5</v>
      </c>
      <c r="I1861">
        <v>100</v>
      </c>
      <c r="J1861">
        <v>500</v>
      </c>
      <c r="K1861" s="142" t="s">
        <v>10</v>
      </c>
      <c r="L1861">
        <v>91.463999999999999</v>
      </c>
      <c r="M1861">
        <v>11024</v>
      </c>
      <c r="N1861">
        <v>91.322000000000003</v>
      </c>
      <c r="O1861">
        <v>11026</v>
      </c>
    </row>
    <row r="1862" spans="1:15" x14ac:dyDescent="0.25">
      <c r="A1862" s="142" t="s">
        <v>1159</v>
      </c>
      <c r="B1862" s="142" t="s">
        <v>51</v>
      </c>
      <c r="C1862" s="142" t="s">
        <v>8</v>
      </c>
      <c r="D1862">
        <v>0</v>
      </c>
      <c r="E1862">
        <v>3.3009999999999998E-2</v>
      </c>
      <c r="F1862">
        <v>1E-4</v>
      </c>
      <c r="G1862" s="142" t="s">
        <v>6</v>
      </c>
      <c r="H1862" s="142" t="s">
        <v>5</v>
      </c>
      <c r="I1862">
        <v>500</v>
      </c>
      <c r="J1862">
        <v>501</v>
      </c>
      <c r="K1862" s="142" t="s">
        <v>10</v>
      </c>
      <c r="L1862">
        <v>91.463999999999999</v>
      </c>
      <c r="M1862">
        <v>11024</v>
      </c>
      <c r="N1862">
        <v>91.322000000000003</v>
      </c>
      <c r="O1862">
        <v>11026</v>
      </c>
    </row>
    <row r="1863" spans="1:15" x14ac:dyDescent="0.25">
      <c r="A1863" s="142" t="s">
        <v>1203</v>
      </c>
      <c r="B1863" s="142" t="s">
        <v>51</v>
      </c>
      <c r="C1863" s="142" t="s">
        <v>8</v>
      </c>
      <c r="D1863">
        <v>3.3000000000000002E-2</v>
      </c>
      <c r="E1863">
        <v>0.33001000000000003</v>
      </c>
      <c r="F1863">
        <v>1E-4</v>
      </c>
      <c r="G1863" s="142" t="s">
        <v>6</v>
      </c>
      <c r="H1863" s="142" t="s">
        <v>5</v>
      </c>
      <c r="I1863">
        <v>0.01</v>
      </c>
      <c r="J1863">
        <v>4.5010000000000001E-2</v>
      </c>
      <c r="K1863" s="142" t="s">
        <v>10</v>
      </c>
      <c r="L1863">
        <v>55.234000000000002</v>
      </c>
      <c r="M1863">
        <v>504.47</v>
      </c>
      <c r="N1863">
        <v>55.134999999999998</v>
      </c>
      <c r="O1863">
        <v>504.68</v>
      </c>
    </row>
    <row r="1864" spans="1:15" x14ac:dyDescent="0.25">
      <c r="A1864" s="142" t="s">
        <v>1205</v>
      </c>
      <c r="B1864" s="142" t="s">
        <v>51</v>
      </c>
      <c r="C1864" s="142" t="s">
        <v>8</v>
      </c>
      <c r="D1864">
        <v>3.3000000000000002E-2</v>
      </c>
      <c r="E1864">
        <v>0.33001000000000003</v>
      </c>
      <c r="F1864">
        <v>1E-4</v>
      </c>
      <c r="G1864" s="142" t="s">
        <v>6</v>
      </c>
      <c r="H1864" s="142" t="s">
        <v>5</v>
      </c>
      <c r="I1864">
        <v>4.4999999999999998E-2</v>
      </c>
      <c r="J1864">
        <v>10.00001</v>
      </c>
      <c r="K1864" s="142" t="s">
        <v>10</v>
      </c>
      <c r="L1864">
        <v>58.585999999999999</v>
      </c>
      <c r="M1864">
        <v>276.02999999999997</v>
      </c>
      <c r="N1864">
        <v>58.482999999999997</v>
      </c>
      <c r="O1864">
        <v>276.20999999999998</v>
      </c>
    </row>
    <row r="1865" spans="1:15" x14ac:dyDescent="0.25">
      <c r="A1865" s="142" t="s">
        <v>1714</v>
      </c>
      <c r="B1865" s="142" t="s">
        <v>51</v>
      </c>
      <c r="C1865" s="142" t="s">
        <v>8</v>
      </c>
      <c r="D1865">
        <v>3.3000000000000002E-2</v>
      </c>
      <c r="E1865">
        <v>0.33001000000000003</v>
      </c>
      <c r="F1865">
        <v>1E-4</v>
      </c>
      <c r="G1865" s="142" t="s">
        <v>6</v>
      </c>
      <c r="H1865" s="142" t="s">
        <v>5</v>
      </c>
      <c r="I1865">
        <v>10</v>
      </c>
      <c r="J1865">
        <v>20.010000000000002</v>
      </c>
      <c r="K1865" s="142" t="s">
        <v>10</v>
      </c>
      <c r="L1865">
        <v>52.238</v>
      </c>
      <c r="M1865">
        <v>738.2</v>
      </c>
      <c r="N1865">
        <v>52.145000000000003</v>
      </c>
      <c r="O1865">
        <v>738.41</v>
      </c>
    </row>
    <row r="1866" spans="1:15" x14ac:dyDescent="0.25">
      <c r="A1866" s="142" t="s">
        <v>1207</v>
      </c>
      <c r="B1866" s="142" t="s">
        <v>51</v>
      </c>
      <c r="C1866" s="142" t="s">
        <v>8</v>
      </c>
      <c r="D1866">
        <v>3.3000000000000002E-2</v>
      </c>
      <c r="E1866">
        <v>0.33001000000000003</v>
      </c>
      <c r="F1866">
        <v>1E-4</v>
      </c>
      <c r="G1866" s="142" t="s">
        <v>6</v>
      </c>
      <c r="H1866" s="142" t="s">
        <v>5</v>
      </c>
      <c r="I1866">
        <v>20</v>
      </c>
      <c r="J1866">
        <v>50.01</v>
      </c>
      <c r="K1866" s="142" t="s">
        <v>10</v>
      </c>
      <c r="L1866">
        <v>66.007000000000005</v>
      </c>
      <c r="M1866">
        <v>1107.9000000000001</v>
      </c>
      <c r="N1866">
        <v>65.938999999999993</v>
      </c>
      <c r="O1866">
        <v>1108</v>
      </c>
    </row>
    <row r="1867" spans="1:15" x14ac:dyDescent="0.25">
      <c r="A1867" s="142" t="s">
        <v>1717</v>
      </c>
      <c r="B1867" s="142" t="s">
        <v>51</v>
      </c>
      <c r="C1867" s="142" t="s">
        <v>8</v>
      </c>
      <c r="D1867">
        <v>3.3000000000000002E-2</v>
      </c>
      <c r="E1867">
        <v>0.33001000000000003</v>
      </c>
      <c r="F1867">
        <v>1E-4</v>
      </c>
      <c r="G1867" s="142" t="s">
        <v>6</v>
      </c>
      <c r="H1867" s="142" t="s">
        <v>5</v>
      </c>
      <c r="I1867">
        <v>50</v>
      </c>
      <c r="J1867">
        <v>100.01</v>
      </c>
      <c r="K1867" s="142" t="s">
        <v>10</v>
      </c>
      <c r="L1867">
        <v>202.89</v>
      </c>
      <c r="M1867">
        <v>2641.9</v>
      </c>
      <c r="N1867">
        <v>202.83</v>
      </c>
      <c r="O1867">
        <v>2642</v>
      </c>
    </row>
    <row r="1868" spans="1:15" x14ac:dyDescent="0.25">
      <c r="A1868" s="142" t="s">
        <v>1206</v>
      </c>
      <c r="B1868" s="142" t="s">
        <v>51</v>
      </c>
      <c r="C1868" s="142" t="s">
        <v>8</v>
      </c>
      <c r="D1868">
        <v>3.3000000000000002E-2</v>
      </c>
      <c r="E1868">
        <v>0.33001000000000003</v>
      </c>
      <c r="F1868">
        <v>1E-4</v>
      </c>
      <c r="G1868" s="142" t="s">
        <v>6</v>
      </c>
      <c r="H1868" s="142" t="s">
        <v>5</v>
      </c>
      <c r="I1868">
        <v>100</v>
      </c>
      <c r="J1868">
        <v>500</v>
      </c>
      <c r="K1868" s="142" t="s">
        <v>10</v>
      </c>
      <c r="L1868">
        <v>390</v>
      </c>
      <c r="M1868">
        <v>5771.9</v>
      </c>
      <c r="N1868">
        <v>384.93</v>
      </c>
      <c r="O1868">
        <v>5772</v>
      </c>
    </row>
    <row r="1869" spans="1:15" x14ac:dyDescent="0.25">
      <c r="A1869" s="142" t="s">
        <v>1204</v>
      </c>
      <c r="B1869" s="142" t="s">
        <v>51</v>
      </c>
      <c r="C1869" s="142" t="s">
        <v>8</v>
      </c>
      <c r="D1869">
        <v>3.3000000000000002E-2</v>
      </c>
      <c r="E1869">
        <v>0.33001000000000003</v>
      </c>
      <c r="F1869">
        <v>1E-4</v>
      </c>
      <c r="G1869" s="142" t="s">
        <v>6</v>
      </c>
      <c r="H1869" s="142" t="s">
        <v>5</v>
      </c>
      <c r="I1869">
        <v>500</v>
      </c>
      <c r="J1869">
        <v>501</v>
      </c>
      <c r="K1869" s="142" t="s">
        <v>10</v>
      </c>
      <c r="L1869">
        <v>390</v>
      </c>
      <c r="M1869">
        <v>5771.9</v>
      </c>
      <c r="N1869">
        <v>384.93</v>
      </c>
      <c r="O1869">
        <v>5772</v>
      </c>
    </row>
    <row r="1870" spans="1:15" x14ac:dyDescent="0.25">
      <c r="A1870" s="142" t="s">
        <v>1226</v>
      </c>
      <c r="B1870" s="142" t="s">
        <v>51</v>
      </c>
      <c r="C1870" s="142" t="s">
        <v>8</v>
      </c>
      <c r="D1870">
        <v>0.33</v>
      </c>
      <c r="E1870">
        <v>3.3001</v>
      </c>
      <c r="F1870">
        <v>1E-4</v>
      </c>
      <c r="G1870" s="142" t="s">
        <v>6</v>
      </c>
      <c r="H1870" s="142" t="s">
        <v>4</v>
      </c>
      <c r="I1870">
        <v>0.01</v>
      </c>
      <c r="J1870">
        <v>4.5010000000000001E-2</v>
      </c>
      <c r="K1870" s="142" t="s">
        <v>10</v>
      </c>
      <c r="L1870">
        <v>0.11</v>
      </c>
      <c r="M1870">
        <v>0.56032999999999999</v>
      </c>
      <c r="N1870">
        <v>0.10921</v>
      </c>
      <c r="O1870">
        <v>0.56037000000000003</v>
      </c>
    </row>
    <row r="1871" spans="1:15" x14ac:dyDescent="0.25">
      <c r="A1871" s="142" t="s">
        <v>2182</v>
      </c>
      <c r="B1871" s="142" t="s">
        <v>51</v>
      </c>
      <c r="C1871" s="142" t="s">
        <v>8</v>
      </c>
      <c r="D1871">
        <v>0.33</v>
      </c>
      <c r="E1871">
        <v>3.3001</v>
      </c>
      <c r="F1871">
        <v>1E-4</v>
      </c>
      <c r="G1871" s="142" t="s">
        <v>6</v>
      </c>
      <c r="H1871" s="142" t="s">
        <v>4</v>
      </c>
      <c r="I1871">
        <v>4.4999999999999998E-2</v>
      </c>
      <c r="J1871">
        <v>10.00001</v>
      </c>
      <c r="K1871" s="142" t="s">
        <v>10</v>
      </c>
      <c r="L1871">
        <v>7.9443E-2</v>
      </c>
      <c r="M1871">
        <v>0.34499000000000002</v>
      </c>
      <c r="N1871">
        <v>7.9135999999999998E-2</v>
      </c>
      <c r="O1871">
        <v>0.34505000000000002</v>
      </c>
    </row>
    <row r="1872" spans="1:15" x14ac:dyDescent="0.25">
      <c r="A1872" s="142" t="s">
        <v>1225</v>
      </c>
      <c r="B1872" s="142" t="s">
        <v>51</v>
      </c>
      <c r="C1872" s="142" t="s">
        <v>8</v>
      </c>
      <c r="D1872">
        <v>0.33</v>
      </c>
      <c r="E1872">
        <v>3.3001</v>
      </c>
      <c r="F1872">
        <v>1E-4</v>
      </c>
      <c r="G1872" s="142" t="s">
        <v>6</v>
      </c>
      <c r="H1872" s="142" t="s">
        <v>4</v>
      </c>
      <c r="I1872">
        <v>10</v>
      </c>
      <c r="J1872">
        <v>20.010000000000002</v>
      </c>
      <c r="K1872" s="142" t="s">
        <v>10</v>
      </c>
      <c r="L1872">
        <v>7.5008000000000005E-2</v>
      </c>
      <c r="M1872">
        <v>0.80728999999999995</v>
      </c>
      <c r="N1872">
        <v>7.4829000000000007E-2</v>
      </c>
      <c r="O1872">
        <v>0.80732999999999999</v>
      </c>
    </row>
    <row r="1873" spans="1:15" x14ac:dyDescent="0.25">
      <c r="A1873" s="142" t="s">
        <v>1224</v>
      </c>
      <c r="B1873" s="142" t="s">
        <v>51</v>
      </c>
      <c r="C1873" s="142" t="s">
        <v>8</v>
      </c>
      <c r="D1873">
        <v>0.33</v>
      </c>
      <c r="E1873">
        <v>3.3001</v>
      </c>
      <c r="F1873">
        <v>1E-4</v>
      </c>
      <c r="G1873" s="142" t="s">
        <v>6</v>
      </c>
      <c r="H1873" s="142" t="s">
        <v>4</v>
      </c>
      <c r="I1873">
        <v>20</v>
      </c>
      <c r="J1873">
        <v>50.01</v>
      </c>
      <c r="K1873" s="142" t="s">
        <v>10</v>
      </c>
      <c r="L1873">
        <v>7.3710999999999999E-2</v>
      </c>
      <c r="M1873">
        <v>1.1548</v>
      </c>
      <c r="N1873">
        <v>7.3371000000000006E-2</v>
      </c>
      <c r="O1873">
        <v>1.1549</v>
      </c>
    </row>
    <row r="1874" spans="1:15" x14ac:dyDescent="0.25">
      <c r="A1874" s="142" t="s">
        <v>1227</v>
      </c>
      <c r="B1874" s="142" t="s">
        <v>51</v>
      </c>
      <c r="C1874" s="142" t="s">
        <v>8</v>
      </c>
      <c r="D1874">
        <v>0.33</v>
      </c>
      <c r="E1874">
        <v>3.3001</v>
      </c>
      <c r="F1874">
        <v>1E-4</v>
      </c>
      <c r="G1874" s="142" t="s">
        <v>6</v>
      </c>
      <c r="H1874" s="142" t="s">
        <v>4</v>
      </c>
      <c r="I1874">
        <v>50</v>
      </c>
      <c r="J1874">
        <v>100.01</v>
      </c>
      <c r="K1874" s="142" t="s">
        <v>10</v>
      </c>
      <c r="L1874">
        <v>0.24</v>
      </c>
      <c r="M1874">
        <v>2.6566000000000001</v>
      </c>
      <c r="N1874">
        <v>0.23255999999999999</v>
      </c>
      <c r="O1874">
        <v>2.6566999999999998</v>
      </c>
    </row>
    <row r="1875" spans="1:15" x14ac:dyDescent="0.25">
      <c r="A1875" s="142" t="s">
        <v>1723</v>
      </c>
      <c r="B1875" s="142" t="s">
        <v>51</v>
      </c>
      <c r="C1875" s="142" t="s">
        <v>8</v>
      </c>
      <c r="D1875">
        <v>0.33</v>
      </c>
      <c r="E1875">
        <v>3.3001</v>
      </c>
      <c r="F1875">
        <v>1E-4</v>
      </c>
      <c r="G1875" s="142" t="s">
        <v>6</v>
      </c>
      <c r="H1875" s="142" t="s">
        <v>4</v>
      </c>
      <c r="I1875">
        <v>100</v>
      </c>
      <c r="J1875">
        <v>500</v>
      </c>
      <c r="K1875" s="142" t="s">
        <v>10</v>
      </c>
      <c r="L1875">
        <v>1.1000000000000001</v>
      </c>
      <c r="M1875">
        <v>5.7939999999999996</v>
      </c>
      <c r="N1875">
        <v>1.038</v>
      </c>
      <c r="O1875">
        <v>5.7941000000000003</v>
      </c>
    </row>
    <row r="1876" spans="1:15" x14ac:dyDescent="0.25">
      <c r="A1876" s="142" t="s">
        <v>1724</v>
      </c>
      <c r="B1876" s="142" t="s">
        <v>51</v>
      </c>
      <c r="C1876" s="142" t="s">
        <v>8</v>
      </c>
      <c r="D1876">
        <v>0.33</v>
      </c>
      <c r="E1876">
        <v>3.3001</v>
      </c>
      <c r="F1876">
        <v>1E-4</v>
      </c>
      <c r="G1876" s="142" t="s">
        <v>6</v>
      </c>
      <c r="H1876" s="142" t="s">
        <v>4</v>
      </c>
      <c r="I1876">
        <v>500</v>
      </c>
      <c r="J1876">
        <v>501</v>
      </c>
      <c r="K1876" s="142" t="s">
        <v>10</v>
      </c>
      <c r="L1876">
        <v>1.1000000000000001</v>
      </c>
      <c r="M1876">
        <v>5.7939999999999996</v>
      </c>
      <c r="N1876">
        <v>1.038</v>
      </c>
      <c r="O1876">
        <v>5.7941000000000003</v>
      </c>
    </row>
    <row r="1877" spans="1:15" x14ac:dyDescent="0.25">
      <c r="A1877" s="142" t="s">
        <v>2176</v>
      </c>
      <c r="B1877" s="142" t="s">
        <v>51</v>
      </c>
      <c r="C1877" s="142" t="s">
        <v>8</v>
      </c>
      <c r="D1877">
        <v>3.3</v>
      </c>
      <c r="E1877">
        <v>33.000999999999998</v>
      </c>
      <c r="F1877">
        <v>1E-4</v>
      </c>
      <c r="G1877" s="142" t="s">
        <v>6</v>
      </c>
      <c r="H1877" s="142" t="s">
        <v>4</v>
      </c>
      <c r="I1877">
        <v>0.01</v>
      </c>
      <c r="J1877">
        <v>4.5010000000000001E-2</v>
      </c>
      <c r="K1877" s="142" t="s">
        <v>10</v>
      </c>
      <c r="L1877">
        <v>0.93</v>
      </c>
      <c r="M1877">
        <v>0.57999999999999996</v>
      </c>
      <c r="N1877">
        <v>0.92291999999999996</v>
      </c>
      <c r="O1877">
        <v>0.57830000000000004</v>
      </c>
    </row>
    <row r="1878" spans="1:15" x14ac:dyDescent="0.25">
      <c r="A1878" s="142" t="s">
        <v>1247</v>
      </c>
      <c r="B1878" s="142" t="s">
        <v>51</v>
      </c>
      <c r="C1878" s="142" t="s">
        <v>8</v>
      </c>
      <c r="D1878">
        <v>3.3</v>
      </c>
      <c r="E1878">
        <v>33.000999999999998</v>
      </c>
      <c r="F1878">
        <v>1E-4</v>
      </c>
      <c r="G1878" s="142" t="s">
        <v>6</v>
      </c>
      <c r="H1878" s="142" t="s">
        <v>4</v>
      </c>
      <c r="I1878">
        <v>4.4999999999999998E-2</v>
      </c>
      <c r="J1878">
        <v>10.00001</v>
      </c>
      <c r="K1878" s="142" t="s">
        <v>10</v>
      </c>
      <c r="L1878">
        <v>0.7</v>
      </c>
      <c r="M1878">
        <v>0.35</v>
      </c>
      <c r="N1878">
        <v>0.69218000000000002</v>
      </c>
      <c r="O1878">
        <v>0.34794999999999998</v>
      </c>
    </row>
    <row r="1879" spans="1:15" x14ac:dyDescent="0.25">
      <c r="A1879" s="142" t="s">
        <v>1727</v>
      </c>
      <c r="B1879" s="142" t="s">
        <v>51</v>
      </c>
      <c r="C1879" s="142" t="s">
        <v>8</v>
      </c>
      <c r="D1879">
        <v>3.3</v>
      </c>
      <c r="E1879">
        <v>33.000999999999998</v>
      </c>
      <c r="F1879">
        <v>1E-4</v>
      </c>
      <c r="G1879" s="142" t="s">
        <v>6</v>
      </c>
      <c r="H1879" s="142" t="s">
        <v>4</v>
      </c>
      <c r="I1879">
        <v>10</v>
      </c>
      <c r="J1879">
        <v>20.010000000000002</v>
      </c>
      <c r="K1879" s="142" t="s">
        <v>10</v>
      </c>
      <c r="L1879">
        <v>0.7</v>
      </c>
      <c r="M1879">
        <v>0.81</v>
      </c>
      <c r="N1879">
        <v>0.69303999999999999</v>
      </c>
      <c r="O1879">
        <v>0.80896000000000001</v>
      </c>
    </row>
    <row r="1880" spans="1:15" x14ac:dyDescent="0.25">
      <c r="A1880" s="142" t="s">
        <v>1245</v>
      </c>
      <c r="B1880" s="142" t="s">
        <v>51</v>
      </c>
      <c r="C1880" s="142" t="s">
        <v>8</v>
      </c>
      <c r="D1880">
        <v>3.3</v>
      </c>
      <c r="E1880">
        <v>33.000999999999998</v>
      </c>
      <c r="F1880">
        <v>1E-4</v>
      </c>
      <c r="G1880" s="142" t="s">
        <v>6</v>
      </c>
      <c r="H1880" s="142" t="s">
        <v>4</v>
      </c>
      <c r="I1880">
        <v>20</v>
      </c>
      <c r="J1880">
        <v>50.01</v>
      </c>
      <c r="K1880" s="142" t="s">
        <v>10</v>
      </c>
      <c r="L1880">
        <v>0.7</v>
      </c>
      <c r="M1880">
        <v>1.2</v>
      </c>
      <c r="N1880">
        <v>0.69121999999999995</v>
      </c>
      <c r="O1880">
        <v>1.1565000000000001</v>
      </c>
    </row>
    <row r="1881" spans="1:15" x14ac:dyDescent="0.25">
      <c r="A1881" s="142" t="s">
        <v>1244</v>
      </c>
      <c r="B1881" s="142" t="s">
        <v>51</v>
      </c>
      <c r="C1881" s="142" t="s">
        <v>8</v>
      </c>
      <c r="D1881">
        <v>3.3</v>
      </c>
      <c r="E1881">
        <v>33.000999999999998</v>
      </c>
      <c r="F1881">
        <v>1E-4</v>
      </c>
      <c r="G1881" s="142" t="s">
        <v>6</v>
      </c>
      <c r="H1881" s="142" t="s">
        <v>4</v>
      </c>
      <c r="I1881">
        <v>50</v>
      </c>
      <c r="J1881">
        <v>100.01</v>
      </c>
      <c r="K1881" s="142" t="s">
        <v>10</v>
      </c>
      <c r="L1881">
        <v>2.2999999999999998</v>
      </c>
      <c r="M1881">
        <v>2.7</v>
      </c>
      <c r="N1881">
        <v>2.3079000000000001</v>
      </c>
      <c r="O1881">
        <v>2.6577000000000002</v>
      </c>
    </row>
    <row r="1882" spans="1:15" x14ac:dyDescent="0.25">
      <c r="A1882" s="142" t="s">
        <v>1246</v>
      </c>
      <c r="B1882" s="142" t="s">
        <v>51</v>
      </c>
      <c r="C1882" s="142" t="s">
        <v>8</v>
      </c>
      <c r="D1882">
        <v>3.3</v>
      </c>
      <c r="E1882">
        <v>33.000999999999998</v>
      </c>
      <c r="F1882">
        <v>1E-4</v>
      </c>
      <c r="G1882" s="142" t="s">
        <v>6</v>
      </c>
      <c r="H1882" s="142" t="s">
        <v>4</v>
      </c>
      <c r="I1882">
        <v>100</v>
      </c>
      <c r="J1882">
        <v>500</v>
      </c>
      <c r="K1882" s="142" t="s">
        <v>10</v>
      </c>
      <c r="L1882">
        <v>13</v>
      </c>
      <c r="M1882">
        <v>4.5999999999999996</v>
      </c>
      <c r="N1882">
        <v>2.3363999999999998</v>
      </c>
      <c r="O1882">
        <v>2.6995</v>
      </c>
    </row>
    <row r="1883" spans="1:15" x14ac:dyDescent="0.25">
      <c r="A1883" s="142" t="s">
        <v>1733</v>
      </c>
      <c r="B1883" s="142" t="s">
        <v>51</v>
      </c>
      <c r="C1883" s="142" t="s">
        <v>8</v>
      </c>
      <c r="D1883">
        <v>3.3</v>
      </c>
      <c r="E1883">
        <v>33.000999999999998</v>
      </c>
      <c r="F1883">
        <v>1E-4</v>
      </c>
      <c r="G1883" s="142" t="s">
        <v>6</v>
      </c>
      <c r="H1883" s="142" t="s">
        <v>4</v>
      </c>
      <c r="I1883">
        <v>500</v>
      </c>
      <c r="J1883">
        <v>501</v>
      </c>
      <c r="K1883" s="142" t="s">
        <v>10</v>
      </c>
      <c r="L1883">
        <v>13</v>
      </c>
      <c r="M1883">
        <v>4.5999999999999996</v>
      </c>
      <c r="N1883">
        <v>2.3363999999999998</v>
      </c>
      <c r="O1883">
        <v>2.6995</v>
      </c>
    </row>
    <row r="1884" spans="1:15" x14ac:dyDescent="0.25">
      <c r="A1884" s="142" t="s">
        <v>1166</v>
      </c>
      <c r="B1884" s="142" t="s">
        <v>51</v>
      </c>
      <c r="C1884" s="142" t="s">
        <v>8</v>
      </c>
      <c r="D1884">
        <v>0</v>
      </c>
      <c r="E1884">
        <v>3.3009999999999998E-2</v>
      </c>
      <c r="F1884">
        <v>1E-3</v>
      </c>
      <c r="G1884" s="142" t="s">
        <v>6</v>
      </c>
      <c r="H1884" s="142" t="s">
        <v>5</v>
      </c>
      <c r="I1884">
        <v>0.01</v>
      </c>
      <c r="J1884">
        <v>4.5010000000000001E-2</v>
      </c>
      <c r="K1884" s="142" t="s">
        <v>10</v>
      </c>
      <c r="L1884">
        <v>580.38</v>
      </c>
      <c r="M1884">
        <v>157.54</v>
      </c>
      <c r="N1884">
        <v>580.38</v>
      </c>
      <c r="O1884">
        <v>156.33000000000001</v>
      </c>
    </row>
    <row r="1885" spans="1:15" x14ac:dyDescent="0.25">
      <c r="A1885" s="142" t="s">
        <v>1160</v>
      </c>
      <c r="B1885" s="142" t="s">
        <v>51</v>
      </c>
      <c r="C1885" s="142" t="s">
        <v>8</v>
      </c>
      <c r="D1885">
        <v>0</v>
      </c>
      <c r="E1885">
        <v>3.3009999999999998E-2</v>
      </c>
      <c r="F1885">
        <v>1E-3</v>
      </c>
      <c r="G1885" s="142" t="s">
        <v>6</v>
      </c>
      <c r="H1885" s="142" t="s">
        <v>5</v>
      </c>
      <c r="I1885">
        <v>4.4999999999999998E-2</v>
      </c>
      <c r="J1885">
        <v>10.00001</v>
      </c>
      <c r="K1885" s="142" t="s">
        <v>10</v>
      </c>
      <c r="L1885">
        <v>580.42999999999995</v>
      </c>
      <c r="M1885">
        <v>86.247</v>
      </c>
      <c r="N1885">
        <v>580.42999999999995</v>
      </c>
      <c r="O1885">
        <v>85.036000000000001</v>
      </c>
    </row>
    <row r="1886" spans="1:15" x14ac:dyDescent="0.25">
      <c r="A1886" s="142" t="s">
        <v>1165</v>
      </c>
      <c r="B1886" s="142" t="s">
        <v>51</v>
      </c>
      <c r="C1886" s="142" t="s">
        <v>8</v>
      </c>
      <c r="D1886">
        <v>0</v>
      </c>
      <c r="E1886">
        <v>3.3009999999999998E-2</v>
      </c>
      <c r="F1886">
        <v>1E-3</v>
      </c>
      <c r="G1886" s="142" t="s">
        <v>6</v>
      </c>
      <c r="H1886" s="142" t="s">
        <v>5</v>
      </c>
      <c r="I1886">
        <v>10</v>
      </c>
      <c r="J1886">
        <v>20.010000000000002</v>
      </c>
      <c r="K1886" s="142" t="s">
        <v>10</v>
      </c>
      <c r="L1886">
        <v>580.38</v>
      </c>
      <c r="M1886">
        <v>157.54</v>
      </c>
      <c r="N1886">
        <v>580.38</v>
      </c>
      <c r="O1886">
        <v>156.33000000000001</v>
      </c>
    </row>
    <row r="1887" spans="1:15" x14ac:dyDescent="0.25">
      <c r="A1887" s="142" t="s">
        <v>1161</v>
      </c>
      <c r="B1887" s="142" t="s">
        <v>51</v>
      </c>
      <c r="C1887" s="142" t="s">
        <v>8</v>
      </c>
      <c r="D1887">
        <v>0</v>
      </c>
      <c r="E1887">
        <v>3.3009999999999998E-2</v>
      </c>
      <c r="F1887">
        <v>1E-3</v>
      </c>
      <c r="G1887" s="142" t="s">
        <v>6</v>
      </c>
      <c r="H1887" s="142" t="s">
        <v>5</v>
      </c>
      <c r="I1887">
        <v>20</v>
      </c>
      <c r="J1887">
        <v>50.01</v>
      </c>
      <c r="K1887" s="142" t="s">
        <v>10</v>
      </c>
      <c r="L1887">
        <v>580.34</v>
      </c>
      <c r="M1887">
        <v>247.93</v>
      </c>
      <c r="N1887">
        <v>580.33000000000004</v>
      </c>
      <c r="O1887">
        <v>246.73</v>
      </c>
    </row>
    <row r="1888" spans="1:15" x14ac:dyDescent="0.25">
      <c r="A1888" s="142" t="s">
        <v>1162</v>
      </c>
      <c r="B1888" s="142" t="s">
        <v>51</v>
      </c>
      <c r="C1888" s="142" t="s">
        <v>8</v>
      </c>
      <c r="D1888">
        <v>0</v>
      </c>
      <c r="E1888">
        <v>3.3009999999999998E-2</v>
      </c>
      <c r="F1888">
        <v>1E-3</v>
      </c>
      <c r="G1888" s="142" t="s">
        <v>6</v>
      </c>
      <c r="H1888" s="142" t="s">
        <v>5</v>
      </c>
      <c r="I1888">
        <v>50</v>
      </c>
      <c r="J1888">
        <v>100.01</v>
      </c>
      <c r="K1888" s="142" t="s">
        <v>10</v>
      </c>
      <c r="L1888">
        <v>580.9</v>
      </c>
      <c r="M1888">
        <v>730.69</v>
      </c>
      <c r="N1888">
        <v>580.86</v>
      </c>
      <c r="O1888">
        <v>729</v>
      </c>
    </row>
    <row r="1889" spans="1:15" x14ac:dyDescent="0.25">
      <c r="A1889" s="142" t="s">
        <v>1163</v>
      </c>
      <c r="B1889" s="142" t="s">
        <v>51</v>
      </c>
      <c r="C1889" s="142" t="s">
        <v>8</v>
      </c>
      <c r="D1889">
        <v>0</v>
      </c>
      <c r="E1889">
        <v>3.3009999999999998E-2</v>
      </c>
      <c r="F1889">
        <v>1E-3</v>
      </c>
      <c r="G1889" s="142" t="s">
        <v>6</v>
      </c>
      <c r="H1889" s="142" t="s">
        <v>5</v>
      </c>
      <c r="I1889">
        <v>100</v>
      </c>
      <c r="J1889">
        <v>500</v>
      </c>
      <c r="K1889" s="142" t="s">
        <v>10</v>
      </c>
      <c r="L1889">
        <v>581.54</v>
      </c>
      <c r="M1889">
        <v>4655.8999999999996</v>
      </c>
      <c r="N1889">
        <v>581.45000000000005</v>
      </c>
      <c r="O1889">
        <v>4653.2</v>
      </c>
    </row>
    <row r="1890" spans="1:15" x14ac:dyDescent="0.25">
      <c r="A1890" s="142" t="s">
        <v>1164</v>
      </c>
      <c r="B1890" s="142" t="s">
        <v>51</v>
      </c>
      <c r="C1890" s="142" t="s">
        <v>8</v>
      </c>
      <c r="D1890">
        <v>0</v>
      </c>
      <c r="E1890">
        <v>3.3009999999999998E-2</v>
      </c>
      <c r="F1890">
        <v>1E-3</v>
      </c>
      <c r="G1890" s="142" t="s">
        <v>6</v>
      </c>
      <c r="H1890" s="142" t="s">
        <v>5</v>
      </c>
      <c r="I1890">
        <v>500</v>
      </c>
      <c r="J1890">
        <v>501</v>
      </c>
      <c r="K1890" s="142" t="s">
        <v>10</v>
      </c>
      <c r="L1890">
        <v>581.54</v>
      </c>
      <c r="M1890">
        <v>4655.8999999999996</v>
      </c>
      <c r="N1890">
        <v>581.45000000000005</v>
      </c>
      <c r="O1890">
        <v>4653.2</v>
      </c>
    </row>
    <row r="1891" spans="1:15" x14ac:dyDescent="0.25">
      <c r="A1891" s="142" t="s">
        <v>1208</v>
      </c>
      <c r="B1891" s="142" t="s">
        <v>51</v>
      </c>
      <c r="C1891" s="142" t="s">
        <v>8</v>
      </c>
      <c r="D1891">
        <v>3.3000000000000002E-2</v>
      </c>
      <c r="E1891">
        <v>0.33001000000000003</v>
      </c>
      <c r="F1891">
        <v>1E-3</v>
      </c>
      <c r="G1891" s="142" t="s">
        <v>6</v>
      </c>
      <c r="H1891" s="142" t="s">
        <v>5</v>
      </c>
      <c r="I1891">
        <v>0.01</v>
      </c>
      <c r="J1891">
        <v>4.5010000000000001E-2</v>
      </c>
      <c r="K1891" s="142" t="s">
        <v>10</v>
      </c>
      <c r="L1891">
        <v>577.51</v>
      </c>
      <c r="M1891">
        <v>123.44</v>
      </c>
      <c r="N1891">
        <v>577.47</v>
      </c>
      <c r="O1891">
        <v>123.45</v>
      </c>
    </row>
    <row r="1892" spans="1:15" x14ac:dyDescent="0.25">
      <c r="A1892" s="142" t="s">
        <v>1210</v>
      </c>
      <c r="B1892" s="142" t="s">
        <v>51</v>
      </c>
      <c r="C1892" s="142" t="s">
        <v>8</v>
      </c>
      <c r="D1892">
        <v>3.3000000000000002E-2</v>
      </c>
      <c r="E1892">
        <v>0.33001000000000003</v>
      </c>
      <c r="F1892">
        <v>1E-3</v>
      </c>
      <c r="G1892" s="142" t="s">
        <v>6</v>
      </c>
      <c r="H1892" s="142" t="s">
        <v>5</v>
      </c>
      <c r="I1892">
        <v>4.4999999999999998E-2</v>
      </c>
      <c r="J1892">
        <v>10.00001</v>
      </c>
      <c r="K1892" s="142" t="s">
        <v>10</v>
      </c>
      <c r="L1892">
        <v>579.4</v>
      </c>
      <c r="M1892">
        <v>50.965000000000003</v>
      </c>
      <c r="N1892">
        <v>579.36</v>
      </c>
      <c r="O1892">
        <v>50.969000000000001</v>
      </c>
    </row>
    <row r="1893" spans="1:15" x14ac:dyDescent="0.25">
      <c r="A1893" s="142" t="s">
        <v>1715</v>
      </c>
      <c r="B1893" s="142" t="s">
        <v>51</v>
      </c>
      <c r="C1893" s="142" t="s">
        <v>8</v>
      </c>
      <c r="D1893">
        <v>3.3000000000000002E-2</v>
      </c>
      <c r="E1893">
        <v>0.33001000000000003</v>
      </c>
      <c r="F1893">
        <v>1E-3</v>
      </c>
      <c r="G1893" s="142" t="s">
        <v>6</v>
      </c>
      <c r="H1893" s="142" t="s">
        <v>5</v>
      </c>
      <c r="I1893">
        <v>10</v>
      </c>
      <c r="J1893">
        <v>20.010000000000002</v>
      </c>
      <c r="K1893" s="142" t="s">
        <v>10</v>
      </c>
      <c r="L1893">
        <v>574.82000000000005</v>
      </c>
      <c r="M1893">
        <v>223.39</v>
      </c>
      <c r="N1893">
        <v>574.77</v>
      </c>
      <c r="O1893">
        <v>223.41</v>
      </c>
    </row>
    <row r="1894" spans="1:15" x14ac:dyDescent="0.25">
      <c r="A1894" s="142" t="s">
        <v>1213</v>
      </c>
      <c r="B1894" s="142" t="s">
        <v>51</v>
      </c>
      <c r="C1894" s="142" t="s">
        <v>8</v>
      </c>
      <c r="D1894">
        <v>3.3000000000000002E-2</v>
      </c>
      <c r="E1894">
        <v>0.33001000000000003</v>
      </c>
      <c r="F1894">
        <v>1E-3</v>
      </c>
      <c r="G1894" s="142" t="s">
        <v>6</v>
      </c>
      <c r="H1894" s="142" t="s">
        <v>5</v>
      </c>
      <c r="I1894">
        <v>20</v>
      </c>
      <c r="J1894">
        <v>50.01</v>
      </c>
      <c r="K1894" s="142" t="s">
        <v>10</v>
      </c>
      <c r="L1894">
        <v>571.22</v>
      </c>
      <c r="M1894">
        <v>452.98</v>
      </c>
      <c r="N1894">
        <v>571.17999999999995</v>
      </c>
      <c r="O1894">
        <v>452.85</v>
      </c>
    </row>
    <row r="1895" spans="1:15" x14ac:dyDescent="0.25">
      <c r="A1895" s="142" t="s">
        <v>1211</v>
      </c>
      <c r="B1895" s="142" t="s">
        <v>51</v>
      </c>
      <c r="C1895" s="142" t="s">
        <v>8</v>
      </c>
      <c r="D1895">
        <v>3.3000000000000002E-2</v>
      </c>
      <c r="E1895">
        <v>0.33001000000000003</v>
      </c>
      <c r="F1895">
        <v>1E-3</v>
      </c>
      <c r="G1895" s="142" t="s">
        <v>6</v>
      </c>
      <c r="H1895" s="142" t="s">
        <v>5</v>
      </c>
      <c r="I1895">
        <v>50</v>
      </c>
      <c r="J1895">
        <v>100.01</v>
      </c>
      <c r="K1895" s="142" t="s">
        <v>10</v>
      </c>
      <c r="L1895">
        <v>582.19000000000005</v>
      </c>
      <c r="M1895">
        <v>1932.6</v>
      </c>
      <c r="N1895">
        <v>582.1</v>
      </c>
      <c r="O1895">
        <v>1932.5</v>
      </c>
    </row>
    <row r="1896" spans="1:15" x14ac:dyDescent="0.25">
      <c r="A1896" s="142" t="s">
        <v>1212</v>
      </c>
      <c r="B1896" s="142" t="s">
        <v>51</v>
      </c>
      <c r="C1896" s="142" t="s">
        <v>8</v>
      </c>
      <c r="D1896">
        <v>3.3000000000000002E-2</v>
      </c>
      <c r="E1896">
        <v>0.33001000000000003</v>
      </c>
      <c r="F1896">
        <v>1E-3</v>
      </c>
      <c r="G1896" s="142" t="s">
        <v>6</v>
      </c>
      <c r="H1896" s="142" t="s">
        <v>5</v>
      </c>
      <c r="I1896">
        <v>100</v>
      </c>
      <c r="J1896">
        <v>500</v>
      </c>
      <c r="K1896" s="142" t="s">
        <v>10</v>
      </c>
      <c r="L1896">
        <v>643.30999999999995</v>
      </c>
      <c r="M1896">
        <v>5206.3999999999996</v>
      </c>
      <c r="N1896">
        <v>643.12</v>
      </c>
      <c r="O1896">
        <v>5206.6000000000004</v>
      </c>
    </row>
    <row r="1897" spans="1:15" x14ac:dyDescent="0.25">
      <c r="A1897" s="142" t="s">
        <v>1209</v>
      </c>
      <c r="B1897" s="142" t="s">
        <v>51</v>
      </c>
      <c r="C1897" s="142" t="s">
        <v>8</v>
      </c>
      <c r="D1897">
        <v>3.3000000000000002E-2</v>
      </c>
      <c r="E1897">
        <v>0.33001000000000003</v>
      </c>
      <c r="F1897">
        <v>1E-3</v>
      </c>
      <c r="G1897" s="142" t="s">
        <v>6</v>
      </c>
      <c r="H1897" s="142" t="s">
        <v>5</v>
      </c>
      <c r="I1897">
        <v>500</v>
      </c>
      <c r="J1897">
        <v>501</v>
      </c>
      <c r="K1897" s="142" t="s">
        <v>10</v>
      </c>
      <c r="L1897">
        <v>643.30999999999995</v>
      </c>
      <c r="M1897">
        <v>5206.3999999999996</v>
      </c>
      <c r="N1897">
        <v>643.12</v>
      </c>
      <c r="O1897">
        <v>5206.6000000000004</v>
      </c>
    </row>
    <row r="1898" spans="1:15" x14ac:dyDescent="0.25">
      <c r="A1898" s="142" t="s">
        <v>1230</v>
      </c>
      <c r="B1898" s="142" t="s">
        <v>51</v>
      </c>
      <c r="C1898" s="142" t="s">
        <v>8</v>
      </c>
      <c r="D1898">
        <v>0.33</v>
      </c>
      <c r="E1898">
        <v>3.3001</v>
      </c>
      <c r="F1898">
        <v>1E-3</v>
      </c>
      <c r="G1898" s="142" t="s">
        <v>6</v>
      </c>
      <c r="H1898" s="142" t="s">
        <v>4</v>
      </c>
      <c r="I1898">
        <v>0.01</v>
      </c>
      <c r="J1898">
        <v>4.5010000000000001E-2</v>
      </c>
      <c r="K1898" s="142" t="s">
        <v>10</v>
      </c>
      <c r="L1898">
        <v>0.48274</v>
      </c>
      <c r="M1898">
        <v>0.46448</v>
      </c>
      <c r="N1898">
        <v>0.4824</v>
      </c>
      <c r="O1898">
        <v>0.46450000000000002</v>
      </c>
    </row>
    <row r="1899" spans="1:15" x14ac:dyDescent="0.25">
      <c r="A1899" s="142" t="s">
        <v>1229</v>
      </c>
      <c r="B1899" s="142" t="s">
        <v>51</v>
      </c>
      <c r="C1899" s="142" t="s">
        <v>8</v>
      </c>
      <c r="D1899">
        <v>0.33</v>
      </c>
      <c r="E1899">
        <v>3.3001</v>
      </c>
      <c r="F1899">
        <v>1E-3</v>
      </c>
      <c r="G1899" s="142" t="s">
        <v>6</v>
      </c>
      <c r="H1899" s="142" t="s">
        <v>4</v>
      </c>
      <c r="I1899">
        <v>4.4999999999999998E-2</v>
      </c>
      <c r="J1899">
        <v>10.00001</v>
      </c>
      <c r="K1899" s="142" t="s">
        <v>10</v>
      </c>
      <c r="L1899">
        <v>0.52675000000000005</v>
      </c>
      <c r="M1899">
        <v>0.24887000000000001</v>
      </c>
      <c r="N1899">
        <v>0.52639999999999998</v>
      </c>
      <c r="O1899">
        <v>0.24884999999999999</v>
      </c>
    </row>
    <row r="1900" spans="1:15" x14ac:dyDescent="0.25">
      <c r="A1900" s="142" t="s">
        <v>1233</v>
      </c>
      <c r="B1900" s="142" t="s">
        <v>51</v>
      </c>
      <c r="C1900" s="142" t="s">
        <v>8</v>
      </c>
      <c r="D1900">
        <v>0.33</v>
      </c>
      <c r="E1900">
        <v>3.3001</v>
      </c>
      <c r="F1900">
        <v>1E-3</v>
      </c>
      <c r="G1900" s="142" t="s">
        <v>6</v>
      </c>
      <c r="H1900" s="142" t="s">
        <v>4</v>
      </c>
      <c r="I1900">
        <v>10</v>
      </c>
      <c r="J1900">
        <v>20.010000000000002</v>
      </c>
      <c r="K1900" s="142" t="s">
        <v>10</v>
      </c>
      <c r="L1900">
        <v>0.43426999999999999</v>
      </c>
      <c r="M1900">
        <v>0.71669000000000005</v>
      </c>
      <c r="N1900">
        <v>0.43391000000000002</v>
      </c>
      <c r="O1900">
        <v>0.71674000000000004</v>
      </c>
    </row>
    <row r="1901" spans="1:15" x14ac:dyDescent="0.25">
      <c r="A1901" s="142" t="s">
        <v>1228</v>
      </c>
      <c r="B1901" s="142" t="s">
        <v>51</v>
      </c>
      <c r="C1901" s="142" t="s">
        <v>8</v>
      </c>
      <c r="D1901">
        <v>0.33</v>
      </c>
      <c r="E1901">
        <v>3.3001</v>
      </c>
      <c r="F1901">
        <v>1E-3</v>
      </c>
      <c r="G1901" s="142" t="s">
        <v>6</v>
      </c>
      <c r="H1901" s="142" t="s">
        <v>4</v>
      </c>
      <c r="I1901">
        <v>20</v>
      </c>
      <c r="J1901">
        <v>50.01</v>
      </c>
      <c r="K1901" s="142" t="s">
        <v>10</v>
      </c>
      <c r="L1901">
        <v>0.38064999999999999</v>
      </c>
      <c r="M1901">
        <v>1.0748</v>
      </c>
      <c r="N1901">
        <v>0.37986999999999999</v>
      </c>
      <c r="O1901">
        <v>1.0749</v>
      </c>
    </row>
    <row r="1902" spans="1:15" x14ac:dyDescent="0.25">
      <c r="A1902" s="142" t="s">
        <v>1231</v>
      </c>
      <c r="B1902" s="142" t="s">
        <v>51</v>
      </c>
      <c r="C1902" s="142" t="s">
        <v>8</v>
      </c>
      <c r="D1902">
        <v>0.33</v>
      </c>
      <c r="E1902">
        <v>3.3001</v>
      </c>
      <c r="F1902">
        <v>1E-3</v>
      </c>
      <c r="G1902" s="142" t="s">
        <v>6</v>
      </c>
      <c r="H1902" s="142" t="s">
        <v>4</v>
      </c>
      <c r="I1902">
        <v>50</v>
      </c>
      <c r="J1902">
        <v>100.01</v>
      </c>
      <c r="K1902" s="142" t="s">
        <v>10</v>
      </c>
      <c r="L1902">
        <v>0.38846000000000003</v>
      </c>
      <c r="M1902">
        <v>2.6152000000000002</v>
      </c>
      <c r="N1902">
        <v>0.38733000000000001</v>
      </c>
      <c r="O1902">
        <v>2.6154000000000002</v>
      </c>
    </row>
    <row r="1903" spans="1:15" x14ac:dyDescent="0.25">
      <c r="A1903" s="142" t="s">
        <v>1232</v>
      </c>
      <c r="B1903" s="142" t="s">
        <v>51</v>
      </c>
      <c r="C1903" s="142" t="s">
        <v>8</v>
      </c>
      <c r="D1903">
        <v>0.33</v>
      </c>
      <c r="E1903">
        <v>3.3001</v>
      </c>
      <c r="F1903">
        <v>1E-3</v>
      </c>
      <c r="G1903" s="142" t="s">
        <v>6</v>
      </c>
      <c r="H1903" s="142" t="s">
        <v>4</v>
      </c>
      <c r="I1903">
        <v>100</v>
      </c>
      <c r="J1903">
        <v>500</v>
      </c>
      <c r="K1903" s="142" t="s">
        <v>10</v>
      </c>
      <c r="L1903">
        <v>1.1000000000000001</v>
      </c>
      <c r="M1903">
        <v>5.7778</v>
      </c>
      <c r="N1903">
        <v>1.0964</v>
      </c>
      <c r="O1903">
        <v>5.7779999999999996</v>
      </c>
    </row>
    <row r="1904" spans="1:15" x14ac:dyDescent="0.25">
      <c r="A1904" s="142" t="s">
        <v>1725</v>
      </c>
      <c r="B1904" s="142" t="s">
        <v>51</v>
      </c>
      <c r="C1904" s="142" t="s">
        <v>8</v>
      </c>
      <c r="D1904">
        <v>0.33</v>
      </c>
      <c r="E1904">
        <v>3.3001</v>
      </c>
      <c r="F1904">
        <v>1E-3</v>
      </c>
      <c r="G1904" s="142" t="s">
        <v>6</v>
      </c>
      <c r="H1904" s="142" t="s">
        <v>4</v>
      </c>
      <c r="I1904">
        <v>500</v>
      </c>
      <c r="J1904">
        <v>501</v>
      </c>
      <c r="K1904" s="142" t="s">
        <v>10</v>
      </c>
      <c r="L1904">
        <v>1.1000000000000001</v>
      </c>
      <c r="M1904">
        <v>5.7778</v>
      </c>
      <c r="N1904">
        <v>1.0964</v>
      </c>
      <c r="O1904">
        <v>5.7779999999999996</v>
      </c>
    </row>
    <row r="1905" spans="1:15" x14ac:dyDescent="0.25">
      <c r="A1905" s="142" t="s">
        <v>1253</v>
      </c>
      <c r="B1905" s="142" t="s">
        <v>51</v>
      </c>
      <c r="C1905" s="142" t="s">
        <v>8</v>
      </c>
      <c r="D1905">
        <v>3.3</v>
      </c>
      <c r="E1905">
        <v>33.000999999999998</v>
      </c>
      <c r="F1905">
        <v>1E-3</v>
      </c>
      <c r="G1905" s="142" t="s">
        <v>6</v>
      </c>
      <c r="H1905" s="142" t="s">
        <v>4</v>
      </c>
      <c r="I1905">
        <v>0.01</v>
      </c>
      <c r="J1905">
        <v>4.5010000000000001E-2</v>
      </c>
      <c r="K1905" s="142" t="s">
        <v>10</v>
      </c>
      <c r="L1905">
        <v>0.98726000000000003</v>
      </c>
      <c r="M1905">
        <v>0.57660999999999996</v>
      </c>
      <c r="N1905">
        <v>0.98668</v>
      </c>
      <c r="O1905">
        <v>0.57662000000000002</v>
      </c>
    </row>
    <row r="1906" spans="1:15" x14ac:dyDescent="0.25">
      <c r="A1906" s="142" t="s">
        <v>1251</v>
      </c>
      <c r="B1906" s="142" t="s">
        <v>51</v>
      </c>
      <c r="C1906" s="142" t="s">
        <v>8</v>
      </c>
      <c r="D1906">
        <v>3.3</v>
      </c>
      <c r="E1906">
        <v>33.000999999999998</v>
      </c>
      <c r="F1906">
        <v>1E-3</v>
      </c>
      <c r="G1906" s="142" t="s">
        <v>6</v>
      </c>
      <c r="H1906" s="142" t="s">
        <v>4</v>
      </c>
      <c r="I1906">
        <v>4.4999999999999998E-2</v>
      </c>
      <c r="J1906">
        <v>10.00001</v>
      </c>
      <c r="K1906" s="142" t="s">
        <v>10</v>
      </c>
      <c r="L1906">
        <v>0.78956999999999999</v>
      </c>
      <c r="M1906">
        <v>0.34543000000000001</v>
      </c>
      <c r="N1906">
        <v>0.78891</v>
      </c>
      <c r="O1906">
        <v>0.34543000000000001</v>
      </c>
    </row>
    <row r="1907" spans="1:15" x14ac:dyDescent="0.25">
      <c r="A1907" s="142" t="s">
        <v>1728</v>
      </c>
      <c r="B1907" s="142" t="s">
        <v>51</v>
      </c>
      <c r="C1907" s="142" t="s">
        <v>8</v>
      </c>
      <c r="D1907">
        <v>3.3</v>
      </c>
      <c r="E1907">
        <v>33.000999999999998</v>
      </c>
      <c r="F1907">
        <v>1E-3</v>
      </c>
      <c r="G1907" s="142" t="s">
        <v>6</v>
      </c>
      <c r="H1907" s="142" t="s">
        <v>4</v>
      </c>
      <c r="I1907">
        <v>10</v>
      </c>
      <c r="J1907">
        <v>20.010000000000002</v>
      </c>
      <c r="K1907" s="142" t="s">
        <v>10</v>
      </c>
      <c r="L1907">
        <v>0.74743999999999999</v>
      </c>
      <c r="M1907">
        <v>0.8075</v>
      </c>
      <c r="N1907">
        <v>0.74699000000000004</v>
      </c>
      <c r="O1907">
        <v>0.80750999999999995</v>
      </c>
    </row>
    <row r="1908" spans="1:15" x14ac:dyDescent="0.25">
      <c r="A1908" s="142" t="s">
        <v>1250</v>
      </c>
      <c r="B1908" s="142" t="s">
        <v>51</v>
      </c>
      <c r="C1908" s="142" t="s">
        <v>8</v>
      </c>
      <c r="D1908">
        <v>3.3</v>
      </c>
      <c r="E1908">
        <v>33.000999999999998</v>
      </c>
      <c r="F1908">
        <v>1E-3</v>
      </c>
      <c r="G1908" s="142" t="s">
        <v>6</v>
      </c>
      <c r="H1908" s="142" t="s">
        <v>4</v>
      </c>
      <c r="I1908">
        <v>20</v>
      </c>
      <c r="J1908">
        <v>50.01</v>
      </c>
      <c r="K1908" s="142" t="s">
        <v>10</v>
      </c>
      <c r="L1908">
        <v>0.73465999999999998</v>
      </c>
      <c r="M1908">
        <v>1.1553</v>
      </c>
      <c r="N1908">
        <v>0.73165000000000002</v>
      </c>
      <c r="O1908">
        <v>1.1554</v>
      </c>
    </row>
    <row r="1909" spans="1:15" x14ac:dyDescent="0.25">
      <c r="A1909" s="142" t="s">
        <v>1252</v>
      </c>
      <c r="B1909" s="142" t="s">
        <v>51</v>
      </c>
      <c r="C1909" s="142" t="s">
        <v>8</v>
      </c>
      <c r="D1909">
        <v>3.3</v>
      </c>
      <c r="E1909">
        <v>33.000999999999998</v>
      </c>
      <c r="F1909">
        <v>1E-3</v>
      </c>
      <c r="G1909" s="142" t="s">
        <v>6</v>
      </c>
      <c r="H1909" s="142" t="s">
        <v>4</v>
      </c>
      <c r="I1909">
        <v>50</v>
      </c>
      <c r="J1909">
        <v>100.01</v>
      </c>
      <c r="K1909" s="142" t="s">
        <v>10</v>
      </c>
      <c r="L1909">
        <v>2.3264999999999998</v>
      </c>
      <c r="M1909">
        <v>2.6572</v>
      </c>
      <c r="N1909">
        <v>2.3233999999999999</v>
      </c>
      <c r="O1909">
        <v>2.6573000000000002</v>
      </c>
    </row>
    <row r="1910" spans="1:15" x14ac:dyDescent="0.25">
      <c r="A1910" s="142" t="s">
        <v>1248</v>
      </c>
      <c r="B1910" s="142" t="s">
        <v>51</v>
      </c>
      <c r="C1910" s="142" t="s">
        <v>8</v>
      </c>
      <c r="D1910">
        <v>3.3</v>
      </c>
      <c r="E1910">
        <v>33.000999999999998</v>
      </c>
      <c r="F1910">
        <v>1E-3</v>
      </c>
      <c r="G1910" s="142" t="s">
        <v>6</v>
      </c>
      <c r="H1910" s="142" t="s">
        <v>4</v>
      </c>
      <c r="I1910">
        <v>100</v>
      </c>
      <c r="J1910">
        <v>500</v>
      </c>
      <c r="K1910" s="142" t="s">
        <v>10</v>
      </c>
      <c r="L1910">
        <v>13</v>
      </c>
      <c r="M1910">
        <v>4.5999999999999996</v>
      </c>
      <c r="N1910">
        <v>2.3500999999999999</v>
      </c>
      <c r="O1910">
        <v>2.6989999999999998</v>
      </c>
    </row>
    <row r="1911" spans="1:15" x14ac:dyDescent="0.25">
      <c r="A1911" s="142" t="s">
        <v>1249</v>
      </c>
      <c r="B1911" s="142" t="s">
        <v>51</v>
      </c>
      <c r="C1911" s="142" t="s">
        <v>8</v>
      </c>
      <c r="D1911">
        <v>3.3</v>
      </c>
      <c r="E1911">
        <v>33.000999999999998</v>
      </c>
      <c r="F1911">
        <v>1E-3</v>
      </c>
      <c r="G1911" s="142" t="s">
        <v>6</v>
      </c>
      <c r="H1911" s="142" t="s">
        <v>4</v>
      </c>
      <c r="I1911">
        <v>500</v>
      </c>
      <c r="J1911">
        <v>501</v>
      </c>
      <c r="K1911" s="142" t="s">
        <v>10</v>
      </c>
      <c r="L1911">
        <v>13</v>
      </c>
      <c r="M1911">
        <v>4.5999999999999996</v>
      </c>
      <c r="N1911">
        <v>2.3500999999999999</v>
      </c>
      <c r="O1911">
        <v>2.6989999999999998</v>
      </c>
    </row>
    <row r="1912" spans="1:15" x14ac:dyDescent="0.25">
      <c r="A1912" s="142" t="s">
        <v>1272</v>
      </c>
      <c r="B1912" s="142" t="s">
        <v>51</v>
      </c>
      <c r="C1912" s="142" t="s">
        <v>8</v>
      </c>
      <c r="D1912">
        <v>33</v>
      </c>
      <c r="E1912">
        <v>330.01</v>
      </c>
      <c r="F1912">
        <v>1E-3</v>
      </c>
      <c r="G1912" s="142" t="s">
        <v>6</v>
      </c>
      <c r="H1912" s="142" t="s">
        <v>4</v>
      </c>
      <c r="I1912">
        <v>0.01</v>
      </c>
      <c r="J1912">
        <v>4.5010000000000001E-2</v>
      </c>
      <c r="K1912" s="142" t="s">
        <v>10</v>
      </c>
      <c r="L1912">
        <v>3.5</v>
      </c>
      <c r="M1912">
        <v>0.57999999999999996</v>
      </c>
      <c r="N1912">
        <v>3.4704999999999999</v>
      </c>
      <c r="O1912">
        <v>0.57867999999999997</v>
      </c>
    </row>
    <row r="1913" spans="1:15" x14ac:dyDescent="0.25">
      <c r="A1913" s="142" t="s">
        <v>1269</v>
      </c>
      <c r="B1913" s="142" t="s">
        <v>51</v>
      </c>
      <c r="C1913" s="142" t="s">
        <v>8</v>
      </c>
      <c r="D1913">
        <v>33</v>
      </c>
      <c r="E1913">
        <v>330.01</v>
      </c>
      <c r="F1913">
        <v>1E-3</v>
      </c>
      <c r="G1913" s="142" t="s">
        <v>6</v>
      </c>
      <c r="H1913" s="142" t="s">
        <v>4</v>
      </c>
      <c r="I1913">
        <v>4.4999999999999998E-2</v>
      </c>
      <c r="J1913">
        <v>10.00001</v>
      </c>
      <c r="K1913" s="142" t="s">
        <v>10</v>
      </c>
      <c r="L1913">
        <v>12</v>
      </c>
      <c r="M1913">
        <v>0.92</v>
      </c>
      <c r="N1913">
        <v>10.393000000000001</v>
      </c>
      <c r="O1913">
        <v>0.92459000000000002</v>
      </c>
    </row>
    <row r="1914" spans="1:15" x14ac:dyDescent="0.25">
      <c r="A1914" s="142" t="s">
        <v>1271</v>
      </c>
      <c r="B1914" s="142" t="s">
        <v>51</v>
      </c>
      <c r="C1914" s="142" t="s">
        <v>8</v>
      </c>
      <c r="D1914">
        <v>33</v>
      </c>
      <c r="E1914">
        <v>330.01</v>
      </c>
      <c r="F1914">
        <v>1E-3</v>
      </c>
      <c r="G1914" s="142" t="s">
        <v>6</v>
      </c>
      <c r="H1914" s="142" t="s">
        <v>4</v>
      </c>
      <c r="I1914">
        <v>10</v>
      </c>
      <c r="J1914">
        <v>20.010000000000002</v>
      </c>
      <c r="K1914" s="142" t="s">
        <v>10</v>
      </c>
      <c r="L1914">
        <v>24</v>
      </c>
      <c r="M1914">
        <v>1</v>
      </c>
      <c r="N1914">
        <v>10.388</v>
      </c>
      <c r="O1914">
        <v>1.04</v>
      </c>
    </row>
    <row r="1915" spans="1:15" x14ac:dyDescent="0.25">
      <c r="A1915" s="142" t="s">
        <v>1274</v>
      </c>
      <c r="B1915" s="142" t="s">
        <v>51</v>
      </c>
      <c r="C1915" s="142" t="s">
        <v>8</v>
      </c>
      <c r="D1915">
        <v>33</v>
      </c>
      <c r="E1915">
        <v>330.01</v>
      </c>
      <c r="F1915">
        <v>1E-3</v>
      </c>
      <c r="G1915" s="142" t="s">
        <v>6</v>
      </c>
      <c r="H1915" s="142" t="s">
        <v>4</v>
      </c>
      <c r="I1915">
        <v>20</v>
      </c>
      <c r="J1915">
        <v>50.01</v>
      </c>
      <c r="K1915" s="142" t="s">
        <v>10</v>
      </c>
      <c r="L1915">
        <v>22</v>
      </c>
      <c r="M1915">
        <v>1.4</v>
      </c>
      <c r="N1915">
        <v>10.266</v>
      </c>
      <c r="O1915">
        <v>1.3912</v>
      </c>
    </row>
    <row r="1916" spans="1:15" x14ac:dyDescent="0.25">
      <c r="A1916" s="142" t="s">
        <v>1273</v>
      </c>
      <c r="B1916" s="142" t="s">
        <v>51</v>
      </c>
      <c r="C1916" s="142" t="s">
        <v>8</v>
      </c>
      <c r="D1916">
        <v>33</v>
      </c>
      <c r="E1916">
        <v>330.01</v>
      </c>
      <c r="F1916">
        <v>1E-3</v>
      </c>
      <c r="G1916" s="142" t="s">
        <v>6</v>
      </c>
      <c r="H1916" s="142" t="s">
        <v>4</v>
      </c>
      <c r="I1916">
        <v>50</v>
      </c>
      <c r="J1916">
        <v>100</v>
      </c>
      <c r="K1916" s="142" t="s">
        <v>10</v>
      </c>
      <c r="L1916">
        <v>92</v>
      </c>
      <c r="M1916">
        <v>2.8</v>
      </c>
      <c r="N1916">
        <v>91.936999999999998</v>
      </c>
      <c r="O1916">
        <v>2.7856000000000001</v>
      </c>
    </row>
    <row r="1917" spans="1:15" x14ac:dyDescent="0.25">
      <c r="A1917" s="142" t="s">
        <v>1270</v>
      </c>
      <c r="B1917" s="142" t="s">
        <v>51</v>
      </c>
      <c r="C1917" s="142" t="s">
        <v>8</v>
      </c>
      <c r="D1917">
        <v>33</v>
      </c>
      <c r="E1917">
        <v>330.01</v>
      </c>
      <c r="F1917">
        <v>1E-3</v>
      </c>
      <c r="G1917" s="142" t="s">
        <v>6</v>
      </c>
      <c r="H1917" s="142" t="s">
        <v>4</v>
      </c>
      <c r="I1917">
        <v>100</v>
      </c>
      <c r="J1917">
        <v>100.1</v>
      </c>
      <c r="K1917" s="142" t="s">
        <v>10</v>
      </c>
      <c r="L1917">
        <v>92</v>
      </c>
      <c r="M1917">
        <v>2.8</v>
      </c>
      <c r="N1917">
        <v>91.936999999999998</v>
      </c>
      <c r="O1917">
        <v>2.7856000000000001</v>
      </c>
    </row>
    <row r="1918" spans="1:15" x14ac:dyDescent="0.25">
      <c r="A1918" s="142" t="s">
        <v>2177</v>
      </c>
      <c r="B1918" s="142" t="s">
        <v>51</v>
      </c>
      <c r="C1918" s="142" t="s">
        <v>8</v>
      </c>
      <c r="D1918">
        <v>330</v>
      </c>
      <c r="E1918">
        <v>1020.01</v>
      </c>
      <c r="F1918">
        <v>1E-3</v>
      </c>
      <c r="G1918" s="142" t="s">
        <v>6</v>
      </c>
      <c r="H1918" s="142" t="s">
        <v>4</v>
      </c>
      <c r="I1918">
        <v>4.4999999999999998E-2</v>
      </c>
      <c r="J1918">
        <v>1.0000100000000001</v>
      </c>
      <c r="K1918" s="142" t="s">
        <v>10</v>
      </c>
      <c r="L1918">
        <v>24</v>
      </c>
      <c r="M1918">
        <v>0.57999999999999996</v>
      </c>
      <c r="N1918">
        <v>23.335000000000001</v>
      </c>
      <c r="O1918">
        <v>0.57833999999999997</v>
      </c>
    </row>
    <row r="1919" spans="1:15" x14ac:dyDescent="0.25">
      <c r="A1919" s="142" t="s">
        <v>1293</v>
      </c>
      <c r="B1919" s="142" t="s">
        <v>51</v>
      </c>
      <c r="C1919" s="142" t="s">
        <v>8</v>
      </c>
      <c r="D1919">
        <v>330</v>
      </c>
      <c r="E1919">
        <v>1020.01</v>
      </c>
      <c r="F1919">
        <v>1E-3</v>
      </c>
      <c r="G1919" s="142" t="s">
        <v>6</v>
      </c>
      <c r="H1919" s="142" t="s">
        <v>4</v>
      </c>
      <c r="I1919">
        <v>1</v>
      </c>
      <c r="J1919">
        <v>5.01</v>
      </c>
      <c r="K1919" s="142" t="s">
        <v>10</v>
      </c>
      <c r="L1919">
        <v>28</v>
      </c>
      <c r="M1919">
        <v>0.92</v>
      </c>
      <c r="N1919">
        <v>23.262</v>
      </c>
      <c r="O1919">
        <v>0.92437000000000002</v>
      </c>
    </row>
    <row r="1920" spans="1:15" x14ac:dyDescent="0.25">
      <c r="A1920" s="142" t="s">
        <v>2791</v>
      </c>
      <c r="B1920" s="142" t="s">
        <v>51</v>
      </c>
      <c r="C1920" s="142" t="s">
        <v>8</v>
      </c>
      <c r="D1920">
        <v>330</v>
      </c>
      <c r="E1920">
        <v>1020.01</v>
      </c>
      <c r="F1920">
        <v>1E-3</v>
      </c>
      <c r="G1920" s="142" t="s">
        <v>6</v>
      </c>
      <c r="H1920" s="142" t="s">
        <v>4</v>
      </c>
      <c r="I1920">
        <v>5</v>
      </c>
      <c r="J1920">
        <v>10</v>
      </c>
      <c r="K1920" s="142" t="s">
        <v>10</v>
      </c>
      <c r="L1920">
        <v>64</v>
      </c>
      <c r="M1920">
        <v>1</v>
      </c>
      <c r="N1920">
        <v>23.23</v>
      </c>
      <c r="O1920">
        <v>1.0398000000000001</v>
      </c>
    </row>
    <row r="1921" spans="1:15" x14ac:dyDescent="0.25">
      <c r="A1921" s="142" t="s">
        <v>1294</v>
      </c>
      <c r="B1921" s="142" t="s">
        <v>51</v>
      </c>
      <c r="C1921" s="142" t="s">
        <v>8</v>
      </c>
      <c r="D1921">
        <v>330</v>
      </c>
      <c r="E1921">
        <v>1020.01</v>
      </c>
      <c r="F1921">
        <v>1E-3</v>
      </c>
      <c r="G1921" s="142" t="s">
        <v>6</v>
      </c>
      <c r="H1921" s="142" t="s">
        <v>4</v>
      </c>
      <c r="I1921">
        <v>10</v>
      </c>
      <c r="J1921">
        <v>10.01</v>
      </c>
      <c r="K1921" s="142" t="s">
        <v>10</v>
      </c>
      <c r="L1921">
        <v>64</v>
      </c>
      <c r="M1921">
        <v>1</v>
      </c>
      <c r="N1921">
        <v>23.23</v>
      </c>
      <c r="O1921">
        <v>1.0398000000000001</v>
      </c>
    </row>
    <row r="1922" spans="1:15" x14ac:dyDescent="0.25">
      <c r="A1922" s="142" t="s">
        <v>1171</v>
      </c>
      <c r="B1922" s="142" t="s">
        <v>51</v>
      </c>
      <c r="C1922" s="142" t="s">
        <v>8</v>
      </c>
      <c r="D1922">
        <v>0</v>
      </c>
      <c r="E1922">
        <v>3.3009999999999998E-2</v>
      </c>
      <c r="F1922">
        <v>0.01</v>
      </c>
      <c r="G1922" s="142" t="s">
        <v>6</v>
      </c>
      <c r="H1922" s="142" t="s">
        <v>5</v>
      </c>
      <c r="I1922">
        <v>0.01</v>
      </c>
      <c r="J1922">
        <v>4.5010000000000001E-2</v>
      </c>
      <c r="K1922" s="142" t="s">
        <v>10</v>
      </c>
      <c r="L1922">
        <v>5800</v>
      </c>
      <c r="M1922">
        <v>16.202000000000002</v>
      </c>
      <c r="N1922">
        <v>5800</v>
      </c>
      <c r="O1922">
        <v>15.714</v>
      </c>
    </row>
    <row r="1923" spans="1:15" x14ac:dyDescent="0.25">
      <c r="A1923" s="142" t="s">
        <v>2179</v>
      </c>
      <c r="B1923" s="142" t="s">
        <v>51</v>
      </c>
      <c r="C1923" s="142" t="s">
        <v>8</v>
      </c>
      <c r="D1923">
        <v>0</v>
      </c>
      <c r="E1923">
        <v>3.3009999999999998E-2</v>
      </c>
      <c r="F1923">
        <v>0.01</v>
      </c>
      <c r="G1923" s="142" t="s">
        <v>6</v>
      </c>
      <c r="H1923" s="142" t="s">
        <v>5</v>
      </c>
      <c r="I1923">
        <v>4.4999999999999998E-2</v>
      </c>
      <c r="J1923">
        <v>10.00001</v>
      </c>
      <c r="K1923" s="142" t="s">
        <v>10</v>
      </c>
      <c r="L1923">
        <v>5800.1</v>
      </c>
      <c r="M1923">
        <v>9.0181000000000004</v>
      </c>
      <c r="N1923">
        <v>5800.1</v>
      </c>
      <c r="O1923">
        <v>8.5306999999999995</v>
      </c>
    </row>
    <row r="1924" spans="1:15" x14ac:dyDescent="0.25">
      <c r="A1924" s="142" t="s">
        <v>1168</v>
      </c>
      <c r="B1924" s="142" t="s">
        <v>51</v>
      </c>
      <c r="C1924" s="142" t="s">
        <v>8</v>
      </c>
      <c r="D1924">
        <v>0</v>
      </c>
      <c r="E1924">
        <v>3.3009999999999998E-2</v>
      </c>
      <c r="F1924">
        <v>0.01</v>
      </c>
      <c r="G1924" s="142" t="s">
        <v>6</v>
      </c>
      <c r="H1924" s="142" t="s">
        <v>5</v>
      </c>
      <c r="I1924">
        <v>10</v>
      </c>
      <c r="J1924">
        <v>20.010000000000002</v>
      </c>
      <c r="K1924" s="142" t="s">
        <v>10</v>
      </c>
      <c r="L1924">
        <v>5800</v>
      </c>
      <c r="M1924">
        <v>16.202000000000002</v>
      </c>
      <c r="N1924">
        <v>5800</v>
      </c>
      <c r="O1924">
        <v>15.714</v>
      </c>
    </row>
    <row r="1925" spans="1:15" x14ac:dyDescent="0.25">
      <c r="A1925" s="142" t="s">
        <v>1169</v>
      </c>
      <c r="B1925" s="142" t="s">
        <v>51</v>
      </c>
      <c r="C1925" s="142" t="s">
        <v>8</v>
      </c>
      <c r="D1925">
        <v>0</v>
      </c>
      <c r="E1925">
        <v>3.3009999999999998E-2</v>
      </c>
      <c r="F1925">
        <v>0.01</v>
      </c>
      <c r="G1925" s="142" t="s">
        <v>6</v>
      </c>
      <c r="H1925" s="142" t="s">
        <v>5</v>
      </c>
      <c r="I1925">
        <v>20</v>
      </c>
      <c r="J1925">
        <v>50.01</v>
      </c>
      <c r="K1925" s="142" t="s">
        <v>10</v>
      </c>
      <c r="L1925">
        <v>5800</v>
      </c>
      <c r="M1925">
        <v>25.350999999999999</v>
      </c>
      <c r="N1925">
        <v>5800</v>
      </c>
      <c r="O1925">
        <v>24.864000000000001</v>
      </c>
    </row>
    <row r="1926" spans="1:15" x14ac:dyDescent="0.25">
      <c r="A1926" s="142" t="s">
        <v>1170</v>
      </c>
      <c r="B1926" s="142" t="s">
        <v>51</v>
      </c>
      <c r="C1926" s="142" t="s">
        <v>8</v>
      </c>
      <c r="D1926">
        <v>0</v>
      </c>
      <c r="E1926">
        <v>3.3009999999999998E-2</v>
      </c>
      <c r="F1926">
        <v>0.01</v>
      </c>
      <c r="G1926" s="142" t="s">
        <v>6</v>
      </c>
      <c r="H1926" s="142" t="s">
        <v>5</v>
      </c>
      <c r="I1926">
        <v>50</v>
      </c>
      <c r="J1926">
        <v>100.01</v>
      </c>
      <c r="K1926" s="142" t="s">
        <v>10</v>
      </c>
      <c r="L1926">
        <v>5800.1</v>
      </c>
      <c r="M1926">
        <v>75.275000000000006</v>
      </c>
      <c r="N1926">
        <v>5800.1</v>
      </c>
      <c r="O1926">
        <v>74.549000000000007</v>
      </c>
    </row>
    <row r="1927" spans="1:15" x14ac:dyDescent="0.25">
      <c r="A1927" s="142" t="s">
        <v>1711</v>
      </c>
      <c r="B1927" s="142" t="s">
        <v>51</v>
      </c>
      <c r="C1927" s="142" t="s">
        <v>8</v>
      </c>
      <c r="D1927">
        <v>0</v>
      </c>
      <c r="E1927">
        <v>3.3009999999999998E-2</v>
      </c>
      <c r="F1927">
        <v>0.01</v>
      </c>
      <c r="G1927" s="142" t="s">
        <v>6</v>
      </c>
      <c r="H1927" s="142" t="s">
        <v>5</v>
      </c>
      <c r="I1927">
        <v>100</v>
      </c>
      <c r="J1927">
        <v>500</v>
      </c>
      <c r="K1927" s="142" t="s">
        <v>10</v>
      </c>
      <c r="L1927">
        <v>5800.1</v>
      </c>
      <c r="M1927">
        <v>530.77</v>
      </c>
      <c r="N1927">
        <v>5800.1</v>
      </c>
      <c r="O1927">
        <v>529.12</v>
      </c>
    </row>
    <row r="1928" spans="1:15" x14ac:dyDescent="0.25">
      <c r="A1928" s="142" t="s">
        <v>1167</v>
      </c>
      <c r="B1928" s="142" t="s">
        <v>51</v>
      </c>
      <c r="C1928" s="142" t="s">
        <v>8</v>
      </c>
      <c r="D1928">
        <v>0</v>
      </c>
      <c r="E1928">
        <v>3.3009999999999998E-2</v>
      </c>
      <c r="F1928">
        <v>0.01</v>
      </c>
      <c r="G1928" s="142" t="s">
        <v>6</v>
      </c>
      <c r="H1928" s="142" t="s">
        <v>5</v>
      </c>
      <c r="I1928">
        <v>500</v>
      </c>
      <c r="J1928">
        <v>501</v>
      </c>
      <c r="K1928" s="142" t="s">
        <v>10</v>
      </c>
      <c r="L1928">
        <v>5800.1</v>
      </c>
      <c r="M1928">
        <v>530.77</v>
      </c>
      <c r="N1928">
        <v>5800.1</v>
      </c>
      <c r="O1928">
        <v>529.12</v>
      </c>
    </row>
    <row r="1929" spans="1:15" x14ac:dyDescent="0.25">
      <c r="A1929" s="142" t="s">
        <v>1214</v>
      </c>
      <c r="B1929" s="142" t="s">
        <v>51</v>
      </c>
      <c r="C1929" s="142" t="s">
        <v>8</v>
      </c>
      <c r="D1929">
        <v>3.3000000000000002E-2</v>
      </c>
      <c r="E1929">
        <v>0.33001000000000003</v>
      </c>
      <c r="F1929">
        <v>0.01</v>
      </c>
      <c r="G1929" s="142" t="s">
        <v>6</v>
      </c>
      <c r="H1929" s="142" t="s">
        <v>5</v>
      </c>
      <c r="I1929">
        <v>0.01</v>
      </c>
      <c r="J1929">
        <v>4.5010000000000001E-2</v>
      </c>
      <c r="K1929" s="142" t="s">
        <v>10</v>
      </c>
      <c r="L1929">
        <v>5799.8</v>
      </c>
      <c r="M1929">
        <v>12.763</v>
      </c>
      <c r="N1929">
        <v>577.47</v>
      </c>
      <c r="O1929">
        <v>12.763</v>
      </c>
    </row>
    <row r="1930" spans="1:15" x14ac:dyDescent="0.25">
      <c r="A1930" s="142" t="s">
        <v>1218</v>
      </c>
      <c r="B1930" s="142" t="s">
        <v>51</v>
      </c>
      <c r="C1930" s="142" t="s">
        <v>8</v>
      </c>
      <c r="D1930">
        <v>3.3000000000000002E-2</v>
      </c>
      <c r="E1930">
        <v>0.33001000000000003</v>
      </c>
      <c r="F1930">
        <v>0.01</v>
      </c>
      <c r="G1930" s="142" t="s">
        <v>6</v>
      </c>
      <c r="H1930" s="142" t="s">
        <v>5</v>
      </c>
      <c r="I1930">
        <v>4.4999999999999998E-2</v>
      </c>
      <c r="J1930">
        <v>10.00001</v>
      </c>
      <c r="K1930" s="142" t="s">
        <v>10</v>
      </c>
      <c r="L1930">
        <v>5800</v>
      </c>
      <c r="M1930">
        <v>5.1718000000000002</v>
      </c>
      <c r="N1930">
        <v>5799.9</v>
      </c>
      <c r="O1930">
        <v>5.1718000000000002</v>
      </c>
    </row>
    <row r="1931" spans="1:15" x14ac:dyDescent="0.25">
      <c r="A1931" s="142" t="s">
        <v>1716</v>
      </c>
      <c r="B1931" s="142" t="s">
        <v>51</v>
      </c>
      <c r="C1931" s="142" t="s">
        <v>8</v>
      </c>
      <c r="D1931">
        <v>3.3000000000000002E-2</v>
      </c>
      <c r="E1931">
        <v>0.33001000000000003</v>
      </c>
      <c r="F1931">
        <v>0.01</v>
      </c>
      <c r="G1931" s="142" t="s">
        <v>6</v>
      </c>
      <c r="H1931" s="142" t="s">
        <v>5</v>
      </c>
      <c r="I1931">
        <v>10</v>
      </c>
      <c r="J1931">
        <v>20.010000000000002</v>
      </c>
      <c r="K1931" s="142" t="s">
        <v>10</v>
      </c>
      <c r="L1931">
        <v>5799.5</v>
      </c>
      <c r="M1931">
        <v>23.686</v>
      </c>
      <c r="N1931">
        <v>5799.4</v>
      </c>
      <c r="O1931">
        <v>23.686</v>
      </c>
    </row>
    <row r="1932" spans="1:15" x14ac:dyDescent="0.25">
      <c r="A1932" s="142" t="s">
        <v>1216</v>
      </c>
      <c r="B1932" s="142" t="s">
        <v>51</v>
      </c>
      <c r="C1932" s="142" t="s">
        <v>8</v>
      </c>
      <c r="D1932">
        <v>3.3000000000000002E-2</v>
      </c>
      <c r="E1932">
        <v>0.33001000000000003</v>
      </c>
      <c r="F1932">
        <v>0.01</v>
      </c>
      <c r="G1932" s="142" t="s">
        <v>6</v>
      </c>
      <c r="H1932" s="142" t="s">
        <v>5</v>
      </c>
      <c r="I1932">
        <v>20</v>
      </c>
      <c r="J1932">
        <v>50.01</v>
      </c>
      <c r="K1932" s="142" t="s">
        <v>10</v>
      </c>
      <c r="L1932">
        <v>5799</v>
      </c>
      <c r="M1932">
        <v>51.02</v>
      </c>
      <c r="N1932">
        <v>5798.9</v>
      </c>
      <c r="O1932">
        <v>50.942</v>
      </c>
    </row>
    <row r="1933" spans="1:15" x14ac:dyDescent="0.25">
      <c r="A1933" s="142" t="s">
        <v>1217</v>
      </c>
      <c r="B1933" s="142" t="s">
        <v>51</v>
      </c>
      <c r="C1933" s="142" t="s">
        <v>8</v>
      </c>
      <c r="D1933">
        <v>3.3000000000000002E-2</v>
      </c>
      <c r="E1933">
        <v>0.33001000000000003</v>
      </c>
      <c r="F1933">
        <v>0.01</v>
      </c>
      <c r="G1933" s="142" t="s">
        <v>6</v>
      </c>
      <c r="H1933" s="142" t="s">
        <v>5</v>
      </c>
      <c r="I1933">
        <v>50</v>
      </c>
      <c r="J1933">
        <v>100.01</v>
      </c>
      <c r="K1933" s="142" t="s">
        <v>10</v>
      </c>
      <c r="L1933">
        <v>5796.8</v>
      </c>
      <c r="M1933">
        <v>308.19</v>
      </c>
      <c r="N1933">
        <v>5796.8</v>
      </c>
      <c r="O1933">
        <v>308.02</v>
      </c>
    </row>
    <row r="1934" spans="1:15" x14ac:dyDescent="0.25">
      <c r="A1934" s="142" t="s">
        <v>1215</v>
      </c>
      <c r="B1934" s="142" t="s">
        <v>51</v>
      </c>
      <c r="C1934" s="142" t="s">
        <v>8</v>
      </c>
      <c r="D1934">
        <v>3.3000000000000002E-2</v>
      </c>
      <c r="E1934">
        <v>0.33001000000000003</v>
      </c>
      <c r="F1934">
        <v>0.01</v>
      </c>
      <c r="G1934" s="142" t="s">
        <v>6</v>
      </c>
      <c r="H1934" s="142" t="s">
        <v>5</v>
      </c>
      <c r="I1934">
        <v>100</v>
      </c>
      <c r="J1934">
        <v>500</v>
      </c>
      <c r="K1934" s="142" t="s">
        <v>10</v>
      </c>
      <c r="L1934">
        <v>5783</v>
      </c>
      <c r="M1934">
        <v>1371.2</v>
      </c>
      <c r="N1934">
        <v>5783</v>
      </c>
      <c r="O1934">
        <v>1370.9</v>
      </c>
    </row>
    <row r="1935" spans="1:15" x14ac:dyDescent="0.25">
      <c r="A1935" s="142" t="s">
        <v>1718</v>
      </c>
      <c r="B1935" s="142" t="s">
        <v>51</v>
      </c>
      <c r="C1935" s="142" t="s">
        <v>8</v>
      </c>
      <c r="D1935">
        <v>3.3000000000000002E-2</v>
      </c>
      <c r="E1935">
        <v>0.33001000000000003</v>
      </c>
      <c r="F1935">
        <v>0.01</v>
      </c>
      <c r="G1935" s="142" t="s">
        <v>6</v>
      </c>
      <c r="H1935" s="142" t="s">
        <v>5</v>
      </c>
      <c r="I1935">
        <v>500</v>
      </c>
      <c r="J1935">
        <v>501</v>
      </c>
      <c r="K1935" s="142" t="s">
        <v>10</v>
      </c>
      <c r="L1935">
        <v>5783</v>
      </c>
      <c r="M1935">
        <v>1371.2</v>
      </c>
      <c r="N1935">
        <v>5783</v>
      </c>
      <c r="O1935">
        <v>1370.9</v>
      </c>
    </row>
    <row r="1936" spans="1:15" x14ac:dyDescent="0.25">
      <c r="A1936" s="142" t="s">
        <v>1236</v>
      </c>
      <c r="B1936" s="142" t="s">
        <v>51</v>
      </c>
      <c r="C1936" s="142" t="s">
        <v>8</v>
      </c>
      <c r="D1936">
        <v>0.33</v>
      </c>
      <c r="E1936">
        <v>3.3001</v>
      </c>
      <c r="F1936">
        <v>0.01</v>
      </c>
      <c r="G1936" s="142" t="s">
        <v>6</v>
      </c>
      <c r="H1936" s="142" t="s">
        <v>4</v>
      </c>
      <c r="I1936">
        <v>0.01</v>
      </c>
      <c r="J1936">
        <v>4.5010000000000001E-2</v>
      </c>
      <c r="K1936" s="142" t="s">
        <v>10</v>
      </c>
      <c r="L1936">
        <v>5.7718999999999996</v>
      </c>
      <c r="M1936">
        <v>0.10338</v>
      </c>
      <c r="N1936">
        <v>5.7717000000000001</v>
      </c>
      <c r="O1936">
        <v>0.10332</v>
      </c>
    </row>
    <row r="1937" spans="1:15" x14ac:dyDescent="0.25">
      <c r="A1937" s="142" t="s">
        <v>1237</v>
      </c>
      <c r="B1937" s="142" t="s">
        <v>51</v>
      </c>
      <c r="C1937" s="142" t="s">
        <v>8</v>
      </c>
      <c r="D1937">
        <v>0.33</v>
      </c>
      <c r="E1937">
        <v>3.3001</v>
      </c>
      <c r="F1937">
        <v>0.01</v>
      </c>
      <c r="G1937" s="142" t="s">
        <v>6</v>
      </c>
      <c r="H1937" s="142" t="s">
        <v>4</v>
      </c>
      <c r="I1937">
        <v>4.4999999999999998E-2</v>
      </c>
      <c r="J1937">
        <v>10.00001</v>
      </c>
      <c r="K1937" s="142" t="s">
        <v>10</v>
      </c>
      <c r="L1937">
        <v>5.7893999999999997</v>
      </c>
      <c r="M1937">
        <v>4.1576000000000002E-2</v>
      </c>
      <c r="N1937">
        <v>5.7892000000000001</v>
      </c>
      <c r="O1937">
        <v>4.1502999999999998E-2</v>
      </c>
    </row>
    <row r="1938" spans="1:15" x14ac:dyDescent="0.25">
      <c r="A1938" s="142" t="s">
        <v>1238</v>
      </c>
      <c r="B1938" s="142" t="s">
        <v>51</v>
      </c>
      <c r="C1938" s="142" t="s">
        <v>8</v>
      </c>
      <c r="D1938">
        <v>0.33</v>
      </c>
      <c r="E1938">
        <v>3.3001</v>
      </c>
      <c r="F1938">
        <v>0.01</v>
      </c>
      <c r="G1938" s="142" t="s">
        <v>6</v>
      </c>
      <c r="H1938" s="142" t="s">
        <v>4</v>
      </c>
      <c r="I1938">
        <v>10</v>
      </c>
      <c r="J1938">
        <v>20.010000000000002</v>
      </c>
      <c r="K1938" s="142" t="s">
        <v>10</v>
      </c>
      <c r="L1938">
        <v>5.7427999999999999</v>
      </c>
      <c r="M1938">
        <v>0.20349999999999999</v>
      </c>
      <c r="N1938">
        <v>5.7426000000000004</v>
      </c>
      <c r="O1938">
        <v>0.20344000000000001</v>
      </c>
    </row>
    <row r="1939" spans="1:15" x14ac:dyDescent="0.25">
      <c r="A1939" s="142" t="s">
        <v>1234</v>
      </c>
      <c r="B1939" s="142" t="s">
        <v>51</v>
      </c>
      <c r="C1939" s="142" t="s">
        <v>8</v>
      </c>
      <c r="D1939">
        <v>0.33</v>
      </c>
      <c r="E1939">
        <v>3.3001</v>
      </c>
      <c r="F1939">
        <v>0.01</v>
      </c>
      <c r="G1939" s="142" t="s">
        <v>6</v>
      </c>
      <c r="H1939" s="142" t="s">
        <v>4</v>
      </c>
      <c r="I1939">
        <v>20</v>
      </c>
      <c r="J1939">
        <v>50.01</v>
      </c>
      <c r="K1939" s="142" t="s">
        <v>10</v>
      </c>
      <c r="L1939">
        <v>5.6886000000000001</v>
      </c>
      <c r="M1939">
        <v>0.39166000000000001</v>
      </c>
      <c r="N1939">
        <v>5.6882999999999999</v>
      </c>
      <c r="O1939">
        <v>0.39154</v>
      </c>
    </row>
    <row r="1940" spans="1:15" x14ac:dyDescent="0.25">
      <c r="A1940" s="142" t="s">
        <v>1722</v>
      </c>
      <c r="B1940" s="142" t="s">
        <v>51</v>
      </c>
      <c r="C1940" s="142" t="s">
        <v>8</v>
      </c>
      <c r="D1940">
        <v>0.33</v>
      </c>
      <c r="E1940">
        <v>3.3001</v>
      </c>
      <c r="F1940">
        <v>0.01</v>
      </c>
      <c r="G1940" s="142" t="s">
        <v>6</v>
      </c>
      <c r="H1940" s="142" t="s">
        <v>4</v>
      </c>
      <c r="I1940">
        <v>50</v>
      </c>
      <c r="J1940">
        <v>100.01</v>
      </c>
      <c r="K1940" s="142" t="s">
        <v>10</v>
      </c>
      <c r="L1940">
        <v>5.3723000000000001</v>
      </c>
      <c r="M1940">
        <v>1.6168</v>
      </c>
      <c r="N1940">
        <v>5.3715000000000002</v>
      </c>
      <c r="O1940">
        <v>1.6167</v>
      </c>
    </row>
    <row r="1941" spans="1:15" x14ac:dyDescent="0.25">
      <c r="A1941" s="142" t="s">
        <v>1235</v>
      </c>
      <c r="B1941" s="142" t="s">
        <v>51</v>
      </c>
      <c r="C1941" s="142" t="s">
        <v>8</v>
      </c>
      <c r="D1941">
        <v>0.33</v>
      </c>
      <c r="E1941">
        <v>3.3001</v>
      </c>
      <c r="F1941">
        <v>0.01</v>
      </c>
      <c r="G1941" s="142" t="s">
        <v>6</v>
      </c>
      <c r="H1941" s="142" t="s">
        <v>4</v>
      </c>
      <c r="I1941">
        <v>100</v>
      </c>
      <c r="J1941">
        <v>500</v>
      </c>
      <c r="K1941" s="142" t="s">
        <v>10</v>
      </c>
      <c r="L1941">
        <v>4.9001000000000001</v>
      </c>
      <c r="M1941">
        <v>4.8711000000000002</v>
      </c>
      <c r="N1941">
        <v>4.8981000000000003</v>
      </c>
      <c r="O1941">
        <v>4.8712999999999997</v>
      </c>
    </row>
    <row r="1942" spans="1:15" x14ac:dyDescent="0.25">
      <c r="A1942" s="142" t="s">
        <v>1726</v>
      </c>
      <c r="B1942" s="142" t="s">
        <v>51</v>
      </c>
      <c r="C1942" s="142" t="s">
        <v>8</v>
      </c>
      <c r="D1942">
        <v>0.33</v>
      </c>
      <c r="E1942">
        <v>3.3001</v>
      </c>
      <c r="F1942">
        <v>0.01</v>
      </c>
      <c r="G1942" s="142" t="s">
        <v>6</v>
      </c>
      <c r="H1942" s="142" t="s">
        <v>4</v>
      </c>
      <c r="I1942">
        <v>500</v>
      </c>
      <c r="J1942">
        <v>501</v>
      </c>
      <c r="K1942" s="142" t="s">
        <v>10</v>
      </c>
      <c r="L1942">
        <v>4.9001000000000001</v>
      </c>
      <c r="M1942">
        <v>4.8711000000000002</v>
      </c>
      <c r="N1942">
        <v>4.8981000000000003</v>
      </c>
      <c r="O1942">
        <v>4.8712999999999997</v>
      </c>
    </row>
    <row r="1943" spans="1:15" x14ac:dyDescent="0.25">
      <c r="A1943" s="142" t="s">
        <v>1258</v>
      </c>
      <c r="B1943" s="142" t="s">
        <v>51</v>
      </c>
      <c r="C1943" s="142" t="s">
        <v>8</v>
      </c>
      <c r="D1943">
        <v>3.3</v>
      </c>
      <c r="E1943">
        <v>33.000999999999998</v>
      </c>
      <c r="F1943">
        <v>0.01</v>
      </c>
      <c r="G1943" s="142" t="s">
        <v>6</v>
      </c>
      <c r="H1943" s="142" t="s">
        <v>4</v>
      </c>
      <c r="I1943">
        <v>0.01</v>
      </c>
      <c r="J1943">
        <v>4.5010000000000001E-2</v>
      </c>
      <c r="K1943" s="142" t="s">
        <v>10</v>
      </c>
      <c r="L1943">
        <v>4.8574000000000002</v>
      </c>
      <c r="M1943">
        <v>0.48407</v>
      </c>
      <c r="N1943">
        <v>4.8564999999999996</v>
      </c>
      <c r="O1943">
        <v>0.48405999999999999</v>
      </c>
    </row>
    <row r="1944" spans="1:15" x14ac:dyDescent="0.25">
      <c r="A1944" s="142" t="s">
        <v>1255</v>
      </c>
      <c r="B1944" s="142" t="s">
        <v>51</v>
      </c>
      <c r="C1944" s="142" t="s">
        <v>8</v>
      </c>
      <c r="D1944">
        <v>3.3</v>
      </c>
      <c r="E1944">
        <v>33.000999999999998</v>
      </c>
      <c r="F1944">
        <v>0.01</v>
      </c>
      <c r="G1944" s="142" t="s">
        <v>6</v>
      </c>
      <c r="H1944" s="142" t="s">
        <v>4</v>
      </c>
      <c r="I1944">
        <v>4.4999999999999998E-2</v>
      </c>
      <c r="J1944">
        <v>10.00001</v>
      </c>
      <c r="K1944" s="142" t="s">
        <v>10</v>
      </c>
      <c r="L1944">
        <v>5.2633000000000001</v>
      </c>
      <c r="M1944">
        <v>0.24920999999999999</v>
      </c>
      <c r="N1944">
        <v>5.2624000000000004</v>
      </c>
      <c r="O1944">
        <v>0.24918000000000001</v>
      </c>
    </row>
    <row r="1945" spans="1:15" x14ac:dyDescent="0.25">
      <c r="A1945" s="142" t="s">
        <v>1729</v>
      </c>
      <c r="B1945" s="142" t="s">
        <v>51</v>
      </c>
      <c r="C1945" s="142" t="s">
        <v>8</v>
      </c>
      <c r="D1945">
        <v>3.3</v>
      </c>
      <c r="E1945">
        <v>33.000999999999998</v>
      </c>
      <c r="F1945">
        <v>0.01</v>
      </c>
      <c r="G1945" s="142" t="s">
        <v>6</v>
      </c>
      <c r="H1945" s="142" t="s">
        <v>4</v>
      </c>
      <c r="I1945">
        <v>10</v>
      </c>
      <c r="J1945">
        <v>20.010000000000002</v>
      </c>
      <c r="K1945" s="142" t="s">
        <v>10</v>
      </c>
      <c r="L1945">
        <v>4.3391999999999999</v>
      </c>
      <c r="M1945">
        <v>0.71689999999999998</v>
      </c>
      <c r="N1945">
        <v>4.3383000000000003</v>
      </c>
      <c r="O1945">
        <v>0.71689999999999998</v>
      </c>
    </row>
    <row r="1946" spans="1:15" x14ac:dyDescent="0.25">
      <c r="A1946" s="142" t="s">
        <v>1731</v>
      </c>
      <c r="B1946" s="142" t="s">
        <v>51</v>
      </c>
      <c r="C1946" s="142" t="s">
        <v>8</v>
      </c>
      <c r="D1946">
        <v>3.3</v>
      </c>
      <c r="E1946">
        <v>33.000999999999998</v>
      </c>
      <c r="F1946">
        <v>0.01</v>
      </c>
      <c r="G1946" s="142" t="s">
        <v>6</v>
      </c>
      <c r="H1946" s="142" t="s">
        <v>4</v>
      </c>
      <c r="I1946">
        <v>20</v>
      </c>
      <c r="J1946">
        <v>50.01</v>
      </c>
      <c r="K1946" s="142" t="s">
        <v>10</v>
      </c>
      <c r="L1946">
        <v>3.8001999999999998</v>
      </c>
      <c r="M1946">
        <v>1.0753999999999999</v>
      </c>
      <c r="N1946">
        <v>3.7970999999999999</v>
      </c>
      <c r="O1946">
        <v>1.0753999999999999</v>
      </c>
    </row>
    <row r="1947" spans="1:15" x14ac:dyDescent="0.25">
      <c r="A1947" s="142" t="s">
        <v>1256</v>
      </c>
      <c r="B1947" s="142" t="s">
        <v>51</v>
      </c>
      <c r="C1947" s="142" t="s">
        <v>8</v>
      </c>
      <c r="D1947">
        <v>3.3</v>
      </c>
      <c r="E1947">
        <v>33.000999999999998</v>
      </c>
      <c r="F1947">
        <v>0.01</v>
      </c>
      <c r="G1947" s="142" t="s">
        <v>6</v>
      </c>
      <c r="H1947" s="142" t="s">
        <v>4</v>
      </c>
      <c r="I1947">
        <v>50</v>
      </c>
      <c r="J1947">
        <v>100.01</v>
      </c>
      <c r="K1947" s="142" t="s">
        <v>10</v>
      </c>
      <c r="L1947">
        <v>3.8797000000000001</v>
      </c>
      <c r="M1947">
        <v>2.6158000000000001</v>
      </c>
      <c r="N1947">
        <v>3.8711000000000002</v>
      </c>
      <c r="O1947">
        <v>2.6160000000000001</v>
      </c>
    </row>
    <row r="1948" spans="1:15" x14ac:dyDescent="0.25">
      <c r="A1948" s="142" t="s">
        <v>1257</v>
      </c>
      <c r="B1948" s="142" t="s">
        <v>51</v>
      </c>
      <c r="C1948" s="142" t="s">
        <v>8</v>
      </c>
      <c r="D1948">
        <v>3.3</v>
      </c>
      <c r="E1948">
        <v>33.000999999999998</v>
      </c>
      <c r="F1948">
        <v>0.01</v>
      </c>
      <c r="G1948" s="142" t="s">
        <v>6</v>
      </c>
      <c r="H1948" s="142" t="s">
        <v>4</v>
      </c>
      <c r="I1948">
        <v>100</v>
      </c>
      <c r="J1948">
        <v>500</v>
      </c>
      <c r="K1948" s="142" t="s">
        <v>10</v>
      </c>
      <c r="L1948">
        <v>13</v>
      </c>
      <c r="M1948">
        <v>4.5999999999999996</v>
      </c>
      <c r="N1948">
        <v>3.831</v>
      </c>
      <c r="O1948">
        <v>2.6581000000000001</v>
      </c>
    </row>
    <row r="1949" spans="1:15" x14ac:dyDescent="0.25">
      <c r="A1949" s="142" t="s">
        <v>1254</v>
      </c>
      <c r="B1949" s="142" t="s">
        <v>51</v>
      </c>
      <c r="C1949" s="142" t="s">
        <v>8</v>
      </c>
      <c r="D1949">
        <v>3.3</v>
      </c>
      <c r="E1949">
        <v>33.000999999999998</v>
      </c>
      <c r="F1949">
        <v>0.01</v>
      </c>
      <c r="G1949" s="142" t="s">
        <v>6</v>
      </c>
      <c r="H1949" s="142" t="s">
        <v>4</v>
      </c>
      <c r="I1949">
        <v>500</v>
      </c>
      <c r="J1949">
        <v>501</v>
      </c>
      <c r="K1949" s="142" t="s">
        <v>10</v>
      </c>
      <c r="L1949">
        <v>13</v>
      </c>
      <c r="M1949">
        <v>4.5999999999999996</v>
      </c>
      <c r="N1949">
        <v>3.831</v>
      </c>
      <c r="O1949">
        <v>2.6581000000000001</v>
      </c>
    </row>
    <row r="1950" spans="1:15" x14ac:dyDescent="0.25">
      <c r="A1950" s="142" t="s">
        <v>1277</v>
      </c>
      <c r="B1950" s="142" t="s">
        <v>51</v>
      </c>
      <c r="C1950" s="142" t="s">
        <v>8</v>
      </c>
      <c r="D1950">
        <v>33</v>
      </c>
      <c r="E1950">
        <v>330.01</v>
      </c>
      <c r="F1950">
        <v>0.01</v>
      </c>
      <c r="G1950" s="142" t="s">
        <v>6</v>
      </c>
      <c r="H1950" s="142" t="s">
        <v>4</v>
      </c>
      <c r="I1950">
        <v>0.01</v>
      </c>
      <c r="J1950">
        <v>4.5010000000000001E-2</v>
      </c>
      <c r="K1950" s="142" t="s">
        <v>10</v>
      </c>
      <c r="L1950">
        <v>4.2872000000000003</v>
      </c>
      <c r="M1950">
        <v>0.57647000000000004</v>
      </c>
      <c r="N1950">
        <v>4.2606000000000002</v>
      </c>
      <c r="O1950">
        <v>0.57652000000000003</v>
      </c>
    </row>
    <row r="1951" spans="1:15" x14ac:dyDescent="0.25">
      <c r="A1951" s="142" t="s">
        <v>1276</v>
      </c>
      <c r="B1951" s="142" t="s">
        <v>51</v>
      </c>
      <c r="C1951" s="142" t="s">
        <v>8</v>
      </c>
      <c r="D1951">
        <v>33</v>
      </c>
      <c r="E1951">
        <v>330.01</v>
      </c>
      <c r="F1951">
        <v>0.01</v>
      </c>
      <c r="G1951" s="142" t="s">
        <v>6</v>
      </c>
      <c r="H1951" s="142" t="s">
        <v>4</v>
      </c>
      <c r="I1951">
        <v>4.4999999999999998E-2</v>
      </c>
      <c r="J1951">
        <v>10.00001</v>
      </c>
      <c r="K1951" s="142" t="s">
        <v>10</v>
      </c>
      <c r="L1951">
        <v>12</v>
      </c>
      <c r="M1951">
        <v>0.92330999999999996</v>
      </c>
      <c r="N1951">
        <v>10.834</v>
      </c>
      <c r="O1951">
        <v>0.9234</v>
      </c>
    </row>
    <row r="1952" spans="1:15" x14ac:dyDescent="0.25">
      <c r="A1952" s="142" t="s">
        <v>1278</v>
      </c>
      <c r="B1952" s="142" t="s">
        <v>51</v>
      </c>
      <c r="C1952" s="142" t="s">
        <v>8</v>
      </c>
      <c r="D1952">
        <v>33</v>
      </c>
      <c r="E1952">
        <v>330.01</v>
      </c>
      <c r="F1952">
        <v>0.01</v>
      </c>
      <c r="G1952" s="142" t="s">
        <v>6</v>
      </c>
      <c r="H1952" s="142" t="s">
        <v>4</v>
      </c>
      <c r="I1952">
        <v>10</v>
      </c>
      <c r="J1952">
        <v>20.010000000000002</v>
      </c>
      <c r="K1952" s="142" t="s">
        <v>10</v>
      </c>
      <c r="L1952">
        <v>24</v>
      </c>
      <c r="M1952">
        <v>1.0331999999999999</v>
      </c>
      <c r="N1952">
        <v>10.795999999999999</v>
      </c>
      <c r="O1952">
        <v>1.0388999999999999</v>
      </c>
    </row>
    <row r="1953" spans="1:15" x14ac:dyDescent="0.25">
      <c r="A1953" s="142" t="s">
        <v>1735</v>
      </c>
      <c r="B1953" s="142" t="s">
        <v>51</v>
      </c>
      <c r="C1953" s="142" t="s">
        <v>8</v>
      </c>
      <c r="D1953">
        <v>33</v>
      </c>
      <c r="E1953">
        <v>330.01</v>
      </c>
      <c r="F1953">
        <v>0.01</v>
      </c>
      <c r="G1953" s="142" t="s">
        <v>6</v>
      </c>
      <c r="H1953" s="142" t="s">
        <v>4</v>
      </c>
      <c r="I1953">
        <v>20</v>
      </c>
      <c r="J1953">
        <v>50.01</v>
      </c>
      <c r="K1953" s="142" t="s">
        <v>10</v>
      </c>
      <c r="L1953">
        <v>22</v>
      </c>
      <c r="M1953">
        <v>1.4</v>
      </c>
      <c r="N1953">
        <v>10.577</v>
      </c>
      <c r="O1953">
        <v>1.3904000000000001</v>
      </c>
    </row>
    <row r="1954" spans="1:15" x14ac:dyDescent="0.25">
      <c r="A1954" s="142" t="s">
        <v>1279</v>
      </c>
      <c r="B1954" s="142" t="s">
        <v>51</v>
      </c>
      <c r="C1954" s="142" t="s">
        <v>8</v>
      </c>
      <c r="D1954">
        <v>33</v>
      </c>
      <c r="E1954">
        <v>330.01</v>
      </c>
      <c r="F1954">
        <v>0.01</v>
      </c>
      <c r="G1954" s="142" t="s">
        <v>6</v>
      </c>
      <c r="H1954" s="142" t="s">
        <v>4</v>
      </c>
      <c r="I1954">
        <v>50</v>
      </c>
      <c r="J1954">
        <v>100</v>
      </c>
      <c r="K1954" s="142" t="s">
        <v>10</v>
      </c>
      <c r="L1954">
        <v>92.063000000000002</v>
      </c>
      <c r="M1954">
        <v>2.7852999999999999</v>
      </c>
      <c r="N1954">
        <v>92.033000000000001</v>
      </c>
      <c r="O1954">
        <v>2.7854000000000001</v>
      </c>
    </row>
    <row r="1955" spans="1:15" x14ac:dyDescent="0.25">
      <c r="A1955" s="142" t="s">
        <v>1275</v>
      </c>
      <c r="B1955" s="142" t="s">
        <v>51</v>
      </c>
      <c r="C1955" s="142" t="s">
        <v>8</v>
      </c>
      <c r="D1955">
        <v>33</v>
      </c>
      <c r="E1955">
        <v>330.01</v>
      </c>
      <c r="F1955">
        <v>0.01</v>
      </c>
      <c r="G1955" s="142" t="s">
        <v>6</v>
      </c>
      <c r="H1955" s="142" t="s">
        <v>4</v>
      </c>
      <c r="I1955">
        <v>100</v>
      </c>
      <c r="J1955">
        <v>100.1</v>
      </c>
      <c r="K1955" s="142" t="s">
        <v>10</v>
      </c>
      <c r="L1955">
        <v>92.063000000000002</v>
      </c>
      <c r="M1955">
        <v>2.7852999999999999</v>
      </c>
      <c r="N1955">
        <v>92.033000000000001</v>
      </c>
      <c r="O1955">
        <v>2.7854000000000001</v>
      </c>
    </row>
    <row r="1956" spans="1:15" x14ac:dyDescent="0.25">
      <c r="A1956" s="142" t="s">
        <v>1296</v>
      </c>
      <c r="B1956" s="142" t="s">
        <v>51</v>
      </c>
      <c r="C1956" s="142" t="s">
        <v>8</v>
      </c>
      <c r="D1956">
        <v>330</v>
      </c>
      <c r="E1956">
        <v>1020.01</v>
      </c>
      <c r="F1956">
        <v>0.01</v>
      </c>
      <c r="G1956" s="142" t="s">
        <v>6</v>
      </c>
      <c r="H1956" s="142" t="s">
        <v>4</v>
      </c>
      <c r="I1956">
        <v>4.4999999999999998E-2</v>
      </c>
      <c r="J1956">
        <v>1.0000100000000001</v>
      </c>
      <c r="K1956" s="142" t="s">
        <v>10</v>
      </c>
      <c r="L1956">
        <v>33.353999999999999</v>
      </c>
      <c r="M1956">
        <v>0.57133999999999996</v>
      </c>
      <c r="N1956">
        <v>33.320999999999998</v>
      </c>
      <c r="O1956">
        <v>0.57118999999999998</v>
      </c>
    </row>
    <row r="1957" spans="1:15" x14ac:dyDescent="0.25">
      <c r="A1957" s="142" t="s">
        <v>1739</v>
      </c>
      <c r="B1957" s="142" t="s">
        <v>51</v>
      </c>
      <c r="C1957" s="142" t="s">
        <v>8</v>
      </c>
      <c r="D1957">
        <v>330</v>
      </c>
      <c r="E1957">
        <v>1020.01</v>
      </c>
      <c r="F1957">
        <v>0.01</v>
      </c>
      <c r="G1957" s="142" t="s">
        <v>6</v>
      </c>
      <c r="H1957" s="142" t="s">
        <v>4</v>
      </c>
      <c r="I1957">
        <v>1</v>
      </c>
      <c r="J1957">
        <v>5.01</v>
      </c>
      <c r="K1957" s="142" t="s">
        <v>10</v>
      </c>
      <c r="L1957">
        <v>29.895</v>
      </c>
      <c r="M1957">
        <v>0.91966999999999999</v>
      </c>
      <c r="N1957">
        <v>29.873000000000001</v>
      </c>
      <c r="O1957">
        <v>0.91957</v>
      </c>
    </row>
    <row r="1958" spans="1:15" x14ac:dyDescent="0.25">
      <c r="A1958" s="142" t="s">
        <v>2792</v>
      </c>
      <c r="B1958" s="142" t="s">
        <v>51</v>
      </c>
      <c r="C1958" s="142" t="s">
        <v>8</v>
      </c>
      <c r="D1958">
        <v>330</v>
      </c>
      <c r="E1958">
        <v>1020.01</v>
      </c>
      <c r="F1958">
        <v>0.01</v>
      </c>
      <c r="G1958" s="142" t="s">
        <v>6</v>
      </c>
      <c r="H1958" s="142" t="s">
        <v>4</v>
      </c>
      <c r="I1958">
        <v>5</v>
      </c>
      <c r="J1958">
        <v>10</v>
      </c>
      <c r="K1958" s="142" t="s">
        <v>10</v>
      </c>
      <c r="L1958">
        <v>64</v>
      </c>
      <c r="M1958">
        <v>1.0355000000000001</v>
      </c>
      <c r="N1958">
        <v>29.164999999999999</v>
      </c>
      <c r="O1958">
        <v>1.0355000000000001</v>
      </c>
    </row>
    <row r="1959" spans="1:15" x14ac:dyDescent="0.25">
      <c r="A1959" s="142" t="s">
        <v>1295</v>
      </c>
      <c r="B1959" s="142" t="s">
        <v>51</v>
      </c>
      <c r="C1959" s="142" t="s">
        <v>8</v>
      </c>
      <c r="D1959">
        <v>330</v>
      </c>
      <c r="E1959">
        <v>1020.01</v>
      </c>
      <c r="F1959">
        <v>0.01</v>
      </c>
      <c r="G1959" s="142" t="s">
        <v>6</v>
      </c>
      <c r="H1959" s="142" t="s">
        <v>4</v>
      </c>
      <c r="I1959">
        <v>10</v>
      </c>
      <c r="J1959">
        <v>10.01</v>
      </c>
      <c r="K1959" s="142" t="s">
        <v>10</v>
      </c>
      <c r="L1959">
        <v>64</v>
      </c>
      <c r="M1959">
        <v>1.0355000000000001</v>
      </c>
      <c r="N1959">
        <v>29.164999999999999</v>
      </c>
      <c r="O1959">
        <v>1.0355000000000001</v>
      </c>
    </row>
    <row r="1960" spans="1:15" x14ac:dyDescent="0.25">
      <c r="A1960" s="142" t="s">
        <v>1172</v>
      </c>
      <c r="B1960" s="142" t="s">
        <v>51</v>
      </c>
      <c r="C1960" s="142" t="s">
        <v>8</v>
      </c>
      <c r="D1960">
        <v>0</v>
      </c>
      <c r="E1960">
        <v>3.3009999999999998E-2</v>
      </c>
      <c r="F1960">
        <v>0.1</v>
      </c>
      <c r="G1960" s="142" t="s">
        <v>6</v>
      </c>
      <c r="H1960" s="142" t="s">
        <v>5</v>
      </c>
      <c r="I1960">
        <v>0.01</v>
      </c>
      <c r="J1960">
        <v>4.5010000000000001E-2</v>
      </c>
      <c r="K1960" s="142" t="s">
        <v>10</v>
      </c>
      <c r="L1960">
        <v>58000</v>
      </c>
      <c r="M1960">
        <v>1.7665</v>
      </c>
      <c r="N1960">
        <v>58000</v>
      </c>
      <c r="O1960">
        <v>1.5714999999999999</v>
      </c>
    </row>
    <row r="1961" spans="1:15" x14ac:dyDescent="0.25">
      <c r="A1961" s="142" t="s">
        <v>1173</v>
      </c>
      <c r="B1961" s="142" t="s">
        <v>51</v>
      </c>
      <c r="C1961" s="142" t="s">
        <v>8</v>
      </c>
      <c r="D1961">
        <v>0</v>
      </c>
      <c r="E1961">
        <v>3.3009999999999998E-2</v>
      </c>
      <c r="F1961">
        <v>0.1</v>
      </c>
      <c r="G1961" s="142" t="s">
        <v>6</v>
      </c>
      <c r="H1961" s="142" t="s">
        <v>5</v>
      </c>
      <c r="I1961">
        <v>4.4999999999999998E-2</v>
      </c>
      <c r="J1961">
        <v>10.00001</v>
      </c>
      <c r="K1961" s="142" t="s">
        <v>10</v>
      </c>
      <c r="L1961">
        <v>58000</v>
      </c>
      <c r="M1961">
        <v>1.0481</v>
      </c>
      <c r="N1961">
        <v>58000</v>
      </c>
      <c r="O1961">
        <v>0.85309999999999997</v>
      </c>
    </row>
    <row r="1962" spans="1:15" x14ac:dyDescent="0.25">
      <c r="A1962" s="142" t="s">
        <v>1174</v>
      </c>
      <c r="B1962" s="142" t="s">
        <v>51</v>
      </c>
      <c r="C1962" s="142" t="s">
        <v>8</v>
      </c>
      <c r="D1962">
        <v>0</v>
      </c>
      <c r="E1962">
        <v>3.3009999999999998E-2</v>
      </c>
      <c r="F1962">
        <v>0.1</v>
      </c>
      <c r="G1962" s="142" t="s">
        <v>6</v>
      </c>
      <c r="H1962" s="142" t="s">
        <v>5</v>
      </c>
      <c r="I1962">
        <v>10</v>
      </c>
      <c r="J1962">
        <v>20.010000000000002</v>
      </c>
      <c r="K1962" s="142" t="s">
        <v>10</v>
      </c>
      <c r="L1962">
        <v>58000</v>
      </c>
      <c r="M1962">
        <v>1.7665</v>
      </c>
      <c r="N1962">
        <v>58000</v>
      </c>
      <c r="O1962">
        <v>1.5714999999999999</v>
      </c>
    </row>
    <row r="1963" spans="1:15" x14ac:dyDescent="0.25">
      <c r="A1963" s="142" t="s">
        <v>1178</v>
      </c>
      <c r="B1963" s="142" t="s">
        <v>51</v>
      </c>
      <c r="C1963" s="142" t="s">
        <v>8</v>
      </c>
      <c r="D1963">
        <v>0</v>
      </c>
      <c r="E1963">
        <v>3.3009999999999998E-2</v>
      </c>
      <c r="F1963">
        <v>0.1</v>
      </c>
      <c r="G1963" s="142" t="s">
        <v>6</v>
      </c>
      <c r="H1963" s="142" t="s">
        <v>5</v>
      </c>
      <c r="I1963">
        <v>20</v>
      </c>
      <c r="J1963">
        <v>50.01</v>
      </c>
      <c r="K1963" s="142" t="s">
        <v>10</v>
      </c>
      <c r="L1963">
        <v>58000</v>
      </c>
      <c r="M1963">
        <v>2.6816</v>
      </c>
      <c r="N1963">
        <v>58000</v>
      </c>
      <c r="O1963">
        <v>2.4866000000000001</v>
      </c>
    </row>
    <row r="1964" spans="1:15" x14ac:dyDescent="0.25">
      <c r="A1964" s="142" t="s">
        <v>1175</v>
      </c>
      <c r="B1964" s="142" t="s">
        <v>51</v>
      </c>
      <c r="C1964" s="142" t="s">
        <v>8</v>
      </c>
      <c r="D1964">
        <v>0</v>
      </c>
      <c r="E1964">
        <v>3.3009999999999998E-2</v>
      </c>
      <c r="F1964">
        <v>0.1</v>
      </c>
      <c r="G1964" s="142" t="s">
        <v>6</v>
      </c>
      <c r="H1964" s="142" t="s">
        <v>5</v>
      </c>
      <c r="I1964">
        <v>50</v>
      </c>
      <c r="J1964">
        <v>100.01</v>
      </c>
      <c r="K1964" s="142" t="s">
        <v>10</v>
      </c>
      <c r="L1964">
        <v>58000</v>
      </c>
      <c r="M1964">
        <v>7.7473999999999998</v>
      </c>
      <c r="N1964">
        <v>58000</v>
      </c>
      <c r="O1964">
        <v>7.4565999999999999</v>
      </c>
    </row>
    <row r="1965" spans="1:15" x14ac:dyDescent="0.25">
      <c r="A1965" s="142" t="s">
        <v>1176</v>
      </c>
      <c r="B1965" s="142" t="s">
        <v>51</v>
      </c>
      <c r="C1965" s="142" t="s">
        <v>8</v>
      </c>
      <c r="D1965">
        <v>0</v>
      </c>
      <c r="E1965">
        <v>3.3009999999999998E-2</v>
      </c>
      <c r="F1965">
        <v>0.1</v>
      </c>
      <c r="G1965" s="142" t="s">
        <v>6</v>
      </c>
      <c r="H1965" s="142" t="s">
        <v>5</v>
      </c>
      <c r="I1965">
        <v>100</v>
      </c>
      <c r="J1965">
        <v>500</v>
      </c>
      <c r="K1965" s="142" t="s">
        <v>10</v>
      </c>
      <c r="L1965">
        <v>58000</v>
      </c>
      <c r="M1965">
        <v>53.658999999999999</v>
      </c>
      <c r="N1965">
        <v>58000</v>
      </c>
      <c r="O1965">
        <v>52.994</v>
      </c>
    </row>
    <row r="1966" spans="1:15" x14ac:dyDescent="0.25">
      <c r="A1966" s="142" t="s">
        <v>1177</v>
      </c>
      <c r="B1966" s="142" t="s">
        <v>51</v>
      </c>
      <c r="C1966" s="142" t="s">
        <v>8</v>
      </c>
      <c r="D1966">
        <v>0</v>
      </c>
      <c r="E1966">
        <v>3.3009999999999998E-2</v>
      </c>
      <c r="F1966">
        <v>0.1</v>
      </c>
      <c r="G1966" s="142" t="s">
        <v>6</v>
      </c>
      <c r="H1966" s="142" t="s">
        <v>5</v>
      </c>
      <c r="I1966">
        <v>500</v>
      </c>
      <c r="J1966">
        <v>501</v>
      </c>
      <c r="K1966" s="142" t="s">
        <v>10</v>
      </c>
      <c r="L1966">
        <v>58000</v>
      </c>
      <c r="M1966">
        <v>53.658999999999999</v>
      </c>
      <c r="N1966">
        <v>58000</v>
      </c>
      <c r="O1966">
        <v>52.994</v>
      </c>
    </row>
    <row r="1967" spans="1:15" x14ac:dyDescent="0.25">
      <c r="A1967" s="142" t="s">
        <v>1240</v>
      </c>
      <c r="B1967" s="142" t="s">
        <v>51</v>
      </c>
      <c r="C1967" s="142" t="s">
        <v>8</v>
      </c>
      <c r="D1967">
        <v>0.33</v>
      </c>
      <c r="E1967">
        <v>3.3001</v>
      </c>
      <c r="F1967">
        <v>0.1</v>
      </c>
      <c r="G1967" s="142" t="s">
        <v>6</v>
      </c>
      <c r="H1967" s="142" t="s">
        <v>4</v>
      </c>
      <c r="I1967">
        <v>0.01</v>
      </c>
      <c r="J1967">
        <v>4.5010000000000001E-2</v>
      </c>
      <c r="K1967" s="142" t="s">
        <v>10</v>
      </c>
      <c r="L1967">
        <v>57.997</v>
      </c>
      <c r="M1967">
        <v>1.0643E-2</v>
      </c>
      <c r="N1967">
        <v>57.997</v>
      </c>
      <c r="O1967">
        <v>1.0612E-2</v>
      </c>
    </row>
    <row r="1968" spans="1:15" x14ac:dyDescent="0.25">
      <c r="A1968" s="142" t="s">
        <v>2175</v>
      </c>
      <c r="B1968" s="142" t="s">
        <v>51</v>
      </c>
      <c r="C1968" s="142" t="s">
        <v>8</v>
      </c>
      <c r="D1968">
        <v>0.33</v>
      </c>
      <c r="E1968">
        <v>3.3001</v>
      </c>
      <c r="F1968">
        <v>0.1</v>
      </c>
      <c r="G1968" s="142" t="s">
        <v>6</v>
      </c>
      <c r="H1968" s="142" t="s">
        <v>4</v>
      </c>
      <c r="I1968">
        <v>4.4999999999999998E-2</v>
      </c>
      <c r="J1968">
        <v>10.00001</v>
      </c>
      <c r="K1968" s="142" t="s">
        <v>10</v>
      </c>
      <c r="L1968">
        <v>57.999000000000002</v>
      </c>
      <c r="M1968">
        <v>4.2262999999999997E-3</v>
      </c>
      <c r="N1968">
        <v>57.999000000000002</v>
      </c>
      <c r="O1968">
        <v>4.1960000000000001E-3</v>
      </c>
    </row>
    <row r="1969" spans="1:15" x14ac:dyDescent="0.25">
      <c r="A1969" s="142" t="s">
        <v>1243</v>
      </c>
      <c r="B1969" s="142" t="s">
        <v>51</v>
      </c>
      <c r="C1969" s="142" t="s">
        <v>8</v>
      </c>
      <c r="D1969">
        <v>0.33</v>
      </c>
      <c r="E1969">
        <v>3.3001</v>
      </c>
      <c r="F1969">
        <v>0.1</v>
      </c>
      <c r="G1969" s="142" t="s">
        <v>6</v>
      </c>
      <c r="H1969" s="142" t="s">
        <v>4</v>
      </c>
      <c r="I1969">
        <v>10</v>
      </c>
      <c r="J1969">
        <v>20.010000000000002</v>
      </c>
      <c r="K1969" s="142" t="s">
        <v>10</v>
      </c>
      <c r="L1969">
        <v>57.994</v>
      </c>
      <c r="M1969">
        <v>2.1455999999999999E-2</v>
      </c>
      <c r="N1969">
        <v>57.994</v>
      </c>
      <c r="O1969">
        <v>2.1426000000000001E-2</v>
      </c>
    </row>
    <row r="1970" spans="1:15" x14ac:dyDescent="0.25">
      <c r="A1970" s="142" t="s">
        <v>1720</v>
      </c>
      <c r="B1970" s="142" t="s">
        <v>51</v>
      </c>
      <c r="C1970" s="142" t="s">
        <v>8</v>
      </c>
      <c r="D1970">
        <v>0.33</v>
      </c>
      <c r="E1970">
        <v>3.3001</v>
      </c>
      <c r="F1970">
        <v>0.1</v>
      </c>
      <c r="G1970" s="142" t="s">
        <v>6</v>
      </c>
      <c r="H1970" s="142" t="s">
        <v>4</v>
      </c>
      <c r="I1970">
        <v>20</v>
      </c>
      <c r="J1970">
        <v>50.01</v>
      </c>
      <c r="K1970" s="142" t="s">
        <v>10</v>
      </c>
      <c r="L1970">
        <v>57.988</v>
      </c>
      <c r="M1970">
        <v>4.3219E-2</v>
      </c>
      <c r="N1970">
        <v>57.988</v>
      </c>
      <c r="O1970">
        <v>4.3147999999999999E-2</v>
      </c>
    </row>
    <row r="1971" spans="1:15" x14ac:dyDescent="0.25">
      <c r="A1971" s="142" t="s">
        <v>1241</v>
      </c>
      <c r="B1971" s="142" t="s">
        <v>51</v>
      </c>
      <c r="C1971" s="142" t="s">
        <v>8</v>
      </c>
      <c r="D1971">
        <v>0.33</v>
      </c>
      <c r="E1971">
        <v>3.3001</v>
      </c>
      <c r="F1971">
        <v>0.1</v>
      </c>
      <c r="G1971" s="142" t="s">
        <v>6</v>
      </c>
      <c r="H1971" s="142" t="s">
        <v>4</v>
      </c>
      <c r="I1971">
        <v>50</v>
      </c>
      <c r="J1971">
        <v>100.01</v>
      </c>
      <c r="K1971" s="142" t="s">
        <v>10</v>
      </c>
      <c r="L1971">
        <v>57.935000000000002</v>
      </c>
      <c r="M1971">
        <v>0.23028999999999999</v>
      </c>
      <c r="N1971">
        <v>57.935000000000002</v>
      </c>
      <c r="O1971">
        <v>0.23011999999999999</v>
      </c>
    </row>
    <row r="1972" spans="1:15" x14ac:dyDescent="0.25">
      <c r="A1972" s="142" t="s">
        <v>1242</v>
      </c>
      <c r="B1972" s="142" t="s">
        <v>51</v>
      </c>
      <c r="C1972" s="142" t="s">
        <v>8</v>
      </c>
      <c r="D1972">
        <v>0.33</v>
      </c>
      <c r="E1972">
        <v>3.3001</v>
      </c>
      <c r="F1972">
        <v>0.1</v>
      </c>
      <c r="G1972" s="142" t="s">
        <v>6</v>
      </c>
      <c r="H1972" s="142" t="s">
        <v>4</v>
      </c>
      <c r="I1972">
        <v>100</v>
      </c>
      <c r="J1972">
        <v>500</v>
      </c>
      <c r="K1972" s="142" t="s">
        <v>10</v>
      </c>
      <c r="L1972">
        <v>57.706000000000003</v>
      </c>
      <c r="M1972">
        <v>1.1207</v>
      </c>
      <c r="N1972">
        <v>57.704999999999998</v>
      </c>
      <c r="O1972">
        <v>1.1204000000000001</v>
      </c>
    </row>
    <row r="1973" spans="1:15" x14ac:dyDescent="0.25">
      <c r="A1973" s="142" t="s">
        <v>1239</v>
      </c>
      <c r="B1973" s="142" t="s">
        <v>51</v>
      </c>
      <c r="C1973" s="142" t="s">
        <v>8</v>
      </c>
      <c r="D1973">
        <v>0.33</v>
      </c>
      <c r="E1973">
        <v>3.3001</v>
      </c>
      <c r="F1973">
        <v>0.1</v>
      </c>
      <c r="G1973" s="142" t="s">
        <v>6</v>
      </c>
      <c r="H1973" s="142" t="s">
        <v>4</v>
      </c>
      <c r="I1973">
        <v>500</v>
      </c>
      <c r="J1973">
        <v>501</v>
      </c>
      <c r="K1973" s="142" t="s">
        <v>10</v>
      </c>
      <c r="L1973">
        <v>57.706000000000003</v>
      </c>
      <c r="M1973">
        <v>1.1207</v>
      </c>
      <c r="N1973">
        <v>57.704999999999998</v>
      </c>
      <c r="O1973">
        <v>1.1204000000000001</v>
      </c>
    </row>
    <row r="1974" spans="1:15" x14ac:dyDescent="0.25">
      <c r="A1974" s="142" t="s">
        <v>1260</v>
      </c>
      <c r="B1974" s="142" t="s">
        <v>51</v>
      </c>
      <c r="C1974" s="142" t="s">
        <v>8</v>
      </c>
      <c r="D1974">
        <v>3.3</v>
      </c>
      <c r="E1974">
        <v>33.000999999999998</v>
      </c>
      <c r="F1974">
        <v>0.1</v>
      </c>
      <c r="G1974" s="142" t="s">
        <v>6</v>
      </c>
      <c r="H1974" s="142" t="s">
        <v>4</v>
      </c>
      <c r="I1974">
        <v>0.01</v>
      </c>
      <c r="J1974">
        <v>4.5010000000000001E-2</v>
      </c>
      <c r="K1974" s="142" t="s">
        <v>10</v>
      </c>
      <c r="L1974">
        <v>57.704000000000001</v>
      </c>
      <c r="M1974">
        <v>0.11064</v>
      </c>
      <c r="N1974">
        <v>57.704000000000001</v>
      </c>
      <c r="O1974">
        <v>0.11058999999999999</v>
      </c>
    </row>
    <row r="1975" spans="1:15" x14ac:dyDescent="0.25">
      <c r="A1975" s="142" t="s">
        <v>1263</v>
      </c>
      <c r="B1975" s="142" t="s">
        <v>51</v>
      </c>
      <c r="C1975" s="142" t="s">
        <v>8</v>
      </c>
      <c r="D1975">
        <v>3.3</v>
      </c>
      <c r="E1975">
        <v>33.000999999999998</v>
      </c>
      <c r="F1975">
        <v>0.1</v>
      </c>
      <c r="G1975" s="142" t="s">
        <v>6</v>
      </c>
      <c r="H1975" s="142" t="s">
        <v>4</v>
      </c>
      <c r="I1975">
        <v>4.4999999999999998E-2</v>
      </c>
      <c r="J1975">
        <v>10.00001</v>
      </c>
      <c r="K1975" s="142" t="s">
        <v>10</v>
      </c>
      <c r="L1975">
        <v>57.892000000000003</v>
      </c>
      <c r="M1975">
        <v>4.1619999999999997E-2</v>
      </c>
      <c r="N1975">
        <v>57.892000000000003</v>
      </c>
      <c r="O1975">
        <v>4.1575000000000001E-2</v>
      </c>
    </row>
    <row r="1976" spans="1:15" x14ac:dyDescent="0.25">
      <c r="A1976" s="142" t="s">
        <v>1730</v>
      </c>
      <c r="B1976" s="142" t="s">
        <v>51</v>
      </c>
      <c r="C1976" s="142" t="s">
        <v>8</v>
      </c>
      <c r="D1976">
        <v>3.3</v>
      </c>
      <c r="E1976">
        <v>33.000999999999998</v>
      </c>
      <c r="F1976">
        <v>0.1</v>
      </c>
      <c r="G1976" s="142" t="s">
        <v>6</v>
      </c>
      <c r="H1976" s="142" t="s">
        <v>4</v>
      </c>
      <c r="I1976">
        <v>10</v>
      </c>
      <c r="J1976">
        <v>20.010000000000002</v>
      </c>
      <c r="K1976" s="142" t="s">
        <v>10</v>
      </c>
      <c r="L1976">
        <v>57.426000000000002</v>
      </c>
      <c r="M1976">
        <v>0.20355000000000001</v>
      </c>
      <c r="N1976">
        <v>57.426000000000002</v>
      </c>
      <c r="O1976">
        <v>0.20351</v>
      </c>
    </row>
    <row r="1977" spans="1:15" x14ac:dyDescent="0.25">
      <c r="A1977" s="142" t="s">
        <v>1261</v>
      </c>
      <c r="B1977" s="142" t="s">
        <v>51</v>
      </c>
      <c r="C1977" s="142" t="s">
        <v>8</v>
      </c>
      <c r="D1977">
        <v>3.3</v>
      </c>
      <c r="E1977">
        <v>33.000999999999998</v>
      </c>
      <c r="F1977">
        <v>0.1</v>
      </c>
      <c r="G1977" s="142" t="s">
        <v>6</v>
      </c>
      <c r="H1977" s="142" t="s">
        <v>4</v>
      </c>
      <c r="I1977">
        <v>20</v>
      </c>
      <c r="J1977">
        <v>50.01</v>
      </c>
      <c r="K1977" s="142" t="s">
        <v>10</v>
      </c>
      <c r="L1977">
        <v>56.883000000000003</v>
      </c>
      <c r="M1977">
        <v>0.39190000000000003</v>
      </c>
      <c r="N1977">
        <v>56.881999999999998</v>
      </c>
      <c r="O1977">
        <v>0.39182</v>
      </c>
    </row>
    <row r="1978" spans="1:15" x14ac:dyDescent="0.25">
      <c r="A1978" s="142" t="s">
        <v>1259</v>
      </c>
      <c r="B1978" s="142" t="s">
        <v>51</v>
      </c>
      <c r="C1978" s="142" t="s">
        <v>8</v>
      </c>
      <c r="D1978">
        <v>3.3</v>
      </c>
      <c r="E1978">
        <v>33.000999999999998</v>
      </c>
      <c r="F1978">
        <v>0.1</v>
      </c>
      <c r="G1978" s="142" t="s">
        <v>6</v>
      </c>
      <c r="H1978" s="142" t="s">
        <v>4</v>
      </c>
      <c r="I1978">
        <v>50</v>
      </c>
      <c r="J1978">
        <v>100.01</v>
      </c>
      <c r="K1978" s="142" t="s">
        <v>10</v>
      </c>
      <c r="L1978">
        <v>53.719000000000001</v>
      </c>
      <c r="M1978">
        <v>1.6172</v>
      </c>
      <c r="N1978">
        <v>53.713000000000001</v>
      </c>
      <c r="O1978">
        <v>1.6172</v>
      </c>
    </row>
    <row r="1979" spans="1:15" x14ac:dyDescent="0.25">
      <c r="A1979" s="142" t="s">
        <v>1262</v>
      </c>
      <c r="B1979" s="142" t="s">
        <v>51</v>
      </c>
      <c r="C1979" s="142" t="s">
        <v>8</v>
      </c>
      <c r="D1979">
        <v>3.3</v>
      </c>
      <c r="E1979">
        <v>33.000999999999998</v>
      </c>
      <c r="F1979">
        <v>0.1</v>
      </c>
      <c r="G1979" s="142" t="s">
        <v>6</v>
      </c>
      <c r="H1979" s="142" t="s">
        <v>4</v>
      </c>
      <c r="I1979">
        <v>100</v>
      </c>
      <c r="J1979">
        <v>500</v>
      </c>
      <c r="K1979" s="142" t="s">
        <v>10</v>
      </c>
      <c r="L1979">
        <v>47.329000000000001</v>
      </c>
      <c r="M1979">
        <v>3.5596999999999999</v>
      </c>
      <c r="N1979">
        <v>53.607999999999997</v>
      </c>
      <c r="O1979">
        <v>1.6549</v>
      </c>
    </row>
    <row r="1980" spans="1:15" x14ac:dyDescent="0.25">
      <c r="A1980" s="142" t="s">
        <v>1734</v>
      </c>
      <c r="B1980" s="142" t="s">
        <v>51</v>
      </c>
      <c r="C1980" s="142" t="s">
        <v>8</v>
      </c>
      <c r="D1980">
        <v>3.3</v>
      </c>
      <c r="E1980">
        <v>33.000999999999998</v>
      </c>
      <c r="F1980">
        <v>0.1</v>
      </c>
      <c r="G1980" s="142" t="s">
        <v>6</v>
      </c>
      <c r="H1980" s="142" t="s">
        <v>4</v>
      </c>
      <c r="I1980">
        <v>500</v>
      </c>
      <c r="J1980">
        <v>501</v>
      </c>
      <c r="K1980" s="142" t="s">
        <v>10</v>
      </c>
      <c r="L1980">
        <v>47.329000000000001</v>
      </c>
      <c r="M1980">
        <v>3.5596999999999999</v>
      </c>
      <c r="N1980">
        <v>53.607999999999997</v>
      </c>
      <c r="O1980">
        <v>1.6549</v>
      </c>
    </row>
    <row r="1981" spans="1:15" x14ac:dyDescent="0.25">
      <c r="A1981" s="142" t="s">
        <v>1281</v>
      </c>
      <c r="B1981" s="142" t="s">
        <v>51</v>
      </c>
      <c r="C1981" s="142" t="s">
        <v>8</v>
      </c>
      <c r="D1981">
        <v>33</v>
      </c>
      <c r="E1981">
        <v>330.01</v>
      </c>
      <c r="F1981">
        <v>0.1</v>
      </c>
      <c r="G1981" s="142" t="s">
        <v>6</v>
      </c>
      <c r="H1981" s="142" t="s">
        <v>4</v>
      </c>
      <c r="I1981">
        <v>0.01</v>
      </c>
      <c r="J1981">
        <v>4.5010000000000001E-2</v>
      </c>
      <c r="K1981" s="142" t="s">
        <v>10</v>
      </c>
      <c r="L1981">
        <v>46.640999999999998</v>
      </c>
      <c r="M1981">
        <v>0.47359000000000001</v>
      </c>
      <c r="N1981">
        <v>46.601999999999997</v>
      </c>
      <c r="O1981">
        <v>0.47360999999999998</v>
      </c>
    </row>
    <row r="1982" spans="1:15" x14ac:dyDescent="0.25">
      <c r="A1982" s="142" t="s">
        <v>2183</v>
      </c>
      <c r="B1982" s="142" t="s">
        <v>51</v>
      </c>
      <c r="C1982" s="142" t="s">
        <v>8</v>
      </c>
      <c r="D1982">
        <v>33</v>
      </c>
      <c r="E1982">
        <v>330.01</v>
      </c>
      <c r="F1982">
        <v>0.1</v>
      </c>
      <c r="G1982" s="142" t="s">
        <v>6</v>
      </c>
      <c r="H1982" s="142" t="s">
        <v>4</v>
      </c>
      <c r="I1982">
        <v>4.4999999999999998E-2</v>
      </c>
      <c r="J1982">
        <v>10.00001</v>
      </c>
      <c r="K1982" s="142" t="s">
        <v>10</v>
      </c>
      <c r="L1982">
        <v>43.308999999999997</v>
      </c>
      <c r="M1982">
        <v>0.84099999999999997</v>
      </c>
      <c r="N1982">
        <v>43.21</v>
      </c>
      <c r="O1982">
        <v>0.84114999999999995</v>
      </c>
    </row>
    <row r="1983" spans="1:15" x14ac:dyDescent="0.25">
      <c r="A1983" s="142" t="s">
        <v>1280</v>
      </c>
      <c r="B1983" s="142" t="s">
        <v>51</v>
      </c>
      <c r="C1983" s="142" t="s">
        <v>8</v>
      </c>
      <c r="D1983">
        <v>33</v>
      </c>
      <c r="E1983">
        <v>330.01</v>
      </c>
      <c r="F1983">
        <v>0.1</v>
      </c>
      <c r="G1983" s="142" t="s">
        <v>6</v>
      </c>
      <c r="H1983" s="142" t="s">
        <v>4</v>
      </c>
      <c r="I1983">
        <v>10</v>
      </c>
      <c r="J1983">
        <v>20.010000000000002</v>
      </c>
      <c r="K1983" s="142" t="s">
        <v>10</v>
      </c>
      <c r="L1983">
        <v>41.651000000000003</v>
      </c>
      <c r="M1983">
        <v>0.95969000000000004</v>
      </c>
      <c r="N1983">
        <v>41.554000000000002</v>
      </c>
      <c r="O1983">
        <v>0.95984999999999998</v>
      </c>
    </row>
    <row r="1984" spans="1:15" x14ac:dyDescent="0.25">
      <c r="A1984" s="142" t="s">
        <v>1736</v>
      </c>
      <c r="B1984" s="142" t="s">
        <v>51</v>
      </c>
      <c r="C1984" s="142" t="s">
        <v>8</v>
      </c>
      <c r="D1984">
        <v>33</v>
      </c>
      <c r="E1984">
        <v>330.01</v>
      </c>
      <c r="F1984">
        <v>0.1</v>
      </c>
      <c r="G1984" s="142" t="s">
        <v>6</v>
      </c>
      <c r="H1984" s="142" t="s">
        <v>4</v>
      </c>
      <c r="I1984">
        <v>20</v>
      </c>
      <c r="J1984">
        <v>50.01</v>
      </c>
      <c r="K1984" s="142" t="s">
        <v>10</v>
      </c>
      <c r="L1984">
        <v>36.020000000000003</v>
      </c>
      <c r="M1984">
        <v>1.3574999999999999</v>
      </c>
      <c r="N1984">
        <v>37.167000000000002</v>
      </c>
      <c r="O1984">
        <v>1.3205</v>
      </c>
    </row>
    <row r="1985" spans="1:15" x14ac:dyDescent="0.25">
      <c r="A1985" s="142" t="s">
        <v>1737</v>
      </c>
      <c r="B1985" s="142" t="s">
        <v>51</v>
      </c>
      <c r="C1985" s="142" t="s">
        <v>8</v>
      </c>
      <c r="D1985">
        <v>33</v>
      </c>
      <c r="E1985">
        <v>330.01</v>
      </c>
      <c r="F1985">
        <v>0.1</v>
      </c>
      <c r="G1985" s="142" t="s">
        <v>6</v>
      </c>
      <c r="H1985" s="142" t="s">
        <v>4</v>
      </c>
      <c r="I1985">
        <v>50</v>
      </c>
      <c r="J1985">
        <v>100</v>
      </c>
      <c r="K1985" s="142" t="s">
        <v>10</v>
      </c>
      <c r="L1985">
        <v>101.77</v>
      </c>
      <c r="M1985">
        <v>2.7610000000000001</v>
      </c>
      <c r="N1985">
        <v>101.69</v>
      </c>
      <c r="O1985">
        <v>2.7610999999999999</v>
      </c>
    </row>
    <row r="1986" spans="1:15" x14ac:dyDescent="0.25">
      <c r="A1986" s="142" t="s">
        <v>1738</v>
      </c>
      <c r="B1986" s="142" t="s">
        <v>51</v>
      </c>
      <c r="C1986" s="142" t="s">
        <v>8</v>
      </c>
      <c r="D1986">
        <v>33</v>
      </c>
      <c r="E1986">
        <v>330.01</v>
      </c>
      <c r="F1986">
        <v>0.1</v>
      </c>
      <c r="G1986" s="142" t="s">
        <v>6</v>
      </c>
      <c r="H1986" s="142" t="s">
        <v>4</v>
      </c>
      <c r="I1986">
        <v>100</v>
      </c>
      <c r="J1986">
        <v>100.1</v>
      </c>
      <c r="K1986" s="142" t="s">
        <v>10</v>
      </c>
      <c r="L1986">
        <v>101.77</v>
      </c>
      <c r="M1986">
        <v>2.7610000000000001</v>
      </c>
      <c r="N1986">
        <v>101.69</v>
      </c>
      <c r="O1986">
        <v>2.7610999999999999</v>
      </c>
    </row>
    <row r="1987" spans="1:15" x14ac:dyDescent="0.25">
      <c r="A1987" s="142" t="s">
        <v>2174</v>
      </c>
      <c r="B1987" s="142" t="s">
        <v>51</v>
      </c>
      <c r="C1987" s="142" t="s">
        <v>8</v>
      </c>
      <c r="D1987">
        <v>330</v>
      </c>
      <c r="E1987">
        <v>1020.01</v>
      </c>
      <c r="F1987">
        <v>0.1</v>
      </c>
      <c r="G1987" s="142" t="s">
        <v>6</v>
      </c>
      <c r="H1987" s="142" t="s">
        <v>4</v>
      </c>
      <c r="I1987">
        <v>4.4999999999999998E-2</v>
      </c>
      <c r="J1987">
        <v>1.0000100000000001</v>
      </c>
      <c r="K1987" s="142" t="s">
        <v>10</v>
      </c>
      <c r="L1987">
        <v>510.18</v>
      </c>
      <c r="M1987">
        <v>0.32784999999999997</v>
      </c>
      <c r="N1987">
        <v>510.26</v>
      </c>
      <c r="O1987">
        <v>0.32723999999999998</v>
      </c>
    </row>
    <row r="1988" spans="1:15" x14ac:dyDescent="0.25">
      <c r="A1988" s="142" t="s">
        <v>1298</v>
      </c>
      <c r="B1988" s="142" t="s">
        <v>51</v>
      </c>
      <c r="C1988" s="142" t="s">
        <v>8</v>
      </c>
      <c r="D1988">
        <v>330</v>
      </c>
      <c r="E1988">
        <v>1020.01</v>
      </c>
      <c r="F1988">
        <v>0.1</v>
      </c>
      <c r="G1988" s="142" t="s">
        <v>6</v>
      </c>
      <c r="H1988" s="142" t="s">
        <v>4</v>
      </c>
      <c r="I1988">
        <v>1</v>
      </c>
      <c r="J1988">
        <v>5.01</v>
      </c>
      <c r="K1988" s="142" t="s">
        <v>10</v>
      </c>
      <c r="L1988">
        <v>446.23</v>
      </c>
      <c r="M1988">
        <v>0.66766000000000003</v>
      </c>
      <c r="N1988">
        <v>446.26</v>
      </c>
      <c r="O1988">
        <v>0.66722999999999999</v>
      </c>
    </row>
    <row r="1989" spans="1:15" x14ac:dyDescent="0.25">
      <c r="A1989" s="142" t="s">
        <v>2793</v>
      </c>
      <c r="B1989" s="142" t="s">
        <v>51</v>
      </c>
      <c r="C1989" s="142" t="s">
        <v>8</v>
      </c>
      <c r="D1989">
        <v>330</v>
      </c>
      <c r="E1989">
        <v>1020.01</v>
      </c>
      <c r="F1989">
        <v>0.1</v>
      </c>
      <c r="G1989" s="142" t="s">
        <v>6</v>
      </c>
      <c r="H1989" s="142" t="s">
        <v>4</v>
      </c>
      <c r="I1989">
        <v>5</v>
      </c>
      <c r="J1989">
        <v>10</v>
      </c>
      <c r="K1989" s="142" t="s">
        <v>10</v>
      </c>
      <c r="L1989">
        <v>426.17</v>
      </c>
      <c r="M1989">
        <v>0.78768000000000005</v>
      </c>
      <c r="N1989">
        <v>426.19</v>
      </c>
      <c r="O1989">
        <v>0.7873</v>
      </c>
    </row>
    <row r="1990" spans="1:15" x14ac:dyDescent="0.25">
      <c r="A1990" s="142" t="s">
        <v>1297</v>
      </c>
      <c r="B1990" s="142" t="s">
        <v>51</v>
      </c>
      <c r="C1990" s="142" t="s">
        <v>8</v>
      </c>
      <c r="D1990">
        <v>330</v>
      </c>
      <c r="E1990">
        <v>1020.01</v>
      </c>
      <c r="F1990">
        <v>0.1</v>
      </c>
      <c r="G1990" s="142" t="s">
        <v>6</v>
      </c>
      <c r="H1990" s="142" t="s">
        <v>4</v>
      </c>
      <c r="I1990">
        <v>10</v>
      </c>
      <c r="J1990">
        <v>10.01</v>
      </c>
      <c r="K1990" s="142" t="s">
        <v>10</v>
      </c>
      <c r="L1990">
        <v>426.17</v>
      </c>
      <c r="M1990">
        <v>0.78768000000000005</v>
      </c>
      <c r="N1990">
        <v>426.19</v>
      </c>
      <c r="O1990">
        <v>0.7873</v>
      </c>
    </row>
    <row r="1991" spans="1:15" x14ac:dyDescent="0.25">
      <c r="A1991" s="142" t="s">
        <v>1183</v>
      </c>
      <c r="B1991" s="142" t="s">
        <v>51</v>
      </c>
      <c r="C1991" s="142" t="s">
        <v>8</v>
      </c>
      <c r="D1991">
        <v>0</v>
      </c>
      <c r="E1991">
        <v>3.3009999999999998E-2</v>
      </c>
      <c r="F1991">
        <v>1</v>
      </c>
      <c r="G1991" s="142" t="s">
        <v>6</v>
      </c>
      <c r="H1991" s="142" t="s">
        <v>5</v>
      </c>
      <c r="I1991">
        <v>0.01</v>
      </c>
      <c r="J1991">
        <v>4.5010000000000001E-2</v>
      </c>
      <c r="K1991" s="142" t="s">
        <v>10</v>
      </c>
      <c r="L1991">
        <v>580000</v>
      </c>
      <c r="M1991">
        <v>0.23513999999999999</v>
      </c>
      <c r="N1991">
        <v>580000</v>
      </c>
      <c r="O1991">
        <v>0.15715000000000001</v>
      </c>
    </row>
    <row r="1992" spans="1:15" x14ac:dyDescent="0.25">
      <c r="A1992" s="142" t="s">
        <v>1179</v>
      </c>
      <c r="B1992" s="142" t="s">
        <v>51</v>
      </c>
      <c r="C1992" s="142" t="s">
        <v>8</v>
      </c>
      <c r="D1992">
        <v>0</v>
      </c>
      <c r="E1992">
        <v>3.3009999999999998E-2</v>
      </c>
      <c r="F1992">
        <v>1</v>
      </c>
      <c r="G1992" s="142" t="s">
        <v>6</v>
      </c>
      <c r="H1992" s="142" t="s">
        <v>5</v>
      </c>
      <c r="I1992">
        <v>4.4999999999999998E-2</v>
      </c>
      <c r="J1992">
        <v>10.00001</v>
      </c>
      <c r="K1992" s="142" t="s">
        <v>10</v>
      </c>
      <c r="L1992">
        <v>580000</v>
      </c>
      <c r="M1992">
        <v>0.1633</v>
      </c>
      <c r="N1992">
        <v>580000</v>
      </c>
      <c r="O1992">
        <v>8.5309999999999997E-2</v>
      </c>
    </row>
    <row r="1993" spans="1:15" x14ac:dyDescent="0.25">
      <c r="A1993" s="142" t="s">
        <v>1182</v>
      </c>
      <c r="B1993" s="142" t="s">
        <v>51</v>
      </c>
      <c r="C1993" s="142" t="s">
        <v>8</v>
      </c>
      <c r="D1993">
        <v>0</v>
      </c>
      <c r="E1993">
        <v>3.3009999999999998E-2</v>
      </c>
      <c r="F1993">
        <v>1</v>
      </c>
      <c r="G1993" s="142" t="s">
        <v>6</v>
      </c>
      <c r="H1993" s="142" t="s">
        <v>5</v>
      </c>
      <c r="I1993">
        <v>10</v>
      </c>
      <c r="J1993">
        <v>20.010000000000002</v>
      </c>
      <c r="K1993" s="142" t="s">
        <v>10</v>
      </c>
      <c r="L1993">
        <v>580000</v>
      </c>
      <c r="M1993">
        <v>0.23513999999999999</v>
      </c>
      <c r="N1993">
        <v>580000</v>
      </c>
      <c r="O1993">
        <v>0.15715000000000001</v>
      </c>
    </row>
    <row r="1994" spans="1:15" x14ac:dyDescent="0.25">
      <c r="A1994" s="142" t="s">
        <v>1181</v>
      </c>
      <c r="B1994" s="142" t="s">
        <v>51</v>
      </c>
      <c r="C1994" s="142" t="s">
        <v>8</v>
      </c>
      <c r="D1994">
        <v>0</v>
      </c>
      <c r="E1994">
        <v>3.3009999999999998E-2</v>
      </c>
      <c r="F1994">
        <v>1</v>
      </c>
      <c r="G1994" s="142" t="s">
        <v>6</v>
      </c>
      <c r="H1994" s="142" t="s">
        <v>5</v>
      </c>
      <c r="I1994">
        <v>20</v>
      </c>
      <c r="J1994">
        <v>50.01</v>
      </c>
      <c r="K1994" s="142" t="s">
        <v>10</v>
      </c>
      <c r="L1994">
        <v>580000</v>
      </c>
      <c r="M1994">
        <v>0.32665</v>
      </c>
      <c r="N1994">
        <v>580000</v>
      </c>
      <c r="O1994">
        <v>0.24865999999999999</v>
      </c>
    </row>
    <row r="1995" spans="1:15" x14ac:dyDescent="0.25">
      <c r="A1995" s="142" t="s">
        <v>1710</v>
      </c>
      <c r="B1995" s="142" t="s">
        <v>51</v>
      </c>
      <c r="C1995" s="142" t="s">
        <v>8</v>
      </c>
      <c r="D1995">
        <v>0</v>
      </c>
      <c r="E1995">
        <v>3.3009999999999998E-2</v>
      </c>
      <c r="F1995">
        <v>1</v>
      </c>
      <c r="G1995" s="142" t="s">
        <v>6</v>
      </c>
      <c r="H1995" s="142" t="s">
        <v>5</v>
      </c>
      <c r="I1995">
        <v>50</v>
      </c>
      <c r="J1995">
        <v>100.01</v>
      </c>
      <c r="K1995" s="142" t="s">
        <v>10</v>
      </c>
      <c r="L1995">
        <v>580000</v>
      </c>
      <c r="M1995">
        <v>0.86197000000000001</v>
      </c>
      <c r="N1995">
        <v>580000</v>
      </c>
      <c r="O1995">
        <v>0.74565999999999999</v>
      </c>
    </row>
    <row r="1996" spans="1:15" x14ac:dyDescent="0.25">
      <c r="A1996" s="142" t="s">
        <v>1180</v>
      </c>
      <c r="B1996" s="142" t="s">
        <v>51</v>
      </c>
      <c r="C1996" s="142" t="s">
        <v>8</v>
      </c>
      <c r="D1996">
        <v>0</v>
      </c>
      <c r="E1996">
        <v>3.3009999999999998E-2</v>
      </c>
      <c r="F1996">
        <v>1</v>
      </c>
      <c r="G1996" s="142" t="s">
        <v>6</v>
      </c>
      <c r="H1996" s="142" t="s">
        <v>5</v>
      </c>
      <c r="I1996">
        <v>100</v>
      </c>
      <c r="J1996">
        <v>500</v>
      </c>
      <c r="K1996" s="142" t="s">
        <v>10</v>
      </c>
      <c r="L1996">
        <v>580000</v>
      </c>
      <c r="M1996">
        <v>5.5656999999999996</v>
      </c>
      <c r="N1996">
        <v>580000</v>
      </c>
      <c r="O1996">
        <v>5.2995000000000001</v>
      </c>
    </row>
    <row r="1997" spans="1:15" x14ac:dyDescent="0.25">
      <c r="A1997" s="142" t="s">
        <v>1713</v>
      </c>
      <c r="B1997" s="142" t="s">
        <v>51</v>
      </c>
      <c r="C1997" s="142" t="s">
        <v>8</v>
      </c>
      <c r="D1997">
        <v>0</v>
      </c>
      <c r="E1997">
        <v>3.3009999999999998E-2</v>
      </c>
      <c r="F1997">
        <v>1</v>
      </c>
      <c r="G1997" s="142" t="s">
        <v>6</v>
      </c>
      <c r="H1997" s="142" t="s">
        <v>5</v>
      </c>
      <c r="I1997">
        <v>500</v>
      </c>
      <c r="J1997">
        <v>501</v>
      </c>
      <c r="K1997" s="142" t="s">
        <v>10</v>
      </c>
      <c r="L1997">
        <v>580000</v>
      </c>
      <c r="M1997">
        <v>5.5656999999999996</v>
      </c>
      <c r="N1997">
        <v>580000</v>
      </c>
      <c r="O1997">
        <v>5.2995000000000001</v>
      </c>
    </row>
    <row r="1998" spans="1:15" x14ac:dyDescent="0.25">
      <c r="A1998" s="142" t="s">
        <v>2180</v>
      </c>
      <c r="B1998" s="142" t="s">
        <v>51</v>
      </c>
      <c r="C1998" s="142" t="s">
        <v>8</v>
      </c>
      <c r="D1998">
        <v>3.3</v>
      </c>
      <c r="E1998">
        <v>33.000999999999998</v>
      </c>
      <c r="F1998">
        <v>1</v>
      </c>
      <c r="G1998" s="142" t="s">
        <v>6</v>
      </c>
      <c r="H1998" s="142" t="s">
        <v>4</v>
      </c>
      <c r="I1998">
        <v>0.01</v>
      </c>
      <c r="J1998">
        <v>4.5010000000000001E-2</v>
      </c>
      <c r="K1998" s="142" t="s">
        <v>10</v>
      </c>
      <c r="L1998">
        <v>579.97</v>
      </c>
      <c r="M1998">
        <v>1.1401E-2</v>
      </c>
      <c r="N1998">
        <v>579.97</v>
      </c>
      <c r="O1998">
        <v>1.1382E-2</v>
      </c>
    </row>
    <row r="1999" spans="1:15" x14ac:dyDescent="0.25">
      <c r="A1999" s="142" t="s">
        <v>1264</v>
      </c>
      <c r="B1999" s="142" t="s">
        <v>51</v>
      </c>
      <c r="C1999" s="142" t="s">
        <v>8</v>
      </c>
      <c r="D1999">
        <v>3.3</v>
      </c>
      <c r="E1999">
        <v>33.000999999999998</v>
      </c>
      <c r="F1999">
        <v>1</v>
      </c>
      <c r="G1999" s="142" t="s">
        <v>6</v>
      </c>
      <c r="H1999" s="142" t="s">
        <v>4</v>
      </c>
      <c r="I1999">
        <v>4.4999999999999998E-2</v>
      </c>
      <c r="J1999">
        <v>10.00001</v>
      </c>
      <c r="K1999" s="142" t="s">
        <v>10</v>
      </c>
      <c r="L1999">
        <v>579.99</v>
      </c>
      <c r="M1999">
        <v>4.2218999999999998E-3</v>
      </c>
      <c r="N1999">
        <v>579.99</v>
      </c>
      <c r="O1999">
        <v>4.2034000000000004E-3</v>
      </c>
    </row>
    <row r="2000" spans="1:15" x14ac:dyDescent="0.25">
      <c r="A2000" s="142" t="s">
        <v>1267</v>
      </c>
      <c r="B2000" s="142" t="s">
        <v>51</v>
      </c>
      <c r="C2000" s="142" t="s">
        <v>8</v>
      </c>
      <c r="D2000">
        <v>3.3</v>
      </c>
      <c r="E2000">
        <v>33.000999999999998</v>
      </c>
      <c r="F2000">
        <v>1</v>
      </c>
      <c r="G2000" s="142" t="s">
        <v>6</v>
      </c>
      <c r="H2000" s="142" t="s">
        <v>4</v>
      </c>
      <c r="I2000">
        <v>10</v>
      </c>
      <c r="J2000">
        <v>20.010000000000002</v>
      </c>
      <c r="K2000" s="142" t="s">
        <v>10</v>
      </c>
      <c r="L2000">
        <v>579.94000000000005</v>
      </c>
      <c r="M2000">
        <v>2.1451999999999999E-2</v>
      </c>
      <c r="N2000">
        <v>579.94000000000005</v>
      </c>
      <c r="O2000">
        <v>2.1433000000000001E-2</v>
      </c>
    </row>
    <row r="2001" spans="1:15" x14ac:dyDescent="0.25">
      <c r="A2001" s="142" t="s">
        <v>1268</v>
      </c>
      <c r="B2001" s="142" t="s">
        <v>51</v>
      </c>
      <c r="C2001" s="142" t="s">
        <v>8</v>
      </c>
      <c r="D2001">
        <v>3.3</v>
      </c>
      <c r="E2001">
        <v>33.000999999999998</v>
      </c>
      <c r="F2001">
        <v>1</v>
      </c>
      <c r="G2001" s="142" t="s">
        <v>6</v>
      </c>
      <c r="H2001" s="142" t="s">
        <v>4</v>
      </c>
      <c r="I2001">
        <v>20</v>
      </c>
      <c r="J2001">
        <v>50.01</v>
      </c>
      <c r="K2001" s="142" t="s">
        <v>10</v>
      </c>
      <c r="L2001">
        <v>579.88</v>
      </c>
      <c r="M2001">
        <v>4.3222999999999998E-2</v>
      </c>
      <c r="N2001">
        <v>579.88</v>
      </c>
      <c r="O2001">
        <v>4.3181999999999998E-2</v>
      </c>
    </row>
    <row r="2002" spans="1:15" x14ac:dyDescent="0.25">
      <c r="A2002" s="142" t="s">
        <v>1732</v>
      </c>
      <c r="B2002" s="142" t="s">
        <v>51</v>
      </c>
      <c r="C2002" s="142" t="s">
        <v>8</v>
      </c>
      <c r="D2002">
        <v>3.3</v>
      </c>
      <c r="E2002">
        <v>33.000999999999998</v>
      </c>
      <c r="F2002">
        <v>1</v>
      </c>
      <c r="G2002" s="142" t="s">
        <v>6</v>
      </c>
      <c r="H2002" s="142" t="s">
        <v>4</v>
      </c>
      <c r="I2002">
        <v>50</v>
      </c>
      <c r="J2002">
        <v>100.01</v>
      </c>
      <c r="K2002" s="142" t="s">
        <v>10</v>
      </c>
      <c r="L2002">
        <v>579.35</v>
      </c>
      <c r="M2002">
        <v>0.23028000000000001</v>
      </c>
      <c r="N2002">
        <v>579.35</v>
      </c>
      <c r="O2002">
        <v>0.23021</v>
      </c>
    </row>
    <row r="2003" spans="1:15" x14ac:dyDescent="0.25">
      <c r="A2003" s="142" t="s">
        <v>1265</v>
      </c>
      <c r="B2003" s="142" t="s">
        <v>51</v>
      </c>
      <c r="C2003" s="142" t="s">
        <v>8</v>
      </c>
      <c r="D2003">
        <v>3.3</v>
      </c>
      <c r="E2003">
        <v>33.000999999999998</v>
      </c>
      <c r="F2003">
        <v>1</v>
      </c>
      <c r="G2003" s="142" t="s">
        <v>6</v>
      </c>
      <c r="H2003" s="142" t="s">
        <v>4</v>
      </c>
      <c r="I2003">
        <v>100</v>
      </c>
      <c r="J2003">
        <v>500</v>
      </c>
      <c r="K2003" s="142" t="s">
        <v>10</v>
      </c>
      <c r="L2003">
        <v>579.33000000000004</v>
      </c>
      <c r="M2003">
        <v>0.23723</v>
      </c>
      <c r="N2003">
        <v>579.33000000000004</v>
      </c>
      <c r="O2003">
        <v>0.23716999999999999</v>
      </c>
    </row>
    <row r="2004" spans="1:15" x14ac:dyDescent="0.25">
      <c r="A2004" s="142" t="s">
        <v>1266</v>
      </c>
      <c r="B2004" s="142" t="s">
        <v>51</v>
      </c>
      <c r="C2004" s="142" t="s">
        <v>8</v>
      </c>
      <c r="D2004">
        <v>3.3</v>
      </c>
      <c r="E2004">
        <v>33.000999999999998</v>
      </c>
      <c r="F2004">
        <v>1</v>
      </c>
      <c r="G2004" s="142" t="s">
        <v>6</v>
      </c>
      <c r="H2004" s="142" t="s">
        <v>4</v>
      </c>
      <c r="I2004">
        <v>500</v>
      </c>
      <c r="J2004">
        <v>501</v>
      </c>
      <c r="K2004" s="142" t="s">
        <v>10</v>
      </c>
      <c r="L2004">
        <v>579.33000000000004</v>
      </c>
      <c r="M2004">
        <v>0.23723</v>
      </c>
      <c r="N2004">
        <v>579.33000000000004</v>
      </c>
      <c r="O2004">
        <v>0.23716999999999999</v>
      </c>
    </row>
    <row r="2005" spans="1:15" x14ac:dyDescent="0.25">
      <c r="A2005" s="142" t="s">
        <v>1285</v>
      </c>
      <c r="B2005" s="142" t="s">
        <v>51</v>
      </c>
      <c r="C2005" s="142" t="s">
        <v>8</v>
      </c>
      <c r="D2005">
        <v>33</v>
      </c>
      <c r="E2005">
        <v>330.01</v>
      </c>
      <c r="F2005">
        <v>1</v>
      </c>
      <c r="G2005" s="142" t="s">
        <v>6</v>
      </c>
      <c r="H2005" s="142" t="s">
        <v>4</v>
      </c>
      <c r="I2005">
        <v>0.01</v>
      </c>
      <c r="J2005">
        <v>4.5010000000000001E-2</v>
      </c>
      <c r="K2005" s="142" t="s">
        <v>10</v>
      </c>
      <c r="L2005">
        <v>576.98</v>
      </c>
      <c r="M2005">
        <v>0.10542</v>
      </c>
      <c r="N2005">
        <v>576.96</v>
      </c>
      <c r="O2005">
        <v>0.10532999999999999</v>
      </c>
    </row>
    <row r="2006" spans="1:15" x14ac:dyDescent="0.25">
      <c r="A2006" s="142" t="s">
        <v>1282</v>
      </c>
      <c r="B2006" s="142" t="s">
        <v>51</v>
      </c>
      <c r="C2006" s="142" t="s">
        <v>8</v>
      </c>
      <c r="D2006">
        <v>33</v>
      </c>
      <c r="E2006">
        <v>330.01</v>
      </c>
      <c r="F2006">
        <v>1</v>
      </c>
      <c r="G2006" s="142" t="s">
        <v>6</v>
      </c>
      <c r="H2006" s="142" t="s">
        <v>4</v>
      </c>
      <c r="I2006">
        <v>4.4999999999999998E-2</v>
      </c>
      <c r="J2006">
        <v>10.00001</v>
      </c>
      <c r="K2006" s="142" t="s">
        <v>10</v>
      </c>
      <c r="L2006">
        <v>572.72</v>
      </c>
      <c r="M2006">
        <v>0.26556000000000002</v>
      </c>
      <c r="N2006">
        <v>572.67999999999995</v>
      </c>
      <c r="O2006">
        <v>0.26538</v>
      </c>
    </row>
    <row r="2007" spans="1:15" x14ac:dyDescent="0.25">
      <c r="A2007" s="142" t="s">
        <v>1284</v>
      </c>
      <c r="B2007" s="142" t="s">
        <v>51</v>
      </c>
      <c r="C2007" s="142" t="s">
        <v>8</v>
      </c>
      <c r="D2007">
        <v>33</v>
      </c>
      <c r="E2007">
        <v>330.01</v>
      </c>
      <c r="F2007">
        <v>1</v>
      </c>
      <c r="G2007" s="142" t="s">
        <v>6</v>
      </c>
      <c r="H2007" s="142" t="s">
        <v>4</v>
      </c>
      <c r="I2007">
        <v>10</v>
      </c>
      <c r="J2007">
        <v>20.010000000000002</v>
      </c>
      <c r="K2007" s="142" t="s">
        <v>10</v>
      </c>
      <c r="L2007">
        <v>570.91999999999996</v>
      </c>
      <c r="M2007">
        <v>0.32863999999999999</v>
      </c>
      <c r="N2007">
        <v>570.88</v>
      </c>
      <c r="O2007">
        <v>0.32847999999999999</v>
      </c>
    </row>
    <row r="2008" spans="1:15" x14ac:dyDescent="0.25">
      <c r="A2008" s="142" t="s">
        <v>1286</v>
      </c>
      <c r="B2008" s="142" t="s">
        <v>51</v>
      </c>
      <c r="C2008" s="142" t="s">
        <v>8</v>
      </c>
      <c r="D2008">
        <v>33</v>
      </c>
      <c r="E2008">
        <v>330.01</v>
      </c>
      <c r="F2008">
        <v>1</v>
      </c>
      <c r="G2008" s="142" t="s">
        <v>6</v>
      </c>
      <c r="H2008" s="142" t="s">
        <v>4</v>
      </c>
      <c r="I2008">
        <v>20</v>
      </c>
      <c r="J2008">
        <v>50.01</v>
      </c>
      <c r="K2008" s="142" t="s">
        <v>10</v>
      </c>
      <c r="L2008">
        <v>564.6</v>
      </c>
      <c r="M2008">
        <v>0.55034000000000005</v>
      </c>
      <c r="N2008">
        <v>564.55999999999995</v>
      </c>
      <c r="O2008">
        <v>0.55020999999999998</v>
      </c>
    </row>
    <row r="2009" spans="1:15" x14ac:dyDescent="0.25">
      <c r="A2009" s="142" t="s">
        <v>1283</v>
      </c>
      <c r="B2009" s="142" t="s">
        <v>51</v>
      </c>
      <c r="C2009" s="142" t="s">
        <v>8</v>
      </c>
      <c r="D2009">
        <v>33</v>
      </c>
      <c r="E2009">
        <v>330.01</v>
      </c>
      <c r="F2009">
        <v>1</v>
      </c>
      <c r="G2009" s="142" t="s">
        <v>6</v>
      </c>
      <c r="H2009" s="142" t="s">
        <v>4</v>
      </c>
      <c r="I2009">
        <v>50</v>
      </c>
      <c r="J2009">
        <v>100</v>
      </c>
      <c r="K2009" s="142" t="s">
        <v>10</v>
      </c>
      <c r="L2009">
        <v>546.63</v>
      </c>
      <c r="M2009">
        <v>1.8765000000000001</v>
      </c>
      <c r="N2009">
        <v>546.54</v>
      </c>
      <c r="O2009">
        <v>1.8763000000000001</v>
      </c>
    </row>
    <row r="2010" spans="1:15" x14ac:dyDescent="0.25">
      <c r="A2010" s="142" t="s">
        <v>1287</v>
      </c>
      <c r="B2010" s="142" t="s">
        <v>51</v>
      </c>
      <c r="C2010" s="142" t="s">
        <v>8</v>
      </c>
      <c r="D2010">
        <v>33</v>
      </c>
      <c r="E2010">
        <v>330.01</v>
      </c>
      <c r="F2010">
        <v>1</v>
      </c>
      <c r="G2010" s="142" t="s">
        <v>6</v>
      </c>
      <c r="H2010" s="142" t="s">
        <v>4</v>
      </c>
      <c r="I2010">
        <v>100</v>
      </c>
      <c r="J2010">
        <v>100.1</v>
      </c>
      <c r="K2010" s="142" t="s">
        <v>10</v>
      </c>
      <c r="L2010">
        <v>546.63</v>
      </c>
      <c r="M2010">
        <v>1.8765000000000001</v>
      </c>
      <c r="N2010">
        <v>546.54</v>
      </c>
      <c r="O2010">
        <v>1.8763000000000001</v>
      </c>
    </row>
    <row r="2011" spans="1:15" x14ac:dyDescent="0.25">
      <c r="A2011" s="142" t="s">
        <v>1301</v>
      </c>
      <c r="B2011" s="142" t="s">
        <v>51</v>
      </c>
      <c r="C2011" s="142" t="s">
        <v>8</v>
      </c>
      <c r="D2011">
        <v>330</v>
      </c>
      <c r="E2011">
        <v>1020.01</v>
      </c>
      <c r="F2011">
        <v>1</v>
      </c>
      <c r="G2011" s="142" t="s">
        <v>6</v>
      </c>
      <c r="H2011" s="142" t="s">
        <v>4</v>
      </c>
      <c r="I2011">
        <v>4.4999999999999998E-2</v>
      </c>
      <c r="J2011">
        <v>1.0000100000000001</v>
      </c>
      <c r="K2011" s="142" t="s">
        <v>10</v>
      </c>
      <c r="L2011">
        <v>5790.3</v>
      </c>
      <c r="M2011">
        <v>4.1506000000000001E-2</v>
      </c>
      <c r="N2011">
        <v>5790.4</v>
      </c>
      <c r="O2011">
        <v>4.1123E-2</v>
      </c>
    </row>
    <row r="2012" spans="1:15" x14ac:dyDescent="0.25">
      <c r="A2012" s="142" t="s">
        <v>1300</v>
      </c>
      <c r="B2012" s="142" t="s">
        <v>51</v>
      </c>
      <c r="C2012" s="142" t="s">
        <v>8</v>
      </c>
      <c r="D2012">
        <v>330</v>
      </c>
      <c r="E2012">
        <v>1020.01</v>
      </c>
      <c r="F2012">
        <v>1</v>
      </c>
      <c r="G2012" s="142" t="s">
        <v>6</v>
      </c>
      <c r="H2012" s="142" t="s">
        <v>4</v>
      </c>
      <c r="I2012">
        <v>1</v>
      </c>
      <c r="J2012">
        <v>5.01</v>
      </c>
      <c r="K2012" s="142" t="s">
        <v>10</v>
      </c>
      <c r="L2012">
        <v>5775.4</v>
      </c>
      <c r="M2012">
        <v>0.10274</v>
      </c>
      <c r="N2012">
        <v>5775.5</v>
      </c>
      <c r="O2012">
        <v>0.10236000000000001</v>
      </c>
    </row>
    <row r="2013" spans="1:15" x14ac:dyDescent="0.25">
      <c r="A2013" s="142" t="s">
        <v>2794</v>
      </c>
      <c r="B2013" s="142" t="s">
        <v>51</v>
      </c>
      <c r="C2013" s="142" t="s">
        <v>8</v>
      </c>
      <c r="D2013">
        <v>330</v>
      </c>
      <c r="E2013">
        <v>1020.01</v>
      </c>
      <c r="F2013">
        <v>1</v>
      </c>
      <c r="G2013" s="142" t="s">
        <v>6</v>
      </c>
      <c r="H2013" s="142" t="s">
        <v>4</v>
      </c>
      <c r="I2013">
        <v>5</v>
      </c>
      <c r="J2013">
        <v>10</v>
      </c>
      <c r="K2013" s="142" t="s">
        <v>10</v>
      </c>
      <c r="L2013">
        <v>5769</v>
      </c>
      <c r="M2013">
        <v>0.12912000000000001</v>
      </c>
      <c r="N2013">
        <v>5769.1</v>
      </c>
      <c r="O2013">
        <v>0.12875</v>
      </c>
    </row>
    <row r="2014" spans="1:15" x14ac:dyDescent="0.25">
      <c r="A2014" s="142" t="s">
        <v>1299</v>
      </c>
      <c r="B2014" s="142" t="s">
        <v>51</v>
      </c>
      <c r="C2014" s="142" t="s">
        <v>8</v>
      </c>
      <c r="D2014">
        <v>330</v>
      </c>
      <c r="E2014">
        <v>1020.01</v>
      </c>
      <c r="F2014">
        <v>1</v>
      </c>
      <c r="G2014" s="142" t="s">
        <v>6</v>
      </c>
      <c r="H2014" s="142" t="s">
        <v>4</v>
      </c>
      <c r="I2014">
        <v>10</v>
      </c>
      <c r="J2014">
        <v>10.01</v>
      </c>
      <c r="K2014" s="142" t="s">
        <v>10</v>
      </c>
      <c r="L2014">
        <v>5769</v>
      </c>
      <c r="M2014">
        <v>0.12912000000000001</v>
      </c>
      <c r="N2014">
        <v>5769.1</v>
      </c>
      <c r="O2014">
        <v>0.12875</v>
      </c>
    </row>
    <row r="2015" spans="1:15" x14ac:dyDescent="0.25">
      <c r="A2015" s="142" t="s">
        <v>1188</v>
      </c>
      <c r="B2015" s="142" t="s">
        <v>51</v>
      </c>
      <c r="C2015" s="142" t="s">
        <v>8</v>
      </c>
      <c r="D2015">
        <v>0</v>
      </c>
      <c r="E2015">
        <v>3.3009999999999998E-2</v>
      </c>
      <c r="F2015">
        <v>10</v>
      </c>
      <c r="G2015" s="142" t="s">
        <v>6</v>
      </c>
      <c r="H2015" s="142" t="s">
        <v>5</v>
      </c>
      <c r="I2015">
        <v>0.01</v>
      </c>
      <c r="J2015">
        <v>4.5010000000000001E-2</v>
      </c>
      <c r="K2015" s="142" t="s">
        <v>10</v>
      </c>
      <c r="L2015">
        <v>5800000</v>
      </c>
      <c r="M2015">
        <v>4.6912000000000002E-2</v>
      </c>
      <c r="N2015">
        <v>5800000</v>
      </c>
      <c r="O2015">
        <v>1.5715E-2</v>
      </c>
    </row>
    <row r="2016" spans="1:15" x14ac:dyDescent="0.25">
      <c r="A2016" s="142" t="s">
        <v>1185</v>
      </c>
      <c r="B2016" s="142" t="s">
        <v>51</v>
      </c>
      <c r="C2016" s="142" t="s">
        <v>8</v>
      </c>
      <c r="D2016">
        <v>0</v>
      </c>
      <c r="E2016">
        <v>3.3009999999999998E-2</v>
      </c>
      <c r="F2016">
        <v>10</v>
      </c>
      <c r="G2016" s="142" t="s">
        <v>6</v>
      </c>
      <c r="H2016" s="142" t="s">
        <v>5</v>
      </c>
      <c r="I2016">
        <v>4.4999999999999998E-2</v>
      </c>
      <c r="J2016">
        <v>10.00001</v>
      </c>
      <c r="K2016" s="142" t="s">
        <v>10</v>
      </c>
      <c r="L2016">
        <v>5800000</v>
      </c>
      <c r="M2016">
        <v>3.9727999999999999E-2</v>
      </c>
      <c r="N2016">
        <v>5800000</v>
      </c>
      <c r="O2016">
        <v>8.5310000000000004E-3</v>
      </c>
    </row>
    <row r="2017" spans="1:15" x14ac:dyDescent="0.25">
      <c r="A2017" s="142" t="s">
        <v>1184</v>
      </c>
      <c r="B2017" s="142" t="s">
        <v>51</v>
      </c>
      <c r="C2017" s="142" t="s">
        <v>8</v>
      </c>
      <c r="D2017">
        <v>0</v>
      </c>
      <c r="E2017">
        <v>3.3009999999999998E-2</v>
      </c>
      <c r="F2017">
        <v>10</v>
      </c>
      <c r="G2017" s="142" t="s">
        <v>6</v>
      </c>
      <c r="H2017" s="142" t="s">
        <v>5</v>
      </c>
      <c r="I2017">
        <v>10</v>
      </c>
      <c r="J2017">
        <v>20.010000000000002</v>
      </c>
      <c r="K2017" s="142" t="s">
        <v>10</v>
      </c>
      <c r="L2017">
        <v>5800000</v>
      </c>
      <c r="M2017">
        <v>4.6912000000000002E-2</v>
      </c>
      <c r="N2017">
        <v>5800000</v>
      </c>
      <c r="O2017">
        <v>1.5715E-2</v>
      </c>
    </row>
    <row r="2018" spans="1:15" x14ac:dyDescent="0.25">
      <c r="A2018" s="142" t="s">
        <v>1187</v>
      </c>
      <c r="B2018" s="142" t="s">
        <v>51</v>
      </c>
      <c r="C2018" s="142" t="s">
        <v>8</v>
      </c>
      <c r="D2018">
        <v>0</v>
      </c>
      <c r="E2018">
        <v>3.3009999999999998E-2</v>
      </c>
      <c r="F2018">
        <v>10</v>
      </c>
      <c r="G2018" s="142" t="s">
        <v>6</v>
      </c>
      <c r="H2018" s="142" t="s">
        <v>5</v>
      </c>
      <c r="I2018">
        <v>20</v>
      </c>
      <c r="J2018">
        <v>50.01</v>
      </c>
      <c r="K2018" s="142" t="s">
        <v>10</v>
      </c>
      <c r="L2018">
        <v>5800000</v>
      </c>
      <c r="M2018">
        <v>5.6063000000000002E-2</v>
      </c>
      <c r="N2018">
        <v>5800000</v>
      </c>
      <c r="O2018">
        <v>2.4865999999999999E-2</v>
      </c>
    </row>
    <row r="2019" spans="1:15" x14ac:dyDescent="0.25">
      <c r="A2019" s="142" t="s">
        <v>1186</v>
      </c>
      <c r="B2019" s="142" t="s">
        <v>51</v>
      </c>
      <c r="C2019" s="142" t="s">
        <v>8</v>
      </c>
      <c r="D2019">
        <v>0</v>
      </c>
      <c r="E2019">
        <v>3.3009999999999998E-2</v>
      </c>
      <c r="F2019">
        <v>10</v>
      </c>
      <c r="G2019" s="142" t="s">
        <v>6</v>
      </c>
      <c r="H2019" s="142" t="s">
        <v>5</v>
      </c>
      <c r="I2019">
        <v>50</v>
      </c>
      <c r="J2019">
        <v>100.01</v>
      </c>
      <c r="K2019" s="142" t="s">
        <v>10</v>
      </c>
      <c r="L2019">
        <v>5800000</v>
      </c>
      <c r="M2019">
        <v>0.12109</v>
      </c>
      <c r="N2019">
        <v>5800000</v>
      </c>
      <c r="O2019">
        <v>7.4565999999999993E-2</v>
      </c>
    </row>
    <row r="2020" spans="1:15" x14ac:dyDescent="0.25">
      <c r="A2020" s="142" t="s">
        <v>1189</v>
      </c>
      <c r="B2020" s="142" t="s">
        <v>51</v>
      </c>
      <c r="C2020" s="142" t="s">
        <v>8</v>
      </c>
      <c r="D2020">
        <v>0</v>
      </c>
      <c r="E2020">
        <v>3.3009999999999998E-2</v>
      </c>
      <c r="F2020">
        <v>10</v>
      </c>
      <c r="G2020" s="142" t="s">
        <v>6</v>
      </c>
      <c r="H2020" s="142" t="s">
        <v>5</v>
      </c>
      <c r="I2020">
        <v>100</v>
      </c>
      <c r="J2020">
        <v>500.01</v>
      </c>
      <c r="K2020" s="142" t="s">
        <v>10</v>
      </c>
      <c r="L2020">
        <v>5800000</v>
      </c>
      <c r="M2020">
        <v>0.63641999999999999</v>
      </c>
      <c r="N2020">
        <v>5800000</v>
      </c>
      <c r="O2020">
        <v>0.52995000000000003</v>
      </c>
    </row>
    <row r="2021" spans="1:15" x14ac:dyDescent="0.25">
      <c r="A2021" s="142" t="s">
        <v>1290</v>
      </c>
      <c r="B2021" s="142" t="s">
        <v>51</v>
      </c>
      <c r="C2021" s="142" t="s">
        <v>8</v>
      </c>
      <c r="D2021">
        <v>33</v>
      </c>
      <c r="E2021">
        <v>330.01</v>
      </c>
      <c r="F2021">
        <v>10</v>
      </c>
      <c r="G2021" s="142" t="s">
        <v>6</v>
      </c>
      <c r="H2021" s="142" t="s">
        <v>4</v>
      </c>
      <c r="I2021">
        <v>0.01</v>
      </c>
      <c r="J2021">
        <v>4.5010000000000001E-2</v>
      </c>
      <c r="K2021" s="142" t="s">
        <v>10</v>
      </c>
      <c r="L2021">
        <v>5799.7</v>
      </c>
      <c r="M2021">
        <v>1.0862E-2</v>
      </c>
      <c r="N2021">
        <v>5799.7</v>
      </c>
      <c r="O2021">
        <v>1.0822E-2</v>
      </c>
    </row>
    <row r="2022" spans="1:15" x14ac:dyDescent="0.25">
      <c r="A2022" s="142" t="s">
        <v>2178</v>
      </c>
      <c r="B2022" s="142" t="s">
        <v>51</v>
      </c>
      <c r="C2022" s="142" t="s">
        <v>8</v>
      </c>
      <c r="D2022">
        <v>33</v>
      </c>
      <c r="E2022">
        <v>330.01</v>
      </c>
      <c r="F2022">
        <v>10</v>
      </c>
      <c r="G2022" s="142" t="s">
        <v>6</v>
      </c>
      <c r="H2022" s="142" t="s">
        <v>4</v>
      </c>
      <c r="I2022">
        <v>4.4999999999999998E-2</v>
      </c>
      <c r="J2022">
        <v>10.00001</v>
      </c>
      <c r="K2022" s="142" t="s">
        <v>10</v>
      </c>
      <c r="L2022">
        <v>5799.2</v>
      </c>
      <c r="M2022">
        <v>2.8473999999999999E-2</v>
      </c>
      <c r="N2022">
        <v>5799.2</v>
      </c>
      <c r="O2022">
        <v>2.8386000000000002E-2</v>
      </c>
    </row>
    <row r="2023" spans="1:15" x14ac:dyDescent="0.25">
      <c r="A2023" s="142" t="s">
        <v>1292</v>
      </c>
      <c r="B2023" s="142" t="s">
        <v>51</v>
      </c>
      <c r="C2023" s="142" t="s">
        <v>8</v>
      </c>
      <c r="D2023">
        <v>33</v>
      </c>
      <c r="E2023">
        <v>330.01</v>
      </c>
      <c r="F2023">
        <v>10</v>
      </c>
      <c r="G2023" s="142" t="s">
        <v>6</v>
      </c>
      <c r="H2023" s="142" t="s">
        <v>4</v>
      </c>
      <c r="I2023">
        <v>10</v>
      </c>
      <c r="J2023">
        <v>20.010000000000002</v>
      </c>
      <c r="K2023" s="142" t="s">
        <v>10</v>
      </c>
      <c r="L2023">
        <v>5799</v>
      </c>
      <c r="M2023">
        <v>3.5762000000000002E-2</v>
      </c>
      <c r="N2023">
        <v>5799</v>
      </c>
      <c r="O2023">
        <v>3.5673999999999997E-2</v>
      </c>
    </row>
    <row r="2024" spans="1:15" x14ac:dyDescent="0.25">
      <c r="A2024" s="142" t="s">
        <v>1289</v>
      </c>
      <c r="B2024" s="142" t="s">
        <v>51</v>
      </c>
      <c r="C2024" s="142" t="s">
        <v>8</v>
      </c>
      <c r="D2024">
        <v>33</v>
      </c>
      <c r="E2024">
        <v>330.01</v>
      </c>
      <c r="F2024">
        <v>10</v>
      </c>
      <c r="G2024" s="142" t="s">
        <v>6</v>
      </c>
      <c r="H2024" s="142" t="s">
        <v>4</v>
      </c>
      <c r="I2024">
        <v>20</v>
      </c>
      <c r="J2024">
        <v>50.01</v>
      </c>
      <c r="K2024" s="142" t="s">
        <v>10</v>
      </c>
      <c r="L2024">
        <v>5798.2</v>
      </c>
      <c r="M2024">
        <v>6.3011999999999999E-2</v>
      </c>
      <c r="N2024">
        <v>5798.2</v>
      </c>
      <c r="O2024">
        <v>6.2924999999999995E-2</v>
      </c>
    </row>
    <row r="2025" spans="1:15" x14ac:dyDescent="0.25">
      <c r="A2025" s="142" t="s">
        <v>1291</v>
      </c>
      <c r="B2025" s="142" t="s">
        <v>51</v>
      </c>
      <c r="C2025" s="142" t="s">
        <v>8</v>
      </c>
      <c r="D2025">
        <v>33</v>
      </c>
      <c r="E2025">
        <v>330.01</v>
      </c>
      <c r="F2025">
        <v>10</v>
      </c>
      <c r="G2025" s="142" t="s">
        <v>6</v>
      </c>
      <c r="H2025" s="142" t="s">
        <v>4</v>
      </c>
      <c r="I2025">
        <v>50</v>
      </c>
      <c r="J2025">
        <v>100</v>
      </c>
      <c r="K2025" s="142" t="s">
        <v>10</v>
      </c>
      <c r="L2025">
        <v>5793.6</v>
      </c>
      <c r="M2025">
        <v>0.28499000000000002</v>
      </c>
      <c r="N2025">
        <v>5793.5</v>
      </c>
      <c r="O2025">
        <v>0.28476000000000001</v>
      </c>
    </row>
    <row r="2026" spans="1:15" x14ac:dyDescent="0.25">
      <c r="A2026" s="142" t="s">
        <v>1288</v>
      </c>
      <c r="B2026" s="142" t="s">
        <v>51</v>
      </c>
      <c r="C2026" s="142" t="s">
        <v>8</v>
      </c>
      <c r="D2026">
        <v>33</v>
      </c>
      <c r="E2026">
        <v>330.01</v>
      </c>
      <c r="F2026">
        <v>10</v>
      </c>
      <c r="G2026" s="142" t="s">
        <v>6</v>
      </c>
      <c r="H2026" s="142" t="s">
        <v>4</v>
      </c>
      <c r="I2026">
        <v>100</v>
      </c>
      <c r="J2026">
        <v>100.1</v>
      </c>
      <c r="K2026" s="142" t="s">
        <v>10</v>
      </c>
      <c r="L2026">
        <v>5793.6</v>
      </c>
      <c r="M2026">
        <v>0.28499000000000002</v>
      </c>
      <c r="N2026">
        <v>5793.5</v>
      </c>
      <c r="O2026">
        <v>0.28476000000000001</v>
      </c>
    </row>
    <row r="2027" spans="1:15" x14ac:dyDescent="0.25">
      <c r="A2027" s="142" t="s">
        <v>2173</v>
      </c>
      <c r="B2027" s="142" t="s">
        <v>51</v>
      </c>
      <c r="C2027" s="142" t="s">
        <v>8</v>
      </c>
      <c r="D2027">
        <v>330</v>
      </c>
      <c r="E2027">
        <v>1020.01</v>
      </c>
      <c r="F2027">
        <v>10</v>
      </c>
      <c r="G2027" s="142" t="s">
        <v>6</v>
      </c>
      <c r="H2027" s="142" t="s">
        <v>4</v>
      </c>
      <c r="I2027">
        <v>4.4999999999999998E-2</v>
      </c>
      <c r="J2027">
        <v>1.0000100000000001</v>
      </c>
      <c r="K2027" s="142" t="s">
        <v>10</v>
      </c>
      <c r="L2027">
        <v>57999</v>
      </c>
      <c r="M2027">
        <v>4.2792999999999998E-3</v>
      </c>
      <c r="N2027">
        <v>57999</v>
      </c>
      <c r="O2027">
        <v>4.1250000000000002E-3</v>
      </c>
    </row>
    <row r="2028" spans="1:15" x14ac:dyDescent="0.25">
      <c r="A2028" s="142" t="s">
        <v>1303</v>
      </c>
      <c r="B2028" s="142" t="s">
        <v>51</v>
      </c>
      <c r="C2028" s="142" t="s">
        <v>8</v>
      </c>
      <c r="D2028">
        <v>330</v>
      </c>
      <c r="E2028">
        <v>1020.01</v>
      </c>
      <c r="F2028">
        <v>10</v>
      </c>
      <c r="G2028" s="142" t="s">
        <v>6</v>
      </c>
      <c r="H2028" s="142" t="s">
        <v>4</v>
      </c>
      <c r="I2028">
        <v>1</v>
      </c>
      <c r="J2028">
        <v>5.01</v>
      </c>
      <c r="K2028" s="142" t="s">
        <v>10</v>
      </c>
      <c r="L2028">
        <v>57998</v>
      </c>
      <c r="M2028">
        <v>1.0468E-2</v>
      </c>
      <c r="N2028">
        <v>57998</v>
      </c>
      <c r="O2028">
        <v>1.0314E-2</v>
      </c>
    </row>
    <row r="2029" spans="1:15" x14ac:dyDescent="0.25">
      <c r="A2029" s="142" t="s">
        <v>2795</v>
      </c>
      <c r="B2029" s="142" t="s">
        <v>51</v>
      </c>
      <c r="C2029" s="142" t="s">
        <v>8</v>
      </c>
      <c r="D2029">
        <v>330</v>
      </c>
      <c r="E2029">
        <v>1020.01</v>
      </c>
      <c r="F2029">
        <v>10</v>
      </c>
      <c r="G2029" s="142" t="s">
        <v>6</v>
      </c>
      <c r="H2029" s="142" t="s">
        <v>4</v>
      </c>
      <c r="I2029">
        <v>5</v>
      </c>
      <c r="J2029">
        <v>10</v>
      </c>
      <c r="K2029" s="142" t="s">
        <v>10</v>
      </c>
      <c r="L2029">
        <v>57997</v>
      </c>
      <c r="M2029">
        <v>1.3152E-2</v>
      </c>
      <c r="N2029">
        <v>57997</v>
      </c>
      <c r="O2029">
        <v>1.2997999999999999E-2</v>
      </c>
    </row>
    <row r="2030" spans="1:15" x14ac:dyDescent="0.25">
      <c r="A2030" s="142" t="s">
        <v>1302</v>
      </c>
      <c r="B2030" s="142" t="s">
        <v>51</v>
      </c>
      <c r="C2030" s="142" t="s">
        <v>8</v>
      </c>
      <c r="D2030">
        <v>330</v>
      </c>
      <c r="E2030">
        <v>1020.01</v>
      </c>
      <c r="F2030">
        <v>10</v>
      </c>
      <c r="G2030" s="142" t="s">
        <v>6</v>
      </c>
      <c r="H2030" s="142" t="s">
        <v>4</v>
      </c>
      <c r="I2030">
        <v>10</v>
      </c>
      <c r="J2030">
        <v>10.01</v>
      </c>
      <c r="K2030" s="142" t="s">
        <v>10</v>
      </c>
      <c r="L2030">
        <v>57997</v>
      </c>
      <c r="M2030">
        <v>1.3152E-2</v>
      </c>
      <c r="N2030">
        <v>57997</v>
      </c>
      <c r="O2030">
        <v>1.2997999999999999E-2</v>
      </c>
    </row>
    <row r="2031" spans="1:15" x14ac:dyDescent="0.25">
      <c r="A2031" s="142" t="s">
        <v>733</v>
      </c>
      <c r="B2031" s="142" t="s">
        <v>51</v>
      </c>
      <c r="C2031" s="142" t="s">
        <v>94</v>
      </c>
      <c r="D2031">
        <v>0</v>
      </c>
      <c r="E2031">
        <v>1.0900099999999999E-5</v>
      </c>
      <c r="F2031">
        <v>1E-10</v>
      </c>
      <c r="G2031" s="142" t="s">
        <v>95</v>
      </c>
      <c r="H2031" s="142" t="s">
        <v>95</v>
      </c>
      <c r="I2031">
        <v>0</v>
      </c>
      <c r="J2031">
        <v>0</v>
      </c>
      <c r="K2031" s="142" t="s">
        <v>1674</v>
      </c>
      <c r="L2031">
        <v>0</v>
      </c>
      <c r="M2031">
        <v>2.5000000000000001E-2</v>
      </c>
      <c r="N2031">
        <v>0</v>
      </c>
      <c r="O2031">
        <v>0</v>
      </c>
    </row>
    <row r="2032" spans="1:15" x14ac:dyDescent="0.25">
      <c r="A2032" s="142" t="s">
        <v>734</v>
      </c>
      <c r="B2032" s="142" t="s">
        <v>51</v>
      </c>
      <c r="C2032" s="142" t="s">
        <v>94</v>
      </c>
      <c r="D2032">
        <v>0</v>
      </c>
      <c r="E2032">
        <v>1.0900099999999999E-5</v>
      </c>
      <c r="F2032">
        <v>1.0000000000000001E-9</v>
      </c>
      <c r="G2032" s="142" t="s">
        <v>95</v>
      </c>
      <c r="H2032" s="142" t="s">
        <v>95</v>
      </c>
      <c r="I2032">
        <v>0</v>
      </c>
      <c r="J2032">
        <v>0</v>
      </c>
      <c r="K2032" s="142" t="s">
        <v>1674</v>
      </c>
      <c r="L2032">
        <v>0</v>
      </c>
      <c r="M2032">
        <v>2.5177999999999999E-2</v>
      </c>
      <c r="N2032">
        <v>0</v>
      </c>
      <c r="O2032">
        <v>0</v>
      </c>
    </row>
    <row r="2033" spans="1:15" x14ac:dyDescent="0.25">
      <c r="A2033" s="142" t="s">
        <v>1981</v>
      </c>
      <c r="B2033" s="142" t="s">
        <v>51</v>
      </c>
      <c r="C2033" s="142" t="s">
        <v>94</v>
      </c>
      <c r="D2033">
        <v>1.0900000000000001E-5</v>
      </c>
      <c r="E2033">
        <v>1.090001E-4</v>
      </c>
      <c r="F2033">
        <v>1.0000000000000001E-9</v>
      </c>
      <c r="G2033" s="142" t="s">
        <v>95</v>
      </c>
      <c r="H2033" s="142" t="s">
        <v>95</v>
      </c>
      <c r="I2033">
        <v>0</v>
      </c>
      <c r="J2033">
        <v>0</v>
      </c>
      <c r="K2033" s="142" t="s">
        <v>1674</v>
      </c>
      <c r="L2033">
        <v>0</v>
      </c>
      <c r="M2033">
        <v>2.5999999999999999E-3</v>
      </c>
      <c r="N2033">
        <v>0</v>
      </c>
      <c r="O2033">
        <v>0</v>
      </c>
    </row>
    <row r="2034" spans="1:15" x14ac:dyDescent="0.25">
      <c r="A2034" s="142" t="s">
        <v>735</v>
      </c>
      <c r="B2034" s="142" t="s">
        <v>51</v>
      </c>
      <c r="C2034" s="142" t="s">
        <v>94</v>
      </c>
      <c r="D2034">
        <v>0</v>
      </c>
      <c r="E2034">
        <v>1.0900099999999999E-5</v>
      </c>
      <c r="F2034">
        <v>1E-8</v>
      </c>
      <c r="G2034" s="142" t="s">
        <v>95</v>
      </c>
      <c r="H2034" s="142" t="s">
        <v>95</v>
      </c>
      <c r="I2034">
        <v>0</v>
      </c>
      <c r="J2034">
        <v>0</v>
      </c>
      <c r="K2034" s="142" t="s">
        <v>1674</v>
      </c>
      <c r="L2034">
        <v>0</v>
      </c>
      <c r="M2034">
        <v>6.2989000000000003E-2</v>
      </c>
      <c r="N2034">
        <v>0</v>
      </c>
      <c r="O2034">
        <v>0</v>
      </c>
    </row>
    <row r="2035" spans="1:15" x14ac:dyDescent="0.25">
      <c r="A2035" s="142" t="s">
        <v>1982</v>
      </c>
      <c r="B2035" s="142" t="s">
        <v>51</v>
      </c>
      <c r="C2035" s="142" t="s">
        <v>94</v>
      </c>
      <c r="D2035">
        <v>1.0900000000000001E-5</v>
      </c>
      <c r="E2035">
        <v>1.090001E-4</v>
      </c>
      <c r="F2035">
        <v>1E-8</v>
      </c>
      <c r="G2035" s="142" t="s">
        <v>95</v>
      </c>
      <c r="H2035" s="142" t="s">
        <v>95</v>
      </c>
      <c r="I2035">
        <v>0</v>
      </c>
      <c r="J2035">
        <v>0</v>
      </c>
      <c r="K2035" s="142" t="s">
        <v>1674</v>
      </c>
      <c r="L2035">
        <v>0</v>
      </c>
      <c r="M2035">
        <v>2.5999999999999999E-3</v>
      </c>
      <c r="N2035">
        <v>0</v>
      </c>
      <c r="O2035">
        <v>0</v>
      </c>
    </row>
    <row r="2036" spans="1:15" x14ac:dyDescent="0.25">
      <c r="A2036" s="142" t="s">
        <v>737</v>
      </c>
      <c r="B2036" s="142" t="s">
        <v>51</v>
      </c>
      <c r="C2036" s="142" t="s">
        <v>94</v>
      </c>
      <c r="D2036">
        <v>1.0900000000000001E-4</v>
      </c>
      <c r="E2036">
        <v>1.0901000000000001E-3</v>
      </c>
      <c r="F2036">
        <v>1E-8</v>
      </c>
      <c r="G2036" s="142" t="s">
        <v>95</v>
      </c>
      <c r="H2036" s="142" t="s">
        <v>95</v>
      </c>
      <c r="I2036">
        <v>0</v>
      </c>
      <c r="J2036">
        <v>0</v>
      </c>
      <c r="K2036" s="142" t="s">
        <v>1674</v>
      </c>
      <c r="L2036">
        <v>0</v>
      </c>
      <c r="M2036">
        <v>1.6999999999999999E-3</v>
      </c>
      <c r="N2036">
        <v>0</v>
      </c>
      <c r="O2036">
        <v>0</v>
      </c>
    </row>
    <row r="2037" spans="1:15" x14ac:dyDescent="0.25">
      <c r="A2037" s="142" t="s">
        <v>736</v>
      </c>
      <c r="B2037" s="142" t="s">
        <v>51</v>
      </c>
      <c r="C2037" s="142" t="s">
        <v>94</v>
      </c>
      <c r="D2037">
        <v>0</v>
      </c>
      <c r="E2037">
        <v>1.0900099999999999E-5</v>
      </c>
      <c r="F2037">
        <v>9.9999999999999995E-8</v>
      </c>
      <c r="G2037" s="142" t="s">
        <v>95</v>
      </c>
      <c r="H2037" s="142" t="s">
        <v>95</v>
      </c>
      <c r="I2037">
        <v>0</v>
      </c>
      <c r="J2037">
        <v>0</v>
      </c>
      <c r="K2037" s="142" t="s">
        <v>1674</v>
      </c>
      <c r="L2037">
        <v>0</v>
      </c>
      <c r="M2037">
        <v>0.58052999999999999</v>
      </c>
      <c r="N2037">
        <v>0</v>
      </c>
      <c r="O2037">
        <v>0</v>
      </c>
    </row>
    <row r="2038" spans="1:15" x14ac:dyDescent="0.25">
      <c r="A2038" s="142" t="s">
        <v>1983</v>
      </c>
      <c r="B2038" s="142" t="s">
        <v>51</v>
      </c>
      <c r="C2038" s="142" t="s">
        <v>94</v>
      </c>
      <c r="D2038">
        <v>1.0900000000000001E-5</v>
      </c>
      <c r="E2038">
        <v>1.090001E-4</v>
      </c>
      <c r="F2038">
        <v>9.9999999999999995E-8</v>
      </c>
      <c r="G2038" s="142" t="s">
        <v>95</v>
      </c>
      <c r="H2038" s="142" t="s">
        <v>95</v>
      </c>
      <c r="I2038">
        <v>0</v>
      </c>
      <c r="J2038">
        <v>0</v>
      </c>
      <c r="K2038" s="142" t="s">
        <v>1674</v>
      </c>
      <c r="L2038">
        <v>0</v>
      </c>
      <c r="M2038">
        <v>5.8884000000000002E-3</v>
      </c>
      <c r="N2038">
        <v>0</v>
      </c>
      <c r="O2038">
        <v>0</v>
      </c>
    </row>
    <row r="2039" spans="1:15" x14ac:dyDescent="0.25">
      <c r="A2039" s="142" t="s">
        <v>738</v>
      </c>
      <c r="B2039" s="142" t="s">
        <v>51</v>
      </c>
      <c r="C2039" s="142" t="s">
        <v>94</v>
      </c>
      <c r="D2039">
        <v>1.0900000000000001E-4</v>
      </c>
      <c r="E2039">
        <v>1.0901000000000001E-3</v>
      </c>
      <c r="F2039">
        <v>9.9999999999999995E-8</v>
      </c>
      <c r="G2039" s="142" t="s">
        <v>95</v>
      </c>
      <c r="H2039" s="142" t="s">
        <v>95</v>
      </c>
      <c r="I2039">
        <v>0</v>
      </c>
      <c r="J2039">
        <v>0</v>
      </c>
      <c r="K2039" s="142" t="s">
        <v>1674</v>
      </c>
      <c r="L2039">
        <v>0</v>
      </c>
      <c r="M2039">
        <v>1.6999999999999999E-3</v>
      </c>
      <c r="N2039">
        <v>0</v>
      </c>
      <c r="O2039">
        <v>0</v>
      </c>
    </row>
    <row r="2040" spans="1:15" x14ac:dyDescent="0.25">
      <c r="A2040" s="142" t="s">
        <v>741</v>
      </c>
      <c r="B2040" s="142" t="s">
        <v>51</v>
      </c>
      <c r="C2040" s="142" t="s">
        <v>94</v>
      </c>
      <c r="D2040">
        <v>1.09E-3</v>
      </c>
      <c r="E2040">
        <v>1.0900099999999999E-2</v>
      </c>
      <c r="F2040">
        <v>9.9999999999999995E-8</v>
      </c>
      <c r="G2040" s="142" t="s">
        <v>95</v>
      </c>
      <c r="H2040" s="142" t="s">
        <v>95</v>
      </c>
      <c r="I2040">
        <v>0</v>
      </c>
      <c r="J2040">
        <v>0</v>
      </c>
      <c r="K2040" s="142" t="s">
        <v>1674</v>
      </c>
      <c r="L2040">
        <v>0</v>
      </c>
      <c r="M2040">
        <v>1.2999999999999999E-3</v>
      </c>
      <c r="N2040">
        <v>0</v>
      </c>
      <c r="O2040">
        <v>0</v>
      </c>
    </row>
    <row r="2041" spans="1:15" x14ac:dyDescent="0.25">
      <c r="A2041" s="142" t="s">
        <v>1980</v>
      </c>
      <c r="B2041" s="142" t="s">
        <v>51</v>
      </c>
      <c r="C2041" s="142" t="s">
        <v>94</v>
      </c>
      <c r="D2041">
        <v>0</v>
      </c>
      <c r="E2041">
        <v>1.0900099999999999E-5</v>
      </c>
      <c r="F2041">
        <v>9.9999999999999995E-7</v>
      </c>
      <c r="G2041" s="142" t="s">
        <v>95</v>
      </c>
      <c r="H2041" s="142" t="s">
        <v>95</v>
      </c>
      <c r="I2041">
        <v>0</v>
      </c>
      <c r="J2041">
        <v>0</v>
      </c>
      <c r="K2041" s="142" t="s">
        <v>1674</v>
      </c>
      <c r="L2041">
        <v>0</v>
      </c>
      <c r="M2041">
        <v>5.8000999999999996</v>
      </c>
      <c r="N2041">
        <v>0</v>
      </c>
      <c r="O2041">
        <v>0</v>
      </c>
    </row>
    <row r="2042" spans="1:15" x14ac:dyDescent="0.25">
      <c r="A2042" s="142" t="s">
        <v>1984</v>
      </c>
      <c r="B2042" s="142" t="s">
        <v>51</v>
      </c>
      <c r="C2042" s="142" t="s">
        <v>94</v>
      </c>
      <c r="D2042">
        <v>1.0900000000000001E-5</v>
      </c>
      <c r="E2042">
        <v>1.090001E-4</v>
      </c>
      <c r="F2042">
        <v>9.9999999999999995E-7</v>
      </c>
      <c r="G2042" s="142" t="s">
        <v>95</v>
      </c>
      <c r="H2042" s="142" t="s">
        <v>95</v>
      </c>
      <c r="I2042">
        <v>0</v>
      </c>
      <c r="J2042">
        <v>0</v>
      </c>
      <c r="K2042" s="142" t="s">
        <v>1674</v>
      </c>
      <c r="L2042">
        <v>0</v>
      </c>
      <c r="M2042">
        <v>5.3319999999999999E-2</v>
      </c>
      <c r="N2042">
        <v>0</v>
      </c>
      <c r="O2042">
        <v>0</v>
      </c>
    </row>
    <row r="2043" spans="1:15" x14ac:dyDescent="0.25">
      <c r="A2043" s="142" t="s">
        <v>739</v>
      </c>
      <c r="B2043" s="142" t="s">
        <v>51</v>
      </c>
      <c r="C2043" s="142" t="s">
        <v>94</v>
      </c>
      <c r="D2043">
        <v>1.0900000000000001E-4</v>
      </c>
      <c r="E2043">
        <v>1.0901000000000001E-3</v>
      </c>
      <c r="F2043">
        <v>9.9999999999999995E-7</v>
      </c>
      <c r="G2043" s="142" t="s">
        <v>95</v>
      </c>
      <c r="H2043" s="142" t="s">
        <v>95</v>
      </c>
      <c r="I2043">
        <v>0</v>
      </c>
      <c r="J2043">
        <v>0</v>
      </c>
      <c r="K2043" s="142" t="s">
        <v>1674</v>
      </c>
      <c r="L2043">
        <v>0</v>
      </c>
      <c r="M2043">
        <v>5.5645E-3</v>
      </c>
      <c r="N2043">
        <v>0</v>
      </c>
      <c r="O2043">
        <v>0</v>
      </c>
    </row>
    <row r="2044" spans="1:15" x14ac:dyDescent="0.25">
      <c r="A2044" s="142" t="s">
        <v>1987</v>
      </c>
      <c r="B2044" s="142" t="s">
        <v>51</v>
      </c>
      <c r="C2044" s="142" t="s">
        <v>94</v>
      </c>
      <c r="D2044">
        <v>1.09E-3</v>
      </c>
      <c r="E2044">
        <v>1.0900099999999999E-2</v>
      </c>
      <c r="F2044">
        <v>9.9999999999999995E-7</v>
      </c>
      <c r="G2044" s="142" t="s">
        <v>95</v>
      </c>
      <c r="H2044" s="142" t="s">
        <v>95</v>
      </c>
      <c r="I2044">
        <v>0</v>
      </c>
      <c r="J2044">
        <v>0</v>
      </c>
      <c r="K2044" s="142" t="s">
        <v>1674</v>
      </c>
      <c r="L2044">
        <v>0</v>
      </c>
      <c r="M2044">
        <v>1.3483E-3</v>
      </c>
      <c r="N2044">
        <v>0</v>
      </c>
      <c r="O2044">
        <v>0</v>
      </c>
    </row>
    <row r="2045" spans="1:15" x14ac:dyDescent="0.25">
      <c r="A2045" s="142" t="s">
        <v>745</v>
      </c>
      <c r="B2045" s="142" t="s">
        <v>51</v>
      </c>
      <c r="C2045" s="142" t="s">
        <v>94</v>
      </c>
      <c r="D2045">
        <v>1.09E-2</v>
      </c>
      <c r="E2045">
        <v>0.1090001</v>
      </c>
      <c r="F2045">
        <v>9.9999999999999995E-7</v>
      </c>
      <c r="G2045" s="142" t="s">
        <v>95</v>
      </c>
      <c r="H2045" s="142" t="s">
        <v>95</v>
      </c>
      <c r="I2045">
        <v>0</v>
      </c>
      <c r="J2045">
        <v>0</v>
      </c>
      <c r="K2045" s="142" t="s">
        <v>1674</v>
      </c>
      <c r="L2045">
        <v>0</v>
      </c>
      <c r="M2045">
        <v>7.7999999999999999E-4</v>
      </c>
      <c r="N2045">
        <v>0</v>
      </c>
      <c r="O2045">
        <v>0</v>
      </c>
    </row>
    <row r="2046" spans="1:15" x14ac:dyDescent="0.25">
      <c r="A2046" s="142" t="s">
        <v>1985</v>
      </c>
      <c r="B2046" s="142" t="s">
        <v>51</v>
      </c>
      <c r="C2046" s="142" t="s">
        <v>94</v>
      </c>
      <c r="D2046">
        <v>1.0900000000000001E-5</v>
      </c>
      <c r="E2046">
        <v>1.090001E-4</v>
      </c>
      <c r="F2046">
        <v>1.0000000000000001E-5</v>
      </c>
      <c r="G2046" s="142" t="s">
        <v>95</v>
      </c>
      <c r="H2046" s="142" t="s">
        <v>95</v>
      </c>
      <c r="I2046">
        <v>0</v>
      </c>
      <c r="J2046">
        <v>0</v>
      </c>
      <c r="K2046" s="142" t="s">
        <v>1674</v>
      </c>
      <c r="L2046">
        <v>0</v>
      </c>
      <c r="M2046">
        <v>0.53261000000000003</v>
      </c>
      <c r="N2046">
        <v>0</v>
      </c>
      <c r="O2046">
        <v>0</v>
      </c>
    </row>
    <row r="2047" spans="1:15" x14ac:dyDescent="0.25">
      <c r="A2047" s="142" t="s">
        <v>740</v>
      </c>
      <c r="B2047" s="142" t="s">
        <v>51</v>
      </c>
      <c r="C2047" s="142" t="s">
        <v>94</v>
      </c>
      <c r="D2047">
        <v>1.0900000000000001E-4</v>
      </c>
      <c r="E2047">
        <v>1.0901000000000001E-3</v>
      </c>
      <c r="F2047">
        <v>1.0000000000000001E-5</v>
      </c>
      <c r="G2047" s="142" t="s">
        <v>95</v>
      </c>
      <c r="H2047" s="142" t="s">
        <v>95</v>
      </c>
      <c r="I2047">
        <v>0</v>
      </c>
      <c r="J2047">
        <v>0</v>
      </c>
      <c r="K2047" s="142" t="s">
        <v>1674</v>
      </c>
      <c r="L2047">
        <v>0</v>
      </c>
      <c r="M2047">
        <v>5.3284999999999999E-2</v>
      </c>
      <c r="N2047">
        <v>0</v>
      </c>
      <c r="O2047">
        <v>0</v>
      </c>
    </row>
    <row r="2048" spans="1:15" x14ac:dyDescent="0.25">
      <c r="A2048" s="142" t="s">
        <v>742</v>
      </c>
      <c r="B2048" s="142" t="s">
        <v>51</v>
      </c>
      <c r="C2048" s="142" t="s">
        <v>94</v>
      </c>
      <c r="D2048">
        <v>1.09E-3</v>
      </c>
      <c r="E2048">
        <v>1.0900099999999999E-2</v>
      </c>
      <c r="F2048">
        <v>1.0000000000000001E-5</v>
      </c>
      <c r="G2048" s="142" t="s">
        <v>95</v>
      </c>
      <c r="H2048" s="142" t="s">
        <v>95</v>
      </c>
      <c r="I2048">
        <v>0</v>
      </c>
      <c r="J2048">
        <v>0</v>
      </c>
      <c r="K2048" s="142" t="s">
        <v>1674</v>
      </c>
      <c r="L2048">
        <v>0</v>
      </c>
      <c r="M2048">
        <v>5.4701999999999997E-3</v>
      </c>
      <c r="N2048">
        <v>0</v>
      </c>
      <c r="O2048">
        <v>0</v>
      </c>
    </row>
    <row r="2049" spans="1:15" x14ac:dyDescent="0.25">
      <c r="A2049" s="142" t="s">
        <v>746</v>
      </c>
      <c r="B2049" s="142" t="s">
        <v>51</v>
      </c>
      <c r="C2049" s="142" t="s">
        <v>94</v>
      </c>
      <c r="D2049">
        <v>1.09E-2</v>
      </c>
      <c r="E2049">
        <v>0.1090001</v>
      </c>
      <c r="F2049">
        <v>1.0000000000000001E-5</v>
      </c>
      <c r="G2049" s="142" t="s">
        <v>95</v>
      </c>
      <c r="H2049" s="142" t="s">
        <v>95</v>
      </c>
      <c r="I2049">
        <v>0</v>
      </c>
      <c r="J2049">
        <v>0</v>
      </c>
      <c r="K2049" s="142" t="s">
        <v>1674</v>
      </c>
      <c r="L2049">
        <v>0</v>
      </c>
      <c r="M2049">
        <v>9.4315999999999996E-4</v>
      </c>
      <c r="N2049">
        <v>0</v>
      </c>
      <c r="O2049">
        <v>0</v>
      </c>
    </row>
    <row r="2050" spans="1:15" x14ac:dyDescent="0.25">
      <c r="A2050" s="142" t="s">
        <v>748</v>
      </c>
      <c r="B2050" s="142" t="s">
        <v>51</v>
      </c>
      <c r="C2050" s="142" t="s">
        <v>94</v>
      </c>
      <c r="D2050">
        <v>0.109</v>
      </c>
      <c r="E2050">
        <v>1.0901000000000001</v>
      </c>
      <c r="F2050">
        <v>1.0000000000000001E-5</v>
      </c>
      <c r="G2050" s="142" t="s">
        <v>95</v>
      </c>
      <c r="H2050" s="142" t="s">
        <v>95</v>
      </c>
      <c r="I2050">
        <v>0</v>
      </c>
      <c r="J2050">
        <v>0</v>
      </c>
      <c r="K2050" s="142" t="s">
        <v>1674</v>
      </c>
      <c r="L2050">
        <v>0</v>
      </c>
      <c r="M2050">
        <v>7.7999999999999999E-4</v>
      </c>
      <c r="N2050">
        <v>0</v>
      </c>
      <c r="O2050">
        <v>0</v>
      </c>
    </row>
    <row r="2051" spans="1:15" x14ac:dyDescent="0.25">
      <c r="A2051" s="142" t="s">
        <v>1986</v>
      </c>
      <c r="B2051" s="142" t="s">
        <v>51</v>
      </c>
      <c r="C2051" s="142" t="s">
        <v>94</v>
      </c>
      <c r="D2051">
        <v>1.0900000000000001E-4</v>
      </c>
      <c r="E2051">
        <v>1.0901000000000001E-3</v>
      </c>
      <c r="F2051">
        <v>1E-4</v>
      </c>
      <c r="G2051" s="142" t="s">
        <v>95</v>
      </c>
      <c r="H2051" s="142" t="s">
        <v>95</v>
      </c>
      <c r="I2051">
        <v>0</v>
      </c>
      <c r="J2051">
        <v>0</v>
      </c>
      <c r="K2051" s="142" t="s">
        <v>1674</v>
      </c>
      <c r="L2051">
        <v>0</v>
      </c>
      <c r="M2051">
        <v>0.53259999999999996</v>
      </c>
      <c r="N2051">
        <v>0</v>
      </c>
      <c r="O2051">
        <v>0</v>
      </c>
    </row>
    <row r="2052" spans="1:15" x14ac:dyDescent="0.25">
      <c r="A2052" s="142" t="s">
        <v>743</v>
      </c>
      <c r="B2052" s="142" t="s">
        <v>51</v>
      </c>
      <c r="C2052" s="142" t="s">
        <v>94</v>
      </c>
      <c r="D2052">
        <v>1.09E-3</v>
      </c>
      <c r="E2052">
        <v>1.0900099999999999E-2</v>
      </c>
      <c r="F2052">
        <v>1E-4</v>
      </c>
      <c r="G2052" s="142" t="s">
        <v>95</v>
      </c>
      <c r="H2052" s="142" t="s">
        <v>95</v>
      </c>
      <c r="I2052">
        <v>0</v>
      </c>
      <c r="J2052">
        <v>0</v>
      </c>
      <c r="K2052" s="142" t="s">
        <v>1674</v>
      </c>
      <c r="L2052">
        <v>0</v>
      </c>
      <c r="M2052">
        <v>5.3275000000000003E-2</v>
      </c>
      <c r="N2052">
        <v>0</v>
      </c>
      <c r="O2052">
        <v>0</v>
      </c>
    </row>
    <row r="2053" spans="1:15" x14ac:dyDescent="0.25">
      <c r="A2053" s="142" t="s">
        <v>1988</v>
      </c>
      <c r="B2053" s="142" t="s">
        <v>51</v>
      </c>
      <c r="C2053" s="142" t="s">
        <v>94</v>
      </c>
      <c r="D2053">
        <v>1.09E-2</v>
      </c>
      <c r="E2053">
        <v>0.1090001</v>
      </c>
      <c r="F2053">
        <v>1E-4</v>
      </c>
      <c r="G2053" s="142" t="s">
        <v>95</v>
      </c>
      <c r="H2053" s="142" t="s">
        <v>95</v>
      </c>
      <c r="I2053">
        <v>0</v>
      </c>
      <c r="J2053">
        <v>0</v>
      </c>
      <c r="K2053" s="142" t="s">
        <v>1674</v>
      </c>
      <c r="L2053">
        <v>0</v>
      </c>
      <c r="M2053">
        <v>5.3847000000000001E-3</v>
      </c>
      <c r="N2053">
        <v>0</v>
      </c>
      <c r="O2053">
        <v>0</v>
      </c>
    </row>
    <row r="2054" spans="1:15" x14ac:dyDescent="0.25">
      <c r="A2054" s="142" t="s">
        <v>749</v>
      </c>
      <c r="B2054" s="142" t="s">
        <v>51</v>
      </c>
      <c r="C2054" s="142" t="s">
        <v>94</v>
      </c>
      <c r="D2054">
        <v>0.109</v>
      </c>
      <c r="E2054">
        <v>1.0901000000000001</v>
      </c>
      <c r="F2054">
        <v>1E-4</v>
      </c>
      <c r="G2054" s="142" t="s">
        <v>95</v>
      </c>
      <c r="H2054" s="142" t="s">
        <v>95</v>
      </c>
      <c r="I2054">
        <v>0</v>
      </c>
      <c r="J2054">
        <v>0</v>
      </c>
      <c r="K2054" s="142" t="s">
        <v>1674</v>
      </c>
      <c r="L2054">
        <v>0</v>
      </c>
      <c r="M2054">
        <v>9.4282999999999997E-4</v>
      </c>
      <c r="N2054">
        <v>0</v>
      </c>
      <c r="O2054">
        <v>0</v>
      </c>
    </row>
    <row r="2055" spans="1:15" x14ac:dyDescent="0.25">
      <c r="A2055" s="142" t="s">
        <v>1991</v>
      </c>
      <c r="B2055" s="142" t="s">
        <v>51</v>
      </c>
      <c r="C2055" s="142" t="s">
        <v>94</v>
      </c>
      <c r="D2055">
        <v>1.0900000000000001</v>
      </c>
      <c r="E2055">
        <v>10.9001</v>
      </c>
      <c r="F2055">
        <v>1E-4</v>
      </c>
      <c r="G2055" s="142" t="s">
        <v>95</v>
      </c>
      <c r="H2055" s="142" t="s">
        <v>95</v>
      </c>
      <c r="I2055">
        <v>0</v>
      </c>
      <c r="J2055">
        <v>0</v>
      </c>
      <c r="K2055" s="142" t="s">
        <v>1674</v>
      </c>
      <c r="L2055">
        <v>0</v>
      </c>
      <c r="M2055">
        <v>1.2999999999999999E-3</v>
      </c>
      <c r="N2055">
        <v>0</v>
      </c>
      <c r="O2055">
        <v>0</v>
      </c>
    </row>
    <row r="2056" spans="1:15" x14ac:dyDescent="0.25">
      <c r="A2056" s="142" t="s">
        <v>744</v>
      </c>
      <c r="B2056" s="142" t="s">
        <v>51</v>
      </c>
      <c r="C2056" s="142" t="s">
        <v>94</v>
      </c>
      <c r="D2056">
        <v>1.09E-3</v>
      </c>
      <c r="E2056">
        <v>1.0900099999999999E-2</v>
      </c>
      <c r="F2056">
        <v>1E-3</v>
      </c>
      <c r="G2056" s="142" t="s">
        <v>95</v>
      </c>
      <c r="H2056" s="142" t="s">
        <v>95</v>
      </c>
      <c r="I2056">
        <v>0</v>
      </c>
      <c r="J2056">
        <v>0</v>
      </c>
      <c r="K2056" s="142" t="s">
        <v>1674</v>
      </c>
      <c r="L2056">
        <v>0</v>
      </c>
      <c r="M2056">
        <v>0.53259999999999996</v>
      </c>
      <c r="N2056">
        <v>0</v>
      </c>
      <c r="O2056">
        <v>0</v>
      </c>
    </row>
    <row r="2057" spans="1:15" x14ac:dyDescent="0.25">
      <c r="A2057" s="142" t="s">
        <v>747</v>
      </c>
      <c r="B2057" s="142" t="s">
        <v>51</v>
      </c>
      <c r="C2057" s="142" t="s">
        <v>94</v>
      </c>
      <c r="D2057">
        <v>1.09E-2</v>
      </c>
      <c r="E2057">
        <v>0.1090001</v>
      </c>
      <c r="F2057">
        <v>1E-3</v>
      </c>
      <c r="G2057" s="142" t="s">
        <v>95</v>
      </c>
      <c r="H2057" s="142" t="s">
        <v>95</v>
      </c>
      <c r="I2057">
        <v>0</v>
      </c>
      <c r="J2057">
        <v>0</v>
      </c>
      <c r="K2057" s="142" t="s">
        <v>1674</v>
      </c>
      <c r="L2057">
        <v>0</v>
      </c>
      <c r="M2057">
        <v>5.3267000000000002E-2</v>
      </c>
      <c r="N2057">
        <v>0</v>
      </c>
      <c r="O2057">
        <v>0</v>
      </c>
    </row>
    <row r="2058" spans="1:15" x14ac:dyDescent="0.25">
      <c r="A2058" s="142" t="s">
        <v>750</v>
      </c>
      <c r="B2058" s="142" t="s">
        <v>51</v>
      </c>
      <c r="C2058" s="142" t="s">
        <v>94</v>
      </c>
      <c r="D2058">
        <v>0.109</v>
      </c>
      <c r="E2058">
        <v>1.0901000000000001</v>
      </c>
      <c r="F2058">
        <v>1E-3</v>
      </c>
      <c r="G2058" s="142" t="s">
        <v>95</v>
      </c>
      <c r="H2058" s="142" t="s">
        <v>95</v>
      </c>
      <c r="I2058">
        <v>0</v>
      </c>
      <c r="J2058">
        <v>0</v>
      </c>
      <c r="K2058" s="142" t="s">
        <v>1674</v>
      </c>
      <c r="L2058">
        <v>0</v>
      </c>
      <c r="M2058">
        <v>5.3845999999999998E-3</v>
      </c>
      <c r="N2058">
        <v>0</v>
      </c>
      <c r="O2058">
        <v>0</v>
      </c>
    </row>
    <row r="2059" spans="1:15" x14ac:dyDescent="0.25">
      <c r="A2059" s="142" t="s">
        <v>752</v>
      </c>
      <c r="B2059" s="142" t="s">
        <v>51</v>
      </c>
      <c r="C2059" s="142" t="s">
        <v>94</v>
      </c>
      <c r="D2059">
        <v>1.0900000000000001</v>
      </c>
      <c r="E2059">
        <v>10.9001</v>
      </c>
      <c r="F2059">
        <v>1E-3</v>
      </c>
      <c r="G2059" s="142" t="s">
        <v>95</v>
      </c>
      <c r="H2059" s="142" t="s">
        <v>95</v>
      </c>
      <c r="I2059">
        <v>0</v>
      </c>
      <c r="J2059">
        <v>0</v>
      </c>
      <c r="K2059" s="142" t="s">
        <v>1674</v>
      </c>
      <c r="L2059">
        <v>0</v>
      </c>
      <c r="M2059">
        <v>1.3347000000000001E-3</v>
      </c>
      <c r="N2059">
        <v>0</v>
      </c>
      <c r="O2059">
        <v>0</v>
      </c>
    </row>
    <row r="2060" spans="1:15" x14ac:dyDescent="0.25">
      <c r="A2060" s="142" t="s">
        <v>755</v>
      </c>
      <c r="B2060" s="142" t="s">
        <v>51</v>
      </c>
      <c r="C2060" s="142" t="s">
        <v>94</v>
      </c>
      <c r="D2060">
        <v>10.9</v>
      </c>
      <c r="E2060">
        <v>109.0001</v>
      </c>
      <c r="F2060">
        <v>1E-3</v>
      </c>
      <c r="G2060" s="142" t="s">
        <v>95</v>
      </c>
      <c r="H2060" s="142" t="s">
        <v>95</v>
      </c>
      <c r="I2060">
        <v>0</v>
      </c>
      <c r="J2060">
        <v>0</v>
      </c>
      <c r="K2060" s="142" t="s">
        <v>1674</v>
      </c>
      <c r="L2060">
        <v>0</v>
      </c>
      <c r="M2060">
        <v>8.8000000000000003E-4</v>
      </c>
      <c r="N2060">
        <v>0</v>
      </c>
      <c r="O2060">
        <v>0</v>
      </c>
    </row>
    <row r="2061" spans="1:15" x14ac:dyDescent="0.25">
      <c r="A2061" s="142" t="s">
        <v>1989</v>
      </c>
      <c r="B2061" s="142" t="s">
        <v>51</v>
      </c>
      <c r="C2061" s="142" t="s">
        <v>94</v>
      </c>
      <c r="D2061">
        <v>1.09E-2</v>
      </c>
      <c r="E2061">
        <v>0.1090001</v>
      </c>
      <c r="F2061">
        <v>0.01</v>
      </c>
      <c r="G2061" s="142" t="s">
        <v>95</v>
      </c>
      <c r="H2061" s="142" t="s">
        <v>95</v>
      </c>
      <c r="I2061">
        <v>0</v>
      </c>
      <c r="J2061">
        <v>0</v>
      </c>
      <c r="K2061" s="142" t="s">
        <v>1674</v>
      </c>
      <c r="L2061">
        <v>0</v>
      </c>
      <c r="M2061">
        <v>0.53259999999999996</v>
      </c>
      <c r="N2061">
        <v>0</v>
      </c>
      <c r="O2061">
        <v>0</v>
      </c>
    </row>
    <row r="2062" spans="1:15" x14ac:dyDescent="0.25">
      <c r="A2062" s="142" t="s">
        <v>1990</v>
      </c>
      <c r="B2062" s="142" t="s">
        <v>51</v>
      </c>
      <c r="C2062" s="142" t="s">
        <v>94</v>
      </c>
      <c r="D2062">
        <v>0.109</v>
      </c>
      <c r="E2062">
        <v>1.0901000000000001</v>
      </c>
      <c r="F2062">
        <v>0.01</v>
      </c>
      <c r="G2062" s="142" t="s">
        <v>95</v>
      </c>
      <c r="H2062" s="142" t="s">
        <v>95</v>
      </c>
      <c r="I2062">
        <v>0</v>
      </c>
      <c r="J2062">
        <v>0</v>
      </c>
      <c r="K2062" s="142" t="s">
        <v>1674</v>
      </c>
      <c r="L2062">
        <v>0</v>
      </c>
      <c r="M2062">
        <v>5.3267000000000002E-2</v>
      </c>
      <c r="N2062">
        <v>0</v>
      </c>
      <c r="O2062">
        <v>0</v>
      </c>
    </row>
    <row r="2063" spans="1:15" x14ac:dyDescent="0.25">
      <c r="A2063" s="142" t="s">
        <v>1992</v>
      </c>
      <c r="B2063" s="142" t="s">
        <v>51</v>
      </c>
      <c r="C2063" s="142" t="s">
        <v>94</v>
      </c>
      <c r="D2063">
        <v>1.0900000000000001</v>
      </c>
      <c r="E2063">
        <v>10.9001</v>
      </c>
      <c r="F2063">
        <v>0.01</v>
      </c>
      <c r="G2063" s="142" t="s">
        <v>95</v>
      </c>
      <c r="H2063" s="142" t="s">
        <v>95</v>
      </c>
      <c r="I2063">
        <v>0</v>
      </c>
      <c r="J2063">
        <v>0</v>
      </c>
      <c r="K2063" s="142" t="s">
        <v>1674</v>
      </c>
      <c r="L2063">
        <v>0</v>
      </c>
      <c r="M2063">
        <v>5.4669000000000002E-3</v>
      </c>
      <c r="N2063">
        <v>0</v>
      </c>
      <c r="O2063">
        <v>0</v>
      </c>
    </row>
    <row r="2064" spans="1:15" x14ac:dyDescent="0.25">
      <c r="A2064" s="142" t="s">
        <v>756</v>
      </c>
      <c r="B2064" s="142" t="s">
        <v>51</v>
      </c>
      <c r="C2064" s="142" t="s">
        <v>94</v>
      </c>
      <c r="D2064">
        <v>10.9</v>
      </c>
      <c r="E2064">
        <v>109.0001</v>
      </c>
      <c r="F2064">
        <v>0.01</v>
      </c>
      <c r="G2064" s="142" t="s">
        <v>95</v>
      </c>
      <c r="H2064" s="142" t="s">
        <v>95</v>
      </c>
      <c r="I2064">
        <v>0</v>
      </c>
      <c r="J2064">
        <v>0</v>
      </c>
      <c r="K2064" s="142" t="s">
        <v>1674</v>
      </c>
      <c r="L2064">
        <v>0</v>
      </c>
      <c r="M2064">
        <v>1.0256E-3</v>
      </c>
      <c r="N2064">
        <v>0</v>
      </c>
      <c r="O2064">
        <v>0</v>
      </c>
    </row>
    <row r="2065" spans="1:15" x14ac:dyDescent="0.25">
      <c r="A2065" s="142" t="s">
        <v>760</v>
      </c>
      <c r="B2065" s="142" t="s">
        <v>51</v>
      </c>
      <c r="C2065" s="142" t="s">
        <v>94</v>
      </c>
      <c r="D2065">
        <v>109</v>
      </c>
      <c r="E2065">
        <v>363.00009999999997</v>
      </c>
      <c r="F2065">
        <v>0.01</v>
      </c>
      <c r="G2065" s="142" t="s">
        <v>95</v>
      </c>
      <c r="H2065" s="142" t="s">
        <v>95</v>
      </c>
      <c r="I2065">
        <v>0</v>
      </c>
      <c r="J2065">
        <v>0</v>
      </c>
      <c r="K2065" s="142" t="s">
        <v>1674</v>
      </c>
      <c r="L2065">
        <v>0</v>
      </c>
      <c r="M2065">
        <v>1.1999999999999999E-3</v>
      </c>
      <c r="N2065">
        <v>0</v>
      </c>
      <c r="O2065">
        <v>0</v>
      </c>
    </row>
    <row r="2066" spans="1:15" x14ac:dyDescent="0.25">
      <c r="A2066" s="142" t="s">
        <v>764</v>
      </c>
      <c r="B2066" s="142" t="s">
        <v>51</v>
      </c>
      <c r="C2066" s="142" t="s">
        <v>94</v>
      </c>
      <c r="D2066">
        <v>363</v>
      </c>
      <c r="E2066">
        <v>990.00009999999997</v>
      </c>
      <c r="F2066">
        <v>0.01</v>
      </c>
      <c r="G2066" s="142" t="s">
        <v>95</v>
      </c>
      <c r="H2066" s="142" t="s">
        <v>95</v>
      </c>
      <c r="I2066">
        <v>0</v>
      </c>
      <c r="J2066">
        <v>0</v>
      </c>
      <c r="K2066" s="142" t="s">
        <v>1674</v>
      </c>
      <c r="L2066">
        <v>0</v>
      </c>
      <c r="M2066">
        <v>1E-3</v>
      </c>
      <c r="N2066">
        <v>0</v>
      </c>
      <c r="O2066">
        <v>0</v>
      </c>
    </row>
    <row r="2067" spans="1:15" x14ac:dyDescent="0.25">
      <c r="A2067" s="142" t="s">
        <v>751</v>
      </c>
      <c r="B2067" s="142" t="s">
        <v>51</v>
      </c>
      <c r="C2067" s="142" t="s">
        <v>94</v>
      </c>
      <c r="D2067">
        <v>0.109</v>
      </c>
      <c r="E2067">
        <v>1.0901000000000001</v>
      </c>
      <c r="F2067">
        <v>0.1</v>
      </c>
      <c r="G2067" s="142" t="s">
        <v>95</v>
      </c>
      <c r="H2067" s="142" t="s">
        <v>95</v>
      </c>
      <c r="I2067">
        <v>0</v>
      </c>
      <c r="J2067">
        <v>0</v>
      </c>
      <c r="K2067" s="142" t="s">
        <v>1674</v>
      </c>
      <c r="L2067">
        <v>0</v>
      </c>
      <c r="M2067">
        <v>0.53259999999999996</v>
      </c>
      <c r="N2067">
        <v>0</v>
      </c>
      <c r="O2067">
        <v>0</v>
      </c>
    </row>
    <row r="2068" spans="1:15" x14ac:dyDescent="0.25">
      <c r="A2068" s="142" t="s">
        <v>753</v>
      </c>
      <c r="B2068" s="142" t="s">
        <v>51</v>
      </c>
      <c r="C2068" s="142" t="s">
        <v>94</v>
      </c>
      <c r="D2068">
        <v>1.0900000000000001</v>
      </c>
      <c r="E2068">
        <v>10.9001</v>
      </c>
      <c r="F2068">
        <v>0.1</v>
      </c>
      <c r="G2068" s="142" t="s">
        <v>95</v>
      </c>
      <c r="H2068" s="142" t="s">
        <v>95</v>
      </c>
      <c r="I2068">
        <v>0</v>
      </c>
      <c r="J2068">
        <v>0</v>
      </c>
      <c r="K2068" s="142" t="s">
        <v>1674</v>
      </c>
      <c r="L2068">
        <v>0</v>
      </c>
      <c r="M2068">
        <v>5.3275000000000003E-2</v>
      </c>
      <c r="N2068">
        <v>0</v>
      </c>
      <c r="O2068">
        <v>0</v>
      </c>
    </row>
    <row r="2069" spans="1:15" x14ac:dyDescent="0.25">
      <c r="A2069" s="142" t="s">
        <v>757</v>
      </c>
      <c r="B2069" s="142" t="s">
        <v>51</v>
      </c>
      <c r="C2069" s="142" t="s">
        <v>94</v>
      </c>
      <c r="D2069">
        <v>10.9</v>
      </c>
      <c r="E2069">
        <v>109.0001</v>
      </c>
      <c r="F2069">
        <v>0.1</v>
      </c>
      <c r="G2069" s="142" t="s">
        <v>95</v>
      </c>
      <c r="H2069" s="142" t="s">
        <v>95</v>
      </c>
      <c r="I2069">
        <v>0</v>
      </c>
      <c r="J2069">
        <v>0</v>
      </c>
      <c r="K2069" s="142" t="s">
        <v>1674</v>
      </c>
      <c r="L2069">
        <v>0</v>
      </c>
      <c r="M2069">
        <v>5.3997000000000003E-3</v>
      </c>
      <c r="N2069">
        <v>0</v>
      </c>
      <c r="O2069">
        <v>0</v>
      </c>
    </row>
    <row r="2070" spans="1:15" x14ac:dyDescent="0.25">
      <c r="A2070" s="142" t="s">
        <v>761</v>
      </c>
      <c r="B2070" s="142" t="s">
        <v>51</v>
      </c>
      <c r="C2070" s="142" t="s">
        <v>94</v>
      </c>
      <c r="D2070">
        <v>109</v>
      </c>
      <c r="E2070">
        <v>363.00009999999997</v>
      </c>
      <c r="F2070">
        <v>0.1</v>
      </c>
      <c r="G2070" s="142" t="s">
        <v>95</v>
      </c>
      <c r="H2070" s="142" t="s">
        <v>95</v>
      </c>
      <c r="I2070">
        <v>0</v>
      </c>
      <c r="J2070">
        <v>0</v>
      </c>
      <c r="K2070" s="142" t="s">
        <v>1674</v>
      </c>
      <c r="L2070">
        <v>0</v>
      </c>
      <c r="M2070">
        <v>1.2283999999999999E-3</v>
      </c>
      <c r="N2070">
        <v>0</v>
      </c>
      <c r="O2070">
        <v>0</v>
      </c>
    </row>
    <row r="2071" spans="1:15" x14ac:dyDescent="0.25">
      <c r="A2071" s="142" t="s">
        <v>765</v>
      </c>
      <c r="B2071" s="142" t="s">
        <v>51</v>
      </c>
      <c r="C2071" s="142" t="s">
        <v>94</v>
      </c>
      <c r="D2071">
        <v>363</v>
      </c>
      <c r="E2071">
        <v>990.00009999999997</v>
      </c>
      <c r="F2071">
        <v>0.1</v>
      </c>
      <c r="G2071" s="142" t="s">
        <v>95</v>
      </c>
      <c r="H2071" s="142" t="s">
        <v>95</v>
      </c>
      <c r="I2071">
        <v>0</v>
      </c>
      <c r="J2071">
        <v>0</v>
      </c>
      <c r="K2071" s="142" t="s">
        <v>1674</v>
      </c>
      <c r="L2071">
        <v>0</v>
      </c>
      <c r="M2071">
        <v>1.0070000000000001E-3</v>
      </c>
      <c r="N2071">
        <v>0</v>
      </c>
      <c r="O2071">
        <v>0</v>
      </c>
    </row>
    <row r="2072" spans="1:15" x14ac:dyDescent="0.25">
      <c r="A2072" s="142" t="s">
        <v>1994</v>
      </c>
      <c r="B2072" s="142" t="s">
        <v>51</v>
      </c>
      <c r="C2072" s="142" t="s">
        <v>94</v>
      </c>
      <c r="D2072">
        <v>990</v>
      </c>
      <c r="E2072">
        <v>3630.1</v>
      </c>
      <c r="F2072">
        <v>0.1</v>
      </c>
      <c r="G2072" s="142" t="s">
        <v>95</v>
      </c>
      <c r="H2072" s="142" t="s">
        <v>95</v>
      </c>
      <c r="I2072">
        <v>0</v>
      </c>
      <c r="J2072">
        <v>0</v>
      </c>
      <c r="K2072" s="142" t="s">
        <v>1674</v>
      </c>
      <c r="L2072">
        <v>0</v>
      </c>
      <c r="M2072">
        <v>2.0999999999999999E-3</v>
      </c>
      <c r="N2072">
        <v>0</v>
      </c>
      <c r="O2072">
        <v>0</v>
      </c>
    </row>
    <row r="2073" spans="1:15" x14ac:dyDescent="0.25">
      <c r="A2073" s="142" t="s">
        <v>1996</v>
      </c>
      <c r="B2073" s="142" t="s">
        <v>51</v>
      </c>
      <c r="C2073" s="142" t="s">
        <v>94</v>
      </c>
      <c r="D2073">
        <v>3630</v>
      </c>
      <c r="E2073">
        <v>11200.1</v>
      </c>
      <c r="F2073">
        <v>0.1</v>
      </c>
      <c r="G2073" s="142" t="s">
        <v>95</v>
      </c>
      <c r="H2073" s="142" t="s">
        <v>95</v>
      </c>
      <c r="I2073">
        <v>0</v>
      </c>
      <c r="J2073">
        <v>0</v>
      </c>
      <c r="K2073" s="142" t="s">
        <v>1674</v>
      </c>
      <c r="L2073">
        <v>0</v>
      </c>
      <c r="M2073">
        <v>1.6000000000000001E-3</v>
      </c>
      <c r="N2073">
        <v>0</v>
      </c>
      <c r="O2073">
        <v>0</v>
      </c>
    </row>
    <row r="2074" spans="1:15" x14ac:dyDescent="0.25">
      <c r="A2074" s="142" t="s">
        <v>774</v>
      </c>
      <c r="B2074" s="142" t="s">
        <v>51</v>
      </c>
      <c r="C2074" s="142" t="s">
        <v>94</v>
      </c>
      <c r="D2074">
        <v>11200</v>
      </c>
      <c r="E2074">
        <v>20900</v>
      </c>
      <c r="F2074">
        <v>0.1</v>
      </c>
      <c r="G2074" s="142" t="s">
        <v>95</v>
      </c>
      <c r="H2074" s="142" t="s">
        <v>95</v>
      </c>
      <c r="I2074">
        <v>0</v>
      </c>
      <c r="J2074">
        <v>0</v>
      </c>
      <c r="K2074" s="142" t="s">
        <v>1674</v>
      </c>
      <c r="L2074">
        <v>0</v>
      </c>
      <c r="M2074">
        <v>2.0999999999999999E-3</v>
      </c>
      <c r="N2074">
        <v>0</v>
      </c>
      <c r="O2074">
        <v>0</v>
      </c>
    </row>
    <row r="2075" spans="1:15" x14ac:dyDescent="0.25">
      <c r="A2075" s="142" t="s">
        <v>2796</v>
      </c>
      <c r="B2075" s="142" t="s">
        <v>51</v>
      </c>
      <c r="C2075" s="142" t="s">
        <v>94</v>
      </c>
      <c r="D2075">
        <v>20900</v>
      </c>
      <c r="E2075">
        <v>1025000</v>
      </c>
      <c r="F2075">
        <v>0.1</v>
      </c>
      <c r="G2075" s="142" t="s">
        <v>95</v>
      </c>
      <c r="H2075" s="142" t="s">
        <v>95</v>
      </c>
      <c r="I2075">
        <v>0</v>
      </c>
      <c r="J2075">
        <v>0</v>
      </c>
      <c r="K2075" s="142" t="s">
        <v>1674</v>
      </c>
      <c r="L2075">
        <v>0</v>
      </c>
      <c r="M2075">
        <v>2.0999999999999999E-3</v>
      </c>
      <c r="N2075">
        <v>0</v>
      </c>
      <c r="O2075">
        <v>0</v>
      </c>
    </row>
    <row r="2076" spans="1:15" x14ac:dyDescent="0.25">
      <c r="A2076" s="142" t="s">
        <v>754</v>
      </c>
      <c r="B2076" s="142" t="s">
        <v>51</v>
      </c>
      <c r="C2076" s="142" t="s">
        <v>94</v>
      </c>
      <c r="D2076">
        <v>1.0900000000000001</v>
      </c>
      <c r="E2076">
        <v>10.9001</v>
      </c>
      <c r="F2076">
        <v>1</v>
      </c>
      <c r="G2076" s="142" t="s">
        <v>95</v>
      </c>
      <c r="H2076" s="142" t="s">
        <v>95</v>
      </c>
      <c r="I2076">
        <v>0</v>
      </c>
      <c r="J2076">
        <v>0</v>
      </c>
      <c r="K2076" s="142" t="s">
        <v>1674</v>
      </c>
      <c r="L2076">
        <v>0</v>
      </c>
      <c r="M2076">
        <v>0.53259999999999996</v>
      </c>
      <c r="N2076">
        <v>0</v>
      </c>
      <c r="O2076">
        <v>0</v>
      </c>
    </row>
    <row r="2077" spans="1:15" x14ac:dyDescent="0.25">
      <c r="A2077" s="142" t="s">
        <v>758</v>
      </c>
      <c r="B2077" s="142" t="s">
        <v>51</v>
      </c>
      <c r="C2077" s="142" t="s">
        <v>94</v>
      </c>
      <c r="D2077">
        <v>10.9</v>
      </c>
      <c r="E2077">
        <v>109.0001</v>
      </c>
      <c r="F2077">
        <v>1</v>
      </c>
      <c r="G2077" s="142" t="s">
        <v>95</v>
      </c>
      <c r="H2077" s="142" t="s">
        <v>95</v>
      </c>
      <c r="I2077">
        <v>0</v>
      </c>
      <c r="J2077">
        <v>0</v>
      </c>
      <c r="K2077" s="142" t="s">
        <v>1674</v>
      </c>
      <c r="L2077">
        <v>0</v>
      </c>
      <c r="M2077">
        <v>5.3268000000000003E-2</v>
      </c>
      <c r="N2077">
        <v>0</v>
      </c>
      <c r="O2077">
        <v>0</v>
      </c>
    </row>
    <row r="2078" spans="1:15" x14ac:dyDescent="0.25">
      <c r="A2078" s="142" t="s">
        <v>762</v>
      </c>
      <c r="B2078" s="142" t="s">
        <v>51</v>
      </c>
      <c r="C2078" s="142" t="s">
        <v>94</v>
      </c>
      <c r="D2078">
        <v>109</v>
      </c>
      <c r="E2078">
        <v>363.00009999999997</v>
      </c>
      <c r="F2078">
        <v>1</v>
      </c>
      <c r="G2078" s="142" t="s">
        <v>95</v>
      </c>
      <c r="H2078" s="142" t="s">
        <v>95</v>
      </c>
      <c r="I2078">
        <v>0</v>
      </c>
      <c r="J2078">
        <v>0</v>
      </c>
      <c r="K2078" s="142" t="s">
        <v>1674</v>
      </c>
      <c r="L2078">
        <v>0</v>
      </c>
      <c r="M2078">
        <v>5.4419000000000004E-3</v>
      </c>
      <c r="N2078">
        <v>0</v>
      </c>
      <c r="O2078">
        <v>0</v>
      </c>
    </row>
    <row r="2079" spans="1:15" x14ac:dyDescent="0.25">
      <c r="A2079" s="142" t="s">
        <v>766</v>
      </c>
      <c r="B2079" s="142" t="s">
        <v>51</v>
      </c>
      <c r="C2079" s="142" t="s">
        <v>94</v>
      </c>
      <c r="D2079">
        <v>363</v>
      </c>
      <c r="E2079">
        <v>990.00009999999997</v>
      </c>
      <c r="F2079">
        <v>1</v>
      </c>
      <c r="G2079" s="142" t="s">
        <v>95</v>
      </c>
      <c r="H2079" s="142" t="s">
        <v>95</v>
      </c>
      <c r="I2079">
        <v>0</v>
      </c>
      <c r="J2079">
        <v>0</v>
      </c>
      <c r="K2079" s="142" t="s">
        <v>1674</v>
      </c>
      <c r="L2079">
        <v>0</v>
      </c>
      <c r="M2079">
        <v>1.8832E-3</v>
      </c>
      <c r="N2079">
        <v>0</v>
      </c>
      <c r="O2079">
        <v>0</v>
      </c>
    </row>
    <row r="2080" spans="1:15" x14ac:dyDescent="0.25">
      <c r="A2080" s="142" t="s">
        <v>768</v>
      </c>
      <c r="B2080" s="142" t="s">
        <v>51</v>
      </c>
      <c r="C2080" s="142" t="s">
        <v>94</v>
      </c>
      <c r="D2080">
        <v>990</v>
      </c>
      <c r="E2080">
        <v>3630.1</v>
      </c>
      <c r="F2080">
        <v>1</v>
      </c>
      <c r="G2080" s="142" t="s">
        <v>95</v>
      </c>
      <c r="H2080" s="142" t="s">
        <v>95</v>
      </c>
      <c r="I2080">
        <v>0</v>
      </c>
      <c r="J2080">
        <v>0</v>
      </c>
      <c r="K2080" s="142" t="s">
        <v>1674</v>
      </c>
      <c r="L2080">
        <v>0</v>
      </c>
      <c r="M2080">
        <v>2.0999999999999999E-3</v>
      </c>
      <c r="N2080">
        <v>0</v>
      </c>
      <c r="O2080">
        <v>0</v>
      </c>
    </row>
    <row r="2081" spans="1:15" x14ac:dyDescent="0.25">
      <c r="A2081" s="142" t="s">
        <v>771</v>
      </c>
      <c r="B2081" s="142" t="s">
        <v>51</v>
      </c>
      <c r="C2081" s="142" t="s">
        <v>94</v>
      </c>
      <c r="D2081">
        <v>3630</v>
      </c>
      <c r="E2081">
        <v>11200.1</v>
      </c>
      <c r="F2081">
        <v>1</v>
      </c>
      <c r="G2081" s="142" t="s">
        <v>95</v>
      </c>
      <c r="H2081" s="142" t="s">
        <v>95</v>
      </c>
      <c r="I2081">
        <v>0</v>
      </c>
      <c r="J2081">
        <v>0</v>
      </c>
      <c r="K2081" s="142" t="s">
        <v>1674</v>
      </c>
      <c r="L2081">
        <v>0</v>
      </c>
      <c r="M2081">
        <v>1.6000000000000001E-3</v>
      </c>
      <c r="N2081">
        <v>0</v>
      </c>
      <c r="O2081">
        <v>0</v>
      </c>
    </row>
    <row r="2082" spans="1:15" x14ac:dyDescent="0.25">
      <c r="A2082" s="142" t="s">
        <v>1998</v>
      </c>
      <c r="B2082" s="142" t="s">
        <v>51</v>
      </c>
      <c r="C2082" s="142" t="s">
        <v>94</v>
      </c>
      <c r="D2082">
        <v>11200</v>
      </c>
      <c r="E2082">
        <v>20900</v>
      </c>
      <c r="F2082">
        <v>1</v>
      </c>
      <c r="G2082" s="142" t="s">
        <v>95</v>
      </c>
      <c r="H2082" s="142" t="s">
        <v>95</v>
      </c>
      <c r="I2082">
        <v>0</v>
      </c>
      <c r="J2082">
        <v>0</v>
      </c>
      <c r="K2082" s="142" t="s">
        <v>1674</v>
      </c>
      <c r="L2082">
        <v>0</v>
      </c>
      <c r="M2082">
        <v>2.0999999999999999E-3</v>
      </c>
      <c r="N2082">
        <v>0</v>
      </c>
      <c r="O2082">
        <v>0</v>
      </c>
    </row>
    <row r="2083" spans="1:15" x14ac:dyDescent="0.25">
      <c r="A2083" s="142" t="s">
        <v>2797</v>
      </c>
      <c r="B2083" s="142" t="s">
        <v>51</v>
      </c>
      <c r="C2083" s="142" t="s">
        <v>94</v>
      </c>
      <c r="D2083">
        <v>20900</v>
      </c>
      <c r="E2083">
        <v>1025000</v>
      </c>
      <c r="F2083">
        <v>1</v>
      </c>
      <c r="G2083" s="142" t="s">
        <v>95</v>
      </c>
      <c r="H2083" s="142" t="s">
        <v>95</v>
      </c>
      <c r="I2083">
        <v>0</v>
      </c>
      <c r="J2083">
        <v>0</v>
      </c>
      <c r="K2083" s="142" t="s">
        <v>1674</v>
      </c>
      <c r="L2083">
        <v>0</v>
      </c>
      <c r="M2083">
        <v>2.0999999999999999E-3</v>
      </c>
      <c r="N2083">
        <v>0</v>
      </c>
      <c r="O2083">
        <v>0</v>
      </c>
    </row>
    <row r="2084" spans="1:15" x14ac:dyDescent="0.25">
      <c r="A2084" s="142" t="s">
        <v>759</v>
      </c>
      <c r="B2084" s="142" t="s">
        <v>51</v>
      </c>
      <c r="C2084" s="142" t="s">
        <v>94</v>
      </c>
      <c r="D2084">
        <v>10.9</v>
      </c>
      <c r="E2084">
        <v>109.0001</v>
      </c>
      <c r="F2084">
        <v>10</v>
      </c>
      <c r="G2084" s="142" t="s">
        <v>95</v>
      </c>
      <c r="H2084" s="142" t="s">
        <v>95</v>
      </c>
      <c r="I2084">
        <v>0</v>
      </c>
      <c r="J2084">
        <v>0</v>
      </c>
      <c r="K2084" s="142" t="s">
        <v>1674</v>
      </c>
      <c r="L2084">
        <v>0</v>
      </c>
      <c r="M2084">
        <v>0.53259999999999996</v>
      </c>
      <c r="N2084">
        <v>0</v>
      </c>
      <c r="O2084">
        <v>0</v>
      </c>
    </row>
    <row r="2085" spans="1:15" x14ac:dyDescent="0.25">
      <c r="A2085" s="142" t="s">
        <v>763</v>
      </c>
      <c r="B2085" s="142" t="s">
        <v>51</v>
      </c>
      <c r="C2085" s="142" t="s">
        <v>94</v>
      </c>
      <c r="D2085">
        <v>109</v>
      </c>
      <c r="E2085">
        <v>363.00009999999997</v>
      </c>
      <c r="F2085">
        <v>10</v>
      </c>
      <c r="G2085" s="142" t="s">
        <v>95</v>
      </c>
      <c r="H2085" s="142" t="s">
        <v>95</v>
      </c>
      <c r="I2085">
        <v>0</v>
      </c>
      <c r="J2085">
        <v>0</v>
      </c>
      <c r="K2085" s="142" t="s">
        <v>1674</v>
      </c>
      <c r="L2085">
        <v>0</v>
      </c>
      <c r="M2085">
        <v>5.3273000000000001E-2</v>
      </c>
      <c r="N2085">
        <v>0</v>
      </c>
      <c r="O2085">
        <v>0</v>
      </c>
    </row>
    <row r="2086" spans="1:15" x14ac:dyDescent="0.25">
      <c r="A2086" s="142" t="s">
        <v>767</v>
      </c>
      <c r="B2086" s="142" t="s">
        <v>51</v>
      </c>
      <c r="C2086" s="142" t="s">
        <v>94</v>
      </c>
      <c r="D2086">
        <v>363</v>
      </c>
      <c r="E2086">
        <v>990.00009999999997</v>
      </c>
      <c r="F2086">
        <v>10</v>
      </c>
      <c r="G2086" s="142" t="s">
        <v>95</v>
      </c>
      <c r="H2086" s="142" t="s">
        <v>95</v>
      </c>
      <c r="I2086">
        <v>0</v>
      </c>
      <c r="J2086">
        <v>0</v>
      </c>
      <c r="K2086" s="142" t="s">
        <v>1674</v>
      </c>
      <c r="L2086">
        <v>0</v>
      </c>
      <c r="M2086">
        <v>1.601E-2</v>
      </c>
      <c r="N2086">
        <v>0</v>
      </c>
      <c r="O2086">
        <v>0</v>
      </c>
    </row>
    <row r="2087" spans="1:15" x14ac:dyDescent="0.25">
      <c r="A2087" s="142" t="s">
        <v>769</v>
      </c>
      <c r="B2087" s="142" t="s">
        <v>51</v>
      </c>
      <c r="C2087" s="142" t="s">
        <v>94</v>
      </c>
      <c r="D2087">
        <v>990</v>
      </c>
      <c r="E2087">
        <v>3630.1</v>
      </c>
      <c r="F2087">
        <v>10</v>
      </c>
      <c r="G2087" s="142" t="s">
        <v>95</v>
      </c>
      <c r="H2087" s="142" t="s">
        <v>95</v>
      </c>
      <c r="I2087">
        <v>0</v>
      </c>
      <c r="J2087">
        <v>0</v>
      </c>
      <c r="K2087" s="142" t="s">
        <v>1674</v>
      </c>
      <c r="L2087">
        <v>0</v>
      </c>
      <c r="M2087">
        <v>6.1979000000000001E-3</v>
      </c>
      <c r="N2087">
        <v>0</v>
      </c>
      <c r="O2087">
        <v>0</v>
      </c>
    </row>
    <row r="2088" spans="1:15" x14ac:dyDescent="0.25">
      <c r="A2088" s="142" t="s">
        <v>772</v>
      </c>
      <c r="B2088" s="142" t="s">
        <v>51</v>
      </c>
      <c r="C2088" s="142" t="s">
        <v>94</v>
      </c>
      <c r="D2088">
        <v>3630</v>
      </c>
      <c r="E2088">
        <v>11200.1</v>
      </c>
      <c r="F2088">
        <v>10</v>
      </c>
      <c r="G2088" s="142" t="s">
        <v>95</v>
      </c>
      <c r="H2088" s="142" t="s">
        <v>95</v>
      </c>
      <c r="I2088">
        <v>0</v>
      </c>
      <c r="J2088">
        <v>0</v>
      </c>
      <c r="K2088" s="142" t="s">
        <v>1674</v>
      </c>
      <c r="L2088">
        <v>0</v>
      </c>
      <c r="M2088">
        <v>2.2011999999999999E-3</v>
      </c>
      <c r="N2088">
        <v>0</v>
      </c>
      <c r="O2088">
        <v>0</v>
      </c>
    </row>
    <row r="2089" spans="1:15" x14ac:dyDescent="0.25">
      <c r="A2089" s="142" t="s">
        <v>775</v>
      </c>
      <c r="B2089" s="142" t="s">
        <v>51</v>
      </c>
      <c r="C2089" s="142" t="s">
        <v>94</v>
      </c>
      <c r="D2089">
        <v>11200</v>
      </c>
      <c r="E2089">
        <v>20900</v>
      </c>
      <c r="F2089">
        <v>10</v>
      </c>
      <c r="G2089" s="142" t="s">
        <v>95</v>
      </c>
      <c r="H2089" s="142" t="s">
        <v>95</v>
      </c>
      <c r="I2089">
        <v>0</v>
      </c>
      <c r="J2089">
        <v>0</v>
      </c>
      <c r="K2089" s="142" t="s">
        <v>1674</v>
      </c>
      <c r="L2089">
        <v>0</v>
      </c>
      <c r="M2089">
        <v>5.6445000000000002E-3</v>
      </c>
      <c r="N2089">
        <v>0</v>
      </c>
      <c r="O2089">
        <v>0</v>
      </c>
    </row>
    <row r="2090" spans="1:15" x14ac:dyDescent="0.25">
      <c r="A2090" s="142" t="s">
        <v>2798</v>
      </c>
      <c r="B2090" s="142" t="s">
        <v>51</v>
      </c>
      <c r="C2090" s="142" t="s">
        <v>94</v>
      </c>
      <c r="D2090">
        <v>20900</v>
      </c>
      <c r="E2090">
        <v>1025000</v>
      </c>
      <c r="F2090">
        <v>10</v>
      </c>
      <c r="G2090" s="142" t="s">
        <v>95</v>
      </c>
      <c r="H2090" s="142" t="s">
        <v>95</v>
      </c>
      <c r="I2090">
        <v>0</v>
      </c>
      <c r="J2090">
        <v>0</v>
      </c>
      <c r="K2090" s="142" t="s">
        <v>1674</v>
      </c>
      <c r="L2090">
        <v>0</v>
      </c>
      <c r="M2090">
        <v>5.6445000000000002E-3</v>
      </c>
      <c r="N2090">
        <v>0</v>
      </c>
      <c r="O2090">
        <v>0</v>
      </c>
    </row>
    <row r="2091" spans="1:15" x14ac:dyDescent="0.25">
      <c r="A2091" s="142" t="s">
        <v>1993</v>
      </c>
      <c r="B2091" s="142" t="s">
        <v>51</v>
      </c>
      <c r="C2091" s="142" t="s">
        <v>94</v>
      </c>
      <c r="D2091">
        <v>363</v>
      </c>
      <c r="E2091">
        <v>990.00009999999997</v>
      </c>
      <c r="F2091">
        <v>100</v>
      </c>
      <c r="G2091" s="142" t="s">
        <v>95</v>
      </c>
      <c r="H2091" s="142" t="s">
        <v>95</v>
      </c>
      <c r="I2091">
        <v>0</v>
      </c>
      <c r="J2091">
        <v>0</v>
      </c>
      <c r="K2091" s="142" t="s">
        <v>1674</v>
      </c>
      <c r="L2091">
        <v>0</v>
      </c>
      <c r="M2091">
        <v>0.15978999999999999</v>
      </c>
      <c r="N2091">
        <v>0</v>
      </c>
      <c r="O2091">
        <v>0</v>
      </c>
    </row>
    <row r="2092" spans="1:15" x14ac:dyDescent="0.25">
      <c r="A2092" s="142" t="s">
        <v>1995</v>
      </c>
      <c r="B2092" s="142" t="s">
        <v>51</v>
      </c>
      <c r="C2092" s="142" t="s">
        <v>94</v>
      </c>
      <c r="D2092">
        <v>990</v>
      </c>
      <c r="E2092">
        <v>3630.1</v>
      </c>
      <c r="F2092">
        <v>100</v>
      </c>
      <c r="G2092" s="142" t="s">
        <v>95</v>
      </c>
      <c r="H2092" s="142" t="s">
        <v>95</v>
      </c>
      <c r="I2092">
        <v>0</v>
      </c>
      <c r="J2092">
        <v>0</v>
      </c>
      <c r="K2092" s="142" t="s">
        <v>1674</v>
      </c>
      <c r="L2092">
        <v>0</v>
      </c>
      <c r="M2092">
        <v>5.8622E-2</v>
      </c>
      <c r="N2092">
        <v>0</v>
      </c>
      <c r="O2092">
        <v>0</v>
      </c>
    </row>
    <row r="2093" spans="1:15" x14ac:dyDescent="0.25">
      <c r="A2093" s="142" t="s">
        <v>1997</v>
      </c>
      <c r="B2093" s="142" t="s">
        <v>51</v>
      </c>
      <c r="C2093" s="142" t="s">
        <v>94</v>
      </c>
      <c r="D2093">
        <v>3630</v>
      </c>
      <c r="E2093">
        <v>11200.1</v>
      </c>
      <c r="F2093">
        <v>100</v>
      </c>
      <c r="G2093" s="142" t="s">
        <v>95</v>
      </c>
      <c r="H2093" s="142" t="s">
        <v>95</v>
      </c>
      <c r="I2093">
        <v>0</v>
      </c>
      <c r="J2093">
        <v>0</v>
      </c>
      <c r="K2093" s="142" t="s">
        <v>1674</v>
      </c>
      <c r="L2093">
        <v>0</v>
      </c>
      <c r="M2093">
        <v>1.6050999999999999E-2</v>
      </c>
      <c r="N2093">
        <v>0</v>
      </c>
      <c r="O2093">
        <v>0</v>
      </c>
    </row>
    <row r="2094" spans="1:15" x14ac:dyDescent="0.25">
      <c r="A2094" s="142" t="s">
        <v>776</v>
      </c>
      <c r="B2094" s="142" t="s">
        <v>51</v>
      </c>
      <c r="C2094" s="142" t="s">
        <v>94</v>
      </c>
      <c r="D2094">
        <v>11200</v>
      </c>
      <c r="E2094">
        <v>20900</v>
      </c>
      <c r="F2094">
        <v>100</v>
      </c>
      <c r="G2094" s="142" t="s">
        <v>95</v>
      </c>
      <c r="H2094" s="142" t="s">
        <v>95</v>
      </c>
      <c r="I2094">
        <v>0</v>
      </c>
      <c r="J2094">
        <v>0</v>
      </c>
      <c r="K2094" s="142" t="s">
        <v>1674</v>
      </c>
      <c r="L2094">
        <v>0</v>
      </c>
      <c r="M2094">
        <v>5.2767000000000001E-2</v>
      </c>
      <c r="N2094">
        <v>0</v>
      </c>
      <c r="O2094">
        <v>0</v>
      </c>
    </row>
    <row r="2095" spans="1:15" x14ac:dyDescent="0.25">
      <c r="A2095" s="142" t="s">
        <v>2799</v>
      </c>
      <c r="B2095" s="142" t="s">
        <v>51</v>
      </c>
      <c r="C2095" s="142" t="s">
        <v>94</v>
      </c>
      <c r="D2095">
        <v>20900</v>
      </c>
      <c r="E2095">
        <v>1025000</v>
      </c>
      <c r="F2095">
        <v>100</v>
      </c>
      <c r="G2095" s="142" t="s">
        <v>95</v>
      </c>
      <c r="H2095" s="142" t="s">
        <v>95</v>
      </c>
      <c r="I2095">
        <v>0</v>
      </c>
      <c r="J2095">
        <v>0</v>
      </c>
      <c r="K2095" s="142" t="s">
        <v>1674</v>
      </c>
      <c r="L2095">
        <v>0</v>
      </c>
      <c r="M2095">
        <v>5.2767000000000001E-2</v>
      </c>
      <c r="N2095">
        <v>0</v>
      </c>
      <c r="O2095">
        <v>0</v>
      </c>
    </row>
    <row r="2096" spans="1:15" x14ac:dyDescent="0.25">
      <c r="A2096" s="142" t="s">
        <v>770</v>
      </c>
      <c r="B2096" s="142" t="s">
        <v>51</v>
      </c>
      <c r="C2096" s="142" t="s">
        <v>94</v>
      </c>
      <c r="D2096">
        <v>990</v>
      </c>
      <c r="E2096">
        <v>3630.1</v>
      </c>
      <c r="F2096">
        <v>1000</v>
      </c>
      <c r="G2096" s="142" t="s">
        <v>95</v>
      </c>
      <c r="H2096" s="142" t="s">
        <v>95</v>
      </c>
      <c r="I2096">
        <v>0</v>
      </c>
      <c r="J2096">
        <v>0</v>
      </c>
      <c r="K2096" s="142" t="s">
        <v>1674</v>
      </c>
      <c r="L2096">
        <v>0</v>
      </c>
      <c r="M2096">
        <v>0.58586000000000005</v>
      </c>
      <c r="N2096">
        <v>0</v>
      </c>
      <c r="O2096">
        <v>0</v>
      </c>
    </row>
    <row r="2097" spans="1:15" x14ac:dyDescent="0.25">
      <c r="A2097" s="142" t="s">
        <v>773</v>
      </c>
      <c r="B2097" s="142" t="s">
        <v>51</v>
      </c>
      <c r="C2097" s="142" t="s">
        <v>94</v>
      </c>
      <c r="D2097">
        <v>3630</v>
      </c>
      <c r="E2097">
        <v>11200.1</v>
      </c>
      <c r="F2097">
        <v>1000</v>
      </c>
      <c r="G2097" s="142" t="s">
        <v>95</v>
      </c>
      <c r="H2097" s="142" t="s">
        <v>95</v>
      </c>
      <c r="I2097">
        <v>0</v>
      </c>
      <c r="J2097">
        <v>0</v>
      </c>
      <c r="K2097" s="142" t="s">
        <v>1674</v>
      </c>
      <c r="L2097">
        <v>0</v>
      </c>
      <c r="M2097">
        <v>0.15978999999999999</v>
      </c>
      <c r="N2097">
        <v>0</v>
      </c>
      <c r="O2097">
        <v>0</v>
      </c>
    </row>
    <row r="2098" spans="1:15" x14ac:dyDescent="0.25">
      <c r="A2098" s="142" t="s">
        <v>777</v>
      </c>
      <c r="B2098" s="142" t="s">
        <v>51</v>
      </c>
      <c r="C2098" s="142" t="s">
        <v>94</v>
      </c>
      <c r="D2098">
        <v>11200</v>
      </c>
      <c r="E2098">
        <v>20900</v>
      </c>
      <c r="F2098">
        <v>1000</v>
      </c>
      <c r="G2098" s="142" t="s">
        <v>95</v>
      </c>
      <c r="H2098" s="142" t="s">
        <v>95</v>
      </c>
      <c r="I2098">
        <v>0</v>
      </c>
      <c r="J2098">
        <v>0</v>
      </c>
      <c r="K2098" s="142" t="s">
        <v>1674</v>
      </c>
      <c r="L2098">
        <v>0</v>
      </c>
      <c r="M2098">
        <v>0.52727999999999997</v>
      </c>
      <c r="N2098">
        <v>0</v>
      </c>
      <c r="O2098">
        <v>0</v>
      </c>
    </row>
    <row r="2099" spans="1:15" x14ac:dyDescent="0.25">
      <c r="A2099" s="142" t="s">
        <v>2800</v>
      </c>
      <c r="B2099" s="142" t="s">
        <v>51</v>
      </c>
      <c r="C2099" s="142" t="s">
        <v>94</v>
      </c>
      <c r="D2099">
        <v>20900</v>
      </c>
      <c r="E2099">
        <v>1025000</v>
      </c>
      <c r="F2099">
        <v>1000</v>
      </c>
      <c r="G2099" s="142" t="s">
        <v>95</v>
      </c>
      <c r="H2099" s="142" t="s">
        <v>95</v>
      </c>
      <c r="I2099">
        <v>0</v>
      </c>
      <c r="J2099">
        <v>0</v>
      </c>
      <c r="K2099" s="142" t="s">
        <v>1674</v>
      </c>
      <c r="L2099">
        <v>0</v>
      </c>
      <c r="M2099">
        <v>0.52727999999999997</v>
      </c>
      <c r="N2099">
        <v>0</v>
      </c>
      <c r="O2099">
        <v>0</v>
      </c>
    </row>
    <row r="2100" spans="1:15" x14ac:dyDescent="0.25">
      <c r="A2100" s="142" t="s">
        <v>1864</v>
      </c>
      <c r="B2100" s="142" t="s">
        <v>51</v>
      </c>
      <c r="C2100" s="142" t="s">
        <v>14</v>
      </c>
      <c r="D2100">
        <v>2.1999999999999999E-10</v>
      </c>
      <c r="E2100">
        <v>3.3000000000000002E-9</v>
      </c>
      <c r="F2100">
        <v>1E-13</v>
      </c>
      <c r="G2100" s="142" t="s">
        <v>102</v>
      </c>
      <c r="H2100" s="142" t="s">
        <v>15</v>
      </c>
      <c r="I2100">
        <v>0</v>
      </c>
      <c r="J2100">
        <v>0</v>
      </c>
      <c r="K2100" s="142" t="s">
        <v>1674</v>
      </c>
      <c r="L2100">
        <v>1.2E-2</v>
      </c>
      <c r="M2100">
        <v>5800000</v>
      </c>
      <c r="N2100">
        <v>1.155E-2</v>
      </c>
      <c r="O2100">
        <v>5775200</v>
      </c>
    </row>
    <row r="2101" spans="1:15" x14ac:dyDescent="0.25">
      <c r="A2101" s="142" t="s">
        <v>1865</v>
      </c>
      <c r="B2101" s="142" t="s">
        <v>51</v>
      </c>
      <c r="C2101" s="142" t="s">
        <v>14</v>
      </c>
      <c r="D2101">
        <v>2.1999999999999999E-10</v>
      </c>
      <c r="E2101">
        <v>3.3000000000000002E-9</v>
      </c>
      <c r="F2101">
        <v>9.9999999999999998E-13</v>
      </c>
      <c r="G2101" s="142" t="s">
        <v>102</v>
      </c>
      <c r="H2101" s="142" t="s">
        <v>15</v>
      </c>
      <c r="I2101">
        <v>0</v>
      </c>
      <c r="J2101">
        <v>0</v>
      </c>
      <c r="K2101" s="142" t="s">
        <v>1674</v>
      </c>
      <c r="L2101">
        <v>1.2E-2</v>
      </c>
      <c r="M2101">
        <v>5800000</v>
      </c>
      <c r="N2101">
        <v>1.1563E-2</v>
      </c>
      <c r="O2101">
        <v>5772800</v>
      </c>
    </row>
    <row r="2102" spans="1:15" x14ac:dyDescent="0.25">
      <c r="A2102" s="142" t="s">
        <v>1869</v>
      </c>
      <c r="B2102" s="142" t="s">
        <v>51</v>
      </c>
      <c r="C2102" s="142" t="s">
        <v>14</v>
      </c>
      <c r="D2102">
        <v>3.3000000000000002E-9</v>
      </c>
      <c r="E2102">
        <v>1.1001E-8</v>
      </c>
      <c r="F2102">
        <v>9.9999999999999998E-13</v>
      </c>
      <c r="G2102" s="142" t="s">
        <v>102</v>
      </c>
      <c r="H2102" s="142" t="s">
        <v>15</v>
      </c>
      <c r="I2102">
        <v>0</v>
      </c>
      <c r="J2102">
        <v>0</v>
      </c>
      <c r="K2102" s="142" t="s">
        <v>1674</v>
      </c>
      <c r="L2102">
        <v>1.2E-2</v>
      </c>
      <c r="M2102">
        <v>2900000</v>
      </c>
      <c r="N2102">
        <v>1.1575999999999999E-2</v>
      </c>
      <c r="O2102">
        <v>2885200</v>
      </c>
    </row>
    <row r="2103" spans="1:15" x14ac:dyDescent="0.25">
      <c r="A2103" s="142" t="s">
        <v>1873</v>
      </c>
      <c r="B2103" s="142" t="s">
        <v>51</v>
      </c>
      <c r="C2103" s="142" t="s">
        <v>14</v>
      </c>
      <c r="D2103">
        <v>1.0999999999999999E-8</v>
      </c>
      <c r="E2103">
        <v>3.3000999999999999E-8</v>
      </c>
      <c r="F2103">
        <v>9.9999999999999998E-13</v>
      </c>
      <c r="G2103" s="142" t="s">
        <v>102</v>
      </c>
      <c r="H2103" s="142" t="s">
        <v>15</v>
      </c>
      <c r="I2103">
        <v>0</v>
      </c>
      <c r="J2103">
        <v>0</v>
      </c>
      <c r="K2103" s="142" t="s">
        <v>1674</v>
      </c>
      <c r="L2103">
        <v>0.12</v>
      </c>
      <c r="M2103">
        <v>2900000</v>
      </c>
      <c r="N2103">
        <v>0.11547</v>
      </c>
      <c r="O2103">
        <v>2886700</v>
      </c>
    </row>
    <row r="2104" spans="1:15" x14ac:dyDescent="0.25">
      <c r="A2104" s="142" t="s">
        <v>1866</v>
      </c>
      <c r="B2104" s="142" t="s">
        <v>51</v>
      </c>
      <c r="C2104" s="142" t="s">
        <v>14</v>
      </c>
      <c r="D2104">
        <v>2.1999999999999999E-10</v>
      </c>
      <c r="E2104">
        <v>3.3000000000000002E-9</v>
      </c>
      <c r="F2104">
        <v>9.9999999999999994E-12</v>
      </c>
      <c r="G2104" s="142" t="s">
        <v>102</v>
      </c>
      <c r="H2104" s="142" t="s">
        <v>15</v>
      </c>
      <c r="I2104">
        <v>0</v>
      </c>
      <c r="J2104">
        <v>0</v>
      </c>
      <c r="K2104" s="142" t="s">
        <v>1674</v>
      </c>
      <c r="L2104">
        <v>1.2845000000000001E-2</v>
      </c>
      <c r="M2104">
        <v>5547800</v>
      </c>
      <c r="N2104">
        <v>1.2838E-2</v>
      </c>
      <c r="O2104">
        <v>5547800</v>
      </c>
    </row>
    <row r="2105" spans="1:15" x14ac:dyDescent="0.25">
      <c r="A2105" s="142" t="s">
        <v>1870</v>
      </c>
      <c r="B2105" s="142" t="s">
        <v>51</v>
      </c>
      <c r="C2105" s="142" t="s">
        <v>14</v>
      </c>
      <c r="D2105">
        <v>3.3000000000000002E-9</v>
      </c>
      <c r="E2105">
        <v>1.1001E-8</v>
      </c>
      <c r="F2105">
        <v>9.9999999999999994E-12</v>
      </c>
      <c r="G2105" s="142" t="s">
        <v>102</v>
      </c>
      <c r="H2105" s="142" t="s">
        <v>15</v>
      </c>
      <c r="I2105">
        <v>0</v>
      </c>
      <c r="J2105">
        <v>0</v>
      </c>
      <c r="K2105" s="142" t="s">
        <v>1674</v>
      </c>
      <c r="L2105">
        <v>1.2482E-2</v>
      </c>
      <c r="M2105">
        <v>2856200</v>
      </c>
      <c r="N2105">
        <v>1.2511E-2</v>
      </c>
      <c r="O2105">
        <v>2834700</v>
      </c>
    </row>
    <row r="2106" spans="1:15" x14ac:dyDescent="0.25">
      <c r="A2106" s="142" t="s">
        <v>1874</v>
      </c>
      <c r="B2106" s="142" t="s">
        <v>51</v>
      </c>
      <c r="C2106" s="142" t="s">
        <v>14</v>
      </c>
      <c r="D2106">
        <v>1.0999999999999999E-8</v>
      </c>
      <c r="E2106">
        <v>3.3000999999999999E-8</v>
      </c>
      <c r="F2106">
        <v>9.9999999999999994E-12</v>
      </c>
      <c r="G2106" s="142" t="s">
        <v>102</v>
      </c>
      <c r="H2106" s="142" t="s">
        <v>15</v>
      </c>
      <c r="I2106">
        <v>0</v>
      </c>
      <c r="J2106">
        <v>0</v>
      </c>
      <c r="K2106" s="142" t="s">
        <v>1674</v>
      </c>
      <c r="L2106">
        <v>0.12</v>
      </c>
      <c r="M2106">
        <v>2900000</v>
      </c>
      <c r="N2106">
        <v>0.11561</v>
      </c>
      <c r="O2106">
        <v>2885200</v>
      </c>
    </row>
    <row r="2107" spans="1:15" x14ac:dyDescent="0.25">
      <c r="A2107" s="142" t="s">
        <v>1878</v>
      </c>
      <c r="B2107" s="142" t="s">
        <v>51</v>
      </c>
      <c r="C2107" s="142" t="s">
        <v>14</v>
      </c>
      <c r="D2107">
        <v>3.2999999999999998E-8</v>
      </c>
      <c r="E2107">
        <v>1.1001E-7</v>
      </c>
      <c r="F2107">
        <v>9.9999999999999994E-12</v>
      </c>
      <c r="G2107" s="142" t="s">
        <v>102</v>
      </c>
      <c r="H2107" s="142" t="s">
        <v>15</v>
      </c>
      <c r="I2107">
        <v>0</v>
      </c>
      <c r="J2107">
        <v>0</v>
      </c>
      <c r="K2107" s="142" t="s">
        <v>1674</v>
      </c>
      <c r="L2107">
        <v>0.12</v>
      </c>
      <c r="M2107">
        <v>2900000</v>
      </c>
      <c r="N2107">
        <v>0.11565</v>
      </c>
      <c r="O2107">
        <v>2886200</v>
      </c>
    </row>
    <row r="2108" spans="1:15" x14ac:dyDescent="0.25">
      <c r="A2108" s="142" t="s">
        <v>1882</v>
      </c>
      <c r="B2108" s="142" t="s">
        <v>51</v>
      </c>
      <c r="C2108" s="142" t="s">
        <v>14</v>
      </c>
      <c r="D2108">
        <v>1.1000000000000001E-7</v>
      </c>
      <c r="E2108">
        <v>3.3000999999999998E-7</v>
      </c>
      <c r="F2108">
        <v>9.9999999999999994E-12</v>
      </c>
      <c r="G2108" s="142" t="s">
        <v>102</v>
      </c>
      <c r="H2108" s="142" t="s">
        <v>15</v>
      </c>
      <c r="I2108">
        <v>0</v>
      </c>
      <c r="J2108">
        <v>0</v>
      </c>
      <c r="K2108" s="142" t="s">
        <v>1674</v>
      </c>
      <c r="L2108">
        <v>0.35</v>
      </c>
      <c r="M2108">
        <v>2900000</v>
      </c>
      <c r="N2108">
        <v>0.34649000000000002</v>
      </c>
      <c r="O2108">
        <v>2886700</v>
      </c>
    </row>
    <row r="2109" spans="1:15" x14ac:dyDescent="0.25">
      <c r="A2109" s="142" t="s">
        <v>1867</v>
      </c>
      <c r="B2109" s="142" t="s">
        <v>51</v>
      </c>
      <c r="C2109" s="142" t="s">
        <v>14</v>
      </c>
      <c r="D2109">
        <v>2.1999999999999999E-10</v>
      </c>
      <c r="E2109">
        <v>3.3000000000000002E-9</v>
      </c>
      <c r="F2109">
        <v>1E-10</v>
      </c>
      <c r="G2109" s="142" t="s">
        <v>102</v>
      </c>
      <c r="H2109" s="142" t="s">
        <v>15</v>
      </c>
      <c r="I2109">
        <v>0</v>
      </c>
      <c r="J2109">
        <v>0</v>
      </c>
      <c r="K2109" s="142" t="s">
        <v>1674</v>
      </c>
      <c r="L2109">
        <v>5.8705E-2</v>
      </c>
      <c r="M2109">
        <v>2016900</v>
      </c>
      <c r="N2109">
        <v>5.8698E-2</v>
      </c>
      <c r="O2109">
        <v>2014500</v>
      </c>
    </row>
    <row r="2110" spans="1:15" x14ac:dyDescent="0.25">
      <c r="A2110" s="142" t="s">
        <v>1871</v>
      </c>
      <c r="B2110" s="142" t="s">
        <v>51</v>
      </c>
      <c r="C2110" s="142" t="s">
        <v>14</v>
      </c>
      <c r="D2110">
        <v>3.3000000000000002E-9</v>
      </c>
      <c r="E2110">
        <v>1.1001E-8</v>
      </c>
      <c r="F2110">
        <v>1E-10</v>
      </c>
      <c r="G2110" s="142" t="s">
        <v>102</v>
      </c>
      <c r="H2110" s="142" t="s">
        <v>15</v>
      </c>
      <c r="I2110">
        <v>0</v>
      </c>
      <c r="J2110">
        <v>0</v>
      </c>
      <c r="K2110" s="142" t="s">
        <v>1674</v>
      </c>
      <c r="L2110">
        <v>5.6911000000000003E-2</v>
      </c>
      <c r="M2110">
        <v>1398700</v>
      </c>
      <c r="N2110">
        <v>5.6877999999999998E-2</v>
      </c>
      <c r="O2110">
        <v>1390600</v>
      </c>
    </row>
    <row r="2111" spans="1:15" x14ac:dyDescent="0.25">
      <c r="A2111" s="142" t="s">
        <v>1875</v>
      </c>
      <c r="B2111" s="142" t="s">
        <v>51</v>
      </c>
      <c r="C2111" s="142" t="s">
        <v>14</v>
      </c>
      <c r="D2111">
        <v>1.0999999999999999E-8</v>
      </c>
      <c r="E2111">
        <v>3.3000999999999999E-8</v>
      </c>
      <c r="F2111">
        <v>1E-10</v>
      </c>
      <c r="G2111" s="142" t="s">
        <v>102</v>
      </c>
      <c r="H2111" s="142" t="s">
        <v>15</v>
      </c>
      <c r="I2111">
        <v>0</v>
      </c>
      <c r="J2111">
        <v>0</v>
      </c>
      <c r="K2111" s="142" t="s">
        <v>1674</v>
      </c>
      <c r="L2111">
        <v>0.12801000000000001</v>
      </c>
      <c r="M2111">
        <v>2745100</v>
      </c>
      <c r="N2111">
        <v>0.12797</v>
      </c>
      <c r="O2111">
        <v>2743500</v>
      </c>
    </row>
    <row r="2112" spans="1:15" x14ac:dyDescent="0.25">
      <c r="A2112" s="142" t="s">
        <v>1879</v>
      </c>
      <c r="B2112" s="142" t="s">
        <v>51</v>
      </c>
      <c r="C2112" s="142" t="s">
        <v>14</v>
      </c>
      <c r="D2112">
        <v>3.2999999999999998E-8</v>
      </c>
      <c r="E2112">
        <v>1.1001E-7</v>
      </c>
      <c r="F2112">
        <v>1E-10</v>
      </c>
      <c r="G2112" s="142" t="s">
        <v>102</v>
      </c>
      <c r="H2112" s="142" t="s">
        <v>15</v>
      </c>
      <c r="I2112">
        <v>0</v>
      </c>
      <c r="J2112">
        <v>0</v>
      </c>
      <c r="K2112" s="142" t="s">
        <v>1674</v>
      </c>
      <c r="L2112">
        <v>0.12459000000000001</v>
      </c>
      <c r="M2112">
        <v>2858300</v>
      </c>
      <c r="N2112">
        <v>0.125</v>
      </c>
      <c r="O2112">
        <v>2835700</v>
      </c>
    </row>
    <row r="2113" spans="1:15" x14ac:dyDescent="0.25">
      <c r="A2113" s="142" t="s">
        <v>1883</v>
      </c>
      <c r="B2113" s="142" t="s">
        <v>51</v>
      </c>
      <c r="C2113" s="142" t="s">
        <v>14</v>
      </c>
      <c r="D2113">
        <v>1.1000000000000001E-7</v>
      </c>
      <c r="E2113">
        <v>3.3000999999999998E-7</v>
      </c>
      <c r="F2113">
        <v>1E-10</v>
      </c>
      <c r="G2113" s="142" t="s">
        <v>102</v>
      </c>
      <c r="H2113" s="142" t="s">
        <v>15</v>
      </c>
      <c r="I2113">
        <v>0</v>
      </c>
      <c r="J2113">
        <v>0</v>
      </c>
      <c r="K2113" s="142" t="s">
        <v>1674</v>
      </c>
      <c r="L2113">
        <v>0.35</v>
      </c>
      <c r="M2113">
        <v>2900000</v>
      </c>
      <c r="N2113">
        <v>0.34958</v>
      </c>
      <c r="O2113">
        <v>2881200</v>
      </c>
    </row>
    <row r="2114" spans="1:15" x14ac:dyDescent="0.25">
      <c r="A2114" s="142" t="s">
        <v>1886</v>
      </c>
      <c r="B2114" s="142" t="s">
        <v>51</v>
      </c>
      <c r="C2114" s="142" t="s">
        <v>14</v>
      </c>
      <c r="D2114">
        <v>3.3000000000000002E-7</v>
      </c>
      <c r="E2114">
        <v>1.1001000000000001E-6</v>
      </c>
      <c r="F2114">
        <v>1E-10</v>
      </c>
      <c r="G2114" s="142" t="s">
        <v>102</v>
      </c>
      <c r="H2114" s="142" t="s">
        <v>15</v>
      </c>
      <c r="I2114">
        <v>0</v>
      </c>
      <c r="J2114">
        <v>0</v>
      </c>
      <c r="K2114" s="142" t="s">
        <v>1674</v>
      </c>
      <c r="L2114">
        <v>1.2</v>
      </c>
      <c r="M2114">
        <v>2900000</v>
      </c>
      <c r="N2114">
        <v>1.1566000000000001</v>
      </c>
      <c r="O2114">
        <v>2886200</v>
      </c>
    </row>
    <row r="2115" spans="1:15" x14ac:dyDescent="0.25">
      <c r="A2115" s="142" t="s">
        <v>1889</v>
      </c>
      <c r="B2115" s="142" t="s">
        <v>51</v>
      </c>
      <c r="C2115" s="142" t="s">
        <v>14</v>
      </c>
      <c r="D2115">
        <v>1.1000000000000001E-6</v>
      </c>
      <c r="E2115">
        <v>3.3001E-6</v>
      </c>
      <c r="F2115">
        <v>1E-10</v>
      </c>
      <c r="G2115" s="142" t="s">
        <v>102</v>
      </c>
      <c r="H2115" s="142" t="s">
        <v>15</v>
      </c>
      <c r="I2115">
        <v>0</v>
      </c>
      <c r="J2115">
        <v>0</v>
      </c>
      <c r="K2115" s="142" t="s">
        <v>1674</v>
      </c>
      <c r="L2115">
        <v>3.5</v>
      </c>
      <c r="M2115">
        <v>2900000</v>
      </c>
      <c r="N2115">
        <v>3.4649000000000001</v>
      </c>
      <c r="O2115">
        <v>2886700</v>
      </c>
    </row>
    <row r="2116" spans="1:15" x14ac:dyDescent="0.25">
      <c r="A2116" s="142" t="s">
        <v>1868</v>
      </c>
      <c r="B2116" s="142" t="s">
        <v>51</v>
      </c>
      <c r="C2116" s="142" t="s">
        <v>14</v>
      </c>
      <c r="D2116">
        <v>2.1999999999999999E-10</v>
      </c>
      <c r="E2116">
        <v>3.3000000000000002E-9</v>
      </c>
      <c r="F2116">
        <v>1.0000000000000001E-9</v>
      </c>
      <c r="G2116" s="142" t="s">
        <v>102</v>
      </c>
      <c r="H2116" s="142" t="s">
        <v>15</v>
      </c>
      <c r="I2116">
        <v>0</v>
      </c>
      <c r="J2116">
        <v>0</v>
      </c>
      <c r="K2116" s="142" t="s">
        <v>1674</v>
      </c>
      <c r="L2116">
        <v>0.57745000000000002</v>
      </c>
      <c r="M2116">
        <v>218190</v>
      </c>
      <c r="N2116">
        <v>0.57745000000000002</v>
      </c>
      <c r="O2116">
        <v>217000</v>
      </c>
    </row>
    <row r="2117" spans="1:15" x14ac:dyDescent="0.25">
      <c r="A2117" s="142" t="s">
        <v>1872</v>
      </c>
      <c r="B2117" s="142" t="s">
        <v>51</v>
      </c>
      <c r="C2117" s="142" t="s">
        <v>14</v>
      </c>
      <c r="D2117">
        <v>3.3000000000000002E-9</v>
      </c>
      <c r="E2117">
        <v>1.1001E-8</v>
      </c>
      <c r="F2117">
        <v>1.0000000000000001E-9</v>
      </c>
      <c r="G2117" s="142" t="s">
        <v>102</v>
      </c>
      <c r="H2117" s="142" t="s">
        <v>15</v>
      </c>
      <c r="I2117">
        <v>0</v>
      </c>
      <c r="J2117">
        <v>0</v>
      </c>
      <c r="K2117" s="142" t="s">
        <v>1674</v>
      </c>
      <c r="L2117">
        <v>0.57721999999999996</v>
      </c>
      <c r="M2117">
        <v>165280</v>
      </c>
      <c r="N2117">
        <v>0.57721</v>
      </c>
      <c r="O2117">
        <v>160660</v>
      </c>
    </row>
    <row r="2118" spans="1:15" x14ac:dyDescent="0.25">
      <c r="A2118" s="142" t="s">
        <v>1876</v>
      </c>
      <c r="B2118" s="142" t="s">
        <v>51</v>
      </c>
      <c r="C2118" s="142" t="s">
        <v>14</v>
      </c>
      <c r="D2118">
        <v>1.0999999999999999E-8</v>
      </c>
      <c r="E2118">
        <v>3.3000999999999999E-8</v>
      </c>
      <c r="F2118">
        <v>1.0000000000000001E-9</v>
      </c>
      <c r="G2118" s="142" t="s">
        <v>102</v>
      </c>
      <c r="H2118" s="142" t="s">
        <v>15</v>
      </c>
      <c r="I2118">
        <v>0</v>
      </c>
      <c r="J2118">
        <v>0</v>
      </c>
      <c r="K2118" s="142" t="s">
        <v>1674</v>
      </c>
      <c r="L2118">
        <v>0.58647000000000005</v>
      </c>
      <c r="M2118">
        <v>856770</v>
      </c>
      <c r="N2118">
        <v>0.58643999999999996</v>
      </c>
      <c r="O2118">
        <v>853690</v>
      </c>
    </row>
    <row r="2119" spans="1:15" x14ac:dyDescent="0.25">
      <c r="A2119" s="142" t="s">
        <v>1880</v>
      </c>
      <c r="B2119" s="142" t="s">
        <v>51</v>
      </c>
      <c r="C2119" s="142" t="s">
        <v>14</v>
      </c>
      <c r="D2119">
        <v>3.2999999999999998E-8</v>
      </c>
      <c r="E2119">
        <v>1.1001E-7</v>
      </c>
      <c r="F2119">
        <v>1.0000000000000001E-9</v>
      </c>
      <c r="G2119" s="142" t="s">
        <v>102</v>
      </c>
      <c r="H2119" s="142" t="s">
        <v>15</v>
      </c>
      <c r="I2119">
        <v>0</v>
      </c>
      <c r="J2119">
        <v>0</v>
      </c>
      <c r="K2119" s="142" t="s">
        <v>1674</v>
      </c>
      <c r="L2119">
        <v>0.56898000000000004</v>
      </c>
      <c r="M2119">
        <v>1398000</v>
      </c>
      <c r="N2119">
        <v>0.56874000000000002</v>
      </c>
      <c r="O2119">
        <v>1390900</v>
      </c>
    </row>
    <row r="2120" spans="1:15" x14ac:dyDescent="0.25">
      <c r="A2120" s="142" t="s">
        <v>1884</v>
      </c>
      <c r="B2120" s="142" t="s">
        <v>51</v>
      </c>
      <c r="C2120" s="142" t="s">
        <v>14</v>
      </c>
      <c r="D2120">
        <v>1.1000000000000001E-7</v>
      </c>
      <c r="E2120">
        <v>3.3000999999999998E-7</v>
      </c>
      <c r="F2120">
        <v>1.0000000000000001E-9</v>
      </c>
      <c r="G2120" s="142" t="s">
        <v>102</v>
      </c>
      <c r="H2120" s="142" t="s">
        <v>15</v>
      </c>
      <c r="I2120">
        <v>0</v>
      </c>
      <c r="J2120">
        <v>0</v>
      </c>
      <c r="K2120" s="142" t="s">
        <v>1674</v>
      </c>
      <c r="L2120">
        <v>0.60931000000000002</v>
      </c>
      <c r="M2120">
        <v>2463100</v>
      </c>
      <c r="N2120">
        <v>0.60906000000000005</v>
      </c>
      <c r="O2120">
        <v>2462300</v>
      </c>
    </row>
    <row r="2121" spans="1:15" x14ac:dyDescent="0.25">
      <c r="A2121" s="142" t="s">
        <v>1887</v>
      </c>
      <c r="B2121" s="142" t="s">
        <v>51</v>
      </c>
      <c r="C2121" s="142" t="s">
        <v>14</v>
      </c>
      <c r="D2121">
        <v>3.3000000000000002E-7</v>
      </c>
      <c r="E2121">
        <v>1.1001000000000001E-6</v>
      </c>
      <c r="F2121">
        <v>1.0000000000000001E-9</v>
      </c>
      <c r="G2121" s="142" t="s">
        <v>102</v>
      </c>
      <c r="H2121" s="142" t="s">
        <v>15</v>
      </c>
      <c r="I2121">
        <v>0</v>
      </c>
      <c r="J2121">
        <v>0</v>
      </c>
      <c r="K2121" s="142" t="s">
        <v>1674</v>
      </c>
      <c r="L2121">
        <v>1.2438</v>
      </c>
      <c r="M2121">
        <v>2860200</v>
      </c>
      <c r="N2121">
        <v>1.2501</v>
      </c>
      <c r="O2121">
        <v>2835600</v>
      </c>
    </row>
    <row r="2122" spans="1:15" x14ac:dyDescent="0.25">
      <c r="A2122" s="142" t="s">
        <v>1890</v>
      </c>
      <c r="B2122" s="142" t="s">
        <v>51</v>
      </c>
      <c r="C2122" s="142" t="s">
        <v>14</v>
      </c>
      <c r="D2122">
        <v>1.1000000000000001E-6</v>
      </c>
      <c r="E2122">
        <v>3.3001E-6</v>
      </c>
      <c r="F2122">
        <v>1.0000000000000001E-9</v>
      </c>
      <c r="G2122" s="142" t="s">
        <v>102</v>
      </c>
      <c r="H2122" s="142" t="s">
        <v>15</v>
      </c>
      <c r="I2122">
        <v>0</v>
      </c>
      <c r="J2122">
        <v>0</v>
      </c>
      <c r="K2122" s="142" t="s">
        <v>1674</v>
      </c>
      <c r="L2122">
        <v>3.5</v>
      </c>
      <c r="M2122">
        <v>2900000</v>
      </c>
      <c r="N2122">
        <v>3.4958</v>
      </c>
      <c r="O2122">
        <v>2881200</v>
      </c>
    </row>
    <row r="2123" spans="1:15" x14ac:dyDescent="0.25">
      <c r="A2123" s="142" t="s">
        <v>1891</v>
      </c>
      <c r="B2123" s="142" t="s">
        <v>51</v>
      </c>
      <c r="C2123" s="142" t="s">
        <v>14</v>
      </c>
      <c r="D2123">
        <v>3.3000000000000002E-6</v>
      </c>
      <c r="E2123">
        <v>1.1001E-5</v>
      </c>
      <c r="F2123">
        <v>1.0000000000000001E-9</v>
      </c>
      <c r="G2123" s="142" t="s">
        <v>102</v>
      </c>
      <c r="H2123" s="142" t="s">
        <v>15</v>
      </c>
      <c r="I2123">
        <v>0</v>
      </c>
      <c r="J2123">
        <v>0</v>
      </c>
      <c r="K2123" s="142" t="s">
        <v>1674</v>
      </c>
      <c r="L2123">
        <v>12</v>
      </c>
      <c r="M2123">
        <v>2900000</v>
      </c>
      <c r="N2123">
        <v>11.566000000000001</v>
      </c>
      <c r="O2123">
        <v>2886200</v>
      </c>
    </row>
    <row r="2124" spans="1:15" x14ac:dyDescent="0.25">
      <c r="A2124" s="142" t="s">
        <v>709</v>
      </c>
      <c r="B2124" s="142" t="s">
        <v>51</v>
      </c>
      <c r="C2124" s="142" t="s">
        <v>14</v>
      </c>
      <c r="D2124">
        <v>1.1E-5</v>
      </c>
      <c r="E2124">
        <v>3.3000999999999998E-5</v>
      </c>
      <c r="F2124">
        <v>1.0000000000000001E-9</v>
      </c>
      <c r="G2124" s="142" t="s">
        <v>102</v>
      </c>
      <c r="H2124" s="142" t="s">
        <v>15</v>
      </c>
      <c r="I2124">
        <v>0</v>
      </c>
      <c r="J2124">
        <v>0</v>
      </c>
      <c r="K2124" s="142" t="s">
        <v>1674</v>
      </c>
      <c r="L2124">
        <v>36</v>
      </c>
      <c r="M2124">
        <v>4600000</v>
      </c>
      <c r="N2124">
        <v>34.648000000000003</v>
      </c>
      <c r="O2124">
        <v>4618700</v>
      </c>
    </row>
    <row r="2125" spans="1:15" x14ac:dyDescent="0.25">
      <c r="A2125" s="142" t="s">
        <v>1877</v>
      </c>
      <c r="B2125" s="142" t="s">
        <v>51</v>
      </c>
      <c r="C2125" s="142" t="s">
        <v>14</v>
      </c>
      <c r="D2125">
        <v>1.0999999999999999E-8</v>
      </c>
      <c r="E2125">
        <v>3.3000999999999999E-8</v>
      </c>
      <c r="F2125">
        <v>1E-8</v>
      </c>
      <c r="G2125" s="142" t="s">
        <v>102</v>
      </c>
      <c r="H2125" s="142" t="s">
        <v>15</v>
      </c>
      <c r="I2125">
        <v>0</v>
      </c>
      <c r="J2125">
        <v>0</v>
      </c>
      <c r="K2125" s="142" t="s">
        <v>1674</v>
      </c>
      <c r="L2125">
        <v>5.7744999999999997</v>
      </c>
      <c r="M2125">
        <v>853270</v>
      </c>
      <c r="N2125">
        <v>5.7744</v>
      </c>
      <c r="O2125">
        <v>89445</v>
      </c>
    </row>
    <row r="2126" spans="1:15" x14ac:dyDescent="0.25">
      <c r="A2126" s="142" t="s">
        <v>1881</v>
      </c>
      <c r="B2126" s="142" t="s">
        <v>51</v>
      </c>
      <c r="C2126" s="142" t="s">
        <v>14</v>
      </c>
      <c r="D2126">
        <v>3.2999999999999998E-8</v>
      </c>
      <c r="E2126">
        <v>1.1001E-7</v>
      </c>
      <c r="F2126">
        <v>1E-8</v>
      </c>
      <c r="G2126" s="142" t="s">
        <v>102</v>
      </c>
      <c r="H2126" s="142" t="s">
        <v>15</v>
      </c>
      <c r="I2126">
        <v>0</v>
      </c>
      <c r="J2126">
        <v>0</v>
      </c>
      <c r="K2126" s="142" t="s">
        <v>1674</v>
      </c>
      <c r="L2126">
        <v>5.7721999999999998</v>
      </c>
      <c r="M2126">
        <v>164700</v>
      </c>
      <c r="N2126">
        <v>5.7721</v>
      </c>
      <c r="O2126">
        <v>160690</v>
      </c>
    </row>
    <row r="2127" spans="1:15" x14ac:dyDescent="0.25">
      <c r="A2127" s="142" t="s">
        <v>1885</v>
      </c>
      <c r="B2127" s="142" t="s">
        <v>51</v>
      </c>
      <c r="C2127" s="142" t="s">
        <v>14</v>
      </c>
      <c r="D2127">
        <v>1.1000000000000001E-7</v>
      </c>
      <c r="E2127">
        <v>3.3000999999999998E-7</v>
      </c>
      <c r="F2127">
        <v>1E-8</v>
      </c>
      <c r="G2127" s="142" t="s">
        <v>102</v>
      </c>
      <c r="H2127" s="142" t="s">
        <v>15</v>
      </c>
      <c r="I2127">
        <v>0</v>
      </c>
      <c r="J2127">
        <v>0</v>
      </c>
      <c r="K2127" s="142" t="s">
        <v>1674</v>
      </c>
      <c r="L2127">
        <v>5.7584999999999997</v>
      </c>
      <c r="M2127">
        <v>484500</v>
      </c>
      <c r="N2127">
        <v>5.7584999999999997</v>
      </c>
      <c r="O2127">
        <v>483140</v>
      </c>
    </row>
    <row r="2128" spans="1:15" x14ac:dyDescent="0.25">
      <c r="A2128" s="142" t="s">
        <v>1888</v>
      </c>
      <c r="B2128" s="142" t="s">
        <v>51</v>
      </c>
      <c r="C2128" s="142" t="s">
        <v>14</v>
      </c>
      <c r="D2128">
        <v>3.3000000000000002E-7</v>
      </c>
      <c r="E2128">
        <v>1.1001000000000001E-6</v>
      </c>
      <c r="F2128">
        <v>1E-8</v>
      </c>
      <c r="G2128" s="142" t="s">
        <v>102</v>
      </c>
      <c r="H2128" s="142" t="s">
        <v>15</v>
      </c>
      <c r="I2128">
        <v>0</v>
      </c>
      <c r="J2128">
        <v>0</v>
      </c>
      <c r="K2128" s="142" t="s">
        <v>1674</v>
      </c>
      <c r="L2128">
        <v>5.6890999999999998</v>
      </c>
      <c r="M2128">
        <v>1394000</v>
      </c>
      <c r="N2128">
        <v>5.6874000000000002</v>
      </c>
      <c r="O2128">
        <v>1390900</v>
      </c>
    </row>
    <row r="2129" spans="1:15" x14ac:dyDescent="0.25">
      <c r="A2129" s="142" t="s">
        <v>705</v>
      </c>
      <c r="B2129" s="142" t="s">
        <v>51</v>
      </c>
      <c r="C2129" s="142" t="s">
        <v>14</v>
      </c>
      <c r="D2129">
        <v>1.1000000000000001E-6</v>
      </c>
      <c r="E2129">
        <v>3.3001E-6</v>
      </c>
      <c r="F2129">
        <v>1E-8</v>
      </c>
      <c r="G2129" s="142" t="s">
        <v>102</v>
      </c>
      <c r="H2129" s="142" t="s">
        <v>15</v>
      </c>
      <c r="I2129">
        <v>0</v>
      </c>
      <c r="J2129">
        <v>0</v>
      </c>
      <c r="K2129" s="142" t="s">
        <v>1674</v>
      </c>
      <c r="L2129">
        <v>6.0937000000000001</v>
      </c>
      <c r="M2129">
        <v>2463200</v>
      </c>
      <c r="N2129">
        <v>6.0906000000000002</v>
      </c>
      <c r="O2129">
        <v>2462300</v>
      </c>
    </row>
    <row r="2130" spans="1:15" x14ac:dyDescent="0.25">
      <c r="A2130" s="142" t="s">
        <v>707</v>
      </c>
      <c r="B2130" s="142" t="s">
        <v>51</v>
      </c>
      <c r="C2130" s="142" t="s">
        <v>14</v>
      </c>
      <c r="D2130">
        <v>3.3000000000000002E-6</v>
      </c>
      <c r="E2130">
        <v>1.1001E-5</v>
      </c>
      <c r="F2130">
        <v>1E-8</v>
      </c>
      <c r="G2130" s="142" t="s">
        <v>102</v>
      </c>
      <c r="H2130" s="142" t="s">
        <v>15</v>
      </c>
      <c r="I2130">
        <v>0</v>
      </c>
      <c r="J2130">
        <v>0</v>
      </c>
      <c r="K2130" s="142" t="s">
        <v>1674</v>
      </c>
      <c r="L2130">
        <v>12.429</v>
      </c>
      <c r="M2130">
        <v>2861100</v>
      </c>
      <c r="N2130">
        <v>12.500999999999999</v>
      </c>
      <c r="O2130">
        <v>2835600</v>
      </c>
    </row>
    <row r="2131" spans="1:15" x14ac:dyDescent="0.25">
      <c r="A2131" s="142" t="s">
        <v>710</v>
      </c>
      <c r="B2131" s="142" t="s">
        <v>51</v>
      </c>
      <c r="C2131" s="142" t="s">
        <v>14</v>
      </c>
      <c r="D2131">
        <v>1.1E-5</v>
      </c>
      <c r="E2131">
        <v>3.3000999999999998E-5</v>
      </c>
      <c r="F2131">
        <v>1E-8</v>
      </c>
      <c r="G2131" s="142" t="s">
        <v>102</v>
      </c>
      <c r="H2131" s="142" t="s">
        <v>15</v>
      </c>
      <c r="I2131">
        <v>0</v>
      </c>
      <c r="J2131">
        <v>0</v>
      </c>
      <c r="K2131" s="142" t="s">
        <v>1674</v>
      </c>
      <c r="L2131">
        <v>36</v>
      </c>
      <c r="M2131">
        <v>4600000</v>
      </c>
      <c r="N2131">
        <v>34.893999999999998</v>
      </c>
      <c r="O2131">
        <v>4613900</v>
      </c>
    </row>
    <row r="2132" spans="1:15" x14ac:dyDescent="0.25">
      <c r="A2132" s="142" t="s">
        <v>712</v>
      </c>
      <c r="B2132" s="142" t="s">
        <v>51</v>
      </c>
      <c r="C2132" s="142" t="s">
        <v>14</v>
      </c>
      <c r="D2132">
        <v>3.3000000000000003E-5</v>
      </c>
      <c r="E2132">
        <v>1.1001E-4</v>
      </c>
      <c r="F2132">
        <v>1E-8</v>
      </c>
      <c r="G2132" s="142" t="s">
        <v>102</v>
      </c>
      <c r="H2132" s="142" t="s">
        <v>15</v>
      </c>
      <c r="I2132">
        <v>0</v>
      </c>
      <c r="J2132">
        <v>0</v>
      </c>
      <c r="K2132" s="142" t="s">
        <v>1674</v>
      </c>
      <c r="L2132">
        <v>120</v>
      </c>
      <c r="M2132">
        <v>5200000</v>
      </c>
      <c r="N2132">
        <v>115.61</v>
      </c>
      <c r="O2132">
        <v>5195600</v>
      </c>
    </row>
    <row r="2133" spans="1:15" x14ac:dyDescent="0.25">
      <c r="A2133" s="142" t="s">
        <v>716</v>
      </c>
      <c r="B2133" s="142" t="s">
        <v>51</v>
      </c>
      <c r="C2133" s="142" t="s">
        <v>14</v>
      </c>
      <c r="D2133">
        <v>1.1E-4</v>
      </c>
      <c r="E2133">
        <v>3.3000999999999999E-4</v>
      </c>
      <c r="F2133">
        <v>1E-8</v>
      </c>
      <c r="G2133" s="142" t="s">
        <v>102</v>
      </c>
      <c r="H2133" s="142" t="s">
        <v>16</v>
      </c>
      <c r="I2133">
        <v>0</v>
      </c>
      <c r="J2133">
        <v>0</v>
      </c>
      <c r="K2133" s="142" t="s">
        <v>1674</v>
      </c>
      <c r="L2133">
        <v>0.35</v>
      </c>
      <c r="M2133">
        <v>5200</v>
      </c>
      <c r="N2133">
        <v>0.34612999999999999</v>
      </c>
      <c r="O2133">
        <v>5199.8</v>
      </c>
    </row>
    <row r="2134" spans="1:15" x14ac:dyDescent="0.25">
      <c r="A2134" s="142" t="s">
        <v>704</v>
      </c>
      <c r="B2134" s="142" t="s">
        <v>51</v>
      </c>
      <c r="C2134" s="142" t="s">
        <v>14</v>
      </c>
      <c r="D2134">
        <v>3.3000000000000002E-7</v>
      </c>
      <c r="E2134">
        <v>1.1001000000000001E-6</v>
      </c>
      <c r="F2134">
        <v>9.9999999999999995E-8</v>
      </c>
      <c r="G2134" s="142" t="s">
        <v>102</v>
      </c>
      <c r="H2134" s="142" t="s">
        <v>15</v>
      </c>
      <c r="I2134">
        <v>0</v>
      </c>
      <c r="J2134">
        <v>0</v>
      </c>
      <c r="K2134" s="142" t="s">
        <v>1674</v>
      </c>
      <c r="L2134">
        <v>57.722000000000001</v>
      </c>
      <c r="M2134">
        <v>162480</v>
      </c>
      <c r="N2134">
        <v>57.720999999999997</v>
      </c>
      <c r="O2134">
        <v>160690</v>
      </c>
    </row>
    <row r="2135" spans="1:15" x14ac:dyDescent="0.25">
      <c r="A2135" s="142" t="s">
        <v>706</v>
      </c>
      <c r="B2135" s="142" t="s">
        <v>51</v>
      </c>
      <c r="C2135" s="142" t="s">
        <v>14</v>
      </c>
      <c r="D2135">
        <v>1.1000000000000001E-6</v>
      </c>
      <c r="E2135">
        <v>3.3001E-6</v>
      </c>
      <c r="F2135">
        <v>9.9999999999999995E-8</v>
      </c>
      <c r="G2135" s="142" t="s">
        <v>102</v>
      </c>
      <c r="H2135" s="142" t="s">
        <v>15</v>
      </c>
      <c r="I2135">
        <v>0</v>
      </c>
      <c r="J2135">
        <v>0</v>
      </c>
      <c r="K2135" s="142" t="s">
        <v>1674</v>
      </c>
      <c r="L2135">
        <v>57.585000000000001</v>
      </c>
      <c r="M2135">
        <v>484680</v>
      </c>
      <c r="N2135">
        <v>57.585000000000001</v>
      </c>
      <c r="O2135">
        <v>483140</v>
      </c>
    </row>
    <row r="2136" spans="1:15" x14ac:dyDescent="0.25">
      <c r="A2136" s="142" t="s">
        <v>1892</v>
      </c>
      <c r="B2136" s="142" t="s">
        <v>51</v>
      </c>
      <c r="C2136" s="142" t="s">
        <v>14</v>
      </c>
      <c r="D2136">
        <v>3.3000000000000002E-6</v>
      </c>
      <c r="E2136">
        <v>1.1001E-5</v>
      </c>
      <c r="F2136">
        <v>9.9999999999999995E-8</v>
      </c>
      <c r="G2136" s="142" t="s">
        <v>102</v>
      </c>
      <c r="H2136" s="142" t="s">
        <v>15</v>
      </c>
      <c r="I2136">
        <v>0</v>
      </c>
      <c r="J2136">
        <v>0</v>
      </c>
      <c r="K2136" s="142" t="s">
        <v>1674</v>
      </c>
      <c r="L2136">
        <v>56.88</v>
      </c>
      <c r="M2136">
        <v>1394300</v>
      </c>
      <c r="N2136">
        <v>56.874000000000002</v>
      </c>
      <c r="O2136">
        <v>1390900</v>
      </c>
    </row>
    <row r="2137" spans="1:15" x14ac:dyDescent="0.25">
      <c r="A2137" s="142" t="s">
        <v>1893</v>
      </c>
      <c r="B2137" s="142" t="s">
        <v>51</v>
      </c>
      <c r="C2137" s="142" t="s">
        <v>14</v>
      </c>
      <c r="D2137">
        <v>1.1E-5</v>
      </c>
      <c r="E2137">
        <v>3.3000999999999998E-5</v>
      </c>
      <c r="F2137">
        <v>9.9999999999999995E-8</v>
      </c>
      <c r="G2137" s="142" t="s">
        <v>102</v>
      </c>
      <c r="H2137" s="142" t="s">
        <v>15</v>
      </c>
      <c r="I2137">
        <v>0</v>
      </c>
      <c r="J2137">
        <v>0</v>
      </c>
      <c r="K2137" s="142" t="s">
        <v>1674</v>
      </c>
      <c r="L2137">
        <v>56.814</v>
      </c>
      <c r="M2137">
        <v>4211300</v>
      </c>
      <c r="N2137">
        <v>56.808</v>
      </c>
      <c r="O2137">
        <v>4211000</v>
      </c>
    </row>
    <row r="2138" spans="1:15" x14ac:dyDescent="0.25">
      <c r="A2138" s="142" t="s">
        <v>713</v>
      </c>
      <c r="B2138" s="142" t="s">
        <v>51</v>
      </c>
      <c r="C2138" s="142" t="s">
        <v>14</v>
      </c>
      <c r="D2138">
        <v>3.3000000000000003E-5</v>
      </c>
      <c r="E2138">
        <v>1.1001E-4</v>
      </c>
      <c r="F2138">
        <v>9.9999999999999995E-8</v>
      </c>
      <c r="G2138" s="142" t="s">
        <v>102</v>
      </c>
      <c r="H2138" s="142" t="s">
        <v>15</v>
      </c>
      <c r="I2138">
        <v>0</v>
      </c>
      <c r="J2138">
        <v>0</v>
      </c>
      <c r="K2138" s="142" t="s">
        <v>1674</v>
      </c>
      <c r="L2138">
        <v>121.85</v>
      </c>
      <c r="M2138">
        <v>5183200</v>
      </c>
      <c r="N2138">
        <v>122.72</v>
      </c>
      <c r="O2138">
        <v>5152800</v>
      </c>
    </row>
    <row r="2139" spans="1:15" x14ac:dyDescent="0.25">
      <c r="A2139" s="142" t="s">
        <v>1894</v>
      </c>
      <c r="B2139" s="142" t="s">
        <v>51</v>
      </c>
      <c r="C2139" s="142" t="s">
        <v>14</v>
      </c>
      <c r="D2139">
        <v>1.1E-4</v>
      </c>
      <c r="E2139">
        <v>3.3000999999999999E-4</v>
      </c>
      <c r="F2139">
        <v>9.9999999999999995E-8</v>
      </c>
      <c r="G2139" s="142" t="s">
        <v>102</v>
      </c>
      <c r="H2139" s="142" t="s">
        <v>16</v>
      </c>
      <c r="I2139">
        <v>0</v>
      </c>
      <c r="J2139">
        <v>0</v>
      </c>
      <c r="K2139" s="142" t="s">
        <v>1674</v>
      </c>
      <c r="L2139">
        <v>0.35</v>
      </c>
      <c r="M2139">
        <v>5200</v>
      </c>
      <c r="N2139">
        <v>0.34836</v>
      </c>
      <c r="O2139">
        <v>5195.3</v>
      </c>
    </row>
    <row r="2140" spans="1:15" x14ac:dyDescent="0.25">
      <c r="A2140" s="142" t="s">
        <v>718</v>
      </c>
      <c r="B2140" s="142" t="s">
        <v>51</v>
      </c>
      <c r="C2140" s="142" t="s">
        <v>14</v>
      </c>
      <c r="D2140">
        <v>3.3E-4</v>
      </c>
      <c r="E2140">
        <v>1.1000999999999999E-3</v>
      </c>
      <c r="F2140">
        <v>9.9999999999999995E-8</v>
      </c>
      <c r="G2140" s="142" t="s">
        <v>102</v>
      </c>
      <c r="H2140" s="142" t="s">
        <v>16</v>
      </c>
      <c r="I2140">
        <v>0</v>
      </c>
      <c r="J2140">
        <v>0</v>
      </c>
      <c r="K2140" s="142" t="s">
        <v>1674</v>
      </c>
      <c r="L2140">
        <v>1.2</v>
      </c>
      <c r="M2140">
        <v>5200</v>
      </c>
      <c r="N2140">
        <v>1.1557999999999999</v>
      </c>
      <c r="O2140">
        <v>5198.3</v>
      </c>
    </row>
    <row r="2141" spans="1:15" x14ac:dyDescent="0.25">
      <c r="A2141" s="142" t="s">
        <v>721</v>
      </c>
      <c r="B2141" s="142" t="s">
        <v>51</v>
      </c>
      <c r="C2141" s="142" t="s">
        <v>14</v>
      </c>
      <c r="D2141">
        <v>1.1000000000000001E-3</v>
      </c>
      <c r="E2141">
        <v>3.3000999999999998E-3</v>
      </c>
      <c r="F2141">
        <v>9.9999999999999995E-8</v>
      </c>
      <c r="G2141" s="142" t="s">
        <v>102</v>
      </c>
      <c r="H2141" s="142" t="s">
        <v>16</v>
      </c>
      <c r="I2141">
        <v>0</v>
      </c>
      <c r="J2141">
        <v>0</v>
      </c>
      <c r="K2141" s="142" t="s">
        <v>1674</v>
      </c>
      <c r="L2141">
        <v>3.5</v>
      </c>
      <c r="M2141">
        <v>5200</v>
      </c>
      <c r="N2141">
        <v>3.4636</v>
      </c>
      <c r="O2141">
        <v>5198.8999999999996</v>
      </c>
    </row>
    <row r="2142" spans="1:15" x14ac:dyDescent="0.25">
      <c r="A2142" s="142" t="s">
        <v>708</v>
      </c>
      <c r="B2142" s="142" t="s">
        <v>51</v>
      </c>
      <c r="C2142" s="142" t="s">
        <v>14</v>
      </c>
      <c r="D2142">
        <v>3.3000000000000002E-6</v>
      </c>
      <c r="E2142">
        <v>1.1001E-5</v>
      </c>
      <c r="F2142">
        <v>9.9999999999999995E-7</v>
      </c>
      <c r="G2142" s="142" t="s">
        <v>102</v>
      </c>
      <c r="H2142" s="142" t="s">
        <v>15</v>
      </c>
      <c r="I2142">
        <v>0</v>
      </c>
      <c r="J2142">
        <v>0</v>
      </c>
      <c r="K2142" s="142" t="s">
        <v>1674</v>
      </c>
      <c r="L2142">
        <v>577.21</v>
      </c>
      <c r="M2142">
        <v>162540</v>
      </c>
      <c r="N2142">
        <v>577.21</v>
      </c>
      <c r="O2142">
        <v>160690</v>
      </c>
    </row>
    <row r="2143" spans="1:15" x14ac:dyDescent="0.25">
      <c r="A2143" s="142" t="s">
        <v>711</v>
      </c>
      <c r="B2143" s="142" t="s">
        <v>51</v>
      </c>
      <c r="C2143" s="142" t="s">
        <v>14</v>
      </c>
      <c r="D2143">
        <v>1.1E-5</v>
      </c>
      <c r="E2143">
        <v>3.3000999999999998E-5</v>
      </c>
      <c r="F2143">
        <v>9.9999999999999995E-7</v>
      </c>
      <c r="G2143" s="142" t="s">
        <v>102</v>
      </c>
      <c r="H2143" s="142" t="s">
        <v>15</v>
      </c>
      <c r="I2143">
        <v>0</v>
      </c>
      <c r="J2143">
        <v>0</v>
      </c>
      <c r="K2143" s="142" t="s">
        <v>1674</v>
      </c>
      <c r="L2143">
        <v>572.02</v>
      </c>
      <c r="M2143">
        <v>1057800</v>
      </c>
      <c r="N2143">
        <v>572.02</v>
      </c>
      <c r="O2143">
        <v>1057200</v>
      </c>
    </row>
    <row r="2144" spans="1:15" x14ac:dyDescent="0.25">
      <c r="A2144" s="142" t="s">
        <v>714</v>
      </c>
      <c r="B2144" s="142" t="s">
        <v>51</v>
      </c>
      <c r="C2144" s="142" t="s">
        <v>14</v>
      </c>
      <c r="D2144">
        <v>3.3000000000000003E-5</v>
      </c>
      <c r="E2144">
        <v>1.1001E-4</v>
      </c>
      <c r="F2144">
        <v>9.9999999999999995E-7</v>
      </c>
      <c r="G2144" s="142" t="s">
        <v>102</v>
      </c>
      <c r="H2144" s="142" t="s">
        <v>15</v>
      </c>
      <c r="I2144">
        <v>0</v>
      </c>
      <c r="J2144">
        <v>0</v>
      </c>
      <c r="K2144" s="142" t="s">
        <v>1674</v>
      </c>
      <c r="L2144">
        <v>536.63</v>
      </c>
      <c r="M2144">
        <v>3284200</v>
      </c>
      <c r="N2144">
        <v>536.45000000000005</v>
      </c>
      <c r="O2144">
        <v>3282000</v>
      </c>
    </row>
    <row r="2145" spans="1:15" x14ac:dyDescent="0.25">
      <c r="A2145" s="142" t="s">
        <v>1895</v>
      </c>
      <c r="B2145" s="142" t="s">
        <v>51</v>
      </c>
      <c r="C2145" s="142" t="s">
        <v>14</v>
      </c>
      <c r="D2145">
        <v>1.1E-4</v>
      </c>
      <c r="E2145">
        <v>3.3000999999999999E-4</v>
      </c>
      <c r="F2145">
        <v>9.9999999999999995E-7</v>
      </c>
      <c r="G2145" s="142" t="s">
        <v>102</v>
      </c>
      <c r="H2145" s="142" t="s">
        <v>16</v>
      </c>
      <c r="I2145">
        <v>0</v>
      </c>
      <c r="J2145">
        <v>0</v>
      </c>
      <c r="K2145" s="142" t="s">
        <v>1674</v>
      </c>
      <c r="L2145">
        <v>0.55623</v>
      </c>
      <c r="M2145">
        <v>4803.8</v>
      </c>
      <c r="N2145">
        <v>0.55608000000000002</v>
      </c>
      <c r="O2145">
        <v>4803.7</v>
      </c>
    </row>
    <row r="2146" spans="1:15" x14ac:dyDescent="0.25">
      <c r="A2146" s="142" t="s">
        <v>719</v>
      </c>
      <c r="B2146" s="142" t="s">
        <v>51</v>
      </c>
      <c r="C2146" s="142" t="s">
        <v>14</v>
      </c>
      <c r="D2146">
        <v>3.3E-4</v>
      </c>
      <c r="E2146">
        <v>1.1000999999999999E-3</v>
      </c>
      <c r="F2146">
        <v>9.9999999999999995E-7</v>
      </c>
      <c r="G2146" s="142" t="s">
        <v>102</v>
      </c>
      <c r="H2146" s="142" t="s">
        <v>16</v>
      </c>
      <c r="I2146">
        <v>0</v>
      </c>
      <c r="J2146">
        <v>0</v>
      </c>
      <c r="K2146" s="142" t="s">
        <v>1674</v>
      </c>
      <c r="L2146">
        <v>1.2193000000000001</v>
      </c>
      <c r="M2146">
        <v>5182.5</v>
      </c>
      <c r="N2146">
        <v>1.2267999999999999</v>
      </c>
      <c r="O2146">
        <v>5155.5</v>
      </c>
    </row>
    <row r="2147" spans="1:15" x14ac:dyDescent="0.25">
      <c r="A2147" s="142" t="s">
        <v>722</v>
      </c>
      <c r="B2147" s="142" t="s">
        <v>51</v>
      </c>
      <c r="C2147" s="142" t="s">
        <v>14</v>
      </c>
      <c r="D2147">
        <v>1.1000000000000001E-3</v>
      </c>
      <c r="E2147">
        <v>3.3000999999999998E-3</v>
      </c>
      <c r="F2147">
        <v>9.9999999999999995E-7</v>
      </c>
      <c r="G2147" s="142" t="s">
        <v>102</v>
      </c>
      <c r="H2147" s="142" t="s">
        <v>16</v>
      </c>
      <c r="I2147">
        <v>0</v>
      </c>
      <c r="J2147">
        <v>0</v>
      </c>
      <c r="K2147" s="142" t="s">
        <v>1674</v>
      </c>
      <c r="L2147">
        <v>3.5</v>
      </c>
      <c r="M2147">
        <v>5200</v>
      </c>
      <c r="N2147">
        <v>3.4866000000000001</v>
      </c>
      <c r="O2147">
        <v>5194.3999999999996</v>
      </c>
    </row>
    <row r="2148" spans="1:15" x14ac:dyDescent="0.25">
      <c r="A2148" s="142" t="s">
        <v>724</v>
      </c>
      <c r="B2148" s="142" t="s">
        <v>51</v>
      </c>
      <c r="C2148" s="142" t="s">
        <v>14</v>
      </c>
      <c r="D2148">
        <v>3.3E-3</v>
      </c>
      <c r="E2148">
        <v>1.1001E-2</v>
      </c>
      <c r="F2148">
        <v>9.9999999999999995E-7</v>
      </c>
      <c r="G2148" s="142" t="s">
        <v>102</v>
      </c>
      <c r="H2148" s="142" t="s">
        <v>16</v>
      </c>
      <c r="I2148">
        <v>0</v>
      </c>
      <c r="J2148">
        <v>0</v>
      </c>
      <c r="K2148" s="142" t="s">
        <v>1674</v>
      </c>
      <c r="L2148">
        <v>13</v>
      </c>
      <c r="M2148">
        <v>5200</v>
      </c>
      <c r="N2148">
        <v>12.076000000000001</v>
      </c>
      <c r="O2148">
        <v>5198.3</v>
      </c>
    </row>
    <row r="2149" spans="1:15" x14ac:dyDescent="0.25">
      <c r="A2149" s="142" t="s">
        <v>728</v>
      </c>
      <c r="B2149" s="142" t="s">
        <v>51</v>
      </c>
      <c r="C2149" s="142" t="s">
        <v>14</v>
      </c>
      <c r="D2149">
        <v>1.0999999999999999E-2</v>
      </c>
      <c r="E2149">
        <v>3.3001000000000003E-2</v>
      </c>
      <c r="F2149">
        <v>9.9999999999999995E-7</v>
      </c>
      <c r="G2149" s="142" t="s">
        <v>102</v>
      </c>
      <c r="H2149" s="142" t="s">
        <v>16</v>
      </c>
      <c r="I2149">
        <v>0</v>
      </c>
      <c r="J2149">
        <v>0</v>
      </c>
      <c r="K2149" s="142" t="s">
        <v>1674</v>
      </c>
      <c r="L2149">
        <v>35</v>
      </c>
      <c r="M2149">
        <v>8700</v>
      </c>
      <c r="N2149">
        <v>34.642000000000003</v>
      </c>
      <c r="O2149">
        <v>8661.9</v>
      </c>
    </row>
    <row r="2150" spans="1:15" x14ac:dyDescent="0.25">
      <c r="A2150" s="142" t="s">
        <v>715</v>
      </c>
      <c r="B2150" s="142" t="s">
        <v>51</v>
      </c>
      <c r="C2150" s="142" t="s">
        <v>14</v>
      </c>
      <c r="D2150">
        <v>3.3000000000000003E-5</v>
      </c>
      <c r="E2150">
        <v>1.1001E-4</v>
      </c>
      <c r="F2150">
        <v>1.0000000000000001E-5</v>
      </c>
      <c r="G2150" s="142" t="s">
        <v>102</v>
      </c>
      <c r="H2150" s="142" t="s">
        <v>15</v>
      </c>
      <c r="I2150">
        <v>0</v>
      </c>
      <c r="J2150">
        <v>0</v>
      </c>
      <c r="K2150" s="142" t="s">
        <v>1674</v>
      </c>
      <c r="L2150">
        <v>5766.3</v>
      </c>
      <c r="M2150">
        <v>438500</v>
      </c>
      <c r="N2150">
        <v>5766.3</v>
      </c>
      <c r="O2150">
        <v>436530</v>
      </c>
    </row>
    <row r="2151" spans="1:15" x14ac:dyDescent="0.25">
      <c r="A2151" s="142" t="s">
        <v>717</v>
      </c>
      <c r="B2151" s="142" t="s">
        <v>51</v>
      </c>
      <c r="C2151" s="142" t="s">
        <v>14</v>
      </c>
      <c r="D2151">
        <v>1.1E-4</v>
      </c>
      <c r="E2151">
        <v>3.3000999999999999E-4</v>
      </c>
      <c r="F2151">
        <v>1.0000000000000001E-5</v>
      </c>
      <c r="G2151" s="142" t="s">
        <v>102</v>
      </c>
      <c r="H2151" s="142" t="s">
        <v>16</v>
      </c>
      <c r="I2151">
        <v>0</v>
      </c>
      <c r="J2151">
        <v>0</v>
      </c>
      <c r="K2151" s="142" t="s">
        <v>1674</v>
      </c>
      <c r="L2151">
        <v>5.7038000000000002</v>
      </c>
      <c r="M2151">
        <v>1294.4000000000001</v>
      </c>
      <c r="N2151">
        <v>5.7038000000000002</v>
      </c>
      <c r="O2151">
        <v>1293.8</v>
      </c>
    </row>
    <row r="2152" spans="1:15" x14ac:dyDescent="0.25">
      <c r="A2152" s="142" t="s">
        <v>720</v>
      </c>
      <c r="B2152" s="142" t="s">
        <v>51</v>
      </c>
      <c r="C2152" s="142" t="s">
        <v>14</v>
      </c>
      <c r="D2152">
        <v>3.3E-4</v>
      </c>
      <c r="E2152">
        <v>1.1000999999999999E-3</v>
      </c>
      <c r="F2152">
        <v>1.0000000000000001E-5</v>
      </c>
      <c r="G2152" s="142" t="s">
        <v>102</v>
      </c>
      <c r="H2152" s="142" t="s">
        <v>16</v>
      </c>
      <c r="I2152">
        <v>0</v>
      </c>
      <c r="J2152">
        <v>0</v>
      </c>
      <c r="K2152" s="142" t="s">
        <v>1674</v>
      </c>
      <c r="L2152">
        <v>5.3658000000000001</v>
      </c>
      <c r="M2152">
        <v>3286.5</v>
      </c>
      <c r="N2152">
        <v>5.3640999999999996</v>
      </c>
      <c r="O2152">
        <v>3284.2</v>
      </c>
    </row>
    <row r="2153" spans="1:15" x14ac:dyDescent="0.25">
      <c r="A2153" s="142" t="s">
        <v>1897</v>
      </c>
      <c r="B2153" s="142" t="s">
        <v>51</v>
      </c>
      <c r="C2153" s="142" t="s">
        <v>14</v>
      </c>
      <c r="D2153">
        <v>1.1000000000000001E-3</v>
      </c>
      <c r="E2153">
        <v>3.3000999999999998E-3</v>
      </c>
      <c r="F2153">
        <v>1.0000000000000001E-5</v>
      </c>
      <c r="G2153" s="142" t="s">
        <v>102</v>
      </c>
      <c r="H2153" s="142" t="s">
        <v>16</v>
      </c>
      <c r="I2153">
        <v>0</v>
      </c>
      <c r="J2153">
        <v>0</v>
      </c>
      <c r="K2153" s="142" t="s">
        <v>1674</v>
      </c>
      <c r="L2153">
        <v>5.5761000000000003</v>
      </c>
      <c r="M2153">
        <v>4803.8999999999996</v>
      </c>
      <c r="N2153">
        <v>5.5633999999999997</v>
      </c>
      <c r="O2153">
        <v>4802.8999999999996</v>
      </c>
    </row>
    <row r="2154" spans="1:15" x14ac:dyDescent="0.25">
      <c r="A2154" s="142" t="s">
        <v>725</v>
      </c>
      <c r="B2154" s="142" t="s">
        <v>51</v>
      </c>
      <c r="C2154" s="142" t="s">
        <v>14</v>
      </c>
      <c r="D2154">
        <v>3.3E-3</v>
      </c>
      <c r="E2154">
        <v>1.1001E-2</v>
      </c>
      <c r="F2154">
        <v>1.0000000000000001E-5</v>
      </c>
      <c r="G2154" s="142" t="s">
        <v>102</v>
      </c>
      <c r="H2154" s="142" t="s">
        <v>16</v>
      </c>
      <c r="I2154">
        <v>0</v>
      </c>
      <c r="J2154">
        <v>0</v>
      </c>
      <c r="K2154" s="142" t="s">
        <v>1674</v>
      </c>
      <c r="L2154">
        <v>13</v>
      </c>
      <c r="M2154">
        <v>5200</v>
      </c>
      <c r="N2154">
        <v>12.712999999999999</v>
      </c>
      <c r="O2154">
        <v>5155.6000000000004</v>
      </c>
    </row>
    <row r="2155" spans="1:15" x14ac:dyDescent="0.25">
      <c r="A2155" s="142" t="s">
        <v>729</v>
      </c>
      <c r="B2155" s="142" t="s">
        <v>51</v>
      </c>
      <c r="C2155" s="142" t="s">
        <v>14</v>
      </c>
      <c r="D2155">
        <v>1.0999999999999999E-2</v>
      </c>
      <c r="E2155">
        <v>3.3001000000000003E-2</v>
      </c>
      <c r="F2155">
        <v>1.0000000000000001E-5</v>
      </c>
      <c r="G2155" s="142" t="s">
        <v>102</v>
      </c>
      <c r="H2155" s="142" t="s">
        <v>16</v>
      </c>
      <c r="I2155">
        <v>0</v>
      </c>
      <c r="J2155">
        <v>0</v>
      </c>
      <c r="K2155" s="142" t="s">
        <v>1674</v>
      </c>
      <c r="L2155">
        <v>35</v>
      </c>
      <c r="M2155">
        <v>8700</v>
      </c>
      <c r="N2155">
        <v>34.805999999999997</v>
      </c>
      <c r="O2155">
        <v>8658.5</v>
      </c>
    </row>
    <row r="2156" spans="1:15" x14ac:dyDescent="0.25">
      <c r="A2156" s="142" t="s">
        <v>2801</v>
      </c>
      <c r="B2156" s="142" t="s">
        <v>51</v>
      </c>
      <c r="C2156" s="142" t="s">
        <v>14</v>
      </c>
      <c r="D2156">
        <v>3.3000000000000002E-2</v>
      </c>
      <c r="E2156">
        <v>0.11</v>
      </c>
      <c r="F2156">
        <v>1.0000000000000001E-5</v>
      </c>
      <c r="G2156" s="142" t="s">
        <v>102</v>
      </c>
      <c r="H2156" s="142" t="s">
        <v>16</v>
      </c>
      <c r="I2156">
        <v>0</v>
      </c>
      <c r="J2156">
        <v>0</v>
      </c>
      <c r="K2156" s="142" t="s">
        <v>1674</v>
      </c>
      <c r="L2156">
        <v>120</v>
      </c>
      <c r="M2156">
        <v>13000</v>
      </c>
      <c r="N2156">
        <v>115.63</v>
      </c>
      <c r="O2156">
        <v>12701</v>
      </c>
    </row>
    <row r="2157" spans="1:15" x14ac:dyDescent="0.25">
      <c r="A2157" s="142" t="s">
        <v>731</v>
      </c>
      <c r="B2157" s="142" t="s">
        <v>51</v>
      </c>
      <c r="C2157" s="142" t="s">
        <v>14</v>
      </c>
      <c r="D2157">
        <v>0.11</v>
      </c>
      <c r="E2157">
        <v>0.1101</v>
      </c>
      <c r="F2157">
        <v>1.0000000000000001E-5</v>
      </c>
      <c r="G2157" s="142" t="s">
        <v>102</v>
      </c>
      <c r="H2157" s="142" t="s">
        <v>16</v>
      </c>
      <c r="I2157">
        <v>0</v>
      </c>
      <c r="J2157">
        <v>0</v>
      </c>
      <c r="K2157" s="142" t="s">
        <v>1674</v>
      </c>
      <c r="L2157">
        <v>120</v>
      </c>
      <c r="M2157">
        <v>13000</v>
      </c>
      <c r="N2157">
        <v>115.63</v>
      </c>
      <c r="O2157">
        <v>12701</v>
      </c>
    </row>
    <row r="2158" spans="1:15" x14ac:dyDescent="0.25">
      <c r="A2158" s="142" t="s">
        <v>1896</v>
      </c>
      <c r="B2158" s="142" t="s">
        <v>51</v>
      </c>
      <c r="C2158" s="142" t="s">
        <v>14</v>
      </c>
      <c r="D2158">
        <v>3.3E-4</v>
      </c>
      <c r="E2158">
        <v>1.1000999999999999E-3</v>
      </c>
      <c r="F2158">
        <v>1E-4</v>
      </c>
      <c r="G2158" s="142" t="s">
        <v>102</v>
      </c>
      <c r="H2158" s="142" t="s">
        <v>16</v>
      </c>
      <c r="I2158">
        <v>0</v>
      </c>
      <c r="J2158">
        <v>0</v>
      </c>
      <c r="K2158" s="142" t="s">
        <v>1674</v>
      </c>
      <c r="L2158">
        <v>57.662999999999997</v>
      </c>
      <c r="M2158">
        <v>438.86</v>
      </c>
      <c r="N2158">
        <v>57.662999999999997</v>
      </c>
      <c r="O2158">
        <v>436.89</v>
      </c>
    </row>
    <row r="2159" spans="1:15" x14ac:dyDescent="0.25">
      <c r="A2159" s="142" t="s">
        <v>723</v>
      </c>
      <c r="B2159" s="142" t="s">
        <v>51</v>
      </c>
      <c r="C2159" s="142" t="s">
        <v>14</v>
      </c>
      <c r="D2159">
        <v>1.1000000000000001E-3</v>
      </c>
      <c r="E2159">
        <v>3.3000999999999998E-3</v>
      </c>
      <c r="F2159">
        <v>1E-4</v>
      </c>
      <c r="G2159" s="142" t="s">
        <v>102</v>
      </c>
      <c r="H2159" s="142" t="s">
        <v>16</v>
      </c>
      <c r="I2159">
        <v>0</v>
      </c>
      <c r="J2159">
        <v>0</v>
      </c>
      <c r="K2159" s="142" t="s">
        <v>1674</v>
      </c>
      <c r="L2159">
        <v>57.042999999999999</v>
      </c>
      <c r="M2159">
        <v>1299.0999999999999</v>
      </c>
      <c r="N2159">
        <v>57.037999999999997</v>
      </c>
      <c r="O2159">
        <v>1293.7</v>
      </c>
    </row>
    <row r="2160" spans="1:15" x14ac:dyDescent="0.25">
      <c r="A2160" s="142" t="s">
        <v>726</v>
      </c>
      <c r="B2160" s="142" t="s">
        <v>51</v>
      </c>
      <c r="C2160" s="142" t="s">
        <v>14</v>
      </c>
      <c r="D2160">
        <v>3.3E-3</v>
      </c>
      <c r="E2160">
        <v>1.1001E-2</v>
      </c>
      <c r="F2160">
        <v>1E-4</v>
      </c>
      <c r="G2160" s="142" t="s">
        <v>102</v>
      </c>
      <c r="H2160" s="142" t="s">
        <v>16</v>
      </c>
      <c r="I2160">
        <v>0</v>
      </c>
      <c r="J2160">
        <v>0</v>
      </c>
      <c r="K2160" s="142" t="s">
        <v>1674</v>
      </c>
      <c r="L2160">
        <v>53.665999999999997</v>
      </c>
      <c r="M2160">
        <v>3287.9</v>
      </c>
      <c r="N2160">
        <v>53.64</v>
      </c>
      <c r="O2160">
        <v>3284.3</v>
      </c>
    </row>
    <row r="2161" spans="1:15" x14ac:dyDescent="0.25">
      <c r="A2161" s="142" t="s">
        <v>730</v>
      </c>
      <c r="B2161" s="142" t="s">
        <v>51</v>
      </c>
      <c r="C2161" s="142" t="s">
        <v>14</v>
      </c>
      <c r="D2161">
        <v>1.0999999999999999E-2</v>
      </c>
      <c r="E2161">
        <v>3.3001000000000003E-2</v>
      </c>
      <c r="F2161">
        <v>1E-4</v>
      </c>
      <c r="G2161" s="142" t="s">
        <v>102</v>
      </c>
      <c r="H2161" s="142" t="s">
        <v>16</v>
      </c>
      <c r="I2161">
        <v>0</v>
      </c>
      <c r="J2161">
        <v>0</v>
      </c>
      <c r="K2161" s="142" t="s">
        <v>1674</v>
      </c>
      <c r="L2161">
        <v>50.508000000000003</v>
      </c>
      <c r="M2161">
        <v>8339.7000000000007</v>
      </c>
      <c r="N2161">
        <v>50.436999999999998</v>
      </c>
      <c r="O2161">
        <v>8339.6</v>
      </c>
    </row>
    <row r="2162" spans="1:15" x14ac:dyDescent="0.25">
      <c r="A2162" s="142" t="s">
        <v>2802</v>
      </c>
      <c r="B2162" s="142" t="s">
        <v>51</v>
      </c>
      <c r="C2162" s="142" t="s">
        <v>14</v>
      </c>
      <c r="D2162">
        <v>3.3000000000000002E-2</v>
      </c>
      <c r="E2162">
        <v>0.11</v>
      </c>
      <c r="F2162">
        <v>1E-4</v>
      </c>
      <c r="G2162" s="142" t="s">
        <v>102</v>
      </c>
      <c r="H2162" s="142" t="s">
        <v>16</v>
      </c>
      <c r="I2162">
        <v>0</v>
      </c>
      <c r="J2162">
        <v>0</v>
      </c>
      <c r="K2162" s="142" t="s">
        <v>1674</v>
      </c>
      <c r="L2162">
        <v>120</v>
      </c>
      <c r="M2162">
        <v>13000</v>
      </c>
      <c r="N2162">
        <v>119.5</v>
      </c>
      <c r="O2162">
        <v>12676</v>
      </c>
    </row>
    <row r="2163" spans="1:15" x14ac:dyDescent="0.25">
      <c r="A2163" s="142" t="s">
        <v>1899</v>
      </c>
      <c r="B2163" s="142" t="s">
        <v>51</v>
      </c>
      <c r="C2163" s="142" t="s">
        <v>14</v>
      </c>
      <c r="D2163">
        <v>0.11</v>
      </c>
      <c r="E2163">
        <v>0.1101</v>
      </c>
      <c r="F2163">
        <v>1E-4</v>
      </c>
      <c r="G2163" s="142" t="s">
        <v>102</v>
      </c>
      <c r="H2163" s="142" t="s">
        <v>16</v>
      </c>
      <c r="I2163">
        <v>0</v>
      </c>
      <c r="J2163">
        <v>0</v>
      </c>
      <c r="K2163" s="142" t="s">
        <v>1674</v>
      </c>
      <c r="L2163">
        <v>120</v>
      </c>
      <c r="M2163">
        <v>13000</v>
      </c>
      <c r="N2163">
        <v>119.5</v>
      </c>
      <c r="O2163">
        <v>12676</v>
      </c>
    </row>
    <row r="2164" spans="1:15" x14ac:dyDescent="0.25">
      <c r="A2164" s="142" t="s">
        <v>727</v>
      </c>
      <c r="B2164" s="142" t="s">
        <v>51</v>
      </c>
      <c r="C2164" s="142" t="s">
        <v>14</v>
      </c>
      <c r="D2164">
        <v>3.3E-3</v>
      </c>
      <c r="E2164">
        <v>1.1001E-2</v>
      </c>
      <c r="F2164">
        <v>1E-3</v>
      </c>
      <c r="G2164" s="142" t="s">
        <v>102</v>
      </c>
      <c r="H2164" s="142" t="s">
        <v>16</v>
      </c>
      <c r="I2164">
        <v>0</v>
      </c>
      <c r="J2164">
        <v>0</v>
      </c>
      <c r="K2164" s="142" t="s">
        <v>1674</v>
      </c>
      <c r="L2164">
        <v>576.63</v>
      </c>
      <c r="M2164">
        <v>439.99</v>
      </c>
      <c r="N2164">
        <v>576.63</v>
      </c>
      <c r="O2164">
        <v>436.9</v>
      </c>
    </row>
    <row r="2165" spans="1:15" x14ac:dyDescent="0.25">
      <c r="A2165" s="142" t="s">
        <v>1898</v>
      </c>
      <c r="B2165" s="142" t="s">
        <v>51</v>
      </c>
      <c r="C2165" s="142" t="s">
        <v>14</v>
      </c>
      <c r="D2165">
        <v>1.0999999999999999E-2</v>
      </c>
      <c r="E2165">
        <v>3.3001000000000003E-2</v>
      </c>
      <c r="F2165">
        <v>1E-3</v>
      </c>
      <c r="G2165" s="142" t="s">
        <v>102</v>
      </c>
      <c r="H2165" s="142" t="s">
        <v>16</v>
      </c>
      <c r="I2165">
        <v>0</v>
      </c>
      <c r="J2165">
        <v>0</v>
      </c>
      <c r="K2165" s="142" t="s">
        <v>1674</v>
      </c>
      <c r="L2165">
        <v>557.54999999999995</v>
      </c>
      <c r="M2165">
        <v>3119.3</v>
      </c>
      <c r="N2165">
        <v>557.52</v>
      </c>
      <c r="O2165">
        <v>3115.8</v>
      </c>
    </row>
    <row r="2166" spans="1:15" x14ac:dyDescent="0.25">
      <c r="A2166" s="142" t="s">
        <v>2803</v>
      </c>
      <c r="B2166" s="142" t="s">
        <v>51</v>
      </c>
      <c r="C2166" s="142" t="s">
        <v>14</v>
      </c>
      <c r="D2166">
        <v>3.3000000000000002E-2</v>
      </c>
      <c r="E2166">
        <v>0.11</v>
      </c>
      <c r="F2166">
        <v>1E-3</v>
      </c>
      <c r="G2166" s="142" t="s">
        <v>102</v>
      </c>
      <c r="H2166" s="142" t="s">
        <v>16</v>
      </c>
      <c r="I2166">
        <v>0</v>
      </c>
      <c r="J2166">
        <v>0</v>
      </c>
      <c r="K2166" s="142" t="s">
        <v>1674</v>
      </c>
      <c r="L2166">
        <v>430.99</v>
      </c>
      <c r="M2166">
        <v>10809</v>
      </c>
      <c r="N2166">
        <v>430.28</v>
      </c>
      <c r="O2166">
        <v>10808</v>
      </c>
    </row>
    <row r="2167" spans="1:15" x14ac:dyDescent="0.25">
      <c r="A2167" s="142" t="s">
        <v>732</v>
      </c>
      <c r="B2167" s="142" t="s">
        <v>51</v>
      </c>
      <c r="C2167" s="142" t="s">
        <v>14</v>
      </c>
      <c r="D2167">
        <v>0.11</v>
      </c>
      <c r="E2167">
        <v>0.1101</v>
      </c>
      <c r="F2167">
        <v>1E-3</v>
      </c>
      <c r="G2167" s="142" t="s">
        <v>102</v>
      </c>
      <c r="H2167" s="142" t="s">
        <v>16</v>
      </c>
      <c r="I2167">
        <v>0</v>
      </c>
      <c r="J2167">
        <v>0</v>
      </c>
      <c r="K2167" s="142" t="s">
        <v>1674</v>
      </c>
      <c r="L2167">
        <v>430.99</v>
      </c>
      <c r="M2167">
        <v>10809</v>
      </c>
      <c r="N2167">
        <v>430.28</v>
      </c>
      <c r="O2167">
        <v>10808</v>
      </c>
    </row>
    <row r="2168" spans="1:15" x14ac:dyDescent="0.25">
      <c r="A2168" s="142" t="s">
        <v>2804</v>
      </c>
      <c r="B2168" s="142" t="s">
        <v>51</v>
      </c>
      <c r="C2168" s="142" t="s">
        <v>14</v>
      </c>
      <c r="D2168">
        <v>3.3000000000000002E-2</v>
      </c>
      <c r="E2168">
        <v>0.11</v>
      </c>
      <c r="F2168">
        <v>0.01</v>
      </c>
      <c r="G2168" s="142" t="s">
        <v>102</v>
      </c>
      <c r="H2168" s="142" t="s">
        <v>16</v>
      </c>
      <c r="I2168">
        <v>0</v>
      </c>
      <c r="J2168">
        <v>0</v>
      </c>
      <c r="K2168" s="142" t="s">
        <v>1674</v>
      </c>
      <c r="L2168">
        <v>5725.6</v>
      </c>
      <c r="M2168">
        <v>2215.6</v>
      </c>
      <c r="N2168">
        <v>5725.3</v>
      </c>
      <c r="O2168">
        <v>2210.1</v>
      </c>
    </row>
    <row r="2169" spans="1:15" x14ac:dyDescent="0.25">
      <c r="A2169" s="142" t="s">
        <v>1900</v>
      </c>
      <c r="B2169" s="142" t="s">
        <v>51</v>
      </c>
      <c r="C2169" s="142" t="s">
        <v>14</v>
      </c>
      <c r="D2169">
        <v>0.11</v>
      </c>
      <c r="E2169">
        <v>0.1101</v>
      </c>
      <c r="F2169">
        <v>0.01</v>
      </c>
      <c r="G2169" s="142" t="s">
        <v>102</v>
      </c>
      <c r="H2169" s="142" t="s">
        <v>16</v>
      </c>
      <c r="I2169">
        <v>0</v>
      </c>
      <c r="J2169">
        <v>0</v>
      </c>
      <c r="K2169" s="142" t="s">
        <v>1674</v>
      </c>
      <c r="L2169">
        <v>5725.6</v>
      </c>
      <c r="M2169">
        <v>2215.6</v>
      </c>
      <c r="N2169">
        <v>5725.3</v>
      </c>
      <c r="O2169">
        <v>2210.1</v>
      </c>
    </row>
    <row r="2170" spans="1:15" x14ac:dyDescent="0.25">
      <c r="A2170" s="142" t="s">
        <v>1901</v>
      </c>
      <c r="B2170" s="142" t="s">
        <v>51</v>
      </c>
      <c r="C2170" s="142" t="s">
        <v>86</v>
      </c>
      <c r="D2170">
        <v>-250</v>
      </c>
      <c r="E2170">
        <v>-99.9</v>
      </c>
      <c r="F2170">
        <v>0.1</v>
      </c>
      <c r="G2170" s="142" t="s">
        <v>23</v>
      </c>
      <c r="H2170" s="142" t="s">
        <v>23</v>
      </c>
      <c r="I2170">
        <v>0</v>
      </c>
      <c r="J2170">
        <v>0</v>
      </c>
      <c r="K2170" s="142" t="s">
        <v>1674</v>
      </c>
      <c r="L2170">
        <v>0.58422842381499995</v>
      </c>
      <c r="M2170">
        <v>0</v>
      </c>
      <c r="N2170">
        <v>0.58257756275499994</v>
      </c>
      <c r="O2170">
        <v>0</v>
      </c>
    </row>
    <row r="2171" spans="1:15" x14ac:dyDescent="0.25">
      <c r="A2171" s="142" t="s">
        <v>1902</v>
      </c>
      <c r="B2171" s="142" t="s">
        <v>51</v>
      </c>
      <c r="C2171" s="142" t="s">
        <v>86</v>
      </c>
      <c r="D2171">
        <v>-100</v>
      </c>
      <c r="E2171">
        <v>-24.9</v>
      </c>
      <c r="F2171">
        <v>0.1</v>
      </c>
      <c r="G2171" s="142" t="s">
        <v>23</v>
      </c>
      <c r="H2171" s="142" t="s">
        <v>23</v>
      </c>
      <c r="I2171">
        <v>0</v>
      </c>
      <c r="J2171">
        <v>0</v>
      </c>
      <c r="K2171" s="142" t="s">
        <v>1674</v>
      </c>
      <c r="L2171">
        <v>0.19859292765700001</v>
      </c>
      <c r="M2171">
        <v>0</v>
      </c>
      <c r="N2171">
        <v>0.197647679736</v>
      </c>
      <c r="O2171">
        <v>0</v>
      </c>
    </row>
    <row r="2172" spans="1:15" x14ac:dyDescent="0.25">
      <c r="A2172" s="142" t="s">
        <v>1903</v>
      </c>
      <c r="B2172" s="142" t="s">
        <v>51</v>
      </c>
      <c r="C2172" s="142" t="s">
        <v>86</v>
      </c>
      <c r="D2172">
        <v>-25</v>
      </c>
      <c r="E2172">
        <v>350.1</v>
      </c>
      <c r="F2172">
        <v>0.1</v>
      </c>
      <c r="G2172" s="142" t="s">
        <v>23</v>
      </c>
      <c r="H2172" s="142" t="s">
        <v>23</v>
      </c>
      <c r="I2172">
        <v>0</v>
      </c>
      <c r="J2172">
        <v>0</v>
      </c>
      <c r="K2172" s="142" t="s">
        <v>1674</v>
      </c>
      <c r="L2172">
        <v>0.17588372079100001</v>
      </c>
      <c r="M2172">
        <v>0</v>
      </c>
      <c r="N2172">
        <v>0.17481572477499999</v>
      </c>
      <c r="O2172">
        <v>0</v>
      </c>
    </row>
    <row r="2173" spans="1:15" x14ac:dyDescent="0.25">
      <c r="A2173" s="142" t="s">
        <v>700</v>
      </c>
      <c r="B2173" s="142" t="s">
        <v>51</v>
      </c>
      <c r="C2173" s="142" t="s">
        <v>86</v>
      </c>
      <c r="D2173">
        <v>350</v>
      </c>
      <c r="E2173">
        <v>650.1</v>
      </c>
      <c r="F2173">
        <v>0.1</v>
      </c>
      <c r="G2173" s="142" t="s">
        <v>23</v>
      </c>
      <c r="H2173" s="142" t="s">
        <v>23</v>
      </c>
      <c r="I2173">
        <v>0</v>
      </c>
      <c r="J2173">
        <v>0</v>
      </c>
      <c r="K2173" s="142" t="s">
        <v>1674</v>
      </c>
      <c r="L2173">
        <v>0.196829083756</v>
      </c>
      <c r="M2173">
        <v>0</v>
      </c>
      <c r="N2173">
        <v>0.19628464572900001</v>
      </c>
      <c r="O2173">
        <v>0</v>
      </c>
    </row>
    <row r="2174" spans="1:15" x14ac:dyDescent="0.25">
      <c r="A2174" s="142" t="s">
        <v>1904</v>
      </c>
      <c r="B2174" s="142" t="s">
        <v>51</v>
      </c>
      <c r="C2174" s="142" t="s">
        <v>86</v>
      </c>
      <c r="D2174">
        <v>650</v>
      </c>
      <c r="E2174">
        <v>1000</v>
      </c>
      <c r="F2174">
        <v>0.1</v>
      </c>
      <c r="G2174" s="142" t="s">
        <v>23</v>
      </c>
      <c r="H2174" s="142" t="s">
        <v>23</v>
      </c>
      <c r="I2174">
        <v>0</v>
      </c>
      <c r="J2174">
        <v>0</v>
      </c>
      <c r="K2174" s="142" t="s">
        <v>1674</v>
      </c>
      <c r="L2174">
        <v>0.25181161507799998</v>
      </c>
      <c r="M2174">
        <v>0</v>
      </c>
      <c r="N2174">
        <v>0.251386283288</v>
      </c>
      <c r="O2174">
        <v>0</v>
      </c>
    </row>
    <row r="2175" spans="1:15" x14ac:dyDescent="0.25">
      <c r="A2175" s="142" t="s">
        <v>703</v>
      </c>
      <c r="B2175" s="142" t="s">
        <v>51</v>
      </c>
      <c r="C2175" s="142" t="s">
        <v>86</v>
      </c>
      <c r="D2175">
        <v>1000</v>
      </c>
      <c r="E2175">
        <v>1000.1</v>
      </c>
      <c r="F2175">
        <v>0.1</v>
      </c>
      <c r="G2175" s="142" t="s">
        <v>23</v>
      </c>
      <c r="H2175" s="142" t="s">
        <v>23</v>
      </c>
      <c r="I2175">
        <v>0</v>
      </c>
      <c r="J2175">
        <v>0</v>
      </c>
      <c r="K2175" s="142" t="s">
        <v>1674</v>
      </c>
      <c r="L2175">
        <v>0.25181161507799998</v>
      </c>
      <c r="M2175">
        <v>0</v>
      </c>
      <c r="N2175">
        <v>0.251386283288</v>
      </c>
      <c r="O2175">
        <v>0</v>
      </c>
    </row>
    <row r="2176" spans="1:15" x14ac:dyDescent="0.25">
      <c r="A2176" s="142" t="s">
        <v>1905</v>
      </c>
      <c r="B2176" s="142" t="s">
        <v>51</v>
      </c>
      <c r="C2176" s="142" t="s">
        <v>86</v>
      </c>
      <c r="D2176">
        <v>-250</v>
      </c>
      <c r="E2176">
        <v>-99.9</v>
      </c>
      <c r="F2176">
        <v>1</v>
      </c>
      <c r="G2176" s="142" t="s">
        <v>23</v>
      </c>
      <c r="H2176" s="142" t="s">
        <v>23</v>
      </c>
      <c r="I2176">
        <v>0</v>
      </c>
      <c r="J2176">
        <v>0</v>
      </c>
      <c r="K2176" s="142" t="s">
        <v>1674</v>
      </c>
      <c r="L2176">
        <v>0.82286180789800001</v>
      </c>
      <c r="M2176">
        <v>0</v>
      </c>
      <c r="N2176">
        <v>0.81816661910999999</v>
      </c>
      <c r="O2176">
        <v>0</v>
      </c>
    </row>
    <row r="2177" spans="1:15" x14ac:dyDescent="0.25">
      <c r="A2177" s="142" t="s">
        <v>698</v>
      </c>
      <c r="B2177" s="142" t="s">
        <v>51</v>
      </c>
      <c r="C2177" s="142" t="s">
        <v>86</v>
      </c>
      <c r="D2177">
        <v>-100</v>
      </c>
      <c r="E2177">
        <v>-24.9</v>
      </c>
      <c r="F2177">
        <v>1</v>
      </c>
      <c r="G2177" s="142" t="s">
        <v>23</v>
      </c>
      <c r="H2177" s="142" t="s">
        <v>23</v>
      </c>
      <c r="I2177">
        <v>0</v>
      </c>
      <c r="J2177">
        <v>0</v>
      </c>
      <c r="K2177" s="142" t="s">
        <v>1674</v>
      </c>
      <c r="L2177">
        <v>0.60873868592900005</v>
      </c>
      <c r="M2177">
        <v>0</v>
      </c>
      <c r="N2177">
        <v>0.60750687675500004</v>
      </c>
      <c r="O2177">
        <v>0</v>
      </c>
    </row>
    <row r="2178" spans="1:15" x14ac:dyDescent="0.25">
      <c r="A2178" s="142" t="s">
        <v>699</v>
      </c>
      <c r="B2178" s="142" t="s">
        <v>51</v>
      </c>
      <c r="C2178" s="142" t="s">
        <v>86</v>
      </c>
      <c r="D2178">
        <v>-25</v>
      </c>
      <c r="E2178">
        <v>350.1</v>
      </c>
      <c r="F2178">
        <v>1</v>
      </c>
      <c r="G2178" s="142" t="s">
        <v>23</v>
      </c>
      <c r="H2178" s="142" t="s">
        <v>23</v>
      </c>
      <c r="I2178">
        <v>0</v>
      </c>
      <c r="J2178">
        <v>0</v>
      </c>
      <c r="K2178" s="142" t="s">
        <v>1674</v>
      </c>
      <c r="L2178">
        <v>0.60171315431100003</v>
      </c>
      <c r="M2178">
        <v>0</v>
      </c>
      <c r="N2178">
        <v>0.60046693300200005</v>
      </c>
      <c r="O2178">
        <v>0</v>
      </c>
    </row>
    <row r="2179" spans="1:15" x14ac:dyDescent="0.25">
      <c r="A2179" s="142" t="s">
        <v>701</v>
      </c>
      <c r="B2179" s="142" t="s">
        <v>51</v>
      </c>
      <c r="C2179" s="142" t="s">
        <v>86</v>
      </c>
      <c r="D2179">
        <v>350</v>
      </c>
      <c r="E2179">
        <v>650.1</v>
      </c>
      <c r="F2179">
        <v>1</v>
      </c>
      <c r="G2179" s="142" t="s">
        <v>23</v>
      </c>
      <c r="H2179" s="142" t="s">
        <v>23</v>
      </c>
      <c r="I2179">
        <v>0</v>
      </c>
      <c r="J2179">
        <v>0</v>
      </c>
      <c r="K2179" s="142" t="s">
        <v>1674</v>
      </c>
      <c r="L2179">
        <v>0.60776950104600003</v>
      </c>
      <c r="M2179">
        <v>0</v>
      </c>
      <c r="N2179">
        <v>0.60706479238099997</v>
      </c>
      <c r="O2179">
        <v>0</v>
      </c>
    </row>
    <row r="2180" spans="1:15" x14ac:dyDescent="0.25">
      <c r="A2180" s="142" t="s">
        <v>702</v>
      </c>
      <c r="B2180" s="142" t="s">
        <v>51</v>
      </c>
      <c r="C2180" s="142" t="s">
        <v>86</v>
      </c>
      <c r="D2180">
        <v>650</v>
      </c>
      <c r="E2180">
        <v>1000</v>
      </c>
      <c r="F2180">
        <v>1</v>
      </c>
      <c r="G2180" s="142" t="s">
        <v>23</v>
      </c>
      <c r="H2180" s="142" t="s">
        <v>23</v>
      </c>
      <c r="I2180">
        <v>0</v>
      </c>
      <c r="J2180">
        <v>0</v>
      </c>
      <c r="K2180" s="142" t="s">
        <v>1674</v>
      </c>
      <c r="L2180">
        <v>0.62773495018000003</v>
      </c>
      <c r="M2180">
        <v>0</v>
      </c>
      <c r="N2180">
        <v>0.62705267994400005</v>
      </c>
      <c r="O2180">
        <v>0</v>
      </c>
    </row>
    <row r="2181" spans="1:15" x14ac:dyDescent="0.25">
      <c r="A2181" s="142" t="s">
        <v>1906</v>
      </c>
      <c r="B2181" s="142" t="s">
        <v>51</v>
      </c>
      <c r="C2181" s="142" t="s">
        <v>86</v>
      </c>
      <c r="D2181">
        <v>1000</v>
      </c>
      <c r="E2181">
        <v>1000.1</v>
      </c>
      <c r="F2181">
        <v>1</v>
      </c>
      <c r="G2181" s="142" t="s">
        <v>23</v>
      </c>
      <c r="H2181" s="142" t="s">
        <v>23</v>
      </c>
      <c r="I2181">
        <v>0</v>
      </c>
      <c r="J2181">
        <v>0</v>
      </c>
      <c r="K2181" s="142" t="s">
        <v>1674</v>
      </c>
      <c r="L2181">
        <v>0.62773495018000003</v>
      </c>
      <c r="M2181">
        <v>0</v>
      </c>
      <c r="N2181">
        <v>0.62705267994400005</v>
      </c>
      <c r="O2181">
        <v>0</v>
      </c>
    </row>
    <row r="2182" spans="1:15" x14ac:dyDescent="0.25">
      <c r="A2182" s="142" t="s">
        <v>691</v>
      </c>
      <c r="B2182" s="142" t="s">
        <v>51</v>
      </c>
      <c r="C2182" s="142" t="s">
        <v>85</v>
      </c>
      <c r="D2182">
        <v>-210</v>
      </c>
      <c r="E2182">
        <v>-99.9</v>
      </c>
      <c r="F2182">
        <v>0.1</v>
      </c>
      <c r="G2182" s="142" t="s">
        <v>23</v>
      </c>
      <c r="H2182" s="142" t="s">
        <v>23</v>
      </c>
      <c r="I2182">
        <v>0</v>
      </c>
      <c r="J2182">
        <v>0</v>
      </c>
      <c r="K2182" s="142" t="s">
        <v>1674</v>
      </c>
      <c r="L2182">
        <v>0.32482492761100001</v>
      </c>
      <c r="M2182">
        <v>0</v>
      </c>
      <c r="N2182">
        <v>0.319510276185</v>
      </c>
      <c r="O2182">
        <v>0</v>
      </c>
    </row>
    <row r="2183" spans="1:15" x14ac:dyDescent="0.25">
      <c r="A2183" s="142" t="s">
        <v>1907</v>
      </c>
      <c r="B2183" s="142" t="s">
        <v>51</v>
      </c>
      <c r="C2183" s="142" t="s">
        <v>85</v>
      </c>
      <c r="D2183">
        <v>-100</v>
      </c>
      <c r="E2183">
        <v>-29.9</v>
      </c>
      <c r="F2183">
        <v>0.1</v>
      </c>
      <c r="G2183" s="142" t="s">
        <v>23</v>
      </c>
      <c r="H2183" s="142" t="s">
        <v>23</v>
      </c>
      <c r="I2183">
        <v>0</v>
      </c>
      <c r="J2183">
        <v>0</v>
      </c>
      <c r="K2183" s="142" t="s">
        <v>1674</v>
      </c>
      <c r="L2183">
        <v>0.202657094786</v>
      </c>
      <c r="M2183">
        <v>0</v>
      </c>
      <c r="N2183">
        <v>0.19649070802900001</v>
      </c>
      <c r="O2183">
        <v>0</v>
      </c>
    </row>
    <row r="2184" spans="1:15" x14ac:dyDescent="0.25">
      <c r="A2184" s="142" t="s">
        <v>1908</v>
      </c>
      <c r="B2184" s="142" t="s">
        <v>51</v>
      </c>
      <c r="C2184" s="142" t="s">
        <v>85</v>
      </c>
      <c r="D2184">
        <v>-30</v>
      </c>
      <c r="E2184">
        <v>150.1</v>
      </c>
      <c r="F2184">
        <v>0.1</v>
      </c>
      <c r="G2184" s="142" t="s">
        <v>23</v>
      </c>
      <c r="H2184" s="142" t="s">
        <v>23</v>
      </c>
      <c r="I2184">
        <v>0</v>
      </c>
      <c r="J2184">
        <v>0</v>
      </c>
      <c r="K2184" s="142" t="s">
        <v>1674</v>
      </c>
      <c r="L2184">
        <v>0.181774605609</v>
      </c>
      <c r="M2184">
        <v>0</v>
      </c>
      <c r="N2184">
        <v>0.174873404264</v>
      </c>
      <c r="O2184">
        <v>0</v>
      </c>
    </row>
    <row r="2185" spans="1:15" x14ac:dyDescent="0.25">
      <c r="A2185" s="142" t="s">
        <v>693</v>
      </c>
      <c r="B2185" s="142" t="s">
        <v>51</v>
      </c>
      <c r="C2185" s="142" t="s">
        <v>85</v>
      </c>
      <c r="D2185">
        <v>150</v>
      </c>
      <c r="E2185">
        <v>760.1</v>
      </c>
      <c r="F2185">
        <v>0.1</v>
      </c>
      <c r="G2185" s="142" t="s">
        <v>23</v>
      </c>
      <c r="H2185" s="142" t="s">
        <v>23</v>
      </c>
      <c r="I2185">
        <v>0</v>
      </c>
      <c r="J2185">
        <v>0</v>
      </c>
      <c r="K2185" s="142" t="s">
        <v>1674</v>
      </c>
      <c r="L2185">
        <v>0.208895571817</v>
      </c>
      <c r="M2185">
        <v>0</v>
      </c>
      <c r="N2185">
        <v>0.20722397356399999</v>
      </c>
      <c r="O2185">
        <v>0</v>
      </c>
    </row>
    <row r="2186" spans="1:15" x14ac:dyDescent="0.25">
      <c r="A2186" s="142" t="s">
        <v>695</v>
      </c>
      <c r="B2186" s="142" t="s">
        <v>51</v>
      </c>
      <c r="C2186" s="142" t="s">
        <v>85</v>
      </c>
      <c r="D2186">
        <v>760</v>
      </c>
      <c r="E2186">
        <v>1200</v>
      </c>
      <c r="F2186">
        <v>0.1</v>
      </c>
      <c r="G2186" s="142" t="s">
        <v>23</v>
      </c>
      <c r="H2186" s="142" t="s">
        <v>23</v>
      </c>
      <c r="I2186">
        <v>0</v>
      </c>
      <c r="J2186">
        <v>0</v>
      </c>
      <c r="K2186" s="142" t="s">
        <v>1674</v>
      </c>
      <c r="L2186">
        <v>0.27502981280599997</v>
      </c>
      <c r="M2186">
        <v>0</v>
      </c>
      <c r="N2186">
        <v>0.27376232981800003</v>
      </c>
      <c r="O2186">
        <v>0</v>
      </c>
    </row>
    <row r="2187" spans="1:15" x14ac:dyDescent="0.25">
      <c r="A2187" s="142" t="s">
        <v>696</v>
      </c>
      <c r="B2187" s="142" t="s">
        <v>51</v>
      </c>
      <c r="C2187" s="142" t="s">
        <v>85</v>
      </c>
      <c r="D2187">
        <v>1200</v>
      </c>
      <c r="E2187">
        <v>1200.0999999999999</v>
      </c>
      <c r="F2187">
        <v>0.1</v>
      </c>
      <c r="G2187" s="142" t="s">
        <v>23</v>
      </c>
      <c r="H2187" s="142" t="s">
        <v>23</v>
      </c>
      <c r="I2187">
        <v>0</v>
      </c>
      <c r="J2187">
        <v>0</v>
      </c>
      <c r="K2187" s="142" t="s">
        <v>1674</v>
      </c>
      <c r="L2187">
        <v>0.27502981280599997</v>
      </c>
      <c r="M2187">
        <v>0</v>
      </c>
      <c r="N2187">
        <v>0.27376232981800003</v>
      </c>
      <c r="O2187">
        <v>0</v>
      </c>
    </row>
    <row r="2188" spans="1:15" x14ac:dyDescent="0.25">
      <c r="A2188" s="142" t="s">
        <v>1909</v>
      </c>
      <c r="B2188" s="142" t="s">
        <v>51</v>
      </c>
      <c r="C2188" s="142" t="s">
        <v>85</v>
      </c>
      <c r="D2188">
        <v>-210</v>
      </c>
      <c r="E2188">
        <v>-99.9</v>
      </c>
      <c r="F2188">
        <v>1</v>
      </c>
      <c r="G2188" s="142" t="s">
        <v>23</v>
      </c>
      <c r="H2188" s="142" t="s">
        <v>23</v>
      </c>
      <c r="I2188">
        <v>0</v>
      </c>
      <c r="J2188">
        <v>0</v>
      </c>
      <c r="K2188" s="142" t="s">
        <v>1674</v>
      </c>
      <c r="L2188">
        <v>0.66767094037899999</v>
      </c>
      <c r="M2188">
        <v>0</v>
      </c>
      <c r="N2188">
        <v>0.65733310930400002</v>
      </c>
      <c r="O2188">
        <v>0</v>
      </c>
    </row>
    <row r="2189" spans="1:15" x14ac:dyDescent="0.25">
      <c r="A2189" s="142" t="s">
        <v>1910</v>
      </c>
      <c r="B2189" s="142" t="s">
        <v>51</v>
      </c>
      <c r="C2189" s="142" t="s">
        <v>85</v>
      </c>
      <c r="D2189">
        <v>-100</v>
      </c>
      <c r="E2189">
        <v>-29.9</v>
      </c>
      <c r="F2189">
        <v>1</v>
      </c>
      <c r="G2189" s="142" t="s">
        <v>23</v>
      </c>
      <c r="H2189" s="142" t="s">
        <v>23</v>
      </c>
      <c r="I2189">
        <v>0</v>
      </c>
      <c r="J2189">
        <v>0</v>
      </c>
      <c r="K2189" s="142" t="s">
        <v>1674</v>
      </c>
      <c r="L2189">
        <v>0.61518598589700002</v>
      </c>
      <c r="M2189">
        <v>0</v>
      </c>
      <c r="N2189">
        <v>0.607131450628</v>
      </c>
      <c r="O2189">
        <v>0</v>
      </c>
    </row>
    <row r="2190" spans="1:15" x14ac:dyDescent="0.25">
      <c r="A2190" s="142" t="s">
        <v>692</v>
      </c>
      <c r="B2190" s="142" t="s">
        <v>51</v>
      </c>
      <c r="C2190" s="142" t="s">
        <v>85</v>
      </c>
      <c r="D2190">
        <v>-30</v>
      </c>
      <c r="E2190">
        <v>150.1</v>
      </c>
      <c r="F2190">
        <v>1</v>
      </c>
      <c r="G2190" s="142" t="s">
        <v>23</v>
      </c>
      <c r="H2190" s="142" t="s">
        <v>23</v>
      </c>
      <c r="I2190">
        <v>0</v>
      </c>
      <c r="J2190">
        <v>0</v>
      </c>
      <c r="K2190" s="142" t="s">
        <v>1674</v>
      </c>
      <c r="L2190">
        <v>0.60862624526200004</v>
      </c>
      <c r="M2190">
        <v>0</v>
      </c>
      <c r="N2190">
        <v>0.60048372793799998</v>
      </c>
      <c r="O2190">
        <v>0</v>
      </c>
    </row>
    <row r="2191" spans="1:15" x14ac:dyDescent="0.25">
      <c r="A2191" s="142" t="s">
        <v>694</v>
      </c>
      <c r="B2191" s="142" t="s">
        <v>51</v>
      </c>
      <c r="C2191" s="142" t="s">
        <v>85</v>
      </c>
      <c r="D2191">
        <v>150</v>
      </c>
      <c r="E2191">
        <v>760.1</v>
      </c>
      <c r="F2191">
        <v>1</v>
      </c>
      <c r="G2191" s="142" t="s">
        <v>23</v>
      </c>
      <c r="H2191" s="142" t="s">
        <v>23</v>
      </c>
      <c r="I2191">
        <v>0</v>
      </c>
      <c r="J2191">
        <v>0</v>
      </c>
      <c r="K2191" s="142" t="s">
        <v>1674</v>
      </c>
      <c r="L2191">
        <v>0.61296338719400001</v>
      </c>
      <c r="M2191">
        <v>0</v>
      </c>
      <c r="N2191">
        <v>0.61068958990599997</v>
      </c>
      <c r="O2191">
        <v>0</v>
      </c>
    </row>
    <row r="2192" spans="1:15" x14ac:dyDescent="0.25">
      <c r="A2192" s="142" t="s">
        <v>1911</v>
      </c>
      <c r="B2192" s="142" t="s">
        <v>51</v>
      </c>
      <c r="C2192" s="142" t="s">
        <v>85</v>
      </c>
      <c r="D2192">
        <v>760</v>
      </c>
      <c r="E2192">
        <v>1200</v>
      </c>
      <c r="F2192">
        <v>1</v>
      </c>
      <c r="G2192" s="142" t="s">
        <v>23</v>
      </c>
      <c r="H2192" s="142" t="s">
        <v>23</v>
      </c>
      <c r="I2192">
        <v>0</v>
      </c>
      <c r="J2192">
        <v>0</v>
      </c>
      <c r="K2192" s="142" t="s">
        <v>1674</v>
      </c>
      <c r="L2192">
        <v>0.63853594421000004</v>
      </c>
      <c r="M2192">
        <v>0</v>
      </c>
      <c r="N2192">
        <v>0.63635352849399995</v>
      </c>
      <c r="O2192">
        <v>0</v>
      </c>
    </row>
    <row r="2193" spans="1:15" x14ac:dyDescent="0.25">
      <c r="A2193" s="142" t="s">
        <v>697</v>
      </c>
      <c r="B2193" s="142" t="s">
        <v>51</v>
      </c>
      <c r="C2193" s="142" t="s">
        <v>85</v>
      </c>
      <c r="D2193">
        <v>1200</v>
      </c>
      <c r="E2193">
        <v>1200.0999999999999</v>
      </c>
      <c r="F2193">
        <v>1</v>
      </c>
      <c r="G2193" s="142" t="s">
        <v>23</v>
      </c>
      <c r="H2193" s="142" t="s">
        <v>23</v>
      </c>
      <c r="I2193">
        <v>0</v>
      </c>
      <c r="J2193">
        <v>0</v>
      </c>
      <c r="K2193" s="142" t="s">
        <v>1674</v>
      </c>
      <c r="L2193">
        <v>0.63853594421000004</v>
      </c>
      <c r="M2193">
        <v>0</v>
      </c>
      <c r="N2193">
        <v>0.63635352849399995</v>
      </c>
      <c r="O2193">
        <v>0</v>
      </c>
    </row>
    <row r="2194" spans="1:15" x14ac:dyDescent="0.25">
      <c r="A2194" s="142" t="s">
        <v>680</v>
      </c>
      <c r="B2194" s="142" t="s">
        <v>51</v>
      </c>
      <c r="C2194" s="142" t="s">
        <v>84</v>
      </c>
      <c r="D2194">
        <v>-200</v>
      </c>
      <c r="E2194">
        <v>-99.9</v>
      </c>
      <c r="F2194">
        <v>0.1</v>
      </c>
      <c r="G2194" s="142" t="s">
        <v>23</v>
      </c>
      <c r="H2194" s="142" t="s">
        <v>23</v>
      </c>
      <c r="I2194">
        <v>0</v>
      </c>
      <c r="J2194">
        <v>0</v>
      </c>
      <c r="K2194" s="142" t="s">
        <v>1674</v>
      </c>
      <c r="L2194">
        <v>0.39349449356900001</v>
      </c>
      <c r="M2194">
        <v>0</v>
      </c>
      <c r="N2194">
        <v>0.387672365056</v>
      </c>
      <c r="O2194">
        <v>0</v>
      </c>
    </row>
    <row r="2195" spans="1:15" x14ac:dyDescent="0.25">
      <c r="A2195" s="142" t="s">
        <v>682</v>
      </c>
      <c r="B2195" s="142" t="s">
        <v>51</v>
      </c>
      <c r="C2195" s="142" t="s">
        <v>84</v>
      </c>
      <c r="D2195">
        <v>-100</v>
      </c>
      <c r="E2195">
        <v>-24.9</v>
      </c>
      <c r="F2195">
        <v>0.1</v>
      </c>
      <c r="G2195" s="142" t="s">
        <v>23</v>
      </c>
      <c r="H2195" s="142" t="s">
        <v>23</v>
      </c>
      <c r="I2195">
        <v>0</v>
      </c>
      <c r="J2195">
        <v>0</v>
      </c>
      <c r="K2195" s="142" t="s">
        <v>1674</v>
      </c>
      <c r="L2195">
        <v>0.228694771229</v>
      </c>
      <c r="M2195">
        <v>0</v>
      </c>
      <c r="N2195">
        <v>0.21852515769700001</v>
      </c>
      <c r="O2195">
        <v>0</v>
      </c>
    </row>
    <row r="2196" spans="1:15" x14ac:dyDescent="0.25">
      <c r="A2196" s="142" t="s">
        <v>684</v>
      </c>
      <c r="B2196" s="142" t="s">
        <v>51</v>
      </c>
      <c r="C2196" s="142" t="s">
        <v>84</v>
      </c>
      <c r="D2196">
        <v>-25</v>
      </c>
      <c r="E2196">
        <v>120.1</v>
      </c>
      <c r="F2196">
        <v>0.1</v>
      </c>
      <c r="G2196" s="142" t="s">
        <v>23</v>
      </c>
      <c r="H2196" s="142" t="s">
        <v>23</v>
      </c>
      <c r="I2196">
        <v>0</v>
      </c>
      <c r="J2196">
        <v>0</v>
      </c>
      <c r="K2196" s="142" t="s">
        <v>1674</v>
      </c>
      <c r="L2196">
        <v>0.20427602708199999</v>
      </c>
      <c r="M2196">
        <v>0</v>
      </c>
      <c r="N2196">
        <v>0.19653324737899999</v>
      </c>
      <c r="O2196">
        <v>0</v>
      </c>
    </row>
    <row r="2197" spans="1:15" x14ac:dyDescent="0.25">
      <c r="A2197" s="142" t="s">
        <v>686</v>
      </c>
      <c r="B2197" s="142" t="s">
        <v>51</v>
      </c>
      <c r="C2197" s="142" t="s">
        <v>84</v>
      </c>
      <c r="D2197">
        <v>120</v>
      </c>
      <c r="E2197">
        <v>1000.1</v>
      </c>
      <c r="F2197">
        <v>0.1</v>
      </c>
      <c r="G2197" s="142" t="s">
        <v>23</v>
      </c>
      <c r="H2197" s="142" t="s">
        <v>23</v>
      </c>
      <c r="I2197">
        <v>0</v>
      </c>
      <c r="J2197">
        <v>0</v>
      </c>
      <c r="K2197" s="142" t="s">
        <v>1674</v>
      </c>
      <c r="L2197">
        <v>0.31026319266500002</v>
      </c>
      <c r="M2197">
        <v>0</v>
      </c>
      <c r="N2197">
        <v>0.30757852124899998</v>
      </c>
      <c r="O2197">
        <v>0</v>
      </c>
    </row>
    <row r="2198" spans="1:15" x14ac:dyDescent="0.25">
      <c r="A2198" s="142" t="s">
        <v>687</v>
      </c>
      <c r="B2198" s="142" t="s">
        <v>51</v>
      </c>
      <c r="C2198" s="142" t="s">
        <v>84</v>
      </c>
      <c r="D2198">
        <v>1000</v>
      </c>
      <c r="E2198">
        <v>1372</v>
      </c>
      <c r="F2198">
        <v>0.1</v>
      </c>
      <c r="G2198" s="142" t="s">
        <v>23</v>
      </c>
      <c r="H2198" s="142" t="s">
        <v>23</v>
      </c>
      <c r="I2198">
        <v>0</v>
      </c>
      <c r="J2198">
        <v>0</v>
      </c>
      <c r="K2198" s="142" t="s">
        <v>1674</v>
      </c>
      <c r="L2198">
        <v>0.46917668362699999</v>
      </c>
      <c r="M2198">
        <v>0</v>
      </c>
      <c r="N2198">
        <v>0.46671830934800002</v>
      </c>
      <c r="O2198">
        <v>0</v>
      </c>
    </row>
    <row r="2199" spans="1:15" x14ac:dyDescent="0.25">
      <c r="A2199" s="142" t="s">
        <v>689</v>
      </c>
      <c r="B2199" s="142" t="s">
        <v>51</v>
      </c>
      <c r="C2199" s="142" t="s">
        <v>84</v>
      </c>
      <c r="D2199">
        <v>1372</v>
      </c>
      <c r="E2199">
        <v>1372.1</v>
      </c>
      <c r="F2199">
        <v>0.1</v>
      </c>
      <c r="G2199" s="142" t="s">
        <v>23</v>
      </c>
      <c r="H2199" s="142" t="s">
        <v>23</v>
      </c>
      <c r="I2199">
        <v>0</v>
      </c>
      <c r="J2199">
        <v>0</v>
      </c>
      <c r="K2199" s="142" t="s">
        <v>1674</v>
      </c>
      <c r="L2199">
        <v>0.46917668362699999</v>
      </c>
      <c r="M2199">
        <v>0</v>
      </c>
      <c r="N2199">
        <v>0.46671830934800002</v>
      </c>
      <c r="O2199">
        <v>0</v>
      </c>
    </row>
    <row r="2200" spans="1:15" x14ac:dyDescent="0.25">
      <c r="A2200" s="142" t="s">
        <v>681</v>
      </c>
      <c r="B2200" s="142" t="s">
        <v>51</v>
      </c>
      <c r="C2200" s="142" t="s">
        <v>84</v>
      </c>
      <c r="D2200">
        <v>-200</v>
      </c>
      <c r="E2200">
        <v>-99.9</v>
      </c>
      <c r="F2200">
        <v>1</v>
      </c>
      <c r="G2200" s="142" t="s">
        <v>23</v>
      </c>
      <c r="H2200" s="142" t="s">
        <v>23</v>
      </c>
      <c r="I2200">
        <v>0</v>
      </c>
      <c r="J2200">
        <v>0</v>
      </c>
      <c r="K2200" s="142" t="s">
        <v>1674</v>
      </c>
      <c r="L2200">
        <v>0.70603263238400005</v>
      </c>
      <c r="M2200">
        <v>0</v>
      </c>
      <c r="N2200">
        <v>0.69302948178900003</v>
      </c>
      <c r="O2200">
        <v>0</v>
      </c>
    </row>
    <row r="2201" spans="1:15" x14ac:dyDescent="0.25">
      <c r="A2201" s="142" t="s">
        <v>683</v>
      </c>
      <c r="B2201" s="142" t="s">
        <v>51</v>
      </c>
      <c r="C2201" s="142" t="s">
        <v>84</v>
      </c>
      <c r="D2201">
        <v>-100</v>
      </c>
      <c r="E2201">
        <v>-24.9</v>
      </c>
      <c r="F2201">
        <v>1</v>
      </c>
      <c r="G2201" s="142" t="s">
        <v>23</v>
      </c>
      <c r="H2201" s="142" t="s">
        <v>23</v>
      </c>
      <c r="I2201">
        <v>0</v>
      </c>
      <c r="J2201">
        <v>0</v>
      </c>
      <c r="K2201" s="142" t="s">
        <v>1674</v>
      </c>
      <c r="L2201">
        <v>0.62924197246400004</v>
      </c>
      <c r="M2201">
        <v>0</v>
      </c>
      <c r="N2201">
        <v>0.61461633931000004</v>
      </c>
      <c r="O2201">
        <v>0</v>
      </c>
    </row>
    <row r="2202" spans="1:15" x14ac:dyDescent="0.25">
      <c r="A2202" s="142" t="s">
        <v>685</v>
      </c>
      <c r="B2202" s="142" t="s">
        <v>51</v>
      </c>
      <c r="C2202" s="142" t="s">
        <v>84</v>
      </c>
      <c r="D2202">
        <v>-25</v>
      </c>
      <c r="E2202">
        <v>120.1</v>
      </c>
      <c r="F2202">
        <v>1</v>
      </c>
      <c r="G2202" s="142" t="s">
        <v>23</v>
      </c>
      <c r="H2202" s="142" t="s">
        <v>23</v>
      </c>
      <c r="I2202">
        <v>0</v>
      </c>
      <c r="J2202">
        <v>0</v>
      </c>
      <c r="K2202" s="142" t="s">
        <v>1674</v>
      </c>
      <c r="L2202">
        <v>0.61728342678699999</v>
      </c>
      <c r="M2202">
        <v>0</v>
      </c>
      <c r="N2202">
        <v>0.60714521930499998</v>
      </c>
      <c r="O2202">
        <v>0</v>
      </c>
    </row>
    <row r="2203" spans="1:15" x14ac:dyDescent="0.25">
      <c r="A2203" s="142" t="s">
        <v>1912</v>
      </c>
      <c r="B2203" s="142" t="s">
        <v>51</v>
      </c>
      <c r="C2203" s="142" t="s">
        <v>84</v>
      </c>
      <c r="D2203">
        <v>120</v>
      </c>
      <c r="E2203">
        <v>1000.1</v>
      </c>
      <c r="F2203">
        <v>1</v>
      </c>
      <c r="G2203" s="142" t="s">
        <v>23</v>
      </c>
      <c r="H2203" s="142" t="s">
        <v>23</v>
      </c>
      <c r="I2203">
        <v>0</v>
      </c>
      <c r="J2203">
        <v>0</v>
      </c>
      <c r="K2203" s="142" t="s">
        <v>1674</v>
      </c>
      <c r="L2203">
        <v>0.65668817157799997</v>
      </c>
      <c r="M2203">
        <v>0</v>
      </c>
      <c r="N2203">
        <v>0.65161687112400002</v>
      </c>
      <c r="O2203">
        <v>0</v>
      </c>
    </row>
    <row r="2204" spans="1:15" x14ac:dyDescent="0.25">
      <c r="A2204" s="142" t="s">
        <v>688</v>
      </c>
      <c r="B2204" s="142" t="s">
        <v>51</v>
      </c>
      <c r="C2204" s="142" t="s">
        <v>84</v>
      </c>
      <c r="D2204">
        <v>1000</v>
      </c>
      <c r="E2204">
        <v>1372</v>
      </c>
      <c r="F2204">
        <v>1</v>
      </c>
      <c r="G2204" s="142" t="s">
        <v>23</v>
      </c>
      <c r="H2204" s="142" t="s">
        <v>23</v>
      </c>
      <c r="I2204">
        <v>0</v>
      </c>
      <c r="J2204">
        <v>0</v>
      </c>
      <c r="K2204" s="142" t="s">
        <v>1674</v>
      </c>
      <c r="L2204">
        <v>0.74634382223899998</v>
      </c>
      <c r="M2204">
        <v>0</v>
      </c>
      <c r="N2204">
        <v>0.74015267362899995</v>
      </c>
      <c r="O2204">
        <v>0</v>
      </c>
    </row>
    <row r="2205" spans="1:15" x14ac:dyDescent="0.25">
      <c r="A2205" s="142" t="s">
        <v>690</v>
      </c>
      <c r="B2205" s="142" t="s">
        <v>51</v>
      </c>
      <c r="C2205" s="142" t="s">
        <v>84</v>
      </c>
      <c r="D2205">
        <v>1372</v>
      </c>
      <c r="E2205">
        <v>1372.1</v>
      </c>
      <c r="F2205">
        <v>1</v>
      </c>
      <c r="G2205" s="142" t="s">
        <v>23</v>
      </c>
      <c r="H2205" s="142" t="s">
        <v>23</v>
      </c>
      <c r="I2205">
        <v>0</v>
      </c>
      <c r="J2205">
        <v>0</v>
      </c>
      <c r="K2205" s="142" t="s">
        <v>1674</v>
      </c>
      <c r="L2205">
        <v>0.74634382223899998</v>
      </c>
      <c r="M2205">
        <v>0</v>
      </c>
      <c r="N2205">
        <v>0.74015267362899995</v>
      </c>
      <c r="O2205">
        <v>0</v>
      </c>
    </row>
    <row r="2206" spans="1:15" x14ac:dyDescent="0.25">
      <c r="A2206" s="142" t="s">
        <v>668</v>
      </c>
      <c r="B2206" s="142" t="s">
        <v>51</v>
      </c>
      <c r="C2206" s="142" t="s">
        <v>87</v>
      </c>
      <c r="D2206">
        <v>-200</v>
      </c>
      <c r="E2206">
        <v>-99.9</v>
      </c>
      <c r="F2206">
        <v>0.1</v>
      </c>
      <c r="G2206" s="142" t="s">
        <v>23</v>
      </c>
      <c r="H2206" s="142" t="s">
        <v>23</v>
      </c>
      <c r="I2206">
        <v>0</v>
      </c>
      <c r="J2206">
        <v>0</v>
      </c>
      <c r="K2206" s="142" t="s">
        <v>1674</v>
      </c>
      <c r="L2206">
        <v>0.472008509711</v>
      </c>
      <c r="M2206">
        <v>0</v>
      </c>
      <c r="N2206">
        <v>0.46682217203499998</v>
      </c>
      <c r="O2206">
        <v>0</v>
      </c>
    </row>
    <row r="2207" spans="1:15" x14ac:dyDescent="0.25">
      <c r="A2207" s="142" t="s">
        <v>670</v>
      </c>
      <c r="B2207" s="142" t="s">
        <v>51</v>
      </c>
      <c r="C2207" s="142" t="s">
        <v>87</v>
      </c>
      <c r="D2207">
        <v>-100</v>
      </c>
      <c r="E2207">
        <v>-24.9</v>
      </c>
      <c r="F2207">
        <v>0.1</v>
      </c>
      <c r="G2207" s="142" t="s">
        <v>23</v>
      </c>
      <c r="H2207" s="142" t="s">
        <v>23</v>
      </c>
      <c r="I2207">
        <v>0</v>
      </c>
      <c r="J2207">
        <v>0</v>
      </c>
      <c r="K2207" s="142" t="s">
        <v>1674</v>
      </c>
      <c r="L2207">
        <v>0.26967921131</v>
      </c>
      <c r="M2207">
        <v>0</v>
      </c>
      <c r="N2207">
        <v>0.26325360397000003</v>
      </c>
      <c r="O2207">
        <v>0</v>
      </c>
    </row>
    <row r="2208" spans="1:15" x14ac:dyDescent="0.25">
      <c r="A2208" s="142" t="s">
        <v>672</v>
      </c>
      <c r="B2208" s="142" t="s">
        <v>51</v>
      </c>
      <c r="C2208" s="142" t="s">
        <v>87</v>
      </c>
      <c r="D2208">
        <v>-25</v>
      </c>
      <c r="E2208">
        <v>120.1</v>
      </c>
      <c r="F2208">
        <v>0.1</v>
      </c>
      <c r="G2208" s="142" t="s">
        <v>23</v>
      </c>
      <c r="H2208" s="142" t="s">
        <v>23</v>
      </c>
      <c r="I2208">
        <v>0</v>
      </c>
      <c r="J2208">
        <v>0</v>
      </c>
      <c r="K2208" s="142" t="s">
        <v>1674</v>
      </c>
      <c r="L2208">
        <v>0.23706428989299999</v>
      </c>
      <c r="M2208">
        <v>0</v>
      </c>
      <c r="N2208">
        <v>0.22972823190200001</v>
      </c>
      <c r="O2208">
        <v>0</v>
      </c>
    </row>
    <row r="2209" spans="1:15" x14ac:dyDescent="0.25">
      <c r="A2209" s="142" t="s">
        <v>674</v>
      </c>
      <c r="B2209" s="142" t="s">
        <v>51</v>
      </c>
      <c r="C2209" s="142" t="s">
        <v>87</v>
      </c>
      <c r="D2209">
        <v>120</v>
      </c>
      <c r="E2209">
        <v>410.1</v>
      </c>
      <c r="F2209">
        <v>0.1</v>
      </c>
      <c r="G2209" s="142" t="s">
        <v>23</v>
      </c>
      <c r="H2209" s="142" t="s">
        <v>23</v>
      </c>
      <c r="I2209">
        <v>0</v>
      </c>
      <c r="J2209">
        <v>0</v>
      </c>
      <c r="K2209" s="142" t="s">
        <v>1674</v>
      </c>
      <c r="L2209">
        <v>0.223034144712</v>
      </c>
      <c r="M2209">
        <v>0</v>
      </c>
      <c r="N2209">
        <v>0.218550883375</v>
      </c>
      <c r="O2209">
        <v>0</v>
      </c>
    </row>
    <row r="2210" spans="1:15" x14ac:dyDescent="0.25">
      <c r="A2210" s="142" t="s">
        <v>676</v>
      </c>
      <c r="B2210" s="142" t="s">
        <v>51</v>
      </c>
      <c r="C2210" s="142" t="s">
        <v>87</v>
      </c>
      <c r="D2210">
        <v>410</v>
      </c>
      <c r="E2210">
        <v>1300</v>
      </c>
      <c r="F2210">
        <v>0.1</v>
      </c>
      <c r="G2210" s="142" t="s">
        <v>23</v>
      </c>
      <c r="H2210" s="142" t="s">
        <v>23</v>
      </c>
      <c r="I2210">
        <v>0</v>
      </c>
      <c r="J2210">
        <v>0</v>
      </c>
      <c r="K2210" s="142" t="s">
        <v>1674</v>
      </c>
      <c r="L2210">
        <v>0.32196849222200002</v>
      </c>
      <c r="M2210">
        <v>0</v>
      </c>
      <c r="N2210">
        <v>0.31887923874099999</v>
      </c>
      <c r="O2210">
        <v>0</v>
      </c>
    </row>
    <row r="2211" spans="1:15" x14ac:dyDescent="0.25">
      <c r="A2211" s="142" t="s">
        <v>678</v>
      </c>
      <c r="B2211" s="142" t="s">
        <v>51</v>
      </c>
      <c r="C2211" s="142" t="s">
        <v>87</v>
      </c>
      <c r="D2211">
        <v>1300</v>
      </c>
      <c r="E2211">
        <v>1300.0999999999999</v>
      </c>
      <c r="F2211">
        <v>0.1</v>
      </c>
      <c r="G2211" s="142" t="s">
        <v>23</v>
      </c>
      <c r="H2211" s="142" t="s">
        <v>23</v>
      </c>
      <c r="I2211">
        <v>0</v>
      </c>
      <c r="J2211">
        <v>0</v>
      </c>
      <c r="K2211" s="142" t="s">
        <v>1674</v>
      </c>
      <c r="L2211">
        <v>0.32196849222200002</v>
      </c>
      <c r="M2211">
        <v>0</v>
      </c>
      <c r="N2211">
        <v>0.31887923874099999</v>
      </c>
      <c r="O2211">
        <v>0</v>
      </c>
    </row>
    <row r="2212" spans="1:15" x14ac:dyDescent="0.25">
      <c r="A2212" s="142" t="s">
        <v>669</v>
      </c>
      <c r="B2212" s="142" t="s">
        <v>51</v>
      </c>
      <c r="C2212" s="142" t="s">
        <v>87</v>
      </c>
      <c r="D2212">
        <v>-200</v>
      </c>
      <c r="E2212">
        <v>-99.9</v>
      </c>
      <c r="F2212">
        <v>1</v>
      </c>
      <c r="G2212" s="142" t="s">
        <v>23</v>
      </c>
      <c r="H2212" s="142" t="s">
        <v>23</v>
      </c>
      <c r="I2212">
        <v>0</v>
      </c>
      <c r="J2212">
        <v>0</v>
      </c>
      <c r="K2212" s="142" t="s">
        <v>1674</v>
      </c>
      <c r="L2212">
        <v>0.75325912675899998</v>
      </c>
      <c r="M2212">
        <v>0</v>
      </c>
      <c r="N2212">
        <v>0.74021817074700003</v>
      </c>
      <c r="O2212">
        <v>0</v>
      </c>
    </row>
    <row r="2213" spans="1:15" x14ac:dyDescent="0.25">
      <c r="A2213" s="142" t="s">
        <v>671</v>
      </c>
      <c r="B2213" s="142" t="s">
        <v>51</v>
      </c>
      <c r="C2213" s="142" t="s">
        <v>87</v>
      </c>
      <c r="D2213">
        <v>-100</v>
      </c>
      <c r="E2213">
        <v>-24.9</v>
      </c>
      <c r="F2213">
        <v>1</v>
      </c>
      <c r="G2213" s="142" t="s">
        <v>23</v>
      </c>
      <c r="H2213" s="142" t="s">
        <v>23</v>
      </c>
      <c r="I2213">
        <v>0</v>
      </c>
      <c r="J2213">
        <v>0</v>
      </c>
      <c r="K2213" s="142" t="s">
        <v>1674</v>
      </c>
      <c r="L2213">
        <v>0.64265086014200001</v>
      </c>
      <c r="M2213">
        <v>0</v>
      </c>
      <c r="N2213">
        <v>0.63190383762299995</v>
      </c>
      <c r="O2213">
        <v>0</v>
      </c>
    </row>
    <row r="2214" spans="1:15" x14ac:dyDescent="0.25">
      <c r="A2214" s="142" t="s">
        <v>673</v>
      </c>
      <c r="B2214" s="142" t="s">
        <v>51</v>
      </c>
      <c r="C2214" s="142" t="s">
        <v>87</v>
      </c>
      <c r="D2214">
        <v>-25</v>
      </c>
      <c r="E2214">
        <v>120.1</v>
      </c>
      <c r="F2214">
        <v>1</v>
      </c>
      <c r="G2214" s="142" t="s">
        <v>23</v>
      </c>
      <c r="H2214" s="142" t="s">
        <v>23</v>
      </c>
      <c r="I2214">
        <v>0</v>
      </c>
      <c r="J2214">
        <v>0</v>
      </c>
      <c r="K2214" s="142" t="s">
        <v>1674</v>
      </c>
      <c r="L2214">
        <v>0.62966080437899996</v>
      </c>
      <c r="M2214">
        <v>0</v>
      </c>
      <c r="N2214">
        <v>0.61868817714000002</v>
      </c>
      <c r="O2214">
        <v>0</v>
      </c>
    </row>
    <row r="2215" spans="1:15" x14ac:dyDescent="0.25">
      <c r="A2215" s="142" t="s">
        <v>675</v>
      </c>
      <c r="B2215" s="142" t="s">
        <v>51</v>
      </c>
      <c r="C2215" s="142" t="s">
        <v>87</v>
      </c>
      <c r="D2215">
        <v>120</v>
      </c>
      <c r="E2215">
        <v>410.1</v>
      </c>
      <c r="F2215">
        <v>1</v>
      </c>
      <c r="G2215" s="142" t="s">
        <v>23</v>
      </c>
      <c r="H2215" s="142" t="s">
        <v>23</v>
      </c>
      <c r="I2215">
        <v>0</v>
      </c>
      <c r="J2215">
        <v>0</v>
      </c>
      <c r="K2215" s="142" t="s">
        <v>1674</v>
      </c>
      <c r="L2215">
        <v>0.62103418018500001</v>
      </c>
      <c r="M2215">
        <v>0</v>
      </c>
      <c r="N2215">
        <v>0.61462548647399995</v>
      </c>
      <c r="O2215">
        <v>0</v>
      </c>
    </row>
    <row r="2216" spans="1:15" x14ac:dyDescent="0.25">
      <c r="A2216" s="142" t="s">
        <v>677</v>
      </c>
      <c r="B2216" s="142" t="s">
        <v>51</v>
      </c>
      <c r="C2216" s="142" t="s">
        <v>87</v>
      </c>
      <c r="D2216">
        <v>410</v>
      </c>
      <c r="E2216">
        <v>1300</v>
      </c>
      <c r="F2216">
        <v>1</v>
      </c>
      <c r="G2216" s="142" t="s">
        <v>23</v>
      </c>
      <c r="H2216" s="142" t="s">
        <v>23</v>
      </c>
      <c r="I2216">
        <v>0</v>
      </c>
      <c r="J2216">
        <v>0</v>
      </c>
      <c r="K2216" s="142" t="s">
        <v>1674</v>
      </c>
      <c r="L2216">
        <v>0.66302559018100005</v>
      </c>
      <c r="M2216">
        <v>0</v>
      </c>
      <c r="N2216">
        <v>0.65702661201799994</v>
      </c>
      <c r="O2216">
        <v>0</v>
      </c>
    </row>
    <row r="2217" spans="1:15" x14ac:dyDescent="0.25">
      <c r="A2217" s="142" t="s">
        <v>679</v>
      </c>
      <c r="B2217" s="142" t="s">
        <v>51</v>
      </c>
      <c r="C2217" s="142" t="s">
        <v>87</v>
      </c>
      <c r="D2217">
        <v>1300</v>
      </c>
      <c r="E2217">
        <v>1300.0999999999999</v>
      </c>
      <c r="F2217">
        <v>1</v>
      </c>
      <c r="G2217" s="142" t="s">
        <v>23</v>
      </c>
      <c r="H2217" s="142" t="s">
        <v>23</v>
      </c>
      <c r="I2217">
        <v>0</v>
      </c>
      <c r="J2217">
        <v>0</v>
      </c>
      <c r="K2217" s="142" t="s">
        <v>1674</v>
      </c>
      <c r="L2217">
        <v>0.66302559018100005</v>
      </c>
      <c r="M2217">
        <v>0</v>
      </c>
      <c r="N2217">
        <v>0.65702661201799994</v>
      </c>
      <c r="O2217">
        <v>0</v>
      </c>
    </row>
    <row r="2218" spans="1:15" x14ac:dyDescent="0.25">
      <c r="A2218" s="142" t="s">
        <v>657</v>
      </c>
      <c r="B2218" s="142" t="s">
        <v>51</v>
      </c>
      <c r="C2218" s="142" t="s">
        <v>91</v>
      </c>
      <c r="D2218">
        <v>-200</v>
      </c>
      <c r="E2218">
        <v>0.1</v>
      </c>
      <c r="F2218">
        <v>0.1</v>
      </c>
      <c r="G2218" s="142" t="s">
        <v>23</v>
      </c>
      <c r="H2218" s="142" t="s">
        <v>23</v>
      </c>
      <c r="I2218">
        <v>0</v>
      </c>
      <c r="J2218">
        <v>0</v>
      </c>
      <c r="K2218" s="142" t="s">
        <v>1674</v>
      </c>
      <c r="L2218">
        <v>0.13102279011699999</v>
      </c>
      <c r="M2218">
        <v>0</v>
      </c>
      <c r="N2218">
        <v>0.116270806391</v>
      </c>
      <c r="O2218">
        <v>0</v>
      </c>
    </row>
    <row r="2219" spans="1:15" x14ac:dyDescent="0.25">
      <c r="A2219" s="142" t="s">
        <v>659</v>
      </c>
      <c r="B2219" s="142" t="s">
        <v>51</v>
      </c>
      <c r="C2219" s="142" t="s">
        <v>91</v>
      </c>
      <c r="D2219">
        <v>0</v>
      </c>
      <c r="E2219">
        <v>100.1</v>
      </c>
      <c r="F2219">
        <v>0.1</v>
      </c>
      <c r="G2219" s="142" t="s">
        <v>23</v>
      </c>
      <c r="H2219" s="142" t="s">
        <v>23</v>
      </c>
      <c r="I2219">
        <v>0</v>
      </c>
      <c r="J2219">
        <v>0</v>
      </c>
      <c r="K2219" s="142" t="s">
        <v>1674</v>
      </c>
      <c r="L2219">
        <v>0.16571073656499999</v>
      </c>
      <c r="M2219">
        <v>0</v>
      </c>
      <c r="N2219">
        <v>0.154311299333</v>
      </c>
      <c r="O2219">
        <v>0</v>
      </c>
    </row>
    <row r="2220" spans="1:15" x14ac:dyDescent="0.25">
      <c r="A2220" s="142" t="s">
        <v>661</v>
      </c>
      <c r="B2220" s="142" t="s">
        <v>51</v>
      </c>
      <c r="C2220" s="142" t="s">
        <v>91</v>
      </c>
      <c r="D2220">
        <v>100</v>
      </c>
      <c r="E2220">
        <v>300.10000000000002</v>
      </c>
      <c r="F2220">
        <v>0.1</v>
      </c>
      <c r="G2220" s="142" t="s">
        <v>23</v>
      </c>
      <c r="H2220" s="142" t="s">
        <v>23</v>
      </c>
      <c r="I2220">
        <v>0</v>
      </c>
      <c r="J2220">
        <v>0</v>
      </c>
      <c r="K2220" s="142" t="s">
        <v>1674</v>
      </c>
      <c r="L2220">
        <v>0.16571073656499999</v>
      </c>
      <c r="M2220">
        <v>0</v>
      </c>
      <c r="N2220">
        <v>0.154311299333</v>
      </c>
      <c r="O2220">
        <v>0</v>
      </c>
    </row>
    <row r="2221" spans="1:15" x14ac:dyDescent="0.25">
      <c r="A2221" s="142" t="s">
        <v>1921</v>
      </c>
      <c r="B2221" s="142" t="s">
        <v>51</v>
      </c>
      <c r="C2221" s="142" t="s">
        <v>91</v>
      </c>
      <c r="D2221">
        <v>300</v>
      </c>
      <c r="E2221">
        <v>400.1</v>
      </c>
      <c r="F2221">
        <v>0.1</v>
      </c>
      <c r="G2221" s="142" t="s">
        <v>23</v>
      </c>
      <c r="H2221" s="142" t="s">
        <v>23</v>
      </c>
      <c r="I2221">
        <v>0</v>
      </c>
      <c r="J2221">
        <v>0</v>
      </c>
      <c r="K2221" s="142" t="s">
        <v>1674</v>
      </c>
      <c r="L2221">
        <v>0.22203263630799999</v>
      </c>
      <c r="M2221">
        <v>0</v>
      </c>
      <c r="N2221">
        <v>0.21365959017700001</v>
      </c>
      <c r="O2221">
        <v>0</v>
      </c>
    </row>
    <row r="2222" spans="1:15" x14ac:dyDescent="0.25">
      <c r="A2222" s="142" t="s">
        <v>663</v>
      </c>
      <c r="B2222" s="142" t="s">
        <v>51</v>
      </c>
      <c r="C2222" s="142" t="s">
        <v>91</v>
      </c>
      <c r="D2222">
        <v>400</v>
      </c>
      <c r="E2222">
        <v>630.1</v>
      </c>
      <c r="F2222">
        <v>0.1</v>
      </c>
      <c r="G2222" s="142" t="s">
        <v>23</v>
      </c>
      <c r="H2222" s="142" t="s">
        <v>23</v>
      </c>
      <c r="I2222">
        <v>0</v>
      </c>
      <c r="J2222">
        <v>0</v>
      </c>
      <c r="K2222" s="142" t="s">
        <v>1674</v>
      </c>
      <c r="L2222">
        <v>0.259995114769</v>
      </c>
      <c r="M2222">
        <v>0</v>
      </c>
      <c r="N2222">
        <v>0.25288216345300002</v>
      </c>
      <c r="O2222">
        <v>0</v>
      </c>
    </row>
    <row r="2223" spans="1:15" x14ac:dyDescent="0.25">
      <c r="A2223" s="142" t="s">
        <v>1922</v>
      </c>
      <c r="B2223" s="142" t="s">
        <v>51</v>
      </c>
      <c r="C2223" s="142" t="s">
        <v>91</v>
      </c>
      <c r="D2223">
        <v>630</v>
      </c>
      <c r="E2223">
        <v>800</v>
      </c>
      <c r="F2223">
        <v>0.1</v>
      </c>
      <c r="G2223" s="142" t="s">
        <v>23</v>
      </c>
      <c r="H2223" s="142" t="s">
        <v>23</v>
      </c>
      <c r="I2223">
        <v>0</v>
      </c>
      <c r="J2223">
        <v>0</v>
      </c>
      <c r="K2223" s="142" t="s">
        <v>1674</v>
      </c>
      <c r="L2223">
        <v>0.43496643841799998</v>
      </c>
      <c r="M2223">
        <v>0</v>
      </c>
      <c r="N2223">
        <v>0.43075251762299999</v>
      </c>
      <c r="O2223">
        <v>0</v>
      </c>
    </row>
    <row r="2224" spans="1:15" x14ac:dyDescent="0.25">
      <c r="A2224" s="142" t="s">
        <v>666</v>
      </c>
      <c r="B2224" s="142" t="s">
        <v>51</v>
      </c>
      <c r="C2224" s="142" t="s">
        <v>91</v>
      </c>
      <c r="D2224">
        <v>800</v>
      </c>
      <c r="E2224">
        <v>800.1</v>
      </c>
      <c r="F2224">
        <v>0.1</v>
      </c>
      <c r="G2224" s="142" t="s">
        <v>23</v>
      </c>
      <c r="H2224" s="142" t="s">
        <v>23</v>
      </c>
      <c r="I2224">
        <v>0</v>
      </c>
      <c r="J2224">
        <v>0</v>
      </c>
      <c r="K2224" s="142" t="s">
        <v>1674</v>
      </c>
      <c r="L2224">
        <v>0.43496643841799998</v>
      </c>
      <c r="M2224">
        <v>0</v>
      </c>
      <c r="N2224">
        <v>0.43075251762299999</v>
      </c>
      <c r="O2224">
        <v>0</v>
      </c>
    </row>
    <row r="2225" spans="1:15" x14ac:dyDescent="0.25">
      <c r="A2225" s="142" t="s">
        <v>658</v>
      </c>
      <c r="B2225" s="142" t="s">
        <v>51</v>
      </c>
      <c r="C2225" s="142" t="s">
        <v>91</v>
      </c>
      <c r="D2225">
        <v>-200</v>
      </c>
      <c r="E2225">
        <v>0.1</v>
      </c>
      <c r="F2225">
        <v>1</v>
      </c>
      <c r="G2225" s="142" t="s">
        <v>23</v>
      </c>
      <c r="H2225" s="142" t="s">
        <v>23</v>
      </c>
      <c r="I2225">
        <v>0</v>
      </c>
      <c r="J2225">
        <v>0</v>
      </c>
      <c r="K2225" s="142" t="s">
        <v>1674</v>
      </c>
      <c r="L2225">
        <v>0.60095134778799997</v>
      </c>
      <c r="M2225">
        <v>0</v>
      </c>
      <c r="N2225">
        <v>0.58868517729199998</v>
      </c>
      <c r="O2225">
        <v>0</v>
      </c>
    </row>
    <row r="2226" spans="1:15" x14ac:dyDescent="0.25">
      <c r="A2226" s="142" t="s">
        <v>660</v>
      </c>
      <c r="B2226" s="142" t="s">
        <v>51</v>
      </c>
      <c r="C2226" s="142" t="s">
        <v>91</v>
      </c>
      <c r="D2226">
        <v>0</v>
      </c>
      <c r="E2226">
        <v>100.1</v>
      </c>
      <c r="F2226">
        <v>1</v>
      </c>
      <c r="G2226" s="142" t="s">
        <v>23</v>
      </c>
      <c r="H2226" s="142" t="s">
        <v>23</v>
      </c>
      <c r="I2226">
        <v>0</v>
      </c>
      <c r="J2226">
        <v>0</v>
      </c>
      <c r="K2226" s="142" t="s">
        <v>1674</v>
      </c>
      <c r="L2226">
        <v>0.60945516577600001</v>
      </c>
      <c r="M2226">
        <v>0</v>
      </c>
      <c r="N2226">
        <v>0.59736363686399996</v>
      </c>
      <c r="O2226">
        <v>0</v>
      </c>
    </row>
    <row r="2227" spans="1:15" x14ac:dyDescent="0.25">
      <c r="A2227" s="142" t="s">
        <v>1923</v>
      </c>
      <c r="B2227" s="142" t="s">
        <v>51</v>
      </c>
      <c r="C2227" s="142" t="s">
        <v>91</v>
      </c>
      <c r="D2227">
        <v>100</v>
      </c>
      <c r="E2227">
        <v>300.10000000000002</v>
      </c>
      <c r="F2227">
        <v>1</v>
      </c>
      <c r="G2227" s="142" t="s">
        <v>23</v>
      </c>
      <c r="H2227" s="142" t="s">
        <v>23</v>
      </c>
      <c r="I2227">
        <v>0</v>
      </c>
      <c r="J2227">
        <v>0</v>
      </c>
      <c r="K2227" s="142" t="s">
        <v>1674</v>
      </c>
      <c r="L2227">
        <v>0.60945516577600001</v>
      </c>
      <c r="M2227">
        <v>0</v>
      </c>
      <c r="N2227">
        <v>0.59736363686399996</v>
      </c>
      <c r="O2227">
        <v>0</v>
      </c>
    </row>
    <row r="2228" spans="1:15" x14ac:dyDescent="0.25">
      <c r="A2228" s="142" t="s">
        <v>662</v>
      </c>
      <c r="B2228" s="142" t="s">
        <v>51</v>
      </c>
      <c r="C2228" s="142" t="s">
        <v>91</v>
      </c>
      <c r="D2228">
        <v>300</v>
      </c>
      <c r="E2228">
        <v>400.1</v>
      </c>
      <c r="F2228">
        <v>1</v>
      </c>
      <c r="G2228" s="142" t="s">
        <v>23</v>
      </c>
      <c r="H2228" s="142" t="s">
        <v>23</v>
      </c>
      <c r="I2228">
        <v>0</v>
      </c>
      <c r="J2228">
        <v>0</v>
      </c>
      <c r="K2228" s="142" t="s">
        <v>1674</v>
      </c>
      <c r="L2228">
        <v>0.62711565318100004</v>
      </c>
      <c r="M2228">
        <v>0</v>
      </c>
      <c r="N2228">
        <v>0.61537123593800003</v>
      </c>
      <c r="O2228">
        <v>0</v>
      </c>
    </row>
    <row r="2229" spans="1:15" x14ac:dyDescent="0.25">
      <c r="A2229" s="142" t="s">
        <v>664</v>
      </c>
      <c r="B2229" s="142" t="s">
        <v>51</v>
      </c>
      <c r="C2229" s="142" t="s">
        <v>91</v>
      </c>
      <c r="D2229">
        <v>400</v>
      </c>
      <c r="E2229">
        <v>630.1</v>
      </c>
      <c r="F2229">
        <v>1</v>
      </c>
      <c r="G2229" s="142" t="s">
        <v>23</v>
      </c>
      <c r="H2229" s="142" t="s">
        <v>23</v>
      </c>
      <c r="I2229">
        <v>0</v>
      </c>
      <c r="J2229">
        <v>0</v>
      </c>
      <c r="K2229" s="142" t="s">
        <v>1674</v>
      </c>
      <c r="L2229">
        <v>0.64153956275699997</v>
      </c>
      <c r="M2229">
        <v>0</v>
      </c>
      <c r="N2229">
        <v>0.63006406510599999</v>
      </c>
      <c r="O2229">
        <v>0</v>
      </c>
    </row>
    <row r="2230" spans="1:15" x14ac:dyDescent="0.25">
      <c r="A2230" s="142" t="s">
        <v>665</v>
      </c>
      <c r="B2230" s="142" t="s">
        <v>51</v>
      </c>
      <c r="C2230" s="142" t="s">
        <v>91</v>
      </c>
      <c r="D2230">
        <v>630</v>
      </c>
      <c r="E2230">
        <v>800</v>
      </c>
      <c r="F2230">
        <v>1</v>
      </c>
      <c r="G2230" s="142" t="s">
        <v>23</v>
      </c>
      <c r="H2230" s="142" t="s">
        <v>23</v>
      </c>
      <c r="I2230">
        <v>0</v>
      </c>
      <c r="J2230">
        <v>0</v>
      </c>
      <c r="K2230" s="142" t="s">
        <v>1674</v>
      </c>
      <c r="L2230">
        <v>0.73018583485900002</v>
      </c>
      <c r="M2230">
        <v>0</v>
      </c>
      <c r="N2230">
        <v>0.72012434272400005</v>
      </c>
      <c r="O2230">
        <v>0</v>
      </c>
    </row>
    <row r="2231" spans="1:15" x14ac:dyDescent="0.25">
      <c r="A2231" s="142" t="s">
        <v>667</v>
      </c>
      <c r="B2231" s="142" t="s">
        <v>51</v>
      </c>
      <c r="C2231" s="142" t="s">
        <v>91</v>
      </c>
      <c r="D2231">
        <v>800</v>
      </c>
      <c r="E2231">
        <v>800.1</v>
      </c>
      <c r="F2231">
        <v>1</v>
      </c>
      <c r="G2231" s="142" t="s">
        <v>23</v>
      </c>
      <c r="H2231" s="142" t="s">
        <v>23</v>
      </c>
      <c r="I2231">
        <v>0</v>
      </c>
      <c r="J2231">
        <v>0</v>
      </c>
      <c r="K2231" s="142" t="s">
        <v>1674</v>
      </c>
      <c r="L2231">
        <v>0.73018583485900002</v>
      </c>
      <c r="M2231">
        <v>0</v>
      </c>
      <c r="N2231">
        <v>0.72012434272400005</v>
      </c>
      <c r="O2231">
        <v>0</v>
      </c>
    </row>
    <row r="2232" spans="1:15" x14ac:dyDescent="0.25">
      <c r="A2232" s="142" t="s">
        <v>645</v>
      </c>
      <c r="B2232" s="142" t="s">
        <v>51</v>
      </c>
      <c r="C2232" s="142" t="s">
        <v>92</v>
      </c>
      <c r="D2232">
        <v>-200</v>
      </c>
      <c r="E2232">
        <v>0.1</v>
      </c>
      <c r="F2232">
        <v>0.1</v>
      </c>
      <c r="G2232" s="142" t="s">
        <v>23</v>
      </c>
      <c r="H2232" s="142" t="s">
        <v>23</v>
      </c>
      <c r="I2232">
        <v>0</v>
      </c>
      <c r="J2232">
        <v>0</v>
      </c>
      <c r="K2232" s="142" t="s">
        <v>1674</v>
      </c>
      <c r="L2232">
        <v>0.10309361867400001</v>
      </c>
      <c r="M2232">
        <v>0</v>
      </c>
      <c r="N2232">
        <v>8.3547729473000001E-2</v>
      </c>
      <c r="O2232">
        <v>0</v>
      </c>
    </row>
    <row r="2233" spans="1:15" x14ac:dyDescent="0.25">
      <c r="A2233" s="142" t="s">
        <v>647</v>
      </c>
      <c r="B2233" s="142" t="s">
        <v>51</v>
      </c>
      <c r="C2233" s="142" t="s">
        <v>92</v>
      </c>
      <c r="D2233">
        <v>0</v>
      </c>
      <c r="E2233">
        <v>100.1</v>
      </c>
      <c r="F2233">
        <v>0.1</v>
      </c>
      <c r="G2233" s="142" t="s">
        <v>23</v>
      </c>
      <c r="H2233" s="142" t="s">
        <v>23</v>
      </c>
      <c r="I2233">
        <v>0</v>
      </c>
      <c r="J2233">
        <v>0</v>
      </c>
      <c r="K2233" s="142" t="s">
        <v>1674</v>
      </c>
      <c r="L2233">
        <v>0.117069307668</v>
      </c>
      <c r="M2233">
        <v>0</v>
      </c>
      <c r="N2233">
        <v>0.100285351307</v>
      </c>
      <c r="O2233">
        <v>0</v>
      </c>
    </row>
    <row r="2234" spans="1:15" x14ac:dyDescent="0.25">
      <c r="A2234" s="142" t="s">
        <v>1924</v>
      </c>
      <c r="B2234" s="142" t="s">
        <v>51</v>
      </c>
      <c r="C2234" s="142" t="s">
        <v>92</v>
      </c>
      <c r="D2234">
        <v>100</v>
      </c>
      <c r="E2234">
        <v>260.10000000000002</v>
      </c>
      <c r="F2234">
        <v>0.1</v>
      </c>
      <c r="G2234" s="142" t="s">
        <v>23</v>
      </c>
      <c r="H2234" s="142" t="s">
        <v>23</v>
      </c>
      <c r="I2234">
        <v>0</v>
      </c>
      <c r="J2234">
        <v>0</v>
      </c>
      <c r="K2234" s="142" t="s">
        <v>1674</v>
      </c>
      <c r="L2234">
        <v>0.117069307668</v>
      </c>
      <c r="M2234">
        <v>0</v>
      </c>
      <c r="N2234">
        <v>0.100285351307</v>
      </c>
      <c r="O2234">
        <v>0</v>
      </c>
    </row>
    <row r="2235" spans="1:15" x14ac:dyDescent="0.25">
      <c r="A2235" s="142" t="s">
        <v>650</v>
      </c>
      <c r="B2235" s="142" t="s">
        <v>51</v>
      </c>
      <c r="C2235" s="142" t="s">
        <v>92</v>
      </c>
      <c r="D2235">
        <v>260</v>
      </c>
      <c r="E2235">
        <v>300.10000000000002</v>
      </c>
      <c r="F2235">
        <v>0.1</v>
      </c>
      <c r="G2235" s="142" t="s">
        <v>23</v>
      </c>
      <c r="H2235" s="142" t="s">
        <v>23</v>
      </c>
      <c r="I2235">
        <v>0</v>
      </c>
      <c r="J2235">
        <v>0</v>
      </c>
      <c r="K2235" s="142" t="s">
        <v>1674</v>
      </c>
      <c r="L2235">
        <v>0.153282174534</v>
      </c>
      <c r="M2235">
        <v>0</v>
      </c>
      <c r="N2235">
        <v>0.140880637133</v>
      </c>
      <c r="O2235">
        <v>0</v>
      </c>
    </row>
    <row r="2236" spans="1:15" x14ac:dyDescent="0.25">
      <c r="A2236" s="142" t="s">
        <v>651</v>
      </c>
      <c r="B2236" s="142" t="s">
        <v>51</v>
      </c>
      <c r="C2236" s="142" t="s">
        <v>92</v>
      </c>
      <c r="D2236">
        <v>300</v>
      </c>
      <c r="E2236">
        <v>400.1</v>
      </c>
      <c r="F2236">
        <v>0.1</v>
      </c>
      <c r="G2236" s="142" t="s">
        <v>23</v>
      </c>
      <c r="H2236" s="142" t="s">
        <v>23</v>
      </c>
      <c r="I2236">
        <v>0</v>
      </c>
      <c r="J2236">
        <v>0</v>
      </c>
      <c r="K2236" s="142" t="s">
        <v>1674</v>
      </c>
      <c r="L2236">
        <v>0.16999556343</v>
      </c>
      <c r="M2236">
        <v>0</v>
      </c>
      <c r="N2236">
        <v>0.15890380887399999</v>
      </c>
      <c r="O2236">
        <v>0</v>
      </c>
    </row>
    <row r="2237" spans="1:15" x14ac:dyDescent="0.25">
      <c r="A2237" s="142" t="s">
        <v>652</v>
      </c>
      <c r="B2237" s="142" t="s">
        <v>51</v>
      </c>
      <c r="C2237" s="142" t="s">
        <v>92</v>
      </c>
      <c r="D2237">
        <v>400</v>
      </c>
      <c r="E2237">
        <v>600.1</v>
      </c>
      <c r="F2237">
        <v>0.1</v>
      </c>
      <c r="G2237" s="142" t="s">
        <v>23</v>
      </c>
      <c r="H2237" s="142" t="s">
        <v>23</v>
      </c>
      <c r="I2237">
        <v>0</v>
      </c>
      <c r="J2237">
        <v>0</v>
      </c>
      <c r="K2237" s="142" t="s">
        <v>1674</v>
      </c>
      <c r="L2237">
        <v>0.17203912259699999</v>
      </c>
      <c r="M2237">
        <v>0</v>
      </c>
      <c r="N2237">
        <v>0.16108813920599999</v>
      </c>
      <c r="O2237">
        <v>0</v>
      </c>
    </row>
    <row r="2238" spans="1:15" x14ac:dyDescent="0.25">
      <c r="A2238" s="142" t="s">
        <v>653</v>
      </c>
      <c r="B2238" s="142" t="s">
        <v>51</v>
      </c>
      <c r="C2238" s="142" t="s">
        <v>92</v>
      </c>
      <c r="D2238">
        <v>600</v>
      </c>
      <c r="E2238">
        <v>630</v>
      </c>
      <c r="F2238">
        <v>0.1</v>
      </c>
      <c r="G2238" s="142" t="s">
        <v>23</v>
      </c>
      <c r="H2238" s="142" t="s">
        <v>23</v>
      </c>
      <c r="I2238">
        <v>0</v>
      </c>
      <c r="J2238">
        <v>0</v>
      </c>
      <c r="K2238" s="142" t="s">
        <v>1674</v>
      </c>
      <c r="L2238">
        <v>0.47301427738700003</v>
      </c>
      <c r="M2238">
        <v>0</v>
      </c>
      <c r="N2238">
        <v>0.46914223376399999</v>
      </c>
      <c r="O2238">
        <v>0</v>
      </c>
    </row>
    <row r="2239" spans="1:15" x14ac:dyDescent="0.25">
      <c r="A2239" s="142" t="s">
        <v>655</v>
      </c>
      <c r="B2239" s="142" t="s">
        <v>51</v>
      </c>
      <c r="C2239" s="142" t="s">
        <v>92</v>
      </c>
      <c r="D2239">
        <v>630</v>
      </c>
      <c r="E2239">
        <v>630.1</v>
      </c>
      <c r="F2239">
        <v>0.1</v>
      </c>
      <c r="G2239" s="142" t="s">
        <v>23</v>
      </c>
      <c r="H2239" s="142" t="s">
        <v>23</v>
      </c>
      <c r="I2239">
        <v>0</v>
      </c>
      <c r="J2239">
        <v>0</v>
      </c>
      <c r="K2239" s="142" t="s">
        <v>1674</v>
      </c>
      <c r="L2239">
        <v>0.47301427738700003</v>
      </c>
      <c r="M2239">
        <v>0</v>
      </c>
      <c r="N2239">
        <v>0.46914223376399999</v>
      </c>
      <c r="O2239">
        <v>0</v>
      </c>
    </row>
    <row r="2240" spans="1:15" x14ac:dyDescent="0.25">
      <c r="A2240" s="142" t="s">
        <v>646</v>
      </c>
      <c r="B2240" s="142" t="s">
        <v>51</v>
      </c>
      <c r="C2240" s="142" t="s">
        <v>92</v>
      </c>
      <c r="D2240">
        <v>-200</v>
      </c>
      <c r="E2240">
        <v>0.1</v>
      </c>
      <c r="F2240">
        <v>1</v>
      </c>
      <c r="G2240" s="142" t="s">
        <v>23</v>
      </c>
      <c r="H2240" s="142" t="s">
        <v>23</v>
      </c>
      <c r="I2240">
        <v>0</v>
      </c>
      <c r="J2240">
        <v>0</v>
      </c>
      <c r="K2240" s="142" t="s">
        <v>1674</v>
      </c>
      <c r="L2240">
        <v>0.59548622577699994</v>
      </c>
      <c r="M2240">
        <v>0</v>
      </c>
      <c r="N2240">
        <v>0.58310510257199999</v>
      </c>
      <c r="O2240">
        <v>0</v>
      </c>
    </row>
    <row r="2241" spans="1:15" x14ac:dyDescent="0.25">
      <c r="A2241" s="142" t="s">
        <v>648</v>
      </c>
      <c r="B2241" s="142" t="s">
        <v>51</v>
      </c>
      <c r="C2241" s="142" t="s">
        <v>92</v>
      </c>
      <c r="D2241">
        <v>0</v>
      </c>
      <c r="E2241">
        <v>100.1</v>
      </c>
      <c r="F2241">
        <v>1</v>
      </c>
      <c r="G2241" s="142" t="s">
        <v>23</v>
      </c>
      <c r="H2241" s="142" t="s">
        <v>23</v>
      </c>
      <c r="I2241">
        <v>0</v>
      </c>
      <c r="J2241">
        <v>0</v>
      </c>
      <c r="K2241" s="142" t="s">
        <v>1674</v>
      </c>
      <c r="L2241">
        <v>0.59806418859199995</v>
      </c>
      <c r="M2241">
        <v>0</v>
      </c>
      <c r="N2241">
        <v>0.58573756003199995</v>
      </c>
      <c r="O2241">
        <v>0</v>
      </c>
    </row>
    <row r="2242" spans="1:15" x14ac:dyDescent="0.25">
      <c r="A2242" s="142" t="s">
        <v>649</v>
      </c>
      <c r="B2242" s="142" t="s">
        <v>51</v>
      </c>
      <c r="C2242" s="142" t="s">
        <v>92</v>
      </c>
      <c r="D2242">
        <v>100</v>
      </c>
      <c r="E2242">
        <v>260.10000000000002</v>
      </c>
      <c r="F2242">
        <v>1</v>
      </c>
      <c r="G2242" s="142" t="s">
        <v>23</v>
      </c>
      <c r="H2242" s="142" t="s">
        <v>23</v>
      </c>
      <c r="I2242">
        <v>0</v>
      </c>
      <c r="J2242">
        <v>0</v>
      </c>
      <c r="K2242" s="142" t="s">
        <v>1674</v>
      </c>
      <c r="L2242">
        <v>0.59806418859199995</v>
      </c>
      <c r="M2242">
        <v>0</v>
      </c>
      <c r="N2242">
        <v>0.58573756003199995</v>
      </c>
      <c r="O2242">
        <v>0</v>
      </c>
    </row>
    <row r="2243" spans="1:15" x14ac:dyDescent="0.25">
      <c r="A2243" s="142" t="s">
        <v>1925</v>
      </c>
      <c r="B2243" s="142" t="s">
        <v>51</v>
      </c>
      <c r="C2243" s="142" t="s">
        <v>92</v>
      </c>
      <c r="D2243">
        <v>260</v>
      </c>
      <c r="E2243">
        <v>300.10000000000002</v>
      </c>
      <c r="F2243">
        <v>1</v>
      </c>
      <c r="G2243" s="142" t="s">
        <v>23</v>
      </c>
      <c r="H2243" s="142" t="s">
        <v>23</v>
      </c>
      <c r="I2243">
        <v>0</v>
      </c>
      <c r="J2243">
        <v>0</v>
      </c>
      <c r="K2243" s="142" t="s">
        <v>1674</v>
      </c>
      <c r="L2243">
        <v>0.60619384350899996</v>
      </c>
      <c r="M2243">
        <v>0</v>
      </c>
      <c r="N2243">
        <v>0.59403593448900005</v>
      </c>
      <c r="O2243">
        <v>0</v>
      </c>
    </row>
    <row r="2244" spans="1:15" x14ac:dyDescent="0.25">
      <c r="A2244" s="142" t="s">
        <v>1926</v>
      </c>
      <c r="B2244" s="142" t="s">
        <v>51</v>
      </c>
      <c r="C2244" s="142" t="s">
        <v>92</v>
      </c>
      <c r="D2244">
        <v>300</v>
      </c>
      <c r="E2244">
        <v>400.1</v>
      </c>
      <c r="F2244">
        <v>1</v>
      </c>
      <c r="G2244" s="142" t="s">
        <v>23</v>
      </c>
      <c r="H2244" s="142" t="s">
        <v>23</v>
      </c>
      <c r="I2244">
        <v>0</v>
      </c>
      <c r="J2244">
        <v>0</v>
      </c>
      <c r="K2244" s="142" t="s">
        <v>1674</v>
      </c>
      <c r="L2244">
        <v>0.61063413142699996</v>
      </c>
      <c r="M2244">
        <v>0</v>
      </c>
      <c r="N2244">
        <v>0.59856641905399999</v>
      </c>
      <c r="O2244">
        <v>0</v>
      </c>
    </row>
    <row r="2245" spans="1:15" x14ac:dyDescent="0.25">
      <c r="A2245" s="142" t="s">
        <v>1927</v>
      </c>
      <c r="B2245" s="142" t="s">
        <v>51</v>
      </c>
      <c r="C2245" s="142" t="s">
        <v>92</v>
      </c>
      <c r="D2245">
        <v>400</v>
      </c>
      <c r="E2245">
        <v>600.1</v>
      </c>
      <c r="F2245">
        <v>1</v>
      </c>
      <c r="G2245" s="142" t="s">
        <v>23</v>
      </c>
      <c r="H2245" s="142" t="s">
        <v>23</v>
      </c>
      <c r="I2245">
        <v>0</v>
      </c>
      <c r="J2245">
        <v>0</v>
      </c>
      <c r="K2245" s="142" t="s">
        <v>1674</v>
      </c>
      <c r="L2245">
        <v>0.61120619318000002</v>
      </c>
      <c r="M2245">
        <v>0</v>
      </c>
      <c r="N2245">
        <v>0.59915000303599997</v>
      </c>
      <c r="O2245">
        <v>0</v>
      </c>
    </row>
    <row r="2246" spans="1:15" x14ac:dyDescent="0.25">
      <c r="A2246" s="142" t="s">
        <v>654</v>
      </c>
      <c r="B2246" s="142" t="s">
        <v>51</v>
      </c>
      <c r="C2246" s="142" t="s">
        <v>92</v>
      </c>
      <c r="D2246">
        <v>600</v>
      </c>
      <c r="E2246">
        <v>630</v>
      </c>
      <c r="F2246">
        <v>1</v>
      </c>
      <c r="G2246" s="142" t="s">
        <v>23</v>
      </c>
      <c r="H2246" s="142" t="s">
        <v>23</v>
      </c>
      <c r="I2246">
        <v>0</v>
      </c>
      <c r="J2246">
        <v>0</v>
      </c>
      <c r="K2246" s="142" t="s">
        <v>1674</v>
      </c>
      <c r="L2246">
        <v>0.75347067460600003</v>
      </c>
      <c r="M2246">
        <v>0</v>
      </c>
      <c r="N2246">
        <v>0.74372425874500003</v>
      </c>
      <c r="O2246">
        <v>0</v>
      </c>
    </row>
    <row r="2247" spans="1:15" x14ac:dyDescent="0.25">
      <c r="A2247" s="142" t="s">
        <v>656</v>
      </c>
      <c r="B2247" s="142" t="s">
        <v>51</v>
      </c>
      <c r="C2247" s="142" t="s">
        <v>92</v>
      </c>
      <c r="D2247">
        <v>630</v>
      </c>
      <c r="E2247">
        <v>630.1</v>
      </c>
      <c r="F2247">
        <v>1</v>
      </c>
      <c r="G2247" s="142" t="s">
        <v>23</v>
      </c>
      <c r="H2247" s="142" t="s">
        <v>23</v>
      </c>
      <c r="I2247">
        <v>0</v>
      </c>
      <c r="J2247">
        <v>0</v>
      </c>
      <c r="K2247" s="142" t="s">
        <v>1674</v>
      </c>
      <c r="L2247">
        <v>0.75347067460600003</v>
      </c>
      <c r="M2247">
        <v>0</v>
      </c>
      <c r="N2247">
        <v>0.74372425874500003</v>
      </c>
      <c r="O2247">
        <v>0</v>
      </c>
    </row>
    <row r="2248" spans="1:15" x14ac:dyDescent="0.25">
      <c r="A2248" s="142" t="s">
        <v>637</v>
      </c>
      <c r="B2248" s="142" t="s">
        <v>51</v>
      </c>
      <c r="C2248" s="142" t="s">
        <v>88</v>
      </c>
      <c r="D2248">
        <v>0</v>
      </c>
      <c r="E2248">
        <v>250.1</v>
      </c>
      <c r="F2248">
        <v>0.1</v>
      </c>
      <c r="G2248" s="142" t="s">
        <v>23</v>
      </c>
      <c r="H2248" s="142" t="s">
        <v>23</v>
      </c>
      <c r="I2248">
        <v>0</v>
      </c>
      <c r="J2248">
        <v>0</v>
      </c>
      <c r="K2248" s="142" t="s">
        <v>1674</v>
      </c>
      <c r="L2248">
        <v>0.66952654329799999</v>
      </c>
      <c r="M2248">
        <v>0</v>
      </c>
      <c r="N2248">
        <v>0.66592057015899997</v>
      </c>
      <c r="O2248">
        <v>0</v>
      </c>
    </row>
    <row r="2249" spans="1:15" x14ac:dyDescent="0.25">
      <c r="A2249" s="142" t="s">
        <v>639</v>
      </c>
      <c r="B2249" s="142" t="s">
        <v>51</v>
      </c>
      <c r="C2249" s="142" t="s">
        <v>88</v>
      </c>
      <c r="D2249">
        <v>250</v>
      </c>
      <c r="E2249">
        <v>400.1</v>
      </c>
      <c r="F2249">
        <v>0.1</v>
      </c>
      <c r="G2249" s="142" t="s">
        <v>23</v>
      </c>
      <c r="H2249" s="142" t="s">
        <v>23</v>
      </c>
      <c r="I2249">
        <v>0</v>
      </c>
      <c r="J2249">
        <v>0</v>
      </c>
      <c r="K2249" s="142" t="s">
        <v>1674</v>
      </c>
      <c r="L2249">
        <v>0.41654469294300001</v>
      </c>
      <c r="M2249">
        <v>0</v>
      </c>
      <c r="N2249">
        <v>0.41163452967399999</v>
      </c>
      <c r="O2249">
        <v>0</v>
      </c>
    </row>
    <row r="2250" spans="1:15" x14ac:dyDescent="0.25">
      <c r="A2250" s="142" t="s">
        <v>641</v>
      </c>
      <c r="B2250" s="142" t="s">
        <v>51</v>
      </c>
      <c r="C2250" s="142" t="s">
        <v>88</v>
      </c>
      <c r="D2250">
        <v>400</v>
      </c>
      <c r="E2250">
        <v>1000.1</v>
      </c>
      <c r="F2250">
        <v>0.1</v>
      </c>
      <c r="G2250" s="142" t="s">
        <v>23</v>
      </c>
      <c r="H2250" s="142" t="s">
        <v>23</v>
      </c>
      <c r="I2250">
        <v>0</v>
      </c>
      <c r="J2250">
        <v>0</v>
      </c>
      <c r="K2250" s="142" t="s">
        <v>1674</v>
      </c>
      <c r="L2250">
        <v>0.39416654581499999</v>
      </c>
      <c r="M2250">
        <v>0</v>
      </c>
      <c r="N2250">
        <v>0.38897399738400001</v>
      </c>
      <c r="O2250">
        <v>0</v>
      </c>
    </row>
    <row r="2251" spans="1:15" x14ac:dyDescent="0.25">
      <c r="A2251" s="142" t="s">
        <v>643</v>
      </c>
      <c r="B2251" s="142" t="s">
        <v>51</v>
      </c>
      <c r="C2251" s="142" t="s">
        <v>88</v>
      </c>
      <c r="D2251">
        <v>1000</v>
      </c>
      <c r="E2251">
        <v>1767</v>
      </c>
      <c r="F2251">
        <v>0.1</v>
      </c>
      <c r="G2251" s="142" t="s">
        <v>23</v>
      </c>
      <c r="H2251" s="142" t="s">
        <v>23</v>
      </c>
      <c r="I2251">
        <v>0</v>
      </c>
      <c r="J2251">
        <v>0</v>
      </c>
      <c r="K2251" s="142" t="s">
        <v>1674</v>
      </c>
      <c r="L2251">
        <v>0.53997687564100005</v>
      </c>
      <c r="M2251">
        <v>0</v>
      </c>
      <c r="N2251">
        <v>0.53619821990399996</v>
      </c>
      <c r="O2251">
        <v>0</v>
      </c>
    </row>
    <row r="2252" spans="1:15" x14ac:dyDescent="0.25">
      <c r="A2252" s="142" t="s">
        <v>644</v>
      </c>
      <c r="B2252" s="142" t="s">
        <v>51</v>
      </c>
      <c r="C2252" s="142" t="s">
        <v>88</v>
      </c>
      <c r="D2252">
        <v>1767</v>
      </c>
      <c r="E2252">
        <v>1767.1</v>
      </c>
      <c r="F2252">
        <v>0.1</v>
      </c>
      <c r="G2252" s="142" t="s">
        <v>23</v>
      </c>
      <c r="H2252" s="142" t="s">
        <v>23</v>
      </c>
      <c r="I2252">
        <v>0</v>
      </c>
      <c r="J2252">
        <v>0</v>
      </c>
      <c r="K2252" s="142" t="s">
        <v>1674</v>
      </c>
      <c r="L2252">
        <v>0.53997687564100005</v>
      </c>
      <c r="M2252">
        <v>0</v>
      </c>
      <c r="N2252">
        <v>0.53619821990399996</v>
      </c>
      <c r="O2252">
        <v>0</v>
      </c>
    </row>
    <row r="2253" spans="1:15" x14ac:dyDescent="0.25">
      <c r="A2253" s="142" t="s">
        <v>638</v>
      </c>
      <c r="B2253" s="142" t="s">
        <v>51</v>
      </c>
      <c r="C2253" s="142" t="s">
        <v>88</v>
      </c>
      <c r="D2253">
        <v>0</v>
      </c>
      <c r="E2253">
        <v>250.1</v>
      </c>
      <c r="F2253">
        <v>1</v>
      </c>
      <c r="G2253" s="142" t="s">
        <v>23</v>
      </c>
      <c r="H2253" s="142" t="s">
        <v>23</v>
      </c>
      <c r="I2253">
        <v>0</v>
      </c>
      <c r="J2253">
        <v>0</v>
      </c>
      <c r="K2253" s="142" t="s">
        <v>1674</v>
      </c>
      <c r="L2253">
        <v>0.89034406351700002</v>
      </c>
      <c r="M2253">
        <v>0</v>
      </c>
      <c r="N2253">
        <v>0.87946017861000003</v>
      </c>
      <c r="O2253">
        <v>0</v>
      </c>
    </row>
    <row r="2254" spans="1:15" x14ac:dyDescent="0.25">
      <c r="A2254" s="142" t="s">
        <v>640</v>
      </c>
      <c r="B2254" s="142" t="s">
        <v>51</v>
      </c>
      <c r="C2254" s="142" t="s">
        <v>88</v>
      </c>
      <c r="D2254">
        <v>250</v>
      </c>
      <c r="E2254">
        <v>400.1</v>
      </c>
      <c r="F2254">
        <v>1</v>
      </c>
      <c r="G2254" s="142" t="s">
        <v>23</v>
      </c>
      <c r="H2254" s="142" t="s">
        <v>23</v>
      </c>
      <c r="I2254">
        <v>0</v>
      </c>
      <c r="J2254">
        <v>0</v>
      </c>
      <c r="K2254" s="142" t="s">
        <v>1674</v>
      </c>
      <c r="L2254">
        <v>0.71812879542300001</v>
      </c>
      <c r="M2254">
        <v>0</v>
      </c>
      <c r="N2254">
        <v>0.706712803068</v>
      </c>
      <c r="O2254">
        <v>0</v>
      </c>
    </row>
    <row r="2255" spans="1:15" x14ac:dyDescent="0.25">
      <c r="A2255" s="142" t="s">
        <v>642</v>
      </c>
      <c r="B2255" s="142" t="s">
        <v>51</v>
      </c>
      <c r="C2255" s="142" t="s">
        <v>88</v>
      </c>
      <c r="D2255">
        <v>400</v>
      </c>
      <c r="E2255">
        <v>1000.1</v>
      </c>
      <c r="F2255">
        <v>1</v>
      </c>
      <c r="G2255" s="142" t="s">
        <v>23</v>
      </c>
      <c r="H2255" s="142" t="s">
        <v>23</v>
      </c>
      <c r="I2255">
        <v>0</v>
      </c>
      <c r="J2255">
        <v>0</v>
      </c>
      <c r="K2255" s="142" t="s">
        <v>1674</v>
      </c>
      <c r="L2255">
        <v>0.70538411623499997</v>
      </c>
      <c r="M2255">
        <v>0</v>
      </c>
      <c r="N2255">
        <v>0.69375843824799999</v>
      </c>
      <c r="O2255">
        <v>0</v>
      </c>
    </row>
    <row r="2256" spans="1:15" x14ac:dyDescent="0.25">
      <c r="A2256" s="142" t="s">
        <v>1913</v>
      </c>
      <c r="B2256" s="142" t="s">
        <v>51</v>
      </c>
      <c r="C2256" s="142" t="s">
        <v>88</v>
      </c>
      <c r="D2256">
        <v>1000</v>
      </c>
      <c r="E2256">
        <v>1767</v>
      </c>
      <c r="F2256">
        <v>1</v>
      </c>
      <c r="G2256" s="142" t="s">
        <v>23</v>
      </c>
      <c r="H2256" s="142" t="s">
        <v>23</v>
      </c>
      <c r="I2256">
        <v>0</v>
      </c>
      <c r="J2256">
        <v>0</v>
      </c>
      <c r="K2256" s="142" t="s">
        <v>1674</v>
      </c>
      <c r="L2256">
        <v>0.79609956150200001</v>
      </c>
      <c r="M2256">
        <v>0</v>
      </c>
      <c r="N2256">
        <v>0.78581711041900004</v>
      </c>
      <c r="O2256">
        <v>0</v>
      </c>
    </row>
    <row r="2257" spans="1:15" x14ac:dyDescent="0.25">
      <c r="A2257" s="142" t="s">
        <v>1914</v>
      </c>
      <c r="B2257" s="142" t="s">
        <v>51</v>
      </c>
      <c r="C2257" s="142" t="s">
        <v>88</v>
      </c>
      <c r="D2257">
        <v>1767</v>
      </c>
      <c r="E2257">
        <v>1767.1</v>
      </c>
      <c r="F2257">
        <v>1</v>
      </c>
      <c r="G2257" s="142" t="s">
        <v>23</v>
      </c>
      <c r="H2257" s="142" t="s">
        <v>23</v>
      </c>
      <c r="I2257">
        <v>0</v>
      </c>
      <c r="J2257">
        <v>0</v>
      </c>
      <c r="K2257" s="142" t="s">
        <v>1674</v>
      </c>
      <c r="L2257">
        <v>0.79609956150200001</v>
      </c>
      <c r="M2257">
        <v>0</v>
      </c>
      <c r="N2257">
        <v>0.78581711041900004</v>
      </c>
      <c r="O2257">
        <v>0</v>
      </c>
    </row>
    <row r="2258" spans="1:15" x14ac:dyDescent="0.25">
      <c r="A2258" s="142" t="s">
        <v>629</v>
      </c>
      <c r="B2258" s="142" t="s">
        <v>51</v>
      </c>
      <c r="C2258" s="142" t="s">
        <v>89</v>
      </c>
      <c r="D2258">
        <v>0</v>
      </c>
      <c r="E2258">
        <v>250.1</v>
      </c>
      <c r="F2258">
        <v>0.1</v>
      </c>
      <c r="G2258" s="142" t="s">
        <v>23</v>
      </c>
      <c r="H2258" s="142" t="s">
        <v>23</v>
      </c>
      <c r="I2258">
        <v>0</v>
      </c>
      <c r="J2258">
        <v>0</v>
      </c>
      <c r="K2258" s="142" t="s">
        <v>1674</v>
      </c>
      <c r="L2258">
        <v>0.55632015286400005</v>
      </c>
      <c r="M2258">
        <v>0</v>
      </c>
      <c r="N2258">
        <v>0.55207204158000001</v>
      </c>
      <c r="O2258">
        <v>0</v>
      </c>
    </row>
    <row r="2259" spans="1:15" x14ac:dyDescent="0.25">
      <c r="A2259" s="142" t="s">
        <v>631</v>
      </c>
      <c r="B2259" s="142" t="s">
        <v>51</v>
      </c>
      <c r="C2259" s="142" t="s">
        <v>89</v>
      </c>
      <c r="D2259">
        <v>250</v>
      </c>
      <c r="E2259">
        <v>1000.1</v>
      </c>
      <c r="F2259">
        <v>0.1</v>
      </c>
      <c r="G2259" s="142" t="s">
        <v>23</v>
      </c>
      <c r="H2259" s="142" t="s">
        <v>23</v>
      </c>
      <c r="I2259">
        <v>0</v>
      </c>
      <c r="J2259">
        <v>0</v>
      </c>
      <c r="K2259" s="142" t="s">
        <v>1674</v>
      </c>
      <c r="L2259">
        <v>0.42875922732400001</v>
      </c>
      <c r="M2259">
        <v>0</v>
      </c>
      <c r="N2259">
        <v>0.42399054213100001</v>
      </c>
      <c r="O2259">
        <v>0</v>
      </c>
    </row>
    <row r="2260" spans="1:15" x14ac:dyDescent="0.25">
      <c r="A2260" s="142" t="s">
        <v>633</v>
      </c>
      <c r="B2260" s="142" t="s">
        <v>51</v>
      </c>
      <c r="C2260" s="142" t="s">
        <v>89</v>
      </c>
      <c r="D2260">
        <v>1000</v>
      </c>
      <c r="E2260">
        <v>1400.1</v>
      </c>
      <c r="F2260">
        <v>0.1</v>
      </c>
      <c r="G2260" s="142" t="s">
        <v>23</v>
      </c>
      <c r="H2260" s="142" t="s">
        <v>23</v>
      </c>
      <c r="I2260">
        <v>0</v>
      </c>
      <c r="J2260">
        <v>0</v>
      </c>
      <c r="K2260" s="142" t="s">
        <v>1674</v>
      </c>
      <c r="L2260">
        <v>0.43860007760199998</v>
      </c>
      <c r="M2260">
        <v>0</v>
      </c>
      <c r="N2260">
        <v>0.433939549792</v>
      </c>
      <c r="O2260">
        <v>0</v>
      </c>
    </row>
    <row r="2261" spans="1:15" x14ac:dyDescent="0.25">
      <c r="A2261" s="142" t="s">
        <v>1915</v>
      </c>
      <c r="B2261" s="142" t="s">
        <v>51</v>
      </c>
      <c r="C2261" s="142" t="s">
        <v>89</v>
      </c>
      <c r="D2261">
        <v>1400</v>
      </c>
      <c r="E2261">
        <v>1767</v>
      </c>
      <c r="F2261">
        <v>0.1</v>
      </c>
      <c r="G2261" s="142" t="s">
        <v>23</v>
      </c>
      <c r="H2261" s="142" t="s">
        <v>23</v>
      </c>
      <c r="I2261">
        <v>0</v>
      </c>
      <c r="J2261">
        <v>0</v>
      </c>
      <c r="K2261" s="142" t="s">
        <v>1674</v>
      </c>
      <c r="L2261">
        <v>0.54056503056100003</v>
      </c>
      <c r="M2261">
        <v>0</v>
      </c>
      <c r="N2261">
        <v>0.53679051506800002</v>
      </c>
      <c r="O2261">
        <v>0</v>
      </c>
    </row>
    <row r="2262" spans="1:15" x14ac:dyDescent="0.25">
      <c r="A2262" s="142" t="s">
        <v>635</v>
      </c>
      <c r="B2262" s="142" t="s">
        <v>51</v>
      </c>
      <c r="C2262" s="142" t="s">
        <v>89</v>
      </c>
      <c r="D2262">
        <v>1767</v>
      </c>
      <c r="E2262">
        <v>1767.1</v>
      </c>
      <c r="F2262">
        <v>0.1</v>
      </c>
      <c r="G2262" s="142" t="s">
        <v>23</v>
      </c>
      <c r="H2262" s="142" t="s">
        <v>23</v>
      </c>
      <c r="I2262">
        <v>0</v>
      </c>
      <c r="J2262">
        <v>0</v>
      </c>
      <c r="K2262" s="142" t="s">
        <v>1674</v>
      </c>
      <c r="L2262">
        <v>0.54056503056100003</v>
      </c>
      <c r="M2262">
        <v>0</v>
      </c>
      <c r="N2262">
        <v>0.53679051506800002</v>
      </c>
      <c r="O2262">
        <v>0</v>
      </c>
    </row>
    <row r="2263" spans="1:15" x14ac:dyDescent="0.25">
      <c r="A2263" s="142" t="s">
        <v>630</v>
      </c>
      <c r="B2263" s="142" t="s">
        <v>51</v>
      </c>
      <c r="C2263" s="142" t="s">
        <v>89</v>
      </c>
      <c r="D2263">
        <v>0</v>
      </c>
      <c r="E2263">
        <v>250.1</v>
      </c>
      <c r="F2263">
        <v>1</v>
      </c>
      <c r="G2263" s="142" t="s">
        <v>23</v>
      </c>
      <c r="H2263" s="142" t="s">
        <v>23</v>
      </c>
      <c r="I2263">
        <v>0</v>
      </c>
      <c r="J2263">
        <v>0</v>
      </c>
      <c r="K2263" s="142" t="s">
        <v>1674</v>
      </c>
      <c r="L2263">
        <v>0.80846634602</v>
      </c>
      <c r="M2263">
        <v>0</v>
      </c>
      <c r="N2263">
        <v>0.79673304129699996</v>
      </c>
      <c r="O2263">
        <v>0</v>
      </c>
    </row>
    <row r="2264" spans="1:15" x14ac:dyDescent="0.25">
      <c r="A2264" s="142" t="s">
        <v>632</v>
      </c>
      <c r="B2264" s="142" t="s">
        <v>51</v>
      </c>
      <c r="C2264" s="142" t="s">
        <v>89</v>
      </c>
      <c r="D2264">
        <v>250</v>
      </c>
      <c r="E2264">
        <v>1000.1</v>
      </c>
      <c r="F2264">
        <v>1</v>
      </c>
      <c r="G2264" s="142" t="s">
        <v>23</v>
      </c>
      <c r="H2264" s="142" t="s">
        <v>23</v>
      </c>
      <c r="I2264">
        <v>0</v>
      </c>
      <c r="J2264">
        <v>0</v>
      </c>
      <c r="K2264" s="142" t="s">
        <v>1674</v>
      </c>
      <c r="L2264">
        <v>0.72528198696199997</v>
      </c>
      <c r="M2264">
        <v>0</v>
      </c>
      <c r="N2264">
        <v>0.71398037775300005</v>
      </c>
      <c r="O2264">
        <v>0</v>
      </c>
    </row>
    <row r="2265" spans="1:15" x14ac:dyDescent="0.25">
      <c r="A2265" s="142" t="s">
        <v>1916</v>
      </c>
      <c r="B2265" s="142" t="s">
        <v>51</v>
      </c>
      <c r="C2265" s="142" t="s">
        <v>89</v>
      </c>
      <c r="D2265">
        <v>1000</v>
      </c>
      <c r="E2265">
        <v>1400.1</v>
      </c>
      <c r="F2265">
        <v>1</v>
      </c>
      <c r="G2265" s="142" t="s">
        <v>23</v>
      </c>
      <c r="H2265" s="142" t="s">
        <v>23</v>
      </c>
      <c r="I2265">
        <v>0</v>
      </c>
      <c r="J2265">
        <v>0</v>
      </c>
      <c r="K2265" s="142" t="s">
        <v>1674</v>
      </c>
      <c r="L2265">
        <v>0.73114260829800004</v>
      </c>
      <c r="M2265">
        <v>0</v>
      </c>
      <c r="N2265">
        <v>0.71993300582300002</v>
      </c>
      <c r="O2265">
        <v>0</v>
      </c>
    </row>
    <row r="2266" spans="1:15" x14ac:dyDescent="0.25">
      <c r="A2266" s="142" t="s">
        <v>634</v>
      </c>
      <c r="B2266" s="142" t="s">
        <v>51</v>
      </c>
      <c r="C2266" s="142" t="s">
        <v>89</v>
      </c>
      <c r="D2266">
        <v>1400</v>
      </c>
      <c r="E2266">
        <v>1767</v>
      </c>
      <c r="F2266">
        <v>1</v>
      </c>
      <c r="G2266" s="142" t="s">
        <v>23</v>
      </c>
      <c r="H2266" s="142" t="s">
        <v>23</v>
      </c>
      <c r="I2266">
        <v>0</v>
      </c>
      <c r="J2266">
        <v>0</v>
      </c>
      <c r="K2266" s="142" t="s">
        <v>1674</v>
      </c>
      <c r="L2266">
        <v>0.79649861133699995</v>
      </c>
      <c r="M2266">
        <v>0</v>
      </c>
      <c r="N2266">
        <v>0.78622137917199997</v>
      </c>
      <c r="O2266">
        <v>0</v>
      </c>
    </row>
    <row r="2267" spans="1:15" x14ac:dyDescent="0.25">
      <c r="A2267" s="142" t="s">
        <v>636</v>
      </c>
      <c r="B2267" s="142" t="s">
        <v>51</v>
      </c>
      <c r="C2267" s="142" t="s">
        <v>89</v>
      </c>
      <c r="D2267">
        <v>1767</v>
      </c>
      <c r="E2267">
        <v>1767.1</v>
      </c>
      <c r="F2267">
        <v>1</v>
      </c>
      <c r="G2267" s="142" t="s">
        <v>23</v>
      </c>
      <c r="H2267" s="142" t="s">
        <v>23</v>
      </c>
      <c r="I2267">
        <v>0</v>
      </c>
      <c r="J2267">
        <v>0</v>
      </c>
      <c r="K2267" s="142" t="s">
        <v>1674</v>
      </c>
      <c r="L2267">
        <v>0.79649861133699995</v>
      </c>
      <c r="M2267">
        <v>0</v>
      </c>
      <c r="N2267">
        <v>0.78622137917199997</v>
      </c>
      <c r="O2267">
        <v>0</v>
      </c>
    </row>
    <row r="2268" spans="1:15" x14ac:dyDescent="0.25">
      <c r="A2268" s="142" t="s">
        <v>1917</v>
      </c>
      <c r="B2268" s="142" t="s">
        <v>51</v>
      </c>
      <c r="C2268" s="142" t="s">
        <v>90</v>
      </c>
      <c r="D2268">
        <v>-250</v>
      </c>
      <c r="E2268">
        <v>-149.9</v>
      </c>
      <c r="F2268">
        <v>0.1</v>
      </c>
      <c r="G2268" s="142" t="s">
        <v>23</v>
      </c>
      <c r="H2268" s="142" t="s">
        <v>23</v>
      </c>
      <c r="I2268">
        <v>0</v>
      </c>
      <c r="J2268">
        <v>0</v>
      </c>
      <c r="K2268" s="142" t="s">
        <v>1674</v>
      </c>
      <c r="L2268">
        <v>0.55536480170400004</v>
      </c>
      <c r="M2268">
        <v>0</v>
      </c>
      <c r="N2268">
        <v>0.550575079267</v>
      </c>
      <c r="O2268">
        <v>0</v>
      </c>
    </row>
    <row r="2269" spans="1:15" x14ac:dyDescent="0.25">
      <c r="A2269" s="142" t="s">
        <v>624</v>
      </c>
      <c r="B2269" s="142" t="s">
        <v>51</v>
      </c>
      <c r="C2269" s="142" t="s">
        <v>90</v>
      </c>
      <c r="D2269">
        <v>-150</v>
      </c>
      <c r="E2269">
        <v>0.1</v>
      </c>
      <c r="F2269">
        <v>0.1</v>
      </c>
      <c r="G2269" s="142" t="s">
        <v>23</v>
      </c>
      <c r="H2269" s="142" t="s">
        <v>23</v>
      </c>
      <c r="I2269">
        <v>0</v>
      </c>
      <c r="J2269">
        <v>0</v>
      </c>
      <c r="K2269" s="142" t="s">
        <v>1674</v>
      </c>
      <c r="L2269">
        <v>0.29307530930999998</v>
      </c>
      <c r="M2269">
        <v>0</v>
      </c>
      <c r="N2269">
        <v>0.28549186088799999</v>
      </c>
      <c r="O2269">
        <v>0</v>
      </c>
    </row>
    <row r="2270" spans="1:15" x14ac:dyDescent="0.25">
      <c r="A2270" s="142" t="s">
        <v>1918</v>
      </c>
      <c r="B2270" s="142" t="s">
        <v>51</v>
      </c>
      <c r="C2270" s="142" t="s">
        <v>90</v>
      </c>
      <c r="D2270">
        <v>0</v>
      </c>
      <c r="E2270">
        <v>120.1</v>
      </c>
      <c r="F2270">
        <v>0.1</v>
      </c>
      <c r="G2270" s="142" t="s">
        <v>23</v>
      </c>
      <c r="H2270" s="142" t="s">
        <v>23</v>
      </c>
      <c r="I2270">
        <v>0</v>
      </c>
      <c r="J2270">
        <v>0</v>
      </c>
      <c r="K2270" s="142" t="s">
        <v>1674</v>
      </c>
      <c r="L2270">
        <v>0.20014928119600001</v>
      </c>
      <c r="M2270">
        <v>0</v>
      </c>
      <c r="N2270">
        <v>0.19650714703899999</v>
      </c>
      <c r="O2270">
        <v>0</v>
      </c>
    </row>
    <row r="2271" spans="1:15" x14ac:dyDescent="0.25">
      <c r="A2271" s="142" t="s">
        <v>1919</v>
      </c>
      <c r="B2271" s="142" t="s">
        <v>51</v>
      </c>
      <c r="C2271" s="142" t="s">
        <v>90</v>
      </c>
      <c r="D2271">
        <v>120</v>
      </c>
      <c r="E2271">
        <v>400</v>
      </c>
      <c r="F2271">
        <v>0.1</v>
      </c>
      <c r="G2271" s="142" t="s">
        <v>23</v>
      </c>
      <c r="H2271" s="142" t="s">
        <v>23</v>
      </c>
      <c r="I2271">
        <v>0</v>
      </c>
      <c r="J2271">
        <v>0</v>
      </c>
      <c r="K2271" s="142" t="s">
        <v>1674</v>
      </c>
      <c r="L2271">
        <v>0.178953679645</v>
      </c>
      <c r="M2271">
        <v>0</v>
      </c>
      <c r="N2271">
        <v>0.174870648001</v>
      </c>
      <c r="O2271">
        <v>0</v>
      </c>
    </row>
    <row r="2272" spans="1:15" x14ac:dyDescent="0.25">
      <c r="A2272" s="142" t="s">
        <v>1920</v>
      </c>
      <c r="B2272" s="142" t="s">
        <v>51</v>
      </c>
      <c r="C2272" s="142" t="s">
        <v>90</v>
      </c>
      <c r="D2272">
        <v>400</v>
      </c>
      <c r="E2272">
        <v>400.1</v>
      </c>
      <c r="F2272">
        <v>0.1</v>
      </c>
      <c r="G2272" s="142" t="s">
        <v>23</v>
      </c>
      <c r="H2272" s="142" t="s">
        <v>23</v>
      </c>
      <c r="I2272">
        <v>0</v>
      </c>
      <c r="J2272">
        <v>0</v>
      </c>
      <c r="K2272" s="142" t="s">
        <v>1674</v>
      </c>
      <c r="L2272">
        <v>0.178953679645</v>
      </c>
      <c r="M2272">
        <v>0</v>
      </c>
      <c r="N2272">
        <v>0.174870648001</v>
      </c>
      <c r="O2272">
        <v>0</v>
      </c>
    </row>
    <row r="2273" spans="1:15" x14ac:dyDescent="0.25">
      <c r="A2273" s="142" t="s">
        <v>623</v>
      </c>
      <c r="B2273" s="142" t="s">
        <v>51</v>
      </c>
      <c r="C2273" s="142" t="s">
        <v>90</v>
      </c>
      <c r="D2273">
        <v>-250</v>
      </c>
      <c r="E2273">
        <v>-149.9</v>
      </c>
      <c r="F2273">
        <v>1</v>
      </c>
      <c r="G2273" s="142" t="s">
        <v>23</v>
      </c>
      <c r="H2273" s="142" t="s">
        <v>23</v>
      </c>
      <c r="I2273">
        <v>0</v>
      </c>
      <c r="J2273">
        <v>0</v>
      </c>
      <c r="K2273" s="142" t="s">
        <v>1674</v>
      </c>
      <c r="L2273">
        <v>0.80890141436200003</v>
      </c>
      <c r="M2273">
        <v>0</v>
      </c>
      <c r="N2273">
        <v>0.795696498616</v>
      </c>
      <c r="O2273">
        <v>0</v>
      </c>
    </row>
    <row r="2274" spans="1:15" x14ac:dyDescent="0.25">
      <c r="A2274" s="142" t="s">
        <v>625</v>
      </c>
      <c r="B2274" s="142" t="s">
        <v>51</v>
      </c>
      <c r="C2274" s="142" t="s">
        <v>90</v>
      </c>
      <c r="D2274">
        <v>-150</v>
      </c>
      <c r="E2274">
        <v>0.1</v>
      </c>
      <c r="F2274">
        <v>1</v>
      </c>
      <c r="G2274" s="142" t="s">
        <v>23</v>
      </c>
      <c r="H2274" s="142" t="s">
        <v>23</v>
      </c>
      <c r="I2274">
        <v>0</v>
      </c>
      <c r="J2274">
        <v>0</v>
      </c>
      <c r="K2274" s="142" t="s">
        <v>1674</v>
      </c>
      <c r="L2274">
        <v>0.65502346508200004</v>
      </c>
      <c r="M2274">
        <v>0</v>
      </c>
      <c r="N2274">
        <v>0.64148702452499995</v>
      </c>
      <c r="O2274">
        <v>0</v>
      </c>
    </row>
    <row r="2275" spans="1:15" x14ac:dyDescent="0.25">
      <c r="A2275" s="142" t="s">
        <v>626</v>
      </c>
      <c r="B2275" s="142" t="s">
        <v>51</v>
      </c>
      <c r="C2275" s="142" t="s">
        <v>90</v>
      </c>
      <c r="D2275">
        <v>0</v>
      </c>
      <c r="E2275">
        <v>120.1</v>
      </c>
      <c r="F2275">
        <v>1</v>
      </c>
      <c r="G2275" s="142" t="s">
        <v>23</v>
      </c>
      <c r="H2275" s="142" t="s">
        <v>23</v>
      </c>
      <c r="I2275">
        <v>0</v>
      </c>
      <c r="J2275">
        <v>0</v>
      </c>
      <c r="K2275" s="142" t="s">
        <v>1674</v>
      </c>
      <c r="L2275">
        <v>0.611877244667</v>
      </c>
      <c r="M2275">
        <v>0</v>
      </c>
      <c r="N2275">
        <v>0.60713677111300002</v>
      </c>
      <c r="O2275">
        <v>0</v>
      </c>
    </row>
    <row r="2276" spans="1:15" x14ac:dyDescent="0.25">
      <c r="A2276" s="142" t="s">
        <v>627</v>
      </c>
      <c r="B2276" s="142" t="s">
        <v>51</v>
      </c>
      <c r="C2276" s="142" t="s">
        <v>90</v>
      </c>
      <c r="D2276">
        <v>120</v>
      </c>
      <c r="E2276">
        <v>400</v>
      </c>
      <c r="F2276">
        <v>1</v>
      </c>
      <c r="G2276" s="142" t="s">
        <v>23</v>
      </c>
      <c r="H2276" s="142" t="s">
        <v>23</v>
      </c>
      <c r="I2276">
        <v>0</v>
      </c>
      <c r="J2276">
        <v>0</v>
      </c>
      <c r="K2276" s="142" t="s">
        <v>1674</v>
      </c>
      <c r="L2276">
        <v>0.60527551349499997</v>
      </c>
      <c r="M2276">
        <v>0</v>
      </c>
      <c r="N2276">
        <v>0.60048292526299996</v>
      </c>
      <c r="O2276">
        <v>0</v>
      </c>
    </row>
    <row r="2277" spans="1:15" x14ac:dyDescent="0.25">
      <c r="A2277" s="142" t="s">
        <v>628</v>
      </c>
      <c r="B2277" s="142" t="s">
        <v>51</v>
      </c>
      <c r="C2277" s="142" t="s">
        <v>90</v>
      </c>
      <c r="D2277">
        <v>400</v>
      </c>
      <c r="E2277">
        <v>400.1</v>
      </c>
      <c r="F2277">
        <v>1</v>
      </c>
      <c r="G2277" s="142" t="s">
        <v>23</v>
      </c>
      <c r="H2277" s="142" t="s">
        <v>23</v>
      </c>
      <c r="I2277">
        <v>0</v>
      </c>
      <c r="J2277">
        <v>0</v>
      </c>
      <c r="K2277" s="142" t="s">
        <v>1674</v>
      </c>
      <c r="L2277">
        <v>0.60527551349499997</v>
      </c>
      <c r="M2277">
        <v>0</v>
      </c>
      <c r="N2277">
        <v>0.60048292526299996</v>
      </c>
      <c r="O2277">
        <v>0</v>
      </c>
    </row>
    <row r="2278" spans="1:15" x14ac:dyDescent="0.25">
      <c r="A2278" s="142" t="s">
        <v>593</v>
      </c>
      <c r="B2278" s="142" t="s">
        <v>51</v>
      </c>
      <c r="C2278" s="142" t="s">
        <v>43</v>
      </c>
      <c r="D2278">
        <v>0</v>
      </c>
      <c r="E2278">
        <v>3.3000999999999999E-4</v>
      </c>
      <c r="F2278">
        <v>1.0000000000000001E-9</v>
      </c>
      <c r="G2278" s="142" t="s">
        <v>13</v>
      </c>
      <c r="H2278" s="142" t="s">
        <v>11</v>
      </c>
      <c r="I2278">
        <v>0</v>
      </c>
      <c r="J2278">
        <v>0</v>
      </c>
      <c r="K2278" s="142" t="s">
        <v>1674</v>
      </c>
      <c r="L2278">
        <v>2.4E-2</v>
      </c>
      <c r="M2278">
        <v>180</v>
      </c>
      <c r="N2278">
        <v>2.3106999999999999E-2</v>
      </c>
      <c r="O2278">
        <v>175.06</v>
      </c>
    </row>
    <row r="2279" spans="1:15" x14ac:dyDescent="0.25">
      <c r="A2279" s="142" t="s">
        <v>594</v>
      </c>
      <c r="B2279" s="142" t="s">
        <v>51</v>
      </c>
      <c r="C2279" s="142" t="s">
        <v>43</v>
      </c>
      <c r="D2279">
        <v>0</v>
      </c>
      <c r="E2279">
        <v>3.3000999999999999E-4</v>
      </c>
      <c r="F2279">
        <v>1E-8</v>
      </c>
      <c r="G2279" s="142" t="s">
        <v>13</v>
      </c>
      <c r="H2279" s="142" t="s">
        <v>11</v>
      </c>
      <c r="I2279">
        <v>0</v>
      </c>
      <c r="J2279">
        <v>0</v>
      </c>
      <c r="K2279" s="142" t="s">
        <v>1674</v>
      </c>
      <c r="L2279">
        <v>2.4E-2</v>
      </c>
      <c r="M2279">
        <v>173.53</v>
      </c>
      <c r="N2279">
        <v>2.3813999999999998E-2</v>
      </c>
      <c r="O2279">
        <v>173.54</v>
      </c>
    </row>
    <row r="2280" spans="1:15" x14ac:dyDescent="0.25">
      <c r="A2280" s="142" t="s">
        <v>1684</v>
      </c>
      <c r="B2280" s="142" t="s">
        <v>51</v>
      </c>
      <c r="C2280" s="142" t="s">
        <v>43</v>
      </c>
      <c r="D2280">
        <v>3.3E-4</v>
      </c>
      <c r="E2280">
        <v>3.3000999999999998E-3</v>
      </c>
      <c r="F2280">
        <v>1E-8</v>
      </c>
      <c r="G2280" s="142" t="s">
        <v>13</v>
      </c>
      <c r="H2280" s="142" t="s">
        <v>11</v>
      </c>
      <c r="I2280">
        <v>0</v>
      </c>
      <c r="J2280">
        <v>0</v>
      </c>
      <c r="K2280" s="142" t="s">
        <v>1674</v>
      </c>
      <c r="L2280">
        <v>6.8000000000000005E-2</v>
      </c>
      <c r="M2280">
        <v>150</v>
      </c>
      <c r="N2280">
        <v>5.7598000000000003E-2</v>
      </c>
      <c r="O2280">
        <v>152.88999999999999</v>
      </c>
    </row>
    <row r="2281" spans="1:15" x14ac:dyDescent="0.25">
      <c r="A2281" s="142" t="s">
        <v>1682</v>
      </c>
      <c r="B2281" s="142" t="s">
        <v>51</v>
      </c>
      <c r="C2281" s="142" t="s">
        <v>43</v>
      </c>
      <c r="D2281">
        <v>0</v>
      </c>
      <c r="E2281">
        <v>3.3000999999999999E-4</v>
      </c>
      <c r="F2281">
        <v>9.9999999999999995E-8</v>
      </c>
      <c r="G2281" s="142" t="s">
        <v>13</v>
      </c>
      <c r="H2281" s="142" t="s">
        <v>11</v>
      </c>
      <c r="I2281">
        <v>0</v>
      </c>
      <c r="J2281">
        <v>0</v>
      </c>
      <c r="K2281" s="142" t="s">
        <v>1674</v>
      </c>
      <c r="L2281">
        <v>6.2453000000000002E-2</v>
      </c>
      <c r="M2281">
        <v>112.75</v>
      </c>
      <c r="N2281">
        <v>6.2384000000000002E-2</v>
      </c>
      <c r="O2281">
        <v>112.54</v>
      </c>
    </row>
    <row r="2282" spans="1:15" x14ac:dyDescent="0.25">
      <c r="A2282" s="142" t="s">
        <v>600</v>
      </c>
      <c r="B2282" s="142" t="s">
        <v>51</v>
      </c>
      <c r="C2282" s="142" t="s">
        <v>43</v>
      </c>
      <c r="D2282">
        <v>3.3E-4</v>
      </c>
      <c r="E2282">
        <v>3.3000999999999998E-3</v>
      </c>
      <c r="F2282">
        <v>9.9999999999999995E-8</v>
      </c>
      <c r="G2282" s="142" t="s">
        <v>13</v>
      </c>
      <c r="H2282" s="142" t="s">
        <v>11</v>
      </c>
      <c r="I2282">
        <v>0</v>
      </c>
      <c r="J2282">
        <v>0</v>
      </c>
      <c r="K2282" s="142" t="s">
        <v>1674</v>
      </c>
      <c r="L2282">
        <v>7.6187000000000005E-2</v>
      </c>
      <c r="M2282">
        <v>148.47</v>
      </c>
      <c r="N2282">
        <v>7.3319999999999996E-2</v>
      </c>
      <c r="O2282">
        <v>149.02000000000001</v>
      </c>
    </row>
    <row r="2283" spans="1:15" x14ac:dyDescent="0.25">
      <c r="A2283" s="142" t="s">
        <v>1686</v>
      </c>
      <c r="B2283" s="142" t="s">
        <v>51</v>
      </c>
      <c r="C2283" s="142" t="s">
        <v>43</v>
      </c>
      <c r="D2283">
        <v>3.3E-3</v>
      </c>
      <c r="E2283">
        <v>3.3001000000000003E-2</v>
      </c>
      <c r="F2283">
        <v>9.9999999999999995E-8</v>
      </c>
      <c r="G2283" s="142" t="s">
        <v>13</v>
      </c>
      <c r="H2283" s="142" t="s">
        <v>11</v>
      </c>
      <c r="I2283">
        <v>0</v>
      </c>
      <c r="J2283">
        <v>0</v>
      </c>
      <c r="K2283" s="142" t="s">
        <v>1674</v>
      </c>
      <c r="L2283">
        <v>0.2</v>
      </c>
      <c r="M2283">
        <v>150</v>
      </c>
      <c r="N2283">
        <v>0.1933</v>
      </c>
      <c r="O2283">
        <v>146.28</v>
      </c>
    </row>
    <row r="2284" spans="1:15" x14ac:dyDescent="0.25">
      <c r="A2284" s="142" t="s">
        <v>595</v>
      </c>
      <c r="B2284" s="142" t="s">
        <v>51</v>
      </c>
      <c r="C2284" s="142" t="s">
        <v>43</v>
      </c>
      <c r="D2284">
        <v>0</v>
      </c>
      <c r="E2284">
        <v>3.3000999999999999E-4</v>
      </c>
      <c r="F2284">
        <v>9.9999999999999995E-7</v>
      </c>
      <c r="G2284" s="142" t="s">
        <v>13</v>
      </c>
      <c r="H2284" s="142" t="s">
        <v>11</v>
      </c>
      <c r="I2284">
        <v>0</v>
      </c>
      <c r="J2284">
        <v>0</v>
      </c>
      <c r="K2284" s="142" t="s">
        <v>1674</v>
      </c>
      <c r="L2284">
        <v>0.58048</v>
      </c>
      <c r="M2284">
        <v>15.83</v>
      </c>
      <c r="N2284">
        <v>0.58045000000000002</v>
      </c>
      <c r="O2284">
        <v>15.637</v>
      </c>
    </row>
    <row r="2285" spans="1:15" x14ac:dyDescent="0.25">
      <c r="A2285" s="142" t="s">
        <v>1685</v>
      </c>
      <c r="B2285" s="142" t="s">
        <v>51</v>
      </c>
      <c r="C2285" s="142" t="s">
        <v>43</v>
      </c>
      <c r="D2285">
        <v>3.3E-4</v>
      </c>
      <c r="E2285">
        <v>3.3000999999999998E-3</v>
      </c>
      <c r="F2285">
        <v>9.9999999999999995E-7</v>
      </c>
      <c r="G2285" s="142" t="s">
        <v>13</v>
      </c>
      <c r="H2285" s="142" t="s">
        <v>11</v>
      </c>
      <c r="I2285">
        <v>0</v>
      </c>
      <c r="J2285">
        <v>0</v>
      </c>
      <c r="K2285" s="142" t="s">
        <v>1674</v>
      </c>
      <c r="L2285">
        <v>0.56791999999999998</v>
      </c>
      <c r="M2285">
        <v>73.551000000000002</v>
      </c>
      <c r="N2285">
        <v>0.56576000000000004</v>
      </c>
      <c r="O2285">
        <v>73.311999999999998</v>
      </c>
    </row>
    <row r="2286" spans="1:15" x14ac:dyDescent="0.25">
      <c r="A2286" s="142" t="s">
        <v>603</v>
      </c>
      <c r="B2286" s="142" t="s">
        <v>51</v>
      </c>
      <c r="C2286" s="142" t="s">
        <v>43</v>
      </c>
      <c r="D2286">
        <v>3.3E-3</v>
      </c>
      <c r="E2286">
        <v>3.3001000000000003E-2</v>
      </c>
      <c r="F2286">
        <v>9.9999999999999995E-7</v>
      </c>
      <c r="G2286" s="142" t="s">
        <v>13</v>
      </c>
      <c r="H2286" s="142" t="s">
        <v>11</v>
      </c>
      <c r="I2286">
        <v>0</v>
      </c>
      <c r="J2286">
        <v>0</v>
      </c>
      <c r="K2286" s="142" t="s">
        <v>1674</v>
      </c>
      <c r="L2286">
        <v>0.43595</v>
      </c>
      <c r="M2286">
        <v>140.02000000000001</v>
      </c>
      <c r="N2286">
        <v>0.42625999999999997</v>
      </c>
      <c r="O2286">
        <v>140.22</v>
      </c>
    </row>
    <row r="2287" spans="1:15" x14ac:dyDescent="0.25">
      <c r="A2287" s="142" t="s">
        <v>605</v>
      </c>
      <c r="B2287" s="142" t="s">
        <v>51</v>
      </c>
      <c r="C2287" s="142" t="s">
        <v>43</v>
      </c>
      <c r="D2287">
        <v>3.3000000000000002E-2</v>
      </c>
      <c r="E2287">
        <v>0.33001000000000003</v>
      </c>
      <c r="F2287">
        <v>9.9999999999999995E-7</v>
      </c>
      <c r="G2287" s="142" t="s">
        <v>13</v>
      </c>
      <c r="H2287" s="142" t="s">
        <v>11</v>
      </c>
      <c r="I2287">
        <v>0</v>
      </c>
      <c r="J2287">
        <v>0</v>
      </c>
      <c r="K2287" s="142" t="s">
        <v>1674</v>
      </c>
      <c r="L2287">
        <v>3</v>
      </c>
      <c r="M2287">
        <v>120</v>
      </c>
      <c r="N2287">
        <v>2.9413999999999998</v>
      </c>
      <c r="O2287">
        <v>115.33</v>
      </c>
    </row>
    <row r="2288" spans="1:15" x14ac:dyDescent="0.25">
      <c r="A2288" s="142" t="s">
        <v>1683</v>
      </c>
      <c r="B2288" s="142" t="s">
        <v>51</v>
      </c>
      <c r="C2288" s="142" t="s">
        <v>43</v>
      </c>
      <c r="D2288">
        <v>0</v>
      </c>
      <c r="E2288">
        <v>3.3000999999999999E-4</v>
      </c>
      <c r="F2288">
        <v>1.0000000000000001E-5</v>
      </c>
      <c r="G2288" s="142" t="s">
        <v>13</v>
      </c>
      <c r="H2288" s="142" t="s">
        <v>11</v>
      </c>
      <c r="I2288">
        <v>0</v>
      </c>
      <c r="J2288">
        <v>0</v>
      </c>
      <c r="K2288" s="142" t="s">
        <v>1674</v>
      </c>
      <c r="L2288">
        <v>5.8000999999999996</v>
      </c>
      <c r="M2288">
        <v>1.6500999999999999</v>
      </c>
      <c r="N2288">
        <v>5.8000999999999996</v>
      </c>
      <c r="O2288">
        <v>1.5718000000000001</v>
      </c>
    </row>
    <row r="2289" spans="1:15" x14ac:dyDescent="0.25">
      <c r="A2289" s="142" t="s">
        <v>601</v>
      </c>
      <c r="B2289" s="142" t="s">
        <v>51</v>
      </c>
      <c r="C2289" s="142" t="s">
        <v>43</v>
      </c>
      <c r="D2289">
        <v>3.3E-4</v>
      </c>
      <c r="E2289">
        <v>3.3000999999999998E-3</v>
      </c>
      <c r="F2289">
        <v>1.0000000000000001E-5</v>
      </c>
      <c r="G2289" s="142" t="s">
        <v>13</v>
      </c>
      <c r="H2289" s="142" t="s">
        <v>11</v>
      </c>
      <c r="I2289">
        <v>0</v>
      </c>
      <c r="J2289">
        <v>0</v>
      </c>
      <c r="K2289" s="142" t="s">
        <v>1674</v>
      </c>
      <c r="L2289">
        <v>5.7988999999999997</v>
      </c>
      <c r="M2289">
        <v>9.0556999999999999</v>
      </c>
      <c r="N2289">
        <v>5.7980999999999998</v>
      </c>
      <c r="O2289">
        <v>8.8116000000000003</v>
      </c>
    </row>
    <row r="2290" spans="1:15" x14ac:dyDescent="0.25">
      <c r="A2290" s="142" t="s">
        <v>1687</v>
      </c>
      <c r="B2290" s="142" t="s">
        <v>51</v>
      </c>
      <c r="C2290" s="142" t="s">
        <v>43</v>
      </c>
      <c r="D2290">
        <v>3.3E-3</v>
      </c>
      <c r="E2290">
        <v>3.3001000000000003E-2</v>
      </c>
      <c r="F2290">
        <v>1.0000000000000001E-5</v>
      </c>
      <c r="G2290" s="142" t="s">
        <v>13</v>
      </c>
      <c r="H2290" s="142" t="s">
        <v>11</v>
      </c>
      <c r="I2290">
        <v>0</v>
      </c>
      <c r="J2290">
        <v>0</v>
      </c>
      <c r="K2290" s="142" t="s">
        <v>1674</v>
      </c>
      <c r="L2290">
        <v>5.6407999999999996</v>
      </c>
      <c r="M2290">
        <v>61.752000000000002</v>
      </c>
      <c r="N2290">
        <v>5.6353999999999997</v>
      </c>
      <c r="O2290">
        <v>61.679000000000002</v>
      </c>
    </row>
    <row r="2291" spans="1:15" x14ac:dyDescent="0.25">
      <c r="A2291" s="142" t="s">
        <v>606</v>
      </c>
      <c r="B2291" s="142" t="s">
        <v>51</v>
      </c>
      <c r="C2291" s="142" t="s">
        <v>43</v>
      </c>
      <c r="D2291">
        <v>3.3000000000000002E-2</v>
      </c>
      <c r="E2291">
        <v>0.33001000000000003</v>
      </c>
      <c r="F2291">
        <v>1.0000000000000001E-5</v>
      </c>
      <c r="G2291" s="142" t="s">
        <v>13</v>
      </c>
      <c r="H2291" s="142" t="s">
        <v>11</v>
      </c>
      <c r="I2291">
        <v>0</v>
      </c>
      <c r="J2291">
        <v>0</v>
      </c>
      <c r="K2291" s="142" t="s">
        <v>1674</v>
      </c>
      <c r="L2291">
        <v>5.2853000000000003</v>
      </c>
      <c r="M2291">
        <v>109.48</v>
      </c>
      <c r="N2291">
        <v>5.266</v>
      </c>
      <c r="O2291">
        <v>109.51</v>
      </c>
    </row>
    <row r="2292" spans="1:15" x14ac:dyDescent="0.25">
      <c r="A2292" s="142" t="s">
        <v>608</v>
      </c>
      <c r="B2292" s="142" t="s">
        <v>51</v>
      </c>
      <c r="C2292" s="142" t="s">
        <v>43</v>
      </c>
      <c r="D2292">
        <v>0.33</v>
      </c>
      <c r="E2292">
        <v>3.0001000000000002</v>
      </c>
      <c r="F2292">
        <v>1.0000000000000001E-5</v>
      </c>
      <c r="G2292" s="142" t="s">
        <v>13</v>
      </c>
      <c r="H2292" s="142" t="s">
        <v>12</v>
      </c>
      <c r="I2292">
        <v>0</v>
      </c>
      <c r="J2292">
        <v>0</v>
      </c>
      <c r="K2292" s="142" t="s">
        <v>1674</v>
      </c>
      <c r="L2292">
        <v>5.6000000000000001E-2</v>
      </c>
      <c r="M2292">
        <v>0.44</v>
      </c>
      <c r="N2292">
        <v>5.0700000000000002E-2</v>
      </c>
      <c r="O2292">
        <v>0.44159999999999999</v>
      </c>
    </row>
    <row r="2293" spans="1:15" x14ac:dyDescent="0.25">
      <c r="A2293" s="142" t="s">
        <v>596</v>
      </c>
      <c r="B2293" s="142" t="s">
        <v>51</v>
      </c>
      <c r="C2293" s="142" t="s">
        <v>43</v>
      </c>
      <c r="D2293">
        <v>0</v>
      </c>
      <c r="E2293">
        <v>3.3000999999999999E-4</v>
      </c>
      <c r="F2293">
        <v>1E-4</v>
      </c>
      <c r="G2293" s="142" t="s">
        <v>13</v>
      </c>
      <c r="H2293" s="142" t="s">
        <v>11</v>
      </c>
      <c r="I2293">
        <v>0</v>
      </c>
      <c r="J2293">
        <v>0</v>
      </c>
      <c r="K2293" s="142" t="s">
        <v>1674</v>
      </c>
      <c r="L2293">
        <v>58</v>
      </c>
      <c r="M2293">
        <v>0.18851999999999999</v>
      </c>
      <c r="N2293">
        <v>58</v>
      </c>
      <c r="O2293">
        <v>0.15719</v>
      </c>
    </row>
    <row r="2294" spans="1:15" x14ac:dyDescent="0.25">
      <c r="A2294" s="142" t="s">
        <v>602</v>
      </c>
      <c r="B2294" s="142" t="s">
        <v>51</v>
      </c>
      <c r="C2294" s="142" t="s">
        <v>43</v>
      </c>
      <c r="D2294">
        <v>3.3E-4</v>
      </c>
      <c r="E2294">
        <v>3.3000999999999998E-3</v>
      </c>
      <c r="F2294">
        <v>1E-4</v>
      </c>
      <c r="G2294" s="142" t="s">
        <v>13</v>
      </c>
      <c r="H2294" s="142" t="s">
        <v>11</v>
      </c>
      <c r="I2294">
        <v>0</v>
      </c>
      <c r="J2294">
        <v>0</v>
      </c>
      <c r="K2294" s="142" t="s">
        <v>1674</v>
      </c>
      <c r="L2294">
        <v>58</v>
      </c>
      <c r="M2294">
        <v>0.98192000000000002</v>
      </c>
      <c r="N2294">
        <v>58</v>
      </c>
      <c r="O2294">
        <v>0.88327999999999995</v>
      </c>
    </row>
    <row r="2295" spans="1:15" x14ac:dyDescent="0.25">
      <c r="A2295" s="142" t="s">
        <v>604</v>
      </c>
      <c r="B2295" s="142" t="s">
        <v>51</v>
      </c>
      <c r="C2295" s="142" t="s">
        <v>43</v>
      </c>
      <c r="D2295">
        <v>3.3E-3</v>
      </c>
      <c r="E2295">
        <v>3.3001000000000003E-2</v>
      </c>
      <c r="F2295">
        <v>1E-4</v>
      </c>
      <c r="G2295" s="142" t="s">
        <v>13</v>
      </c>
      <c r="H2295" s="142" t="s">
        <v>11</v>
      </c>
      <c r="I2295">
        <v>0</v>
      </c>
      <c r="J2295">
        <v>0</v>
      </c>
      <c r="K2295" s="142" t="s">
        <v>1674</v>
      </c>
      <c r="L2295">
        <v>57.981999999999999</v>
      </c>
      <c r="M2295">
        <v>7.2320000000000002</v>
      </c>
      <c r="N2295">
        <v>57.98</v>
      </c>
      <c r="O2295">
        <v>7.1696999999999997</v>
      </c>
    </row>
    <row r="2296" spans="1:15" x14ac:dyDescent="0.25">
      <c r="A2296" s="142" t="s">
        <v>1689</v>
      </c>
      <c r="B2296" s="142" t="s">
        <v>51</v>
      </c>
      <c r="C2296" s="142" t="s">
        <v>43</v>
      </c>
      <c r="D2296">
        <v>3.3000000000000002E-2</v>
      </c>
      <c r="E2296">
        <v>0.33001000000000003</v>
      </c>
      <c r="F2296">
        <v>1E-4</v>
      </c>
      <c r="G2296" s="142" t="s">
        <v>13</v>
      </c>
      <c r="H2296" s="142" t="s">
        <v>11</v>
      </c>
      <c r="I2296">
        <v>0</v>
      </c>
      <c r="J2296">
        <v>0</v>
      </c>
      <c r="K2296" s="142" t="s">
        <v>1674</v>
      </c>
      <c r="L2296">
        <v>56.994999999999997</v>
      </c>
      <c r="M2296">
        <v>42.585000000000001</v>
      </c>
      <c r="N2296">
        <v>56.984000000000002</v>
      </c>
      <c r="O2296">
        <v>42.551000000000002</v>
      </c>
    </row>
    <row r="2297" spans="1:15" x14ac:dyDescent="0.25">
      <c r="A2297" s="142" t="s">
        <v>609</v>
      </c>
      <c r="B2297" s="142" t="s">
        <v>51</v>
      </c>
      <c r="C2297" s="142" t="s">
        <v>43</v>
      </c>
      <c r="D2297">
        <v>0.33</v>
      </c>
      <c r="E2297">
        <v>3.0001000000000002</v>
      </c>
      <c r="F2297">
        <v>1E-4</v>
      </c>
      <c r="G2297" s="142" t="s">
        <v>13</v>
      </c>
      <c r="H2297" s="142" t="s">
        <v>12</v>
      </c>
      <c r="I2297">
        <v>0</v>
      </c>
      <c r="J2297">
        <v>0</v>
      </c>
      <c r="K2297" s="142" t="s">
        <v>1674</v>
      </c>
      <c r="L2297">
        <v>5.9518000000000001E-2</v>
      </c>
      <c r="M2297">
        <v>0.43901000000000001</v>
      </c>
      <c r="N2297">
        <v>5.9473999999999999E-2</v>
      </c>
      <c r="O2297">
        <v>0.43894</v>
      </c>
    </row>
    <row r="2298" spans="1:15" x14ac:dyDescent="0.25">
      <c r="A2298" s="142" t="s">
        <v>613</v>
      </c>
      <c r="B2298" s="142" t="s">
        <v>51</v>
      </c>
      <c r="C2298" s="142" t="s">
        <v>43</v>
      </c>
      <c r="D2298">
        <v>3</v>
      </c>
      <c r="E2298">
        <v>11.000999999999999</v>
      </c>
      <c r="F2298">
        <v>1E-4</v>
      </c>
      <c r="G2298" s="142" t="s">
        <v>13</v>
      </c>
      <c r="H2298" s="142" t="s">
        <v>12</v>
      </c>
      <c r="I2298">
        <v>0</v>
      </c>
      <c r="J2298">
        <v>0</v>
      </c>
      <c r="K2298" s="142" t="s">
        <v>1674</v>
      </c>
      <c r="L2298">
        <v>0.63</v>
      </c>
      <c r="M2298">
        <v>0.69</v>
      </c>
      <c r="N2298">
        <v>0.57808999999999999</v>
      </c>
      <c r="O2298">
        <v>0.69437000000000004</v>
      </c>
    </row>
    <row r="2299" spans="1:15" x14ac:dyDescent="0.25">
      <c r="A2299" s="142" t="s">
        <v>1691</v>
      </c>
      <c r="B2299" s="142" t="s">
        <v>51</v>
      </c>
      <c r="C2299" s="142" t="s">
        <v>43</v>
      </c>
      <c r="D2299">
        <v>11</v>
      </c>
      <c r="E2299">
        <v>20.5</v>
      </c>
      <c r="F2299">
        <v>1E-4</v>
      </c>
      <c r="G2299" s="142" t="s">
        <v>13</v>
      </c>
      <c r="H2299" s="142" t="s">
        <v>12</v>
      </c>
      <c r="I2299">
        <v>0</v>
      </c>
      <c r="J2299">
        <v>0</v>
      </c>
      <c r="K2299" s="142" t="s">
        <v>1674</v>
      </c>
      <c r="L2299">
        <v>0.88</v>
      </c>
      <c r="M2299">
        <v>1.2</v>
      </c>
      <c r="N2299">
        <v>0.87568000000000001</v>
      </c>
      <c r="O2299">
        <v>1.1548</v>
      </c>
    </row>
    <row r="2300" spans="1:15" x14ac:dyDescent="0.25">
      <c r="A2300" s="142" t="s">
        <v>620</v>
      </c>
      <c r="B2300" s="142" t="s">
        <v>51</v>
      </c>
      <c r="C2300" s="142" t="s">
        <v>43</v>
      </c>
      <c r="D2300">
        <v>20.5</v>
      </c>
      <c r="E2300">
        <v>20.6</v>
      </c>
      <c r="F2300">
        <v>1E-4</v>
      </c>
      <c r="G2300" s="142" t="s">
        <v>13</v>
      </c>
      <c r="H2300" s="142" t="s">
        <v>12</v>
      </c>
      <c r="I2300">
        <v>0</v>
      </c>
      <c r="J2300">
        <v>0</v>
      </c>
      <c r="K2300" s="142" t="s">
        <v>1674</v>
      </c>
      <c r="L2300">
        <v>0.88</v>
      </c>
      <c r="M2300">
        <v>1.2</v>
      </c>
      <c r="N2300">
        <v>0.87568000000000001</v>
      </c>
      <c r="O2300">
        <v>1.1548</v>
      </c>
    </row>
    <row r="2301" spans="1:15" x14ac:dyDescent="0.25">
      <c r="A2301" s="142" t="s">
        <v>597</v>
      </c>
      <c r="B2301" s="142" t="s">
        <v>51</v>
      </c>
      <c r="C2301" s="142" t="s">
        <v>43</v>
      </c>
      <c r="D2301">
        <v>0</v>
      </c>
      <c r="E2301">
        <v>3.3000999999999999E-4</v>
      </c>
      <c r="F2301">
        <v>1E-3</v>
      </c>
      <c r="G2301" s="142" t="s">
        <v>13</v>
      </c>
      <c r="H2301" s="142" t="s">
        <v>11</v>
      </c>
      <c r="I2301">
        <v>0</v>
      </c>
      <c r="J2301">
        <v>0</v>
      </c>
      <c r="K2301" s="142" t="s">
        <v>1674</v>
      </c>
      <c r="L2301">
        <v>580</v>
      </c>
      <c r="M2301">
        <v>2.8251999999999999E-2</v>
      </c>
      <c r="N2301">
        <v>580</v>
      </c>
      <c r="O2301">
        <v>1.5719E-2</v>
      </c>
    </row>
    <row r="2302" spans="1:15" x14ac:dyDescent="0.25">
      <c r="A2302" s="142" t="s">
        <v>1688</v>
      </c>
      <c r="B2302" s="142" t="s">
        <v>51</v>
      </c>
      <c r="C2302" s="142" t="s">
        <v>43</v>
      </c>
      <c r="D2302">
        <v>3.3E-3</v>
      </c>
      <c r="E2302">
        <v>3.3001000000000003E-2</v>
      </c>
      <c r="F2302">
        <v>1E-3</v>
      </c>
      <c r="G2302" s="142" t="s">
        <v>13</v>
      </c>
      <c r="H2302" s="142" t="s">
        <v>11</v>
      </c>
      <c r="I2302">
        <v>0</v>
      </c>
      <c r="J2302">
        <v>0</v>
      </c>
      <c r="K2302" s="142" t="s">
        <v>1674</v>
      </c>
      <c r="L2302">
        <v>580</v>
      </c>
      <c r="M2302">
        <v>0.74343999999999999</v>
      </c>
      <c r="N2302">
        <v>580</v>
      </c>
      <c r="O2302">
        <v>0.71831999999999996</v>
      </c>
    </row>
    <row r="2303" spans="1:15" x14ac:dyDescent="0.25">
      <c r="A2303" s="142" t="s">
        <v>1690</v>
      </c>
      <c r="B2303" s="142" t="s">
        <v>51</v>
      </c>
      <c r="C2303" s="142" t="s">
        <v>43</v>
      </c>
      <c r="D2303">
        <v>3.3000000000000002E-2</v>
      </c>
      <c r="E2303">
        <v>0.33001000000000003</v>
      </c>
      <c r="F2303">
        <v>1E-3</v>
      </c>
      <c r="G2303" s="142" t="s">
        <v>13</v>
      </c>
      <c r="H2303" s="142" t="s">
        <v>11</v>
      </c>
      <c r="I2303">
        <v>0</v>
      </c>
      <c r="J2303">
        <v>0</v>
      </c>
      <c r="K2303" s="142" t="s">
        <v>1674</v>
      </c>
      <c r="L2303">
        <v>579.89</v>
      </c>
      <c r="M2303">
        <v>4.7610000000000001</v>
      </c>
      <c r="N2303">
        <v>579.88</v>
      </c>
      <c r="O2303">
        <v>4.7411000000000003</v>
      </c>
    </row>
    <row r="2304" spans="1:15" x14ac:dyDescent="0.25">
      <c r="A2304" s="142" t="s">
        <v>610</v>
      </c>
      <c r="B2304" s="142" t="s">
        <v>51</v>
      </c>
      <c r="C2304" s="142" t="s">
        <v>43</v>
      </c>
      <c r="D2304">
        <v>0.33</v>
      </c>
      <c r="E2304">
        <v>3.0001000000000002</v>
      </c>
      <c r="F2304">
        <v>1E-3</v>
      </c>
      <c r="G2304" s="142" t="s">
        <v>13</v>
      </c>
      <c r="H2304" s="142" t="s">
        <v>12</v>
      </c>
      <c r="I2304">
        <v>0</v>
      </c>
      <c r="J2304">
        <v>0</v>
      </c>
      <c r="K2304" s="142" t="s">
        <v>1674</v>
      </c>
      <c r="L2304">
        <v>0.50339</v>
      </c>
      <c r="M2304">
        <v>0.32998</v>
      </c>
      <c r="N2304">
        <v>0.50341000000000002</v>
      </c>
      <c r="O2304">
        <v>0.32966000000000001</v>
      </c>
    </row>
    <row r="2305" spans="1:15" x14ac:dyDescent="0.25">
      <c r="A2305" s="142" t="s">
        <v>614</v>
      </c>
      <c r="B2305" s="142" t="s">
        <v>51</v>
      </c>
      <c r="C2305" s="142" t="s">
        <v>43</v>
      </c>
      <c r="D2305">
        <v>3</v>
      </c>
      <c r="E2305">
        <v>11.000999999999999</v>
      </c>
      <c r="F2305">
        <v>1E-3</v>
      </c>
      <c r="G2305" s="142" t="s">
        <v>13</v>
      </c>
      <c r="H2305" s="142" t="s">
        <v>12</v>
      </c>
      <c r="I2305">
        <v>0</v>
      </c>
      <c r="J2305">
        <v>0</v>
      </c>
      <c r="K2305" s="142" t="s">
        <v>1674</v>
      </c>
      <c r="L2305">
        <v>0.65825</v>
      </c>
      <c r="M2305">
        <v>0.68923999999999996</v>
      </c>
      <c r="N2305">
        <v>0.65552999999999995</v>
      </c>
      <c r="O2305">
        <v>0.68916999999999995</v>
      </c>
    </row>
    <row r="2306" spans="1:15" x14ac:dyDescent="0.25">
      <c r="A2306" s="142" t="s">
        <v>617</v>
      </c>
      <c r="B2306" s="142" t="s">
        <v>51</v>
      </c>
      <c r="C2306" s="142" t="s">
        <v>43</v>
      </c>
      <c r="D2306">
        <v>11</v>
      </c>
      <c r="E2306">
        <v>20.5</v>
      </c>
      <c r="F2306">
        <v>1E-3</v>
      </c>
      <c r="G2306" s="142" t="s">
        <v>13</v>
      </c>
      <c r="H2306" s="142" t="s">
        <v>12</v>
      </c>
      <c r="I2306">
        <v>0</v>
      </c>
      <c r="J2306">
        <v>0</v>
      </c>
      <c r="K2306" s="142" t="s">
        <v>1674</v>
      </c>
      <c r="L2306">
        <v>0.89481999999999995</v>
      </c>
      <c r="M2306">
        <v>1.1544000000000001</v>
      </c>
      <c r="N2306">
        <v>0.89454999999999996</v>
      </c>
      <c r="O2306">
        <v>1.1541999999999999</v>
      </c>
    </row>
    <row r="2307" spans="1:15" x14ac:dyDescent="0.25">
      <c r="A2307" s="142" t="s">
        <v>621</v>
      </c>
      <c r="B2307" s="142" t="s">
        <v>51</v>
      </c>
      <c r="C2307" s="142" t="s">
        <v>43</v>
      </c>
      <c r="D2307">
        <v>20.5</v>
      </c>
      <c r="E2307">
        <v>20.6</v>
      </c>
      <c r="F2307">
        <v>1E-3</v>
      </c>
      <c r="G2307" s="142" t="s">
        <v>13</v>
      </c>
      <c r="H2307" s="142" t="s">
        <v>12</v>
      </c>
      <c r="I2307">
        <v>0</v>
      </c>
      <c r="J2307">
        <v>0</v>
      </c>
      <c r="K2307" s="142" t="s">
        <v>1674</v>
      </c>
      <c r="L2307">
        <v>0.89481999999999995</v>
      </c>
      <c r="M2307">
        <v>1.1544000000000001</v>
      </c>
      <c r="N2307">
        <v>0.89454999999999996</v>
      </c>
      <c r="O2307">
        <v>1.1541999999999999</v>
      </c>
    </row>
    <row r="2308" spans="1:15" x14ac:dyDescent="0.25">
      <c r="A2308" s="142" t="s">
        <v>598</v>
      </c>
      <c r="B2308" s="142" t="s">
        <v>51</v>
      </c>
      <c r="C2308" s="142" t="s">
        <v>43</v>
      </c>
      <c r="D2308">
        <v>0</v>
      </c>
      <c r="E2308">
        <v>3.3000999999999999E-4</v>
      </c>
      <c r="F2308">
        <v>0.01</v>
      </c>
      <c r="G2308" s="142" t="s">
        <v>13</v>
      </c>
      <c r="H2308" s="142" t="s">
        <v>12</v>
      </c>
      <c r="I2308">
        <v>0</v>
      </c>
      <c r="J2308">
        <v>0</v>
      </c>
      <c r="K2308" s="142" t="s">
        <v>1674</v>
      </c>
      <c r="L2308">
        <v>5.8</v>
      </c>
      <c r="M2308">
        <v>6.5850999999999999E-6</v>
      </c>
      <c r="N2308">
        <v>5.8</v>
      </c>
      <c r="O2308">
        <v>1.5718999999999999E-6</v>
      </c>
    </row>
    <row r="2309" spans="1:15" x14ac:dyDescent="0.25">
      <c r="A2309" s="142" t="s">
        <v>607</v>
      </c>
      <c r="B2309" s="142" t="s">
        <v>51</v>
      </c>
      <c r="C2309" s="142" t="s">
        <v>43</v>
      </c>
      <c r="D2309">
        <v>3.3000000000000002E-2</v>
      </c>
      <c r="E2309">
        <v>0.33001000000000003</v>
      </c>
      <c r="F2309">
        <v>0.01</v>
      </c>
      <c r="G2309" s="142" t="s">
        <v>13</v>
      </c>
      <c r="H2309" s="142" t="s">
        <v>11</v>
      </c>
      <c r="I2309">
        <v>0</v>
      </c>
      <c r="J2309">
        <v>0</v>
      </c>
      <c r="K2309" s="142" t="s">
        <v>1674</v>
      </c>
      <c r="L2309">
        <v>5800</v>
      </c>
      <c r="M2309">
        <v>0.48270000000000002</v>
      </c>
      <c r="N2309">
        <v>5800</v>
      </c>
      <c r="O2309">
        <v>0.47471000000000002</v>
      </c>
    </row>
    <row r="2310" spans="1:15" x14ac:dyDescent="0.25">
      <c r="A2310" s="142" t="s">
        <v>611</v>
      </c>
      <c r="B2310" s="142" t="s">
        <v>51</v>
      </c>
      <c r="C2310" s="142" t="s">
        <v>43</v>
      </c>
      <c r="D2310">
        <v>0.33</v>
      </c>
      <c r="E2310">
        <v>3.0001000000000002</v>
      </c>
      <c r="F2310">
        <v>0.01</v>
      </c>
      <c r="G2310" s="142" t="s">
        <v>13</v>
      </c>
      <c r="H2310" s="142" t="s">
        <v>12</v>
      </c>
      <c r="I2310">
        <v>0</v>
      </c>
      <c r="J2310">
        <v>0</v>
      </c>
      <c r="K2310" s="142" t="s">
        <v>1674</v>
      </c>
      <c r="L2310">
        <v>5.7838000000000003</v>
      </c>
      <c r="M2310">
        <v>5.9318999999999997E-2</v>
      </c>
      <c r="N2310">
        <v>5.7839</v>
      </c>
      <c r="O2310">
        <v>5.8975E-2</v>
      </c>
    </row>
    <row r="2311" spans="1:15" x14ac:dyDescent="0.25">
      <c r="A2311" s="142" t="s">
        <v>615</v>
      </c>
      <c r="B2311" s="142" t="s">
        <v>51</v>
      </c>
      <c r="C2311" s="142" t="s">
        <v>43</v>
      </c>
      <c r="D2311">
        <v>3</v>
      </c>
      <c r="E2311">
        <v>11.000999999999999</v>
      </c>
      <c r="F2311">
        <v>0.01</v>
      </c>
      <c r="G2311" s="142" t="s">
        <v>13</v>
      </c>
      <c r="H2311" s="142" t="s">
        <v>12</v>
      </c>
      <c r="I2311">
        <v>0</v>
      </c>
      <c r="J2311">
        <v>0</v>
      </c>
      <c r="K2311" s="142" t="s">
        <v>1674</v>
      </c>
      <c r="L2311">
        <v>5.0053000000000001</v>
      </c>
      <c r="M2311">
        <v>0.46027000000000001</v>
      </c>
      <c r="N2311">
        <v>5.0026999999999999</v>
      </c>
      <c r="O2311">
        <v>0.45948</v>
      </c>
    </row>
    <row r="2312" spans="1:15" x14ac:dyDescent="0.25">
      <c r="A2312" s="142" t="s">
        <v>618</v>
      </c>
      <c r="B2312" s="142" t="s">
        <v>51</v>
      </c>
      <c r="C2312" s="142" t="s">
        <v>43</v>
      </c>
      <c r="D2312">
        <v>11</v>
      </c>
      <c r="E2312">
        <v>20.5</v>
      </c>
      <c r="F2312">
        <v>0.01</v>
      </c>
      <c r="G2312" s="142" t="s">
        <v>13</v>
      </c>
      <c r="H2312" s="142" t="s">
        <v>12</v>
      </c>
      <c r="I2312">
        <v>0</v>
      </c>
      <c r="J2312">
        <v>0</v>
      </c>
      <c r="K2312" s="142" t="s">
        <v>1674</v>
      </c>
      <c r="L2312">
        <v>2.6511999999999998</v>
      </c>
      <c r="M2312">
        <v>1.1020000000000001</v>
      </c>
      <c r="N2312">
        <v>2.6543000000000001</v>
      </c>
      <c r="O2312">
        <v>1.101</v>
      </c>
    </row>
    <row r="2313" spans="1:15" x14ac:dyDescent="0.25">
      <c r="A2313" s="142" t="s">
        <v>1692</v>
      </c>
      <c r="B2313" s="142" t="s">
        <v>51</v>
      </c>
      <c r="C2313" s="142" t="s">
        <v>43</v>
      </c>
      <c r="D2313">
        <v>20.5</v>
      </c>
      <c r="E2313">
        <v>20.6</v>
      </c>
      <c r="F2313">
        <v>0.01</v>
      </c>
      <c r="G2313" s="142" t="s">
        <v>13</v>
      </c>
      <c r="H2313" s="142" t="s">
        <v>12</v>
      </c>
      <c r="I2313">
        <v>0</v>
      </c>
      <c r="J2313">
        <v>0</v>
      </c>
      <c r="K2313" s="142" t="s">
        <v>1674</v>
      </c>
      <c r="L2313">
        <v>2.6511999999999998</v>
      </c>
      <c r="M2313">
        <v>1.1020000000000001</v>
      </c>
      <c r="N2313">
        <v>2.6543000000000001</v>
      </c>
      <c r="O2313">
        <v>1.101</v>
      </c>
    </row>
    <row r="2314" spans="1:15" x14ac:dyDescent="0.25">
      <c r="A2314" s="142" t="s">
        <v>599</v>
      </c>
      <c r="B2314" s="142" t="s">
        <v>51</v>
      </c>
      <c r="C2314" s="142" t="s">
        <v>43</v>
      </c>
      <c r="D2314">
        <v>0</v>
      </c>
      <c r="E2314">
        <v>3.3000999999999999E-4</v>
      </c>
      <c r="F2314">
        <v>0.1</v>
      </c>
      <c r="G2314" s="142" t="s">
        <v>13</v>
      </c>
      <c r="H2314" s="142" t="s">
        <v>12</v>
      </c>
      <c r="I2314">
        <v>0</v>
      </c>
      <c r="J2314">
        <v>0</v>
      </c>
      <c r="K2314" s="142" t="s">
        <v>1674</v>
      </c>
      <c r="L2314">
        <v>58</v>
      </c>
      <c r="M2314">
        <v>2.1625E-6</v>
      </c>
      <c r="N2314">
        <v>58</v>
      </c>
      <c r="O2314">
        <v>1.572E-7</v>
      </c>
    </row>
    <row r="2315" spans="1:15" x14ac:dyDescent="0.25">
      <c r="A2315" s="142" t="s">
        <v>612</v>
      </c>
      <c r="B2315" s="142" t="s">
        <v>51</v>
      </c>
      <c r="C2315" s="142" t="s">
        <v>43</v>
      </c>
      <c r="D2315">
        <v>0.33</v>
      </c>
      <c r="E2315">
        <v>3.0001000000000002</v>
      </c>
      <c r="F2315">
        <v>0.1</v>
      </c>
      <c r="G2315" s="142" t="s">
        <v>13</v>
      </c>
      <c r="H2315" s="142" t="s">
        <v>12</v>
      </c>
      <c r="I2315">
        <v>0</v>
      </c>
      <c r="J2315">
        <v>0</v>
      </c>
      <c r="K2315" s="142" t="s">
        <v>1674</v>
      </c>
      <c r="L2315">
        <v>57.997999999999998</v>
      </c>
      <c r="M2315">
        <v>6.1218000000000002E-3</v>
      </c>
      <c r="N2315">
        <v>57.997999999999998</v>
      </c>
      <c r="O2315">
        <v>5.9801000000000003E-3</v>
      </c>
    </row>
    <row r="2316" spans="1:15" x14ac:dyDescent="0.25">
      <c r="A2316" s="142" t="s">
        <v>616</v>
      </c>
      <c r="B2316" s="142" t="s">
        <v>51</v>
      </c>
      <c r="C2316" s="142" t="s">
        <v>43</v>
      </c>
      <c r="D2316">
        <v>3</v>
      </c>
      <c r="E2316">
        <v>11.000999999999999</v>
      </c>
      <c r="F2316">
        <v>0.1</v>
      </c>
      <c r="G2316" s="142" t="s">
        <v>13</v>
      </c>
      <c r="H2316" s="142" t="s">
        <v>12</v>
      </c>
      <c r="I2316">
        <v>0</v>
      </c>
      <c r="J2316">
        <v>0</v>
      </c>
      <c r="K2316" s="142" t="s">
        <v>1674</v>
      </c>
      <c r="L2316">
        <v>57.866999999999997</v>
      </c>
      <c r="M2316">
        <v>6.5448999999999993E-2</v>
      </c>
      <c r="N2316">
        <v>57.866999999999997</v>
      </c>
      <c r="O2316">
        <v>6.4754999999999993E-2</v>
      </c>
    </row>
    <row r="2317" spans="1:15" x14ac:dyDescent="0.25">
      <c r="A2317" s="142" t="s">
        <v>619</v>
      </c>
      <c r="B2317" s="142" t="s">
        <v>51</v>
      </c>
      <c r="C2317" s="142" t="s">
        <v>43</v>
      </c>
      <c r="D2317">
        <v>11</v>
      </c>
      <c r="E2317">
        <v>20.5</v>
      </c>
      <c r="F2317">
        <v>0.1</v>
      </c>
      <c r="G2317" s="142" t="s">
        <v>13</v>
      </c>
      <c r="H2317" s="142" t="s">
        <v>12</v>
      </c>
      <c r="I2317">
        <v>0</v>
      </c>
      <c r="J2317">
        <v>0</v>
      </c>
      <c r="K2317" s="142" t="s">
        <v>1674</v>
      </c>
      <c r="L2317">
        <v>55.6</v>
      </c>
      <c r="M2317">
        <v>0.36143999999999998</v>
      </c>
      <c r="N2317">
        <v>55.616</v>
      </c>
      <c r="O2317">
        <v>0.35926999999999998</v>
      </c>
    </row>
    <row r="2318" spans="1:15" x14ac:dyDescent="0.25">
      <c r="A2318" s="142" t="s">
        <v>622</v>
      </c>
      <c r="B2318" s="142" t="s">
        <v>51</v>
      </c>
      <c r="C2318" s="142" t="s">
        <v>43</v>
      </c>
      <c r="D2318">
        <v>20.5</v>
      </c>
      <c r="E2318">
        <v>20.6</v>
      </c>
      <c r="F2318">
        <v>0.1</v>
      </c>
      <c r="G2318" s="142" t="s">
        <v>13</v>
      </c>
      <c r="H2318" s="142" t="s">
        <v>12</v>
      </c>
      <c r="I2318">
        <v>0</v>
      </c>
      <c r="J2318">
        <v>0</v>
      </c>
      <c r="K2318" s="142" t="s">
        <v>1674</v>
      </c>
      <c r="L2318">
        <v>55.6</v>
      </c>
      <c r="M2318">
        <v>0.36143999999999998</v>
      </c>
      <c r="N2318">
        <v>55.616</v>
      </c>
      <c r="O2318">
        <v>0.35926999999999998</v>
      </c>
    </row>
    <row r="2319" spans="1:15" x14ac:dyDescent="0.25">
      <c r="A2319" s="142" t="s">
        <v>572</v>
      </c>
      <c r="B2319" s="142" t="s">
        <v>51</v>
      </c>
      <c r="C2319" s="142" t="s">
        <v>55</v>
      </c>
      <c r="D2319">
        <v>1</v>
      </c>
      <c r="E2319">
        <v>11.000999999999999</v>
      </c>
      <c r="F2319">
        <v>1E-4</v>
      </c>
      <c r="G2319" s="142" t="s">
        <v>13</v>
      </c>
      <c r="H2319" s="142" t="s">
        <v>12</v>
      </c>
      <c r="I2319">
        <v>0</v>
      </c>
      <c r="J2319">
        <v>0</v>
      </c>
      <c r="K2319" s="142" t="s">
        <v>1674</v>
      </c>
      <c r="L2319">
        <v>8.2000000000000003E-2</v>
      </c>
      <c r="M2319">
        <v>2</v>
      </c>
      <c r="N2319">
        <v>8.0875000000000002E-2</v>
      </c>
      <c r="O2319">
        <v>1.9946999999999999</v>
      </c>
    </row>
    <row r="2320" spans="1:15" x14ac:dyDescent="0.25">
      <c r="A2320" s="142" t="s">
        <v>573</v>
      </c>
      <c r="B2320" s="142" t="s">
        <v>51</v>
      </c>
      <c r="C2320" s="142" t="s">
        <v>55</v>
      </c>
      <c r="D2320">
        <v>1</v>
      </c>
      <c r="E2320">
        <v>11.000999999999999</v>
      </c>
      <c r="F2320">
        <v>1E-3</v>
      </c>
      <c r="G2320" s="142" t="s">
        <v>13</v>
      </c>
      <c r="H2320" s="142" t="s">
        <v>12</v>
      </c>
      <c r="I2320">
        <v>0</v>
      </c>
      <c r="J2320">
        <v>0</v>
      </c>
      <c r="K2320" s="142" t="s">
        <v>1674</v>
      </c>
      <c r="L2320">
        <v>0.16836000000000001</v>
      </c>
      <c r="M2320">
        <v>1.9875</v>
      </c>
      <c r="N2320">
        <v>0.16627</v>
      </c>
      <c r="O2320">
        <v>1.9876</v>
      </c>
    </row>
    <row r="2321" spans="1:15" x14ac:dyDescent="0.25">
      <c r="A2321" s="142" t="s">
        <v>576</v>
      </c>
      <c r="B2321" s="142" t="s">
        <v>51</v>
      </c>
      <c r="C2321" s="142" t="s">
        <v>55</v>
      </c>
      <c r="D2321">
        <v>11</v>
      </c>
      <c r="E2321">
        <v>30.001000000000001</v>
      </c>
      <c r="F2321">
        <v>1E-3</v>
      </c>
      <c r="G2321" s="142" t="s">
        <v>13</v>
      </c>
      <c r="H2321" s="142" t="s">
        <v>12</v>
      </c>
      <c r="I2321">
        <v>0</v>
      </c>
      <c r="J2321">
        <v>0</v>
      </c>
      <c r="K2321" s="142" t="s">
        <v>1674</v>
      </c>
      <c r="L2321">
        <v>1.6</v>
      </c>
      <c r="M2321">
        <v>2</v>
      </c>
      <c r="N2321">
        <v>0.12764</v>
      </c>
      <c r="O2321">
        <v>2.0470999999999999</v>
      </c>
    </row>
    <row r="2322" spans="1:15" x14ac:dyDescent="0.25">
      <c r="A2322" s="142" t="s">
        <v>1693</v>
      </c>
      <c r="B2322" s="142" t="s">
        <v>51</v>
      </c>
      <c r="C2322" s="142" t="s">
        <v>55</v>
      </c>
      <c r="D2322">
        <v>1</v>
      </c>
      <c r="E2322">
        <v>11.000999999999999</v>
      </c>
      <c r="F2322">
        <v>0.01</v>
      </c>
      <c r="G2322" s="142" t="s">
        <v>13</v>
      </c>
      <c r="H2322" s="142" t="s">
        <v>12</v>
      </c>
      <c r="I2322">
        <v>0</v>
      </c>
      <c r="J2322">
        <v>0</v>
      </c>
      <c r="K2322" s="142" t="s">
        <v>1674</v>
      </c>
      <c r="L2322">
        <v>4.4751000000000003</v>
      </c>
      <c r="M2322">
        <v>1.6631</v>
      </c>
      <c r="N2322">
        <v>4.4718</v>
      </c>
      <c r="O2322">
        <v>1.6632</v>
      </c>
    </row>
    <row r="2323" spans="1:15" x14ac:dyDescent="0.25">
      <c r="A2323" s="142" t="s">
        <v>577</v>
      </c>
      <c r="B2323" s="142" t="s">
        <v>51</v>
      </c>
      <c r="C2323" s="142" t="s">
        <v>55</v>
      </c>
      <c r="D2323">
        <v>11</v>
      </c>
      <c r="E2323">
        <v>30.001000000000001</v>
      </c>
      <c r="F2323">
        <v>0.01</v>
      </c>
      <c r="G2323" s="142" t="s">
        <v>13</v>
      </c>
      <c r="H2323" s="142" t="s">
        <v>12</v>
      </c>
      <c r="I2323">
        <v>0</v>
      </c>
      <c r="J2323">
        <v>0</v>
      </c>
      <c r="K2323" s="142" t="s">
        <v>1674</v>
      </c>
      <c r="L2323">
        <v>1.6</v>
      </c>
      <c r="M2323">
        <v>2.0127000000000002</v>
      </c>
      <c r="N2323">
        <v>1.1037999999999999</v>
      </c>
      <c r="O2323">
        <v>2.0234999999999999</v>
      </c>
    </row>
    <row r="2324" spans="1:15" x14ac:dyDescent="0.25">
      <c r="A2324" s="142" t="s">
        <v>582</v>
      </c>
      <c r="B2324" s="142" t="s">
        <v>51</v>
      </c>
      <c r="C2324" s="142" t="s">
        <v>55</v>
      </c>
      <c r="D2324">
        <v>30</v>
      </c>
      <c r="E2324">
        <v>110.01</v>
      </c>
      <c r="F2324">
        <v>0.01</v>
      </c>
      <c r="G2324" s="142" t="s">
        <v>13</v>
      </c>
      <c r="H2324" s="142" t="s">
        <v>12</v>
      </c>
      <c r="I2324">
        <v>0</v>
      </c>
      <c r="J2324">
        <v>0</v>
      </c>
      <c r="K2324" s="142" t="s">
        <v>1674</v>
      </c>
      <c r="L2324">
        <v>4</v>
      </c>
      <c r="M2324">
        <v>2.1</v>
      </c>
      <c r="N2324">
        <v>2.5089999999999999</v>
      </c>
      <c r="O2324">
        <v>2.1122000000000001</v>
      </c>
    </row>
    <row r="2325" spans="1:15" x14ac:dyDescent="0.25">
      <c r="A2325" s="142" t="s">
        <v>585</v>
      </c>
      <c r="B2325" s="142" t="s">
        <v>51</v>
      </c>
      <c r="C2325" s="142" t="s">
        <v>55</v>
      </c>
      <c r="D2325">
        <v>110</v>
      </c>
      <c r="E2325">
        <v>205</v>
      </c>
      <c r="F2325">
        <v>0.01</v>
      </c>
      <c r="G2325" s="142" t="s">
        <v>13</v>
      </c>
      <c r="H2325" s="142" t="s">
        <v>12</v>
      </c>
      <c r="I2325">
        <v>0</v>
      </c>
      <c r="J2325">
        <v>0</v>
      </c>
      <c r="K2325" s="142" t="s">
        <v>1674</v>
      </c>
      <c r="L2325">
        <v>6.5</v>
      </c>
      <c r="M2325">
        <v>2.2999999999999998</v>
      </c>
      <c r="N2325">
        <v>4.5922000000000001</v>
      </c>
      <c r="O2325">
        <v>2.3086000000000002</v>
      </c>
    </row>
    <row r="2326" spans="1:15" x14ac:dyDescent="0.25">
      <c r="A2326" s="142" t="s">
        <v>589</v>
      </c>
      <c r="B2326" s="142" t="s">
        <v>51</v>
      </c>
      <c r="C2326" s="142" t="s">
        <v>55</v>
      </c>
      <c r="D2326">
        <v>205</v>
      </c>
      <c r="E2326">
        <v>206</v>
      </c>
      <c r="F2326">
        <v>0.01</v>
      </c>
      <c r="G2326" s="142" t="s">
        <v>13</v>
      </c>
      <c r="H2326" s="142" t="s">
        <v>12</v>
      </c>
      <c r="I2326">
        <v>0</v>
      </c>
      <c r="J2326">
        <v>0</v>
      </c>
      <c r="K2326" s="142" t="s">
        <v>1674</v>
      </c>
      <c r="L2326">
        <v>6.5</v>
      </c>
      <c r="M2326">
        <v>2.2999999999999998</v>
      </c>
      <c r="N2326">
        <v>4.5922000000000001</v>
      </c>
      <c r="O2326">
        <v>2.3086000000000002</v>
      </c>
    </row>
    <row r="2327" spans="1:15" x14ac:dyDescent="0.25">
      <c r="A2327" s="142" t="s">
        <v>574</v>
      </c>
      <c r="B2327" s="142" t="s">
        <v>51</v>
      </c>
      <c r="C2327" s="142" t="s">
        <v>55</v>
      </c>
      <c r="D2327">
        <v>1</v>
      </c>
      <c r="E2327">
        <v>11.000999999999999</v>
      </c>
      <c r="F2327">
        <v>0.1</v>
      </c>
      <c r="G2327" s="142" t="s">
        <v>13</v>
      </c>
      <c r="H2327" s="142" t="s">
        <v>12</v>
      </c>
      <c r="I2327">
        <v>0</v>
      </c>
      <c r="J2327">
        <v>0</v>
      </c>
      <c r="K2327" s="142" t="s">
        <v>1674</v>
      </c>
      <c r="L2327">
        <v>57.372</v>
      </c>
      <c r="M2327">
        <v>0.40227000000000002</v>
      </c>
      <c r="N2327">
        <v>57.371000000000002</v>
      </c>
      <c r="O2327">
        <v>0.40201999999999999</v>
      </c>
    </row>
    <row r="2328" spans="1:15" x14ac:dyDescent="0.25">
      <c r="A2328" s="142" t="s">
        <v>578</v>
      </c>
      <c r="B2328" s="142" t="s">
        <v>51</v>
      </c>
      <c r="C2328" s="142" t="s">
        <v>55</v>
      </c>
      <c r="D2328">
        <v>11</v>
      </c>
      <c r="E2328">
        <v>30.001000000000001</v>
      </c>
      <c r="F2328">
        <v>0.1</v>
      </c>
      <c r="G2328" s="142" t="s">
        <v>13</v>
      </c>
      <c r="H2328" s="142" t="s">
        <v>12</v>
      </c>
      <c r="I2328">
        <v>0</v>
      </c>
      <c r="J2328">
        <v>0</v>
      </c>
      <c r="K2328" s="142" t="s">
        <v>1674</v>
      </c>
      <c r="L2328">
        <v>49.094000000000001</v>
      </c>
      <c r="M2328">
        <v>1.1796</v>
      </c>
      <c r="N2328">
        <v>49.066000000000003</v>
      </c>
      <c r="O2328">
        <v>1.1772</v>
      </c>
    </row>
    <row r="2329" spans="1:15" x14ac:dyDescent="0.25">
      <c r="A2329" s="142" t="s">
        <v>583</v>
      </c>
      <c r="B2329" s="142" t="s">
        <v>51</v>
      </c>
      <c r="C2329" s="142" t="s">
        <v>55</v>
      </c>
      <c r="D2329">
        <v>30</v>
      </c>
      <c r="E2329">
        <v>110.01</v>
      </c>
      <c r="F2329">
        <v>0.1</v>
      </c>
      <c r="G2329" s="142" t="s">
        <v>13</v>
      </c>
      <c r="H2329" s="142" t="s">
        <v>12</v>
      </c>
      <c r="I2329">
        <v>0</v>
      </c>
      <c r="J2329">
        <v>0</v>
      </c>
      <c r="K2329" s="142" t="s">
        <v>1674</v>
      </c>
      <c r="L2329">
        <v>29.550999999999998</v>
      </c>
      <c r="M2329">
        <v>1.93</v>
      </c>
      <c r="N2329">
        <v>29.510999999999999</v>
      </c>
      <c r="O2329">
        <v>1.9297</v>
      </c>
    </row>
    <row r="2330" spans="1:15" x14ac:dyDescent="0.25">
      <c r="A2330" s="142" t="s">
        <v>1696</v>
      </c>
      <c r="B2330" s="142" t="s">
        <v>51</v>
      </c>
      <c r="C2330" s="142" t="s">
        <v>55</v>
      </c>
      <c r="D2330">
        <v>110</v>
      </c>
      <c r="E2330">
        <v>205</v>
      </c>
      <c r="F2330">
        <v>0.1</v>
      </c>
      <c r="G2330" s="142" t="s">
        <v>13</v>
      </c>
      <c r="H2330" s="142" t="s">
        <v>12</v>
      </c>
      <c r="I2330">
        <v>0</v>
      </c>
      <c r="J2330">
        <v>0</v>
      </c>
      <c r="K2330" s="142" t="s">
        <v>1674</v>
      </c>
      <c r="L2330">
        <v>14.301</v>
      </c>
      <c r="M2330">
        <v>2.2787999999999999</v>
      </c>
      <c r="N2330">
        <v>14.221</v>
      </c>
      <c r="O2330">
        <v>2.2784</v>
      </c>
    </row>
    <row r="2331" spans="1:15" x14ac:dyDescent="0.25">
      <c r="A2331" s="142" t="s">
        <v>590</v>
      </c>
      <c r="B2331" s="142" t="s">
        <v>51</v>
      </c>
      <c r="C2331" s="142" t="s">
        <v>55</v>
      </c>
      <c r="D2331">
        <v>205</v>
      </c>
      <c r="E2331">
        <v>206</v>
      </c>
      <c r="F2331">
        <v>0.1</v>
      </c>
      <c r="G2331" s="142" t="s">
        <v>13</v>
      </c>
      <c r="H2331" s="142" t="s">
        <v>12</v>
      </c>
      <c r="I2331">
        <v>0</v>
      </c>
      <c r="J2331">
        <v>0</v>
      </c>
      <c r="K2331" s="142" t="s">
        <v>1674</v>
      </c>
      <c r="L2331">
        <v>14.301</v>
      </c>
      <c r="M2331">
        <v>2.2787999999999999</v>
      </c>
      <c r="N2331">
        <v>14.221</v>
      </c>
      <c r="O2331">
        <v>2.2784</v>
      </c>
    </row>
    <row r="2332" spans="1:15" x14ac:dyDescent="0.25">
      <c r="A2332" s="142" t="s">
        <v>575</v>
      </c>
      <c r="B2332" s="142" t="s">
        <v>51</v>
      </c>
      <c r="C2332" s="142" t="s">
        <v>55</v>
      </c>
      <c r="D2332">
        <v>1</v>
      </c>
      <c r="E2332">
        <v>11.000999999999999</v>
      </c>
      <c r="F2332">
        <v>1</v>
      </c>
      <c r="G2332" s="142" t="s">
        <v>13</v>
      </c>
      <c r="H2332" s="142" t="s">
        <v>12</v>
      </c>
      <c r="I2332">
        <v>0</v>
      </c>
      <c r="J2332">
        <v>0</v>
      </c>
      <c r="K2332" s="142" t="s">
        <v>1674</v>
      </c>
      <c r="L2332">
        <v>577.32000000000005</v>
      </c>
      <c r="M2332">
        <v>4.1721000000000001E-2</v>
      </c>
      <c r="N2332">
        <v>577.32000000000005</v>
      </c>
      <c r="O2332">
        <v>4.1612999999999997E-2</v>
      </c>
    </row>
    <row r="2333" spans="1:15" x14ac:dyDescent="0.25">
      <c r="A2333" s="142" t="s">
        <v>579</v>
      </c>
      <c r="B2333" s="142" t="s">
        <v>51</v>
      </c>
      <c r="C2333" s="142" t="s">
        <v>55</v>
      </c>
      <c r="D2333">
        <v>11</v>
      </c>
      <c r="E2333">
        <v>30.001000000000001</v>
      </c>
      <c r="F2333">
        <v>1</v>
      </c>
      <c r="G2333" s="142" t="s">
        <v>13</v>
      </c>
      <c r="H2333" s="142" t="s">
        <v>12</v>
      </c>
      <c r="I2333">
        <v>0</v>
      </c>
      <c r="J2333">
        <v>0</v>
      </c>
      <c r="K2333" s="142" t="s">
        <v>1674</v>
      </c>
      <c r="L2333">
        <v>576.16999999999996</v>
      </c>
      <c r="M2333">
        <v>0.15057999999999999</v>
      </c>
      <c r="N2333">
        <v>576.16</v>
      </c>
      <c r="O2333">
        <v>0.14877000000000001</v>
      </c>
    </row>
    <row r="2334" spans="1:15" x14ac:dyDescent="0.25">
      <c r="A2334" s="142" t="s">
        <v>1694</v>
      </c>
      <c r="B2334" s="142" t="s">
        <v>51</v>
      </c>
      <c r="C2334" s="142" t="s">
        <v>55</v>
      </c>
      <c r="D2334">
        <v>30</v>
      </c>
      <c r="E2334">
        <v>110.01</v>
      </c>
      <c r="F2334">
        <v>1</v>
      </c>
      <c r="G2334" s="142" t="s">
        <v>13</v>
      </c>
      <c r="H2334" s="142" t="s">
        <v>12</v>
      </c>
      <c r="I2334">
        <v>0</v>
      </c>
      <c r="J2334">
        <v>0</v>
      </c>
      <c r="K2334" s="142" t="s">
        <v>1674</v>
      </c>
      <c r="L2334">
        <v>565.25</v>
      </c>
      <c r="M2334">
        <v>0.52854000000000001</v>
      </c>
      <c r="N2334">
        <v>565.25</v>
      </c>
      <c r="O2334">
        <v>0.52742999999999995</v>
      </c>
    </row>
    <row r="2335" spans="1:15" x14ac:dyDescent="0.25">
      <c r="A2335" s="142" t="s">
        <v>586</v>
      </c>
      <c r="B2335" s="142" t="s">
        <v>51</v>
      </c>
      <c r="C2335" s="142" t="s">
        <v>55</v>
      </c>
      <c r="D2335">
        <v>110</v>
      </c>
      <c r="E2335">
        <v>205</v>
      </c>
      <c r="F2335">
        <v>1</v>
      </c>
      <c r="G2335" s="142" t="s">
        <v>13</v>
      </c>
      <c r="H2335" s="142" t="s">
        <v>12</v>
      </c>
      <c r="I2335">
        <v>0</v>
      </c>
      <c r="J2335">
        <v>0</v>
      </c>
      <c r="K2335" s="142" t="s">
        <v>1674</v>
      </c>
      <c r="L2335">
        <v>497.21</v>
      </c>
      <c r="M2335">
        <v>1.2323999999999999</v>
      </c>
      <c r="N2335">
        <v>497.26</v>
      </c>
      <c r="O2335">
        <v>1.2301</v>
      </c>
    </row>
    <row r="2336" spans="1:15" x14ac:dyDescent="0.25">
      <c r="A2336" s="142" t="s">
        <v>591</v>
      </c>
      <c r="B2336" s="142" t="s">
        <v>51</v>
      </c>
      <c r="C2336" s="142" t="s">
        <v>55</v>
      </c>
      <c r="D2336">
        <v>205</v>
      </c>
      <c r="E2336">
        <v>206</v>
      </c>
      <c r="F2336">
        <v>1</v>
      </c>
      <c r="G2336" s="142" t="s">
        <v>13</v>
      </c>
      <c r="H2336" s="142" t="s">
        <v>12</v>
      </c>
      <c r="I2336">
        <v>0</v>
      </c>
      <c r="J2336">
        <v>0</v>
      </c>
      <c r="K2336" s="142" t="s">
        <v>1674</v>
      </c>
      <c r="L2336">
        <v>497.21</v>
      </c>
      <c r="M2336">
        <v>1.2323999999999999</v>
      </c>
      <c r="N2336">
        <v>497.26</v>
      </c>
      <c r="O2336">
        <v>1.2301</v>
      </c>
    </row>
    <row r="2337" spans="1:15" x14ac:dyDescent="0.25">
      <c r="A2337" s="142" t="s">
        <v>580</v>
      </c>
      <c r="B2337" s="142" t="s">
        <v>51</v>
      </c>
      <c r="C2337" s="142" t="s">
        <v>55</v>
      </c>
      <c r="D2337">
        <v>11</v>
      </c>
      <c r="E2337">
        <v>30.001000000000001</v>
      </c>
      <c r="F2337">
        <v>10</v>
      </c>
      <c r="G2337" s="142" t="s">
        <v>13</v>
      </c>
      <c r="H2337" s="142" t="s">
        <v>12</v>
      </c>
      <c r="I2337">
        <v>0</v>
      </c>
      <c r="J2337">
        <v>0</v>
      </c>
      <c r="K2337" s="142" t="s">
        <v>1674</v>
      </c>
      <c r="L2337">
        <v>5773.4</v>
      </c>
      <c r="M2337">
        <v>1.5656E-2</v>
      </c>
      <c r="N2337">
        <v>5773.4</v>
      </c>
      <c r="O2337">
        <v>1.4925000000000001E-2</v>
      </c>
    </row>
    <row r="2338" spans="1:15" x14ac:dyDescent="0.25">
      <c r="A2338" s="142" t="s">
        <v>584</v>
      </c>
      <c r="B2338" s="142" t="s">
        <v>51</v>
      </c>
      <c r="C2338" s="142" t="s">
        <v>55</v>
      </c>
      <c r="D2338">
        <v>30</v>
      </c>
      <c r="E2338">
        <v>110.01</v>
      </c>
      <c r="F2338">
        <v>10</v>
      </c>
      <c r="G2338" s="142" t="s">
        <v>13</v>
      </c>
      <c r="H2338" s="142" t="s">
        <v>12</v>
      </c>
      <c r="I2338">
        <v>0</v>
      </c>
      <c r="J2338">
        <v>0</v>
      </c>
      <c r="K2338" s="142" t="s">
        <v>1674</v>
      </c>
      <c r="L2338">
        <v>5772.3</v>
      </c>
      <c r="M2338">
        <v>5.5474999999999997E-2</v>
      </c>
      <c r="N2338">
        <v>5772.3</v>
      </c>
      <c r="O2338">
        <v>5.4984999999999999E-2</v>
      </c>
    </row>
    <row r="2339" spans="1:15" x14ac:dyDescent="0.25">
      <c r="A2339" s="142" t="s">
        <v>587</v>
      </c>
      <c r="B2339" s="142" t="s">
        <v>51</v>
      </c>
      <c r="C2339" s="142" t="s">
        <v>55</v>
      </c>
      <c r="D2339">
        <v>110</v>
      </c>
      <c r="E2339">
        <v>205</v>
      </c>
      <c r="F2339">
        <v>10</v>
      </c>
      <c r="G2339" s="142" t="s">
        <v>13</v>
      </c>
      <c r="H2339" s="142" t="s">
        <v>12</v>
      </c>
      <c r="I2339">
        <v>0</v>
      </c>
      <c r="J2339">
        <v>0</v>
      </c>
      <c r="K2339" s="142" t="s">
        <v>1674</v>
      </c>
      <c r="L2339">
        <v>5763.1</v>
      </c>
      <c r="M2339">
        <v>0.14824000000000001</v>
      </c>
      <c r="N2339">
        <v>5763.2</v>
      </c>
      <c r="O2339">
        <v>0.1469</v>
      </c>
    </row>
    <row r="2340" spans="1:15" x14ac:dyDescent="0.25">
      <c r="A2340" s="142" t="s">
        <v>1697</v>
      </c>
      <c r="B2340" s="142" t="s">
        <v>51</v>
      </c>
      <c r="C2340" s="142" t="s">
        <v>55</v>
      </c>
      <c r="D2340">
        <v>205</v>
      </c>
      <c r="E2340">
        <v>206</v>
      </c>
      <c r="F2340">
        <v>10</v>
      </c>
      <c r="G2340" s="142" t="s">
        <v>13</v>
      </c>
      <c r="H2340" s="142" t="s">
        <v>12</v>
      </c>
      <c r="I2340">
        <v>0</v>
      </c>
      <c r="J2340">
        <v>0</v>
      </c>
      <c r="K2340" s="142" t="s">
        <v>1674</v>
      </c>
      <c r="L2340">
        <v>5763.1</v>
      </c>
      <c r="M2340">
        <v>0.14824000000000001</v>
      </c>
      <c r="N2340">
        <v>5763.2</v>
      </c>
      <c r="O2340">
        <v>0.1469</v>
      </c>
    </row>
    <row r="2341" spans="1:15" x14ac:dyDescent="0.25">
      <c r="A2341" s="142" t="s">
        <v>581</v>
      </c>
      <c r="B2341" s="142" t="s">
        <v>51</v>
      </c>
      <c r="C2341" s="142" t="s">
        <v>55</v>
      </c>
      <c r="D2341">
        <v>11</v>
      </c>
      <c r="E2341">
        <v>30.001000000000001</v>
      </c>
      <c r="F2341">
        <v>100</v>
      </c>
      <c r="G2341" s="142" t="s">
        <v>13</v>
      </c>
      <c r="H2341" s="142" t="s">
        <v>12</v>
      </c>
      <c r="I2341">
        <v>0</v>
      </c>
      <c r="J2341">
        <v>0</v>
      </c>
      <c r="K2341" s="142" t="s">
        <v>1674</v>
      </c>
      <c r="L2341">
        <v>57736</v>
      </c>
      <c r="M2341">
        <v>1.7851E-3</v>
      </c>
      <c r="N2341">
        <v>57735</v>
      </c>
      <c r="O2341">
        <v>1.4924999999999999E-3</v>
      </c>
    </row>
    <row r="2342" spans="1:15" x14ac:dyDescent="0.25">
      <c r="A2342" s="142" t="s">
        <v>1695</v>
      </c>
      <c r="B2342" s="142" t="s">
        <v>51</v>
      </c>
      <c r="C2342" s="142" t="s">
        <v>55</v>
      </c>
      <c r="D2342">
        <v>30</v>
      </c>
      <c r="E2342">
        <v>110.01</v>
      </c>
      <c r="F2342">
        <v>100</v>
      </c>
      <c r="G2342" s="142" t="s">
        <v>13</v>
      </c>
      <c r="H2342" s="142" t="s">
        <v>12</v>
      </c>
      <c r="I2342">
        <v>0</v>
      </c>
      <c r="J2342">
        <v>0</v>
      </c>
      <c r="K2342" s="142" t="s">
        <v>1674</v>
      </c>
      <c r="L2342">
        <v>57735</v>
      </c>
      <c r="M2342">
        <v>5.6968000000000001E-3</v>
      </c>
      <c r="N2342">
        <v>57735</v>
      </c>
      <c r="O2342">
        <v>5.5009999999999998E-3</v>
      </c>
    </row>
    <row r="2343" spans="1:15" x14ac:dyDescent="0.25">
      <c r="A2343" s="142" t="s">
        <v>588</v>
      </c>
      <c r="B2343" s="142" t="s">
        <v>51</v>
      </c>
      <c r="C2343" s="142" t="s">
        <v>55</v>
      </c>
      <c r="D2343">
        <v>110</v>
      </c>
      <c r="E2343">
        <v>205</v>
      </c>
      <c r="F2343">
        <v>100</v>
      </c>
      <c r="G2343" s="142" t="s">
        <v>13</v>
      </c>
      <c r="H2343" s="142" t="s">
        <v>12</v>
      </c>
      <c r="I2343">
        <v>0</v>
      </c>
      <c r="J2343">
        <v>0</v>
      </c>
      <c r="K2343" s="142" t="s">
        <v>1674</v>
      </c>
      <c r="L2343">
        <v>57734</v>
      </c>
      <c r="M2343">
        <v>1.5259999999999999E-2</v>
      </c>
      <c r="N2343">
        <v>57734</v>
      </c>
      <c r="O2343">
        <v>1.4722000000000001E-2</v>
      </c>
    </row>
    <row r="2344" spans="1:15" x14ac:dyDescent="0.25">
      <c r="A2344" s="142" t="s">
        <v>592</v>
      </c>
      <c r="B2344" s="142" t="s">
        <v>51</v>
      </c>
      <c r="C2344" s="142" t="s">
        <v>55</v>
      </c>
      <c r="D2344">
        <v>205</v>
      </c>
      <c r="E2344">
        <v>206</v>
      </c>
      <c r="F2344">
        <v>100</v>
      </c>
      <c r="G2344" s="142" t="s">
        <v>13</v>
      </c>
      <c r="H2344" s="142" t="s">
        <v>12</v>
      </c>
      <c r="I2344">
        <v>0</v>
      </c>
      <c r="J2344">
        <v>0</v>
      </c>
      <c r="K2344" s="142" t="s">
        <v>1674</v>
      </c>
      <c r="L2344">
        <v>57734</v>
      </c>
      <c r="M2344">
        <v>1.5259999999999999E-2</v>
      </c>
      <c r="N2344">
        <v>57734</v>
      </c>
      <c r="O2344">
        <v>1.4722000000000001E-2</v>
      </c>
    </row>
    <row r="2345" spans="1:15" x14ac:dyDescent="0.25">
      <c r="A2345" s="142" t="s">
        <v>556</v>
      </c>
      <c r="B2345" s="142" t="s">
        <v>51</v>
      </c>
      <c r="C2345" s="142" t="s">
        <v>56</v>
      </c>
      <c r="D2345">
        <v>20</v>
      </c>
      <c r="E2345">
        <v>60.01</v>
      </c>
      <c r="F2345">
        <v>1E-3</v>
      </c>
      <c r="G2345" s="142" t="s">
        <v>13</v>
      </c>
      <c r="H2345" s="142" t="s">
        <v>12</v>
      </c>
      <c r="I2345">
        <v>0</v>
      </c>
      <c r="J2345">
        <v>0</v>
      </c>
      <c r="K2345" s="142" t="s">
        <v>1674</v>
      </c>
      <c r="L2345">
        <v>3.9</v>
      </c>
      <c r="M2345">
        <v>2.1</v>
      </c>
      <c r="N2345">
        <v>0.23927999999999999</v>
      </c>
      <c r="O2345">
        <v>2.0472999999999999</v>
      </c>
    </row>
    <row r="2346" spans="1:15" x14ac:dyDescent="0.25">
      <c r="A2346" s="142" t="s">
        <v>561</v>
      </c>
      <c r="B2346" s="142" t="s">
        <v>51</v>
      </c>
      <c r="C2346" s="142" t="s">
        <v>56</v>
      </c>
      <c r="D2346">
        <v>60</v>
      </c>
      <c r="E2346">
        <v>220.01</v>
      </c>
      <c r="F2346">
        <v>1E-3</v>
      </c>
      <c r="G2346" s="142" t="s">
        <v>13</v>
      </c>
      <c r="H2346" s="142" t="s">
        <v>12</v>
      </c>
      <c r="I2346">
        <v>0</v>
      </c>
      <c r="J2346">
        <v>0</v>
      </c>
      <c r="K2346" s="142" t="s">
        <v>1674</v>
      </c>
      <c r="L2346">
        <v>19</v>
      </c>
      <c r="M2346">
        <v>2.2000000000000002</v>
      </c>
      <c r="N2346">
        <v>4.5221</v>
      </c>
      <c r="O2346">
        <v>2.1139999999999999</v>
      </c>
    </row>
    <row r="2347" spans="1:15" x14ac:dyDescent="0.25">
      <c r="A2347" s="142" t="s">
        <v>557</v>
      </c>
      <c r="B2347" s="142" t="s">
        <v>51</v>
      </c>
      <c r="C2347" s="142" t="s">
        <v>56</v>
      </c>
      <c r="D2347">
        <v>20</v>
      </c>
      <c r="E2347">
        <v>60.01</v>
      </c>
      <c r="F2347">
        <v>0.01</v>
      </c>
      <c r="G2347" s="142" t="s">
        <v>13</v>
      </c>
      <c r="H2347" s="142" t="s">
        <v>12</v>
      </c>
      <c r="I2347">
        <v>0</v>
      </c>
      <c r="J2347">
        <v>0</v>
      </c>
      <c r="K2347" s="142" t="s">
        <v>1674</v>
      </c>
      <c r="L2347">
        <v>3.9</v>
      </c>
      <c r="M2347">
        <v>2.1</v>
      </c>
      <c r="N2347">
        <v>0.76998</v>
      </c>
      <c r="O2347">
        <v>2.0407000000000002</v>
      </c>
    </row>
    <row r="2348" spans="1:15" x14ac:dyDescent="0.25">
      <c r="A2348" s="142" t="s">
        <v>1699</v>
      </c>
      <c r="B2348" s="142" t="s">
        <v>51</v>
      </c>
      <c r="C2348" s="142" t="s">
        <v>56</v>
      </c>
      <c r="D2348">
        <v>60</v>
      </c>
      <c r="E2348">
        <v>220.01</v>
      </c>
      <c r="F2348">
        <v>0.01</v>
      </c>
      <c r="G2348" s="142" t="s">
        <v>13</v>
      </c>
      <c r="H2348" s="142" t="s">
        <v>12</v>
      </c>
      <c r="I2348">
        <v>0</v>
      </c>
      <c r="J2348">
        <v>0</v>
      </c>
      <c r="K2348" s="142" t="s">
        <v>1674</v>
      </c>
      <c r="L2348">
        <v>19</v>
      </c>
      <c r="M2348">
        <v>2.2000000000000002</v>
      </c>
      <c r="N2348">
        <v>19.725999999999999</v>
      </c>
      <c r="O2348">
        <v>2.0608</v>
      </c>
    </row>
    <row r="2349" spans="1:15" x14ac:dyDescent="0.25">
      <c r="A2349" s="142" t="s">
        <v>565</v>
      </c>
      <c r="B2349" s="142" t="s">
        <v>51</v>
      </c>
      <c r="C2349" s="142" t="s">
        <v>56</v>
      </c>
      <c r="D2349">
        <v>220</v>
      </c>
      <c r="E2349">
        <v>410</v>
      </c>
      <c r="F2349">
        <v>0.01</v>
      </c>
      <c r="G2349" s="142" t="s">
        <v>13</v>
      </c>
      <c r="H2349" s="142" t="s">
        <v>12</v>
      </c>
      <c r="I2349">
        <v>0</v>
      </c>
      <c r="J2349">
        <v>0</v>
      </c>
      <c r="K2349" s="142" t="s">
        <v>1674</v>
      </c>
      <c r="L2349">
        <v>13</v>
      </c>
      <c r="M2349">
        <v>2.2999999999999998</v>
      </c>
      <c r="N2349">
        <v>9.0436999999999994</v>
      </c>
      <c r="O2349">
        <v>2.3088000000000002</v>
      </c>
    </row>
    <row r="2350" spans="1:15" x14ac:dyDescent="0.25">
      <c r="A2350" s="142" t="s">
        <v>1702</v>
      </c>
      <c r="B2350" s="142" t="s">
        <v>51</v>
      </c>
      <c r="C2350" s="142" t="s">
        <v>56</v>
      </c>
      <c r="D2350">
        <v>410</v>
      </c>
      <c r="E2350">
        <v>411</v>
      </c>
      <c r="F2350">
        <v>0.01</v>
      </c>
      <c r="G2350" s="142" t="s">
        <v>13</v>
      </c>
      <c r="H2350" s="142" t="s">
        <v>12</v>
      </c>
      <c r="I2350">
        <v>0</v>
      </c>
      <c r="J2350">
        <v>0</v>
      </c>
      <c r="K2350" s="142" t="s">
        <v>1674</v>
      </c>
      <c r="L2350">
        <v>13</v>
      </c>
      <c r="M2350">
        <v>2.2999999999999998</v>
      </c>
      <c r="N2350">
        <v>9.0436999999999994</v>
      </c>
      <c r="O2350">
        <v>2.3088000000000002</v>
      </c>
    </row>
    <row r="2351" spans="1:15" x14ac:dyDescent="0.25">
      <c r="A2351" s="142" t="s">
        <v>558</v>
      </c>
      <c r="B2351" s="142" t="s">
        <v>51</v>
      </c>
      <c r="C2351" s="142" t="s">
        <v>56</v>
      </c>
      <c r="D2351">
        <v>20</v>
      </c>
      <c r="E2351">
        <v>60.01</v>
      </c>
      <c r="F2351">
        <v>0.1</v>
      </c>
      <c r="G2351" s="142" t="s">
        <v>13</v>
      </c>
      <c r="H2351" s="142" t="s">
        <v>12</v>
      </c>
      <c r="I2351">
        <v>0</v>
      </c>
      <c r="J2351">
        <v>0</v>
      </c>
      <c r="K2351" s="142" t="s">
        <v>1674</v>
      </c>
      <c r="L2351">
        <v>38.447000000000003</v>
      </c>
      <c r="M2351">
        <v>1.6259999999999999</v>
      </c>
      <c r="N2351">
        <v>38.404000000000003</v>
      </c>
      <c r="O2351">
        <v>1.6256999999999999</v>
      </c>
    </row>
    <row r="2352" spans="1:15" x14ac:dyDescent="0.25">
      <c r="A2352" s="142" t="s">
        <v>562</v>
      </c>
      <c r="B2352" s="142" t="s">
        <v>51</v>
      </c>
      <c r="C2352" s="142" t="s">
        <v>56</v>
      </c>
      <c r="D2352">
        <v>60</v>
      </c>
      <c r="E2352">
        <v>220.01</v>
      </c>
      <c r="F2352">
        <v>0.1</v>
      </c>
      <c r="G2352" s="142" t="s">
        <v>13</v>
      </c>
      <c r="H2352" s="142" t="s">
        <v>12</v>
      </c>
      <c r="I2352">
        <v>0</v>
      </c>
      <c r="J2352">
        <v>0</v>
      </c>
      <c r="K2352" s="142" t="s">
        <v>1674</v>
      </c>
      <c r="L2352">
        <v>535.04</v>
      </c>
      <c r="M2352">
        <v>0.95226</v>
      </c>
      <c r="N2352">
        <v>535.04</v>
      </c>
      <c r="O2352">
        <v>0.95071000000000006</v>
      </c>
    </row>
    <row r="2353" spans="1:15" x14ac:dyDescent="0.25">
      <c r="A2353" s="142" t="s">
        <v>566</v>
      </c>
      <c r="B2353" s="142" t="s">
        <v>51</v>
      </c>
      <c r="C2353" s="142" t="s">
        <v>56</v>
      </c>
      <c r="D2353">
        <v>220</v>
      </c>
      <c r="E2353">
        <v>410</v>
      </c>
      <c r="F2353">
        <v>0.1</v>
      </c>
      <c r="G2353" s="142" t="s">
        <v>13</v>
      </c>
      <c r="H2353" s="142" t="s">
        <v>12</v>
      </c>
      <c r="I2353">
        <v>0</v>
      </c>
      <c r="J2353">
        <v>0</v>
      </c>
      <c r="K2353" s="142" t="s">
        <v>1674</v>
      </c>
      <c r="L2353">
        <v>13.978</v>
      </c>
      <c r="M2353">
        <v>2.3014000000000001</v>
      </c>
      <c r="N2353">
        <v>13.925000000000001</v>
      </c>
      <c r="O2353">
        <v>2.3010999999999999</v>
      </c>
    </row>
    <row r="2354" spans="1:15" x14ac:dyDescent="0.25">
      <c r="A2354" s="142" t="s">
        <v>1703</v>
      </c>
      <c r="B2354" s="142" t="s">
        <v>51</v>
      </c>
      <c r="C2354" s="142" t="s">
        <v>56</v>
      </c>
      <c r="D2354">
        <v>410</v>
      </c>
      <c r="E2354">
        <v>411</v>
      </c>
      <c r="F2354">
        <v>0.1</v>
      </c>
      <c r="G2354" s="142" t="s">
        <v>13</v>
      </c>
      <c r="H2354" s="142" t="s">
        <v>12</v>
      </c>
      <c r="I2354">
        <v>0</v>
      </c>
      <c r="J2354">
        <v>0</v>
      </c>
      <c r="K2354" s="142" t="s">
        <v>1674</v>
      </c>
      <c r="L2354">
        <v>13.978</v>
      </c>
      <c r="M2354">
        <v>2.3014000000000001</v>
      </c>
      <c r="N2354">
        <v>13.925000000000001</v>
      </c>
      <c r="O2354">
        <v>2.3010999999999999</v>
      </c>
    </row>
    <row r="2355" spans="1:15" x14ac:dyDescent="0.25">
      <c r="A2355" s="142" t="s">
        <v>559</v>
      </c>
      <c r="B2355" s="142" t="s">
        <v>51</v>
      </c>
      <c r="C2355" s="142" t="s">
        <v>56</v>
      </c>
      <c r="D2355">
        <v>20</v>
      </c>
      <c r="E2355">
        <v>60.01</v>
      </c>
      <c r="F2355">
        <v>1</v>
      </c>
      <c r="G2355" s="142" t="s">
        <v>13</v>
      </c>
      <c r="H2355" s="142" t="s">
        <v>12</v>
      </c>
      <c r="I2355">
        <v>0</v>
      </c>
      <c r="J2355">
        <v>0</v>
      </c>
      <c r="K2355" s="142" t="s">
        <v>1674</v>
      </c>
      <c r="L2355">
        <v>573.08000000000004</v>
      </c>
      <c r="M2355">
        <v>0.28848000000000001</v>
      </c>
      <c r="N2355">
        <v>573.07000000000005</v>
      </c>
      <c r="O2355">
        <v>0.28764000000000001</v>
      </c>
    </row>
    <row r="2356" spans="1:15" x14ac:dyDescent="0.25">
      <c r="A2356" s="142" t="s">
        <v>563</v>
      </c>
      <c r="B2356" s="142" t="s">
        <v>51</v>
      </c>
      <c r="C2356" s="142" t="s">
        <v>56</v>
      </c>
      <c r="D2356">
        <v>60</v>
      </c>
      <c r="E2356">
        <v>220.01</v>
      </c>
      <c r="F2356">
        <v>1</v>
      </c>
      <c r="G2356" s="142" t="s">
        <v>13</v>
      </c>
      <c r="H2356" s="142" t="s">
        <v>12</v>
      </c>
      <c r="I2356">
        <v>0</v>
      </c>
      <c r="J2356">
        <v>0</v>
      </c>
      <c r="K2356" s="142" t="s">
        <v>1674</v>
      </c>
      <c r="L2356">
        <v>5768.4</v>
      </c>
      <c r="M2356">
        <v>0.11068</v>
      </c>
      <c r="N2356">
        <v>5768.5</v>
      </c>
      <c r="O2356">
        <v>0.10982</v>
      </c>
    </row>
    <row r="2357" spans="1:15" x14ac:dyDescent="0.25">
      <c r="A2357" s="142" t="s">
        <v>567</v>
      </c>
      <c r="B2357" s="142" t="s">
        <v>51</v>
      </c>
      <c r="C2357" s="142" t="s">
        <v>56</v>
      </c>
      <c r="D2357">
        <v>220</v>
      </c>
      <c r="E2357">
        <v>410</v>
      </c>
      <c r="F2357">
        <v>1</v>
      </c>
      <c r="G2357" s="142" t="s">
        <v>13</v>
      </c>
      <c r="H2357" s="142" t="s">
        <v>12</v>
      </c>
      <c r="I2357">
        <v>0</v>
      </c>
      <c r="J2357">
        <v>0</v>
      </c>
      <c r="K2357" s="142" t="s">
        <v>1674</v>
      </c>
      <c r="L2357">
        <v>379.54</v>
      </c>
      <c r="M2357">
        <v>1.7988999999999999</v>
      </c>
      <c r="N2357">
        <v>379.5</v>
      </c>
      <c r="O2357">
        <v>1.7976000000000001</v>
      </c>
    </row>
    <row r="2358" spans="1:15" x14ac:dyDescent="0.25">
      <c r="A2358" s="142" t="s">
        <v>569</v>
      </c>
      <c r="B2358" s="142" t="s">
        <v>51</v>
      </c>
      <c r="C2358" s="142" t="s">
        <v>56</v>
      </c>
      <c r="D2358">
        <v>410</v>
      </c>
      <c r="E2358">
        <v>411</v>
      </c>
      <c r="F2358">
        <v>1</v>
      </c>
      <c r="G2358" s="142" t="s">
        <v>13</v>
      </c>
      <c r="H2358" s="142" t="s">
        <v>12</v>
      </c>
      <c r="I2358">
        <v>0</v>
      </c>
      <c r="J2358">
        <v>0</v>
      </c>
      <c r="K2358" s="142" t="s">
        <v>1674</v>
      </c>
      <c r="L2358">
        <v>379.54</v>
      </c>
      <c r="M2358">
        <v>1.7988999999999999</v>
      </c>
      <c r="N2358">
        <v>379.5</v>
      </c>
      <c r="O2358">
        <v>1.7976000000000001</v>
      </c>
    </row>
    <row r="2359" spans="1:15" x14ac:dyDescent="0.25">
      <c r="A2359" s="142" t="s">
        <v>1698</v>
      </c>
      <c r="B2359" s="142" t="s">
        <v>51</v>
      </c>
      <c r="C2359" s="142" t="s">
        <v>56</v>
      </c>
      <c r="D2359">
        <v>20</v>
      </c>
      <c r="E2359">
        <v>60.01</v>
      </c>
      <c r="F2359">
        <v>10</v>
      </c>
      <c r="G2359" s="142" t="s">
        <v>13</v>
      </c>
      <c r="H2359" s="142" t="s">
        <v>12</v>
      </c>
      <c r="I2359">
        <v>0</v>
      </c>
      <c r="J2359">
        <v>0</v>
      </c>
      <c r="K2359" s="142" t="s">
        <v>1674</v>
      </c>
      <c r="L2359">
        <v>5773.1</v>
      </c>
      <c r="M2359">
        <v>2.9468000000000001E-2</v>
      </c>
      <c r="N2359">
        <v>5773.1</v>
      </c>
      <c r="O2359">
        <v>2.912E-2</v>
      </c>
    </row>
    <row r="2360" spans="1:15" x14ac:dyDescent="0.25">
      <c r="A2360" s="142" t="s">
        <v>564</v>
      </c>
      <c r="B2360" s="142" t="s">
        <v>51</v>
      </c>
      <c r="C2360" s="142" t="s">
        <v>56</v>
      </c>
      <c r="D2360">
        <v>60</v>
      </c>
      <c r="E2360">
        <v>220.01</v>
      </c>
      <c r="F2360">
        <v>10</v>
      </c>
      <c r="G2360" s="142" t="s">
        <v>13</v>
      </c>
      <c r="H2360" s="142" t="s">
        <v>12</v>
      </c>
      <c r="I2360">
        <v>0</v>
      </c>
      <c r="J2360">
        <v>0</v>
      </c>
      <c r="K2360" s="142" t="s">
        <v>1674</v>
      </c>
      <c r="L2360">
        <v>57735</v>
      </c>
      <c r="M2360">
        <v>1.1346999999999999E-2</v>
      </c>
      <c r="N2360">
        <v>57735</v>
      </c>
      <c r="O2360">
        <v>1.1002E-2</v>
      </c>
    </row>
    <row r="2361" spans="1:15" x14ac:dyDescent="0.25">
      <c r="A2361" s="142" t="s">
        <v>1701</v>
      </c>
      <c r="B2361" s="142" t="s">
        <v>51</v>
      </c>
      <c r="C2361" s="142" t="s">
        <v>56</v>
      </c>
      <c r="D2361">
        <v>220</v>
      </c>
      <c r="E2361">
        <v>410</v>
      </c>
      <c r="F2361">
        <v>10</v>
      </c>
      <c r="G2361" s="142" t="s">
        <v>13</v>
      </c>
      <c r="H2361" s="142" t="s">
        <v>12</v>
      </c>
      <c r="I2361">
        <v>0</v>
      </c>
      <c r="J2361">
        <v>0</v>
      </c>
      <c r="K2361" s="142" t="s">
        <v>1674</v>
      </c>
      <c r="L2361">
        <v>5732.3</v>
      </c>
      <c r="M2361">
        <v>0.29332000000000003</v>
      </c>
      <c r="N2361">
        <v>5732.4</v>
      </c>
      <c r="O2361">
        <v>0.29187999999999997</v>
      </c>
    </row>
    <row r="2362" spans="1:15" x14ac:dyDescent="0.25">
      <c r="A2362" s="142" t="s">
        <v>570</v>
      </c>
      <c r="B2362" s="142" t="s">
        <v>51</v>
      </c>
      <c r="C2362" s="142" t="s">
        <v>56</v>
      </c>
      <c r="D2362">
        <v>410</v>
      </c>
      <c r="E2362">
        <v>411</v>
      </c>
      <c r="F2362">
        <v>10</v>
      </c>
      <c r="G2362" s="142" t="s">
        <v>13</v>
      </c>
      <c r="H2362" s="142" t="s">
        <v>12</v>
      </c>
      <c r="I2362">
        <v>0</v>
      </c>
      <c r="J2362">
        <v>0</v>
      </c>
      <c r="K2362" s="142" t="s">
        <v>1674</v>
      </c>
      <c r="L2362">
        <v>5732.3</v>
      </c>
      <c r="M2362">
        <v>0.29332000000000003</v>
      </c>
      <c r="N2362">
        <v>5732.4</v>
      </c>
      <c r="O2362">
        <v>0.29187999999999997</v>
      </c>
    </row>
    <row r="2363" spans="1:15" x14ac:dyDescent="0.25">
      <c r="A2363" s="142" t="s">
        <v>560</v>
      </c>
      <c r="B2363" s="142" t="s">
        <v>51</v>
      </c>
      <c r="C2363" s="142" t="s">
        <v>56</v>
      </c>
      <c r="D2363">
        <v>20</v>
      </c>
      <c r="E2363">
        <v>60.01</v>
      </c>
      <c r="F2363">
        <v>100</v>
      </c>
      <c r="G2363" s="142" t="s">
        <v>13</v>
      </c>
      <c r="H2363" s="142" t="s">
        <v>12</v>
      </c>
      <c r="I2363">
        <v>0</v>
      </c>
      <c r="J2363">
        <v>0</v>
      </c>
      <c r="K2363" s="142" t="s">
        <v>1674</v>
      </c>
      <c r="L2363">
        <v>57735</v>
      </c>
      <c r="M2363">
        <v>3.0514000000000001E-3</v>
      </c>
      <c r="N2363">
        <v>57735</v>
      </c>
      <c r="O2363">
        <v>2.9123999999999999E-3</v>
      </c>
    </row>
    <row r="2364" spans="1:15" x14ac:dyDescent="0.25">
      <c r="A2364" s="142" t="s">
        <v>1700</v>
      </c>
      <c r="B2364" s="142" t="s">
        <v>51</v>
      </c>
      <c r="C2364" s="142" t="s">
        <v>56</v>
      </c>
      <c r="D2364">
        <v>60</v>
      </c>
      <c r="E2364">
        <v>220.01</v>
      </c>
      <c r="F2364">
        <v>100</v>
      </c>
      <c r="G2364" s="142" t="s">
        <v>13</v>
      </c>
      <c r="H2364" s="142" t="s">
        <v>12</v>
      </c>
      <c r="I2364">
        <v>0</v>
      </c>
      <c r="J2364">
        <v>0</v>
      </c>
      <c r="K2364" s="142" t="s">
        <v>1674</v>
      </c>
      <c r="L2364">
        <v>577360</v>
      </c>
      <c r="M2364">
        <v>1.2382000000000001E-3</v>
      </c>
      <c r="N2364">
        <v>577350</v>
      </c>
      <c r="O2364">
        <v>1.1002E-3</v>
      </c>
    </row>
    <row r="2365" spans="1:15" x14ac:dyDescent="0.25">
      <c r="A2365" s="142" t="s">
        <v>568</v>
      </c>
      <c r="B2365" s="142" t="s">
        <v>51</v>
      </c>
      <c r="C2365" s="142" t="s">
        <v>56</v>
      </c>
      <c r="D2365">
        <v>220</v>
      </c>
      <c r="E2365">
        <v>410</v>
      </c>
      <c r="F2365">
        <v>100</v>
      </c>
      <c r="G2365" s="142" t="s">
        <v>13</v>
      </c>
      <c r="H2365" s="142" t="s">
        <v>12</v>
      </c>
      <c r="I2365">
        <v>0</v>
      </c>
      <c r="J2365">
        <v>0</v>
      </c>
      <c r="K2365" s="142" t="s">
        <v>1674</v>
      </c>
      <c r="L2365">
        <v>57731</v>
      </c>
      <c r="M2365">
        <v>3.0030000000000001E-2</v>
      </c>
      <c r="N2365">
        <v>57731</v>
      </c>
      <c r="O2365">
        <v>2.9441999999999999E-2</v>
      </c>
    </row>
    <row r="2366" spans="1:15" x14ac:dyDescent="0.25">
      <c r="A2366" s="142" t="s">
        <v>571</v>
      </c>
      <c r="B2366" s="142" t="s">
        <v>51</v>
      </c>
      <c r="C2366" s="142" t="s">
        <v>56</v>
      </c>
      <c r="D2366">
        <v>410</v>
      </c>
      <c r="E2366">
        <v>411</v>
      </c>
      <c r="F2366">
        <v>100</v>
      </c>
      <c r="G2366" s="142" t="s">
        <v>13</v>
      </c>
      <c r="H2366" s="142" t="s">
        <v>12</v>
      </c>
      <c r="I2366">
        <v>0</v>
      </c>
      <c r="J2366">
        <v>0</v>
      </c>
      <c r="K2366" s="142" t="s">
        <v>1674</v>
      </c>
      <c r="L2366">
        <v>57731</v>
      </c>
      <c r="M2366">
        <v>3.0030000000000001E-2</v>
      </c>
      <c r="N2366">
        <v>57731</v>
      </c>
      <c r="O2366">
        <v>2.9441999999999999E-2</v>
      </c>
    </row>
    <row r="2367" spans="1:15" x14ac:dyDescent="0.25">
      <c r="A2367" s="142" t="s">
        <v>539</v>
      </c>
      <c r="B2367" s="142" t="s">
        <v>51</v>
      </c>
      <c r="C2367" s="142" t="s">
        <v>57</v>
      </c>
      <c r="D2367">
        <v>55</v>
      </c>
      <c r="E2367">
        <v>150.01</v>
      </c>
      <c r="F2367">
        <v>1E-3</v>
      </c>
      <c r="G2367" s="142" t="s">
        <v>13</v>
      </c>
      <c r="H2367" s="142" t="s">
        <v>12</v>
      </c>
      <c r="I2367">
        <v>0</v>
      </c>
      <c r="J2367">
        <v>0</v>
      </c>
      <c r="K2367" s="142" t="s">
        <v>1674</v>
      </c>
      <c r="L2367">
        <v>7.7</v>
      </c>
      <c r="M2367">
        <v>2</v>
      </c>
      <c r="N2367">
        <v>0.58265</v>
      </c>
      <c r="O2367">
        <v>2.0474000000000001</v>
      </c>
    </row>
    <row r="2368" spans="1:15" x14ac:dyDescent="0.25">
      <c r="A2368" s="142" t="s">
        <v>540</v>
      </c>
      <c r="B2368" s="142" t="s">
        <v>51</v>
      </c>
      <c r="C2368" s="142" t="s">
        <v>57</v>
      </c>
      <c r="D2368">
        <v>55</v>
      </c>
      <c r="E2368">
        <v>150.01</v>
      </c>
      <c r="F2368">
        <v>0.01</v>
      </c>
      <c r="G2368" s="142" t="s">
        <v>13</v>
      </c>
      <c r="H2368" s="142" t="s">
        <v>12</v>
      </c>
      <c r="I2368">
        <v>0</v>
      </c>
      <c r="J2368">
        <v>0</v>
      </c>
      <c r="K2368" s="142" t="s">
        <v>1674</v>
      </c>
      <c r="L2368">
        <v>7.7</v>
      </c>
      <c r="M2368">
        <v>2.0005999999999999</v>
      </c>
      <c r="N2368">
        <v>0.78383999999999998</v>
      </c>
      <c r="O2368">
        <v>2.0464000000000002</v>
      </c>
    </row>
    <row r="2369" spans="1:15" x14ac:dyDescent="0.25">
      <c r="A2369" s="142" t="s">
        <v>543</v>
      </c>
      <c r="B2369" s="142" t="s">
        <v>51</v>
      </c>
      <c r="C2369" s="142" t="s">
        <v>57</v>
      </c>
      <c r="D2369">
        <v>150</v>
      </c>
      <c r="E2369">
        <v>550.01</v>
      </c>
      <c r="F2369">
        <v>0.01</v>
      </c>
      <c r="G2369" s="142" t="s">
        <v>13</v>
      </c>
      <c r="H2369" s="142" t="s">
        <v>12</v>
      </c>
      <c r="I2369">
        <v>0</v>
      </c>
      <c r="J2369">
        <v>0</v>
      </c>
      <c r="K2369" s="142" t="s">
        <v>1674</v>
      </c>
      <c r="L2369">
        <v>19</v>
      </c>
      <c r="M2369">
        <v>2.2000000000000002</v>
      </c>
      <c r="N2369">
        <v>-17.053000000000001</v>
      </c>
      <c r="O2369">
        <v>2.1654</v>
      </c>
    </row>
    <row r="2370" spans="1:15" x14ac:dyDescent="0.25">
      <c r="A2370" s="142" t="s">
        <v>547</v>
      </c>
      <c r="B2370" s="142" t="s">
        <v>51</v>
      </c>
      <c r="C2370" s="142" t="s">
        <v>57</v>
      </c>
      <c r="D2370">
        <v>550</v>
      </c>
      <c r="E2370">
        <v>1025</v>
      </c>
      <c r="F2370">
        <v>0.01</v>
      </c>
      <c r="G2370" s="142" t="s">
        <v>13</v>
      </c>
      <c r="H2370" s="142" t="s">
        <v>12</v>
      </c>
      <c r="I2370">
        <v>0</v>
      </c>
      <c r="J2370">
        <v>0</v>
      </c>
      <c r="K2370" s="142" t="s">
        <v>1674</v>
      </c>
      <c r="L2370">
        <v>32</v>
      </c>
      <c r="M2370">
        <v>2.2999999999999998</v>
      </c>
      <c r="N2370">
        <v>22.486999999999998</v>
      </c>
      <c r="O2370">
        <v>2.3089</v>
      </c>
    </row>
    <row r="2371" spans="1:15" x14ac:dyDescent="0.25">
      <c r="A2371" s="142" t="s">
        <v>552</v>
      </c>
      <c r="B2371" s="142" t="s">
        <v>51</v>
      </c>
      <c r="C2371" s="142" t="s">
        <v>57</v>
      </c>
      <c r="D2371">
        <v>1025</v>
      </c>
      <c r="E2371">
        <v>1026</v>
      </c>
      <c r="F2371">
        <v>0.01</v>
      </c>
      <c r="G2371" s="142" t="s">
        <v>13</v>
      </c>
      <c r="H2371" s="142" t="s">
        <v>12</v>
      </c>
      <c r="I2371">
        <v>0</v>
      </c>
      <c r="J2371">
        <v>0</v>
      </c>
      <c r="K2371" s="142" t="s">
        <v>1674</v>
      </c>
      <c r="L2371">
        <v>32</v>
      </c>
      <c r="M2371">
        <v>2.2999999999999998</v>
      </c>
      <c r="N2371">
        <v>22.486999999999998</v>
      </c>
      <c r="O2371">
        <v>2.3089</v>
      </c>
    </row>
    <row r="2372" spans="1:15" x14ac:dyDescent="0.25">
      <c r="A2372" s="142" t="s">
        <v>541</v>
      </c>
      <c r="B2372" s="142" t="s">
        <v>51</v>
      </c>
      <c r="C2372" s="142" t="s">
        <v>57</v>
      </c>
      <c r="D2372">
        <v>55</v>
      </c>
      <c r="E2372">
        <v>150.01</v>
      </c>
      <c r="F2372">
        <v>0.1</v>
      </c>
      <c r="G2372" s="142" t="s">
        <v>13</v>
      </c>
      <c r="H2372" s="142" t="s">
        <v>12</v>
      </c>
      <c r="I2372">
        <v>0</v>
      </c>
      <c r="J2372">
        <v>0</v>
      </c>
      <c r="K2372" s="142" t="s">
        <v>1674</v>
      </c>
      <c r="L2372">
        <v>19.451000000000001</v>
      </c>
      <c r="M2372">
        <v>1.9578</v>
      </c>
      <c r="N2372">
        <v>19.379000000000001</v>
      </c>
      <c r="O2372">
        <v>1.9579</v>
      </c>
    </row>
    <row r="2373" spans="1:15" x14ac:dyDescent="0.25">
      <c r="A2373" s="142" t="s">
        <v>544</v>
      </c>
      <c r="B2373" s="142" t="s">
        <v>51</v>
      </c>
      <c r="C2373" s="142" t="s">
        <v>57</v>
      </c>
      <c r="D2373">
        <v>150</v>
      </c>
      <c r="E2373">
        <v>550.01</v>
      </c>
      <c r="F2373">
        <v>0.1</v>
      </c>
      <c r="G2373" s="142" t="s">
        <v>13</v>
      </c>
      <c r="H2373" s="142" t="s">
        <v>12</v>
      </c>
      <c r="I2373">
        <v>0</v>
      </c>
      <c r="J2373">
        <v>0</v>
      </c>
      <c r="K2373" s="142" t="s">
        <v>1674</v>
      </c>
      <c r="L2373">
        <v>19</v>
      </c>
      <c r="M2373">
        <v>2.2000000000000002</v>
      </c>
      <c r="N2373">
        <v>-10.260999999999999</v>
      </c>
      <c r="O2373">
        <v>2.1556000000000002</v>
      </c>
    </row>
    <row r="2374" spans="1:15" x14ac:dyDescent="0.25">
      <c r="A2374" s="142" t="s">
        <v>548</v>
      </c>
      <c r="B2374" s="142" t="s">
        <v>51</v>
      </c>
      <c r="C2374" s="142" t="s">
        <v>57</v>
      </c>
      <c r="D2374">
        <v>550</v>
      </c>
      <c r="E2374">
        <v>1025</v>
      </c>
      <c r="F2374">
        <v>0.1</v>
      </c>
      <c r="G2374" s="142" t="s">
        <v>13</v>
      </c>
      <c r="H2374" s="142" t="s">
        <v>12</v>
      </c>
      <c r="I2374">
        <v>0</v>
      </c>
      <c r="J2374">
        <v>0</v>
      </c>
      <c r="K2374" s="142" t="s">
        <v>1674</v>
      </c>
      <c r="L2374">
        <v>32</v>
      </c>
      <c r="M2374">
        <v>2.3014000000000001</v>
      </c>
      <c r="N2374">
        <v>24.491</v>
      </c>
      <c r="O2374">
        <v>2.3075999999999999</v>
      </c>
    </row>
    <row r="2375" spans="1:15" x14ac:dyDescent="0.25">
      <c r="A2375" s="142" t="s">
        <v>553</v>
      </c>
      <c r="B2375" s="142" t="s">
        <v>51</v>
      </c>
      <c r="C2375" s="142" t="s">
        <v>57</v>
      </c>
      <c r="D2375">
        <v>1025</v>
      </c>
      <c r="E2375">
        <v>1026</v>
      </c>
      <c r="F2375">
        <v>0.1</v>
      </c>
      <c r="G2375" s="142" t="s">
        <v>13</v>
      </c>
      <c r="H2375" s="142" t="s">
        <v>12</v>
      </c>
      <c r="I2375">
        <v>0</v>
      </c>
      <c r="J2375">
        <v>0</v>
      </c>
      <c r="K2375" s="142" t="s">
        <v>1674</v>
      </c>
      <c r="L2375">
        <v>32</v>
      </c>
      <c r="M2375">
        <v>2.3014000000000001</v>
      </c>
      <c r="N2375">
        <v>24.491</v>
      </c>
      <c r="O2375">
        <v>2.3075999999999999</v>
      </c>
    </row>
    <row r="2376" spans="1:15" x14ac:dyDescent="0.25">
      <c r="A2376" s="142" t="s">
        <v>1704</v>
      </c>
      <c r="B2376" s="142" t="s">
        <v>51</v>
      </c>
      <c r="C2376" s="142" t="s">
        <v>57</v>
      </c>
      <c r="D2376">
        <v>55</v>
      </c>
      <c r="E2376">
        <v>150.01</v>
      </c>
      <c r="F2376">
        <v>1</v>
      </c>
      <c r="G2376" s="142" t="s">
        <v>13</v>
      </c>
      <c r="H2376" s="142" t="s">
        <v>12</v>
      </c>
      <c r="I2376">
        <v>0</v>
      </c>
      <c r="J2376">
        <v>0</v>
      </c>
      <c r="K2376" s="142" t="s">
        <v>1674</v>
      </c>
      <c r="L2376">
        <v>550.23</v>
      </c>
      <c r="M2376">
        <v>0.69408000000000003</v>
      </c>
      <c r="N2376">
        <v>550.20000000000005</v>
      </c>
      <c r="O2376">
        <v>0.69349000000000005</v>
      </c>
    </row>
    <row r="2377" spans="1:15" x14ac:dyDescent="0.25">
      <c r="A2377" s="142" t="s">
        <v>545</v>
      </c>
      <c r="B2377" s="142" t="s">
        <v>51</v>
      </c>
      <c r="C2377" s="142" t="s">
        <v>57</v>
      </c>
      <c r="D2377">
        <v>150</v>
      </c>
      <c r="E2377">
        <v>550.01</v>
      </c>
      <c r="F2377">
        <v>1</v>
      </c>
      <c r="G2377" s="142" t="s">
        <v>13</v>
      </c>
      <c r="H2377" s="142" t="s">
        <v>12</v>
      </c>
      <c r="I2377">
        <v>0</v>
      </c>
      <c r="J2377">
        <v>0</v>
      </c>
      <c r="K2377" s="142" t="s">
        <v>1674</v>
      </c>
      <c r="L2377">
        <v>409.49</v>
      </c>
      <c r="M2377">
        <v>1.6356999999999999</v>
      </c>
      <c r="N2377">
        <v>409.01</v>
      </c>
      <c r="O2377">
        <v>1.6349</v>
      </c>
    </row>
    <row r="2378" spans="1:15" x14ac:dyDescent="0.25">
      <c r="A2378" s="142" t="s">
        <v>549</v>
      </c>
      <c r="B2378" s="142" t="s">
        <v>51</v>
      </c>
      <c r="C2378" s="142" t="s">
        <v>57</v>
      </c>
      <c r="D2378">
        <v>550</v>
      </c>
      <c r="E2378">
        <v>1025</v>
      </c>
      <c r="F2378">
        <v>1</v>
      </c>
      <c r="G2378" s="142" t="s">
        <v>13</v>
      </c>
      <c r="H2378" s="142" t="s">
        <v>12</v>
      </c>
      <c r="I2378">
        <v>0</v>
      </c>
      <c r="J2378">
        <v>0</v>
      </c>
      <c r="K2378" s="142" t="s">
        <v>1674</v>
      </c>
      <c r="L2378">
        <v>209.6</v>
      </c>
      <c r="M2378">
        <v>2.1949000000000001</v>
      </c>
      <c r="N2378">
        <v>208.5</v>
      </c>
      <c r="O2378">
        <v>2.1945000000000001</v>
      </c>
    </row>
    <row r="2379" spans="1:15" x14ac:dyDescent="0.25">
      <c r="A2379" s="142" t="s">
        <v>554</v>
      </c>
      <c r="B2379" s="142" t="s">
        <v>51</v>
      </c>
      <c r="C2379" s="142" t="s">
        <v>57</v>
      </c>
      <c r="D2379">
        <v>1025</v>
      </c>
      <c r="E2379">
        <v>1026</v>
      </c>
      <c r="F2379">
        <v>1</v>
      </c>
      <c r="G2379" s="142" t="s">
        <v>13</v>
      </c>
      <c r="H2379" s="142" t="s">
        <v>12</v>
      </c>
      <c r="I2379">
        <v>0</v>
      </c>
      <c r="J2379">
        <v>0</v>
      </c>
      <c r="K2379" s="142" t="s">
        <v>1674</v>
      </c>
      <c r="L2379">
        <v>209.6</v>
      </c>
      <c r="M2379">
        <v>2.1949000000000001</v>
      </c>
      <c r="N2379">
        <v>208.5</v>
      </c>
      <c r="O2379">
        <v>2.1945000000000001</v>
      </c>
    </row>
    <row r="2380" spans="1:15" x14ac:dyDescent="0.25">
      <c r="A2380" s="142" t="s">
        <v>1705</v>
      </c>
      <c r="B2380" s="142" t="s">
        <v>51</v>
      </c>
      <c r="C2380" s="142" t="s">
        <v>57</v>
      </c>
      <c r="D2380">
        <v>55</v>
      </c>
      <c r="E2380">
        <v>150.01</v>
      </c>
      <c r="F2380">
        <v>10</v>
      </c>
      <c r="G2380" s="142" t="s">
        <v>13</v>
      </c>
      <c r="H2380" s="142" t="s">
        <v>12</v>
      </c>
      <c r="I2380">
        <v>0</v>
      </c>
      <c r="J2380">
        <v>0</v>
      </c>
      <c r="K2380" s="142" t="s">
        <v>1674</v>
      </c>
      <c r="L2380">
        <v>5770.6</v>
      </c>
      <c r="M2380">
        <v>7.4861999999999998E-2</v>
      </c>
      <c r="N2380">
        <v>5770.6</v>
      </c>
      <c r="O2380">
        <v>7.4565000000000006E-2</v>
      </c>
    </row>
    <row r="2381" spans="1:15" x14ac:dyDescent="0.25">
      <c r="A2381" s="142" t="s">
        <v>1706</v>
      </c>
      <c r="B2381" s="142" t="s">
        <v>51</v>
      </c>
      <c r="C2381" s="142" t="s">
        <v>57</v>
      </c>
      <c r="D2381">
        <v>150</v>
      </c>
      <c r="E2381">
        <v>550.01</v>
      </c>
      <c r="F2381">
        <v>10</v>
      </c>
      <c r="G2381" s="142" t="s">
        <v>13</v>
      </c>
      <c r="H2381" s="142" t="s">
        <v>12</v>
      </c>
      <c r="I2381">
        <v>0</v>
      </c>
      <c r="J2381">
        <v>0</v>
      </c>
      <c r="K2381" s="142" t="s">
        <v>1674</v>
      </c>
      <c r="L2381">
        <v>5740.6</v>
      </c>
      <c r="M2381">
        <v>0.27617999999999998</v>
      </c>
      <c r="N2381">
        <v>5740.5</v>
      </c>
      <c r="O2381">
        <v>0.27484999999999998</v>
      </c>
    </row>
    <row r="2382" spans="1:15" x14ac:dyDescent="0.25">
      <c r="A2382" s="142" t="s">
        <v>550</v>
      </c>
      <c r="B2382" s="142" t="s">
        <v>51</v>
      </c>
      <c r="C2382" s="142" t="s">
        <v>57</v>
      </c>
      <c r="D2382">
        <v>550</v>
      </c>
      <c r="E2382">
        <v>1025</v>
      </c>
      <c r="F2382">
        <v>10</v>
      </c>
      <c r="G2382" s="142" t="s">
        <v>13</v>
      </c>
      <c r="H2382" s="142" t="s">
        <v>12</v>
      </c>
      <c r="I2382">
        <v>0</v>
      </c>
      <c r="J2382">
        <v>0</v>
      </c>
      <c r="K2382" s="142" t="s">
        <v>1674</v>
      </c>
      <c r="L2382">
        <v>5532.1</v>
      </c>
      <c r="M2382">
        <v>0.70111000000000001</v>
      </c>
      <c r="N2382">
        <v>5532.1</v>
      </c>
      <c r="O2382">
        <v>0.69874999999999998</v>
      </c>
    </row>
    <row r="2383" spans="1:15" x14ac:dyDescent="0.25">
      <c r="A2383" s="142" t="s">
        <v>555</v>
      </c>
      <c r="B2383" s="142" t="s">
        <v>51</v>
      </c>
      <c r="C2383" s="142" t="s">
        <v>57</v>
      </c>
      <c r="D2383">
        <v>1025</v>
      </c>
      <c r="E2383">
        <v>1026</v>
      </c>
      <c r="F2383">
        <v>10</v>
      </c>
      <c r="G2383" s="142" t="s">
        <v>13</v>
      </c>
      <c r="H2383" s="142" t="s">
        <v>12</v>
      </c>
      <c r="I2383">
        <v>0</v>
      </c>
      <c r="J2383">
        <v>0</v>
      </c>
      <c r="K2383" s="142" t="s">
        <v>1674</v>
      </c>
      <c r="L2383">
        <v>5532.1</v>
      </c>
      <c r="M2383">
        <v>0.70111000000000001</v>
      </c>
      <c r="N2383">
        <v>5532.1</v>
      </c>
      <c r="O2383">
        <v>0.69874999999999998</v>
      </c>
    </row>
    <row r="2384" spans="1:15" x14ac:dyDescent="0.25">
      <c r="A2384" s="142" t="s">
        <v>542</v>
      </c>
      <c r="B2384" s="142" t="s">
        <v>51</v>
      </c>
      <c r="C2384" s="142" t="s">
        <v>57</v>
      </c>
      <c r="D2384">
        <v>55</v>
      </c>
      <c r="E2384">
        <v>150.01</v>
      </c>
      <c r="F2384">
        <v>100</v>
      </c>
      <c r="G2384" s="142" t="s">
        <v>13</v>
      </c>
      <c r="H2384" s="142" t="s">
        <v>12</v>
      </c>
      <c r="I2384">
        <v>0</v>
      </c>
      <c r="J2384">
        <v>0</v>
      </c>
      <c r="K2384" s="142" t="s">
        <v>1674</v>
      </c>
      <c r="L2384">
        <v>57735</v>
      </c>
      <c r="M2384">
        <v>7.5814999999999997E-3</v>
      </c>
      <c r="N2384">
        <v>57732</v>
      </c>
      <c r="O2384">
        <v>7.4625000000000004E-3</v>
      </c>
    </row>
    <row r="2385" spans="1:15" x14ac:dyDescent="0.25">
      <c r="A2385" s="142" t="s">
        <v>546</v>
      </c>
      <c r="B2385" s="142" t="s">
        <v>51</v>
      </c>
      <c r="C2385" s="142" t="s">
        <v>57</v>
      </c>
      <c r="D2385">
        <v>150</v>
      </c>
      <c r="E2385">
        <v>550.01</v>
      </c>
      <c r="F2385">
        <v>100</v>
      </c>
      <c r="G2385" s="142" t="s">
        <v>13</v>
      </c>
      <c r="H2385" s="142" t="s">
        <v>12</v>
      </c>
      <c r="I2385">
        <v>0</v>
      </c>
      <c r="J2385">
        <v>0</v>
      </c>
      <c r="K2385" s="142" t="s">
        <v>1674</v>
      </c>
      <c r="L2385">
        <v>57732</v>
      </c>
      <c r="M2385">
        <v>2.8329E-2</v>
      </c>
      <c r="N2385">
        <v>57732</v>
      </c>
      <c r="O2385">
        <v>2.7782999999999999E-2</v>
      </c>
    </row>
    <row r="2386" spans="1:15" x14ac:dyDescent="0.25">
      <c r="A2386" s="142" t="s">
        <v>551</v>
      </c>
      <c r="B2386" s="142" t="s">
        <v>51</v>
      </c>
      <c r="C2386" s="142" t="s">
        <v>57</v>
      </c>
      <c r="D2386">
        <v>550</v>
      </c>
      <c r="E2386">
        <v>1025</v>
      </c>
      <c r="F2386">
        <v>100</v>
      </c>
      <c r="G2386" s="142" t="s">
        <v>13</v>
      </c>
      <c r="H2386" s="142" t="s">
        <v>12</v>
      </c>
      <c r="I2386">
        <v>0</v>
      </c>
      <c r="J2386">
        <v>0</v>
      </c>
      <c r="K2386" s="142" t="s">
        <v>1674</v>
      </c>
      <c r="L2386">
        <v>57709</v>
      </c>
      <c r="M2386">
        <v>7.4653999999999998E-2</v>
      </c>
      <c r="N2386">
        <v>57710</v>
      </c>
      <c r="O2386">
        <v>7.3570999999999998E-2</v>
      </c>
    </row>
    <row r="2387" spans="1:15" x14ac:dyDescent="0.25">
      <c r="A2387" s="142" t="s">
        <v>1707</v>
      </c>
      <c r="B2387" s="142" t="s">
        <v>51</v>
      </c>
      <c r="C2387" s="142" t="s">
        <v>57</v>
      </c>
      <c r="D2387">
        <v>1025</v>
      </c>
      <c r="E2387">
        <v>1026</v>
      </c>
      <c r="F2387">
        <v>100</v>
      </c>
      <c r="G2387" s="142" t="s">
        <v>13</v>
      </c>
      <c r="H2387" s="142" t="s">
        <v>12</v>
      </c>
      <c r="I2387">
        <v>0</v>
      </c>
      <c r="J2387">
        <v>0</v>
      </c>
      <c r="K2387" s="142" t="s">
        <v>1674</v>
      </c>
      <c r="L2387">
        <v>57709</v>
      </c>
      <c r="M2387">
        <v>7.4653999999999998E-2</v>
      </c>
      <c r="N2387">
        <v>57710</v>
      </c>
      <c r="O2387">
        <v>7.3570999999999998E-2</v>
      </c>
    </row>
    <row r="2388" spans="1:15" x14ac:dyDescent="0.25">
      <c r="A2388" s="142" t="s">
        <v>514</v>
      </c>
      <c r="B2388" s="142" t="s">
        <v>51</v>
      </c>
      <c r="C2388" s="142" t="s">
        <v>3</v>
      </c>
      <c r="D2388">
        <v>0</v>
      </c>
      <c r="E2388">
        <v>0.33000099999999999</v>
      </c>
      <c r="F2388">
        <v>9.9999999999999995E-8</v>
      </c>
      <c r="G2388" s="142" t="s">
        <v>6</v>
      </c>
      <c r="H2388" s="142" t="s">
        <v>5</v>
      </c>
      <c r="I2388">
        <v>0</v>
      </c>
      <c r="J2388">
        <v>0</v>
      </c>
      <c r="K2388" s="142" t="s">
        <v>1674</v>
      </c>
      <c r="L2388">
        <v>3.7</v>
      </c>
      <c r="M2388">
        <v>69</v>
      </c>
      <c r="N2388">
        <v>3.4781</v>
      </c>
      <c r="O2388">
        <v>69.495999999999995</v>
      </c>
    </row>
    <row r="2389" spans="1:15" x14ac:dyDescent="0.25">
      <c r="A2389" s="142" t="s">
        <v>1675</v>
      </c>
      <c r="B2389" s="142" t="s">
        <v>51</v>
      </c>
      <c r="C2389" s="142" t="s">
        <v>3</v>
      </c>
      <c r="D2389">
        <v>0</v>
      </c>
      <c r="E2389">
        <v>0.33000099999999999</v>
      </c>
      <c r="F2389">
        <v>9.9999999999999995E-7</v>
      </c>
      <c r="G2389" s="142" t="s">
        <v>6</v>
      </c>
      <c r="H2389" s="142" t="s">
        <v>5</v>
      </c>
      <c r="I2389">
        <v>0</v>
      </c>
      <c r="J2389">
        <v>0</v>
      </c>
      <c r="K2389" s="142" t="s">
        <v>1674</v>
      </c>
      <c r="L2389">
        <v>3.7</v>
      </c>
      <c r="M2389">
        <v>69.332999999999998</v>
      </c>
      <c r="N2389">
        <v>3.5249999999999999</v>
      </c>
      <c r="O2389">
        <v>69.373000000000005</v>
      </c>
    </row>
    <row r="2390" spans="1:15" x14ac:dyDescent="0.25">
      <c r="A2390" s="142" t="s">
        <v>521</v>
      </c>
      <c r="B2390" s="142" t="s">
        <v>51</v>
      </c>
      <c r="C2390" s="142" t="s">
        <v>3</v>
      </c>
      <c r="D2390">
        <v>0.33</v>
      </c>
      <c r="E2390">
        <v>3.3000099999999999</v>
      </c>
      <c r="F2390">
        <v>9.9999999999999995E-7</v>
      </c>
      <c r="G2390" s="142" t="s">
        <v>6</v>
      </c>
      <c r="H2390" s="142" t="s">
        <v>5</v>
      </c>
      <c r="I2390">
        <v>0</v>
      </c>
      <c r="J2390">
        <v>0</v>
      </c>
      <c r="K2390" s="142" t="s">
        <v>1674</v>
      </c>
      <c r="L2390">
        <v>5.9</v>
      </c>
      <c r="M2390">
        <v>58</v>
      </c>
      <c r="N2390">
        <v>5.7708000000000004</v>
      </c>
      <c r="O2390">
        <v>57.786999999999999</v>
      </c>
    </row>
    <row r="2391" spans="1:15" x14ac:dyDescent="0.25">
      <c r="A2391" s="142" t="s">
        <v>515</v>
      </c>
      <c r="B2391" s="142" t="s">
        <v>51</v>
      </c>
      <c r="C2391" s="142" t="s">
        <v>3</v>
      </c>
      <c r="D2391">
        <v>0</v>
      </c>
      <c r="E2391">
        <v>0.33000099999999999</v>
      </c>
      <c r="F2391">
        <v>1.0000000000000001E-5</v>
      </c>
      <c r="G2391" s="142" t="s">
        <v>6</v>
      </c>
      <c r="H2391" s="142" t="s">
        <v>5</v>
      </c>
      <c r="I2391">
        <v>0</v>
      </c>
      <c r="J2391">
        <v>0</v>
      </c>
      <c r="K2391" s="142" t="s">
        <v>1674</v>
      </c>
      <c r="L2391">
        <v>6.7765000000000004</v>
      </c>
      <c r="M2391">
        <v>61.472000000000001</v>
      </c>
      <c r="N2391">
        <v>6.7370999999999999</v>
      </c>
      <c r="O2391">
        <v>61.527000000000001</v>
      </c>
    </row>
    <row r="2392" spans="1:15" x14ac:dyDescent="0.25">
      <c r="A2392" s="142" t="s">
        <v>522</v>
      </c>
      <c r="B2392" s="142" t="s">
        <v>51</v>
      </c>
      <c r="C2392" s="142" t="s">
        <v>3</v>
      </c>
      <c r="D2392">
        <v>0.33</v>
      </c>
      <c r="E2392">
        <v>3.3000099999999999</v>
      </c>
      <c r="F2392">
        <v>1.0000000000000001E-5</v>
      </c>
      <c r="G2392" s="142" t="s">
        <v>6</v>
      </c>
      <c r="H2392" s="142" t="s">
        <v>5</v>
      </c>
      <c r="I2392">
        <v>0</v>
      </c>
      <c r="J2392">
        <v>0</v>
      </c>
      <c r="K2392" s="142" t="s">
        <v>1674</v>
      </c>
      <c r="L2392">
        <v>6.8066000000000004</v>
      </c>
      <c r="M2392">
        <v>57.529000000000003</v>
      </c>
      <c r="N2392">
        <v>6.4957000000000003</v>
      </c>
      <c r="O2392">
        <v>57.593000000000004</v>
      </c>
    </row>
    <row r="2393" spans="1:15" x14ac:dyDescent="0.25">
      <c r="A2393" s="142" t="s">
        <v>527</v>
      </c>
      <c r="B2393" s="142" t="s">
        <v>51</v>
      </c>
      <c r="C2393" s="142" t="s">
        <v>3</v>
      </c>
      <c r="D2393">
        <v>3</v>
      </c>
      <c r="E2393">
        <v>33.000100000000003</v>
      </c>
      <c r="F2393">
        <v>1.0000000000000001E-5</v>
      </c>
      <c r="G2393" s="142" t="s">
        <v>6</v>
      </c>
      <c r="H2393" s="142" t="s">
        <v>4</v>
      </c>
      <c r="I2393">
        <v>0</v>
      </c>
      <c r="J2393">
        <v>0</v>
      </c>
      <c r="K2393" s="142" t="s">
        <v>1674</v>
      </c>
      <c r="L2393">
        <v>5.8999999999999997E-2</v>
      </c>
      <c r="M2393">
        <v>5.8000000000000003E-2</v>
      </c>
      <c r="N2393">
        <v>5.8347999999999997E-2</v>
      </c>
      <c r="O2393">
        <v>5.7918999999999998E-2</v>
      </c>
    </row>
    <row r="2394" spans="1:15" x14ac:dyDescent="0.25">
      <c r="A2394" s="142" t="s">
        <v>516</v>
      </c>
      <c r="B2394" s="142" t="s">
        <v>51</v>
      </c>
      <c r="C2394" s="142" t="s">
        <v>3</v>
      </c>
      <c r="D2394">
        <v>0</v>
      </c>
      <c r="E2394">
        <v>0.33000099999999999</v>
      </c>
      <c r="F2394">
        <v>1E-4</v>
      </c>
      <c r="G2394" s="142" t="s">
        <v>6</v>
      </c>
      <c r="H2394" s="142" t="s">
        <v>5</v>
      </c>
      <c r="I2394">
        <v>0</v>
      </c>
      <c r="J2394">
        <v>0</v>
      </c>
      <c r="K2394" s="142" t="s">
        <v>1674</v>
      </c>
      <c r="L2394">
        <v>58.11</v>
      </c>
      <c r="M2394">
        <v>17.141999999999999</v>
      </c>
      <c r="N2394">
        <v>58.091000000000001</v>
      </c>
      <c r="O2394">
        <v>17.088999999999999</v>
      </c>
    </row>
    <row r="2395" spans="1:15" x14ac:dyDescent="0.25">
      <c r="A2395" s="142" t="s">
        <v>523</v>
      </c>
      <c r="B2395" s="142" t="s">
        <v>51</v>
      </c>
      <c r="C2395" s="142" t="s">
        <v>3</v>
      </c>
      <c r="D2395">
        <v>0.33</v>
      </c>
      <c r="E2395">
        <v>3.3000099999999999</v>
      </c>
      <c r="F2395">
        <v>1E-4</v>
      </c>
      <c r="G2395" s="142" t="s">
        <v>6</v>
      </c>
      <c r="H2395" s="142" t="s">
        <v>5</v>
      </c>
      <c r="I2395">
        <v>0</v>
      </c>
      <c r="J2395">
        <v>0</v>
      </c>
      <c r="K2395" s="142" t="s">
        <v>1674</v>
      </c>
      <c r="L2395">
        <v>47.82</v>
      </c>
      <c r="M2395">
        <v>47.701000000000001</v>
      </c>
      <c r="N2395">
        <v>47.341999999999999</v>
      </c>
      <c r="O2395">
        <v>47.73</v>
      </c>
    </row>
    <row r="2396" spans="1:15" x14ac:dyDescent="0.25">
      <c r="A2396" s="142" t="s">
        <v>528</v>
      </c>
      <c r="B2396" s="142" t="s">
        <v>51</v>
      </c>
      <c r="C2396" s="142" t="s">
        <v>3</v>
      </c>
      <c r="D2396">
        <v>3</v>
      </c>
      <c r="E2396">
        <v>33.000100000000003</v>
      </c>
      <c r="F2396">
        <v>1E-4</v>
      </c>
      <c r="G2396" s="142" t="s">
        <v>6</v>
      </c>
      <c r="H2396" s="142" t="s">
        <v>4</v>
      </c>
      <c r="I2396">
        <v>0</v>
      </c>
      <c r="J2396">
        <v>0</v>
      </c>
      <c r="K2396" s="142" t="s">
        <v>1674</v>
      </c>
      <c r="L2396">
        <v>6.7757999999999999E-2</v>
      </c>
      <c r="M2396">
        <v>5.7660999999999997E-2</v>
      </c>
      <c r="N2396">
        <v>6.4652000000000001E-2</v>
      </c>
      <c r="O2396">
        <v>5.7724999999999999E-2</v>
      </c>
    </row>
    <row r="2397" spans="1:15" x14ac:dyDescent="0.25">
      <c r="A2397" s="142" t="s">
        <v>531</v>
      </c>
      <c r="B2397" s="142" t="s">
        <v>51</v>
      </c>
      <c r="C2397" s="142" t="s">
        <v>3</v>
      </c>
      <c r="D2397">
        <v>33</v>
      </c>
      <c r="E2397">
        <v>330.00099999999998</v>
      </c>
      <c r="F2397">
        <v>1E-4</v>
      </c>
      <c r="G2397" s="142" t="s">
        <v>6</v>
      </c>
      <c r="H2397" s="142" t="s">
        <v>4</v>
      </c>
      <c r="I2397">
        <v>0</v>
      </c>
      <c r="J2397">
        <v>0</v>
      </c>
      <c r="K2397" s="142" t="s">
        <v>1674</v>
      </c>
      <c r="L2397">
        <v>0.59</v>
      </c>
      <c r="M2397">
        <v>6.4000000000000001E-2</v>
      </c>
      <c r="N2397">
        <v>0.57833999999999997</v>
      </c>
      <c r="O2397">
        <v>6.3644000000000006E-2</v>
      </c>
    </row>
    <row r="2398" spans="1:15" x14ac:dyDescent="0.25">
      <c r="A2398" s="142" t="s">
        <v>1676</v>
      </c>
      <c r="B2398" s="142" t="s">
        <v>51</v>
      </c>
      <c r="C2398" s="142" t="s">
        <v>3</v>
      </c>
      <c r="D2398">
        <v>0</v>
      </c>
      <c r="E2398">
        <v>0.33000099999999999</v>
      </c>
      <c r="F2398">
        <v>1E-3</v>
      </c>
      <c r="G2398" s="142" t="s">
        <v>6</v>
      </c>
      <c r="H2398" s="142" t="s">
        <v>5</v>
      </c>
      <c r="I2398">
        <v>0</v>
      </c>
      <c r="J2398">
        <v>0</v>
      </c>
      <c r="K2398" s="142" t="s">
        <v>1674</v>
      </c>
      <c r="L2398">
        <v>580.02</v>
      </c>
      <c r="M2398">
        <v>1.8193999999999999</v>
      </c>
      <c r="N2398">
        <v>580.01</v>
      </c>
      <c r="O2398">
        <v>1.7939000000000001</v>
      </c>
    </row>
    <row r="2399" spans="1:15" x14ac:dyDescent="0.25">
      <c r="A2399" s="142" t="s">
        <v>524</v>
      </c>
      <c r="B2399" s="142" t="s">
        <v>51</v>
      </c>
      <c r="C2399" s="142" t="s">
        <v>3</v>
      </c>
      <c r="D2399">
        <v>0.33</v>
      </c>
      <c r="E2399">
        <v>3.3000099999999999</v>
      </c>
      <c r="F2399">
        <v>1E-3</v>
      </c>
      <c r="G2399" s="142" t="s">
        <v>6</v>
      </c>
      <c r="H2399" s="142" t="s">
        <v>5</v>
      </c>
      <c r="I2399">
        <v>0</v>
      </c>
      <c r="J2399">
        <v>0</v>
      </c>
      <c r="K2399" s="142" t="s">
        <v>1674</v>
      </c>
      <c r="L2399">
        <v>577.16999999999996</v>
      </c>
      <c r="M2399">
        <v>10.824</v>
      </c>
      <c r="N2399">
        <v>576.99</v>
      </c>
      <c r="O2399">
        <v>10.721</v>
      </c>
    </row>
    <row r="2400" spans="1:15" x14ac:dyDescent="0.25">
      <c r="A2400" s="142" t="s">
        <v>529</v>
      </c>
      <c r="B2400" s="142" t="s">
        <v>51</v>
      </c>
      <c r="C2400" s="142" t="s">
        <v>3</v>
      </c>
      <c r="D2400">
        <v>3</v>
      </c>
      <c r="E2400">
        <v>33.000100000000003</v>
      </c>
      <c r="F2400">
        <v>1E-3</v>
      </c>
      <c r="G2400" s="142" t="s">
        <v>6</v>
      </c>
      <c r="H2400" s="142" t="s">
        <v>4</v>
      </c>
      <c r="I2400">
        <v>0</v>
      </c>
      <c r="J2400">
        <v>0</v>
      </c>
      <c r="K2400" s="142" t="s">
        <v>1674</v>
      </c>
      <c r="L2400">
        <v>0.47783999999999999</v>
      </c>
      <c r="M2400">
        <v>4.7829000000000003E-2</v>
      </c>
      <c r="N2400">
        <v>0.47304000000000002</v>
      </c>
      <c r="O2400">
        <v>4.7858999999999999E-2</v>
      </c>
    </row>
    <row r="2401" spans="1:15" x14ac:dyDescent="0.25">
      <c r="A2401" s="142" t="s">
        <v>532</v>
      </c>
      <c r="B2401" s="142" t="s">
        <v>51</v>
      </c>
      <c r="C2401" s="142" t="s">
        <v>3</v>
      </c>
      <c r="D2401">
        <v>33</v>
      </c>
      <c r="E2401">
        <v>330.00099999999998</v>
      </c>
      <c r="F2401">
        <v>1E-3</v>
      </c>
      <c r="G2401" s="142" t="s">
        <v>6</v>
      </c>
      <c r="H2401" s="142" t="s">
        <v>4</v>
      </c>
      <c r="I2401">
        <v>0</v>
      </c>
      <c r="J2401">
        <v>0</v>
      </c>
      <c r="K2401" s="142" t="s">
        <v>1674</v>
      </c>
      <c r="L2401">
        <v>0.67471000000000003</v>
      </c>
      <c r="M2401">
        <v>6.3403000000000001E-2</v>
      </c>
      <c r="N2401">
        <v>0.64578000000000002</v>
      </c>
      <c r="O2401">
        <v>6.3463000000000006E-2</v>
      </c>
    </row>
    <row r="2402" spans="1:15" x14ac:dyDescent="0.25">
      <c r="A2402" s="142" t="s">
        <v>2805</v>
      </c>
      <c r="B2402" s="142" t="s">
        <v>51</v>
      </c>
      <c r="C2402" s="142" t="s">
        <v>3</v>
      </c>
      <c r="D2402">
        <v>330</v>
      </c>
      <c r="E2402">
        <v>1000</v>
      </c>
      <c r="F2402">
        <v>1E-3</v>
      </c>
      <c r="G2402" s="142" t="s">
        <v>6</v>
      </c>
      <c r="H2402" s="142" t="s">
        <v>4</v>
      </c>
      <c r="I2402">
        <v>0</v>
      </c>
      <c r="J2402">
        <v>0</v>
      </c>
      <c r="K2402" s="142" t="s">
        <v>1674</v>
      </c>
      <c r="L2402">
        <v>1.9</v>
      </c>
      <c r="M2402">
        <v>6.4000000000000001E-2</v>
      </c>
      <c r="N2402">
        <v>1.7548999999999999</v>
      </c>
      <c r="O2402">
        <v>6.3615000000000005E-2</v>
      </c>
    </row>
    <row r="2403" spans="1:15" x14ac:dyDescent="0.25">
      <c r="A2403" s="142" t="s">
        <v>535</v>
      </c>
      <c r="B2403" s="142" t="s">
        <v>51</v>
      </c>
      <c r="C2403" s="142" t="s">
        <v>3</v>
      </c>
      <c r="D2403">
        <v>1000</v>
      </c>
      <c r="E2403">
        <v>1001</v>
      </c>
      <c r="F2403">
        <v>1E-3</v>
      </c>
      <c r="G2403" s="142" t="s">
        <v>6</v>
      </c>
      <c r="H2403" s="142" t="s">
        <v>4</v>
      </c>
      <c r="I2403">
        <v>0</v>
      </c>
      <c r="J2403">
        <v>0</v>
      </c>
      <c r="K2403" s="142" t="s">
        <v>1674</v>
      </c>
      <c r="L2403">
        <v>1.9</v>
      </c>
      <c r="M2403">
        <v>6.4000000000000001E-2</v>
      </c>
      <c r="N2403">
        <v>1.7548999999999999</v>
      </c>
      <c r="O2403">
        <v>6.3615000000000005E-2</v>
      </c>
    </row>
    <row r="2404" spans="1:15" x14ac:dyDescent="0.25">
      <c r="A2404" s="142" t="s">
        <v>517</v>
      </c>
      <c r="B2404" s="142" t="s">
        <v>51</v>
      </c>
      <c r="C2404" s="142" t="s">
        <v>3</v>
      </c>
      <c r="D2404">
        <v>0</v>
      </c>
      <c r="E2404">
        <v>0.33000099999999999</v>
      </c>
      <c r="F2404">
        <v>0.01</v>
      </c>
      <c r="G2404" s="142" t="s">
        <v>6</v>
      </c>
      <c r="H2404" s="142" t="s">
        <v>5</v>
      </c>
      <c r="I2404">
        <v>0</v>
      </c>
      <c r="J2404">
        <v>0</v>
      </c>
      <c r="K2404" s="142" t="s">
        <v>1674</v>
      </c>
      <c r="L2404">
        <v>5800</v>
      </c>
      <c r="M2404">
        <v>0.18969</v>
      </c>
      <c r="N2404">
        <v>5800</v>
      </c>
      <c r="O2404">
        <v>0.17949000000000001</v>
      </c>
    </row>
    <row r="2405" spans="1:15" x14ac:dyDescent="0.25">
      <c r="A2405" s="142" t="s">
        <v>525</v>
      </c>
      <c r="B2405" s="142" t="s">
        <v>51</v>
      </c>
      <c r="C2405" s="142" t="s">
        <v>3</v>
      </c>
      <c r="D2405">
        <v>0.33</v>
      </c>
      <c r="E2405">
        <v>3.3000099999999999</v>
      </c>
      <c r="F2405">
        <v>0.01</v>
      </c>
      <c r="G2405" s="142" t="s">
        <v>6</v>
      </c>
      <c r="H2405" s="142" t="s">
        <v>5</v>
      </c>
      <c r="I2405">
        <v>0</v>
      </c>
      <c r="J2405">
        <v>0</v>
      </c>
      <c r="K2405" s="142" t="s">
        <v>1674</v>
      </c>
      <c r="L2405">
        <v>5799.8</v>
      </c>
      <c r="M2405">
        <v>1.1473</v>
      </c>
      <c r="N2405">
        <v>5799.7</v>
      </c>
      <c r="O2405">
        <v>1.1022000000000001</v>
      </c>
    </row>
    <row r="2406" spans="1:15" x14ac:dyDescent="0.25">
      <c r="A2406" s="142" t="s">
        <v>1677</v>
      </c>
      <c r="B2406" s="142" t="s">
        <v>51</v>
      </c>
      <c r="C2406" s="142" t="s">
        <v>3</v>
      </c>
      <c r="D2406">
        <v>3</v>
      </c>
      <c r="E2406">
        <v>33.000100000000003</v>
      </c>
      <c r="F2406">
        <v>0.01</v>
      </c>
      <c r="G2406" s="142" t="s">
        <v>6</v>
      </c>
      <c r="H2406" s="142" t="s">
        <v>4</v>
      </c>
      <c r="I2406">
        <v>0</v>
      </c>
      <c r="J2406">
        <v>0</v>
      </c>
      <c r="K2406" s="142" t="s">
        <v>1674</v>
      </c>
      <c r="L2406">
        <v>5.7714999999999996</v>
      </c>
      <c r="M2406">
        <v>1.0867999999999999E-2</v>
      </c>
      <c r="N2406">
        <v>5.7698</v>
      </c>
      <c r="O2406">
        <v>1.0763999999999999E-2</v>
      </c>
    </row>
    <row r="2407" spans="1:15" x14ac:dyDescent="0.25">
      <c r="A2407" s="142" t="s">
        <v>1679</v>
      </c>
      <c r="B2407" s="142" t="s">
        <v>51</v>
      </c>
      <c r="C2407" s="142" t="s">
        <v>3</v>
      </c>
      <c r="D2407">
        <v>33</v>
      </c>
      <c r="E2407">
        <v>330.00099999999998</v>
      </c>
      <c r="F2407">
        <v>0.01</v>
      </c>
      <c r="G2407" s="142" t="s">
        <v>6</v>
      </c>
      <c r="H2407" s="142" t="s">
        <v>4</v>
      </c>
      <c r="I2407">
        <v>0</v>
      </c>
      <c r="J2407">
        <v>0</v>
      </c>
      <c r="K2407" s="142" t="s">
        <v>1674</v>
      </c>
      <c r="L2407">
        <v>4.6628999999999996</v>
      </c>
      <c r="M2407">
        <v>5.3692999999999998E-2</v>
      </c>
      <c r="N2407">
        <v>4.6153000000000004</v>
      </c>
      <c r="O2407">
        <v>5.3731000000000001E-2</v>
      </c>
    </row>
    <row r="2408" spans="1:15" x14ac:dyDescent="0.25">
      <c r="A2408" s="142" t="s">
        <v>2806</v>
      </c>
      <c r="B2408" s="142" t="s">
        <v>51</v>
      </c>
      <c r="C2408" s="142" t="s">
        <v>3</v>
      </c>
      <c r="D2408">
        <v>330</v>
      </c>
      <c r="E2408">
        <v>1000</v>
      </c>
      <c r="F2408">
        <v>0.01</v>
      </c>
      <c r="G2408" s="142" t="s">
        <v>6</v>
      </c>
      <c r="H2408" s="142" t="s">
        <v>4</v>
      </c>
      <c r="I2408">
        <v>0</v>
      </c>
      <c r="J2408">
        <v>0</v>
      </c>
      <c r="K2408" s="142" t="s">
        <v>1674</v>
      </c>
      <c r="L2408">
        <v>3.0276999999999998</v>
      </c>
      <c r="M2408">
        <v>6.2894000000000005E-2</v>
      </c>
      <c r="N2408">
        <v>2.7052</v>
      </c>
      <c r="O2408">
        <v>6.2919000000000003E-2</v>
      </c>
    </row>
    <row r="2409" spans="1:15" x14ac:dyDescent="0.25">
      <c r="A2409" s="142" t="s">
        <v>536</v>
      </c>
      <c r="B2409" s="142" t="s">
        <v>51</v>
      </c>
      <c r="C2409" s="142" t="s">
        <v>3</v>
      </c>
      <c r="D2409">
        <v>1000</v>
      </c>
      <c r="E2409">
        <v>1001</v>
      </c>
      <c r="F2409">
        <v>0.01</v>
      </c>
      <c r="G2409" s="142" t="s">
        <v>6</v>
      </c>
      <c r="H2409" s="142" t="s">
        <v>4</v>
      </c>
      <c r="I2409">
        <v>0</v>
      </c>
      <c r="J2409">
        <v>0</v>
      </c>
      <c r="K2409" s="142" t="s">
        <v>1674</v>
      </c>
      <c r="L2409">
        <v>3.0276999999999998</v>
      </c>
      <c r="M2409">
        <v>6.2894000000000005E-2</v>
      </c>
      <c r="N2409">
        <v>2.7052</v>
      </c>
      <c r="O2409">
        <v>6.2919000000000003E-2</v>
      </c>
    </row>
    <row r="2410" spans="1:15" x14ac:dyDescent="0.25">
      <c r="A2410" s="142" t="s">
        <v>518</v>
      </c>
      <c r="B2410" s="142" t="s">
        <v>51</v>
      </c>
      <c r="C2410" s="142" t="s">
        <v>3</v>
      </c>
      <c r="D2410">
        <v>0</v>
      </c>
      <c r="E2410">
        <v>0.33000099999999999</v>
      </c>
      <c r="F2410">
        <v>0.1</v>
      </c>
      <c r="G2410" s="142" t="s">
        <v>6</v>
      </c>
      <c r="H2410" s="142" t="s">
        <v>4</v>
      </c>
      <c r="I2410">
        <v>0</v>
      </c>
      <c r="J2410">
        <v>0</v>
      </c>
      <c r="K2410" s="142" t="s">
        <v>1674</v>
      </c>
      <c r="L2410">
        <v>58</v>
      </c>
      <c r="M2410">
        <v>2.2031999999999998E-5</v>
      </c>
      <c r="N2410">
        <v>58</v>
      </c>
      <c r="O2410">
        <v>1.7949E-5</v>
      </c>
    </row>
    <row r="2411" spans="1:15" x14ac:dyDescent="0.25">
      <c r="A2411" s="142" t="s">
        <v>526</v>
      </c>
      <c r="B2411" s="142" t="s">
        <v>51</v>
      </c>
      <c r="C2411" s="142" t="s">
        <v>3</v>
      </c>
      <c r="D2411">
        <v>0.33</v>
      </c>
      <c r="E2411">
        <v>3.3000099999999999</v>
      </c>
      <c r="F2411">
        <v>0.1</v>
      </c>
      <c r="G2411" s="142" t="s">
        <v>6</v>
      </c>
      <c r="H2411" s="142" t="s">
        <v>5</v>
      </c>
      <c r="I2411">
        <v>0</v>
      </c>
      <c r="J2411">
        <v>0</v>
      </c>
      <c r="K2411" s="142" t="s">
        <v>1674</v>
      </c>
      <c r="L2411">
        <v>58000</v>
      </c>
      <c r="M2411">
        <v>0.12833</v>
      </c>
      <c r="N2411">
        <v>5799.8</v>
      </c>
      <c r="O2411">
        <v>0.11025</v>
      </c>
    </row>
    <row r="2412" spans="1:15" x14ac:dyDescent="0.25">
      <c r="A2412" s="142" t="s">
        <v>530</v>
      </c>
      <c r="B2412" s="142" t="s">
        <v>51</v>
      </c>
      <c r="C2412" s="142" t="s">
        <v>3</v>
      </c>
      <c r="D2412">
        <v>3</v>
      </c>
      <c r="E2412">
        <v>33.000100000000003</v>
      </c>
      <c r="F2412">
        <v>0.1</v>
      </c>
      <c r="G2412" s="142" t="s">
        <v>6</v>
      </c>
      <c r="H2412" s="142" t="s">
        <v>4</v>
      </c>
      <c r="I2412">
        <v>0</v>
      </c>
      <c r="J2412">
        <v>0</v>
      </c>
      <c r="K2412" s="142" t="s">
        <v>1674</v>
      </c>
      <c r="L2412">
        <v>57.997999999999998</v>
      </c>
      <c r="M2412">
        <v>1.1519E-3</v>
      </c>
      <c r="N2412">
        <v>57.997</v>
      </c>
      <c r="O2412">
        <v>1.1068E-3</v>
      </c>
    </row>
    <row r="2413" spans="1:15" x14ac:dyDescent="0.25">
      <c r="A2413" s="142" t="s">
        <v>1680</v>
      </c>
      <c r="B2413" s="142" t="s">
        <v>51</v>
      </c>
      <c r="C2413" s="142" t="s">
        <v>3</v>
      </c>
      <c r="D2413">
        <v>33</v>
      </c>
      <c r="E2413">
        <v>330.00099999999998</v>
      </c>
      <c r="F2413">
        <v>0.1</v>
      </c>
      <c r="G2413" s="142" t="s">
        <v>6</v>
      </c>
      <c r="H2413" s="142" t="s">
        <v>4</v>
      </c>
      <c r="I2413">
        <v>0</v>
      </c>
      <c r="J2413">
        <v>0</v>
      </c>
      <c r="K2413" s="142" t="s">
        <v>1674</v>
      </c>
      <c r="L2413">
        <v>57.654000000000003</v>
      </c>
      <c r="M2413">
        <v>1.2973999999999999E-2</v>
      </c>
      <c r="N2413">
        <v>57.637</v>
      </c>
      <c r="O2413">
        <v>1.2872E-2</v>
      </c>
    </row>
    <row r="2414" spans="1:15" x14ac:dyDescent="0.25">
      <c r="A2414" s="142" t="s">
        <v>2807</v>
      </c>
      <c r="B2414" s="142" t="s">
        <v>51</v>
      </c>
      <c r="C2414" s="142" t="s">
        <v>3</v>
      </c>
      <c r="D2414">
        <v>330</v>
      </c>
      <c r="E2414">
        <v>1000</v>
      </c>
      <c r="F2414">
        <v>0.1</v>
      </c>
      <c r="G2414" s="142" t="s">
        <v>6</v>
      </c>
      <c r="H2414" s="142" t="s">
        <v>4</v>
      </c>
      <c r="I2414">
        <v>0</v>
      </c>
      <c r="J2414">
        <v>0</v>
      </c>
      <c r="K2414" s="142" t="s">
        <v>1674</v>
      </c>
      <c r="L2414">
        <v>50.21</v>
      </c>
      <c r="M2414">
        <v>3.8072000000000002E-2</v>
      </c>
      <c r="N2414">
        <v>49.941000000000003</v>
      </c>
      <c r="O2414">
        <v>3.7448000000000002E-2</v>
      </c>
    </row>
    <row r="2415" spans="1:15" x14ac:dyDescent="0.25">
      <c r="A2415" s="142" t="s">
        <v>1681</v>
      </c>
      <c r="B2415" s="142" t="s">
        <v>51</v>
      </c>
      <c r="C2415" s="142" t="s">
        <v>3</v>
      </c>
      <c r="D2415">
        <v>1000</v>
      </c>
      <c r="E2415">
        <v>1001</v>
      </c>
      <c r="F2415">
        <v>0.1</v>
      </c>
      <c r="G2415" s="142" t="s">
        <v>6</v>
      </c>
      <c r="H2415" s="142" t="s">
        <v>4</v>
      </c>
      <c r="I2415">
        <v>0</v>
      </c>
      <c r="J2415">
        <v>0</v>
      </c>
      <c r="K2415" s="142" t="s">
        <v>1674</v>
      </c>
      <c r="L2415">
        <v>50.21</v>
      </c>
      <c r="M2415">
        <v>3.8072000000000002E-2</v>
      </c>
      <c r="N2415">
        <v>49.941000000000003</v>
      </c>
      <c r="O2415">
        <v>3.7448000000000002E-2</v>
      </c>
    </row>
    <row r="2416" spans="1:15" x14ac:dyDescent="0.25">
      <c r="A2416" s="142" t="s">
        <v>519</v>
      </c>
      <c r="B2416" s="142" t="s">
        <v>51</v>
      </c>
      <c r="C2416" s="142" t="s">
        <v>3</v>
      </c>
      <c r="D2416">
        <v>0</v>
      </c>
      <c r="E2416">
        <v>0.33000099999999999</v>
      </c>
      <c r="F2416">
        <v>1</v>
      </c>
      <c r="G2416" s="142" t="s">
        <v>6</v>
      </c>
      <c r="H2416" s="142" t="s">
        <v>4</v>
      </c>
      <c r="I2416">
        <v>0</v>
      </c>
      <c r="J2416">
        <v>0</v>
      </c>
      <c r="K2416" s="142" t="s">
        <v>1674</v>
      </c>
      <c r="L2416">
        <v>580</v>
      </c>
      <c r="M2416">
        <v>3.4280999999999998E-6</v>
      </c>
      <c r="N2416">
        <v>580</v>
      </c>
      <c r="O2416">
        <v>1.7949E-6</v>
      </c>
    </row>
    <row r="2417" spans="1:15" x14ac:dyDescent="0.25">
      <c r="A2417" s="142" t="s">
        <v>1678</v>
      </c>
      <c r="B2417" s="142" t="s">
        <v>51</v>
      </c>
      <c r="C2417" s="142" t="s">
        <v>3</v>
      </c>
      <c r="D2417">
        <v>3</v>
      </c>
      <c r="E2417">
        <v>33.000100000000003</v>
      </c>
      <c r="F2417">
        <v>1</v>
      </c>
      <c r="G2417" s="142" t="s">
        <v>6</v>
      </c>
      <c r="H2417" s="142" t="s">
        <v>4</v>
      </c>
      <c r="I2417">
        <v>0</v>
      </c>
      <c r="J2417">
        <v>0</v>
      </c>
      <c r="K2417" s="142" t="s">
        <v>1674</v>
      </c>
      <c r="L2417">
        <v>580</v>
      </c>
      <c r="M2417">
        <v>1.2878999999999999E-4</v>
      </c>
      <c r="N2417">
        <v>580</v>
      </c>
      <c r="O2417">
        <v>1.1071E-4</v>
      </c>
    </row>
    <row r="2418" spans="1:15" x14ac:dyDescent="0.25">
      <c r="A2418" s="142" t="s">
        <v>533</v>
      </c>
      <c r="B2418" s="142" t="s">
        <v>51</v>
      </c>
      <c r="C2418" s="142" t="s">
        <v>3</v>
      </c>
      <c r="D2418">
        <v>33</v>
      </c>
      <c r="E2418">
        <v>330.00099999999998</v>
      </c>
      <c r="F2418">
        <v>1</v>
      </c>
      <c r="G2418" s="142" t="s">
        <v>6</v>
      </c>
      <c r="H2418" s="142" t="s">
        <v>4</v>
      </c>
      <c r="I2418">
        <v>0</v>
      </c>
      <c r="J2418">
        <v>0</v>
      </c>
      <c r="K2418" s="142" t="s">
        <v>1674</v>
      </c>
      <c r="L2418">
        <v>579.97</v>
      </c>
      <c r="M2418">
        <v>1.3757000000000001E-3</v>
      </c>
      <c r="N2418">
        <v>579.96</v>
      </c>
      <c r="O2418">
        <v>1.3305000000000001E-3</v>
      </c>
    </row>
    <row r="2419" spans="1:15" x14ac:dyDescent="0.25">
      <c r="A2419" s="142" t="s">
        <v>2808</v>
      </c>
      <c r="B2419" s="142" t="s">
        <v>51</v>
      </c>
      <c r="C2419" s="142" t="s">
        <v>3</v>
      </c>
      <c r="D2419">
        <v>330</v>
      </c>
      <c r="E2419">
        <v>1000</v>
      </c>
      <c r="F2419">
        <v>1</v>
      </c>
      <c r="G2419" s="142" t="s">
        <v>6</v>
      </c>
      <c r="H2419" s="142" t="s">
        <v>4</v>
      </c>
      <c r="I2419">
        <v>0</v>
      </c>
      <c r="J2419">
        <v>0</v>
      </c>
      <c r="K2419" s="142" t="s">
        <v>1674</v>
      </c>
      <c r="L2419">
        <v>578.9</v>
      </c>
      <c r="M2419">
        <v>5.3112000000000003E-3</v>
      </c>
      <c r="N2419">
        <v>578.86</v>
      </c>
      <c r="O2419">
        <v>4.8152999999999998E-3</v>
      </c>
    </row>
    <row r="2420" spans="1:15" x14ac:dyDescent="0.25">
      <c r="A2420" s="142" t="s">
        <v>537</v>
      </c>
      <c r="B2420" s="142" t="s">
        <v>51</v>
      </c>
      <c r="C2420" s="142" t="s">
        <v>3</v>
      </c>
      <c r="D2420">
        <v>1000</v>
      </c>
      <c r="E2420">
        <v>1001</v>
      </c>
      <c r="F2420">
        <v>1</v>
      </c>
      <c r="G2420" s="142" t="s">
        <v>6</v>
      </c>
      <c r="H2420" s="142" t="s">
        <v>4</v>
      </c>
      <c r="I2420">
        <v>0</v>
      </c>
      <c r="J2420">
        <v>0</v>
      </c>
      <c r="K2420" s="142" t="s">
        <v>1674</v>
      </c>
      <c r="L2420">
        <v>578.9</v>
      </c>
      <c r="M2420">
        <v>5.3112000000000003E-3</v>
      </c>
      <c r="N2420">
        <v>578.86</v>
      </c>
      <c r="O2420">
        <v>4.8152999999999998E-3</v>
      </c>
    </row>
    <row r="2421" spans="1:15" x14ac:dyDescent="0.25">
      <c r="A2421" s="142" t="s">
        <v>520</v>
      </c>
      <c r="B2421" s="142" t="s">
        <v>51</v>
      </c>
      <c r="C2421" s="142" t="s">
        <v>3</v>
      </c>
      <c r="D2421">
        <v>0</v>
      </c>
      <c r="E2421">
        <v>0.33000099999999999</v>
      </c>
      <c r="F2421">
        <v>10</v>
      </c>
      <c r="G2421" s="142" t="s">
        <v>6</v>
      </c>
      <c r="H2421" s="142" t="s">
        <v>4</v>
      </c>
      <c r="I2421">
        <v>0</v>
      </c>
      <c r="J2421">
        <v>0</v>
      </c>
      <c r="K2421" s="142" t="s">
        <v>1674</v>
      </c>
      <c r="L2421">
        <v>5800</v>
      </c>
      <c r="M2421">
        <v>8.3279000000000003E-7</v>
      </c>
      <c r="N2421">
        <v>5800</v>
      </c>
      <c r="O2421">
        <v>1.7949E-7</v>
      </c>
    </row>
    <row r="2422" spans="1:15" x14ac:dyDescent="0.25">
      <c r="A2422" s="142" t="s">
        <v>534</v>
      </c>
      <c r="B2422" s="142" t="s">
        <v>51</v>
      </c>
      <c r="C2422" s="142" t="s">
        <v>3</v>
      </c>
      <c r="D2422">
        <v>33</v>
      </c>
      <c r="E2422">
        <v>330.00099999999998</v>
      </c>
      <c r="F2422">
        <v>10</v>
      </c>
      <c r="G2422" s="142" t="s">
        <v>6</v>
      </c>
      <c r="H2422" s="142" t="s">
        <v>4</v>
      </c>
      <c r="I2422">
        <v>0</v>
      </c>
      <c r="J2422">
        <v>0</v>
      </c>
      <c r="K2422" s="142" t="s">
        <v>1674</v>
      </c>
      <c r="L2422">
        <v>5800</v>
      </c>
      <c r="M2422">
        <v>1.5118E-4</v>
      </c>
      <c r="N2422">
        <v>5800</v>
      </c>
      <c r="O2422">
        <v>1.3310000000000001E-4</v>
      </c>
    </row>
    <row r="2423" spans="1:15" x14ac:dyDescent="0.25">
      <c r="A2423" s="142" t="s">
        <v>2809</v>
      </c>
      <c r="B2423" s="142" t="s">
        <v>51</v>
      </c>
      <c r="C2423" s="142" t="s">
        <v>3</v>
      </c>
      <c r="D2423">
        <v>330</v>
      </c>
      <c r="E2423">
        <v>1000</v>
      </c>
      <c r="F2423">
        <v>10</v>
      </c>
      <c r="G2423" s="142" t="s">
        <v>6</v>
      </c>
      <c r="H2423" s="142" t="s">
        <v>4</v>
      </c>
      <c r="I2423">
        <v>0</v>
      </c>
      <c r="J2423">
        <v>0</v>
      </c>
      <c r="K2423" s="142" t="s">
        <v>1674</v>
      </c>
      <c r="L2423">
        <v>5799.9</v>
      </c>
      <c r="M2423">
        <v>6.8362000000000002E-4</v>
      </c>
      <c r="N2423">
        <v>5799.9</v>
      </c>
      <c r="O2423">
        <v>4.8322000000000003E-4</v>
      </c>
    </row>
    <row r="2424" spans="1:15" x14ac:dyDescent="0.25">
      <c r="A2424" s="142" t="s">
        <v>538</v>
      </c>
      <c r="B2424" s="142" t="s">
        <v>51</v>
      </c>
      <c r="C2424" s="142" t="s">
        <v>3</v>
      </c>
      <c r="D2424">
        <v>1000</v>
      </c>
      <c r="E2424">
        <v>1001</v>
      </c>
      <c r="F2424">
        <v>10</v>
      </c>
      <c r="G2424" s="142" t="s">
        <v>6</v>
      </c>
      <c r="H2424" s="142" t="s">
        <v>4</v>
      </c>
      <c r="I2424">
        <v>0</v>
      </c>
      <c r="J2424">
        <v>0</v>
      </c>
      <c r="K2424" s="142" t="s">
        <v>1674</v>
      </c>
      <c r="L2424">
        <v>5799.9</v>
      </c>
      <c r="M2424">
        <v>6.8362000000000002E-4</v>
      </c>
      <c r="N2424">
        <v>5799.9</v>
      </c>
      <c r="O2424">
        <v>4.8322000000000003E-4</v>
      </c>
    </row>
    <row r="2425" spans="1:15" x14ac:dyDescent="0.25">
      <c r="A2425" s="142" t="s">
        <v>1958</v>
      </c>
      <c r="B2425" s="142" t="s">
        <v>51</v>
      </c>
      <c r="C2425" s="142" t="s">
        <v>93</v>
      </c>
      <c r="D2425">
        <v>0</v>
      </c>
      <c r="E2425">
        <v>1.090001E-4</v>
      </c>
      <c r="F2425">
        <v>1E-10</v>
      </c>
      <c r="G2425" s="142" t="s">
        <v>114</v>
      </c>
      <c r="H2425" s="142" t="s">
        <v>114</v>
      </c>
      <c r="I2425">
        <v>0</v>
      </c>
      <c r="J2425">
        <v>0</v>
      </c>
      <c r="K2425" s="142" t="s">
        <v>1674</v>
      </c>
      <c r="L2425">
        <v>0</v>
      </c>
      <c r="M2425">
        <v>3.5999999999999999E-3</v>
      </c>
      <c r="N2425">
        <v>0</v>
      </c>
      <c r="O2425">
        <v>0</v>
      </c>
    </row>
    <row r="2426" spans="1:15" x14ac:dyDescent="0.25">
      <c r="A2426" s="142" t="s">
        <v>1959</v>
      </c>
      <c r="B2426" s="142" t="s">
        <v>51</v>
      </c>
      <c r="C2426" s="142" t="s">
        <v>93</v>
      </c>
      <c r="D2426">
        <v>0</v>
      </c>
      <c r="E2426">
        <v>1.090001E-4</v>
      </c>
      <c r="F2426">
        <v>1.0000000000000001E-9</v>
      </c>
      <c r="G2426" s="142" t="s">
        <v>114</v>
      </c>
      <c r="H2426" s="142" t="s">
        <v>114</v>
      </c>
      <c r="I2426">
        <v>0</v>
      </c>
      <c r="J2426">
        <v>0</v>
      </c>
      <c r="K2426" s="142" t="s">
        <v>1674</v>
      </c>
      <c r="L2426">
        <v>0</v>
      </c>
      <c r="M2426">
        <v>3.5999999999999999E-3</v>
      </c>
      <c r="N2426">
        <v>0</v>
      </c>
      <c r="O2426">
        <v>0</v>
      </c>
    </row>
    <row r="2427" spans="1:15" x14ac:dyDescent="0.25">
      <c r="A2427" s="142" t="s">
        <v>1960</v>
      </c>
      <c r="B2427" s="142" t="s">
        <v>51</v>
      </c>
      <c r="C2427" s="142" t="s">
        <v>93</v>
      </c>
      <c r="D2427">
        <v>0</v>
      </c>
      <c r="E2427">
        <v>1.090001E-4</v>
      </c>
      <c r="F2427">
        <v>1E-8</v>
      </c>
      <c r="G2427" s="142" t="s">
        <v>114</v>
      </c>
      <c r="H2427" s="142" t="s">
        <v>114</v>
      </c>
      <c r="I2427">
        <v>0</v>
      </c>
      <c r="J2427">
        <v>0</v>
      </c>
      <c r="K2427" s="142" t="s">
        <v>1674</v>
      </c>
      <c r="L2427">
        <v>0</v>
      </c>
      <c r="M2427">
        <v>6.8024000000000001E-3</v>
      </c>
      <c r="N2427">
        <v>0</v>
      </c>
      <c r="O2427">
        <v>0</v>
      </c>
    </row>
    <row r="2428" spans="1:15" x14ac:dyDescent="0.25">
      <c r="A2428" s="142" t="s">
        <v>2810</v>
      </c>
      <c r="B2428" s="142" t="s">
        <v>51</v>
      </c>
      <c r="C2428" s="142" t="s">
        <v>93</v>
      </c>
      <c r="D2428">
        <v>1.0900000000000001E-4</v>
      </c>
      <c r="E2428">
        <v>1.0901000000000001E-3</v>
      </c>
      <c r="F2428">
        <v>1E-8</v>
      </c>
      <c r="G2428" s="142" t="s">
        <v>114</v>
      </c>
      <c r="H2428" s="142" t="s">
        <v>114</v>
      </c>
      <c r="I2428">
        <v>0</v>
      </c>
      <c r="J2428">
        <v>0</v>
      </c>
      <c r="K2428" s="142" t="s">
        <v>1674</v>
      </c>
      <c r="L2428">
        <v>0</v>
      </c>
      <c r="M2428">
        <v>3.5E-4</v>
      </c>
      <c r="N2428">
        <v>0</v>
      </c>
      <c r="O2428">
        <v>0</v>
      </c>
    </row>
    <row r="2429" spans="1:15" x14ac:dyDescent="0.25">
      <c r="A2429" s="142" t="s">
        <v>1961</v>
      </c>
      <c r="B2429" s="142" t="s">
        <v>51</v>
      </c>
      <c r="C2429" s="142" t="s">
        <v>93</v>
      </c>
      <c r="D2429">
        <v>0</v>
      </c>
      <c r="E2429">
        <v>1.090001E-4</v>
      </c>
      <c r="F2429">
        <v>9.9999999999999995E-8</v>
      </c>
      <c r="G2429" s="142" t="s">
        <v>114</v>
      </c>
      <c r="H2429" s="142" t="s">
        <v>114</v>
      </c>
      <c r="I2429">
        <v>0</v>
      </c>
      <c r="J2429">
        <v>0</v>
      </c>
      <c r="K2429" s="142" t="s">
        <v>1674</v>
      </c>
      <c r="L2429">
        <v>0</v>
      </c>
      <c r="M2429">
        <v>5.8110000000000002E-2</v>
      </c>
      <c r="N2429">
        <v>0</v>
      </c>
      <c r="O2429">
        <v>0</v>
      </c>
    </row>
    <row r="2430" spans="1:15" x14ac:dyDescent="0.25">
      <c r="A2430" s="142" t="s">
        <v>2811</v>
      </c>
      <c r="B2430" s="142" t="s">
        <v>51</v>
      </c>
      <c r="C2430" s="142" t="s">
        <v>93</v>
      </c>
      <c r="D2430">
        <v>1.0900000000000001E-4</v>
      </c>
      <c r="E2430">
        <v>1.0901000000000001E-3</v>
      </c>
      <c r="F2430">
        <v>9.9999999999999995E-8</v>
      </c>
      <c r="G2430" s="142" t="s">
        <v>114</v>
      </c>
      <c r="H2430" s="142" t="s">
        <v>114</v>
      </c>
      <c r="I2430">
        <v>0</v>
      </c>
      <c r="J2430">
        <v>0</v>
      </c>
      <c r="K2430" s="142" t="s">
        <v>1674</v>
      </c>
      <c r="L2430">
        <v>0</v>
      </c>
      <c r="M2430">
        <v>6.3400999999999996E-4</v>
      </c>
      <c r="N2430">
        <v>0</v>
      </c>
      <c r="O2430">
        <v>0</v>
      </c>
    </row>
    <row r="2431" spans="1:15" x14ac:dyDescent="0.25">
      <c r="A2431" s="142" t="s">
        <v>1967</v>
      </c>
      <c r="B2431" s="142" t="s">
        <v>51</v>
      </c>
      <c r="C2431" s="142" t="s">
        <v>93</v>
      </c>
      <c r="D2431">
        <v>1.09E-3</v>
      </c>
      <c r="E2431">
        <v>1.0900099999999999E-2</v>
      </c>
      <c r="F2431">
        <v>9.9999999999999995E-8</v>
      </c>
      <c r="G2431" s="142" t="s">
        <v>114</v>
      </c>
      <c r="H2431" s="142" t="s">
        <v>114</v>
      </c>
      <c r="I2431">
        <v>0</v>
      </c>
      <c r="J2431">
        <v>0</v>
      </c>
      <c r="K2431" s="142" t="s">
        <v>1674</v>
      </c>
      <c r="L2431">
        <v>0</v>
      </c>
      <c r="M2431">
        <v>2.4000000000000001E-4</v>
      </c>
      <c r="N2431">
        <v>0</v>
      </c>
      <c r="O2431">
        <v>0</v>
      </c>
    </row>
    <row r="2432" spans="1:15" x14ac:dyDescent="0.25">
      <c r="A2432" s="142" t="s">
        <v>1962</v>
      </c>
      <c r="B2432" s="142" t="s">
        <v>51</v>
      </c>
      <c r="C2432" s="142" t="s">
        <v>93</v>
      </c>
      <c r="D2432">
        <v>0</v>
      </c>
      <c r="E2432">
        <v>1.090001E-4</v>
      </c>
      <c r="F2432">
        <v>9.9999999999999995E-7</v>
      </c>
      <c r="G2432" s="142" t="s">
        <v>114</v>
      </c>
      <c r="H2432" s="142" t="s">
        <v>114</v>
      </c>
      <c r="I2432">
        <v>0</v>
      </c>
      <c r="J2432">
        <v>0</v>
      </c>
      <c r="K2432" s="142" t="s">
        <v>1674</v>
      </c>
      <c r="L2432">
        <v>0</v>
      </c>
      <c r="M2432">
        <v>0.58001000000000003</v>
      </c>
      <c r="N2432">
        <v>0</v>
      </c>
      <c r="O2432">
        <v>0</v>
      </c>
    </row>
    <row r="2433" spans="1:15" x14ac:dyDescent="0.25">
      <c r="A2433" s="142" t="s">
        <v>2812</v>
      </c>
      <c r="B2433" s="142" t="s">
        <v>51</v>
      </c>
      <c r="C2433" s="142" t="s">
        <v>93</v>
      </c>
      <c r="D2433">
        <v>1.0900000000000001E-4</v>
      </c>
      <c r="E2433">
        <v>1.0901000000000001E-3</v>
      </c>
      <c r="F2433">
        <v>9.9999999999999995E-7</v>
      </c>
      <c r="G2433" s="142" t="s">
        <v>114</v>
      </c>
      <c r="H2433" s="142" t="s">
        <v>114</v>
      </c>
      <c r="I2433">
        <v>0</v>
      </c>
      <c r="J2433">
        <v>0</v>
      </c>
      <c r="K2433" s="142" t="s">
        <v>1674</v>
      </c>
      <c r="L2433">
        <v>0</v>
      </c>
      <c r="M2433">
        <v>5.3337000000000002E-3</v>
      </c>
      <c r="N2433">
        <v>0</v>
      </c>
      <c r="O2433">
        <v>0</v>
      </c>
    </row>
    <row r="2434" spans="1:15" x14ac:dyDescent="0.25">
      <c r="A2434" s="142" t="s">
        <v>488</v>
      </c>
      <c r="B2434" s="142" t="s">
        <v>51</v>
      </c>
      <c r="C2434" s="142" t="s">
        <v>93</v>
      </c>
      <c r="D2434">
        <v>1.09E-3</v>
      </c>
      <c r="E2434">
        <v>1.0900099999999999E-2</v>
      </c>
      <c r="F2434">
        <v>9.9999999999999995E-7</v>
      </c>
      <c r="G2434" s="142" t="s">
        <v>114</v>
      </c>
      <c r="H2434" s="142" t="s">
        <v>114</v>
      </c>
      <c r="I2434">
        <v>0</v>
      </c>
      <c r="J2434">
        <v>0</v>
      </c>
      <c r="K2434" s="142" t="s">
        <v>1674</v>
      </c>
      <c r="L2434">
        <v>0</v>
      </c>
      <c r="M2434">
        <v>5.8093000000000001E-4</v>
      </c>
      <c r="N2434">
        <v>0</v>
      </c>
      <c r="O2434">
        <v>0</v>
      </c>
    </row>
    <row r="2435" spans="1:15" x14ac:dyDescent="0.25">
      <c r="A2435" s="142" t="s">
        <v>491</v>
      </c>
      <c r="B2435" s="142" t="s">
        <v>51</v>
      </c>
      <c r="C2435" s="142" t="s">
        <v>93</v>
      </c>
      <c r="D2435">
        <v>1.09E-2</v>
      </c>
      <c r="E2435">
        <v>0.1090001</v>
      </c>
      <c r="F2435">
        <v>9.9999999999999995E-7</v>
      </c>
      <c r="G2435" s="142" t="s">
        <v>114</v>
      </c>
      <c r="H2435" s="142" t="s">
        <v>114</v>
      </c>
      <c r="I2435">
        <v>0</v>
      </c>
      <c r="J2435">
        <v>0</v>
      </c>
      <c r="K2435" s="142" t="s">
        <v>1674</v>
      </c>
      <c r="L2435">
        <v>0</v>
      </c>
      <c r="M2435">
        <v>1.9000000000000001E-4</v>
      </c>
      <c r="N2435">
        <v>0</v>
      </c>
      <c r="O2435">
        <v>0</v>
      </c>
    </row>
    <row r="2436" spans="1:15" x14ac:dyDescent="0.25">
      <c r="A2436" s="142" t="s">
        <v>1963</v>
      </c>
      <c r="B2436" s="142" t="s">
        <v>51</v>
      </c>
      <c r="C2436" s="142" t="s">
        <v>93</v>
      </c>
      <c r="D2436">
        <v>0</v>
      </c>
      <c r="E2436">
        <v>1.090001E-4</v>
      </c>
      <c r="F2436">
        <v>1.0000000000000001E-5</v>
      </c>
      <c r="G2436" s="142" t="s">
        <v>114</v>
      </c>
      <c r="H2436" s="142" t="s">
        <v>114</v>
      </c>
      <c r="I2436">
        <v>0</v>
      </c>
      <c r="J2436">
        <v>0</v>
      </c>
      <c r="K2436" s="142" t="s">
        <v>1674</v>
      </c>
      <c r="L2436">
        <v>0</v>
      </c>
      <c r="M2436">
        <v>5.8</v>
      </c>
      <c r="N2436">
        <v>0</v>
      </c>
      <c r="O2436">
        <v>0</v>
      </c>
    </row>
    <row r="2437" spans="1:15" x14ac:dyDescent="0.25">
      <c r="A2437" s="142" t="s">
        <v>2813</v>
      </c>
      <c r="B2437" s="142" t="s">
        <v>51</v>
      </c>
      <c r="C2437" s="142" t="s">
        <v>93</v>
      </c>
      <c r="D2437">
        <v>1.0900000000000001E-4</v>
      </c>
      <c r="E2437">
        <v>1.0901000000000001E-3</v>
      </c>
      <c r="F2437">
        <v>1.0000000000000001E-5</v>
      </c>
      <c r="G2437" s="142" t="s">
        <v>114</v>
      </c>
      <c r="H2437" s="142" t="s">
        <v>114</v>
      </c>
      <c r="I2437">
        <v>0</v>
      </c>
      <c r="J2437">
        <v>0</v>
      </c>
      <c r="K2437" s="142" t="s">
        <v>1674</v>
      </c>
      <c r="L2437">
        <v>0</v>
      </c>
      <c r="M2437">
        <v>5.3213000000000003E-2</v>
      </c>
      <c r="N2437">
        <v>0</v>
      </c>
      <c r="O2437">
        <v>0</v>
      </c>
    </row>
    <row r="2438" spans="1:15" x14ac:dyDescent="0.25">
      <c r="A2438" s="142" t="s">
        <v>1968</v>
      </c>
      <c r="B2438" s="142" t="s">
        <v>51</v>
      </c>
      <c r="C2438" s="142" t="s">
        <v>93</v>
      </c>
      <c r="D2438">
        <v>1.09E-3</v>
      </c>
      <c r="E2438">
        <v>1.0900099999999999E-2</v>
      </c>
      <c r="F2438">
        <v>1.0000000000000001E-5</v>
      </c>
      <c r="G2438" s="142" t="s">
        <v>114</v>
      </c>
      <c r="H2438" s="142" t="s">
        <v>114</v>
      </c>
      <c r="I2438">
        <v>0</v>
      </c>
      <c r="J2438">
        <v>0</v>
      </c>
      <c r="K2438" s="142" t="s">
        <v>1674</v>
      </c>
      <c r="L2438">
        <v>0</v>
      </c>
      <c r="M2438">
        <v>5.3277000000000003E-3</v>
      </c>
      <c r="N2438">
        <v>0</v>
      </c>
      <c r="O2438">
        <v>0</v>
      </c>
    </row>
    <row r="2439" spans="1:15" x14ac:dyDescent="0.25">
      <c r="A2439" s="142" t="s">
        <v>492</v>
      </c>
      <c r="B2439" s="142" t="s">
        <v>51</v>
      </c>
      <c r="C2439" s="142" t="s">
        <v>93</v>
      </c>
      <c r="D2439">
        <v>1.09E-2</v>
      </c>
      <c r="E2439">
        <v>0.1090001</v>
      </c>
      <c r="F2439">
        <v>1.0000000000000001E-5</v>
      </c>
      <c r="G2439" s="142" t="s">
        <v>114</v>
      </c>
      <c r="H2439" s="142" t="s">
        <v>114</v>
      </c>
      <c r="I2439">
        <v>0</v>
      </c>
      <c r="J2439">
        <v>0</v>
      </c>
      <c r="K2439" s="142" t="s">
        <v>1674</v>
      </c>
      <c r="L2439">
        <v>0</v>
      </c>
      <c r="M2439">
        <v>5.6395000000000002E-4</v>
      </c>
      <c r="N2439">
        <v>0</v>
      </c>
      <c r="O2439">
        <v>0</v>
      </c>
    </row>
    <row r="2440" spans="1:15" x14ac:dyDescent="0.25">
      <c r="A2440" s="142" t="s">
        <v>1971</v>
      </c>
      <c r="B2440" s="142" t="s">
        <v>51</v>
      </c>
      <c r="C2440" s="142" t="s">
        <v>93</v>
      </c>
      <c r="D2440">
        <v>0.109</v>
      </c>
      <c r="E2440">
        <v>1.0901000000000001</v>
      </c>
      <c r="F2440">
        <v>1.0000000000000001E-5</v>
      </c>
      <c r="G2440" s="142" t="s">
        <v>114</v>
      </c>
      <c r="H2440" s="142" t="s">
        <v>114</v>
      </c>
      <c r="I2440">
        <v>0</v>
      </c>
      <c r="J2440">
        <v>0</v>
      </c>
      <c r="K2440" s="142" t="s">
        <v>1674</v>
      </c>
      <c r="L2440">
        <v>0</v>
      </c>
      <c r="M2440">
        <v>2.3000000000000001E-4</v>
      </c>
      <c r="N2440">
        <v>0</v>
      </c>
      <c r="O2440">
        <v>0</v>
      </c>
    </row>
    <row r="2441" spans="1:15" x14ac:dyDescent="0.25">
      <c r="A2441" s="142" t="s">
        <v>1964</v>
      </c>
      <c r="B2441" s="142" t="s">
        <v>51</v>
      </c>
      <c r="C2441" s="142" t="s">
        <v>93</v>
      </c>
      <c r="D2441">
        <v>0</v>
      </c>
      <c r="E2441">
        <v>1.090001E-4</v>
      </c>
      <c r="F2441">
        <v>1E-4</v>
      </c>
      <c r="G2441" s="142" t="s">
        <v>114</v>
      </c>
      <c r="H2441" s="142" t="s">
        <v>114</v>
      </c>
      <c r="I2441">
        <v>0</v>
      </c>
      <c r="J2441">
        <v>0</v>
      </c>
      <c r="K2441" s="142" t="s">
        <v>1674</v>
      </c>
      <c r="L2441">
        <v>0</v>
      </c>
      <c r="M2441">
        <v>58</v>
      </c>
      <c r="N2441">
        <v>0</v>
      </c>
      <c r="O2441">
        <v>0</v>
      </c>
    </row>
    <row r="2442" spans="1:15" x14ac:dyDescent="0.25">
      <c r="A2442" s="142" t="s">
        <v>2814</v>
      </c>
      <c r="B2442" s="142" t="s">
        <v>51</v>
      </c>
      <c r="C2442" s="142" t="s">
        <v>93</v>
      </c>
      <c r="D2442">
        <v>1.0900000000000001E-4</v>
      </c>
      <c r="E2442">
        <v>1.0901000000000001E-3</v>
      </c>
      <c r="F2442">
        <v>1E-4</v>
      </c>
      <c r="G2442" s="142" t="s">
        <v>114</v>
      </c>
      <c r="H2442" s="142" t="s">
        <v>114</v>
      </c>
      <c r="I2442">
        <v>0</v>
      </c>
      <c r="J2442">
        <v>0</v>
      </c>
      <c r="K2442" s="142" t="s">
        <v>1674</v>
      </c>
      <c r="L2442">
        <v>0</v>
      </c>
      <c r="M2442">
        <v>0.53210999999999997</v>
      </c>
      <c r="N2442">
        <v>0</v>
      </c>
      <c r="O2442">
        <v>0</v>
      </c>
    </row>
    <row r="2443" spans="1:15" x14ac:dyDescent="0.25">
      <c r="A2443" s="142" t="s">
        <v>489</v>
      </c>
      <c r="B2443" s="142" t="s">
        <v>51</v>
      </c>
      <c r="C2443" s="142" t="s">
        <v>93</v>
      </c>
      <c r="D2443">
        <v>1.09E-3</v>
      </c>
      <c r="E2443">
        <v>1.0900099999999999E-2</v>
      </c>
      <c r="F2443">
        <v>1E-4</v>
      </c>
      <c r="G2443" s="142" t="s">
        <v>114</v>
      </c>
      <c r="H2443" s="142" t="s">
        <v>114</v>
      </c>
      <c r="I2443">
        <v>0</v>
      </c>
      <c r="J2443">
        <v>0</v>
      </c>
      <c r="K2443" s="142" t="s">
        <v>1674</v>
      </c>
      <c r="L2443">
        <v>0</v>
      </c>
      <c r="M2443">
        <v>5.3212000000000002E-2</v>
      </c>
      <c r="N2443">
        <v>0</v>
      </c>
      <c r="O2443">
        <v>0</v>
      </c>
    </row>
    <row r="2444" spans="1:15" x14ac:dyDescent="0.25">
      <c r="A2444" s="142" t="s">
        <v>493</v>
      </c>
      <c r="B2444" s="142" t="s">
        <v>51</v>
      </c>
      <c r="C2444" s="142" t="s">
        <v>93</v>
      </c>
      <c r="D2444">
        <v>1.09E-2</v>
      </c>
      <c r="E2444">
        <v>0.1090001</v>
      </c>
      <c r="F2444">
        <v>1E-4</v>
      </c>
      <c r="G2444" s="142" t="s">
        <v>114</v>
      </c>
      <c r="H2444" s="142" t="s">
        <v>114</v>
      </c>
      <c r="I2444">
        <v>0</v>
      </c>
      <c r="J2444">
        <v>0</v>
      </c>
      <c r="K2444" s="142" t="s">
        <v>1674</v>
      </c>
      <c r="L2444">
        <v>0</v>
      </c>
      <c r="M2444">
        <v>5.3308000000000001E-3</v>
      </c>
      <c r="N2444">
        <v>0</v>
      </c>
      <c r="O2444">
        <v>0</v>
      </c>
    </row>
    <row r="2445" spans="1:15" x14ac:dyDescent="0.25">
      <c r="A2445" s="142" t="s">
        <v>494</v>
      </c>
      <c r="B2445" s="142" t="s">
        <v>51</v>
      </c>
      <c r="C2445" s="142" t="s">
        <v>93</v>
      </c>
      <c r="D2445">
        <v>0.109</v>
      </c>
      <c r="E2445">
        <v>1.0901000000000001</v>
      </c>
      <c r="F2445">
        <v>1E-4</v>
      </c>
      <c r="G2445" s="142" t="s">
        <v>114</v>
      </c>
      <c r="H2445" s="142" t="s">
        <v>114</v>
      </c>
      <c r="I2445">
        <v>0</v>
      </c>
      <c r="J2445">
        <v>0</v>
      </c>
      <c r="K2445" s="142" t="s">
        <v>1674</v>
      </c>
      <c r="L2445">
        <v>0</v>
      </c>
      <c r="M2445">
        <v>5.7855999999999999E-4</v>
      </c>
      <c r="N2445">
        <v>0</v>
      </c>
      <c r="O2445">
        <v>0</v>
      </c>
    </row>
    <row r="2446" spans="1:15" x14ac:dyDescent="0.25">
      <c r="A2446" s="142" t="s">
        <v>497</v>
      </c>
      <c r="B2446" s="142" t="s">
        <v>51</v>
      </c>
      <c r="C2446" s="142" t="s">
        <v>93</v>
      </c>
      <c r="D2446">
        <v>1.0900000000000001</v>
      </c>
      <c r="E2446">
        <v>10.9001</v>
      </c>
      <c r="F2446">
        <v>1E-4</v>
      </c>
      <c r="G2446" s="142" t="s">
        <v>114</v>
      </c>
      <c r="H2446" s="142" t="s">
        <v>114</v>
      </c>
      <c r="I2446">
        <v>0</v>
      </c>
      <c r="J2446">
        <v>0</v>
      </c>
      <c r="K2446" s="142" t="s">
        <v>1674</v>
      </c>
      <c r="L2446">
        <v>0</v>
      </c>
      <c r="M2446">
        <v>2.3000000000000001E-4</v>
      </c>
      <c r="N2446">
        <v>0</v>
      </c>
      <c r="O2446">
        <v>0</v>
      </c>
    </row>
    <row r="2447" spans="1:15" x14ac:dyDescent="0.25">
      <c r="A2447" s="142" t="s">
        <v>1965</v>
      </c>
      <c r="B2447" s="142" t="s">
        <v>51</v>
      </c>
      <c r="C2447" s="142" t="s">
        <v>93</v>
      </c>
      <c r="D2447">
        <v>0</v>
      </c>
      <c r="E2447">
        <v>1.090001E-4</v>
      </c>
      <c r="F2447">
        <v>1E-3</v>
      </c>
      <c r="G2447" s="142" t="s">
        <v>114</v>
      </c>
      <c r="H2447" s="142" t="s">
        <v>114</v>
      </c>
      <c r="I2447">
        <v>0</v>
      </c>
      <c r="J2447">
        <v>0</v>
      </c>
      <c r="K2447" s="142" t="s">
        <v>1674</v>
      </c>
      <c r="L2447">
        <v>0</v>
      </c>
      <c r="M2447">
        <v>580</v>
      </c>
      <c r="N2447">
        <v>0</v>
      </c>
      <c r="O2447">
        <v>0</v>
      </c>
    </row>
    <row r="2448" spans="1:15" x14ac:dyDescent="0.25">
      <c r="A2448" s="142" t="s">
        <v>490</v>
      </c>
      <c r="B2448" s="142" t="s">
        <v>51</v>
      </c>
      <c r="C2448" s="142" t="s">
        <v>93</v>
      </c>
      <c r="D2448">
        <v>1.09E-3</v>
      </c>
      <c r="E2448">
        <v>1.0900099999999999E-2</v>
      </c>
      <c r="F2448">
        <v>1E-3</v>
      </c>
      <c r="G2448" s="142" t="s">
        <v>114</v>
      </c>
      <c r="H2448" s="142" t="s">
        <v>114</v>
      </c>
      <c r="I2448">
        <v>0</v>
      </c>
      <c r="J2448">
        <v>0</v>
      </c>
      <c r="K2448" s="142" t="s">
        <v>1674</v>
      </c>
      <c r="L2448">
        <v>0</v>
      </c>
      <c r="M2448">
        <v>0.53210999999999997</v>
      </c>
      <c r="N2448">
        <v>0</v>
      </c>
      <c r="O2448">
        <v>0</v>
      </c>
    </row>
    <row r="2449" spans="1:15" x14ac:dyDescent="0.25">
      <c r="A2449" s="142" t="s">
        <v>1969</v>
      </c>
      <c r="B2449" s="142" t="s">
        <v>51</v>
      </c>
      <c r="C2449" s="142" t="s">
        <v>93</v>
      </c>
      <c r="D2449">
        <v>1.09E-2</v>
      </c>
      <c r="E2449">
        <v>0.1090001</v>
      </c>
      <c r="F2449">
        <v>1E-3</v>
      </c>
      <c r="G2449" s="142" t="s">
        <v>114</v>
      </c>
      <c r="H2449" s="142" t="s">
        <v>114</v>
      </c>
      <c r="I2449">
        <v>0</v>
      </c>
      <c r="J2449">
        <v>0</v>
      </c>
      <c r="K2449" s="142" t="s">
        <v>1674</v>
      </c>
      <c r="L2449">
        <v>0</v>
      </c>
      <c r="M2449">
        <v>5.3261000000000003E-2</v>
      </c>
      <c r="N2449">
        <v>0</v>
      </c>
      <c r="O2449">
        <v>0</v>
      </c>
    </row>
    <row r="2450" spans="1:15" x14ac:dyDescent="0.25">
      <c r="A2450" s="142" t="s">
        <v>495</v>
      </c>
      <c r="B2450" s="142" t="s">
        <v>51</v>
      </c>
      <c r="C2450" s="142" t="s">
        <v>93</v>
      </c>
      <c r="D2450">
        <v>0.109</v>
      </c>
      <c r="E2450">
        <v>1.0901000000000001</v>
      </c>
      <c r="F2450">
        <v>1E-3</v>
      </c>
      <c r="G2450" s="142" t="s">
        <v>114</v>
      </c>
      <c r="H2450" s="142" t="s">
        <v>114</v>
      </c>
      <c r="I2450">
        <v>0</v>
      </c>
      <c r="J2450">
        <v>0</v>
      </c>
      <c r="K2450" s="142" t="s">
        <v>1674</v>
      </c>
      <c r="L2450">
        <v>0</v>
      </c>
      <c r="M2450">
        <v>5.3324000000000002E-3</v>
      </c>
      <c r="N2450">
        <v>0</v>
      </c>
      <c r="O2450">
        <v>0</v>
      </c>
    </row>
    <row r="2451" spans="1:15" x14ac:dyDescent="0.25">
      <c r="A2451" s="142" t="s">
        <v>498</v>
      </c>
      <c r="B2451" s="142" t="s">
        <v>51</v>
      </c>
      <c r="C2451" s="142" t="s">
        <v>93</v>
      </c>
      <c r="D2451">
        <v>1.0900000000000001</v>
      </c>
      <c r="E2451">
        <v>10.9001</v>
      </c>
      <c r="F2451">
        <v>1E-3</v>
      </c>
      <c r="G2451" s="142" t="s">
        <v>114</v>
      </c>
      <c r="H2451" s="142" t="s">
        <v>114</v>
      </c>
      <c r="I2451">
        <v>0</v>
      </c>
      <c r="J2451">
        <v>0</v>
      </c>
      <c r="K2451" s="142" t="s">
        <v>1674</v>
      </c>
      <c r="L2451">
        <v>0</v>
      </c>
      <c r="M2451">
        <v>5.7824999999999999E-4</v>
      </c>
      <c r="N2451">
        <v>0</v>
      </c>
      <c r="O2451">
        <v>0</v>
      </c>
    </row>
    <row r="2452" spans="1:15" x14ac:dyDescent="0.25">
      <c r="A2452" s="142" t="s">
        <v>1973</v>
      </c>
      <c r="B2452" s="142" t="s">
        <v>51</v>
      </c>
      <c r="C2452" s="142" t="s">
        <v>93</v>
      </c>
      <c r="D2452">
        <v>10.9</v>
      </c>
      <c r="E2452">
        <v>109.0001</v>
      </c>
      <c r="F2452">
        <v>1E-3</v>
      </c>
      <c r="G2452" s="142" t="s">
        <v>114</v>
      </c>
      <c r="H2452" s="142" t="s">
        <v>114</v>
      </c>
      <c r="I2452">
        <v>0</v>
      </c>
      <c r="J2452">
        <v>0</v>
      </c>
      <c r="K2452" s="142" t="s">
        <v>1674</v>
      </c>
      <c r="L2452">
        <v>0</v>
      </c>
      <c r="M2452">
        <v>2.3000000000000001E-4</v>
      </c>
      <c r="N2452">
        <v>0</v>
      </c>
      <c r="O2452">
        <v>0</v>
      </c>
    </row>
    <row r="2453" spans="1:15" x14ac:dyDescent="0.25">
      <c r="A2453" s="142" t="s">
        <v>504</v>
      </c>
      <c r="B2453" s="142" t="s">
        <v>51</v>
      </c>
      <c r="C2453" s="142" t="s">
        <v>93</v>
      </c>
      <c r="D2453">
        <v>109</v>
      </c>
      <c r="E2453">
        <v>330.00009999999997</v>
      </c>
      <c r="F2453">
        <v>1E-3</v>
      </c>
      <c r="G2453" s="142" t="s">
        <v>114</v>
      </c>
      <c r="H2453" s="142" t="s">
        <v>114</v>
      </c>
      <c r="I2453">
        <v>0</v>
      </c>
      <c r="J2453">
        <v>0</v>
      </c>
      <c r="K2453" s="142" t="s">
        <v>1674</v>
      </c>
      <c r="L2453">
        <v>0</v>
      </c>
      <c r="M2453">
        <v>1.4999999999999999E-4</v>
      </c>
      <c r="N2453">
        <v>0</v>
      </c>
      <c r="O2453">
        <v>0</v>
      </c>
    </row>
    <row r="2454" spans="1:15" x14ac:dyDescent="0.25">
      <c r="A2454" s="142" t="s">
        <v>1966</v>
      </c>
      <c r="B2454" s="142" t="s">
        <v>51</v>
      </c>
      <c r="C2454" s="142" t="s">
        <v>93</v>
      </c>
      <c r="D2454">
        <v>0</v>
      </c>
      <c r="E2454">
        <v>1.090001E-4</v>
      </c>
      <c r="F2454">
        <v>0.01</v>
      </c>
      <c r="G2454" s="142" t="s">
        <v>114</v>
      </c>
      <c r="H2454" s="142" t="s">
        <v>114</v>
      </c>
      <c r="I2454">
        <v>0</v>
      </c>
      <c r="J2454">
        <v>0</v>
      </c>
      <c r="K2454" s="142" t="s">
        <v>1674</v>
      </c>
      <c r="L2454">
        <v>0</v>
      </c>
      <c r="M2454">
        <v>5800</v>
      </c>
      <c r="N2454">
        <v>0</v>
      </c>
      <c r="O2454">
        <v>0</v>
      </c>
    </row>
    <row r="2455" spans="1:15" x14ac:dyDescent="0.25">
      <c r="A2455" s="142" t="s">
        <v>1970</v>
      </c>
      <c r="B2455" s="142" t="s">
        <v>51</v>
      </c>
      <c r="C2455" s="142" t="s">
        <v>93</v>
      </c>
      <c r="D2455">
        <v>1.09E-2</v>
      </c>
      <c r="E2455">
        <v>0.1090001</v>
      </c>
      <c r="F2455">
        <v>0.01</v>
      </c>
      <c r="G2455" s="142" t="s">
        <v>114</v>
      </c>
      <c r="H2455" s="142" t="s">
        <v>114</v>
      </c>
      <c r="I2455">
        <v>0</v>
      </c>
      <c r="J2455">
        <v>0</v>
      </c>
      <c r="K2455" s="142" t="s">
        <v>1674</v>
      </c>
      <c r="L2455">
        <v>0</v>
      </c>
      <c r="M2455">
        <v>0.53259999999999996</v>
      </c>
      <c r="N2455">
        <v>0</v>
      </c>
      <c r="O2455">
        <v>0</v>
      </c>
    </row>
    <row r="2456" spans="1:15" x14ac:dyDescent="0.25">
      <c r="A2456" s="142" t="s">
        <v>1972</v>
      </c>
      <c r="B2456" s="142" t="s">
        <v>51</v>
      </c>
      <c r="C2456" s="142" t="s">
        <v>93</v>
      </c>
      <c r="D2456">
        <v>0.109</v>
      </c>
      <c r="E2456">
        <v>1.0901000000000001</v>
      </c>
      <c r="F2456">
        <v>0.01</v>
      </c>
      <c r="G2456" s="142" t="s">
        <v>114</v>
      </c>
      <c r="H2456" s="142" t="s">
        <v>114</v>
      </c>
      <c r="I2456">
        <v>0</v>
      </c>
      <c r="J2456">
        <v>0</v>
      </c>
      <c r="K2456" s="142" t="s">
        <v>1674</v>
      </c>
      <c r="L2456">
        <v>0</v>
      </c>
      <c r="M2456">
        <v>5.3261000000000003E-2</v>
      </c>
      <c r="N2456">
        <v>0</v>
      </c>
      <c r="O2456">
        <v>0</v>
      </c>
    </row>
    <row r="2457" spans="1:15" x14ac:dyDescent="0.25">
      <c r="A2457" s="142" t="s">
        <v>499</v>
      </c>
      <c r="B2457" s="142" t="s">
        <v>51</v>
      </c>
      <c r="C2457" s="142" t="s">
        <v>93</v>
      </c>
      <c r="D2457">
        <v>1.0900000000000001</v>
      </c>
      <c r="E2457">
        <v>10.9001</v>
      </c>
      <c r="F2457">
        <v>0.01</v>
      </c>
      <c r="G2457" s="142" t="s">
        <v>114</v>
      </c>
      <c r="H2457" s="142" t="s">
        <v>114</v>
      </c>
      <c r="I2457">
        <v>0</v>
      </c>
      <c r="J2457">
        <v>0</v>
      </c>
      <c r="K2457" s="142" t="s">
        <v>1674</v>
      </c>
      <c r="L2457">
        <v>0</v>
      </c>
      <c r="M2457">
        <v>5.3321999999999996E-3</v>
      </c>
      <c r="N2457">
        <v>0</v>
      </c>
      <c r="O2457">
        <v>0</v>
      </c>
    </row>
    <row r="2458" spans="1:15" x14ac:dyDescent="0.25">
      <c r="A2458" s="142" t="s">
        <v>505</v>
      </c>
      <c r="B2458" s="142" t="s">
        <v>51</v>
      </c>
      <c r="C2458" s="142" t="s">
        <v>93</v>
      </c>
      <c r="D2458">
        <v>109</v>
      </c>
      <c r="E2458">
        <v>330.00009999999997</v>
      </c>
      <c r="F2458">
        <v>0.01</v>
      </c>
      <c r="G2458" s="142" t="s">
        <v>114</v>
      </c>
      <c r="H2458" s="142" t="s">
        <v>114</v>
      </c>
      <c r="I2458">
        <v>0</v>
      </c>
      <c r="J2458">
        <v>0</v>
      </c>
      <c r="K2458" s="142" t="s">
        <v>1674</v>
      </c>
      <c r="L2458">
        <v>0</v>
      </c>
      <c r="M2458">
        <v>1.5254999999999999E-4</v>
      </c>
      <c r="N2458">
        <v>0</v>
      </c>
      <c r="O2458">
        <v>0</v>
      </c>
    </row>
    <row r="2459" spans="1:15" x14ac:dyDescent="0.25">
      <c r="A2459" s="142" t="s">
        <v>1977</v>
      </c>
      <c r="B2459" s="142" t="s">
        <v>51</v>
      </c>
      <c r="C2459" s="142" t="s">
        <v>93</v>
      </c>
      <c r="D2459">
        <v>330</v>
      </c>
      <c r="E2459">
        <v>3000.0001000000002</v>
      </c>
      <c r="F2459">
        <v>0.01</v>
      </c>
      <c r="G2459" s="142" t="s">
        <v>114</v>
      </c>
      <c r="H2459" s="142" t="s">
        <v>114</v>
      </c>
      <c r="I2459">
        <v>0</v>
      </c>
      <c r="J2459">
        <v>0</v>
      </c>
      <c r="K2459" s="142" t="s">
        <v>1674</v>
      </c>
      <c r="L2459">
        <v>0</v>
      </c>
      <c r="M2459">
        <v>5.9999999999999995E-4</v>
      </c>
      <c r="N2459">
        <v>0</v>
      </c>
      <c r="O2459">
        <v>0</v>
      </c>
    </row>
    <row r="2460" spans="1:15" x14ac:dyDescent="0.25">
      <c r="A2460" s="142" t="s">
        <v>496</v>
      </c>
      <c r="B2460" s="142" t="s">
        <v>51</v>
      </c>
      <c r="C2460" s="142" t="s">
        <v>93</v>
      </c>
      <c r="D2460">
        <v>0.109</v>
      </c>
      <c r="E2460">
        <v>1.0901000000000001</v>
      </c>
      <c r="F2460">
        <v>0.1</v>
      </c>
      <c r="G2460" s="142" t="s">
        <v>114</v>
      </c>
      <c r="H2460" s="142" t="s">
        <v>114</v>
      </c>
      <c r="I2460">
        <v>0</v>
      </c>
      <c r="J2460">
        <v>0</v>
      </c>
      <c r="K2460" s="142" t="s">
        <v>1674</v>
      </c>
      <c r="L2460">
        <v>0</v>
      </c>
      <c r="M2460">
        <v>0.53259999999999996</v>
      </c>
      <c r="N2460">
        <v>0</v>
      </c>
      <c r="O2460">
        <v>0</v>
      </c>
    </row>
    <row r="2461" spans="1:15" x14ac:dyDescent="0.25">
      <c r="A2461" s="142" t="s">
        <v>500</v>
      </c>
      <c r="B2461" s="142" t="s">
        <v>51</v>
      </c>
      <c r="C2461" s="142" t="s">
        <v>93</v>
      </c>
      <c r="D2461">
        <v>1.0900000000000001</v>
      </c>
      <c r="E2461">
        <v>10.9001</v>
      </c>
      <c r="F2461">
        <v>0.1</v>
      </c>
      <c r="G2461" s="142" t="s">
        <v>114</v>
      </c>
      <c r="H2461" s="142" t="s">
        <v>114</v>
      </c>
      <c r="I2461">
        <v>0</v>
      </c>
      <c r="J2461">
        <v>0</v>
      </c>
      <c r="K2461" s="142" t="s">
        <v>1674</v>
      </c>
      <c r="L2461">
        <v>0</v>
      </c>
      <c r="M2461">
        <v>5.3261000000000003E-2</v>
      </c>
      <c r="N2461">
        <v>0</v>
      </c>
      <c r="O2461">
        <v>0</v>
      </c>
    </row>
    <row r="2462" spans="1:15" x14ac:dyDescent="0.25">
      <c r="A2462" s="142" t="s">
        <v>502</v>
      </c>
      <c r="B2462" s="142" t="s">
        <v>51</v>
      </c>
      <c r="C2462" s="142" t="s">
        <v>93</v>
      </c>
      <c r="D2462">
        <v>10.9</v>
      </c>
      <c r="E2462">
        <v>109.0001</v>
      </c>
      <c r="F2462">
        <v>0.1</v>
      </c>
      <c r="G2462" s="142" t="s">
        <v>114</v>
      </c>
      <c r="H2462" s="142" t="s">
        <v>114</v>
      </c>
      <c r="I2462">
        <v>0</v>
      </c>
      <c r="J2462">
        <v>0</v>
      </c>
      <c r="K2462" s="142" t="s">
        <v>1674</v>
      </c>
      <c r="L2462">
        <v>0</v>
      </c>
      <c r="M2462">
        <v>5.3322999999999999E-3</v>
      </c>
      <c r="N2462">
        <v>0</v>
      </c>
      <c r="O2462">
        <v>0</v>
      </c>
    </row>
    <row r="2463" spans="1:15" x14ac:dyDescent="0.25">
      <c r="A2463" s="142" t="s">
        <v>1975</v>
      </c>
      <c r="B2463" s="142" t="s">
        <v>51</v>
      </c>
      <c r="C2463" s="142" t="s">
        <v>93</v>
      </c>
      <c r="D2463">
        <v>109</v>
      </c>
      <c r="E2463">
        <v>330.00009999999997</v>
      </c>
      <c r="F2463">
        <v>0.1</v>
      </c>
      <c r="G2463" s="142" t="s">
        <v>114</v>
      </c>
      <c r="H2463" s="142" t="s">
        <v>114</v>
      </c>
      <c r="I2463">
        <v>0</v>
      </c>
      <c r="J2463">
        <v>0</v>
      </c>
      <c r="K2463" s="142" t="s">
        <v>1674</v>
      </c>
      <c r="L2463">
        <v>0</v>
      </c>
      <c r="M2463">
        <v>5.5201999999999996E-4</v>
      </c>
      <c r="N2463">
        <v>0</v>
      </c>
      <c r="O2463">
        <v>0</v>
      </c>
    </row>
    <row r="2464" spans="1:15" x14ac:dyDescent="0.25">
      <c r="A2464" s="142" t="s">
        <v>1978</v>
      </c>
      <c r="B2464" s="142" t="s">
        <v>51</v>
      </c>
      <c r="C2464" s="142" t="s">
        <v>93</v>
      </c>
      <c r="D2464">
        <v>330</v>
      </c>
      <c r="E2464">
        <v>3000.0001000000002</v>
      </c>
      <c r="F2464">
        <v>0.1</v>
      </c>
      <c r="G2464" s="142" t="s">
        <v>114</v>
      </c>
      <c r="H2464" s="142" t="s">
        <v>114</v>
      </c>
      <c r="I2464">
        <v>0</v>
      </c>
      <c r="J2464">
        <v>0</v>
      </c>
      <c r="K2464" s="142" t="s">
        <v>1674</v>
      </c>
      <c r="L2464">
        <v>0</v>
      </c>
      <c r="M2464">
        <v>6.2246000000000003E-4</v>
      </c>
      <c r="N2464">
        <v>0</v>
      </c>
      <c r="O2464">
        <v>0</v>
      </c>
    </row>
    <row r="2465" spans="1:15" x14ac:dyDescent="0.25">
      <c r="A2465" s="142" t="s">
        <v>501</v>
      </c>
      <c r="B2465" s="142" t="s">
        <v>51</v>
      </c>
      <c r="C2465" s="142" t="s">
        <v>93</v>
      </c>
      <c r="D2465">
        <v>1.0900000000000001</v>
      </c>
      <c r="E2465">
        <v>10.9001</v>
      </c>
      <c r="F2465">
        <v>1</v>
      </c>
      <c r="G2465" s="142" t="s">
        <v>114</v>
      </c>
      <c r="H2465" s="142" t="s">
        <v>114</v>
      </c>
      <c r="I2465">
        <v>0</v>
      </c>
      <c r="J2465">
        <v>0</v>
      </c>
      <c r="K2465" s="142" t="s">
        <v>1674</v>
      </c>
      <c r="L2465">
        <v>0</v>
      </c>
      <c r="M2465">
        <v>0.53259999999999996</v>
      </c>
      <c r="N2465">
        <v>0</v>
      </c>
      <c r="O2465">
        <v>0</v>
      </c>
    </row>
    <row r="2466" spans="1:15" x14ac:dyDescent="0.25">
      <c r="A2466" s="142" t="s">
        <v>1974</v>
      </c>
      <c r="B2466" s="142" t="s">
        <v>51</v>
      </c>
      <c r="C2466" s="142" t="s">
        <v>93</v>
      </c>
      <c r="D2466">
        <v>10.9</v>
      </c>
      <c r="E2466">
        <v>109.0001</v>
      </c>
      <c r="F2466">
        <v>1</v>
      </c>
      <c r="G2466" s="142" t="s">
        <v>114</v>
      </c>
      <c r="H2466" s="142" t="s">
        <v>114</v>
      </c>
      <c r="I2466">
        <v>0</v>
      </c>
      <c r="J2466">
        <v>0</v>
      </c>
      <c r="K2466" s="142" t="s">
        <v>1674</v>
      </c>
      <c r="L2466">
        <v>0</v>
      </c>
      <c r="M2466">
        <v>5.3261000000000003E-2</v>
      </c>
      <c r="N2466">
        <v>0</v>
      </c>
      <c r="O2466">
        <v>0</v>
      </c>
    </row>
    <row r="2467" spans="1:15" x14ac:dyDescent="0.25">
      <c r="A2467" s="142" t="s">
        <v>1976</v>
      </c>
      <c r="B2467" s="142" t="s">
        <v>51</v>
      </c>
      <c r="C2467" s="142" t="s">
        <v>93</v>
      </c>
      <c r="D2467">
        <v>109</v>
      </c>
      <c r="E2467">
        <v>330.00009999999997</v>
      </c>
      <c r="F2467">
        <v>1</v>
      </c>
      <c r="G2467" s="142" t="s">
        <v>114</v>
      </c>
      <c r="H2467" s="142" t="s">
        <v>114</v>
      </c>
      <c r="I2467">
        <v>0</v>
      </c>
      <c r="J2467">
        <v>0</v>
      </c>
      <c r="K2467" s="142" t="s">
        <v>1674</v>
      </c>
      <c r="L2467">
        <v>0</v>
      </c>
      <c r="M2467">
        <v>5.3282E-3</v>
      </c>
      <c r="N2467">
        <v>0</v>
      </c>
      <c r="O2467">
        <v>0</v>
      </c>
    </row>
    <row r="2468" spans="1:15" x14ac:dyDescent="0.25">
      <c r="A2468" s="142" t="s">
        <v>507</v>
      </c>
      <c r="B2468" s="142" t="s">
        <v>51</v>
      </c>
      <c r="C2468" s="142" t="s">
        <v>93</v>
      </c>
      <c r="D2468">
        <v>330</v>
      </c>
      <c r="E2468">
        <v>3000.0001000000002</v>
      </c>
      <c r="F2468">
        <v>1</v>
      </c>
      <c r="G2468" s="142" t="s">
        <v>114</v>
      </c>
      <c r="H2468" s="142" t="s">
        <v>114</v>
      </c>
      <c r="I2468">
        <v>0</v>
      </c>
      <c r="J2468">
        <v>0</v>
      </c>
      <c r="K2468" s="142" t="s">
        <v>1674</v>
      </c>
      <c r="L2468">
        <v>0</v>
      </c>
      <c r="M2468">
        <v>1.8565000000000001E-3</v>
      </c>
      <c r="N2468">
        <v>0</v>
      </c>
      <c r="O2468">
        <v>0</v>
      </c>
    </row>
    <row r="2469" spans="1:15" x14ac:dyDescent="0.25">
      <c r="A2469" s="142" t="s">
        <v>503</v>
      </c>
      <c r="B2469" s="142" t="s">
        <v>51</v>
      </c>
      <c r="C2469" s="142" t="s">
        <v>93</v>
      </c>
      <c r="D2469">
        <v>10.9</v>
      </c>
      <c r="E2469">
        <v>109.0001</v>
      </c>
      <c r="F2469">
        <v>10</v>
      </c>
      <c r="G2469" s="142" t="s">
        <v>114</v>
      </c>
      <c r="H2469" s="142" t="s">
        <v>114</v>
      </c>
      <c r="I2469">
        <v>0</v>
      </c>
      <c r="J2469">
        <v>0</v>
      </c>
      <c r="K2469" s="142" t="s">
        <v>1674</v>
      </c>
      <c r="L2469">
        <v>0</v>
      </c>
      <c r="M2469">
        <v>0.53259999999999996</v>
      </c>
      <c r="N2469">
        <v>0</v>
      </c>
      <c r="O2469">
        <v>0</v>
      </c>
    </row>
    <row r="2470" spans="1:15" x14ac:dyDescent="0.25">
      <c r="A2470" s="142" t="s">
        <v>506</v>
      </c>
      <c r="B2470" s="142" t="s">
        <v>51</v>
      </c>
      <c r="C2470" s="142" t="s">
        <v>93</v>
      </c>
      <c r="D2470">
        <v>109</v>
      </c>
      <c r="E2470">
        <v>330.00009999999997</v>
      </c>
      <c r="F2470">
        <v>10</v>
      </c>
      <c r="G2470" s="142" t="s">
        <v>114</v>
      </c>
      <c r="H2470" s="142" t="s">
        <v>114</v>
      </c>
      <c r="I2470">
        <v>0</v>
      </c>
      <c r="J2470">
        <v>0</v>
      </c>
      <c r="K2470" s="142" t="s">
        <v>1674</v>
      </c>
      <c r="L2470">
        <v>0</v>
      </c>
      <c r="M2470">
        <v>5.3260000000000002E-2</v>
      </c>
      <c r="N2470">
        <v>0</v>
      </c>
      <c r="O2470">
        <v>0</v>
      </c>
    </row>
    <row r="2471" spans="1:15" x14ac:dyDescent="0.25">
      <c r="A2471" s="142" t="s">
        <v>508</v>
      </c>
      <c r="B2471" s="142" t="s">
        <v>51</v>
      </c>
      <c r="C2471" s="142" t="s">
        <v>93</v>
      </c>
      <c r="D2471">
        <v>330</v>
      </c>
      <c r="E2471">
        <v>3000.0001000000002</v>
      </c>
      <c r="F2471">
        <v>10</v>
      </c>
      <c r="G2471" s="142" t="s">
        <v>114</v>
      </c>
      <c r="H2471" s="142" t="s">
        <v>114</v>
      </c>
      <c r="I2471">
        <v>0</v>
      </c>
      <c r="J2471">
        <v>0</v>
      </c>
      <c r="K2471" s="142" t="s">
        <v>1674</v>
      </c>
      <c r="L2471">
        <v>0</v>
      </c>
      <c r="M2471">
        <v>1.7586000000000001E-2</v>
      </c>
      <c r="N2471">
        <v>0</v>
      </c>
      <c r="O2471">
        <v>0</v>
      </c>
    </row>
    <row r="2472" spans="1:15" x14ac:dyDescent="0.25">
      <c r="A2472" s="142" t="s">
        <v>510</v>
      </c>
      <c r="B2472" s="142" t="s">
        <v>51</v>
      </c>
      <c r="C2472" s="142" t="s">
        <v>93</v>
      </c>
      <c r="D2472">
        <v>3000</v>
      </c>
      <c r="E2472">
        <v>11000.1</v>
      </c>
      <c r="F2472">
        <v>10</v>
      </c>
      <c r="G2472" s="142" t="s">
        <v>114</v>
      </c>
      <c r="H2472" s="142" t="s">
        <v>114</v>
      </c>
      <c r="I2472">
        <v>0</v>
      </c>
      <c r="J2472">
        <v>0</v>
      </c>
      <c r="K2472" s="142" t="s">
        <v>1674</v>
      </c>
      <c r="L2472">
        <v>0</v>
      </c>
      <c r="M2472">
        <v>9.2000000000000003E-4</v>
      </c>
      <c r="N2472">
        <v>0</v>
      </c>
      <c r="O2472">
        <v>0</v>
      </c>
    </row>
    <row r="2473" spans="1:15" x14ac:dyDescent="0.25">
      <c r="A2473" s="142" t="s">
        <v>2815</v>
      </c>
      <c r="B2473" s="142" t="s">
        <v>51</v>
      </c>
      <c r="C2473" s="142" t="s">
        <v>93</v>
      </c>
      <c r="D2473">
        <v>11000</v>
      </c>
      <c r="E2473">
        <v>20500</v>
      </c>
      <c r="F2473">
        <v>10</v>
      </c>
      <c r="G2473" s="142" t="s">
        <v>114</v>
      </c>
      <c r="H2473" s="142" t="s">
        <v>114</v>
      </c>
      <c r="I2473">
        <v>0</v>
      </c>
      <c r="J2473">
        <v>0</v>
      </c>
      <c r="K2473" s="142" t="s">
        <v>1674</v>
      </c>
      <c r="L2473">
        <v>0</v>
      </c>
      <c r="M2473">
        <v>1.4E-3</v>
      </c>
      <c r="N2473">
        <v>0</v>
      </c>
      <c r="O2473">
        <v>0</v>
      </c>
    </row>
    <row r="2474" spans="1:15" x14ac:dyDescent="0.25">
      <c r="A2474" s="142" t="s">
        <v>2816</v>
      </c>
      <c r="B2474" s="142" t="s">
        <v>51</v>
      </c>
      <c r="C2474" s="142" t="s">
        <v>93</v>
      </c>
      <c r="D2474">
        <v>20500</v>
      </c>
      <c r="E2474">
        <v>1025000</v>
      </c>
      <c r="F2474">
        <v>10</v>
      </c>
      <c r="G2474" s="142" t="s">
        <v>114</v>
      </c>
      <c r="H2474" s="142" t="s">
        <v>114</v>
      </c>
      <c r="I2474">
        <v>0</v>
      </c>
      <c r="J2474">
        <v>0</v>
      </c>
      <c r="K2474" s="142" t="s">
        <v>1674</v>
      </c>
      <c r="L2474">
        <v>0</v>
      </c>
      <c r="M2474">
        <v>2.3999999999999998E-3</v>
      </c>
      <c r="N2474">
        <v>0</v>
      </c>
      <c r="O2474">
        <v>0</v>
      </c>
    </row>
    <row r="2475" spans="1:15" x14ac:dyDescent="0.25">
      <c r="A2475" s="142" t="s">
        <v>509</v>
      </c>
      <c r="B2475" s="142" t="s">
        <v>51</v>
      </c>
      <c r="C2475" s="142" t="s">
        <v>93</v>
      </c>
      <c r="D2475">
        <v>330</v>
      </c>
      <c r="E2475">
        <v>3000.0001000000002</v>
      </c>
      <c r="F2475">
        <v>100</v>
      </c>
      <c r="G2475" s="142" t="s">
        <v>114</v>
      </c>
      <c r="H2475" s="142" t="s">
        <v>114</v>
      </c>
      <c r="I2475">
        <v>0</v>
      </c>
      <c r="J2475">
        <v>0</v>
      </c>
      <c r="K2475" s="142" t="s">
        <v>1674</v>
      </c>
      <c r="L2475">
        <v>0</v>
      </c>
      <c r="M2475">
        <v>0.17576</v>
      </c>
      <c r="N2475">
        <v>0</v>
      </c>
      <c r="O2475">
        <v>0</v>
      </c>
    </row>
    <row r="2476" spans="1:15" x14ac:dyDescent="0.25">
      <c r="A2476" s="142" t="s">
        <v>511</v>
      </c>
      <c r="B2476" s="142" t="s">
        <v>51</v>
      </c>
      <c r="C2476" s="142" t="s">
        <v>93</v>
      </c>
      <c r="D2476">
        <v>3000</v>
      </c>
      <c r="E2476">
        <v>11000.1</v>
      </c>
      <c r="F2476">
        <v>100</v>
      </c>
      <c r="G2476" s="142" t="s">
        <v>114</v>
      </c>
      <c r="H2476" s="142" t="s">
        <v>114</v>
      </c>
      <c r="I2476">
        <v>0</v>
      </c>
      <c r="J2476">
        <v>0</v>
      </c>
      <c r="K2476" s="142" t="s">
        <v>1674</v>
      </c>
      <c r="L2476">
        <v>0</v>
      </c>
      <c r="M2476">
        <v>9.2000000000000003E-4</v>
      </c>
      <c r="N2476">
        <v>0</v>
      </c>
      <c r="O2476">
        <v>0</v>
      </c>
    </row>
    <row r="2477" spans="1:15" x14ac:dyDescent="0.25">
      <c r="A2477" s="142" t="s">
        <v>2817</v>
      </c>
      <c r="B2477" s="142" t="s">
        <v>51</v>
      </c>
      <c r="C2477" s="142" t="s">
        <v>93</v>
      </c>
      <c r="D2477">
        <v>11000</v>
      </c>
      <c r="E2477">
        <v>20500</v>
      </c>
      <c r="F2477">
        <v>100</v>
      </c>
      <c r="G2477" s="142" t="s">
        <v>114</v>
      </c>
      <c r="H2477" s="142" t="s">
        <v>114</v>
      </c>
      <c r="I2477">
        <v>0</v>
      </c>
      <c r="J2477">
        <v>0</v>
      </c>
      <c r="K2477" s="142" t="s">
        <v>1674</v>
      </c>
      <c r="L2477">
        <v>0</v>
      </c>
      <c r="M2477">
        <v>1.4E-3</v>
      </c>
      <c r="N2477">
        <v>0</v>
      </c>
      <c r="O2477">
        <v>0</v>
      </c>
    </row>
    <row r="2478" spans="1:15" x14ac:dyDescent="0.25">
      <c r="A2478" s="142" t="s">
        <v>2818</v>
      </c>
      <c r="B2478" s="142" t="s">
        <v>51</v>
      </c>
      <c r="C2478" s="142" t="s">
        <v>93</v>
      </c>
      <c r="D2478">
        <v>24500</v>
      </c>
      <c r="E2478">
        <v>1025000</v>
      </c>
      <c r="F2478">
        <v>100</v>
      </c>
      <c r="G2478" s="142" t="s">
        <v>114</v>
      </c>
      <c r="H2478" s="142" t="s">
        <v>114</v>
      </c>
      <c r="I2478">
        <v>0</v>
      </c>
      <c r="J2478">
        <v>0</v>
      </c>
      <c r="K2478" s="142" t="s">
        <v>1674</v>
      </c>
      <c r="L2478">
        <v>0</v>
      </c>
      <c r="M2478">
        <v>2.3999999999999998E-3</v>
      </c>
      <c r="N2478">
        <v>0</v>
      </c>
      <c r="O2478">
        <v>0</v>
      </c>
    </row>
    <row r="2479" spans="1:15" x14ac:dyDescent="0.25">
      <c r="A2479" s="142" t="s">
        <v>512</v>
      </c>
      <c r="B2479" s="142" t="s">
        <v>51</v>
      </c>
      <c r="C2479" s="142" t="s">
        <v>93</v>
      </c>
      <c r="D2479">
        <v>3000</v>
      </c>
      <c r="E2479">
        <v>11000.1</v>
      </c>
      <c r="F2479">
        <v>1000</v>
      </c>
      <c r="G2479" s="142" t="s">
        <v>114</v>
      </c>
      <c r="H2479" s="142" t="s">
        <v>114</v>
      </c>
      <c r="I2479">
        <v>0</v>
      </c>
      <c r="J2479">
        <v>0</v>
      </c>
      <c r="K2479" s="142" t="s">
        <v>1674</v>
      </c>
      <c r="L2479">
        <v>0</v>
      </c>
      <c r="M2479">
        <v>9.2997999999999996E-4</v>
      </c>
      <c r="N2479">
        <v>0</v>
      </c>
      <c r="O2479">
        <v>0</v>
      </c>
    </row>
    <row r="2480" spans="1:15" x14ac:dyDescent="0.25">
      <c r="A2480" s="142" t="s">
        <v>2819</v>
      </c>
      <c r="B2480" s="142" t="s">
        <v>51</v>
      </c>
      <c r="C2480" s="142" t="s">
        <v>93</v>
      </c>
      <c r="D2480">
        <v>11000</v>
      </c>
      <c r="E2480">
        <v>20500</v>
      </c>
      <c r="F2480">
        <v>1000</v>
      </c>
      <c r="G2480" s="142" t="s">
        <v>114</v>
      </c>
      <c r="H2480" s="142" t="s">
        <v>114</v>
      </c>
      <c r="I2480">
        <v>0</v>
      </c>
      <c r="J2480">
        <v>0</v>
      </c>
      <c r="K2480" s="142" t="s">
        <v>1674</v>
      </c>
      <c r="L2480">
        <v>0</v>
      </c>
      <c r="M2480">
        <v>1.4429E-3</v>
      </c>
      <c r="N2480">
        <v>0</v>
      </c>
      <c r="O2480">
        <v>0</v>
      </c>
    </row>
    <row r="2481" spans="1:15" x14ac:dyDescent="0.25">
      <c r="A2481" s="142" t="s">
        <v>2820</v>
      </c>
      <c r="B2481" s="142" t="s">
        <v>51</v>
      </c>
      <c r="C2481" s="142" t="s">
        <v>93</v>
      </c>
      <c r="D2481">
        <v>24500</v>
      </c>
      <c r="E2481">
        <v>1025000</v>
      </c>
      <c r="F2481">
        <v>1000</v>
      </c>
      <c r="G2481" s="142" t="s">
        <v>114</v>
      </c>
      <c r="H2481" s="142" t="s">
        <v>114</v>
      </c>
      <c r="I2481">
        <v>0</v>
      </c>
      <c r="J2481">
        <v>0</v>
      </c>
      <c r="K2481" s="142" t="s">
        <v>1674</v>
      </c>
      <c r="L2481">
        <v>0</v>
      </c>
      <c r="M2481">
        <v>2.5801000000000001E-3</v>
      </c>
      <c r="N2481">
        <v>0</v>
      </c>
      <c r="O2481">
        <v>0</v>
      </c>
    </row>
    <row r="2482" spans="1:15" x14ac:dyDescent="0.25">
      <c r="A2482" s="142" t="s">
        <v>513</v>
      </c>
      <c r="B2482" s="142" t="s">
        <v>51</v>
      </c>
      <c r="C2482" s="142" t="s">
        <v>93</v>
      </c>
      <c r="D2482">
        <v>3000</v>
      </c>
      <c r="E2482">
        <v>11000.1</v>
      </c>
      <c r="F2482">
        <v>10000</v>
      </c>
      <c r="G2482" s="142" t="s">
        <v>114</v>
      </c>
      <c r="H2482" s="142" t="s">
        <v>114</v>
      </c>
      <c r="I2482">
        <v>0</v>
      </c>
      <c r="J2482">
        <v>0</v>
      </c>
      <c r="K2482" s="142" t="s">
        <v>1674</v>
      </c>
      <c r="L2482">
        <v>0</v>
      </c>
      <c r="M2482">
        <v>2.1367000000000001E-3</v>
      </c>
      <c r="N2482">
        <v>0</v>
      </c>
      <c r="O2482">
        <v>0</v>
      </c>
    </row>
    <row r="2483" spans="1:15" x14ac:dyDescent="0.25">
      <c r="A2483" s="142" t="s">
        <v>2821</v>
      </c>
      <c r="B2483" s="142" t="s">
        <v>51</v>
      </c>
      <c r="C2483" s="142" t="s">
        <v>93</v>
      </c>
      <c r="D2483">
        <v>11000</v>
      </c>
      <c r="E2483">
        <v>20500</v>
      </c>
      <c r="F2483">
        <v>10000</v>
      </c>
      <c r="G2483" s="142" t="s">
        <v>114</v>
      </c>
      <c r="H2483" s="142" t="s">
        <v>114</v>
      </c>
      <c r="I2483">
        <v>0</v>
      </c>
      <c r="J2483">
        <v>0</v>
      </c>
      <c r="K2483" s="142" t="s">
        <v>1674</v>
      </c>
      <c r="L2483">
        <v>0</v>
      </c>
      <c r="M2483">
        <v>5.4410999999999999E-3</v>
      </c>
      <c r="N2483">
        <v>0</v>
      </c>
      <c r="O2483">
        <v>0</v>
      </c>
    </row>
    <row r="2484" spans="1:15" x14ac:dyDescent="0.25">
      <c r="A2484" s="142" t="s">
        <v>2822</v>
      </c>
      <c r="B2484" s="142" t="s">
        <v>51</v>
      </c>
      <c r="C2484" s="142" t="s">
        <v>93</v>
      </c>
      <c r="D2484">
        <v>24500</v>
      </c>
      <c r="E2484">
        <v>1025000</v>
      </c>
      <c r="F2484">
        <v>10000</v>
      </c>
      <c r="G2484" s="142" t="s">
        <v>114</v>
      </c>
      <c r="H2484" s="142" t="s">
        <v>114</v>
      </c>
      <c r="I2484">
        <v>0</v>
      </c>
      <c r="J2484">
        <v>0</v>
      </c>
      <c r="K2484" s="142" t="s">
        <v>1674</v>
      </c>
      <c r="L2484">
        <v>0</v>
      </c>
      <c r="M2484">
        <v>1.0808E-2</v>
      </c>
      <c r="N2484">
        <v>0</v>
      </c>
      <c r="O2484">
        <v>0</v>
      </c>
    </row>
    <row r="2485" spans="1:15" x14ac:dyDescent="0.25">
      <c r="A2485" s="142" t="s">
        <v>1979</v>
      </c>
      <c r="B2485" s="142" t="s">
        <v>51</v>
      </c>
      <c r="C2485" s="142" t="s">
        <v>93</v>
      </c>
      <c r="D2485">
        <v>3000</v>
      </c>
      <c r="E2485">
        <v>11000.1</v>
      </c>
      <c r="F2485">
        <v>100000</v>
      </c>
      <c r="G2485" s="142" t="s">
        <v>114</v>
      </c>
      <c r="H2485" s="142" t="s">
        <v>114</v>
      </c>
      <c r="I2485">
        <v>0</v>
      </c>
      <c r="J2485">
        <v>0</v>
      </c>
      <c r="K2485" s="142" t="s">
        <v>1674</v>
      </c>
      <c r="L2485">
        <v>0</v>
      </c>
      <c r="M2485">
        <v>1.9355000000000001E-2</v>
      </c>
      <c r="N2485">
        <v>0</v>
      </c>
      <c r="O2485">
        <v>0</v>
      </c>
    </row>
    <row r="2486" spans="1:15" x14ac:dyDescent="0.25">
      <c r="A2486" s="142" t="s">
        <v>2823</v>
      </c>
      <c r="B2486" s="142" t="s">
        <v>51</v>
      </c>
      <c r="C2486" s="142" t="s">
        <v>93</v>
      </c>
      <c r="D2486">
        <v>11000</v>
      </c>
      <c r="E2486">
        <v>20500</v>
      </c>
      <c r="F2486">
        <v>100000</v>
      </c>
      <c r="G2486" s="142" t="s">
        <v>114</v>
      </c>
      <c r="H2486" s="142" t="s">
        <v>114</v>
      </c>
      <c r="I2486">
        <v>0</v>
      </c>
      <c r="J2486">
        <v>0</v>
      </c>
      <c r="K2486" s="142" t="s">
        <v>1674</v>
      </c>
      <c r="L2486">
        <v>0</v>
      </c>
      <c r="M2486">
        <v>5.2745E-2</v>
      </c>
      <c r="N2486">
        <v>0</v>
      </c>
      <c r="O2486">
        <v>0</v>
      </c>
    </row>
    <row r="2487" spans="1:15" x14ac:dyDescent="0.25">
      <c r="A2487" s="142" t="s">
        <v>2824</v>
      </c>
      <c r="B2487" s="142" t="s">
        <v>51</v>
      </c>
      <c r="C2487" s="142" t="s">
        <v>93</v>
      </c>
      <c r="D2487">
        <v>24500</v>
      </c>
      <c r="E2487">
        <v>1025000</v>
      </c>
      <c r="F2487">
        <v>100000</v>
      </c>
      <c r="G2487" s="142" t="s">
        <v>114</v>
      </c>
      <c r="H2487" s="142" t="s">
        <v>114</v>
      </c>
      <c r="I2487">
        <v>0</v>
      </c>
      <c r="J2487">
        <v>0</v>
      </c>
      <c r="K2487" s="142" t="s">
        <v>1674</v>
      </c>
      <c r="L2487">
        <v>0</v>
      </c>
      <c r="M2487">
        <v>0.10549</v>
      </c>
      <c r="N2487">
        <v>0</v>
      </c>
      <c r="O2487">
        <v>0</v>
      </c>
    </row>
    <row r="2488" spans="1:15" x14ac:dyDescent="0.25">
      <c r="A2488" s="142" t="s">
        <v>1928</v>
      </c>
      <c r="B2488" s="142" t="s">
        <v>51</v>
      </c>
      <c r="C2488" s="142" t="s">
        <v>75</v>
      </c>
      <c r="D2488">
        <v>-418</v>
      </c>
      <c r="E2488">
        <v>-147.9</v>
      </c>
      <c r="F2488">
        <v>0.1</v>
      </c>
      <c r="G2488" s="142" t="s">
        <v>26</v>
      </c>
      <c r="H2488" s="142" t="s">
        <v>26</v>
      </c>
      <c r="I2488">
        <v>0</v>
      </c>
      <c r="J2488">
        <v>0</v>
      </c>
      <c r="K2488" s="142" t="s">
        <v>1674</v>
      </c>
      <c r="L2488">
        <v>1.0462465556980001</v>
      </c>
      <c r="M2488">
        <v>0</v>
      </c>
      <c r="N2488">
        <v>1.04325972572</v>
      </c>
      <c r="O2488">
        <v>0</v>
      </c>
    </row>
    <row r="2489" spans="1:15" x14ac:dyDescent="0.25">
      <c r="A2489" s="142" t="s">
        <v>480</v>
      </c>
      <c r="B2489" s="142" t="s">
        <v>51</v>
      </c>
      <c r="C2489" s="142" t="s">
        <v>75</v>
      </c>
      <c r="D2489">
        <v>-148</v>
      </c>
      <c r="E2489">
        <v>-12.9</v>
      </c>
      <c r="F2489">
        <v>0.1</v>
      </c>
      <c r="G2489" s="142" t="s">
        <v>26</v>
      </c>
      <c r="H2489" s="142" t="s">
        <v>26</v>
      </c>
      <c r="I2489">
        <v>0</v>
      </c>
      <c r="J2489">
        <v>0</v>
      </c>
      <c r="K2489" s="142" t="s">
        <v>1674</v>
      </c>
      <c r="L2489">
        <v>0.34659772782699999</v>
      </c>
      <c r="M2489">
        <v>0</v>
      </c>
      <c r="N2489">
        <v>0.34484265565200001</v>
      </c>
      <c r="O2489">
        <v>0</v>
      </c>
    </row>
    <row r="2490" spans="1:15" x14ac:dyDescent="0.25">
      <c r="A2490" s="142" t="s">
        <v>482</v>
      </c>
      <c r="B2490" s="142" t="s">
        <v>51</v>
      </c>
      <c r="C2490" s="142" t="s">
        <v>75</v>
      </c>
      <c r="D2490">
        <v>-13</v>
      </c>
      <c r="E2490">
        <v>662.1</v>
      </c>
      <c r="F2490">
        <v>0.1</v>
      </c>
      <c r="G2490" s="142" t="s">
        <v>26</v>
      </c>
      <c r="H2490" s="142" t="s">
        <v>26</v>
      </c>
      <c r="I2490">
        <v>0</v>
      </c>
      <c r="J2490">
        <v>0</v>
      </c>
      <c r="K2490" s="142" t="s">
        <v>1674</v>
      </c>
      <c r="L2490">
        <v>0.30436869761800001</v>
      </c>
      <c r="M2490">
        <v>0</v>
      </c>
      <c r="N2490">
        <v>0.30236860999800003</v>
      </c>
      <c r="O2490">
        <v>0</v>
      </c>
    </row>
    <row r="2491" spans="1:15" x14ac:dyDescent="0.25">
      <c r="A2491" s="142" t="s">
        <v>483</v>
      </c>
      <c r="B2491" s="142" t="s">
        <v>51</v>
      </c>
      <c r="C2491" s="142" t="s">
        <v>75</v>
      </c>
      <c r="D2491">
        <v>662</v>
      </c>
      <c r="E2491">
        <v>1202.0999999999999</v>
      </c>
      <c r="F2491">
        <v>0.1</v>
      </c>
      <c r="G2491" s="142" t="s">
        <v>26</v>
      </c>
      <c r="H2491" s="142" t="s">
        <v>26</v>
      </c>
      <c r="I2491">
        <v>0</v>
      </c>
      <c r="J2491">
        <v>0</v>
      </c>
      <c r="K2491" s="142" t="s">
        <v>1674</v>
      </c>
      <c r="L2491">
        <v>0.343521972043</v>
      </c>
      <c r="M2491">
        <v>0</v>
      </c>
      <c r="N2491">
        <v>0.34251116891599998</v>
      </c>
      <c r="O2491">
        <v>0</v>
      </c>
    </row>
    <row r="2492" spans="1:15" x14ac:dyDescent="0.25">
      <c r="A2492" s="142" t="s">
        <v>485</v>
      </c>
      <c r="B2492" s="142" t="s">
        <v>51</v>
      </c>
      <c r="C2492" s="142" t="s">
        <v>75</v>
      </c>
      <c r="D2492">
        <v>1202</v>
      </c>
      <c r="E2492">
        <v>1832</v>
      </c>
      <c r="F2492">
        <v>0.1</v>
      </c>
      <c r="G2492" s="142" t="s">
        <v>26</v>
      </c>
      <c r="H2492" s="142" t="s">
        <v>26</v>
      </c>
      <c r="I2492">
        <v>0</v>
      </c>
      <c r="J2492">
        <v>0</v>
      </c>
      <c r="K2492" s="142" t="s">
        <v>1674</v>
      </c>
      <c r="L2492">
        <v>0.44489108766800001</v>
      </c>
      <c r="M2492">
        <v>0</v>
      </c>
      <c r="N2492">
        <v>0.44411106205700002</v>
      </c>
      <c r="O2492">
        <v>0</v>
      </c>
    </row>
    <row r="2493" spans="1:15" x14ac:dyDescent="0.25">
      <c r="A2493" s="142" t="s">
        <v>1929</v>
      </c>
      <c r="B2493" s="142" t="s">
        <v>51</v>
      </c>
      <c r="C2493" s="142" t="s">
        <v>75</v>
      </c>
      <c r="D2493">
        <v>1832</v>
      </c>
      <c r="E2493">
        <v>1832.1</v>
      </c>
      <c r="F2493">
        <v>0.1</v>
      </c>
      <c r="G2493" s="142" t="s">
        <v>26</v>
      </c>
      <c r="H2493" s="142" t="s">
        <v>26</v>
      </c>
      <c r="I2493">
        <v>0</v>
      </c>
      <c r="J2493">
        <v>0</v>
      </c>
      <c r="K2493" s="142" t="s">
        <v>1674</v>
      </c>
      <c r="L2493">
        <v>0.44489108766800001</v>
      </c>
      <c r="M2493">
        <v>0</v>
      </c>
      <c r="N2493">
        <v>0.44411106205700002</v>
      </c>
      <c r="O2493">
        <v>0</v>
      </c>
    </row>
    <row r="2494" spans="1:15" x14ac:dyDescent="0.25">
      <c r="A2494" s="142" t="s">
        <v>479</v>
      </c>
      <c r="B2494" s="142" t="s">
        <v>51</v>
      </c>
      <c r="C2494" s="142" t="s">
        <v>75</v>
      </c>
      <c r="D2494">
        <v>-418</v>
      </c>
      <c r="E2494">
        <v>-147.9</v>
      </c>
      <c r="F2494">
        <v>1</v>
      </c>
      <c r="G2494" s="142" t="s">
        <v>26</v>
      </c>
      <c r="H2494" s="142" t="s">
        <v>26</v>
      </c>
      <c r="I2494">
        <v>0</v>
      </c>
      <c r="J2494">
        <v>0</v>
      </c>
      <c r="K2494" s="142" t="s">
        <v>1674</v>
      </c>
      <c r="L2494">
        <v>1.2013970431580001</v>
      </c>
      <c r="M2494">
        <v>0</v>
      </c>
      <c r="N2494">
        <v>1.19096215528</v>
      </c>
      <c r="O2494">
        <v>0</v>
      </c>
    </row>
    <row r="2495" spans="1:15" x14ac:dyDescent="0.25">
      <c r="A2495" s="142" t="s">
        <v>481</v>
      </c>
      <c r="B2495" s="142" t="s">
        <v>51</v>
      </c>
      <c r="C2495" s="142" t="s">
        <v>75</v>
      </c>
      <c r="D2495">
        <v>-148</v>
      </c>
      <c r="E2495">
        <v>-12.9</v>
      </c>
      <c r="F2495">
        <v>1</v>
      </c>
      <c r="G2495" s="142" t="s">
        <v>26</v>
      </c>
      <c r="H2495" s="142" t="s">
        <v>26</v>
      </c>
      <c r="I2495">
        <v>0</v>
      </c>
      <c r="J2495">
        <v>0</v>
      </c>
      <c r="K2495" s="142" t="s">
        <v>1674</v>
      </c>
      <c r="L2495">
        <v>1.2013970431580001</v>
      </c>
      <c r="M2495">
        <v>0</v>
      </c>
      <c r="N2495">
        <v>1.19096215528</v>
      </c>
      <c r="O2495">
        <v>0</v>
      </c>
    </row>
    <row r="2496" spans="1:15" x14ac:dyDescent="0.25">
      <c r="A2496" s="142" t="s">
        <v>1930</v>
      </c>
      <c r="B2496" s="142" t="s">
        <v>51</v>
      </c>
      <c r="C2496" s="142" t="s">
        <v>75</v>
      </c>
      <c r="D2496">
        <v>-13</v>
      </c>
      <c r="E2496">
        <v>662.1</v>
      </c>
      <c r="F2496">
        <v>1</v>
      </c>
      <c r="G2496" s="142" t="s">
        <v>26</v>
      </c>
      <c r="H2496" s="142" t="s">
        <v>26</v>
      </c>
      <c r="I2496">
        <v>0</v>
      </c>
      <c r="J2496">
        <v>0</v>
      </c>
      <c r="K2496" s="142" t="s">
        <v>1674</v>
      </c>
      <c r="L2496">
        <v>0.65290189724299996</v>
      </c>
      <c r="M2496">
        <v>0</v>
      </c>
      <c r="N2496">
        <v>0.64917391838500005</v>
      </c>
      <c r="O2496">
        <v>0</v>
      </c>
    </row>
    <row r="2497" spans="1:15" x14ac:dyDescent="0.25">
      <c r="A2497" s="142" t="s">
        <v>484</v>
      </c>
      <c r="B2497" s="142" t="s">
        <v>51</v>
      </c>
      <c r="C2497" s="142" t="s">
        <v>75</v>
      </c>
      <c r="D2497">
        <v>662</v>
      </c>
      <c r="E2497">
        <v>1202.0999999999999</v>
      </c>
      <c r="F2497">
        <v>1</v>
      </c>
      <c r="G2497" s="142" t="s">
        <v>26</v>
      </c>
      <c r="H2497" s="142" t="s">
        <v>26</v>
      </c>
      <c r="I2497">
        <v>0</v>
      </c>
      <c r="J2497">
        <v>0</v>
      </c>
      <c r="K2497" s="142" t="s">
        <v>1674</v>
      </c>
      <c r="L2497">
        <v>0.67088574184399996</v>
      </c>
      <c r="M2497">
        <v>0</v>
      </c>
      <c r="N2497">
        <v>0.66881529650000004</v>
      </c>
      <c r="O2497">
        <v>0</v>
      </c>
    </row>
    <row r="2498" spans="1:15" x14ac:dyDescent="0.25">
      <c r="A2498" s="142" t="s">
        <v>486</v>
      </c>
      <c r="B2498" s="142" t="s">
        <v>51</v>
      </c>
      <c r="C2498" s="142" t="s">
        <v>75</v>
      </c>
      <c r="D2498">
        <v>1202</v>
      </c>
      <c r="E2498">
        <v>1832</v>
      </c>
      <c r="F2498">
        <v>1</v>
      </c>
      <c r="G2498" s="142" t="s">
        <v>26</v>
      </c>
      <c r="H2498" s="142" t="s">
        <v>26</v>
      </c>
      <c r="I2498">
        <v>0</v>
      </c>
      <c r="J2498">
        <v>0</v>
      </c>
      <c r="K2498" s="142" t="s">
        <v>1674</v>
      </c>
      <c r="L2498">
        <v>0.72801676712800001</v>
      </c>
      <c r="M2498">
        <v>0</v>
      </c>
      <c r="N2498">
        <v>0.72610924483999995</v>
      </c>
      <c r="O2498">
        <v>0</v>
      </c>
    </row>
    <row r="2499" spans="1:15" x14ac:dyDescent="0.25">
      <c r="A2499" s="142" t="s">
        <v>487</v>
      </c>
      <c r="B2499" s="142" t="s">
        <v>51</v>
      </c>
      <c r="C2499" s="142" t="s">
        <v>75</v>
      </c>
      <c r="D2499">
        <v>1832</v>
      </c>
      <c r="E2499">
        <v>1832.1</v>
      </c>
      <c r="F2499">
        <v>1</v>
      </c>
      <c r="G2499" s="142" t="s">
        <v>26</v>
      </c>
      <c r="H2499" s="142" t="s">
        <v>26</v>
      </c>
      <c r="I2499">
        <v>0</v>
      </c>
      <c r="J2499">
        <v>0</v>
      </c>
      <c r="K2499" s="142" t="s">
        <v>1674</v>
      </c>
      <c r="L2499">
        <v>0.72801676712800001</v>
      </c>
      <c r="M2499">
        <v>0</v>
      </c>
      <c r="N2499">
        <v>0.72610924483999995</v>
      </c>
      <c r="O2499">
        <v>0</v>
      </c>
    </row>
    <row r="2500" spans="1:15" x14ac:dyDescent="0.25">
      <c r="A2500" s="142" t="s">
        <v>468</v>
      </c>
      <c r="B2500" s="142" t="s">
        <v>51</v>
      </c>
      <c r="C2500" s="142" t="s">
        <v>76</v>
      </c>
      <c r="D2500">
        <v>-346</v>
      </c>
      <c r="E2500">
        <v>-147.9</v>
      </c>
      <c r="F2500">
        <v>0.1</v>
      </c>
      <c r="G2500" s="142" t="s">
        <v>26</v>
      </c>
      <c r="H2500" s="142" t="s">
        <v>26</v>
      </c>
      <c r="I2500">
        <v>0</v>
      </c>
      <c r="J2500">
        <v>0</v>
      </c>
      <c r="K2500" s="142" t="s">
        <v>1674</v>
      </c>
      <c r="L2500">
        <v>0.57726726887599999</v>
      </c>
      <c r="M2500">
        <v>0</v>
      </c>
      <c r="N2500">
        <v>0.56757588796900005</v>
      </c>
      <c r="O2500">
        <v>0</v>
      </c>
    </row>
    <row r="2501" spans="1:15" x14ac:dyDescent="0.25">
      <c r="A2501" s="142" t="s">
        <v>469</v>
      </c>
      <c r="B2501" s="142" t="s">
        <v>51</v>
      </c>
      <c r="C2501" s="142" t="s">
        <v>76</v>
      </c>
      <c r="D2501">
        <v>-148</v>
      </c>
      <c r="E2501">
        <v>-21.9</v>
      </c>
      <c r="F2501">
        <v>0.1</v>
      </c>
      <c r="G2501" s="142" t="s">
        <v>26</v>
      </c>
      <c r="H2501" s="142" t="s">
        <v>26</v>
      </c>
      <c r="I2501">
        <v>0</v>
      </c>
      <c r="J2501">
        <v>0</v>
      </c>
      <c r="K2501" s="142" t="s">
        <v>1674</v>
      </c>
      <c r="L2501">
        <v>0.35407548367000002</v>
      </c>
      <c r="M2501">
        <v>0</v>
      </c>
      <c r="N2501">
        <v>0.34262929971700001</v>
      </c>
      <c r="O2501">
        <v>0</v>
      </c>
    </row>
    <row r="2502" spans="1:15" x14ac:dyDescent="0.25">
      <c r="A2502" s="142" t="s">
        <v>471</v>
      </c>
      <c r="B2502" s="142" t="s">
        <v>51</v>
      </c>
      <c r="C2502" s="142" t="s">
        <v>76</v>
      </c>
      <c r="D2502">
        <v>-22</v>
      </c>
      <c r="E2502">
        <v>302.10000000000002</v>
      </c>
      <c r="F2502">
        <v>0.1</v>
      </c>
      <c r="G2502" s="142" t="s">
        <v>26</v>
      </c>
      <c r="H2502" s="142" t="s">
        <v>26</v>
      </c>
      <c r="I2502">
        <v>0</v>
      </c>
      <c r="J2502">
        <v>0</v>
      </c>
      <c r="K2502" s="142" t="s">
        <v>1674</v>
      </c>
      <c r="L2502">
        <v>0.315311841378</v>
      </c>
      <c r="M2502">
        <v>0</v>
      </c>
      <c r="N2502">
        <v>0.302401961306</v>
      </c>
      <c r="O2502">
        <v>0</v>
      </c>
    </row>
    <row r="2503" spans="1:15" x14ac:dyDescent="0.25">
      <c r="A2503" s="142" t="s">
        <v>473</v>
      </c>
      <c r="B2503" s="142" t="s">
        <v>51</v>
      </c>
      <c r="C2503" s="142" t="s">
        <v>76</v>
      </c>
      <c r="D2503">
        <v>302</v>
      </c>
      <c r="E2503">
        <v>1400.1</v>
      </c>
      <c r="F2503">
        <v>0.1</v>
      </c>
      <c r="G2503" s="142" t="s">
        <v>26</v>
      </c>
      <c r="H2503" s="142" t="s">
        <v>26</v>
      </c>
      <c r="I2503">
        <v>0</v>
      </c>
      <c r="J2503">
        <v>0</v>
      </c>
      <c r="K2503" s="142" t="s">
        <v>1674</v>
      </c>
      <c r="L2503">
        <v>0.36583836369</v>
      </c>
      <c r="M2503">
        <v>0</v>
      </c>
      <c r="N2503">
        <v>0.36274510872299998</v>
      </c>
      <c r="O2503">
        <v>0</v>
      </c>
    </row>
    <row r="2504" spans="1:15" x14ac:dyDescent="0.25">
      <c r="A2504" s="142" t="s">
        <v>475</v>
      </c>
      <c r="B2504" s="142" t="s">
        <v>51</v>
      </c>
      <c r="C2504" s="142" t="s">
        <v>76</v>
      </c>
      <c r="D2504">
        <v>1400</v>
      </c>
      <c r="E2504">
        <v>2192</v>
      </c>
      <c r="F2504">
        <v>0.1</v>
      </c>
      <c r="G2504" s="142" t="s">
        <v>26</v>
      </c>
      <c r="H2504" s="142" t="s">
        <v>26</v>
      </c>
      <c r="I2504">
        <v>0</v>
      </c>
      <c r="J2504">
        <v>0</v>
      </c>
      <c r="K2504" s="142" t="s">
        <v>1674</v>
      </c>
      <c r="L2504">
        <v>0.48736202801900003</v>
      </c>
      <c r="M2504">
        <v>0</v>
      </c>
      <c r="N2504">
        <v>0.48504438138200001</v>
      </c>
      <c r="O2504">
        <v>0</v>
      </c>
    </row>
    <row r="2505" spans="1:15" x14ac:dyDescent="0.25">
      <c r="A2505" s="142" t="s">
        <v>477</v>
      </c>
      <c r="B2505" s="142" t="s">
        <v>51</v>
      </c>
      <c r="C2505" s="142" t="s">
        <v>76</v>
      </c>
      <c r="D2505">
        <v>2192</v>
      </c>
      <c r="E2505">
        <v>2192.1</v>
      </c>
      <c r="F2505">
        <v>0.1</v>
      </c>
      <c r="G2505" s="142" t="s">
        <v>26</v>
      </c>
      <c r="H2505" s="142" t="s">
        <v>26</v>
      </c>
      <c r="I2505">
        <v>0</v>
      </c>
      <c r="J2505">
        <v>0</v>
      </c>
      <c r="K2505" s="142" t="s">
        <v>1674</v>
      </c>
      <c r="L2505">
        <v>0.48736202801900003</v>
      </c>
      <c r="M2505">
        <v>0</v>
      </c>
      <c r="N2505">
        <v>0.48504438138200001</v>
      </c>
      <c r="O2505">
        <v>0</v>
      </c>
    </row>
    <row r="2506" spans="1:15" x14ac:dyDescent="0.25">
      <c r="A2506" s="142" t="s">
        <v>1931</v>
      </c>
      <c r="B2506" s="142" t="s">
        <v>51</v>
      </c>
      <c r="C2506" s="142" t="s">
        <v>76</v>
      </c>
      <c r="D2506">
        <v>-346</v>
      </c>
      <c r="E2506">
        <v>-147.9</v>
      </c>
      <c r="F2506">
        <v>1</v>
      </c>
      <c r="G2506" s="142" t="s">
        <v>26</v>
      </c>
      <c r="H2506" s="142" t="s">
        <v>26</v>
      </c>
      <c r="I2506">
        <v>0</v>
      </c>
      <c r="J2506">
        <v>0</v>
      </c>
      <c r="K2506" s="142" t="s">
        <v>1674</v>
      </c>
      <c r="L2506">
        <v>0.83457943483499997</v>
      </c>
      <c r="M2506">
        <v>0</v>
      </c>
      <c r="N2506">
        <v>0.807553334836</v>
      </c>
      <c r="O2506">
        <v>0</v>
      </c>
    </row>
    <row r="2507" spans="1:15" x14ac:dyDescent="0.25">
      <c r="A2507" s="142" t="s">
        <v>470</v>
      </c>
      <c r="B2507" s="142" t="s">
        <v>51</v>
      </c>
      <c r="C2507" s="142" t="s">
        <v>76</v>
      </c>
      <c r="D2507">
        <v>-148</v>
      </c>
      <c r="E2507">
        <v>-21.9</v>
      </c>
      <c r="F2507">
        <v>1</v>
      </c>
      <c r="G2507" s="142" t="s">
        <v>26</v>
      </c>
      <c r="H2507" s="142" t="s">
        <v>26</v>
      </c>
      <c r="I2507">
        <v>0</v>
      </c>
      <c r="J2507">
        <v>0</v>
      </c>
      <c r="K2507" s="142" t="s">
        <v>1674</v>
      </c>
      <c r="L2507">
        <v>0.69231010498800005</v>
      </c>
      <c r="M2507">
        <v>0</v>
      </c>
      <c r="N2507">
        <v>0.66887580089599996</v>
      </c>
      <c r="O2507">
        <v>0</v>
      </c>
    </row>
    <row r="2508" spans="1:15" x14ac:dyDescent="0.25">
      <c r="A2508" s="142" t="s">
        <v>472</v>
      </c>
      <c r="B2508" s="142" t="s">
        <v>51</v>
      </c>
      <c r="C2508" s="142" t="s">
        <v>76</v>
      </c>
      <c r="D2508">
        <v>-22</v>
      </c>
      <c r="E2508">
        <v>302.10000000000002</v>
      </c>
      <c r="F2508">
        <v>1</v>
      </c>
      <c r="G2508" s="142" t="s">
        <v>26</v>
      </c>
      <c r="H2508" s="142" t="s">
        <v>26</v>
      </c>
      <c r="I2508">
        <v>0</v>
      </c>
      <c r="J2508">
        <v>0</v>
      </c>
      <c r="K2508" s="142" t="s">
        <v>1674</v>
      </c>
      <c r="L2508">
        <v>0.67330928305399995</v>
      </c>
      <c r="M2508">
        <v>0</v>
      </c>
      <c r="N2508">
        <v>0.64918945324300004</v>
      </c>
      <c r="O2508">
        <v>0</v>
      </c>
    </row>
    <row r="2509" spans="1:15" x14ac:dyDescent="0.25">
      <c r="A2509" s="142" t="s">
        <v>474</v>
      </c>
      <c r="B2509" s="142" t="s">
        <v>51</v>
      </c>
      <c r="C2509" s="142" t="s">
        <v>76</v>
      </c>
      <c r="D2509">
        <v>302</v>
      </c>
      <c r="E2509">
        <v>1400.1</v>
      </c>
      <c r="F2509">
        <v>1</v>
      </c>
      <c r="G2509" s="142" t="s">
        <v>26</v>
      </c>
      <c r="H2509" s="142" t="s">
        <v>26</v>
      </c>
      <c r="I2509">
        <v>0</v>
      </c>
      <c r="J2509">
        <v>0</v>
      </c>
      <c r="K2509" s="142" t="s">
        <v>1674</v>
      </c>
      <c r="L2509">
        <v>0.68600203474900001</v>
      </c>
      <c r="M2509">
        <v>0</v>
      </c>
      <c r="N2509">
        <v>0.67939974529199998</v>
      </c>
      <c r="O2509">
        <v>0</v>
      </c>
    </row>
    <row r="2510" spans="1:15" x14ac:dyDescent="0.25">
      <c r="A2510" s="142" t="s">
        <v>476</v>
      </c>
      <c r="B2510" s="142" t="s">
        <v>51</v>
      </c>
      <c r="C2510" s="142" t="s">
        <v>76</v>
      </c>
      <c r="D2510">
        <v>1400</v>
      </c>
      <c r="E2510">
        <v>2192</v>
      </c>
      <c r="F2510">
        <v>1</v>
      </c>
      <c r="G2510" s="142" t="s">
        <v>26</v>
      </c>
      <c r="H2510" s="142" t="s">
        <v>26</v>
      </c>
      <c r="I2510">
        <v>0</v>
      </c>
      <c r="J2510">
        <v>0</v>
      </c>
      <c r="K2510" s="142" t="s">
        <v>1674</v>
      </c>
      <c r="L2510">
        <v>0.75781450876099998</v>
      </c>
      <c r="M2510">
        <v>0</v>
      </c>
      <c r="N2510">
        <v>0.75184310325399994</v>
      </c>
      <c r="O2510">
        <v>0</v>
      </c>
    </row>
    <row r="2511" spans="1:15" x14ac:dyDescent="0.25">
      <c r="A2511" s="142" t="s">
        <v>478</v>
      </c>
      <c r="B2511" s="142" t="s">
        <v>51</v>
      </c>
      <c r="C2511" s="142" t="s">
        <v>76</v>
      </c>
      <c r="D2511">
        <v>2192</v>
      </c>
      <c r="E2511">
        <v>2192.1</v>
      </c>
      <c r="F2511">
        <v>1</v>
      </c>
      <c r="G2511" s="142" t="s">
        <v>26</v>
      </c>
      <c r="H2511" s="142" t="s">
        <v>26</v>
      </c>
      <c r="I2511">
        <v>0</v>
      </c>
      <c r="J2511">
        <v>0</v>
      </c>
      <c r="K2511" s="142" t="s">
        <v>1674</v>
      </c>
      <c r="L2511">
        <v>0.75781450876099998</v>
      </c>
      <c r="M2511">
        <v>0</v>
      </c>
      <c r="N2511">
        <v>0.75184310325399994</v>
      </c>
      <c r="O2511">
        <v>0</v>
      </c>
    </row>
    <row r="2512" spans="1:15" x14ac:dyDescent="0.25">
      <c r="A2512" s="142" t="s">
        <v>460</v>
      </c>
      <c r="B2512" s="142" t="s">
        <v>51</v>
      </c>
      <c r="C2512" s="142" t="s">
        <v>77</v>
      </c>
      <c r="D2512">
        <v>-328</v>
      </c>
      <c r="E2512">
        <v>-147.9</v>
      </c>
      <c r="F2512">
        <v>0.1</v>
      </c>
      <c r="G2512" s="142" t="s">
        <v>26</v>
      </c>
      <c r="H2512" s="142" t="s">
        <v>26</v>
      </c>
      <c r="I2512">
        <v>0</v>
      </c>
      <c r="J2512">
        <v>0</v>
      </c>
      <c r="K2512" s="142" t="s">
        <v>1674</v>
      </c>
      <c r="L2512">
        <v>0.70185549017500004</v>
      </c>
      <c r="M2512">
        <v>0</v>
      </c>
      <c r="N2512">
        <v>0.69127811671200001</v>
      </c>
      <c r="O2512">
        <v>0</v>
      </c>
    </row>
    <row r="2513" spans="1:15" x14ac:dyDescent="0.25">
      <c r="A2513" s="142" t="s">
        <v>461</v>
      </c>
      <c r="B2513" s="142" t="s">
        <v>51</v>
      </c>
      <c r="C2513" s="142" t="s">
        <v>77</v>
      </c>
      <c r="D2513">
        <v>-148</v>
      </c>
      <c r="E2513">
        <v>-12.9</v>
      </c>
      <c r="F2513">
        <v>0.1</v>
      </c>
      <c r="G2513" s="142" t="s">
        <v>26</v>
      </c>
      <c r="H2513" s="142" t="s">
        <v>26</v>
      </c>
      <c r="I2513">
        <v>0</v>
      </c>
      <c r="J2513">
        <v>0</v>
      </c>
      <c r="K2513" s="142" t="s">
        <v>1674</v>
      </c>
      <c r="L2513">
        <v>0.40197575922899997</v>
      </c>
      <c r="M2513">
        <v>0</v>
      </c>
      <c r="N2513">
        <v>0.38320858101400002</v>
      </c>
      <c r="O2513">
        <v>0</v>
      </c>
    </row>
    <row r="2514" spans="1:15" x14ac:dyDescent="0.25">
      <c r="A2514" s="142" t="s">
        <v>1932</v>
      </c>
      <c r="B2514" s="142" t="s">
        <v>51</v>
      </c>
      <c r="C2514" s="142" t="s">
        <v>77</v>
      </c>
      <c r="D2514">
        <v>-13</v>
      </c>
      <c r="E2514">
        <v>248.1</v>
      </c>
      <c r="F2514">
        <v>0.1</v>
      </c>
      <c r="G2514" s="142" t="s">
        <v>26</v>
      </c>
      <c r="H2514" s="142" t="s">
        <v>26</v>
      </c>
      <c r="I2514">
        <v>0</v>
      </c>
      <c r="J2514">
        <v>0</v>
      </c>
      <c r="K2514" s="142" t="s">
        <v>1674</v>
      </c>
      <c r="L2514">
        <v>0.35702450959699999</v>
      </c>
      <c r="M2514">
        <v>0</v>
      </c>
      <c r="N2514">
        <v>0.34265369691399999</v>
      </c>
      <c r="O2514">
        <v>0</v>
      </c>
    </row>
    <row r="2515" spans="1:15" x14ac:dyDescent="0.25">
      <c r="A2515" s="142" t="s">
        <v>1933</v>
      </c>
      <c r="B2515" s="142" t="s">
        <v>51</v>
      </c>
      <c r="C2515" s="142" t="s">
        <v>77</v>
      </c>
      <c r="D2515">
        <v>248</v>
      </c>
      <c r="E2515">
        <v>1832.1</v>
      </c>
      <c r="F2515">
        <v>0.1</v>
      </c>
      <c r="G2515" s="142" t="s">
        <v>26</v>
      </c>
      <c r="H2515" s="142" t="s">
        <v>26</v>
      </c>
      <c r="I2515">
        <v>0</v>
      </c>
      <c r="J2515">
        <v>0</v>
      </c>
      <c r="K2515" s="142" t="s">
        <v>1674</v>
      </c>
      <c r="L2515">
        <v>0.55154780378599999</v>
      </c>
      <c r="M2515">
        <v>0</v>
      </c>
      <c r="N2515">
        <v>0.54665417351099999</v>
      </c>
      <c r="O2515">
        <v>0</v>
      </c>
    </row>
    <row r="2516" spans="1:15" x14ac:dyDescent="0.25">
      <c r="A2516" s="142" t="s">
        <v>464</v>
      </c>
      <c r="B2516" s="142" t="s">
        <v>51</v>
      </c>
      <c r="C2516" s="142" t="s">
        <v>77</v>
      </c>
      <c r="D2516">
        <v>1832</v>
      </c>
      <c r="E2516">
        <v>2500</v>
      </c>
      <c r="F2516">
        <v>0.1</v>
      </c>
      <c r="G2516" s="142" t="s">
        <v>26</v>
      </c>
      <c r="H2516" s="142" t="s">
        <v>26</v>
      </c>
      <c r="I2516">
        <v>0</v>
      </c>
      <c r="J2516">
        <v>0</v>
      </c>
      <c r="K2516" s="142" t="s">
        <v>1674</v>
      </c>
      <c r="L2516">
        <v>0.83992544118000001</v>
      </c>
      <c r="M2516">
        <v>0</v>
      </c>
      <c r="N2516">
        <v>0.83547604332100001</v>
      </c>
      <c r="O2516">
        <v>0</v>
      </c>
    </row>
    <row r="2517" spans="1:15" x14ac:dyDescent="0.25">
      <c r="A2517" s="142" t="s">
        <v>466</v>
      </c>
      <c r="B2517" s="142" t="s">
        <v>51</v>
      </c>
      <c r="C2517" s="142" t="s">
        <v>77</v>
      </c>
      <c r="D2517">
        <v>2500</v>
      </c>
      <c r="E2517">
        <v>2500.1</v>
      </c>
      <c r="F2517">
        <v>0.1</v>
      </c>
      <c r="G2517" s="142" t="s">
        <v>26</v>
      </c>
      <c r="H2517" s="142" t="s">
        <v>26</v>
      </c>
      <c r="I2517">
        <v>0</v>
      </c>
      <c r="J2517">
        <v>0</v>
      </c>
      <c r="K2517" s="142" t="s">
        <v>1674</v>
      </c>
      <c r="L2517">
        <v>0.83992544118000001</v>
      </c>
      <c r="M2517">
        <v>0</v>
      </c>
      <c r="N2517">
        <v>0.83547604332100001</v>
      </c>
      <c r="O2517">
        <v>0</v>
      </c>
    </row>
    <row r="2518" spans="1:15" x14ac:dyDescent="0.25">
      <c r="A2518" s="142" t="s">
        <v>1934</v>
      </c>
      <c r="B2518" s="142" t="s">
        <v>51</v>
      </c>
      <c r="C2518" s="142" t="s">
        <v>77</v>
      </c>
      <c r="D2518">
        <v>-328</v>
      </c>
      <c r="E2518">
        <v>-147.9</v>
      </c>
      <c r="F2518">
        <v>1</v>
      </c>
      <c r="G2518" s="142" t="s">
        <v>26</v>
      </c>
      <c r="H2518" s="142" t="s">
        <v>26</v>
      </c>
      <c r="I2518">
        <v>0</v>
      </c>
      <c r="J2518">
        <v>0</v>
      </c>
      <c r="K2518" s="142" t="s">
        <v>1674</v>
      </c>
      <c r="L2518">
        <v>0.93102535541300002</v>
      </c>
      <c r="M2518">
        <v>0</v>
      </c>
      <c r="N2518">
        <v>0.89881334805699997</v>
      </c>
      <c r="O2518">
        <v>0</v>
      </c>
    </row>
    <row r="2519" spans="1:15" x14ac:dyDescent="0.25">
      <c r="A2519" s="142" t="s">
        <v>462</v>
      </c>
      <c r="B2519" s="142" t="s">
        <v>51</v>
      </c>
      <c r="C2519" s="142" t="s">
        <v>77</v>
      </c>
      <c r="D2519">
        <v>-148</v>
      </c>
      <c r="E2519">
        <v>-12.9</v>
      </c>
      <c r="F2519">
        <v>1</v>
      </c>
      <c r="G2519" s="142" t="s">
        <v>26</v>
      </c>
      <c r="H2519" s="142" t="s">
        <v>26</v>
      </c>
      <c r="I2519">
        <v>0</v>
      </c>
      <c r="J2519">
        <v>0</v>
      </c>
      <c r="K2519" s="142" t="s">
        <v>1674</v>
      </c>
      <c r="L2519">
        <v>0.73197786465199999</v>
      </c>
      <c r="M2519">
        <v>0</v>
      </c>
      <c r="N2519">
        <v>0.69054240750499996</v>
      </c>
      <c r="O2519">
        <v>0</v>
      </c>
    </row>
    <row r="2520" spans="1:15" x14ac:dyDescent="0.25">
      <c r="A2520" s="142" t="s">
        <v>463</v>
      </c>
      <c r="B2520" s="142" t="s">
        <v>51</v>
      </c>
      <c r="C2520" s="142" t="s">
        <v>77</v>
      </c>
      <c r="D2520">
        <v>-13</v>
      </c>
      <c r="E2520">
        <v>248.1</v>
      </c>
      <c r="F2520">
        <v>1</v>
      </c>
      <c r="G2520" s="142" t="s">
        <v>26</v>
      </c>
      <c r="H2520" s="142" t="s">
        <v>26</v>
      </c>
      <c r="I2520">
        <v>0</v>
      </c>
      <c r="J2520">
        <v>0</v>
      </c>
      <c r="K2520" s="142" t="s">
        <v>1674</v>
      </c>
      <c r="L2520">
        <v>0.69830604593300005</v>
      </c>
      <c r="M2520">
        <v>0</v>
      </c>
      <c r="N2520">
        <v>0.66888829860300003</v>
      </c>
      <c r="O2520">
        <v>0</v>
      </c>
    </row>
    <row r="2521" spans="1:15" x14ac:dyDescent="0.25">
      <c r="A2521" s="142" t="s">
        <v>1935</v>
      </c>
      <c r="B2521" s="142" t="s">
        <v>51</v>
      </c>
      <c r="C2521" s="142" t="s">
        <v>77</v>
      </c>
      <c r="D2521">
        <v>248</v>
      </c>
      <c r="E2521">
        <v>1832.1</v>
      </c>
      <c r="F2521">
        <v>1</v>
      </c>
      <c r="G2521" s="142" t="s">
        <v>26</v>
      </c>
      <c r="H2521" s="142" t="s">
        <v>26</v>
      </c>
      <c r="I2521">
        <v>0</v>
      </c>
      <c r="J2521">
        <v>0</v>
      </c>
      <c r="K2521" s="142" t="s">
        <v>1674</v>
      </c>
      <c r="L2521">
        <v>0.80642889531200002</v>
      </c>
      <c r="M2521">
        <v>0</v>
      </c>
      <c r="N2521">
        <v>0.79298851531199999</v>
      </c>
      <c r="O2521">
        <v>0</v>
      </c>
    </row>
    <row r="2522" spans="1:15" x14ac:dyDescent="0.25">
      <c r="A2522" s="142" t="s">
        <v>465</v>
      </c>
      <c r="B2522" s="142" t="s">
        <v>51</v>
      </c>
      <c r="C2522" s="142" t="s">
        <v>77</v>
      </c>
      <c r="D2522">
        <v>1832</v>
      </c>
      <c r="E2522">
        <v>2500</v>
      </c>
      <c r="F2522">
        <v>1</v>
      </c>
      <c r="G2522" s="142" t="s">
        <v>26</v>
      </c>
      <c r="H2522" s="142" t="s">
        <v>26</v>
      </c>
      <c r="I2522">
        <v>0</v>
      </c>
      <c r="J2522">
        <v>0</v>
      </c>
      <c r="K2522" s="142" t="s">
        <v>1674</v>
      </c>
      <c r="L2522">
        <v>1.028512678617</v>
      </c>
      <c r="M2522">
        <v>0</v>
      </c>
      <c r="N2522">
        <v>1.0139133192559999</v>
      </c>
      <c r="O2522">
        <v>0</v>
      </c>
    </row>
    <row r="2523" spans="1:15" x14ac:dyDescent="0.25">
      <c r="A2523" s="142" t="s">
        <v>467</v>
      </c>
      <c r="B2523" s="142" t="s">
        <v>51</v>
      </c>
      <c r="C2523" s="142" t="s">
        <v>77</v>
      </c>
      <c r="D2523">
        <v>2500</v>
      </c>
      <c r="E2523">
        <v>2500.1</v>
      </c>
      <c r="F2523">
        <v>1</v>
      </c>
      <c r="G2523" s="142" t="s">
        <v>26</v>
      </c>
      <c r="H2523" s="142" t="s">
        <v>26</v>
      </c>
      <c r="I2523">
        <v>0</v>
      </c>
      <c r="J2523">
        <v>0</v>
      </c>
      <c r="K2523" s="142" t="s">
        <v>1674</v>
      </c>
      <c r="L2523">
        <v>1.028512678617</v>
      </c>
      <c r="M2523">
        <v>0</v>
      </c>
      <c r="N2523">
        <v>1.0139133192559999</v>
      </c>
      <c r="O2523">
        <v>0</v>
      </c>
    </row>
    <row r="2524" spans="1:15" x14ac:dyDescent="0.25">
      <c r="A2524" s="142" t="s">
        <v>1936</v>
      </c>
      <c r="B2524" s="142" t="s">
        <v>51</v>
      </c>
      <c r="C2524" s="142" t="s">
        <v>78</v>
      </c>
      <c r="D2524">
        <v>-328</v>
      </c>
      <c r="E2524">
        <v>-147.9</v>
      </c>
      <c r="F2524">
        <v>0.1</v>
      </c>
      <c r="G2524" s="142" t="s">
        <v>26</v>
      </c>
      <c r="H2524" s="142" t="s">
        <v>26</v>
      </c>
      <c r="I2524">
        <v>0</v>
      </c>
      <c r="J2524">
        <v>0</v>
      </c>
      <c r="K2524" s="142" t="s">
        <v>1674</v>
      </c>
      <c r="L2524">
        <v>0.84492191361000002</v>
      </c>
      <c r="M2524">
        <v>0</v>
      </c>
      <c r="N2524">
        <v>0.835534068119</v>
      </c>
      <c r="O2524">
        <v>0</v>
      </c>
    </row>
    <row r="2525" spans="1:15" x14ac:dyDescent="0.25">
      <c r="A2525" s="142" t="s">
        <v>452</v>
      </c>
      <c r="B2525" s="142" t="s">
        <v>51</v>
      </c>
      <c r="C2525" s="142" t="s">
        <v>78</v>
      </c>
      <c r="D2525">
        <v>-148</v>
      </c>
      <c r="E2525">
        <v>-12.9</v>
      </c>
      <c r="F2525">
        <v>0.1</v>
      </c>
      <c r="G2525" s="142" t="s">
        <v>26</v>
      </c>
      <c r="H2525" s="142" t="s">
        <v>26</v>
      </c>
      <c r="I2525">
        <v>0</v>
      </c>
      <c r="J2525">
        <v>0</v>
      </c>
      <c r="K2525" s="142" t="s">
        <v>1674</v>
      </c>
      <c r="L2525">
        <v>0.47673872277899998</v>
      </c>
      <c r="M2525">
        <v>0</v>
      </c>
      <c r="N2525">
        <v>0.46495666323399998</v>
      </c>
      <c r="O2525">
        <v>0</v>
      </c>
    </row>
    <row r="2526" spans="1:15" x14ac:dyDescent="0.25">
      <c r="A2526" s="142" t="s">
        <v>453</v>
      </c>
      <c r="B2526" s="142" t="s">
        <v>51</v>
      </c>
      <c r="C2526" s="142" t="s">
        <v>78</v>
      </c>
      <c r="D2526">
        <v>-13</v>
      </c>
      <c r="E2526">
        <v>248.1</v>
      </c>
      <c r="F2526">
        <v>0.1</v>
      </c>
      <c r="G2526" s="142" t="s">
        <v>26</v>
      </c>
      <c r="H2526" s="142" t="s">
        <v>26</v>
      </c>
      <c r="I2526">
        <v>0</v>
      </c>
      <c r="J2526">
        <v>0</v>
      </c>
      <c r="K2526" s="142" t="s">
        <v>1674</v>
      </c>
      <c r="L2526">
        <v>0.41715274220199999</v>
      </c>
      <c r="M2526">
        <v>0</v>
      </c>
      <c r="N2526">
        <v>0.40363510652099999</v>
      </c>
      <c r="O2526">
        <v>0</v>
      </c>
    </row>
    <row r="2527" spans="1:15" x14ac:dyDescent="0.25">
      <c r="A2527" s="142" t="s">
        <v>454</v>
      </c>
      <c r="B2527" s="142" t="s">
        <v>51</v>
      </c>
      <c r="C2527" s="142" t="s">
        <v>78</v>
      </c>
      <c r="D2527">
        <v>248</v>
      </c>
      <c r="E2527">
        <v>770.1</v>
      </c>
      <c r="F2527">
        <v>0.1</v>
      </c>
      <c r="G2527" s="142" t="s">
        <v>26</v>
      </c>
      <c r="H2527" s="142" t="s">
        <v>26</v>
      </c>
      <c r="I2527">
        <v>0</v>
      </c>
      <c r="J2527">
        <v>0</v>
      </c>
      <c r="K2527" s="142" t="s">
        <v>1674</v>
      </c>
      <c r="L2527">
        <v>0.39150277361899999</v>
      </c>
      <c r="M2527">
        <v>0</v>
      </c>
      <c r="N2527">
        <v>0.38322325169600002</v>
      </c>
      <c r="O2527">
        <v>0</v>
      </c>
    </row>
    <row r="2528" spans="1:15" x14ac:dyDescent="0.25">
      <c r="A2528" s="142" t="s">
        <v>456</v>
      </c>
      <c r="B2528" s="142" t="s">
        <v>51</v>
      </c>
      <c r="C2528" s="142" t="s">
        <v>78</v>
      </c>
      <c r="D2528">
        <v>770</v>
      </c>
      <c r="E2528">
        <v>2372</v>
      </c>
      <c r="F2528">
        <v>0.1</v>
      </c>
      <c r="G2528" s="142" t="s">
        <v>26</v>
      </c>
      <c r="H2528" s="142" t="s">
        <v>26</v>
      </c>
      <c r="I2528">
        <v>0</v>
      </c>
      <c r="J2528">
        <v>0</v>
      </c>
      <c r="K2528" s="142" t="s">
        <v>1674</v>
      </c>
      <c r="L2528">
        <v>0.57284718907200005</v>
      </c>
      <c r="M2528">
        <v>0</v>
      </c>
      <c r="N2528">
        <v>0.56722089252499996</v>
      </c>
      <c r="O2528">
        <v>0</v>
      </c>
    </row>
    <row r="2529" spans="1:15" x14ac:dyDescent="0.25">
      <c r="A2529" s="142" t="s">
        <v>458</v>
      </c>
      <c r="B2529" s="142" t="s">
        <v>51</v>
      </c>
      <c r="C2529" s="142" t="s">
        <v>78</v>
      </c>
      <c r="D2529">
        <v>2372</v>
      </c>
      <c r="E2529">
        <v>2372.1</v>
      </c>
      <c r="F2529">
        <v>0.1</v>
      </c>
      <c r="G2529" s="142" t="s">
        <v>26</v>
      </c>
      <c r="H2529" s="142" t="s">
        <v>26</v>
      </c>
      <c r="I2529">
        <v>0</v>
      </c>
      <c r="J2529">
        <v>0</v>
      </c>
      <c r="K2529" s="142" t="s">
        <v>1674</v>
      </c>
      <c r="L2529">
        <v>0.57284718907200005</v>
      </c>
      <c r="M2529">
        <v>0</v>
      </c>
      <c r="N2529">
        <v>0.56722089252499996</v>
      </c>
      <c r="O2529">
        <v>0</v>
      </c>
    </row>
    <row r="2530" spans="1:15" x14ac:dyDescent="0.25">
      <c r="A2530" s="142" t="s">
        <v>451</v>
      </c>
      <c r="B2530" s="142" t="s">
        <v>51</v>
      </c>
      <c r="C2530" s="142" t="s">
        <v>78</v>
      </c>
      <c r="D2530">
        <v>-328</v>
      </c>
      <c r="E2530">
        <v>-147.9</v>
      </c>
      <c r="F2530">
        <v>1</v>
      </c>
      <c r="G2530" s="142" t="s">
        <v>26</v>
      </c>
      <c r="H2530" s="142" t="s">
        <v>26</v>
      </c>
      <c r="I2530">
        <v>0</v>
      </c>
      <c r="J2530">
        <v>0</v>
      </c>
      <c r="K2530" s="142" t="s">
        <v>1674</v>
      </c>
      <c r="L2530">
        <v>1.0446150599290001</v>
      </c>
      <c r="M2530">
        <v>0</v>
      </c>
      <c r="N2530">
        <v>1.013961132878</v>
      </c>
      <c r="O2530">
        <v>0</v>
      </c>
    </row>
    <row r="2531" spans="1:15" x14ac:dyDescent="0.25">
      <c r="A2531" s="142" t="s">
        <v>1937</v>
      </c>
      <c r="B2531" s="142" t="s">
        <v>51</v>
      </c>
      <c r="C2531" s="142" t="s">
        <v>78</v>
      </c>
      <c r="D2531">
        <v>-148</v>
      </c>
      <c r="E2531">
        <v>-12.9</v>
      </c>
      <c r="F2531">
        <v>1</v>
      </c>
      <c r="G2531" s="142" t="s">
        <v>26</v>
      </c>
      <c r="H2531" s="142" t="s">
        <v>26</v>
      </c>
      <c r="I2531">
        <v>0</v>
      </c>
      <c r="J2531">
        <v>0</v>
      </c>
      <c r="K2531" s="142" t="s">
        <v>1674</v>
      </c>
      <c r="L2531">
        <v>0.76848236357800004</v>
      </c>
      <c r="M2531">
        <v>0</v>
      </c>
      <c r="N2531">
        <v>0.73904309663699996</v>
      </c>
      <c r="O2531">
        <v>0</v>
      </c>
    </row>
    <row r="2532" spans="1:15" x14ac:dyDescent="0.25">
      <c r="A2532" s="142" t="s">
        <v>1938</v>
      </c>
      <c r="B2532" s="142" t="s">
        <v>51</v>
      </c>
      <c r="C2532" s="142" t="s">
        <v>78</v>
      </c>
      <c r="D2532">
        <v>-13</v>
      </c>
      <c r="E2532">
        <v>248.1</v>
      </c>
      <c r="F2532">
        <v>1</v>
      </c>
      <c r="G2532" s="142" t="s">
        <v>26</v>
      </c>
      <c r="H2532" s="142" t="s">
        <v>26</v>
      </c>
      <c r="I2532">
        <v>0</v>
      </c>
      <c r="J2532">
        <v>0</v>
      </c>
      <c r="K2532" s="142" t="s">
        <v>1674</v>
      </c>
      <c r="L2532">
        <v>0.73300869275900005</v>
      </c>
      <c r="M2532">
        <v>0</v>
      </c>
      <c r="N2532">
        <v>0.70208354147899998</v>
      </c>
      <c r="O2532">
        <v>0</v>
      </c>
    </row>
    <row r="2533" spans="1:15" x14ac:dyDescent="0.25">
      <c r="A2533" s="142" t="s">
        <v>455</v>
      </c>
      <c r="B2533" s="142" t="s">
        <v>51</v>
      </c>
      <c r="C2533" s="142" t="s">
        <v>78</v>
      </c>
      <c r="D2533">
        <v>248</v>
      </c>
      <c r="E2533">
        <v>770.1</v>
      </c>
      <c r="F2533">
        <v>1</v>
      </c>
      <c r="G2533" s="142" t="s">
        <v>26</v>
      </c>
      <c r="H2533" s="142" t="s">
        <v>26</v>
      </c>
      <c r="I2533">
        <v>0</v>
      </c>
      <c r="J2533">
        <v>0</v>
      </c>
      <c r="K2533" s="142" t="s">
        <v>1674</v>
      </c>
      <c r="L2533">
        <v>0.70888469096499995</v>
      </c>
      <c r="M2533">
        <v>0</v>
      </c>
      <c r="N2533">
        <v>0.69055054893900003</v>
      </c>
      <c r="O2533">
        <v>0</v>
      </c>
    </row>
    <row r="2534" spans="1:15" x14ac:dyDescent="0.25">
      <c r="A2534" s="142" t="s">
        <v>457</v>
      </c>
      <c r="B2534" s="142" t="s">
        <v>51</v>
      </c>
      <c r="C2534" s="142" t="s">
        <v>78</v>
      </c>
      <c r="D2534">
        <v>770</v>
      </c>
      <c r="E2534">
        <v>2372</v>
      </c>
      <c r="F2534">
        <v>1</v>
      </c>
      <c r="G2534" s="142" t="s">
        <v>26</v>
      </c>
      <c r="H2534" s="142" t="s">
        <v>26</v>
      </c>
      <c r="I2534">
        <v>0</v>
      </c>
      <c r="J2534">
        <v>0</v>
      </c>
      <c r="K2534" s="142" t="s">
        <v>1674</v>
      </c>
      <c r="L2534">
        <v>0.82304130234200001</v>
      </c>
      <c r="M2534">
        <v>0</v>
      </c>
      <c r="N2534">
        <v>0.80730387148600002</v>
      </c>
      <c r="O2534">
        <v>0</v>
      </c>
    </row>
    <row r="2535" spans="1:15" x14ac:dyDescent="0.25">
      <c r="A2535" s="142" t="s">
        <v>459</v>
      </c>
      <c r="B2535" s="142" t="s">
        <v>51</v>
      </c>
      <c r="C2535" s="142" t="s">
        <v>78</v>
      </c>
      <c r="D2535">
        <v>2372</v>
      </c>
      <c r="E2535">
        <v>2372.1</v>
      </c>
      <c r="F2535">
        <v>1</v>
      </c>
      <c r="G2535" s="142" t="s">
        <v>26</v>
      </c>
      <c r="H2535" s="142" t="s">
        <v>26</v>
      </c>
      <c r="I2535">
        <v>0</v>
      </c>
      <c r="J2535">
        <v>0</v>
      </c>
      <c r="K2535" s="142" t="s">
        <v>1674</v>
      </c>
      <c r="L2535">
        <v>0.82304130234200001</v>
      </c>
      <c r="M2535">
        <v>0</v>
      </c>
      <c r="N2535">
        <v>0.80730387148600002</v>
      </c>
      <c r="O2535">
        <v>0</v>
      </c>
    </row>
    <row r="2536" spans="1:15" x14ac:dyDescent="0.25">
      <c r="A2536" s="142" t="s">
        <v>1949</v>
      </c>
      <c r="B2536" s="142" t="s">
        <v>51</v>
      </c>
      <c r="C2536" s="142" t="s">
        <v>82</v>
      </c>
      <c r="D2536">
        <v>-328</v>
      </c>
      <c r="E2536">
        <v>32.1</v>
      </c>
      <c r="F2536">
        <v>0.1</v>
      </c>
      <c r="G2536" s="142" t="s">
        <v>26</v>
      </c>
      <c r="H2536" s="142" t="s">
        <v>26</v>
      </c>
      <c r="I2536">
        <v>0</v>
      </c>
      <c r="J2536">
        <v>0</v>
      </c>
      <c r="K2536" s="142" t="s">
        <v>1674</v>
      </c>
      <c r="L2536">
        <v>0.21928459419400001</v>
      </c>
      <c r="M2536">
        <v>0</v>
      </c>
      <c r="N2536">
        <v>0.190436296044</v>
      </c>
      <c r="O2536">
        <v>0</v>
      </c>
    </row>
    <row r="2537" spans="1:15" x14ac:dyDescent="0.25">
      <c r="A2537" s="142" t="s">
        <v>1950</v>
      </c>
      <c r="B2537" s="142" t="s">
        <v>51</v>
      </c>
      <c r="C2537" s="142" t="s">
        <v>82</v>
      </c>
      <c r="D2537">
        <v>32</v>
      </c>
      <c r="E2537">
        <v>212.1</v>
      </c>
      <c r="F2537">
        <v>0.1</v>
      </c>
      <c r="G2537" s="142" t="s">
        <v>26</v>
      </c>
      <c r="H2537" s="142" t="s">
        <v>26</v>
      </c>
      <c r="I2537">
        <v>0</v>
      </c>
      <c r="J2537">
        <v>0</v>
      </c>
      <c r="K2537" s="142" t="s">
        <v>1674</v>
      </c>
      <c r="L2537">
        <v>0.28536871185200002</v>
      </c>
      <c r="M2537">
        <v>0</v>
      </c>
      <c r="N2537">
        <v>0.26384759105299999</v>
      </c>
      <c r="O2537">
        <v>0</v>
      </c>
    </row>
    <row r="2538" spans="1:15" x14ac:dyDescent="0.25">
      <c r="A2538" s="142" t="s">
        <v>443</v>
      </c>
      <c r="B2538" s="142" t="s">
        <v>51</v>
      </c>
      <c r="C2538" s="142" t="s">
        <v>82</v>
      </c>
      <c r="D2538">
        <v>212</v>
      </c>
      <c r="E2538">
        <v>572.1</v>
      </c>
      <c r="F2538">
        <v>0.1</v>
      </c>
      <c r="G2538" s="142" t="s">
        <v>26</v>
      </c>
      <c r="H2538" s="142" t="s">
        <v>26</v>
      </c>
      <c r="I2538">
        <v>0</v>
      </c>
      <c r="J2538">
        <v>0</v>
      </c>
      <c r="K2538" s="142" t="s">
        <v>1674</v>
      </c>
      <c r="L2538">
        <v>0.28536871185200002</v>
      </c>
      <c r="M2538">
        <v>0</v>
      </c>
      <c r="N2538">
        <v>0.26384759105299999</v>
      </c>
      <c r="O2538">
        <v>0</v>
      </c>
    </row>
    <row r="2539" spans="1:15" x14ac:dyDescent="0.25">
      <c r="A2539" s="142" t="s">
        <v>445</v>
      </c>
      <c r="B2539" s="142" t="s">
        <v>51</v>
      </c>
      <c r="C2539" s="142" t="s">
        <v>82</v>
      </c>
      <c r="D2539">
        <v>572</v>
      </c>
      <c r="E2539">
        <v>752.1</v>
      </c>
      <c r="F2539">
        <v>0.1</v>
      </c>
      <c r="G2539" s="142" t="s">
        <v>26</v>
      </c>
      <c r="H2539" s="142" t="s">
        <v>26</v>
      </c>
      <c r="I2539">
        <v>0</v>
      </c>
      <c r="J2539">
        <v>0</v>
      </c>
      <c r="K2539" s="142" t="s">
        <v>1674</v>
      </c>
      <c r="L2539">
        <v>0.39011774918800002</v>
      </c>
      <c r="M2539">
        <v>0</v>
      </c>
      <c r="N2539">
        <v>0.37466265870999998</v>
      </c>
      <c r="O2539">
        <v>0</v>
      </c>
    </row>
    <row r="2540" spans="1:15" x14ac:dyDescent="0.25">
      <c r="A2540" s="142" t="s">
        <v>447</v>
      </c>
      <c r="B2540" s="142" t="s">
        <v>51</v>
      </c>
      <c r="C2540" s="142" t="s">
        <v>82</v>
      </c>
      <c r="D2540">
        <v>752</v>
      </c>
      <c r="E2540">
        <v>1166.0999999999999</v>
      </c>
      <c r="F2540">
        <v>0.1</v>
      </c>
      <c r="G2540" s="142" t="s">
        <v>26</v>
      </c>
      <c r="H2540" s="142" t="s">
        <v>26</v>
      </c>
      <c r="I2540">
        <v>0</v>
      </c>
      <c r="J2540">
        <v>0</v>
      </c>
      <c r="K2540" s="142" t="s">
        <v>1674</v>
      </c>
      <c r="L2540">
        <v>0.45987010658900002</v>
      </c>
      <c r="M2540">
        <v>0</v>
      </c>
      <c r="N2540">
        <v>0.44683415775200003</v>
      </c>
      <c r="O2540">
        <v>0</v>
      </c>
    </row>
    <row r="2541" spans="1:15" x14ac:dyDescent="0.25">
      <c r="A2541" s="142" t="s">
        <v>448</v>
      </c>
      <c r="B2541" s="142" t="s">
        <v>51</v>
      </c>
      <c r="C2541" s="142" t="s">
        <v>82</v>
      </c>
      <c r="D2541">
        <v>1166</v>
      </c>
      <c r="E2541">
        <v>1472</v>
      </c>
      <c r="F2541">
        <v>0.1</v>
      </c>
      <c r="G2541" s="142" t="s">
        <v>26</v>
      </c>
      <c r="H2541" s="142" t="s">
        <v>26</v>
      </c>
      <c r="I2541">
        <v>0</v>
      </c>
      <c r="J2541">
        <v>0</v>
      </c>
      <c r="K2541" s="142" t="s">
        <v>1674</v>
      </c>
      <c r="L2541">
        <v>0.77811255339800001</v>
      </c>
      <c r="M2541">
        <v>0</v>
      </c>
      <c r="N2541">
        <v>0.77047997725799999</v>
      </c>
      <c r="O2541">
        <v>0</v>
      </c>
    </row>
    <row r="2542" spans="1:15" x14ac:dyDescent="0.25">
      <c r="A2542" s="142" t="s">
        <v>449</v>
      </c>
      <c r="B2542" s="142" t="s">
        <v>51</v>
      </c>
      <c r="C2542" s="142" t="s">
        <v>82</v>
      </c>
      <c r="D2542">
        <v>1472</v>
      </c>
      <c r="E2542">
        <v>1472.1</v>
      </c>
      <c r="F2542">
        <v>0.1</v>
      </c>
      <c r="G2542" s="142" t="s">
        <v>26</v>
      </c>
      <c r="H2542" s="142" t="s">
        <v>26</v>
      </c>
      <c r="I2542">
        <v>0</v>
      </c>
      <c r="J2542">
        <v>0</v>
      </c>
      <c r="K2542" s="142" t="s">
        <v>1674</v>
      </c>
      <c r="L2542">
        <v>0.77811255339800001</v>
      </c>
      <c r="M2542">
        <v>0</v>
      </c>
      <c r="N2542">
        <v>0.77047997725799999</v>
      </c>
      <c r="O2542">
        <v>0</v>
      </c>
    </row>
    <row r="2543" spans="1:15" x14ac:dyDescent="0.25">
      <c r="A2543" s="142" t="s">
        <v>441</v>
      </c>
      <c r="B2543" s="142" t="s">
        <v>51</v>
      </c>
      <c r="C2543" s="142" t="s">
        <v>82</v>
      </c>
      <c r="D2543">
        <v>-328</v>
      </c>
      <c r="E2543">
        <v>32.1</v>
      </c>
      <c r="F2543">
        <v>1</v>
      </c>
      <c r="G2543" s="142" t="s">
        <v>26</v>
      </c>
      <c r="H2543" s="142" t="s">
        <v>26</v>
      </c>
      <c r="I2543">
        <v>0</v>
      </c>
      <c r="J2543">
        <v>0</v>
      </c>
      <c r="K2543" s="142" t="s">
        <v>1674</v>
      </c>
      <c r="L2543">
        <v>0.60123441610700001</v>
      </c>
      <c r="M2543">
        <v>0</v>
      </c>
      <c r="N2543">
        <v>0.588974140915</v>
      </c>
      <c r="O2543">
        <v>0</v>
      </c>
    </row>
    <row r="2544" spans="1:15" x14ac:dyDescent="0.25">
      <c r="A2544" s="142" t="s">
        <v>442</v>
      </c>
      <c r="B2544" s="142" t="s">
        <v>51</v>
      </c>
      <c r="C2544" s="142" t="s">
        <v>82</v>
      </c>
      <c r="D2544">
        <v>32</v>
      </c>
      <c r="E2544">
        <v>212.1</v>
      </c>
      <c r="F2544">
        <v>1</v>
      </c>
      <c r="G2544" s="142" t="s">
        <v>26</v>
      </c>
      <c r="H2544" s="142" t="s">
        <v>26</v>
      </c>
      <c r="I2544">
        <v>0</v>
      </c>
      <c r="J2544">
        <v>0</v>
      </c>
      <c r="K2544" s="142" t="s">
        <v>1674</v>
      </c>
      <c r="L2544">
        <v>0.61100604871399999</v>
      </c>
      <c r="M2544">
        <v>0</v>
      </c>
      <c r="N2544">
        <v>0.59894582987099998</v>
      </c>
      <c r="O2544">
        <v>0</v>
      </c>
    </row>
    <row r="2545" spans="1:15" x14ac:dyDescent="0.25">
      <c r="A2545" s="142" t="s">
        <v>444</v>
      </c>
      <c r="B2545" s="142" t="s">
        <v>51</v>
      </c>
      <c r="C2545" s="142" t="s">
        <v>82</v>
      </c>
      <c r="D2545">
        <v>212</v>
      </c>
      <c r="E2545">
        <v>572.1</v>
      </c>
      <c r="F2545">
        <v>1</v>
      </c>
      <c r="G2545" s="142" t="s">
        <v>26</v>
      </c>
      <c r="H2545" s="142" t="s">
        <v>26</v>
      </c>
      <c r="I2545">
        <v>0</v>
      </c>
      <c r="J2545">
        <v>0</v>
      </c>
      <c r="K2545" s="142" t="s">
        <v>1674</v>
      </c>
      <c r="L2545">
        <v>0.61100604871399999</v>
      </c>
      <c r="M2545">
        <v>0</v>
      </c>
      <c r="N2545">
        <v>0.59894582987099998</v>
      </c>
      <c r="O2545">
        <v>0</v>
      </c>
    </row>
    <row r="2546" spans="1:15" x14ac:dyDescent="0.25">
      <c r="A2546" s="142" t="s">
        <v>446</v>
      </c>
      <c r="B2546" s="142" t="s">
        <v>51</v>
      </c>
      <c r="C2546" s="142" t="s">
        <v>82</v>
      </c>
      <c r="D2546">
        <v>572</v>
      </c>
      <c r="E2546">
        <v>752.1</v>
      </c>
      <c r="F2546">
        <v>1</v>
      </c>
      <c r="G2546" s="142" t="s">
        <v>26</v>
      </c>
      <c r="H2546" s="142" t="s">
        <v>26</v>
      </c>
      <c r="I2546">
        <v>0</v>
      </c>
      <c r="J2546">
        <v>0</v>
      </c>
      <c r="K2546" s="142" t="s">
        <v>1674</v>
      </c>
      <c r="L2546">
        <v>0.631180598634</v>
      </c>
      <c r="M2546">
        <v>0</v>
      </c>
      <c r="N2546">
        <v>0.61951324735400004</v>
      </c>
      <c r="O2546">
        <v>0</v>
      </c>
    </row>
    <row r="2547" spans="1:15" x14ac:dyDescent="0.25">
      <c r="A2547" s="142" t="s">
        <v>1951</v>
      </c>
      <c r="B2547" s="142" t="s">
        <v>51</v>
      </c>
      <c r="C2547" s="142" t="s">
        <v>82</v>
      </c>
      <c r="D2547">
        <v>752</v>
      </c>
      <c r="E2547">
        <v>1166.0999999999999</v>
      </c>
      <c r="F2547">
        <v>1</v>
      </c>
      <c r="G2547" s="142" t="s">
        <v>26</v>
      </c>
      <c r="H2547" s="142" t="s">
        <v>26</v>
      </c>
      <c r="I2547">
        <v>0</v>
      </c>
      <c r="J2547">
        <v>0</v>
      </c>
      <c r="K2547" s="142" t="s">
        <v>1674</v>
      </c>
      <c r="L2547">
        <v>0.64672529314600002</v>
      </c>
      <c r="M2547">
        <v>0</v>
      </c>
      <c r="N2547">
        <v>0.63534346644200002</v>
      </c>
      <c r="O2547">
        <v>0</v>
      </c>
    </row>
    <row r="2548" spans="1:15" x14ac:dyDescent="0.25">
      <c r="A2548" s="142" t="s">
        <v>1952</v>
      </c>
      <c r="B2548" s="142" t="s">
        <v>51</v>
      </c>
      <c r="C2548" s="142" t="s">
        <v>82</v>
      </c>
      <c r="D2548">
        <v>1166</v>
      </c>
      <c r="E2548">
        <v>1472</v>
      </c>
      <c r="F2548">
        <v>1</v>
      </c>
      <c r="G2548" s="142" t="s">
        <v>26</v>
      </c>
      <c r="H2548" s="142" t="s">
        <v>26</v>
      </c>
      <c r="I2548">
        <v>0</v>
      </c>
      <c r="J2548">
        <v>0</v>
      </c>
      <c r="K2548" s="142" t="s">
        <v>1674</v>
      </c>
      <c r="L2548">
        <v>0.73899948282500005</v>
      </c>
      <c r="M2548">
        <v>0</v>
      </c>
      <c r="N2548">
        <v>0.72905963485199998</v>
      </c>
      <c r="O2548">
        <v>0</v>
      </c>
    </row>
    <row r="2549" spans="1:15" x14ac:dyDescent="0.25">
      <c r="A2549" s="142" t="s">
        <v>450</v>
      </c>
      <c r="B2549" s="142" t="s">
        <v>51</v>
      </c>
      <c r="C2549" s="142" t="s">
        <v>82</v>
      </c>
      <c r="D2549">
        <v>1472</v>
      </c>
      <c r="E2549">
        <v>1472.1</v>
      </c>
      <c r="F2549">
        <v>1</v>
      </c>
      <c r="G2549" s="142" t="s">
        <v>26</v>
      </c>
      <c r="H2549" s="142" t="s">
        <v>26</v>
      </c>
      <c r="I2549">
        <v>0</v>
      </c>
      <c r="J2549">
        <v>0</v>
      </c>
      <c r="K2549" s="142" t="s">
        <v>1674</v>
      </c>
      <c r="L2549">
        <v>0.73899948282500005</v>
      </c>
      <c r="M2549">
        <v>0</v>
      </c>
      <c r="N2549">
        <v>0.72905963485199998</v>
      </c>
      <c r="O2549">
        <v>0</v>
      </c>
    </row>
    <row r="2550" spans="1:15" x14ac:dyDescent="0.25">
      <c r="A2550" s="142" t="s">
        <v>1953</v>
      </c>
      <c r="B2550" s="142" t="s">
        <v>51</v>
      </c>
      <c r="C2550" s="142" t="s">
        <v>83</v>
      </c>
      <c r="D2550">
        <v>-328</v>
      </c>
      <c r="E2550">
        <v>32.1</v>
      </c>
      <c r="F2550">
        <v>0.1</v>
      </c>
      <c r="G2550" s="142" t="s">
        <v>26</v>
      </c>
      <c r="H2550" s="142" t="s">
        <v>26</v>
      </c>
      <c r="I2550">
        <v>0</v>
      </c>
      <c r="J2550">
        <v>0</v>
      </c>
      <c r="K2550" s="142" t="s">
        <v>1674</v>
      </c>
      <c r="L2550">
        <v>0.16401347121000001</v>
      </c>
      <c r="M2550">
        <v>0</v>
      </c>
      <c r="N2550">
        <v>0.122803372667</v>
      </c>
      <c r="O2550">
        <v>0</v>
      </c>
    </row>
    <row r="2551" spans="1:15" x14ac:dyDescent="0.25">
      <c r="A2551" s="142" t="s">
        <v>1954</v>
      </c>
      <c r="B2551" s="142" t="s">
        <v>51</v>
      </c>
      <c r="C2551" s="142" t="s">
        <v>83</v>
      </c>
      <c r="D2551">
        <v>32</v>
      </c>
      <c r="E2551">
        <v>212.1</v>
      </c>
      <c r="F2551">
        <v>0.1</v>
      </c>
      <c r="G2551" s="142" t="s">
        <v>26</v>
      </c>
      <c r="H2551" s="142" t="s">
        <v>26</v>
      </c>
      <c r="I2551">
        <v>0</v>
      </c>
      <c r="J2551">
        <v>0</v>
      </c>
      <c r="K2551" s="142" t="s">
        <v>1674</v>
      </c>
      <c r="L2551">
        <v>0.192014758181</v>
      </c>
      <c r="M2551">
        <v>0</v>
      </c>
      <c r="N2551">
        <v>0.15827165557799999</v>
      </c>
      <c r="O2551">
        <v>0</v>
      </c>
    </row>
    <row r="2552" spans="1:15" x14ac:dyDescent="0.25">
      <c r="A2552" s="142" t="s">
        <v>431</v>
      </c>
      <c r="B2552" s="142" t="s">
        <v>51</v>
      </c>
      <c r="C2552" s="142" t="s">
        <v>83</v>
      </c>
      <c r="D2552">
        <v>212</v>
      </c>
      <c r="E2552">
        <v>500.1</v>
      </c>
      <c r="F2552">
        <v>0.1</v>
      </c>
      <c r="G2552" s="142" t="s">
        <v>26</v>
      </c>
      <c r="H2552" s="142" t="s">
        <v>26</v>
      </c>
      <c r="I2552">
        <v>0</v>
      </c>
      <c r="J2552">
        <v>0</v>
      </c>
      <c r="K2552" s="142" t="s">
        <v>1674</v>
      </c>
      <c r="L2552">
        <v>0.192014758181</v>
      </c>
      <c r="M2552">
        <v>0</v>
      </c>
      <c r="N2552">
        <v>0.15827165557799999</v>
      </c>
      <c r="O2552">
        <v>0</v>
      </c>
    </row>
    <row r="2553" spans="1:15" x14ac:dyDescent="0.25">
      <c r="A2553" s="142" t="s">
        <v>1955</v>
      </c>
      <c r="B2553" s="142" t="s">
        <v>51</v>
      </c>
      <c r="C2553" s="142" t="s">
        <v>83</v>
      </c>
      <c r="D2553">
        <v>500</v>
      </c>
      <c r="E2553">
        <v>572.1</v>
      </c>
      <c r="F2553">
        <v>0.1</v>
      </c>
      <c r="G2553" s="142" t="s">
        <v>26</v>
      </c>
      <c r="H2553" s="142" t="s">
        <v>26</v>
      </c>
      <c r="I2553">
        <v>0</v>
      </c>
      <c r="J2553">
        <v>0</v>
      </c>
      <c r="K2553" s="142" t="s">
        <v>1674</v>
      </c>
      <c r="L2553">
        <v>0.26189677850499998</v>
      </c>
      <c r="M2553">
        <v>0</v>
      </c>
      <c r="N2553">
        <v>0.23826492018600001</v>
      </c>
      <c r="O2553">
        <v>0</v>
      </c>
    </row>
    <row r="2554" spans="1:15" x14ac:dyDescent="0.25">
      <c r="A2554" s="142" t="s">
        <v>434</v>
      </c>
      <c r="B2554" s="142" t="s">
        <v>51</v>
      </c>
      <c r="C2554" s="142" t="s">
        <v>83</v>
      </c>
      <c r="D2554">
        <v>572</v>
      </c>
      <c r="E2554">
        <v>752.1</v>
      </c>
      <c r="F2554">
        <v>0.1</v>
      </c>
      <c r="G2554" s="142" t="s">
        <v>26</v>
      </c>
      <c r="H2554" s="142" t="s">
        <v>26</v>
      </c>
      <c r="I2554">
        <v>0</v>
      </c>
      <c r="J2554">
        <v>0</v>
      </c>
      <c r="K2554" s="142" t="s">
        <v>1674</v>
      </c>
      <c r="L2554">
        <v>0.293420957383</v>
      </c>
      <c r="M2554">
        <v>0</v>
      </c>
      <c r="N2554">
        <v>0.27253643395299998</v>
      </c>
      <c r="O2554">
        <v>0</v>
      </c>
    </row>
    <row r="2555" spans="1:15" x14ac:dyDescent="0.25">
      <c r="A2555" s="142" t="s">
        <v>435</v>
      </c>
      <c r="B2555" s="142" t="s">
        <v>51</v>
      </c>
      <c r="C2555" s="142" t="s">
        <v>83</v>
      </c>
      <c r="D2555">
        <v>752</v>
      </c>
      <c r="E2555">
        <v>1112.0999999999999</v>
      </c>
      <c r="F2555">
        <v>0.1</v>
      </c>
      <c r="G2555" s="142" t="s">
        <v>26</v>
      </c>
      <c r="H2555" s="142" t="s">
        <v>26</v>
      </c>
      <c r="I2555">
        <v>0</v>
      </c>
      <c r="J2555">
        <v>0</v>
      </c>
      <c r="K2555" s="142" t="s">
        <v>1674</v>
      </c>
      <c r="L2555">
        <v>0.297254966206</v>
      </c>
      <c r="M2555">
        <v>0</v>
      </c>
      <c r="N2555">
        <v>0.27666001614699998</v>
      </c>
      <c r="O2555">
        <v>0</v>
      </c>
    </row>
    <row r="2556" spans="1:15" x14ac:dyDescent="0.25">
      <c r="A2556" s="142" t="s">
        <v>437</v>
      </c>
      <c r="B2556" s="142" t="s">
        <v>51</v>
      </c>
      <c r="C2556" s="142" t="s">
        <v>83</v>
      </c>
      <c r="D2556">
        <v>1112</v>
      </c>
      <c r="E2556">
        <v>1166</v>
      </c>
      <c r="F2556">
        <v>0.1</v>
      </c>
      <c r="G2556" s="142" t="s">
        <v>26</v>
      </c>
      <c r="H2556" s="142" t="s">
        <v>26</v>
      </c>
      <c r="I2556">
        <v>0</v>
      </c>
      <c r="J2556">
        <v>0</v>
      </c>
      <c r="K2556" s="142" t="s">
        <v>1674</v>
      </c>
      <c r="L2556">
        <v>0.84698905950299996</v>
      </c>
      <c r="M2556">
        <v>0</v>
      </c>
      <c r="N2556">
        <v>0.83998256917500003</v>
      </c>
      <c r="O2556">
        <v>0</v>
      </c>
    </row>
    <row r="2557" spans="1:15" x14ac:dyDescent="0.25">
      <c r="A2557" s="142" t="s">
        <v>439</v>
      </c>
      <c r="B2557" s="142" t="s">
        <v>51</v>
      </c>
      <c r="C2557" s="142" t="s">
        <v>83</v>
      </c>
      <c r="D2557">
        <v>1166</v>
      </c>
      <c r="E2557">
        <v>1166.0999999999999</v>
      </c>
      <c r="F2557">
        <v>0.1</v>
      </c>
      <c r="G2557" s="142" t="s">
        <v>26</v>
      </c>
      <c r="H2557" s="142" t="s">
        <v>26</v>
      </c>
      <c r="I2557">
        <v>0</v>
      </c>
      <c r="J2557">
        <v>0</v>
      </c>
      <c r="K2557" s="142" t="s">
        <v>1674</v>
      </c>
      <c r="L2557">
        <v>0.84698905950299996</v>
      </c>
      <c r="M2557">
        <v>0</v>
      </c>
      <c r="N2557">
        <v>0.83998256917500003</v>
      </c>
      <c r="O2557">
        <v>0</v>
      </c>
    </row>
    <row r="2558" spans="1:15" x14ac:dyDescent="0.25">
      <c r="A2558" s="142" t="s">
        <v>1956</v>
      </c>
      <c r="B2558" s="142" t="s">
        <v>51</v>
      </c>
      <c r="C2558" s="142" t="s">
        <v>83</v>
      </c>
      <c r="D2558">
        <v>-328</v>
      </c>
      <c r="E2558">
        <v>32.1</v>
      </c>
      <c r="F2558">
        <v>1</v>
      </c>
      <c r="G2558" s="142" t="s">
        <v>26</v>
      </c>
      <c r="H2558" s="142" t="s">
        <v>26</v>
      </c>
      <c r="I2558">
        <v>0</v>
      </c>
      <c r="J2558">
        <v>0</v>
      </c>
      <c r="K2558" s="142" t="s">
        <v>1674</v>
      </c>
      <c r="L2558">
        <v>0.59551113222100005</v>
      </c>
      <c r="M2558">
        <v>0</v>
      </c>
      <c r="N2558">
        <v>0.58313053783400004</v>
      </c>
      <c r="O2558">
        <v>0</v>
      </c>
    </row>
    <row r="2559" spans="1:15" x14ac:dyDescent="0.25">
      <c r="A2559" s="142" t="s">
        <v>432</v>
      </c>
      <c r="B2559" s="142" t="s">
        <v>51</v>
      </c>
      <c r="C2559" s="142" t="s">
        <v>83</v>
      </c>
      <c r="D2559">
        <v>212</v>
      </c>
      <c r="E2559">
        <v>500.1</v>
      </c>
      <c r="F2559">
        <v>1</v>
      </c>
      <c r="G2559" s="142" t="s">
        <v>26</v>
      </c>
      <c r="H2559" s="142" t="s">
        <v>26</v>
      </c>
      <c r="I2559">
        <v>0</v>
      </c>
      <c r="J2559">
        <v>0</v>
      </c>
      <c r="K2559" s="142" t="s">
        <v>1674</v>
      </c>
      <c r="L2559">
        <v>0.598607348117</v>
      </c>
      <c r="M2559">
        <v>0</v>
      </c>
      <c r="N2559">
        <v>0.58629213944500003</v>
      </c>
      <c r="O2559">
        <v>0</v>
      </c>
    </row>
    <row r="2560" spans="1:15" x14ac:dyDescent="0.25">
      <c r="A2560" s="142" t="s">
        <v>433</v>
      </c>
      <c r="B2560" s="142" t="s">
        <v>51</v>
      </c>
      <c r="C2560" s="142" t="s">
        <v>83</v>
      </c>
      <c r="D2560">
        <v>500</v>
      </c>
      <c r="E2560">
        <v>572.1</v>
      </c>
      <c r="F2560">
        <v>1</v>
      </c>
      <c r="G2560" s="142" t="s">
        <v>26</v>
      </c>
      <c r="H2560" s="142" t="s">
        <v>26</v>
      </c>
      <c r="I2560">
        <v>0</v>
      </c>
      <c r="J2560">
        <v>0</v>
      </c>
      <c r="K2560" s="142" t="s">
        <v>1674</v>
      </c>
      <c r="L2560">
        <v>0.61002541951300004</v>
      </c>
      <c r="M2560">
        <v>0</v>
      </c>
      <c r="N2560">
        <v>0.59794542226400005</v>
      </c>
      <c r="O2560">
        <v>0</v>
      </c>
    </row>
    <row r="2561" spans="1:15" x14ac:dyDescent="0.25">
      <c r="A2561" s="142" t="s">
        <v>1957</v>
      </c>
      <c r="B2561" s="142" t="s">
        <v>51</v>
      </c>
      <c r="C2561" s="142" t="s">
        <v>83</v>
      </c>
      <c r="D2561">
        <v>572</v>
      </c>
      <c r="E2561">
        <v>752.1</v>
      </c>
      <c r="F2561">
        <v>1</v>
      </c>
      <c r="G2561" s="142" t="s">
        <v>26</v>
      </c>
      <c r="H2561" s="142" t="s">
        <v>26</v>
      </c>
      <c r="I2561">
        <v>0</v>
      </c>
      <c r="J2561">
        <v>0</v>
      </c>
      <c r="K2561" s="142" t="s">
        <v>1674</v>
      </c>
      <c r="L2561">
        <v>0.614808057927</v>
      </c>
      <c r="M2561">
        <v>0</v>
      </c>
      <c r="N2561">
        <v>0.60282390766100002</v>
      </c>
      <c r="O2561">
        <v>0</v>
      </c>
    </row>
    <row r="2562" spans="1:15" x14ac:dyDescent="0.25">
      <c r="A2562" s="142" t="s">
        <v>436</v>
      </c>
      <c r="B2562" s="142" t="s">
        <v>51</v>
      </c>
      <c r="C2562" s="142" t="s">
        <v>83</v>
      </c>
      <c r="D2562">
        <v>752</v>
      </c>
      <c r="E2562">
        <v>1112.0999999999999</v>
      </c>
      <c r="F2562">
        <v>1</v>
      </c>
      <c r="G2562" s="142" t="s">
        <v>26</v>
      </c>
      <c r="H2562" s="142" t="s">
        <v>26</v>
      </c>
      <c r="I2562">
        <v>0</v>
      </c>
      <c r="J2562">
        <v>0</v>
      </c>
      <c r="K2562" s="142" t="s">
        <v>1674</v>
      </c>
      <c r="L2562">
        <v>0.61664706663900004</v>
      </c>
      <c r="M2562">
        <v>0</v>
      </c>
      <c r="N2562">
        <v>0.60469936360999998</v>
      </c>
      <c r="O2562">
        <v>0</v>
      </c>
    </row>
    <row r="2563" spans="1:15" x14ac:dyDescent="0.25">
      <c r="A2563" s="142" t="s">
        <v>438</v>
      </c>
      <c r="B2563" s="142" t="s">
        <v>51</v>
      </c>
      <c r="C2563" s="142" t="s">
        <v>83</v>
      </c>
      <c r="D2563">
        <v>1112</v>
      </c>
      <c r="E2563">
        <v>1166</v>
      </c>
      <c r="F2563">
        <v>1</v>
      </c>
      <c r="G2563" s="142" t="s">
        <v>26</v>
      </c>
      <c r="H2563" s="142" t="s">
        <v>26</v>
      </c>
      <c r="I2563">
        <v>0</v>
      </c>
      <c r="J2563">
        <v>0</v>
      </c>
      <c r="K2563" s="142" t="s">
        <v>1674</v>
      </c>
      <c r="L2563">
        <v>1.0262492663959999</v>
      </c>
      <c r="M2563">
        <v>0</v>
      </c>
      <c r="N2563">
        <v>1.0191149455940001</v>
      </c>
      <c r="O2563">
        <v>0</v>
      </c>
    </row>
    <row r="2564" spans="1:15" x14ac:dyDescent="0.25">
      <c r="A2564" s="142" t="s">
        <v>440</v>
      </c>
      <c r="B2564" s="142" t="s">
        <v>51</v>
      </c>
      <c r="C2564" s="142" t="s">
        <v>83</v>
      </c>
      <c r="D2564">
        <v>1166</v>
      </c>
      <c r="E2564">
        <v>1166.0999999999999</v>
      </c>
      <c r="F2564">
        <v>1</v>
      </c>
      <c r="G2564" s="142" t="s">
        <v>26</v>
      </c>
      <c r="H2564" s="142" t="s">
        <v>26</v>
      </c>
      <c r="I2564">
        <v>0</v>
      </c>
      <c r="J2564">
        <v>0</v>
      </c>
      <c r="K2564" s="142" t="s">
        <v>1674</v>
      </c>
      <c r="L2564">
        <v>1.0262492663959999</v>
      </c>
      <c r="M2564">
        <v>0</v>
      </c>
      <c r="N2564">
        <v>1.0191149455940001</v>
      </c>
      <c r="O2564">
        <v>0</v>
      </c>
    </row>
    <row r="2565" spans="1:15" x14ac:dyDescent="0.25">
      <c r="A2565" s="142" t="s">
        <v>425</v>
      </c>
      <c r="B2565" s="142" t="s">
        <v>51</v>
      </c>
      <c r="C2565" s="142" t="s">
        <v>79</v>
      </c>
      <c r="D2565">
        <v>32</v>
      </c>
      <c r="E2565">
        <v>482.1</v>
      </c>
      <c r="F2565">
        <v>0.1</v>
      </c>
      <c r="G2565" s="142" t="s">
        <v>26</v>
      </c>
      <c r="H2565" s="142" t="s">
        <v>26</v>
      </c>
      <c r="I2565">
        <v>0</v>
      </c>
      <c r="J2565">
        <v>0</v>
      </c>
      <c r="K2565" s="142" t="s">
        <v>1674</v>
      </c>
      <c r="L2565">
        <v>1.196556842686</v>
      </c>
      <c r="M2565">
        <v>0</v>
      </c>
      <c r="N2565">
        <v>1.190019234205</v>
      </c>
      <c r="O2565">
        <v>0</v>
      </c>
    </row>
    <row r="2566" spans="1:15" x14ac:dyDescent="0.25">
      <c r="A2566" s="142" t="s">
        <v>426</v>
      </c>
      <c r="B2566" s="142" t="s">
        <v>51</v>
      </c>
      <c r="C2566" s="142" t="s">
        <v>79</v>
      </c>
      <c r="D2566">
        <v>482</v>
      </c>
      <c r="E2566">
        <v>752.1</v>
      </c>
      <c r="F2566">
        <v>0.1</v>
      </c>
      <c r="G2566" s="142" t="s">
        <v>26</v>
      </c>
      <c r="H2566" s="142" t="s">
        <v>26</v>
      </c>
      <c r="I2566">
        <v>0</v>
      </c>
      <c r="J2566">
        <v>0</v>
      </c>
      <c r="K2566" s="142" t="s">
        <v>1674</v>
      </c>
      <c r="L2566">
        <v>0.74216754789499995</v>
      </c>
      <c r="M2566">
        <v>0</v>
      </c>
      <c r="N2566">
        <v>0.73323749542899996</v>
      </c>
      <c r="O2566">
        <v>0</v>
      </c>
    </row>
    <row r="2567" spans="1:15" x14ac:dyDescent="0.25">
      <c r="A2567" s="142" t="s">
        <v>427</v>
      </c>
      <c r="B2567" s="142" t="s">
        <v>51</v>
      </c>
      <c r="C2567" s="142" t="s">
        <v>79</v>
      </c>
      <c r="D2567">
        <v>752</v>
      </c>
      <c r="E2567">
        <v>1832.1</v>
      </c>
      <c r="F2567">
        <v>0.1</v>
      </c>
      <c r="G2567" s="142" t="s">
        <v>26</v>
      </c>
      <c r="H2567" s="142" t="s">
        <v>26</v>
      </c>
      <c r="I2567">
        <v>0</v>
      </c>
      <c r="J2567">
        <v>0</v>
      </c>
      <c r="K2567" s="142" t="s">
        <v>1674</v>
      </c>
      <c r="L2567">
        <v>0.70146403122400003</v>
      </c>
      <c r="M2567">
        <v>0</v>
      </c>
      <c r="N2567">
        <v>0.69200891804700004</v>
      </c>
      <c r="O2567">
        <v>0</v>
      </c>
    </row>
    <row r="2568" spans="1:15" x14ac:dyDescent="0.25">
      <c r="A2568" s="142" t="s">
        <v>428</v>
      </c>
      <c r="B2568" s="142" t="s">
        <v>51</v>
      </c>
      <c r="C2568" s="142" t="s">
        <v>79</v>
      </c>
      <c r="D2568">
        <v>1832</v>
      </c>
      <c r="E2568">
        <v>3213</v>
      </c>
      <c r="F2568">
        <v>0.1</v>
      </c>
      <c r="G2568" s="142" t="s">
        <v>26</v>
      </c>
      <c r="H2568" s="142" t="s">
        <v>26</v>
      </c>
      <c r="I2568">
        <v>0</v>
      </c>
      <c r="J2568">
        <v>0</v>
      </c>
      <c r="K2568" s="142" t="s">
        <v>1674</v>
      </c>
      <c r="L2568">
        <v>0.96694892013800005</v>
      </c>
      <c r="M2568">
        <v>0</v>
      </c>
      <c r="N2568">
        <v>0.96011185270800004</v>
      </c>
      <c r="O2568">
        <v>0</v>
      </c>
    </row>
    <row r="2569" spans="1:15" x14ac:dyDescent="0.25">
      <c r="A2569" s="142" t="s">
        <v>430</v>
      </c>
      <c r="B2569" s="142" t="s">
        <v>51</v>
      </c>
      <c r="C2569" s="142" t="s">
        <v>79</v>
      </c>
      <c r="D2569">
        <v>3213</v>
      </c>
      <c r="E2569">
        <v>3213.1</v>
      </c>
      <c r="F2569">
        <v>0.1</v>
      </c>
      <c r="G2569" s="142" t="s">
        <v>26</v>
      </c>
      <c r="H2569" s="142" t="s">
        <v>26</v>
      </c>
      <c r="I2569">
        <v>0</v>
      </c>
      <c r="J2569">
        <v>0</v>
      </c>
      <c r="K2569" s="142" t="s">
        <v>1674</v>
      </c>
      <c r="L2569">
        <v>0.96694892013800005</v>
      </c>
      <c r="M2569">
        <v>0</v>
      </c>
      <c r="N2569">
        <v>0.96011185270800004</v>
      </c>
      <c r="O2569">
        <v>0</v>
      </c>
    </row>
    <row r="2570" spans="1:15" x14ac:dyDescent="0.25">
      <c r="A2570" s="142" t="s">
        <v>1939</v>
      </c>
      <c r="B2570" s="142" t="s">
        <v>51</v>
      </c>
      <c r="C2570" s="142" t="s">
        <v>79</v>
      </c>
      <c r="D2570">
        <v>32</v>
      </c>
      <c r="E2570">
        <v>482.1</v>
      </c>
      <c r="F2570">
        <v>1</v>
      </c>
      <c r="G2570" s="142" t="s">
        <v>26</v>
      </c>
      <c r="H2570" s="142" t="s">
        <v>26</v>
      </c>
      <c r="I2570">
        <v>0</v>
      </c>
      <c r="J2570">
        <v>0</v>
      </c>
      <c r="K2570" s="142" t="s">
        <v>1674</v>
      </c>
      <c r="L2570">
        <v>1.344825556635</v>
      </c>
      <c r="M2570">
        <v>0</v>
      </c>
      <c r="N2570">
        <v>1.321418093481</v>
      </c>
      <c r="O2570">
        <v>0</v>
      </c>
    </row>
    <row r="2571" spans="1:15" x14ac:dyDescent="0.25">
      <c r="A2571" s="142" t="s">
        <v>1940</v>
      </c>
      <c r="B2571" s="142" t="s">
        <v>51</v>
      </c>
      <c r="C2571" s="142" t="s">
        <v>79</v>
      </c>
      <c r="D2571">
        <v>482</v>
      </c>
      <c r="E2571">
        <v>752.1</v>
      </c>
      <c r="F2571">
        <v>1</v>
      </c>
      <c r="G2571" s="142" t="s">
        <v>26</v>
      </c>
      <c r="H2571" s="142" t="s">
        <v>26</v>
      </c>
      <c r="I2571">
        <v>0</v>
      </c>
      <c r="J2571">
        <v>0</v>
      </c>
      <c r="K2571" s="142" t="s">
        <v>1674</v>
      </c>
      <c r="L2571">
        <v>0.95934300564599995</v>
      </c>
      <c r="M2571">
        <v>0</v>
      </c>
      <c r="N2571">
        <v>0.93147046367700004</v>
      </c>
      <c r="O2571">
        <v>0</v>
      </c>
    </row>
    <row r="2572" spans="1:15" x14ac:dyDescent="0.25">
      <c r="A2572" s="142" t="s">
        <v>1941</v>
      </c>
      <c r="B2572" s="142" t="s">
        <v>51</v>
      </c>
      <c r="C2572" s="142" t="s">
        <v>79</v>
      </c>
      <c r="D2572">
        <v>752</v>
      </c>
      <c r="E2572">
        <v>1832.1</v>
      </c>
      <c r="F2572">
        <v>1</v>
      </c>
      <c r="G2572" s="142" t="s">
        <v>26</v>
      </c>
      <c r="H2572" s="142" t="s">
        <v>26</v>
      </c>
      <c r="I2572">
        <v>0</v>
      </c>
      <c r="J2572">
        <v>0</v>
      </c>
      <c r="K2572" s="142" t="s">
        <v>1674</v>
      </c>
      <c r="L2572">
        <v>0.92821232508200002</v>
      </c>
      <c r="M2572">
        <v>0</v>
      </c>
      <c r="N2572">
        <v>0.899375529274</v>
      </c>
      <c r="O2572">
        <v>0</v>
      </c>
    </row>
    <row r="2573" spans="1:15" x14ac:dyDescent="0.25">
      <c r="A2573" s="142" t="s">
        <v>429</v>
      </c>
      <c r="B2573" s="142" t="s">
        <v>51</v>
      </c>
      <c r="C2573" s="142" t="s">
        <v>79</v>
      </c>
      <c r="D2573">
        <v>1832</v>
      </c>
      <c r="E2573">
        <v>3213</v>
      </c>
      <c r="F2573">
        <v>1</v>
      </c>
      <c r="G2573" s="142" t="s">
        <v>26</v>
      </c>
      <c r="H2573" s="142" t="s">
        <v>26</v>
      </c>
      <c r="I2573">
        <v>0</v>
      </c>
      <c r="J2573">
        <v>0</v>
      </c>
      <c r="K2573" s="142" t="s">
        <v>1674</v>
      </c>
      <c r="L2573">
        <v>1.142154344863</v>
      </c>
      <c r="M2573">
        <v>0</v>
      </c>
      <c r="N2573">
        <v>1.1188452840809999</v>
      </c>
      <c r="O2573">
        <v>0</v>
      </c>
    </row>
    <row r="2574" spans="1:15" x14ac:dyDescent="0.25">
      <c r="A2574" s="142" t="s">
        <v>1942</v>
      </c>
      <c r="B2574" s="142" t="s">
        <v>51</v>
      </c>
      <c r="C2574" s="142" t="s">
        <v>79</v>
      </c>
      <c r="D2574">
        <v>3213</v>
      </c>
      <c r="E2574">
        <v>3213.1</v>
      </c>
      <c r="F2574">
        <v>1</v>
      </c>
      <c r="G2574" s="142" t="s">
        <v>26</v>
      </c>
      <c r="H2574" s="142" t="s">
        <v>26</v>
      </c>
      <c r="I2574">
        <v>0</v>
      </c>
      <c r="J2574">
        <v>0</v>
      </c>
      <c r="K2574" s="142" t="s">
        <v>1674</v>
      </c>
      <c r="L2574">
        <v>1.142154344863</v>
      </c>
      <c r="M2574">
        <v>0</v>
      </c>
      <c r="N2574">
        <v>1.1188452840809999</v>
      </c>
      <c r="O2574">
        <v>0</v>
      </c>
    </row>
    <row r="2575" spans="1:15" x14ac:dyDescent="0.25">
      <c r="A2575" s="142" t="s">
        <v>418</v>
      </c>
      <c r="B2575" s="142" t="s">
        <v>51</v>
      </c>
      <c r="C2575" s="142" t="s">
        <v>80</v>
      </c>
      <c r="D2575">
        <v>32</v>
      </c>
      <c r="E2575">
        <v>482.1</v>
      </c>
      <c r="F2575">
        <v>0.1</v>
      </c>
      <c r="G2575" s="142" t="s">
        <v>26</v>
      </c>
      <c r="H2575" s="142" t="s">
        <v>26</v>
      </c>
      <c r="I2575">
        <v>0</v>
      </c>
      <c r="J2575">
        <v>0</v>
      </c>
      <c r="K2575" s="142" t="s">
        <v>1674</v>
      </c>
      <c r="L2575">
        <v>0.99102046172400005</v>
      </c>
      <c r="M2575">
        <v>0</v>
      </c>
      <c r="N2575">
        <v>0.98329333251999995</v>
      </c>
      <c r="O2575">
        <v>0</v>
      </c>
    </row>
    <row r="2576" spans="1:15" x14ac:dyDescent="0.25">
      <c r="A2576" s="142" t="s">
        <v>420</v>
      </c>
      <c r="B2576" s="142" t="s">
        <v>51</v>
      </c>
      <c r="C2576" s="142" t="s">
        <v>80</v>
      </c>
      <c r="D2576">
        <v>482</v>
      </c>
      <c r="E2576">
        <v>1832.1</v>
      </c>
      <c r="F2576">
        <v>0.1</v>
      </c>
      <c r="G2576" s="142" t="s">
        <v>26</v>
      </c>
      <c r="H2576" s="142" t="s">
        <v>26</v>
      </c>
      <c r="I2576">
        <v>0</v>
      </c>
      <c r="J2576">
        <v>0</v>
      </c>
      <c r="K2576" s="142" t="s">
        <v>1674</v>
      </c>
      <c r="L2576">
        <v>0.76311401263300005</v>
      </c>
      <c r="M2576">
        <v>0</v>
      </c>
      <c r="N2576">
        <v>0.75443193982800005</v>
      </c>
      <c r="O2576">
        <v>0</v>
      </c>
    </row>
    <row r="2577" spans="1:15" x14ac:dyDescent="0.25">
      <c r="A2577" s="142" t="s">
        <v>1943</v>
      </c>
      <c r="B2577" s="142" t="s">
        <v>51</v>
      </c>
      <c r="C2577" s="142" t="s">
        <v>80</v>
      </c>
      <c r="D2577">
        <v>1832</v>
      </c>
      <c r="E2577">
        <v>2552.1</v>
      </c>
      <c r="F2577">
        <v>0.1</v>
      </c>
      <c r="G2577" s="142" t="s">
        <v>26</v>
      </c>
      <c r="H2577" s="142" t="s">
        <v>26</v>
      </c>
      <c r="I2577">
        <v>0</v>
      </c>
      <c r="J2577">
        <v>0</v>
      </c>
      <c r="K2577" s="142" t="s">
        <v>1674</v>
      </c>
      <c r="L2577">
        <v>0.78273955821899999</v>
      </c>
      <c r="M2577">
        <v>0</v>
      </c>
      <c r="N2577">
        <v>0.77427758042999995</v>
      </c>
      <c r="O2577">
        <v>0</v>
      </c>
    </row>
    <row r="2578" spans="1:15" x14ac:dyDescent="0.25">
      <c r="A2578" s="142" t="s">
        <v>1944</v>
      </c>
      <c r="B2578" s="142" t="s">
        <v>51</v>
      </c>
      <c r="C2578" s="142" t="s">
        <v>80</v>
      </c>
      <c r="D2578">
        <v>2552</v>
      </c>
      <c r="E2578">
        <v>3213</v>
      </c>
      <c r="F2578">
        <v>0.1</v>
      </c>
      <c r="G2578" s="142" t="s">
        <v>26</v>
      </c>
      <c r="H2578" s="142" t="s">
        <v>26</v>
      </c>
      <c r="I2578">
        <v>0</v>
      </c>
      <c r="J2578">
        <v>0</v>
      </c>
      <c r="K2578" s="142" t="s">
        <v>1674</v>
      </c>
      <c r="L2578">
        <v>0.96727748872499997</v>
      </c>
      <c r="M2578">
        <v>0</v>
      </c>
      <c r="N2578">
        <v>0.96044276026700004</v>
      </c>
      <c r="O2578">
        <v>0</v>
      </c>
    </row>
    <row r="2579" spans="1:15" x14ac:dyDescent="0.25">
      <c r="A2579" s="142" t="s">
        <v>423</v>
      </c>
      <c r="B2579" s="142" t="s">
        <v>51</v>
      </c>
      <c r="C2579" s="142" t="s">
        <v>80</v>
      </c>
      <c r="D2579">
        <v>3213</v>
      </c>
      <c r="E2579">
        <v>3213.1</v>
      </c>
      <c r="F2579">
        <v>0.1</v>
      </c>
      <c r="G2579" s="142" t="s">
        <v>26</v>
      </c>
      <c r="H2579" s="142" t="s">
        <v>26</v>
      </c>
      <c r="I2579">
        <v>0</v>
      </c>
      <c r="J2579">
        <v>0</v>
      </c>
      <c r="K2579" s="142" t="s">
        <v>1674</v>
      </c>
      <c r="L2579">
        <v>0.96727748872499997</v>
      </c>
      <c r="M2579">
        <v>0</v>
      </c>
      <c r="N2579">
        <v>0.96044276026700004</v>
      </c>
      <c r="O2579">
        <v>0</v>
      </c>
    </row>
    <row r="2580" spans="1:15" x14ac:dyDescent="0.25">
      <c r="A2580" s="142" t="s">
        <v>419</v>
      </c>
      <c r="B2580" s="142" t="s">
        <v>51</v>
      </c>
      <c r="C2580" s="142" t="s">
        <v>80</v>
      </c>
      <c r="D2580">
        <v>32</v>
      </c>
      <c r="E2580">
        <v>482.1</v>
      </c>
      <c r="F2580">
        <v>1</v>
      </c>
      <c r="G2580" s="142" t="s">
        <v>26</v>
      </c>
      <c r="H2580" s="142" t="s">
        <v>26</v>
      </c>
      <c r="I2580">
        <v>0</v>
      </c>
      <c r="J2580">
        <v>0</v>
      </c>
      <c r="K2580" s="142" t="s">
        <v>1674</v>
      </c>
      <c r="L2580">
        <v>1.1652848960190001</v>
      </c>
      <c r="M2580">
        <v>0</v>
      </c>
      <c r="N2580">
        <v>1.138800148304</v>
      </c>
      <c r="O2580">
        <v>0</v>
      </c>
    </row>
    <row r="2581" spans="1:15" x14ac:dyDescent="0.25">
      <c r="A2581" s="142" t="s">
        <v>1945</v>
      </c>
      <c r="B2581" s="142" t="s">
        <v>51</v>
      </c>
      <c r="C2581" s="142" t="s">
        <v>80</v>
      </c>
      <c r="D2581">
        <v>482</v>
      </c>
      <c r="E2581">
        <v>1832.1</v>
      </c>
      <c r="F2581">
        <v>1</v>
      </c>
      <c r="G2581" s="142" t="s">
        <v>26</v>
      </c>
      <c r="H2581" s="142" t="s">
        <v>26</v>
      </c>
      <c r="I2581">
        <v>0</v>
      </c>
      <c r="J2581">
        <v>0</v>
      </c>
      <c r="K2581" s="142" t="s">
        <v>1674</v>
      </c>
      <c r="L2581">
        <v>0.97705967630000001</v>
      </c>
      <c r="M2581">
        <v>0</v>
      </c>
      <c r="N2581">
        <v>0.94824445784400002</v>
      </c>
      <c r="O2581">
        <v>0</v>
      </c>
    </row>
    <row r="2582" spans="1:15" x14ac:dyDescent="0.25">
      <c r="A2582" s="142" t="s">
        <v>421</v>
      </c>
      <c r="B2582" s="142" t="s">
        <v>51</v>
      </c>
      <c r="C2582" s="142" t="s">
        <v>80</v>
      </c>
      <c r="D2582">
        <v>1832</v>
      </c>
      <c r="E2582">
        <v>2552.1</v>
      </c>
      <c r="F2582">
        <v>1</v>
      </c>
      <c r="G2582" s="142" t="s">
        <v>26</v>
      </c>
      <c r="H2582" s="142" t="s">
        <v>26</v>
      </c>
      <c r="I2582">
        <v>0</v>
      </c>
      <c r="J2582">
        <v>0</v>
      </c>
      <c r="K2582" s="142" t="s">
        <v>1674</v>
      </c>
      <c r="L2582">
        <v>0.99106384725399999</v>
      </c>
      <c r="M2582">
        <v>0</v>
      </c>
      <c r="N2582">
        <v>0.96410879653500003</v>
      </c>
      <c r="O2582">
        <v>0</v>
      </c>
    </row>
    <row r="2583" spans="1:15" x14ac:dyDescent="0.25">
      <c r="A2583" s="142" t="s">
        <v>422</v>
      </c>
      <c r="B2583" s="142" t="s">
        <v>51</v>
      </c>
      <c r="C2583" s="142" t="s">
        <v>80</v>
      </c>
      <c r="D2583">
        <v>2552</v>
      </c>
      <c r="E2583">
        <v>3213</v>
      </c>
      <c r="F2583">
        <v>1</v>
      </c>
      <c r="G2583" s="142" t="s">
        <v>26</v>
      </c>
      <c r="H2583" s="142" t="s">
        <v>26</v>
      </c>
      <c r="I2583">
        <v>0</v>
      </c>
      <c r="J2583">
        <v>0</v>
      </c>
      <c r="K2583" s="142" t="s">
        <v>1674</v>
      </c>
      <c r="L2583">
        <v>1.142432524715</v>
      </c>
      <c r="M2583">
        <v>0</v>
      </c>
      <c r="N2583">
        <v>1.1191292578380001</v>
      </c>
      <c r="O2583">
        <v>0</v>
      </c>
    </row>
    <row r="2584" spans="1:15" x14ac:dyDescent="0.25">
      <c r="A2584" s="142" t="s">
        <v>424</v>
      </c>
      <c r="B2584" s="142" t="s">
        <v>51</v>
      </c>
      <c r="C2584" s="142" t="s">
        <v>80</v>
      </c>
      <c r="D2584">
        <v>3213</v>
      </c>
      <c r="E2584">
        <v>3213.1</v>
      </c>
      <c r="F2584">
        <v>1</v>
      </c>
      <c r="G2584" s="142" t="s">
        <v>26</v>
      </c>
      <c r="H2584" s="142" t="s">
        <v>26</v>
      </c>
      <c r="I2584">
        <v>0</v>
      </c>
      <c r="J2584">
        <v>0</v>
      </c>
      <c r="K2584" s="142" t="s">
        <v>1674</v>
      </c>
      <c r="L2584">
        <v>1.142432524715</v>
      </c>
      <c r="M2584">
        <v>0</v>
      </c>
      <c r="N2584">
        <v>1.1191292578380001</v>
      </c>
      <c r="O2584">
        <v>0</v>
      </c>
    </row>
    <row r="2585" spans="1:15" x14ac:dyDescent="0.25">
      <c r="A2585" s="142" t="s">
        <v>411</v>
      </c>
      <c r="B2585" s="142" t="s">
        <v>51</v>
      </c>
      <c r="C2585" s="142" t="s">
        <v>81</v>
      </c>
      <c r="D2585">
        <v>-418</v>
      </c>
      <c r="E2585">
        <v>-237.9</v>
      </c>
      <c r="F2585">
        <v>0.1</v>
      </c>
      <c r="G2585" s="142" t="s">
        <v>26</v>
      </c>
      <c r="H2585" s="142" t="s">
        <v>26</v>
      </c>
      <c r="I2585">
        <v>0</v>
      </c>
      <c r="J2585">
        <v>0</v>
      </c>
      <c r="K2585" s="142" t="s">
        <v>1674</v>
      </c>
      <c r="L2585">
        <v>0.55536480170400004</v>
      </c>
      <c r="M2585">
        <v>0</v>
      </c>
      <c r="N2585">
        <v>0.550575079267</v>
      </c>
      <c r="O2585">
        <v>0</v>
      </c>
    </row>
    <row r="2586" spans="1:15" x14ac:dyDescent="0.25">
      <c r="A2586" s="142" t="s">
        <v>1946</v>
      </c>
      <c r="B2586" s="142" t="s">
        <v>51</v>
      </c>
      <c r="C2586" s="142" t="s">
        <v>81</v>
      </c>
      <c r="D2586">
        <v>-238</v>
      </c>
      <c r="E2586">
        <v>32.1</v>
      </c>
      <c r="F2586">
        <v>0.1</v>
      </c>
      <c r="G2586" s="142" t="s">
        <v>26</v>
      </c>
      <c r="H2586" s="142" t="s">
        <v>26</v>
      </c>
      <c r="I2586">
        <v>0</v>
      </c>
      <c r="J2586">
        <v>0</v>
      </c>
      <c r="K2586" s="142" t="s">
        <v>1674</v>
      </c>
      <c r="L2586">
        <v>0.29307530930999998</v>
      </c>
      <c r="M2586">
        <v>0</v>
      </c>
      <c r="N2586">
        <v>0.28549186088799999</v>
      </c>
      <c r="O2586">
        <v>0</v>
      </c>
    </row>
    <row r="2587" spans="1:15" x14ac:dyDescent="0.25">
      <c r="A2587" s="142" t="s">
        <v>1947</v>
      </c>
      <c r="B2587" s="142" t="s">
        <v>51</v>
      </c>
      <c r="C2587" s="142" t="s">
        <v>81</v>
      </c>
      <c r="D2587">
        <v>32</v>
      </c>
      <c r="E2587">
        <v>248.1</v>
      </c>
      <c r="F2587">
        <v>0.1</v>
      </c>
      <c r="G2587" s="142" t="s">
        <v>26</v>
      </c>
      <c r="H2587" s="142" t="s">
        <v>26</v>
      </c>
      <c r="I2587">
        <v>0</v>
      </c>
      <c r="J2587">
        <v>0</v>
      </c>
      <c r="K2587" s="142" t="s">
        <v>1674</v>
      </c>
      <c r="L2587">
        <v>0.20014928119600001</v>
      </c>
      <c r="M2587">
        <v>0</v>
      </c>
      <c r="N2587">
        <v>0.19650714703899999</v>
      </c>
      <c r="O2587">
        <v>0</v>
      </c>
    </row>
    <row r="2588" spans="1:15" x14ac:dyDescent="0.25">
      <c r="A2588" s="142" t="s">
        <v>414</v>
      </c>
      <c r="B2588" s="142" t="s">
        <v>51</v>
      </c>
      <c r="C2588" s="142" t="s">
        <v>81</v>
      </c>
      <c r="D2588">
        <v>248</v>
      </c>
      <c r="E2588">
        <v>752</v>
      </c>
      <c r="F2588">
        <v>0.1</v>
      </c>
      <c r="G2588" s="142" t="s">
        <v>26</v>
      </c>
      <c r="H2588" s="142" t="s">
        <v>26</v>
      </c>
      <c r="I2588">
        <v>0</v>
      </c>
      <c r="J2588">
        <v>0</v>
      </c>
      <c r="K2588" s="142" t="s">
        <v>1674</v>
      </c>
      <c r="L2588">
        <v>0.178953679645</v>
      </c>
      <c r="M2588">
        <v>0</v>
      </c>
      <c r="N2588">
        <v>0.174870648001</v>
      </c>
      <c r="O2588">
        <v>0</v>
      </c>
    </row>
    <row r="2589" spans="1:15" x14ac:dyDescent="0.25">
      <c r="A2589" s="142" t="s">
        <v>416</v>
      </c>
      <c r="B2589" s="142" t="s">
        <v>51</v>
      </c>
      <c r="C2589" s="142" t="s">
        <v>81</v>
      </c>
      <c r="D2589">
        <v>752</v>
      </c>
      <c r="E2589">
        <v>752.1</v>
      </c>
      <c r="F2589">
        <v>0.1</v>
      </c>
      <c r="G2589" s="142" t="s">
        <v>26</v>
      </c>
      <c r="H2589" s="142" t="s">
        <v>26</v>
      </c>
      <c r="I2589">
        <v>0</v>
      </c>
      <c r="J2589">
        <v>0</v>
      </c>
      <c r="K2589" s="142" t="s">
        <v>1674</v>
      </c>
      <c r="L2589">
        <v>0.178953679645</v>
      </c>
      <c r="M2589">
        <v>0</v>
      </c>
      <c r="N2589">
        <v>0.174870648001</v>
      </c>
      <c r="O2589">
        <v>0</v>
      </c>
    </row>
    <row r="2590" spans="1:15" x14ac:dyDescent="0.25">
      <c r="A2590" s="142" t="s">
        <v>412</v>
      </c>
      <c r="B2590" s="142" t="s">
        <v>51</v>
      </c>
      <c r="C2590" s="142" t="s">
        <v>81</v>
      </c>
      <c r="D2590">
        <v>-418</v>
      </c>
      <c r="E2590">
        <v>-237.9</v>
      </c>
      <c r="F2590">
        <v>1</v>
      </c>
      <c r="G2590" s="142" t="s">
        <v>26</v>
      </c>
      <c r="H2590" s="142" t="s">
        <v>26</v>
      </c>
      <c r="I2590">
        <v>0</v>
      </c>
      <c r="J2590">
        <v>0</v>
      </c>
      <c r="K2590" s="142" t="s">
        <v>1674</v>
      </c>
      <c r="L2590">
        <v>0.80890141436200003</v>
      </c>
      <c r="M2590">
        <v>0</v>
      </c>
      <c r="N2590">
        <v>0.795696498616</v>
      </c>
      <c r="O2590">
        <v>0</v>
      </c>
    </row>
    <row r="2591" spans="1:15" x14ac:dyDescent="0.25">
      <c r="A2591" s="142" t="s">
        <v>413</v>
      </c>
      <c r="B2591" s="142" t="s">
        <v>51</v>
      </c>
      <c r="C2591" s="142" t="s">
        <v>81</v>
      </c>
      <c r="D2591">
        <v>-238</v>
      </c>
      <c r="E2591">
        <v>32.1</v>
      </c>
      <c r="F2591">
        <v>1</v>
      </c>
      <c r="G2591" s="142" t="s">
        <v>26</v>
      </c>
      <c r="H2591" s="142" t="s">
        <v>26</v>
      </c>
      <c r="I2591">
        <v>0</v>
      </c>
      <c r="J2591">
        <v>0</v>
      </c>
      <c r="K2591" s="142" t="s">
        <v>1674</v>
      </c>
      <c r="L2591">
        <v>0.65502346508200004</v>
      </c>
      <c r="M2591">
        <v>0</v>
      </c>
      <c r="N2591">
        <v>0.64148702452499995</v>
      </c>
      <c r="O2591">
        <v>0</v>
      </c>
    </row>
    <row r="2592" spans="1:15" x14ac:dyDescent="0.25">
      <c r="A2592" s="142" t="s">
        <v>1948</v>
      </c>
      <c r="B2592" s="142" t="s">
        <v>51</v>
      </c>
      <c r="C2592" s="142" t="s">
        <v>81</v>
      </c>
      <c r="D2592">
        <v>32</v>
      </c>
      <c r="E2592">
        <v>248.1</v>
      </c>
      <c r="F2592">
        <v>1</v>
      </c>
      <c r="G2592" s="142" t="s">
        <v>26</v>
      </c>
      <c r="H2592" s="142" t="s">
        <v>26</v>
      </c>
      <c r="I2592">
        <v>0</v>
      </c>
      <c r="J2592">
        <v>0</v>
      </c>
      <c r="K2592" s="142" t="s">
        <v>1674</v>
      </c>
      <c r="L2592">
        <v>0.611877244667</v>
      </c>
      <c r="M2592">
        <v>0</v>
      </c>
      <c r="N2592">
        <v>0.60713677111300002</v>
      </c>
      <c r="O2592">
        <v>0</v>
      </c>
    </row>
    <row r="2593" spans="1:15" x14ac:dyDescent="0.25">
      <c r="A2593" s="142" t="s">
        <v>415</v>
      </c>
      <c r="B2593" s="142" t="s">
        <v>51</v>
      </c>
      <c r="C2593" s="142" t="s">
        <v>81</v>
      </c>
      <c r="D2593">
        <v>248</v>
      </c>
      <c r="E2593">
        <v>752</v>
      </c>
      <c r="F2593">
        <v>1</v>
      </c>
      <c r="G2593" s="142" t="s">
        <v>26</v>
      </c>
      <c r="H2593" s="142" t="s">
        <v>26</v>
      </c>
      <c r="I2593">
        <v>0</v>
      </c>
      <c r="J2593">
        <v>0</v>
      </c>
      <c r="K2593" s="142" t="s">
        <v>1674</v>
      </c>
      <c r="L2593">
        <v>0.60527551349499997</v>
      </c>
      <c r="M2593">
        <v>0</v>
      </c>
      <c r="N2593">
        <v>0.60048292526299996</v>
      </c>
      <c r="O2593">
        <v>0</v>
      </c>
    </row>
    <row r="2594" spans="1:15" x14ac:dyDescent="0.25">
      <c r="A2594" s="142" t="s">
        <v>417</v>
      </c>
      <c r="B2594" s="142" t="s">
        <v>51</v>
      </c>
      <c r="C2594" s="142" t="s">
        <v>81</v>
      </c>
      <c r="D2594">
        <v>752</v>
      </c>
      <c r="E2594">
        <v>752.1</v>
      </c>
      <c r="F2594">
        <v>1</v>
      </c>
      <c r="G2594" s="142" t="s">
        <v>26</v>
      </c>
      <c r="H2594" s="142" t="s">
        <v>26</v>
      </c>
      <c r="I2594">
        <v>0</v>
      </c>
      <c r="J2594">
        <v>0</v>
      </c>
      <c r="K2594" s="142" t="s">
        <v>1674</v>
      </c>
      <c r="L2594">
        <v>0.60527551349499997</v>
      </c>
      <c r="M2594">
        <v>0</v>
      </c>
      <c r="N2594">
        <v>0.60048292526299996</v>
      </c>
      <c r="O2594">
        <v>0</v>
      </c>
    </row>
    <row r="2595" spans="1:15" x14ac:dyDescent="0.25">
      <c r="A2595" s="142" t="s">
        <v>388</v>
      </c>
      <c r="B2595" s="142" t="s">
        <v>51</v>
      </c>
      <c r="C2595" s="142" t="s">
        <v>17</v>
      </c>
      <c r="D2595">
        <v>0</v>
      </c>
      <c r="E2595">
        <v>120.001</v>
      </c>
      <c r="F2595">
        <v>1E-3</v>
      </c>
      <c r="G2595" s="142" t="s">
        <v>9</v>
      </c>
      <c r="H2595" s="142" t="s">
        <v>9</v>
      </c>
      <c r="I2595">
        <v>0</v>
      </c>
      <c r="J2595">
        <v>0</v>
      </c>
      <c r="K2595" s="142" t="s">
        <v>1674</v>
      </c>
      <c r="L2595">
        <v>6.0000000000000001E-3</v>
      </c>
      <c r="M2595">
        <v>1.2999999999999999E-5</v>
      </c>
      <c r="N2595">
        <v>1.2888999999999999E-3</v>
      </c>
      <c r="O2595">
        <v>2.8048999999999999E-5</v>
      </c>
    </row>
    <row r="2596" spans="1:15" x14ac:dyDescent="0.25">
      <c r="A2596" s="142" t="s">
        <v>389</v>
      </c>
      <c r="B2596" s="142" t="s">
        <v>51</v>
      </c>
      <c r="C2596" s="142" t="s">
        <v>17</v>
      </c>
      <c r="D2596">
        <v>0</v>
      </c>
      <c r="E2596">
        <v>120.001</v>
      </c>
      <c r="F2596">
        <v>0.01</v>
      </c>
      <c r="G2596" s="142" t="s">
        <v>9</v>
      </c>
      <c r="H2596" s="142" t="s">
        <v>9</v>
      </c>
      <c r="I2596">
        <v>0</v>
      </c>
      <c r="J2596">
        <v>0</v>
      </c>
      <c r="K2596" s="142" t="s">
        <v>1674</v>
      </c>
      <c r="L2596">
        <v>6.0575999999999998E-3</v>
      </c>
      <c r="M2596">
        <v>1.5807E-5</v>
      </c>
      <c r="N2596">
        <v>5.8809999999999999E-3</v>
      </c>
      <c r="O2596">
        <v>1.2605999999999999E-5</v>
      </c>
    </row>
    <row r="2597" spans="1:15" x14ac:dyDescent="0.25">
      <c r="A2597" s="142" t="s">
        <v>1742</v>
      </c>
      <c r="B2597" s="142" t="s">
        <v>51</v>
      </c>
      <c r="C2597" s="142" t="s">
        <v>17</v>
      </c>
      <c r="D2597">
        <v>120</v>
      </c>
      <c r="E2597">
        <v>1200.01</v>
      </c>
      <c r="F2597">
        <v>0.01</v>
      </c>
      <c r="G2597" s="142" t="s">
        <v>9</v>
      </c>
      <c r="H2597" s="142" t="s">
        <v>9</v>
      </c>
      <c r="I2597">
        <v>0</v>
      </c>
      <c r="J2597">
        <v>0</v>
      </c>
      <c r="K2597" s="142" t="s">
        <v>1674</v>
      </c>
      <c r="L2597">
        <v>5.8000000000000003E-2</v>
      </c>
      <c r="M2597">
        <v>9.5000000000000005E-6</v>
      </c>
      <c r="N2597">
        <v>4.1865000000000001E-3</v>
      </c>
      <c r="O2597">
        <v>2.6727E-5</v>
      </c>
    </row>
    <row r="2598" spans="1:15" x14ac:dyDescent="0.25">
      <c r="A2598" s="142" t="s">
        <v>1740</v>
      </c>
      <c r="B2598" s="142" t="s">
        <v>51</v>
      </c>
      <c r="C2598" s="142" t="s">
        <v>17</v>
      </c>
      <c r="D2598">
        <v>0</v>
      </c>
      <c r="E2598">
        <v>120.001</v>
      </c>
      <c r="F2598">
        <v>0.1</v>
      </c>
      <c r="G2598" s="142" t="s">
        <v>9</v>
      </c>
      <c r="H2598" s="142" t="s">
        <v>9</v>
      </c>
      <c r="I2598">
        <v>0</v>
      </c>
      <c r="J2598">
        <v>0</v>
      </c>
      <c r="K2598" s="142" t="s">
        <v>1674</v>
      </c>
      <c r="L2598">
        <v>5.7819000000000002E-2</v>
      </c>
      <c r="M2598">
        <v>3.3129000000000001E-6</v>
      </c>
      <c r="N2598">
        <v>5.7745999999999999E-2</v>
      </c>
      <c r="O2598">
        <v>1.4481E-6</v>
      </c>
    </row>
    <row r="2599" spans="1:15" x14ac:dyDescent="0.25">
      <c r="A2599" s="142" t="s">
        <v>1743</v>
      </c>
      <c r="B2599" s="142" t="s">
        <v>51</v>
      </c>
      <c r="C2599" s="142" t="s">
        <v>17</v>
      </c>
      <c r="D2599">
        <v>120</v>
      </c>
      <c r="E2599">
        <v>1200.01</v>
      </c>
      <c r="F2599">
        <v>0.1</v>
      </c>
      <c r="G2599" s="142" t="s">
        <v>9</v>
      </c>
      <c r="H2599" s="142" t="s">
        <v>9</v>
      </c>
      <c r="I2599">
        <v>0</v>
      </c>
      <c r="J2599">
        <v>0</v>
      </c>
      <c r="K2599" s="142" t="s">
        <v>1674</v>
      </c>
      <c r="L2599">
        <v>5.8519000000000002E-2</v>
      </c>
      <c r="M2599">
        <v>1.0244000000000001E-5</v>
      </c>
      <c r="N2599">
        <v>5.6807999999999997E-2</v>
      </c>
      <c r="O2599">
        <v>9.2701999999999998E-6</v>
      </c>
    </row>
    <row r="2600" spans="1:15" x14ac:dyDescent="0.25">
      <c r="A2600" s="142" t="s">
        <v>2043</v>
      </c>
      <c r="B2600" s="142" t="s">
        <v>51</v>
      </c>
      <c r="C2600" s="142" t="s">
        <v>17</v>
      </c>
      <c r="D2600">
        <v>1200</v>
      </c>
      <c r="E2600">
        <v>12001</v>
      </c>
      <c r="F2600">
        <v>0.1</v>
      </c>
      <c r="G2600" s="142" t="s">
        <v>9</v>
      </c>
      <c r="H2600" s="142" t="s">
        <v>9</v>
      </c>
      <c r="I2600">
        <v>0</v>
      </c>
      <c r="J2600">
        <v>0</v>
      </c>
      <c r="K2600" s="142" t="s">
        <v>1674</v>
      </c>
      <c r="L2600">
        <v>7.0999999999999994E-2</v>
      </c>
      <c r="M2600">
        <v>2.5000000000000001E-5</v>
      </c>
      <c r="N2600">
        <v>3.6332000000000003E-2</v>
      </c>
      <c r="O2600">
        <v>2.6333E-5</v>
      </c>
    </row>
    <row r="2601" spans="1:15" x14ac:dyDescent="0.25">
      <c r="A2601" s="142" t="s">
        <v>390</v>
      </c>
      <c r="B2601" s="142" t="s">
        <v>51</v>
      </c>
      <c r="C2601" s="142" t="s">
        <v>17</v>
      </c>
      <c r="D2601">
        <v>0</v>
      </c>
      <c r="E2601">
        <v>120.001</v>
      </c>
      <c r="F2601">
        <v>1</v>
      </c>
      <c r="G2601" s="142" t="s">
        <v>9</v>
      </c>
      <c r="H2601" s="142" t="s">
        <v>9</v>
      </c>
      <c r="I2601">
        <v>0</v>
      </c>
      <c r="J2601">
        <v>0</v>
      </c>
      <c r="K2601" s="142" t="s">
        <v>1674</v>
      </c>
      <c r="L2601">
        <v>0.57738999999999996</v>
      </c>
      <c r="M2601">
        <v>8.9635999999999996E-7</v>
      </c>
      <c r="N2601">
        <v>0.57735999999999998</v>
      </c>
      <c r="O2601">
        <v>1.4506E-7</v>
      </c>
    </row>
    <row r="2602" spans="1:15" x14ac:dyDescent="0.25">
      <c r="A2602" s="142" t="s">
        <v>393</v>
      </c>
      <c r="B2602" s="142" t="s">
        <v>51</v>
      </c>
      <c r="C2602" s="142" t="s">
        <v>17</v>
      </c>
      <c r="D2602">
        <v>120</v>
      </c>
      <c r="E2602">
        <v>1200.01</v>
      </c>
      <c r="F2602">
        <v>1</v>
      </c>
      <c r="G2602" s="142" t="s">
        <v>9</v>
      </c>
      <c r="H2602" s="142" t="s">
        <v>9</v>
      </c>
      <c r="I2602">
        <v>0</v>
      </c>
      <c r="J2602">
        <v>0</v>
      </c>
      <c r="K2602" s="142" t="s">
        <v>1674</v>
      </c>
      <c r="L2602">
        <v>0.57794999999999996</v>
      </c>
      <c r="M2602">
        <v>1.5972999999999999E-6</v>
      </c>
      <c r="N2602">
        <v>0.57725000000000004</v>
      </c>
      <c r="O2602">
        <v>1.0094E-6</v>
      </c>
    </row>
    <row r="2603" spans="1:15" x14ac:dyDescent="0.25">
      <c r="A2603" s="142" t="s">
        <v>1744</v>
      </c>
      <c r="B2603" s="142" t="s">
        <v>51</v>
      </c>
      <c r="C2603" s="142" t="s">
        <v>17</v>
      </c>
      <c r="D2603">
        <v>1200</v>
      </c>
      <c r="E2603">
        <v>12001</v>
      </c>
      <c r="F2603">
        <v>1</v>
      </c>
      <c r="G2603" s="142" t="s">
        <v>9</v>
      </c>
      <c r="H2603" s="142" t="s">
        <v>9</v>
      </c>
      <c r="I2603">
        <v>0</v>
      </c>
      <c r="J2603">
        <v>0</v>
      </c>
      <c r="K2603" s="142" t="s">
        <v>1674</v>
      </c>
      <c r="L2603">
        <v>0.58496999999999999</v>
      </c>
      <c r="M2603">
        <v>9.8284999999999992E-6</v>
      </c>
      <c r="N2603">
        <v>0.56786000000000003</v>
      </c>
      <c r="O2603">
        <v>8.8366999999999996E-6</v>
      </c>
    </row>
    <row r="2604" spans="1:15" x14ac:dyDescent="0.25">
      <c r="A2604" s="142" t="s">
        <v>396</v>
      </c>
      <c r="B2604" s="142" t="s">
        <v>51</v>
      </c>
      <c r="C2604" s="142" t="s">
        <v>17</v>
      </c>
      <c r="D2604">
        <v>12000</v>
      </c>
      <c r="E2604">
        <v>120010</v>
      </c>
      <c r="F2604">
        <v>1</v>
      </c>
      <c r="G2604" s="142" t="s">
        <v>9</v>
      </c>
      <c r="H2604" s="142" t="s">
        <v>9</v>
      </c>
      <c r="I2604">
        <v>0</v>
      </c>
      <c r="J2604">
        <v>0</v>
      </c>
      <c r="K2604" s="142" t="s">
        <v>1674</v>
      </c>
      <c r="L2604">
        <v>19</v>
      </c>
      <c r="M2604">
        <v>2.8E-5</v>
      </c>
      <c r="N2604">
        <v>17.329999999999998</v>
      </c>
      <c r="O2604">
        <v>2.8853999999999999E-5</v>
      </c>
    </row>
    <row r="2605" spans="1:15" x14ac:dyDescent="0.25">
      <c r="A2605" s="142" t="s">
        <v>391</v>
      </c>
      <c r="B2605" s="142" t="s">
        <v>51</v>
      </c>
      <c r="C2605" s="142" t="s">
        <v>17</v>
      </c>
      <c r="D2605">
        <v>0</v>
      </c>
      <c r="E2605">
        <v>120.001</v>
      </c>
      <c r="F2605">
        <v>10</v>
      </c>
      <c r="G2605" s="142" t="s">
        <v>9</v>
      </c>
      <c r="H2605" s="142" t="s">
        <v>9</v>
      </c>
      <c r="I2605">
        <v>0</v>
      </c>
      <c r="J2605">
        <v>0</v>
      </c>
      <c r="K2605" s="142" t="s">
        <v>1674</v>
      </c>
      <c r="L2605">
        <v>5.7736000000000001</v>
      </c>
      <c r="M2605">
        <v>3.1507999999999999E-7</v>
      </c>
      <c r="N2605">
        <v>5.7736000000000001</v>
      </c>
      <c r="O2605">
        <v>1.4505999999999999E-8</v>
      </c>
    </row>
    <row r="2606" spans="1:15" x14ac:dyDescent="0.25">
      <c r="A2606" s="142" t="s">
        <v>394</v>
      </c>
      <c r="B2606" s="142" t="s">
        <v>51</v>
      </c>
      <c r="C2606" s="142" t="s">
        <v>17</v>
      </c>
      <c r="D2606">
        <v>120</v>
      </c>
      <c r="E2606">
        <v>1200.01</v>
      </c>
      <c r="F2606">
        <v>10</v>
      </c>
      <c r="G2606" s="142" t="s">
        <v>9</v>
      </c>
      <c r="H2606" s="142" t="s">
        <v>9</v>
      </c>
      <c r="I2606">
        <v>0</v>
      </c>
      <c r="J2606">
        <v>0</v>
      </c>
      <c r="K2606" s="142" t="s">
        <v>1674</v>
      </c>
      <c r="L2606">
        <v>5.7739000000000003</v>
      </c>
      <c r="M2606">
        <v>3.3757000000000002E-7</v>
      </c>
      <c r="N2606">
        <v>5.7735000000000003</v>
      </c>
      <c r="O2606">
        <v>1.0104E-7</v>
      </c>
    </row>
    <row r="2607" spans="1:15" x14ac:dyDescent="0.25">
      <c r="A2607" s="142" t="s">
        <v>395</v>
      </c>
      <c r="B2607" s="142" t="s">
        <v>51</v>
      </c>
      <c r="C2607" s="142" t="s">
        <v>17</v>
      </c>
      <c r="D2607">
        <v>1200</v>
      </c>
      <c r="E2607">
        <v>12001</v>
      </c>
      <c r="F2607">
        <v>10</v>
      </c>
      <c r="G2607" s="142" t="s">
        <v>9</v>
      </c>
      <c r="H2607" s="142" t="s">
        <v>9</v>
      </c>
      <c r="I2607">
        <v>0</v>
      </c>
      <c r="J2607">
        <v>0</v>
      </c>
      <c r="K2607" s="142" t="s">
        <v>1674</v>
      </c>
      <c r="L2607">
        <v>5.7794999999999996</v>
      </c>
      <c r="M2607">
        <v>1.5455000000000001E-6</v>
      </c>
      <c r="N2607">
        <v>5.7725</v>
      </c>
      <c r="O2607">
        <v>9.5752999999999992E-7</v>
      </c>
    </row>
    <row r="2608" spans="1:15" x14ac:dyDescent="0.25">
      <c r="A2608" s="142" t="s">
        <v>397</v>
      </c>
      <c r="B2608" s="142" t="s">
        <v>51</v>
      </c>
      <c r="C2608" s="142" t="s">
        <v>17</v>
      </c>
      <c r="D2608">
        <v>12000</v>
      </c>
      <c r="E2608">
        <v>120010</v>
      </c>
      <c r="F2608">
        <v>10</v>
      </c>
      <c r="G2608" s="142" t="s">
        <v>9</v>
      </c>
      <c r="H2608" s="142" t="s">
        <v>9</v>
      </c>
      <c r="I2608">
        <v>0</v>
      </c>
      <c r="J2608">
        <v>0</v>
      </c>
      <c r="K2608" s="142" t="s">
        <v>1674</v>
      </c>
      <c r="L2608">
        <v>19</v>
      </c>
      <c r="M2608">
        <v>2.8E-5</v>
      </c>
      <c r="N2608">
        <v>18.254999999999999</v>
      </c>
      <c r="O2608">
        <v>2.7640999999999998E-5</v>
      </c>
    </row>
    <row r="2609" spans="1:15" x14ac:dyDescent="0.25">
      <c r="A2609" s="142" t="s">
        <v>1745</v>
      </c>
      <c r="B2609" s="142" t="s">
        <v>51</v>
      </c>
      <c r="C2609" s="142" t="s">
        <v>17</v>
      </c>
      <c r="D2609">
        <v>120000</v>
      </c>
      <c r="E2609">
        <v>1200010</v>
      </c>
      <c r="F2609">
        <v>10</v>
      </c>
      <c r="G2609" s="142" t="s">
        <v>9</v>
      </c>
      <c r="H2609" s="142" t="s">
        <v>9</v>
      </c>
      <c r="I2609">
        <v>0</v>
      </c>
      <c r="J2609">
        <v>0</v>
      </c>
      <c r="K2609" s="142" t="s">
        <v>1674</v>
      </c>
      <c r="L2609">
        <v>60</v>
      </c>
      <c r="M2609">
        <v>1.5999999999999999E-5</v>
      </c>
      <c r="N2609">
        <v>18.158999999999999</v>
      </c>
      <c r="O2609">
        <v>2.8435000000000001E-5</v>
      </c>
    </row>
    <row r="2610" spans="1:15" x14ac:dyDescent="0.25">
      <c r="A2610" s="142" t="s">
        <v>392</v>
      </c>
      <c r="B2610" s="142" t="s">
        <v>51</v>
      </c>
      <c r="C2610" s="142" t="s">
        <v>17</v>
      </c>
      <c r="D2610">
        <v>0</v>
      </c>
      <c r="E2610">
        <v>120.001</v>
      </c>
      <c r="F2610">
        <v>100</v>
      </c>
      <c r="G2610" s="142" t="s">
        <v>9</v>
      </c>
      <c r="H2610" s="142" t="s">
        <v>9</v>
      </c>
      <c r="I2610">
        <v>0</v>
      </c>
      <c r="J2610">
        <v>0</v>
      </c>
      <c r="K2610" s="142" t="s">
        <v>1674</v>
      </c>
      <c r="L2610">
        <v>57.735999999999997</v>
      </c>
      <c r="M2610">
        <v>1.2167999999999999E-7</v>
      </c>
      <c r="N2610">
        <v>57.735999999999997</v>
      </c>
      <c r="O2610">
        <v>1.4510000000000001E-9</v>
      </c>
    </row>
    <row r="2611" spans="1:15" x14ac:dyDescent="0.25">
      <c r="A2611" s="142" t="s">
        <v>2825</v>
      </c>
      <c r="B2611" s="142" t="s">
        <v>51</v>
      </c>
      <c r="C2611" s="142" t="s">
        <v>17</v>
      </c>
      <c r="D2611">
        <v>1200</v>
      </c>
      <c r="E2611">
        <v>12001</v>
      </c>
      <c r="F2611">
        <v>100</v>
      </c>
      <c r="G2611" s="142" t="s">
        <v>9</v>
      </c>
      <c r="H2611" s="142" t="s">
        <v>9</v>
      </c>
      <c r="I2611">
        <v>0</v>
      </c>
      <c r="J2611">
        <v>0</v>
      </c>
      <c r="K2611" s="142" t="s">
        <v>1674</v>
      </c>
      <c r="L2611">
        <v>57.738999999999997</v>
      </c>
      <c r="M2611">
        <v>3.3237E-7</v>
      </c>
      <c r="N2611">
        <v>57.734999999999999</v>
      </c>
      <c r="O2611">
        <v>9.5839000000000002E-8</v>
      </c>
    </row>
    <row r="2612" spans="1:15" x14ac:dyDescent="0.25">
      <c r="A2612" s="142" t="s">
        <v>398</v>
      </c>
      <c r="B2612" s="142" t="s">
        <v>51</v>
      </c>
      <c r="C2612" s="142" t="s">
        <v>17</v>
      </c>
      <c r="D2612">
        <v>12000</v>
      </c>
      <c r="E2612">
        <v>120010</v>
      </c>
      <c r="F2612">
        <v>100</v>
      </c>
      <c r="G2612" s="142" t="s">
        <v>9</v>
      </c>
      <c r="H2612" s="142" t="s">
        <v>9</v>
      </c>
      <c r="I2612">
        <v>0</v>
      </c>
      <c r="J2612">
        <v>0</v>
      </c>
      <c r="K2612" s="142" t="s">
        <v>1674</v>
      </c>
      <c r="L2612">
        <v>60.591999999999999</v>
      </c>
      <c r="M2612">
        <v>1.1287000000000001E-5</v>
      </c>
      <c r="N2612">
        <v>60.268999999999998</v>
      </c>
      <c r="O2612">
        <v>9.1177999999999993E-6</v>
      </c>
    </row>
    <row r="2613" spans="1:15" x14ac:dyDescent="0.25">
      <c r="A2613" s="142" t="s">
        <v>400</v>
      </c>
      <c r="B2613" s="142" t="s">
        <v>51</v>
      </c>
      <c r="C2613" s="142" t="s">
        <v>17</v>
      </c>
      <c r="D2613">
        <v>120000</v>
      </c>
      <c r="E2613">
        <v>1200010</v>
      </c>
      <c r="F2613">
        <v>100</v>
      </c>
      <c r="G2613" s="142" t="s">
        <v>9</v>
      </c>
      <c r="H2613" s="142" t="s">
        <v>9</v>
      </c>
      <c r="I2613">
        <v>0</v>
      </c>
      <c r="J2613">
        <v>0</v>
      </c>
      <c r="K2613" s="142" t="s">
        <v>1674</v>
      </c>
      <c r="L2613">
        <v>60.875999999999998</v>
      </c>
      <c r="M2613">
        <v>1.8461000000000002E-5</v>
      </c>
      <c r="N2613">
        <v>59.55</v>
      </c>
      <c r="O2613">
        <v>1.5104E-5</v>
      </c>
    </row>
    <row r="2614" spans="1:15" x14ac:dyDescent="0.25">
      <c r="A2614" s="142" t="s">
        <v>403</v>
      </c>
      <c r="B2614" s="142" t="s">
        <v>51</v>
      </c>
      <c r="C2614" s="142" t="s">
        <v>17</v>
      </c>
      <c r="D2614">
        <v>1200000</v>
      </c>
      <c r="E2614">
        <v>2000000</v>
      </c>
      <c r="F2614">
        <v>100</v>
      </c>
      <c r="G2614" s="142" t="s">
        <v>9</v>
      </c>
      <c r="H2614" s="142" t="s">
        <v>10</v>
      </c>
      <c r="I2614">
        <v>0</v>
      </c>
      <c r="J2614">
        <v>0</v>
      </c>
      <c r="K2614" s="142" t="s">
        <v>1674</v>
      </c>
      <c r="L2614">
        <v>0.43</v>
      </c>
      <c r="M2614">
        <v>1.2999999999999999E-4</v>
      </c>
      <c r="N2614">
        <v>-0.35824</v>
      </c>
      <c r="O2614">
        <v>3.6326000000000002E-4</v>
      </c>
    </row>
    <row r="2615" spans="1:15" x14ac:dyDescent="0.25">
      <c r="A2615" s="142" t="s">
        <v>407</v>
      </c>
      <c r="B2615" s="142" t="s">
        <v>51</v>
      </c>
      <c r="C2615" s="142" t="s">
        <v>17</v>
      </c>
      <c r="D2615">
        <v>2000000</v>
      </c>
      <c r="E2615">
        <v>2001000</v>
      </c>
      <c r="F2615">
        <v>100</v>
      </c>
      <c r="G2615" s="142" t="s">
        <v>9</v>
      </c>
      <c r="H2615" s="142" t="s">
        <v>10</v>
      </c>
      <c r="I2615">
        <v>0</v>
      </c>
      <c r="J2615">
        <v>0</v>
      </c>
      <c r="K2615" s="142" t="s">
        <v>1674</v>
      </c>
      <c r="L2615">
        <v>0.43</v>
      </c>
      <c r="M2615">
        <v>1.2999999999999999E-4</v>
      </c>
      <c r="N2615">
        <v>-0.35824</v>
      </c>
      <c r="O2615">
        <v>3.6326000000000002E-4</v>
      </c>
    </row>
    <row r="2616" spans="1:15" x14ac:dyDescent="0.25">
      <c r="A2616" s="142" t="s">
        <v>1741</v>
      </c>
      <c r="B2616" s="142" t="s">
        <v>51</v>
      </c>
      <c r="C2616" s="142" t="s">
        <v>17</v>
      </c>
      <c r="D2616">
        <v>0</v>
      </c>
      <c r="E2616">
        <v>120.001</v>
      </c>
      <c r="F2616">
        <v>1000</v>
      </c>
      <c r="G2616" s="142" t="s">
        <v>9</v>
      </c>
      <c r="H2616" s="142" t="s">
        <v>9</v>
      </c>
      <c r="I2616">
        <v>0</v>
      </c>
      <c r="J2616">
        <v>0</v>
      </c>
      <c r="K2616" s="142" t="s">
        <v>1674</v>
      </c>
      <c r="L2616">
        <v>577.36</v>
      </c>
      <c r="M2616">
        <v>4.8236000000000003E-8</v>
      </c>
      <c r="N2616">
        <v>577.36</v>
      </c>
      <c r="O2616">
        <v>1.4499999999999999E-10</v>
      </c>
    </row>
    <row r="2617" spans="1:15" x14ac:dyDescent="0.25">
      <c r="A2617" s="142" t="s">
        <v>399</v>
      </c>
      <c r="B2617" s="142" t="s">
        <v>51</v>
      </c>
      <c r="C2617" s="142" t="s">
        <v>17</v>
      </c>
      <c r="D2617">
        <v>12000</v>
      </c>
      <c r="E2617">
        <v>120010</v>
      </c>
      <c r="F2617">
        <v>1000</v>
      </c>
      <c r="G2617" s="142" t="s">
        <v>9</v>
      </c>
      <c r="H2617" s="142" t="s">
        <v>9</v>
      </c>
      <c r="I2617">
        <v>0</v>
      </c>
      <c r="J2617">
        <v>0</v>
      </c>
      <c r="K2617" s="142" t="s">
        <v>1674</v>
      </c>
      <c r="L2617">
        <v>577.75</v>
      </c>
      <c r="M2617">
        <v>1.9059E-6</v>
      </c>
      <c r="N2617">
        <v>577.61</v>
      </c>
      <c r="O2617">
        <v>9.6075000000000008E-7</v>
      </c>
    </row>
    <row r="2618" spans="1:15" x14ac:dyDescent="0.25">
      <c r="A2618" s="142" t="s">
        <v>401</v>
      </c>
      <c r="B2618" s="142" t="s">
        <v>51</v>
      </c>
      <c r="C2618" s="142" t="s">
        <v>17</v>
      </c>
      <c r="D2618">
        <v>120000</v>
      </c>
      <c r="E2618">
        <v>1200010</v>
      </c>
      <c r="F2618">
        <v>1000</v>
      </c>
      <c r="G2618" s="142" t="s">
        <v>9</v>
      </c>
      <c r="H2618" s="142" t="s">
        <v>9</v>
      </c>
      <c r="I2618">
        <v>0</v>
      </c>
      <c r="J2618">
        <v>0</v>
      </c>
      <c r="K2618" s="142" t="s">
        <v>1674</v>
      </c>
      <c r="L2618">
        <v>578.01</v>
      </c>
      <c r="M2618">
        <v>3.8670999999999998E-6</v>
      </c>
      <c r="N2618">
        <v>577.51</v>
      </c>
      <c r="O2618">
        <v>1.8143999999999999E-6</v>
      </c>
    </row>
    <row r="2619" spans="1:15" x14ac:dyDescent="0.25">
      <c r="A2619" s="142" t="s">
        <v>404</v>
      </c>
      <c r="B2619" s="142" t="s">
        <v>51</v>
      </c>
      <c r="C2619" s="142" t="s">
        <v>17</v>
      </c>
      <c r="D2619">
        <v>1200000</v>
      </c>
      <c r="E2619">
        <v>2000000</v>
      </c>
      <c r="F2619">
        <v>1000</v>
      </c>
      <c r="G2619" s="142" t="s">
        <v>9</v>
      </c>
      <c r="H2619" s="142" t="s">
        <v>10</v>
      </c>
      <c r="I2619">
        <v>0</v>
      </c>
      <c r="J2619">
        <v>0</v>
      </c>
      <c r="K2619" s="142" t="s">
        <v>1674</v>
      </c>
      <c r="L2619">
        <v>0.43</v>
      </c>
      <c r="M2619">
        <v>1.4137000000000001E-4</v>
      </c>
      <c r="N2619">
        <v>0.42565999999999998</v>
      </c>
      <c r="O2619">
        <v>1.2836E-4</v>
      </c>
    </row>
    <row r="2620" spans="1:15" x14ac:dyDescent="0.25">
      <c r="A2620" s="142" t="s">
        <v>408</v>
      </c>
      <c r="B2620" s="142" t="s">
        <v>51</v>
      </c>
      <c r="C2620" s="142" t="s">
        <v>17</v>
      </c>
      <c r="D2620">
        <v>2000000</v>
      </c>
      <c r="E2620">
        <v>2001000</v>
      </c>
      <c r="F2620">
        <v>1000</v>
      </c>
      <c r="G2620" s="142" t="s">
        <v>9</v>
      </c>
      <c r="H2620" s="142" t="s">
        <v>10</v>
      </c>
      <c r="I2620">
        <v>0</v>
      </c>
      <c r="J2620">
        <v>0</v>
      </c>
      <c r="K2620" s="142" t="s">
        <v>1674</v>
      </c>
      <c r="L2620">
        <v>0.43</v>
      </c>
      <c r="M2620">
        <v>1.4137000000000001E-4</v>
      </c>
      <c r="N2620">
        <v>0.42565999999999998</v>
      </c>
      <c r="O2620">
        <v>1.2836E-4</v>
      </c>
    </row>
    <row r="2621" spans="1:15" x14ac:dyDescent="0.25">
      <c r="A2621" s="142" t="s">
        <v>402</v>
      </c>
      <c r="B2621" s="142" t="s">
        <v>51</v>
      </c>
      <c r="C2621" s="142" t="s">
        <v>17</v>
      </c>
      <c r="D2621">
        <v>120000</v>
      </c>
      <c r="E2621">
        <v>1200010</v>
      </c>
      <c r="F2621">
        <v>10000</v>
      </c>
      <c r="G2621" s="142" t="s">
        <v>9</v>
      </c>
      <c r="H2621" s="142" t="s">
        <v>9</v>
      </c>
      <c r="I2621">
        <v>0</v>
      </c>
      <c r="J2621">
        <v>0</v>
      </c>
      <c r="K2621" s="142" t="s">
        <v>1674</v>
      </c>
      <c r="L2621">
        <v>5773.8</v>
      </c>
      <c r="M2621">
        <v>1.0097E-6</v>
      </c>
      <c r="N2621">
        <v>5773.6</v>
      </c>
      <c r="O2621">
        <v>1.8185999999999999E-7</v>
      </c>
    </row>
    <row r="2622" spans="1:15" x14ac:dyDescent="0.25">
      <c r="A2622" s="142" t="s">
        <v>405</v>
      </c>
      <c r="B2622" s="142" t="s">
        <v>51</v>
      </c>
      <c r="C2622" s="142" t="s">
        <v>17</v>
      </c>
      <c r="D2622">
        <v>1200000</v>
      </c>
      <c r="E2622">
        <v>2000000</v>
      </c>
      <c r="F2622">
        <v>10000</v>
      </c>
      <c r="G2622" s="142" t="s">
        <v>9</v>
      </c>
      <c r="H2622" s="142" t="s">
        <v>10</v>
      </c>
      <c r="I2622">
        <v>0</v>
      </c>
      <c r="J2622">
        <v>0</v>
      </c>
      <c r="K2622" s="142" t="s">
        <v>1674</v>
      </c>
      <c r="L2622">
        <v>5.7549000000000001</v>
      </c>
      <c r="M2622">
        <v>2.1951E-5</v>
      </c>
      <c r="N2622">
        <v>5.7569999999999997</v>
      </c>
      <c r="O2622">
        <v>1.4015E-5</v>
      </c>
    </row>
    <row r="2623" spans="1:15" x14ac:dyDescent="0.25">
      <c r="A2623" s="142" t="s">
        <v>409</v>
      </c>
      <c r="B2623" s="142" t="s">
        <v>51</v>
      </c>
      <c r="C2623" s="142" t="s">
        <v>17</v>
      </c>
      <c r="D2623">
        <v>2000000</v>
      </c>
      <c r="E2623">
        <v>2001000</v>
      </c>
      <c r="F2623">
        <v>10000</v>
      </c>
      <c r="G2623" s="142" t="s">
        <v>9</v>
      </c>
      <c r="H2623" s="142" t="s">
        <v>10</v>
      </c>
      <c r="I2623">
        <v>0</v>
      </c>
      <c r="J2623">
        <v>0</v>
      </c>
      <c r="K2623" s="142" t="s">
        <v>1674</v>
      </c>
      <c r="L2623">
        <v>5.7549000000000001</v>
      </c>
      <c r="M2623">
        <v>2.1951E-5</v>
      </c>
      <c r="N2623">
        <v>5.7569999999999997</v>
      </c>
      <c r="O2623">
        <v>1.4015E-5</v>
      </c>
    </row>
    <row r="2624" spans="1:15" x14ac:dyDescent="0.25">
      <c r="A2624" s="142" t="s">
        <v>406</v>
      </c>
      <c r="B2624" s="142" t="s">
        <v>51</v>
      </c>
      <c r="C2624" s="142" t="s">
        <v>17</v>
      </c>
      <c r="D2624">
        <v>1200000</v>
      </c>
      <c r="E2624">
        <v>2000000</v>
      </c>
      <c r="F2624">
        <v>100000</v>
      </c>
      <c r="G2624" s="142" t="s">
        <v>9</v>
      </c>
      <c r="H2624" s="142" t="s">
        <v>10</v>
      </c>
      <c r="I2624">
        <v>0</v>
      </c>
      <c r="J2624">
        <v>0</v>
      </c>
      <c r="K2624" s="142" t="s">
        <v>1674</v>
      </c>
      <c r="L2624">
        <v>57.732999999999997</v>
      </c>
      <c r="M2624">
        <v>4.5960999999999999E-6</v>
      </c>
      <c r="N2624">
        <v>57.734000000000002</v>
      </c>
      <c r="O2624">
        <v>1.4028999999999999E-6</v>
      </c>
    </row>
    <row r="2625" spans="1:15" x14ac:dyDescent="0.25">
      <c r="A2625" s="142" t="s">
        <v>410</v>
      </c>
      <c r="B2625" s="142" t="s">
        <v>51</v>
      </c>
      <c r="C2625" s="142" t="s">
        <v>17</v>
      </c>
      <c r="D2625">
        <v>2000000</v>
      </c>
      <c r="E2625">
        <v>2001000</v>
      </c>
      <c r="F2625">
        <v>100000</v>
      </c>
      <c r="G2625" s="142" t="s">
        <v>9</v>
      </c>
      <c r="H2625" s="142" t="s">
        <v>10</v>
      </c>
      <c r="I2625">
        <v>0</v>
      </c>
      <c r="J2625">
        <v>0</v>
      </c>
      <c r="K2625" s="142" t="s">
        <v>1674</v>
      </c>
      <c r="L2625">
        <v>57.732999999999997</v>
      </c>
      <c r="M2625">
        <v>4.5960999999999999E-6</v>
      </c>
      <c r="N2625">
        <v>57.734000000000002</v>
      </c>
      <c r="O2625">
        <v>1.4028999999999999E-6</v>
      </c>
    </row>
    <row r="2626" spans="1:15" x14ac:dyDescent="0.25">
      <c r="A2626" s="142" t="s">
        <v>2262</v>
      </c>
      <c r="B2626" s="142" t="s">
        <v>51</v>
      </c>
      <c r="C2626" s="142" t="s">
        <v>7</v>
      </c>
      <c r="D2626">
        <v>0</v>
      </c>
      <c r="E2626">
        <v>11.000999999999999</v>
      </c>
      <c r="F2626">
        <v>1E-3</v>
      </c>
      <c r="G2626" s="142" t="s">
        <v>46</v>
      </c>
      <c r="H2626" s="142" t="s">
        <v>45</v>
      </c>
      <c r="I2626">
        <v>0</v>
      </c>
      <c r="J2626">
        <v>0</v>
      </c>
      <c r="K2626" s="142" t="s">
        <v>1674</v>
      </c>
      <c r="L2626">
        <v>12</v>
      </c>
      <c r="M2626">
        <v>0.14000000000000001</v>
      </c>
      <c r="N2626">
        <v>11.576000000000001</v>
      </c>
      <c r="O2626">
        <v>0.13830000000000001</v>
      </c>
    </row>
    <row r="2627" spans="1:15" x14ac:dyDescent="0.25">
      <c r="A2627" s="142" t="s">
        <v>2263</v>
      </c>
      <c r="B2627" s="142" t="s">
        <v>51</v>
      </c>
      <c r="C2627" s="142" t="s">
        <v>7</v>
      </c>
      <c r="D2627">
        <v>11</v>
      </c>
      <c r="E2627">
        <v>33.000999999999998</v>
      </c>
      <c r="F2627">
        <v>1E-3</v>
      </c>
      <c r="G2627" s="142" t="s">
        <v>46</v>
      </c>
      <c r="H2627" s="142" t="s">
        <v>45</v>
      </c>
      <c r="I2627">
        <v>0</v>
      </c>
      <c r="J2627">
        <v>0</v>
      </c>
      <c r="K2627" s="142" t="s">
        <v>1674</v>
      </c>
      <c r="L2627">
        <v>18</v>
      </c>
      <c r="M2627">
        <v>0.14000000000000001</v>
      </c>
      <c r="N2627">
        <v>17.338999999999999</v>
      </c>
      <c r="O2627">
        <v>0.13885</v>
      </c>
    </row>
    <row r="2628" spans="1:15" x14ac:dyDescent="0.25">
      <c r="A2628" s="142" t="s">
        <v>2264</v>
      </c>
      <c r="B2628" s="142" t="s">
        <v>51</v>
      </c>
      <c r="C2628" s="142" t="s">
        <v>7</v>
      </c>
      <c r="D2628">
        <v>33</v>
      </c>
      <c r="E2628">
        <v>110.01</v>
      </c>
      <c r="F2628">
        <v>1E-3</v>
      </c>
      <c r="G2628" s="142" t="s">
        <v>46</v>
      </c>
      <c r="H2628" s="142" t="s">
        <v>45</v>
      </c>
      <c r="I2628">
        <v>0</v>
      </c>
      <c r="J2628">
        <v>0</v>
      </c>
      <c r="K2628" s="142" t="s">
        <v>1674</v>
      </c>
      <c r="L2628">
        <v>18</v>
      </c>
      <c r="M2628">
        <v>0.1</v>
      </c>
      <c r="N2628">
        <v>17.341999999999999</v>
      </c>
      <c r="O2628">
        <v>0.10406</v>
      </c>
    </row>
    <row r="2629" spans="1:15" x14ac:dyDescent="0.25">
      <c r="A2629" s="142" t="s">
        <v>2265</v>
      </c>
      <c r="B2629" s="142" t="s">
        <v>51</v>
      </c>
      <c r="C2629" s="142" t="s">
        <v>7</v>
      </c>
      <c r="D2629">
        <v>110</v>
      </c>
      <c r="E2629">
        <v>330.01</v>
      </c>
      <c r="F2629">
        <v>1E-3</v>
      </c>
      <c r="G2629" s="142" t="s">
        <v>46</v>
      </c>
      <c r="H2629" s="142" t="s">
        <v>45</v>
      </c>
      <c r="I2629">
        <v>0</v>
      </c>
      <c r="J2629">
        <v>0</v>
      </c>
      <c r="K2629" s="142" t="s">
        <v>1674</v>
      </c>
      <c r="L2629">
        <v>25</v>
      </c>
      <c r="M2629">
        <v>0.3</v>
      </c>
      <c r="N2629">
        <v>24.812000000000001</v>
      </c>
      <c r="O2629">
        <v>0.29687000000000002</v>
      </c>
    </row>
    <row r="2630" spans="1:15" x14ac:dyDescent="0.25">
      <c r="A2630" s="142" t="s">
        <v>2266</v>
      </c>
      <c r="B2630" s="142" t="s">
        <v>51</v>
      </c>
      <c r="C2630" s="142" t="s">
        <v>7</v>
      </c>
      <c r="D2630">
        <v>0</v>
      </c>
      <c r="E2630">
        <v>11.000999999999999</v>
      </c>
      <c r="F2630">
        <v>0.01</v>
      </c>
      <c r="G2630" s="142" t="s">
        <v>46</v>
      </c>
      <c r="H2630" s="142" t="s">
        <v>45</v>
      </c>
      <c r="I2630">
        <v>0</v>
      </c>
      <c r="J2630">
        <v>0</v>
      </c>
      <c r="K2630" s="142" t="s">
        <v>1674</v>
      </c>
      <c r="L2630">
        <v>12.939</v>
      </c>
      <c r="M2630">
        <v>0.12581000000000001</v>
      </c>
      <c r="N2630">
        <v>12.935</v>
      </c>
      <c r="O2630">
        <v>0.12525</v>
      </c>
    </row>
    <row r="2631" spans="1:15" x14ac:dyDescent="0.25">
      <c r="A2631" s="142" t="s">
        <v>2267</v>
      </c>
      <c r="B2631" s="142" t="s">
        <v>51</v>
      </c>
      <c r="C2631" s="142" t="s">
        <v>7</v>
      </c>
      <c r="D2631">
        <v>11</v>
      </c>
      <c r="E2631">
        <v>33.000999999999998</v>
      </c>
      <c r="F2631">
        <v>0.01</v>
      </c>
      <c r="G2631" s="142" t="s">
        <v>46</v>
      </c>
      <c r="H2631" s="142" t="s">
        <v>45</v>
      </c>
      <c r="I2631">
        <v>0</v>
      </c>
      <c r="J2631">
        <v>0</v>
      </c>
      <c r="K2631" s="142" t="s">
        <v>1674</v>
      </c>
      <c r="L2631">
        <v>18.263000000000002</v>
      </c>
      <c r="M2631">
        <v>0.13372000000000001</v>
      </c>
      <c r="N2631">
        <v>18.257999999999999</v>
      </c>
      <c r="O2631">
        <v>0.13356999999999999</v>
      </c>
    </row>
    <row r="2632" spans="1:15" x14ac:dyDescent="0.25">
      <c r="A2632" s="142" t="s">
        <v>2268</v>
      </c>
      <c r="B2632" s="142" t="s">
        <v>51</v>
      </c>
      <c r="C2632" s="142" t="s">
        <v>7</v>
      </c>
      <c r="D2632">
        <v>33</v>
      </c>
      <c r="E2632">
        <v>110.01</v>
      </c>
      <c r="F2632">
        <v>0.01</v>
      </c>
      <c r="G2632" s="142" t="s">
        <v>46</v>
      </c>
      <c r="H2632" s="142" t="s">
        <v>45</v>
      </c>
      <c r="I2632">
        <v>0</v>
      </c>
      <c r="J2632">
        <v>0</v>
      </c>
      <c r="K2632" s="142" t="s">
        <v>1674</v>
      </c>
      <c r="L2632">
        <v>18.224</v>
      </c>
      <c r="M2632">
        <v>0.10151</v>
      </c>
      <c r="N2632">
        <v>18.221</v>
      </c>
      <c r="O2632">
        <v>0.10128</v>
      </c>
    </row>
    <row r="2633" spans="1:15" x14ac:dyDescent="0.25">
      <c r="A2633" s="142" t="s">
        <v>2269</v>
      </c>
      <c r="B2633" s="142" t="s">
        <v>51</v>
      </c>
      <c r="C2633" s="142" t="s">
        <v>7</v>
      </c>
      <c r="D2633">
        <v>110</v>
      </c>
      <c r="E2633">
        <v>330.01</v>
      </c>
      <c r="F2633">
        <v>0.01</v>
      </c>
      <c r="G2633" s="142" t="s">
        <v>46</v>
      </c>
      <c r="H2633" s="142" t="s">
        <v>45</v>
      </c>
      <c r="I2633">
        <v>0</v>
      </c>
      <c r="J2633">
        <v>0</v>
      </c>
      <c r="K2633" s="142" t="s">
        <v>1674</v>
      </c>
      <c r="L2633">
        <v>25.358000000000001</v>
      </c>
      <c r="M2633">
        <v>0.29479</v>
      </c>
      <c r="N2633">
        <v>25.35</v>
      </c>
      <c r="O2633">
        <v>0.29441000000000001</v>
      </c>
    </row>
    <row r="2634" spans="1:15" x14ac:dyDescent="0.25">
      <c r="A2634" s="142" t="s">
        <v>2270</v>
      </c>
      <c r="B2634" s="142" t="s">
        <v>51</v>
      </c>
      <c r="C2634" s="142" t="s">
        <v>7</v>
      </c>
      <c r="D2634">
        <v>330</v>
      </c>
      <c r="E2634">
        <v>1100.01</v>
      </c>
      <c r="F2634">
        <v>0.01</v>
      </c>
      <c r="G2634" s="142" t="s">
        <v>46</v>
      </c>
      <c r="H2634" s="142" t="s">
        <v>45</v>
      </c>
      <c r="I2634">
        <v>0</v>
      </c>
      <c r="J2634">
        <v>0</v>
      </c>
      <c r="K2634" s="142" t="s">
        <v>1674</v>
      </c>
      <c r="L2634">
        <v>28</v>
      </c>
      <c r="M2634">
        <v>0.1</v>
      </c>
      <c r="N2634">
        <v>23.818000000000001</v>
      </c>
      <c r="O2634">
        <v>0.10366</v>
      </c>
    </row>
    <row r="2635" spans="1:15" x14ac:dyDescent="0.25">
      <c r="A2635" s="142" t="s">
        <v>2271</v>
      </c>
      <c r="B2635" s="142" t="s">
        <v>51</v>
      </c>
      <c r="C2635" s="142" t="s">
        <v>7</v>
      </c>
      <c r="D2635">
        <v>1100</v>
      </c>
      <c r="E2635">
        <v>3300.1</v>
      </c>
      <c r="F2635">
        <v>0.01</v>
      </c>
      <c r="G2635" s="142" t="s">
        <v>46</v>
      </c>
      <c r="H2635" s="142" t="s">
        <v>46</v>
      </c>
      <c r="I2635">
        <v>0</v>
      </c>
      <c r="J2635">
        <v>0</v>
      </c>
      <c r="K2635" s="142" t="s">
        <v>1674</v>
      </c>
      <c r="L2635">
        <v>0.25</v>
      </c>
      <c r="M2635">
        <v>1E-4</v>
      </c>
      <c r="N2635">
        <v>0.23096</v>
      </c>
      <c r="O2635">
        <v>1.0411E-4</v>
      </c>
    </row>
    <row r="2636" spans="1:15" x14ac:dyDescent="0.25">
      <c r="A2636" s="142" t="s">
        <v>2272</v>
      </c>
      <c r="B2636" s="142" t="s">
        <v>51</v>
      </c>
      <c r="C2636" s="142" t="s">
        <v>7</v>
      </c>
      <c r="D2636">
        <v>0</v>
      </c>
      <c r="E2636">
        <v>11.000999999999999</v>
      </c>
      <c r="F2636">
        <v>0.1</v>
      </c>
      <c r="G2636" s="142" t="s">
        <v>46</v>
      </c>
      <c r="H2636" s="142" t="s">
        <v>45</v>
      </c>
      <c r="I2636">
        <v>0</v>
      </c>
      <c r="J2636">
        <v>0</v>
      </c>
      <c r="K2636" s="142" t="s">
        <v>1674</v>
      </c>
      <c r="L2636">
        <v>59.143999999999998</v>
      </c>
      <c r="M2636">
        <v>2.9356E-2</v>
      </c>
      <c r="N2636">
        <v>59.140999999999998</v>
      </c>
      <c r="O2636">
        <v>2.8788000000000001E-2</v>
      </c>
    </row>
    <row r="2637" spans="1:15" x14ac:dyDescent="0.25">
      <c r="A2637" s="142" t="s">
        <v>2273</v>
      </c>
      <c r="B2637" s="142" t="s">
        <v>51</v>
      </c>
      <c r="C2637" s="142" t="s">
        <v>7</v>
      </c>
      <c r="D2637">
        <v>11</v>
      </c>
      <c r="E2637">
        <v>33.000999999999998</v>
      </c>
      <c r="F2637">
        <v>0.1</v>
      </c>
      <c r="G2637" s="142" t="s">
        <v>46</v>
      </c>
      <c r="H2637" s="142" t="s">
        <v>45</v>
      </c>
      <c r="I2637">
        <v>0</v>
      </c>
      <c r="J2637">
        <v>0</v>
      </c>
      <c r="K2637" s="142" t="s">
        <v>1674</v>
      </c>
      <c r="L2637">
        <v>60.487000000000002</v>
      </c>
      <c r="M2637">
        <v>4.6303999999999998E-2</v>
      </c>
      <c r="N2637">
        <v>60.481000000000002</v>
      </c>
      <c r="O2637">
        <v>4.6039999999999998E-2</v>
      </c>
    </row>
    <row r="2638" spans="1:15" x14ac:dyDescent="0.25">
      <c r="A2638" s="142" t="s">
        <v>2274</v>
      </c>
      <c r="B2638" s="142" t="s">
        <v>51</v>
      </c>
      <c r="C2638" s="142" t="s">
        <v>7</v>
      </c>
      <c r="D2638">
        <v>33</v>
      </c>
      <c r="E2638">
        <v>110.01</v>
      </c>
      <c r="F2638">
        <v>0.1</v>
      </c>
      <c r="G2638" s="142" t="s">
        <v>46</v>
      </c>
      <c r="H2638" s="142" t="s">
        <v>45</v>
      </c>
      <c r="I2638">
        <v>0</v>
      </c>
      <c r="J2638">
        <v>0</v>
      </c>
      <c r="K2638" s="142" t="s">
        <v>1674</v>
      </c>
      <c r="L2638">
        <v>60.259</v>
      </c>
      <c r="M2638">
        <v>4.1284000000000001E-2</v>
      </c>
      <c r="N2638">
        <v>60.259</v>
      </c>
      <c r="O2638">
        <v>4.0820000000000002E-2</v>
      </c>
    </row>
    <row r="2639" spans="1:15" x14ac:dyDescent="0.25">
      <c r="A2639" s="142" t="s">
        <v>2275</v>
      </c>
      <c r="B2639" s="142" t="s">
        <v>51</v>
      </c>
      <c r="C2639" s="142" t="s">
        <v>7</v>
      </c>
      <c r="D2639">
        <v>110</v>
      </c>
      <c r="E2639">
        <v>330.01</v>
      </c>
      <c r="F2639">
        <v>0.1</v>
      </c>
      <c r="G2639" s="142" t="s">
        <v>46</v>
      </c>
      <c r="H2639" s="142" t="s">
        <v>45</v>
      </c>
      <c r="I2639">
        <v>0</v>
      </c>
      <c r="J2639">
        <v>0</v>
      </c>
      <c r="K2639" s="142" t="s">
        <v>1674</v>
      </c>
      <c r="L2639">
        <v>61.466000000000001</v>
      </c>
      <c r="M2639">
        <v>0.18435000000000001</v>
      </c>
      <c r="N2639">
        <v>61.46</v>
      </c>
      <c r="O2639">
        <v>0.18304999999999999</v>
      </c>
    </row>
    <row r="2640" spans="1:15" x14ac:dyDescent="0.25">
      <c r="A2640" s="142" t="s">
        <v>2276</v>
      </c>
      <c r="B2640" s="142" t="s">
        <v>51</v>
      </c>
      <c r="C2640" s="142" t="s">
        <v>7</v>
      </c>
      <c r="D2640">
        <v>330</v>
      </c>
      <c r="E2640">
        <v>1100.01</v>
      </c>
      <c r="F2640">
        <v>0.1</v>
      </c>
      <c r="G2640" s="142" t="s">
        <v>46</v>
      </c>
      <c r="H2640" s="142" t="s">
        <v>45</v>
      </c>
      <c r="I2640">
        <v>0</v>
      </c>
      <c r="J2640">
        <v>0</v>
      </c>
      <c r="K2640" s="142" t="s">
        <v>1674</v>
      </c>
      <c r="L2640">
        <v>52.968000000000004</v>
      </c>
      <c r="M2640">
        <v>8.7891999999999998E-2</v>
      </c>
      <c r="N2640">
        <v>52.866999999999997</v>
      </c>
      <c r="O2640">
        <v>8.7789000000000006E-2</v>
      </c>
    </row>
    <row r="2641" spans="1:15" x14ac:dyDescent="0.25">
      <c r="A2641" s="142" t="s">
        <v>2277</v>
      </c>
      <c r="B2641" s="142" t="s">
        <v>51</v>
      </c>
      <c r="C2641" s="142" t="s">
        <v>7</v>
      </c>
      <c r="D2641">
        <v>1100</v>
      </c>
      <c r="E2641">
        <v>3300.1</v>
      </c>
      <c r="F2641">
        <v>0.1</v>
      </c>
      <c r="G2641" s="142" t="s">
        <v>46</v>
      </c>
      <c r="H2641" s="142" t="s">
        <v>46</v>
      </c>
      <c r="I2641">
        <v>0</v>
      </c>
      <c r="J2641">
        <v>0</v>
      </c>
      <c r="K2641" s="142" t="s">
        <v>1674</v>
      </c>
      <c r="L2641">
        <v>0.25</v>
      </c>
      <c r="M2641">
        <v>1.0329E-4</v>
      </c>
      <c r="N2641">
        <v>0.23666000000000001</v>
      </c>
      <c r="O2641">
        <v>1.0325E-4</v>
      </c>
    </row>
    <row r="2642" spans="1:15" x14ac:dyDescent="0.25">
      <c r="A2642" s="142" t="s">
        <v>2278</v>
      </c>
      <c r="B2642" s="142" t="s">
        <v>51</v>
      </c>
      <c r="C2642" s="142" t="s">
        <v>7</v>
      </c>
      <c r="D2642">
        <v>3300</v>
      </c>
      <c r="E2642">
        <v>11001</v>
      </c>
      <c r="F2642">
        <v>0.1</v>
      </c>
      <c r="G2642" s="142" t="s">
        <v>46</v>
      </c>
      <c r="H2642" s="142" t="s">
        <v>46</v>
      </c>
      <c r="I2642">
        <v>0</v>
      </c>
      <c r="J2642">
        <v>0</v>
      </c>
      <c r="K2642" s="142" t="s">
        <v>1674</v>
      </c>
      <c r="L2642">
        <v>0.17</v>
      </c>
      <c r="M2642">
        <v>1E-4</v>
      </c>
      <c r="N2642">
        <v>0.12474</v>
      </c>
      <c r="O2642">
        <v>1.0353000000000001E-4</v>
      </c>
    </row>
    <row r="2643" spans="1:15" x14ac:dyDescent="0.25">
      <c r="A2643" s="142" t="s">
        <v>2279</v>
      </c>
      <c r="B2643" s="142" t="s">
        <v>51</v>
      </c>
      <c r="C2643" s="142" t="s">
        <v>7</v>
      </c>
      <c r="D2643">
        <v>11000</v>
      </c>
      <c r="E2643">
        <v>33001</v>
      </c>
      <c r="F2643">
        <v>0.1</v>
      </c>
      <c r="G2643" s="142" t="s">
        <v>46</v>
      </c>
      <c r="H2643" s="142" t="s">
        <v>46</v>
      </c>
      <c r="I2643">
        <v>0</v>
      </c>
      <c r="J2643">
        <v>0</v>
      </c>
      <c r="K2643" s="142" t="s">
        <v>1674</v>
      </c>
      <c r="L2643">
        <v>1.3</v>
      </c>
      <c r="M2643">
        <v>1E-4</v>
      </c>
      <c r="N2643">
        <v>1.1560999999999999</v>
      </c>
      <c r="O2643">
        <v>1.0412E-4</v>
      </c>
    </row>
    <row r="2644" spans="1:15" x14ac:dyDescent="0.25">
      <c r="A2644" s="142" t="s">
        <v>2280</v>
      </c>
      <c r="B2644" s="142" t="s">
        <v>51</v>
      </c>
      <c r="C2644" s="142" t="s">
        <v>7</v>
      </c>
      <c r="D2644">
        <v>0</v>
      </c>
      <c r="E2644">
        <v>11.000999999999999</v>
      </c>
      <c r="F2644">
        <v>1</v>
      </c>
      <c r="G2644" s="142" t="s">
        <v>46</v>
      </c>
      <c r="H2644" s="142" t="s">
        <v>45</v>
      </c>
      <c r="I2644">
        <v>0</v>
      </c>
      <c r="J2644">
        <v>0</v>
      </c>
      <c r="K2644" s="142" t="s">
        <v>1674</v>
      </c>
      <c r="L2644">
        <v>580.12</v>
      </c>
      <c r="M2644">
        <v>3.176E-3</v>
      </c>
      <c r="N2644">
        <v>580.12</v>
      </c>
      <c r="O2644">
        <v>2.9426999999999999E-3</v>
      </c>
    </row>
    <row r="2645" spans="1:15" x14ac:dyDescent="0.25">
      <c r="A2645" s="142" t="s">
        <v>2281</v>
      </c>
      <c r="B2645" s="142" t="s">
        <v>51</v>
      </c>
      <c r="C2645" s="142" t="s">
        <v>7</v>
      </c>
      <c r="D2645">
        <v>11</v>
      </c>
      <c r="E2645">
        <v>33.000999999999998</v>
      </c>
      <c r="F2645">
        <v>1</v>
      </c>
      <c r="G2645" s="142" t="s">
        <v>46</v>
      </c>
      <c r="H2645" s="142" t="s">
        <v>45</v>
      </c>
      <c r="I2645">
        <v>0</v>
      </c>
      <c r="J2645">
        <v>0</v>
      </c>
      <c r="K2645" s="142" t="s">
        <v>1674</v>
      </c>
      <c r="L2645">
        <v>580.26</v>
      </c>
      <c r="M2645">
        <v>4.9937999999999996E-3</v>
      </c>
      <c r="N2645">
        <v>580.25</v>
      </c>
      <c r="O2645">
        <v>4.8783000000000003E-3</v>
      </c>
    </row>
    <row r="2646" spans="1:15" x14ac:dyDescent="0.25">
      <c r="A2646" s="142" t="s">
        <v>2282</v>
      </c>
      <c r="B2646" s="142" t="s">
        <v>51</v>
      </c>
      <c r="C2646" s="142" t="s">
        <v>7</v>
      </c>
      <c r="D2646">
        <v>33</v>
      </c>
      <c r="E2646">
        <v>110.01</v>
      </c>
      <c r="F2646">
        <v>1</v>
      </c>
      <c r="G2646" s="142" t="s">
        <v>46</v>
      </c>
      <c r="H2646" s="142" t="s">
        <v>45</v>
      </c>
      <c r="I2646">
        <v>0</v>
      </c>
      <c r="J2646">
        <v>0</v>
      </c>
      <c r="K2646" s="142" t="s">
        <v>1674</v>
      </c>
      <c r="L2646">
        <v>580.23</v>
      </c>
      <c r="M2646">
        <v>4.6533E-3</v>
      </c>
      <c r="N2646">
        <v>580.23</v>
      </c>
      <c r="O2646">
        <v>4.4422000000000003E-3</v>
      </c>
    </row>
    <row r="2647" spans="1:15" x14ac:dyDescent="0.25">
      <c r="A2647" s="142" t="s">
        <v>2283</v>
      </c>
      <c r="B2647" s="142" t="s">
        <v>51</v>
      </c>
      <c r="C2647" s="142" t="s">
        <v>7</v>
      </c>
      <c r="D2647">
        <v>110</v>
      </c>
      <c r="E2647">
        <v>330.01</v>
      </c>
      <c r="F2647">
        <v>1</v>
      </c>
      <c r="G2647" s="142" t="s">
        <v>46</v>
      </c>
      <c r="H2647" s="142" t="s">
        <v>45</v>
      </c>
      <c r="I2647">
        <v>0</v>
      </c>
      <c r="J2647">
        <v>0</v>
      </c>
      <c r="K2647" s="142" t="s">
        <v>1674</v>
      </c>
      <c r="L2647">
        <v>580.25</v>
      </c>
      <c r="M2647">
        <v>2.4237000000000002E-2</v>
      </c>
      <c r="N2647">
        <v>580.25</v>
      </c>
      <c r="O2647">
        <v>2.3449000000000001E-2</v>
      </c>
    </row>
    <row r="2648" spans="1:15" x14ac:dyDescent="0.25">
      <c r="A2648" s="142" t="s">
        <v>2284</v>
      </c>
      <c r="B2648" s="142" t="s">
        <v>51</v>
      </c>
      <c r="C2648" s="142" t="s">
        <v>7</v>
      </c>
      <c r="D2648">
        <v>330</v>
      </c>
      <c r="E2648">
        <v>1100.01</v>
      </c>
      <c r="F2648">
        <v>1</v>
      </c>
      <c r="G2648" s="142" t="s">
        <v>46</v>
      </c>
      <c r="H2648" s="142" t="s">
        <v>45</v>
      </c>
      <c r="I2648">
        <v>0</v>
      </c>
      <c r="J2648">
        <v>0</v>
      </c>
      <c r="K2648" s="142" t="s">
        <v>1674</v>
      </c>
      <c r="L2648">
        <v>577.20000000000005</v>
      </c>
      <c r="M2648">
        <v>1.7401E-2</v>
      </c>
      <c r="N2648">
        <v>577.17999999999995</v>
      </c>
      <c r="O2648">
        <v>1.7221E-2</v>
      </c>
    </row>
    <row r="2649" spans="1:15" x14ac:dyDescent="0.25">
      <c r="A2649" s="142" t="s">
        <v>2285</v>
      </c>
      <c r="B2649" s="142" t="s">
        <v>51</v>
      </c>
      <c r="C2649" s="142" t="s">
        <v>7</v>
      </c>
      <c r="D2649">
        <v>1100</v>
      </c>
      <c r="E2649">
        <v>3300.1</v>
      </c>
      <c r="F2649">
        <v>1</v>
      </c>
      <c r="G2649" s="142" t="s">
        <v>46</v>
      </c>
      <c r="H2649" s="142" t="s">
        <v>46</v>
      </c>
      <c r="I2649">
        <v>0</v>
      </c>
      <c r="J2649">
        <v>0</v>
      </c>
      <c r="K2649" s="142" t="s">
        <v>1674</v>
      </c>
      <c r="L2649">
        <v>0.60487000000000002</v>
      </c>
      <c r="M2649">
        <v>6.4429000000000003E-5</v>
      </c>
      <c r="N2649">
        <v>0.60441</v>
      </c>
      <c r="O2649">
        <v>6.4220999999999994E-5</v>
      </c>
    </row>
    <row r="2650" spans="1:15" x14ac:dyDescent="0.25">
      <c r="A2650" s="142" t="s">
        <v>2286</v>
      </c>
      <c r="B2650" s="142" t="s">
        <v>51</v>
      </c>
      <c r="C2650" s="142" t="s">
        <v>7</v>
      </c>
      <c r="D2650">
        <v>3300</v>
      </c>
      <c r="E2650">
        <v>11001</v>
      </c>
      <c r="F2650">
        <v>1</v>
      </c>
      <c r="G2650" s="142" t="s">
        <v>46</v>
      </c>
      <c r="H2650" s="142" t="s">
        <v>46</v>
      </c>
      <c r="I2650">
        <v>0</v>
      </c>
      <c r="J2650">
        <v>0</v>
      </c>
      <c r="K2650" s="142" t="s">
        <v>1674</v>
      </c>
      <c r="L2650">
        <v>0.46536</v>
      </c>
      <c r="M2650">
        <v>8.4151000000000001E-5</v>
      </c>
      <c r="N2650">
        <v>0.46464</v>
      </c>
      <c r="O2650">
        <v>8.4043999999999997E-5</v>
      </c>
    </row>
    <row r="2651" spans="1:15" x14ac:dyDescent="0.25">
      <c r="A2651" s="142" t="s">
        <v>2287</v>
      </c>
      <c r="B2651" s="142" t="s">
        <v>51</v>
      </c>
      <c r="C2651" s="142" t="s">
        <v>7</v>
      </c>
      <c r="D2651">
        <v>11000</v>
      </c>
      <c r="E2651">
        <v>33001</v>
      </c>
      <c r="F2651">
        <v>1</v>
      </c>
      <c r="G2651" s="142" t="s">
        <v>46</v>
      </c>
      <c r="H2651" s="142" t="s">
        <v>46</v>
      </c>
      <c r="I2651">
        <v>0</v>
      </c>
      <c r="J2651">
        <v>0</v>
      </c>
      <c r="K2651" s="142" t="s">
        <v>1674</v>
      </c>
      <c r="L2651">
        <v>1.3</v>
      </c>
      <c r="M2651">
        <v>1.0253E-4</v>
      </c>
      <c r="N2651">
        <v>1.2442</v>
      </c>
      <c r="O2651">
        <v>1.0252E-4</v>
      </c>
    </row>
    <row r="2652" spans="1:15" x14ac:dyDescent="0.25">
      <c r="A2652" s="142" t="s">
        <v>2288</v>
      </c>
      <c r="B2652" s="142" t="s">
        <v>51</v>
      </c>
      <c r="C2652" s="142" t="s">
        <v>7</v>
      </c>
      <c r="D2652">
        <v>33000</v>
      </c>
      <c r="E2652">
        <v>110010</v>
      </c>
      <c r="F2652">
        <v>1</v>
      </c>
      <c r="G2652" s="142" t="s">
        <v>46</v>
      </c>
      <c r="H2652" s="142" t="s">
        <v>46</v>
      </c>
      <c r="I2652">
        <v>0</v>
      </c>
      <c r="J2652">
        <v>0</v>
      </c>
      <c r="K2652" s="142" t="s">
        <v>1674</v>
      </c>
      <c r="L2652">
        <v>1.3</v>
      </c>
      <c r="M2652">
        <v>1.2999999999999999E-4</v>
      </c>
      <c r="N2652">
        <v>1.2346999999999999</v>
      </c>
      <c r="O2652">
        <v>1.2664999999999999E-4</v>
      </c>
    </row>
    <row r="2653" spans="1:15" x14ac:dyDescent="0.25">
      <c r="A2653" s="142" t="s">
        <v>2289</v>
      </c>
      <c r="B2653" s="142" t="s">
        <v>51</v>
      </c>
      <c r="C2653" s="142" t="s">
        <v>7</v>
      </c>
      <c r="D2653">
        <v>110000</v>
      </c>
      <c r="E2653">
        <v>330010</v>
      </c>
      <c r="F2653">
        <v>1</v>
      </c>
      <c r="G2653" s="142" t="s">
        <v>46</v>
      </c>
      <c r="H2653" s="142" t="s">
        <v>46</v>
      </c>
      <c r="I2653">
        <v>0</v>
      </c>
      <c r="J2653">
        <v>0</v>
      </c>
      <c r="K2653" s="142" t="s">
        <v>1674</v>
      </c>
      <c r="L2653">
        <v>12</v>
      </c>
      <c r="M2653">
        <v>1.3999999999999999E-4</v>
      </c>
      <c r="N2653">
        <v>11.565</v>
      </c>
      <c r="O2653">
        <v>1.393E-4</v>
      </c>
    </row>
    <row r="2654" spans="1:15" x14ac:dyDescent="0.25">
      <c r="A2654" s="142" t="s">
        <v>2290</v>
      </c>
      <c r="B2654" s="142" t="s">
        <v>51</v>
      </c>
      <c r="C2654" s="142" t="s">
        <v>7</v>
      </c>
      <c r="D2654">
        <v>0</v>
      </c>
      <c r="E2654">
        <v>11.000999999999999</v>
      </c>
      <c r="F2654">
        <v>10</v>
      </c>
      <c r="G2654" s="142" t="s">
        <v>46</v>
      </c>
      <c r="H2654" s="142" t="s">
        <v>45</v>
      </c>
      <c r="I2654">
        <v>0</v>
      </c>
      <c r="J2654">
        <v>0</v>
      </c>
      <c r="K2654" s="142" t="s">
        <v>1674</v>
      </c>
      <c r="L2654">
        <v>5800</v>
      </c>
      <c r="M2654">
        <v>3.8767000000000001E-4</v>
      </c>
      <c r="N2654">
        <v>5800</v>
      </c>
      <c r="O2654">
        <v>2.9433999999999998E-4</v>
      </c>
    </row>
    <row r="2655" spans="1:15" x14ac:dyDescent="0.25">
      <c r="A2655" s="142" t="s">
        <v>2291</v>
      </c>
      <c r="B2655" s="142" t="s">
        <v>51</v>
      </c>
      <c r="C2655" s="142" t="s">
        <v>7</v>
      </c>
      <c r="D2655">
        <v>330</v>
      </c>
      <c r="E2655">
        <v>1100.01</v>
      </c>
      <c r="F2655">
        <v>10</v>
      </c>
      <c r="G2655" s="142" t="s">
        <v>46</v>
      </c>
      <c r="H2655" s="142" t="s">
        <v>45</v>
      </c>
      <c r="I2655">
        <v>0</v>
      </c>
      <c r="J2655">
        <v>0</v>
      </c>
      <c r="K2655" s="142" t="s">
        <v>1674</v>
      </c>
      <c r="L2655">
        <v>5799.7</v>
      </c>
      <c r="M2655">
        <v>1.8247999999999999E-3</v>
      </c>
      <c r="N2655">
        <v>5799.7</v>
      </c>
      <c r="O2655">
        <v>1.75E-3</v>
      </c>
    </row>
    <row r="2656" spans="1:15" x14ac:dyDescent="0.25">
      <c r="A2656" s="142" t="s">
        <v>2292</v>
      </c>
      <c r="B2656" s="142" t="s">
        <v>51</v>
      </c>
      <c r="C2656" s="142" t="s">
        <v>7</v>
      </c>
      <c r="D2656">
        <v>1100</v>
      </c>
      <c r="E2656">
        <v>3300.1</v>
      </c>
      <c r="F2656">
        <v>10</v>
      </c>
      <c r="G2656" s="142" t="s">
        <v>46</v>
      </c>
      <c r="H2656" s="142" t="s">
        <v>46</v>
      </c>
      <c r="I2656">
        <v>0</v>
      </c>
      <c r="J2656">
        <v>0</v>
      </c>
      <c r="K2656" s="142" t="s">
        <v>1674</v>
      </c>
      <c r="L2656">
        <v>5.8014000000000001</v>
      </c>
      <c r="M2656">
        <v>8.3760999999999993E-6</v>
      </c>
      <c r="N2656">
        <v>5.8011999999999997</v>
      </c>
      <c r="O2656">
        <v>8.2293999999999995E-6</v>
      </c>
    </row>
    <row r="2657" spans="1:15" x14ac:dyDescent="0.25">
      <c r="A2657" s="142" t="s">
        <v>2293</v>
      </c>
      <c r="B2657" s="142" t="s">
        <v>51</v>
      </c>
      <c r="C2657" s="142" t="s">
        <v>7</v>
      </c>
      <c r="D2657">
        <v>3300</v>
      </c>
      <c r="E2657">
        <v>11001</v>
      </c>
      <c r="F2657">
        <v>10</v>
      </c>
      <c r="G2657" s="142" t="s">
        <v>46</v>
      </c>
      <c r="H2657" s="142" t="s">
        <v>46</v>
      </c>
      <c r="I2657">
        <v>0</v>
      </c>
      <c r="J2657">
        <v>0</v>
      </c>
      <c r="K2657" s="142" t="s">
        <v>1674</v>
      </c>
      <c r="L2657">
        <v>5.7682000000000002</v>
      </c>
      <c r="M2657">
        <v>1.5398000000000001E-5</v>
      </c>
      <c r="N2657">
        <v>5.7682000000000002</v>
      </c>
      <c r="O2657">
        <v>1.5238E-5</v>
      </c>
    </row>
    <row r="2658" spans="1:15" x14ac:dyDescent="0.25">
      <c r="A2658" s="142" t="s">
        <v>2294</v>
      </c>
      <c r="B2658" s="142" t="s">
        <v>51</v>
      </c>
      <c r="C2658" s="142" t="s">
        <v>7</v>
      </c>
      <c r="D2658">
        <v>11000</v>
      </c>
      <c r="E2658">
        <v>33001</v>
      </c>
      <c r="F2658">
        <v>10</v>
      </c>
      <c r="G2658" s="142" t="s">
        <v>46</v>
      </c>
      <c r="H2658" s="142" t="s">
        <v>46</v>
      </c>
      <c r="I2658">
        <v>0</v>
      </c>
      <c r="J2658">
        <v>0</v>
      </c>
      <c r="K2658" s="142" t="s">
        <v>1674</v>
      </c>
      <c r="L2658">
        <v>5.6614000000000004</v>
      </c>
      <c r="M2658">
        <v>5.2695000000000003E-5</v>
      </c>
      <c r="N2658">
        <v>5.6604999999999999</v>
      </c>
      <c r="O2658">
        <v>5.2621000000000003E-5</v>
      </c>
    </row>
    <row r="2659" spans="1:15" x14ac:dyDescent="0.25">
      <c r="A2659" s="142" t="s">
        <v>2295</v>
      </c>
      <c r="B2659" s="142" t="s">
        <v>51</v>
      </c>
      <c r="C2659" s="142" t="s">
        <v>7</v>
      </c>
      <c r="D2659">
        <v>33000</v>
      </c>
      <c r="E2659">
        <v>110010</v>
      </c>
      <c r="F2659">
        <v>10</v>
      </c>
      <c r="G2659" s="142" t="s">
        <v>46</v>
      </c>
      <c r="H2659" s="142" t="s">
        <v>46</v>
      </c>
      <c r="I2659">
        <v>0</v>
      </c>
      <c r="J2659">
        <v>0</v>
      </c>
      <c r="K2659" s="142" t="s">
        <v>1674</v>
      </c>
      <c r="L2659">
        <v>4.3529999999999998</v>
      </c>
      <c r="M2659">
        <v>1.0805E-4</v>
      </c>
      <c r="N2659">
        <v>4.3501000000000003</v>
      </c>
      <c r="O2659">
        <v>1.0797E-4</v>
      </c>
    </row>
    <row r="2660" spans="1:15" x14ac:dyDescent="0.25">
      <c r="A2660" s="142" t="s">
        <v>2296</v>
      </c>
      <c r="B2660" s="142" t="s">
        <v>51</v>
      </c>
      <c r="C2660" s="142" t="s">
        <v>7</v>
      </c>
      <c r="D2660">
        <v>110000</v>
      </c>
      <c r="E2660">
        <v>330010</v>
      </c>
      <c r="F2660">
        <v>10</v>
      </c>
      <c r="G2660" s="142" t="s">
        <v>46</v>
      </c>
      <c r="H2660" s="142" t="s">
        <v>46</v>
      </c>
      <c r="I2660">
        <v>0</v>
      </c>
      <c r="J2660">
        <v>0</v>
      </c>
      <c r="K2660" s="142" t="s">
        <v>1674</v>
      </c>
      <c r="L2660">
        <v>12.289</v>
      </c>
      <c r="M2660">
        <v>1.3783999999999999E-4</v>
      </c>
      <c r="N2660">
        <v>12.284000000000001</v>
      </c>
      <c r="O2660">
        <v>1.3782000000000001E-4</v>
      </c>
    </row>
    <row r="2661" spans="1:15" x14ac:dyDescent="0.25">
      <c r="A2661" s="142" t="s">
        <v>2297</v>
      </c>
      <c r="B2661" s="142" t="s">
        <v>51</v>
      </c>
      <c r="C2661" s="142" t="s">
        <v>7</v>
      </c>
      <c r="D2661">
        <v>330000</v>
      </c>
      <c r="E2661">
        <v>1100010</v>
      </c>
      <c r="F2661">
        <v>10</v>
      </c>
      <c r="G2661" s="142" t="s">
        <v>46</v>
      </c>
      <c r="H2661" s="142" t="s">
        <v>46</v>
      </c>
      <c r="I2661">
        <v>0</v>
      </c>
      <c r="J2661">
        <v>0</v>
      </c>
      <c r="K2661" s="142" t="s">
        <v>1674</v>
      </c>
      <c r="L2661">
        <v>16</v>
      </c>
      <c r="M2661">
        <v>1.7000000000000001E-4</v>
      </c>
      <c r="N2661">
        <v>12.340999999999999</v>
      </c>
      <c r="O2661">
        <v>1.7274E-4</v>
      </c>
    </row>
    <row r="2662" spans="1:15" x14ac:dyDescent="0.25">
      <c r="A2662" s="142" t="s">
        <v>2298</v>
      </c>
      <c r="B2662" s="142" t="s">
        <v>51</v>
      </c>
      <c r="C2662" s="142" t="s">
        <v>7</v>
      </c>
      <c r="D2662">
        <v>1100000</v>
      </c>
      <c r="E2662">
        <v>3301000</v>
      </c>
      <c r="F2662">
        <v>10</v>
      </c>
      <c r="G2662" s="142" t="s">
        <v>46</v>
      </c>
      <c r="H2662" s="142" t="s">
        <v>47</v>
      </c>
      <c r="I2662">
        <v>0</v>
      </c>
      <c r="J2662">
        <v>0</v>
      </c>
      <c r="K2662" s="142" t="s">
        <v>1674</v>
      </c>
      <c r="L2662">
        <v>0.19</v>
      </c>
      <c r="M2662">
        <v>1.6999999999999999E-7</v>
      </c>
      <c r="N2662">
        <v>0.17338999999999999</v>
      </c>
      <c r="O2662">
        <v>1.7317999999999999E-7</v>
      </c>
    </row>
    <row r="2663" spans="1:15" x14ac:dyDescent="0.25">
      <c r="A2663" s="142" t="s">
        <v>2299</v>
      </c>
      <c r="B2663" s="142" t="s">
        <v>51</v>
      </c>
      <c r="C2663" s="142" t="s">
        <v>7</v>
      </c>
      <c r="D2663">
        <v>0</v>
      </c>
      <c r="E2663">
        <v>11.000999999999999</v>
      </c>
      <c r="F2663">
        <v>100</v>
      </c>
      <c r="G2663" s="142" t="s">
        <v>46</v>
      </c>
      <c r="H2663" s="142" t="s">
        <v>45</v>
      </c>
      <c r="I2663">
        <v>0</v>
      </c>
      <c r="J2663">
        <v>0</v>
      </c>
      <c r="K2663" s="142" t="s">
        <v>1674</v>
      </c>
      <c r="L2663">
        <v>58000</v>
      </c>
      <c r="M2663">
        <v>6.6765000000000002E-5</v>
      </c>
      <c r="N2663">
        <v>58000</v>
      </c>
      <c r="O2663">
        <v>2.9434E-5</v>
      </c>
    </row>
    <row r="2664" spans="1:15" x14ac:dyDescent="0.25">
      <c r="A2664" s="142" t="s">
        <v>2300</v>
      </c>
      <c r="B2664" s="142" t="s">
        <v>51</v>
      </c>
      <c r="C2664" s="142" t="s">
        <v>7</v>
      </c>
      <c r="D2664">
        <v>3300</v>
      </c>
      <c r="E2664">
        <v>11001</v>
      </c>
      <c r="F2664">
        <v>100</v>
      </c>
      <c r="G2664" s="142" t="s">
        <v>46</v>
      </c>
      <c r="H2664" s="142" t="s">
        <v>46</v>
      </c>
      <c r="I2664">
        <v>0</v>
      </c>
      <c r="J2664">
        <v>0</v>
      </c>
      <c r="K2664" s="142" t="s">
        <v>1674</v>
      </c>
      <c r="L2664">
        <v>57.997</v>
      </c>
      <c r="M2664">
        <v>1.6098E-6</v>
      </c>
      <c r="N2664">
        <v>57.997</v>
      </c>
      <c r="O2664">
        <v>1.5437999999999999E-6</v>
      </c>
    </row>
    <row r="2665" spans="1:15" x14ac:dyDescent="0.25">
      <c r="A2665" s="142" t="s">
        <v>2301</v>
      </c>
      <c r="B2665" s="142" t="s">
        <v>51</v>
      </c>
      <c r="C2665" s="142" t="s">
        <v>7</v>
      </c>
      <c r="D2665">
        <v>11000</v>
      </c>
      <c r="E2665">
        <v>33001</v>
      </c>
      <c r="F2665">
        <v>100</v>
      </c>
      <c r="G2665" s="142" t="s">
        <v>46</v>
      </c>
      <c r="H2665" s="142" t="s">
        <v>46</v>
      </c>
      <c r="I2665">
        <v>0</v>
      </c>
      <c r="J2665">
        <v>0</v>
      </c>
      <c r="K2665" s="142" t="s">
        <v>1674</v>
      </c>
      <c r="L2665">
        <v>57.978000000000002</v>
      </c>
      <c r="M2665">
        <v>6.2175000000000002E-6</v>
      </c>
      <c r="N2665">
        <v>57.978000000000002</v>
      </c>
      <c r="O2665">
        <v>6.1738000000000001E-6</v>
      </c>
    </row>
    <row r="2666" spans="1:15" x14ac:dyDescent="0.25">
      <c r="A2666" s="142" t="s">
        <v>2302</v>
      </c>
      <c r="B2666" s="142" t="s">
        <v>51</v>
      </c>
      <c r="C2666" s="142" t="s">
        <v>7</v>
      </c>
      <c r="D2666">
        <v>33000</v>
      </c>
      <c r="E2666">
        <v>110010</v>
      </c>
      <c r="F2666">
        <v>100</v>
      </c>
      <c r="G2666" s="142" t="s">
        <v>46</v>
      </c>
      <c r="H2666" s="142" t="s">
        <v>46</v>
      </c>
      <c r="I2666">
        <v>0</v>
      </c>
      <c r="J2666">
        <v>0</v>
      </c>
      <c r="K2666" s="142" t="s">
        <v>1674</v>
      </c>
      <c r="L2666">
        <v>57.521000000000001</v>
      </c>
      <c r="M2666">
        <v>2.2172999999999999E-5</v>
      </c>
      <c r="N2666">
        <v>57.521999999999998</v>
      </c>
      <c r="O2666">
        <v>2.2050999999999999E-5</v>
      </c>
    </row>
    <row r="2667" spans="1:15" x14ac:dyDescent="0.25">
      <c r="A2667" s="142" t="s">
        <v>2303</v>
      </c>
      <c r="B2667" s="142" t="s">
        <v>51</v>
      </c>
      <c r="C2667" s="142" t="s">
        <v>7</v>
      </c>
      <c r="D2667">
        <v>110000</v>
      </c>
      <c r="E2667">
        <v>330010</v>
      </c>
      <c r="F2667">
        <v>100</v>
      </c>
      <c r="G2667" s="142" t="s">
        <v>46</v>
      </c>
      <c r="H2667" s="142" t="s">
        <v>46</v>
      </c>
      <c r="I2667">
        <v>0</v>
      </c>
      <c r="J2667">
        <v>0</v>
      </c>
      <c r="K2667" s="142" t="s">
        <v>1674</v>
      </c>
      <c r="L2667">
        <v>55.026000000000003</v>
      </c>
      <c r="M2667">
        <v>8.0747999999999993E-5</v>
      </c>
      <c r="N2667">
        <v>55.024000000000001</v>
      </c>
      <c r="O2667">
        <v>8.0667000000000005E-5</v>
      </c>
    </row>
    <row r="2668" spans="1:15" x14ac:dyDescent="0.25">
      <c r="A2668" s="142" t="s">
        <v>2304</v>
      </c>
      <c r="B2668" s="142" t="s">
        <v>51</v>
      </c>
      <c r="C2668" s="142" t="s">
        <v>7</v>
      </c>
      <c r="D2668">
        <v>330000</v>
      </c>
      <c r="E2668">
        <v>1100010</v>
      </c>
      <c r="F2668">
        <v>100</v>
      </c>
      <c r="G2668" s="142" t="s">
        <v>46</v>
      </c>
      <c r="H2668" s="142" t="s">
        <v>46</v>
      </c>
      <c r="I2668">
        <v>0</v>
      </c>
      <c r="J2668">
        <v>0</v>
      </c>
      <c r="K2668" s="142" t="s">
        <v>1674</v>
      </c>
      <c r="L2668">
        <v>38.744</v>
      </c>
      <c r="M2668">
        <v>1.5613000000000001E-4</v>
      </c>
      <c r="N2668">
        <v>38.701999999999998</v>
      </c>
      <c r="O2668">
        <v>1.5610999999999999E-4</v>
      </c>
    </row>
    <row r="2669" spans="1:15" x14ac:dyDescent="0.25">
      <c r="A2669" s="142" t="s">
        <v>2305</v>
      </c>
      <c r="B2669" s="142" t="s">
        <v>51</v>
      </c>
      <c r="C2669" s="142" t="s">
        <v>7</v>
      </c>
      <c r="D2669">
        <v>1100000</v>
      </c>
      <c r="E2669">
        <v>3301000</v>
      </c>
      <c r="F2669">
        <v>100</v>
      </c>
      <c r="G2669" s="142" t="s">
        <v>46</v>
      </c>
      <c r="H2669" s="142" t="s">
        <v>47</v>
      </c>
      <c r="I2669">
        <v>0</v>
      </c>
      <c r="J2669">
        <v>0</v>
      </c>
      <c r="K2669" s="142" t="s">
        <v>1674</v>
      </c>
      <c r="L2669">
        <v>0.19</v>
      </c>
      <c r="M2669">
        <v>1.7214999999999999E-7</v>
      </c>
      <c r="N2669">
        <v>0.17910000000000001</v>
      </c>
      <c r="O2669">
        <v>1.7212999999999999E-7</v>
      </c>
    </row>
    <row r="2670" spans="1:15" x14ac:dyDescent="0.25">
      <c r="A2670" s="142" t="s">
        <v>2306</v>
      </c>
      <c r="B2670" s="142" t="s">
        <v>51</v>
      </c>
      <c r="C2670" s="142" t="s">
        <v>7</v>
      </c>
      <c r="D2670">
        <v>3300000</v>
      </c>
      <c r="E2670">
        <v>11001000</v>
      </c>
      <c r="F2670">
        <v>100</v>
      </c>
      <c r="G2670" s="142" t="s">
        <v>46</v>
      </c>
      <c r="H2670" s="142" t="s">
        <v>47</v>
      </c>
      <c r="I2670">
        <v>0</v>
      </c>
      <c r="J2670">
        <v>0</v>
      </c>
      <c r="K2670" s="142" t="s">
        <v>1674</v>
      </c>
      <c r="L2670">
        <v>0.33</v>
      </c>
      <c r="M2670">
        <v>6.8999999999999996E-7</v>
      </c>
      <c r="N2670">
        <v>0.29032999999999998</v>
      </c>
      <c r="O2670">
        <v>6.9271999999999997E-7</v>
      </c>
    </row>
    <row r="2671" spans="1:15" x14ac:dyDescent="0.25">
      <c r="A2671" s="142" t="s">
        <v>2307</v>
      </c>
      <c r="B2671" s="142" t="s">
        <v>51</v>
      </c>
      <c r="C2671" s="142" t="s">
        <v>7</v>
      </c>
      <c r="D2671">
        <v>11000000</v>
      </c>
      <c r="E2671">
        <v>33001000</v>
      </c>
      <c r="F2671">
        <v>100</v>
      </c>
      <c r="G2671" s="142" t="s">
        <v>46</v>
      </c>
      <c r="H2671" s="142" t="s">
        <v>47</v>
      </c>
      <c r="I2671">
        <v>0</v>
      </c>
      <c r="J2671">
        <v>0</v>
      </c>
      <c r="K2671" s="142" t="s">
        <v>1674</v>
      </c>
      <c r="L2671">
        <v>2.9</v>
      </c>
      <c r="M2671">
        <v>1.1999999999999999E-6</v>
      </c>
      <c r="N2671">
        <v>2.8873000000000002</v>
      </c>
      <c r="O2671">
        <v>1.1547999999999999E-6</v>
      </c>
    </row>
    <row r="2672" spans="1:15" x14ac:dyDescent="0.25">
      <c r="A2672" s="142" t="s">
        <v>2308</v>
      </c>
      <c r="B2672" s="142" t="s">
        <v>51</v>
      </c>
      <c r="C2672" s="142" t="s">
        <v>7</v>
      </c>
      <c r="D2672">
        <v>0</v>
      </c>
      <c r="E2672">
        <v>11.000999999999999</v>
      </c>
      <c r="F2672">
        <v>1000</v>
      </c>
      <c r="G2672" s="142" t="s">
        <v>46</v>
      </c>
      <c r="H2672" s="142" t="s">
        <v>45</v>
      </c>
      <c r="I2672">
        <v>0</v>
      </c>
      <c r="J2672">
        <v>0</v>
      </c>
      <c r="K2672" s="142" t="s">
        <v>1674</v>
      </c>
      <c r="L2672">
        <v>580000</v>
      </c>
      <c r="M2672">
        <v>1.7876E-5</v>
      </c>
      <c r="N2672">
        <v>580000</v>
      </c>
      <c r="O2672">
        <v>2.9434000000000001E-6</v>
      </c>
    </row>
    <row r="2673" spans="1:15" x14ac:dyDescent="0.25">
      <c r="A2673" s="142" t="s">
        <v>2309</v>
      </c>
      <c r="B2673" s="142" t="s">
        <v>51</v>
      </c>
      <c r="C2673" s="142" t="s">
        <v>7</v>
      </c>
      <c r="D2673">
        <v>33000</v>
      </c>
      <c r="E2673">
        <v>110010</v>
      </c>
      <c r="F2673">
        <v>1000</v>
      </c>
      <c r="G2673" s="142" t="s">
        <v>46</v>
      </c>
      <c r="H2673" s="142" t="s">
        <v>46</v>
      </c>
      <c r="I2673">
        <v>0</v>
      </c>
      <c r="J2673">
        <v>0</v>
      </c>
      <c r="K2673" s="142" t="s">
        <v>1674</v>
      </c>
      <c r="L2673">
        <v>579.95000000000005</v>
      </c>
      <c r="M2673">
        <v>2.2971E-6</v>
      </c>
      <c r="N2673">
        <v>579.95000000000005</v>
      </c>
      <c r="O2673">
        <v>2.2465E-6</v>
      </c>
    </row>
    <row r="2674" spans="1:15" x14ac:dyDescent="0.25">
      <c r="A2674" s="142" t="s">
        <v>2310</v>
      </c>
      <c r="B2674" s="142" t="s">
        <v>51</v>
      </c>
      <c r="C2674" s="142" t="s">
        <v>7</v>
      </c>
      <c r="D2674">
        <v>110000</v>
      </c>
      <c r="E2674">
        <v>330010</v>
      </c>
      <c r="F2674">
        <v>1000</v>
      </c>
      <c r="G2674" s="142" t="s">
        <v>46</v>
      </c>
      <c r="H2674" s="142" t="s">
        <v>46</v>
      </c>
      <c r="I2674">
        <v>0</v>
      </c>
      <c r="J2674">
        <v>0</v>
      </c>
      <c r="K2674" s="142" t="s">
        <v>1674</v>
      </c>
      <c r="L2674">
        <v>579.51</v>
      </c>
      <c r="M2674">
        <v>1.0142E-5</v>
      </c>
      <c r="N2674">
        <v>579.51</v>
      </c>
      <c r="O2674">
        <v>1.0091E-5</v>
      </c>
    </row>
    <row r="2675" spans="1:15" x14ac:dyDescent="0.25">
      <c r="A2675" s="142" t="s">
        <v>2311</v>
      </c>
      <c r="B2675" s="142" t="s">
        <v>51</v>
      </c>
      <c r="C2675" s="142" t="s">
        <v>7</v>
      </c>
      <c r="D2675">
        <v>330000</v>
      </c>
      <c r="E2675">
        <v>1100010</v>
      </c>
      <c r="F2675">
        <v>1000</v>
      </c>
      <c r="G2675" s="142" t="s">
        <v>46</v>
      </c>
      <c r="H2675" s="142" t="s">
        <v>46</v>
      </c>
      <c r="I2675">
        <v>0</v>
      </c>
      <c r="J2675">
        <v>0</v>
      </c>
      <c r="K2675" s="142" t="s">
        <v>1674</v>
      </c>
      <c r="L2675">
        <v>571.17999999999995</v>
      </c>
      <c r="M2675">
        <v>3.9240999999999999E-5</v>
      </c>
      <c r="N2675">
        <v>571.17999999999995</v>
      </c>
      <c r="O2675">
        <v>3.9165000000000002E-5</v>
      </c>
    </row>
    <row r="2676" spans="1:15" x14ac:dyDescent="0.25">
      <c r="A2676" s="142" t="s">
        <v>2312</v>
      </c>
      <c r="B2676" s="142" t="s">
        <v>51</v>
      </c>
      <c r="C2676" s="142" t="s">
        <v>7</v>
      </c>
      <c r="D2676">
        <v>1100000</v>
      </c>
      <c r="E2676">
        <v>3301000</v>
      </c>
      <c r="F2676">
        <v>1000</v>
      </c>
      <c r="G2676" s="142" t="s">
        <v>46</v>
      </c>
      <c r="H2676" s="142" t="s">
        <v>47</v>
      </c>
      <c r="I2676">
        <v>0</v>
      </c>
      <c r="J2676">
        <v>0</v>
      </c>
      <c r="K2676" s="142" t="s">
        <v>1674</v>
      </c>
      <c r="L2676">
        <v>0.55515999999999999</v>
      </c>
      <c r="M2676">
        <v>1.1804E-7</v>
      </c>
      <c r="N2676">
        <v>0.55501</v>
      </c>
      <c r="O2676">
        <v>1.1789000000000001E-7</v>
      </c>
    </row>
    <row r="2677" spans="1:15" x14ac:dyDescent="0.25">
      <c r="A2677" s="142" t="s">
        <v>2313</v>
      </c>
      <c r="B2677" s="142" t="s">
        <v>51</v>
      </c>
      <c r="C2677" s="142" t="s">
        <v>7</v>
      </c>
      <c r="D2677">
        <v>3300000</v>
      </c>
      <c r="E2677">
        <v>11001000</v>
      </c>
      <c r="F2677">
        <v>1000</v>
      </c>
      <c r="G2677" s="142" t="s">
        <v>46</v>
      </c>
      <c r="H2677" s="142" t="s">
        <v>47</v>
      </c>
      <c r="I2677">
        <v>0</v>
      </c>
      <c r="J2677">
        <v>0</v>
      </c>
      <c r="K2677" s="142" t="s">
        <v>1674</v>
      </c>
      <c r="L2677">
        <v>0.37289</v>
      </c>
      <c r="M2677">
        <v>6.8714999999999996E-7</v>
      </c>
      <c r="N2677">
        <v>0.37252000000000002</v>
      </c>
      <c r="O2677">
        <v>6.8716000000000002E-7</v>
      </c>
    </row>
    <row r="2678" spans="1:15" x14ac:dyDescent="0.25">
      <c r="A2678" s="142" t="s">
        <v>2314</v>
      </c>
      <c r="B2678" s="142" t="s">
        <v>51</v>
      </c>
      <c r="C2678" s="142" t="s">
        <v>7</v>
      </c>
      <c r="D2678">
        <v>11000000</v>
      </c>
      <c r="E2678">
        <v>33001000</v>
      </c>
      <c r="F2678">
        <v>1000</v>
      </c>
      <c r="G2678" s="142" t="s">
        <v>46</v>
      </c>
      <c r="H2678" s="142" t="s">
        <v>47</v>
      </c>
      <c r="I2678">
        <v>0</v>
      </c>
      <c r="J2678">
        <v>0</v>
      </c>
      <c r="K2678" s="142" t="s">
        <v>1674</v>
      </c>
      <c r="L2678">
        <v>2.9003999999999999</v>
      </c>
      <c r="M2678">
        <v>1.1544999999999999E-6</v>
      </c>
      <c r="N2678">
        <v>2.9</v>
      </c>
      <c r="O2678">
        <v>1.1544999999999999E-6</v>
      </c>
    </row>
    <row r="2679" spans="1:15" x14ac:dyDescent="0.25">
      <c r="A2679" s="142" t="s">
        <v>2315</v>
      </c>
      <c r="B2679" s="142" t="s">
        <v>51</v>
      </c>
      <c r="C2679" s="142" t="s">
        <v>7</v>
      </c>
      <c r="D2679">
        <v>33000000</v>
      </c>
      <c r="E2679">
        <v>110010000</v>
      </c>
      <c r="F2679">
        <v>1000</v>
      </c>
      <c r="G2679" s="142" t="s">
        <v>46</v>
      </c>
      <c r="H2679" s="142" t="s">
        <v>47</v>
      </c>
      <c r="I2679">
        <v>0</v>
      </c>
      <c r="J2679">
        <v>0</v>
      </c>
      <c r="K2679" s="142" t="s">
        <v>1674</v>
      </c>
      <c r="L2679">
        <v>3.5</v>
      </c>
      <c r="M2679">
        <v>5.8000000000000004E-6</v>
      </c>
      <c r="N2679">
        <v>3.4662999999999999</v>
      </c>
      <c r="O2679">
        <v>5.7734999999999999E-6</v>
      </c>
    </row>
    <row r="2680" spans="1:15" x14ac:dyDescent="0.25">
      <c r="A2680" s="142" t="s">
        <v>2316</v>
      </c>
      <c r="B2680" s="142" t="s">
        <v>51</v>
      </c>
      <c r="C2680" s="142" t="s">
        <v>7</v>
      </c>
      <c r="D2680">
        <v>110000000</v>
      </c>
      <c r="E2680">
        <v>330010000</v>
      </c>
      <c r="F2680">
        <v>1000</v>
      </c>
      <c r="G2680" s="142" t="s">
        <v>46</v>
      </c>
      <c r="H2680" s="142" t="s">
        <v>47</v>
      </c>
      <c r="I2680">
        <v>0</v>
      </c>
      <c r="J2680">
        <v>0</v>
      </c>
      <c r="K2680" s="142" t="s">
        <v>1674</v>
      </c>
      <c r="L2680">
        <v>120</v>
      </c>
      <c r="M2680">
        <v>5.8000000000000004E-6</v>
      </c>
      <c r="N2680">
        <v>115.47</v>
      </c>
      <c r="O2680">
        <v>5.7734999999999999E-6</v>
      </c>
    </row>
    <row r="2681" spans="1:15" x14ac:dyDescent="0.25">
      <c r="A2681" s="142" t="s">
        <v>2317</v>
      </c>
      <c r="B2681" s="142" t="s">
        <v>51</v>
      </c>
      <c r="C2681" s="142" t="s">
        <v>7</v>
      </c>
      <c r="D2681">
        <v>0</v>
      </c>
      <c r="E2681">
        <v>11.000999999999999</v>
      </c>
      <c r="F2681">
        <v>10000</v>
      </c>
      <c r="G2681" s="142" t="s">
        <v>46</v>
      </c>
      <c r="H2681" s="142" t="s">
        <v>45</v>
      </c>
      <c r="I2681">
        <v>0</v>
      </c>
      <c r="J2681">
        <v>0</v>
      </c>
      <c r="K2681" s="142" t="s">
        <v>1674</v>
      </c>
      <c r="L2681">
        <v>5800000</v>
      </c>
      <c r="M2681">
        <v>6.2674000000000003E-6</v>
      </c>
      <c r="N2681">
        <v>5800000</v>
      </c>
      <c r="O2681">
        <v>2.9434999999999999E-7</v>
      </c>
    </row>
    <row r="2682" spans="1:15" x14ac:dyDescent="0.25">
      <c r="A2682" s="142" t="s">
        <v>2318</v>
      </c>
      <c r="B2682" s="142" t="s">
        <v>51</v>
      </c>
      <c r="C2682" s="142" t="s">
        <v>7</v>
      </c>
      <c r="D2682">
        <v>330000</v>
      </c>
      <c r="E2682">
        <v>1100010</v>
      </c>
      <c r="F2682">
        <v>10000</v>
      </c>
      <c r="G2682" s="142" t="s">
        <v>46</v>
      </c>
      <c r="H2682" s="142" t="s">
        <v>46</v>
      </c>
      <c r="I2682">
        <v>0</v>
      </c>
      <c r="J2682">
        <v>0</v>
      </c>
      <c r="K2682" s="142" t="s">
        <v>1674</v>
      </c>
      <c r="L2682">
        <v>5799.1</v>
      </c>
      <c r="M2682">
        <v>4.0775999999999997E-6</v>
      </c>
      <c r="N2682">
        <v>5799.1</v>
      </c>
      <c r="O2682">
        <v>4.0446000000000002E-6</v>
      </c>
    </row>
    <row r="2683" spans="1:15" x14ac:dyDescent="0.25">
      <c r="A2683" s="142" t="s">
        <v>2319</v>
      </c>
      <c r="B2683" s="142" t="s">
        <v>51</v>
      </c>
      <c r="C2683" s="142" t="s">
        <v>7</v>
      </c>
      <c r="D2683">
        <v>1100000</v>
      </c>
      <c r="E2683">
        <v>3301000</v>
      </c>
      <c r="F2683">
        <v>10000</v>
      </c>
      <c r="G2683" s="142" t="s">
        <v>46</v>
      </c>
      <c r="H2683" s="142" t="s">
        <v>47</v>
      </c>
      <c r="I2683">
        <v>0</v>
      </c>
      <c r="J2683">
        <v>0</v>
      </c>
      <c r="K2683" s="142" t="s">
        <v>1674</v>
      </c>
      <c r="L2683">
        <v>5.7933000000000003</v>
      </c>
      <c r="M2683">
        <v>1.6590000000000002E-8</v>
      </c>
      <c r="N2683">
        <v>5.7933000000000003</v>
      </c>
      <c r="O2683">
        <v>1.6469E-8</v>
      </c>
    </row>
    <row r="2684" spans="1:15" x14ac:dyDescent="0.25">
      <c r="A2684" s="142" t="s">
        <v>2320</v>
      </c>
      <c r="B2684" s="142" t="s">
        <v>51</v>
      </c>
      <c r="C2684" s="142" t="s">
        <v>7</v>
      </c>
      <c r="D2684">
        <v>3300000</v>
      </c>
      <c r="E2684">
        <v>11001000</v>
      </c>
      <c r="F2684">
        <v>10000</v>
      </c>
      <c r="G2684" s="142" t="s">
        <v>46</v>
      </c>
      <c r="H2684" s="142" t="s">
        <v>47</v>
      </c>
      <c r="I2684">
        <v>0</v>
      </c>
      <c r="J2684">
        <v>0</v>
      </c>
      <c r="K2684" s="142" t="s">
        <v>1674</v>
      </c>
      <c r="L2684">
        <v>4.8625999999999996</v>
      </c>
      <c r="M2684">
        <v>4.4971999999999998E-7</v>
      </c>
      <c r="N2684">
        <v>4.8623000000000003</v>
      </c>
      <c r="O2684">
        <v>4.4966000000000002E-7</v>
      </c>
    </row>
    <row r="2685" spans="1:15" x14ac:dyDescent="0.25">
      <c r="A2685" s="142" t="s">
        <v>2321</v>
      </c>
      <c r="B2685" s="142" t="s">
        <v>51</v>
      </c>
      <c r="C2685" s="142" t="s">
        <v>7</v>
      </c>
      <c r="D2685">
        <v>11000000</v>
      </c>
      <c r="E2685">
        <v>33001000</v>
      </c>
      <c r="F2685">
        <v>10000</v>
      </c>
      <c r="G2685" s="142" t="s">
        <v>46</v>
      </c>
      <c r="H2685" s="142" t="s">
        <v>47</v>
      </c>
      <c r="I2685">
        <v>0</v>
      </c>
      <c r="J2685">
        <v>0</v>
      </c>
      <c r="K2685" s="142" t="s">
        <v>1674</v>
      </c>
      <c r="L2685">
        <v>4.2484000000000002</v>
      </c>
      <c r="M2685">
        <v>1.1259000000000001E-6</v>
      </c>
      <c r="N2685">
        <v>4.2477999999999998</v>
      </c>
      <c r="O2685">
        <v>1.1259000000000001E-6</v>
      </c>
    </row>
    <row r="2686" spans="1:15" x14ac:dyDescent="0.25">
      <c r="A2686" s="142" t="s">
        <v>2322</v>
      </c>
      <c r="B2686" s="142" t="s">
        <v>51</v>
      </c>
      <c r="C2686" s="142" t="s">
        <v>7</v>
      </c>
      <c r="D2686">
        <v>33000000</v>
      </c>
      <c r="E2686">
        <v>110010000</v>
      </c>
      <c r="F2686">
        <v>10000</v>
      </c>
      <c r="G2686" s="142" t="s">
        <v>46</v>
      </c>
      <c r="H2686" s="142" t="s">
        <v>47</v>
      </c>
      <c r="I2686">
        <v>0</v>
      </c>
      <c r="J2686">
        <v>0</v>
      </c>
      <c r="K2686" s="142" t="s">
        <v>1674</v>
      </c>
      <c r="L2686">
        <v>3.5802999999999998</v>
      </c>
      <c r="M2686">
        <v>5.7726999999999998E-6</v>
      </c>
      <c r="N2686">
        <v>3.5792000000000002</v>
      </c>
      <c r="O2686">
        <v>5.7726999999999998E-6</v>
      </c>
    </row>
    <row r="2687" spans="1:15" x14ac:dyDescent="0.25">
      <c r="A2687" s="142" t="s">
        <v>2323</v>
      </c>
      <c r="B2687" s="142" t="s">
        <v>51</v>
      </c>
      <c r="C2687" s="142" t="s">
        <v>7</v>
      </c>
      <c r="D2687">
        <v>110000000</v>
      </c>
      <c r="E2687">
        <v>330010000</v>
      </c>
      <c r="F2687">
        <v>10000</v>
      </c>
      <c r="G2687" s="142" t="s">
        <v>46</v>
      </c>
      <c r="H2687" s="142" t="s">
        <v>47</v>
      </c>
      <c r="I2687">
        <v>0</v>
      </c>
      <c r="J2687">
        <v>0</v>
      </c>
      <c r="K2687" s="142" t="s">
        <v>1674</v>
      </c>
      <c r="L2687">
        <v>120</v>
      </c>
      <c r="M2687">
        <v>5.7733999999999996E-6</v>
      </c>
      <c r="N2687">
        <v>115.52</v>
      </c>
      <c r="O2687">
        <v>5.7733999999999996E-6</v>
      </c>
    </row>
    <row r="2688" spans="1:15" x14ac:dyDescent="0.25">
      <c r="A2688" s="142" t="s">
        <v>2826</v>
      </c>
      <c r="B2688" s="142" t="s">
        <v>51</v>
      </c>
      <c r="C2688" s="142" t="s">
        <v>7</v>
      </c>
      <c r="D2688">
        <v>330000000</v>
      </c>
      <c r="E2688">
        <v>1000000000</v>
      </c>
      <c r="F2688">
        <v>10000</v>
      </c>
      <c r="G2688" s="142" t="s">
        <v>46</v>
      </c>
      <c r="H2688" s="142" t="s">
        <v>47</v>
      </c>
      <c r="I2688">
        <v>0</v>
      </c>
      <c r="J2688">
        <v>0</v>
      </c>
      <c r="K2688" s="142" t="s">
        <v>1674</v>
      </c>
      <c r="L2688">
        <v>930</v>
      </c>
      <c r="M2688">
        <v>1.7E-5</v>
      </c>
      <c r="N2688">
        <v>577.19000000000005</v>
      </c>
      <c r="O2688">
        <v>1.7320999999999999E-5</v>
      </c>
    </row>
    <row r="2689" spans="1:15" x14ac:dyDescent="0.25">
      <c r="A2689" s="142" t="s">
        <v>2324</v>
      </c>
      <c r="B2689" s="142" t="s">
        <v>51</v>
      </c>
      <c r="C2689" s="142" t="s">
        <v>7</v>
      </c>
      <c r="D2689">
        <v>0</v>
      </c>
      <c r="E2689">
        <v>11.000999999999999</v>
      </c>
      <c r="F2689">
        <v>100000</v>
      </c>
      <c r="G2689" s="142" t="s">
        <v>46</v>
      </c>
      <c r="H2689" s="142" t="s">
        <v>45</v>
      </c>
      <c r="I2689">
        <v>0</v>
      </c>
      <c r="J2689">
        <v>0</v>
      </c>
      <c r="K2689" s="142" t="s">
        <v>1674</v>
      </c>
      <c r="L2689">
        <v>58000000</v>
      </c>
      <c r="M2689">
        <v>2.4177000000000002E-6</v>
      </c>
      <c r="N2689">
        <v>58000000</v>
      </c>
      <c r="O2689">
        <v>2.9391999999999999E-8</v>
      </c>
    </row>
    <row r="2690" spans="1:15" x14ac:dyDescent="0.25">
      <c r="A2690" s="142" t="s">
        <v>2325</v>
      </c>
      <c r="B2690" s="142" t="s">
        <v>51</v>
      </c>
      <c r="C2690" s="142" t="s">
        <v>7</v>
      </c>
      <c r="D2690">
        <v>3300000</v>
      </c>
      <c r="E2690">
        <v>11001000</v>
      </c>
      <c r="F2690">
        <v>100000</v>
      </c>
      <c r="G2690" s="142" t="s">
        <v>46</v>
      </c>
      <c r="H2690" s="142" t="s">
        <v>47</v>
      </c>
      <c r="I2690">
        <v>0</v>
      </c>
      <c r="J2690">
        <v>0</v>
      </c>
      <c r="K2690" s="142" t="s">
        <v>1674</v>
      </c>
      <c r="L2690">
        <v>57.851999999999997</v>
      </c>
      <c r="M2690">
        <v>6.2356000000000006E-8</v>
      </c>
      <c r="N2690">
        <v>57.851999999999997</v>
      </c>
      <c r="O2690">
        <v>6.2304E-8</v>
      </c>
    </row>
    <row r="2691" spans="1:15" x14ac:dyDescent="0.25">
      <c r="A2691" s="142" t="s">
        <v>2326</v>
      </c>
      <c r="B2691" s="142" t="s">
        <v>51</v>
      </c>
      <c r="C2691" s="142" t="s">
        <v>7</v>
      </c>
      <c r="D2691">
        <v>11000000</v>
      </c>
      <c r="E2691">
        <v>33001000</v>
      </c>
      <c r="F2691">
        <v>100000</v>
      </c>
      <c r="G2691" s="142" t="s">
        <v>46</v>
      </c>
      <c r="H2691" s="142" t="s">
        <v>47</v>
      </c>
      <c r="I2691">
        <v>0</v>
      </c>
      <c r="J2691">
        <v>0</v>
      </c>
      <c r="K2691" s="142" t="s">
        <v>1674</v>
      </c>
      <c r="L2691">
        <v>54.575000000000003</v>
      </c>
      <c r="M2691">
        <v>4.9851999999999999E-7</v>
      </c>
      <c r="N2691">
        <v>54.575000000000003</v>
      </c>
      <c r="O2691">
        <v>4.9846000000000003E-7</v>
      </c>
    </row>
    <row r="2692" spans="1:15" x14ac:dyDescent="0.25">
      <c r="A2692" s="142" t="s">
        <v>2327</v>
      </c>
      <c r="B2692" s="142" t="s">
        <v>51</v>
      </c>
      <c r="C2692" s="142" t="s">
        <v>7</v>
      </c>
      <c r="D2692">
        <v>33000000</v>
      </c>
      <c r="E2692">
        <v>110010000</v>
      </c>
      <c r="F2692">
        <v>100000</v>
      </c>
      <c r="G2692" s="142" t="s">
        <v>46</v>
      </c>
      <c r="H2692" s="142" t="s">
        <v>47</v>
      </c>
      <c r="I2692">
        <v>0</v>
      </c>
      <c r="J2692">
        <v>0</v>
      </c>
      <c r="K2692" s="142" t="s">
        <v>1674</v>
      </c>
      <c r="L2692">
        <v>14.462999999999999</v>
      </c>
      <c r="M2692">
        <v>5.6975000000000001E-6</v>
      </c>
      <c r="N2692">
        <v>14.465</v>
      </c>
      <c r="O2692">
        <v>5.6973999999999999E-6</v>
      </c>
    </row>
    <row r="2693" spans="1:15" x14ac:dyDescent="0.25">
      <c r="A2693" s="142" t="s">
        <v>2328</v>
      </c>
      <c r="B2693" s="142" t="s">
        <v>51</v>
      </c>
      <c r="C2693" s="142" t="s">
        <v>7</v>
      </c>
      <c r="D2693">
        <v>110000000</v>
      </c>
      <c r="E2693">
        <v>330010000</v>
      </c>
      <c r="F2693">
        <v>100000</v>
      </c>
      <c r="G2693" s="142" t="s">
        <v>46</v>
      </c>
      <c r="H2693" s="142" t="s">
        <v>47</v>
      </c>
      <c r="I2693">
        <v>0</v>
      </c>
      <c r="J2693">
        <v>0</v>
      </c>
      <c r="K2693" s="142" t="s">
        <v>1674</v>
      </c>
      <c r="L2693">
        <v>120</v>
      </c>
      <c r="M2693">
        <v>5.7671000000000002E-6</v>
      </c>
      <c r="N2693">
        <v>118.42</v>
      </c>
      <c r="O2693">
        <v>5.7671000000000002E-6</v>
      </c>
    </row>
    <row r="2694" spans="1:15" x14ac:dyDescent="0.25">
      <c r="A2694" s="142" t="s">
        <v>2827</v>
      </c>
      <c r="B2694" s="142" t="s">
        <v>51</v>
      </c>
      <c r="C2694" s="142" t="s">
        <v>7</v>
      </c>
      <c r="D2694">
        <v>330000000</v>
      </c>
      <c r="E2694">
        <v>1000000000</v>
      </c>
      <c r="F2694">
        <v>100000</v>
      </c>
      <c r="G2694" s="142" t="s">
        <v>46</v>
      </c>
      <c r="H2694" s="142" t="s">
        <v>47</v>
      </c>
      <c r="I2694">
        <v>0</v>
      </c>
      <c r="J2694">
        <v>0</v>
      </c>
      <c r="K2694" s="142" t="s">
        <v>1674</v>
      </c>
      <c r="L2694">
        <v>930</v>
      </c>
      <c r="M2694">
        <v>1.732E-5</v>
      </c>
      <c r="N2694">
        <v>578</v>
      </c>
      <c r="O2694">
        <v>1.732E-5</v>
      </c>
    </row>
    <row r="2695" spans="1:15" x14ac:dyDescent="0.25">
      <c r="A2695" s="142" t="s">
        <v>2329</v>
      </c>
      <c r="B2695" s="142" t="s">
        <v>51</v>
      </c>
      <c r="C2695" s="142" t="s">
        <v>7</v>
      </c>
      <c r="D2695">
        <v>0</v>
      </c>
      <c r="E2695">
        <v>11.000999999999999</v>
      </c>
      <c r="F2695">
        <v>1000000</v>
      </c>
      <c r="G2695" s="142" t="s">
        <v>46</v>
      </c>
      <c r="H2695" s="142" t="s">
        <v>45</v>
      </c>
      <c r="I2695">
        <v>0</v>
      </c>
      <c r="J2695">
        <v>0</v>
      </c>
      <c r="K2695" s="142" t="s">
        <v>1674</v>
      </c>
      <c r="L2695">
        <v>580000000</v>
      </c>
      <c r="M2695">
        <v>9.5148999999999995E-7</v>
      </c>
      <c r="N2695">
        <v>580000000</v>
      </c>
      <c r="O2695">
        <v>0</v>
      </c>
    </row>
    <row r="2696" spans="1:15" x14ac:dyDescent="0.25">
      <c r="A2696" s="142" t="s">
        <v>2330</v>
      </c>
      <c r="B2696" s="142" t="s">
        <v>51</v>
      </c>
      <c r="C2696" s="142" t="s">
        <v>7</v>
      </c>
      <c r="D2696">
        <v>33000000</v>
      </c>
      <c r="E2696">
        <v>110010000</v>
      </c>
      <c r="F2696">
        <v>1000000</v>
      </c>
      <c r="G2696" s="142" t="s">
        <v>46</v>
      </c>
      <c r="H2696" s="142" t="s">
        <v>47</v>
      </c>
      <c r="I2696">
        <v>0</v>
      </c>
      <c r="J2696">
        <v>0</v>
      </c>
      <c r="K2696" s="142" t="s">
        <v>1674</v>
      </c>
      <c r="L2696">
        <v>503.99</v>
      </c>
      <c r="M2696">
        <v>3.2606000000000002E-6</v>
      </c>
      <c r="N2696">
        <v>503.99</v>
      </c>
      <c r="O2696">
        <v>3.2605E-6</v>
      </c>
    </row>
    <row r="2697" spans="1:15" x14ac:dyDescent="0.25">
      <c r="A2697" s="142" t="s">
        <v>2331</v>
      </c>
      <c r="B2697" s="142" t="s">
        <v>51</v>
      </c>
      <c r="C2697" s="142" t="s">
        <v>7</v>
      </c>
      <c r="D2697">
        <v>110000000</v>
      </c>
      <c r="E2697">
        <v>330010000</v>
      </c>
      <c r="F2697">
        <v>1000000</v>
      </c>
      <c r="G2697" s="142" t="s">
        <v>46</v>
      </c>
      <c r="H2697" s="142" t="s">
        <v>47</v>
      </c>
      <c r="I2697">
        <v>0</v>
      </c>
      <c r="J2697">
        <v>0</v>
      </c>
      <c r="K2697" s="142" t="s">
        <v>1674</v>
      </c>
      <c r="L2697">
        <v>371.66</v>
      </c>
      <c r="M2697">
        <v>5.2445000000000004E-6</v>
      </c>
      <c r="N2697">
        <v>371.67</v>
      </c>
      <c r="O2697">
        <v>5.2444000000000001E-6</v>
      </c>
    </row>
    <row r="2698" spans="1:15" x14ac:dyDescent="0.25">
      <c r="A2698" s="142" t="s">
        <v>2828</v>
      </c>
      <c r="B2698" s="142" t="s">
        <v>51</v>
      </c>
      <c r="C2698" s="142" t="s">
        <v>7</v>
      </c>
      <c r="D2698">
        <v>330000000</v>
      </c>
      <c r="E2698">
        <v>1000000000</v>
      </c>
      <c r="F2698">
        <v>1000000</v>
      </c>
      <c r="G2698" s="142" t="s">
        <v>46</v>
      </c>
      <c r="H2698" s="142" t="s">
        <v>47</v>
      </c>
      <c r="I2698">
        <v>0</v>
      </c>
      <c r="J2698">
        <v>0</v>
      </c>
      <c r="K2698" s="142" t="s">
        <v>1674</v>
      </c>
      <c r="L2698">
        <v>930</v>
      </c>
      <c r="M2698">
        <v>1.7297000000000001E-5</v>
      </c>
      <c r="N2698">
        <v>611.79</v>
      </c>
      <c r="O2698">
        <v>1.7297000000000001E-5</v>
      </c>
    </row>
    <row r="2699" spans="1:15" x14ac:dyDescent="0.25">
      <c r="A2699" s="142" t="s">
        <v>2332</v>
      </c>
      <c r="B2699" s="142" t="s">
        <v>51</v>
      </c>
      <c r="C2699" s="142" t="s">
        <v>7</v>
      </c>
      <c r="D2699">
        <v>0</v>
      </c>
      <c r="E2699">
        <v>11.000999999999999</v>
      </c>
      <c r="F2699">
        <v>10000000</v>
      </c>
      <c r="G2699" s="142" t="s">
        <v>46</v>
      </c>
      <c r="H2699" s="142" t="s">
        <v>45</v>
      </c>
      <c r="I2699">
        <v>0</v>
      </c>
      <c r="J2699">
        <v>0</v>
      </c>
      <c r="K2699" s="142" t="s">
        <v>1674</v>
      </c>
      <c r="L2699">
        <v>5800000000</v>
      </c>
      <c r="M2699">
        <v>0</v>
      </c>
      <c r="N2699">
        <v>5800000000</v>
      </c>
      <c r="O2699">
        <v>0</v>
      </c>
    </row>
    <row r="2700" spans="1:15" x14ac:dyDescent="0.25">
      <c r="A2700" s="142" t="s">
        <v>2829</v>
      </c>
      <c r="B2700" s="142" t="s">
        <v>51</v>
      </c>
      <c r="C2700" s="142" t="s">
        <v>7</v>
      </c>
      <c r="D2700">
        <v>330000000</v>
      </c>
      <c r="E2700">
        <v>1000000000</v>
      </c>
      <c r="F2700">
        <v>10000000</v>
      </c>
      <c r="G2700" s="142" t="s">
        <v>46</v>
      </c>
      <c r="H2700" s="142" t="s">
        <v>47</v>
      </c>
      <c r="I2700">
        <v>0</v>
      </c>
      <c r="J2700">
        <v>0</v>
      </c>
      <c r="K2700" s="142" t="s">
        <v>1674</v>
      </c>
      <c r="L2700">
        <v>3454.2</v>
      </c>
      <c r="M2700">
        <v>1.5468000000000002E-5</v>
      </c>
      <c r="N2700">
        <v>3454.1</v>
      </c>
      <c r="O2700">
        <v>1.5468000000000002E-5</v>
      </c>
    </row>
    <row r="2701" spans="1:15" x14ac:dyDescent="0.25">
      <c r="A2701" s="142" t="s">
        <v>3021</v>
      </c>
      <c r="B2701" s="142" t="s">
        <v>2830</v>
      </c>
      <c r="C2701" s="142" t="s">
        <v>44</v>
      </c>
      <c r="D2701">
        <v>1.0000000000000001E-5</v>
      </c>
      <c r="E2701">
        <v>1.0399999999999999E-4</v>
      </c>
      <c r="F2701">
        <v>1.0000000000000001E-9</v>
      </c>
      <c r="G2701" s="142" t="s">
        <v>13</v>
      </c>
      <c r="H2701" s="142" t="s">
        <v>11</v>
      </c>
      <c r="I2701">
        <v>0.01</v>
      </c>
      <c r="J2701">
        <v>2</v>
      </c>
      <c r="K2701" s="142" t="s">
        <v>10</v>
      </c>
      <c r="L2701">
        <v>0.47</v>
      </c>
      <c r="M2701">
        <v>1200</v>
      </c>
      <c r="N2701">
        <v>0.46304000000000001</v>
      </c>
      <c r="O2701">
        <v>1233.9000000000001</v>
      </c>
    </row>
    <row r="2702" spans="1:15" x14ac:dyDescent="0.25">
      <c r="A2702" s="142" t="s">
        <v>3022</v>
      </c>
      <c r="B2702" s="142" t="s">
        <v>2830</v>
      </c>
      <c r="C2702" s="142" t="s">
        <v>44</v>
      </c>
      <c r="D2702">
        <v>1.0000000000000001E-5</v>
      </c>
      <c r="E2702">
        <v>1.0399999999999999E-4</v>
      </c>
      <c r="F2702">
        <v>1E-8</v>
      </c>
      <c r="G2702" s="142" t="s">
        <v>13</v>
      </c>
      <c r="H2702" s="142" t="s">
        <v>11</v>
      </c>
      <c r="I2702">
        <v>0.01</v>
      </c>
      <c r="J2702">
        <v>2</v>
      </c>
      <c r="K2702" s="142" t="s">
        <v>10</v>
      </c>
      <c r="L2702">
        <v>0.47</v>
      </c>
      <c r="M2702">
        <v>1234</v>
      </c>
      <c r="N2702">
        <v>0.46307999999999999</v>
      </c>
      <c r="O2702">
        <v>1233.9000000000001</v>
      </c>
    </row>
    <row r="2703" spans="1:15" x14ac:dyDescent="0.25">
      <c r="A2703" s="142" t="s">
        <v>3023</v>
      </c>
      <c r="B2703" s="142" t="s">
        <v>2830</v>
      </c>
      <c r="C2703" s="142" t="s">
        <v>44</v>
      </c>
      <c r="D2703">
        <v>1E-4</v>
      </c>
      <c r="E2703">
        <v>1.0399999999999999E-3</v>
      </c>
      <c r="F2703">
        <v>1E-8</v>
      </c>
      <c r="G2703" s="142" t="s">
        <v>13</v>
      </c>
      <c r="H2703" s="142" t="s">
        <v>11</v>
      </c>
      <c r="I2703">
        <v>0.01</v>
      </c>
      <c r="J2703">
        <v>2</v>
      </c>
      <c r="K2703" s="142" t="s">
        <v>10</v>
      </c>
      <c r="L2703">
        <v>0.97</v>
      </c>
      <c r="M2703">
        <v>1200</v>
      </c>
      <c r="N2703">
        <v>0.96530000000000005</v>
      </c>
      <c r="O2703">
        <v>1192.0999999999999</v>
      </c>
    </row>
    <row r="2704" spans="1:15" x14ac:dyDescent="0.25">
      <c r="A2704" s="142" t="s">
        <v>3024</v>
      </c>
      <c r="B2704" s="142" t="s">
        <v>2830</v>
      </c>
      <c r="C2704" s="142" t="s">
        <v>44</v>
      </c>
      <c r="D2704">
        <v>1.0000000000000001E-5</v>
      </c>
      <c r="E2704">
        <v>1.0399999999999999E-4</v>
      </c>
      <c r="F2704">
        <v>9.9999999999999995E-8</v>
      </c>
      <c r="G2704" s="142" t="s">
        <v>13</v>
      </c>
      <c r="H2704" s="142" t="s">
        <v>11</v>
      </c>
      <c r="I2704">
        <v>0.01</v>
      </c>
      <c r="J2704">
        <v>2</v>
      </c>
      <c r="K2704" s="142" t="s">
        <v>10</v>
      </c>
      <c r="L2704">
        <v>0.47</v>
      </c>
      <c r="M2704">
        <v>1227.5</v>
      </c>
      <c r="N2704">
        <v>0.46660000000000001</v>
      </c>
      <c r="O2704">
        <v>1227</v>
      </c>
    </row>
    <row r="2705" spans="1:15" x14ac:dyDescent="0.25">
      <c r="A2705" s="142" t="s">
        <v>3025</v>
      </c>
      <c r="B2705" s="142" t="s">
        <v>2830</v>
      </c>
      <c r="C2705" s="142" t="s">
        <v>44</v>
      </c>
      <c r="D2705">
        <v>1E-4</v>
      </c>
      <c r="E2705">
        <v>1.0399999999999999E-3</v>
      </c>
      <c r="F2705">
        <v>9.9999999999999995E-8</v>
      </c>
      <c r="G2705" s="142" t="s">
        <v>13</v>
      </c>
      <c r="H2705" s="142" t="s">
        <v>11</v>
      </c>
      <c r="I2705">
        <v>0.01</v>
      </c>
      <c r="J2705">
        <v>2</v>
      </c>
      <c r="K2705" s="142" t="s">
        <v>10</v>
      </c>
      <c r="L2705">
        <v>0.97</v>
      </c>
      <c r="M2705">
        <v>1191.5</v>
      </c>
      <c r="N2705">
        <v>0.96691000000000005</v>
      </c>
      <c r="O2705">
        <v>1191.3</v>
      </c>
    </row>
    <row r="2706" spans="1:15" x14ac:dyDescent="0.25">
      <c r="A2706" s="142" t="s">
        <v>3026</v>
      </c>
      <c r="B2706" s="142" t="s">
        <v>2830</v>
      </c>
      <c r="C2706" s="142" t="s">
        <v>44</v>
      </c>
      <c r="D2706">
        <v>1E-3</v>
      </c>
      <c r="E2706">
        <v>1.04E-2</v>
      </c>
      <c r="F2706">
        <v>9.9999999999999995E-8</v>
      </c>
      <c r="G2706" s="142" t="s">
        <v>13</v>
      </c>
      <c r="H2706" s="142" t="s">
        <v>11</v>
      </c>
      <c r="I2706">
        <v>0.01</v>
      </c>
      <c r="J2706">
        <v>2</v>
      </c>
      <c r="K2706" s="142" t="s">
        <v>10</v>
      </c>
      <c r="L2706">
        <v>9.6999999999999993</v>
      </c>
      <c r="M2706">
        <v>1200</v>
      </c>
      <c r="N2706">
        <v>9.6530000000000005</v>
      </c>
      <c r="O2706">
        <v>1192.0999999999999</v>
      </c>
    </row>
    <row r="2707" spans="1:15" x14ac:dyDescent="0.25">
      <c r="A2707" s="142" t="s">
        <v>3027</v>
      </c>
      <c r="B2707" s="142" t="s">
        <v>2830</v>
      </c>
      <c r="C2707" s="142" t="s">
        <v>44</v>
      </c>
      <c r="D2707">
        <v>1.0000000000000001E-5</v>
      </c>
      <c r="E2707">
        <v>1.0399999999999999E-4</v>
      </c>
      <c r="F2707">
        <v>9.9999999999999995E-7</v>
      </c>
      <c r="G2707" s="142" t="s">
        <v>13</v>
      </c>
      <c r="H2707" s="142" t="s">
        <v>11</v>
      </c>
      <c r="I2707">
        <v>0.01</v>
      </c>
      <c r="J2707">
        <v>2</v>
      </c>
      <c r="K2707" s="142" t="s">
        <v>10</v>
      </c>
      <c r="L2707">
        <v>0.73980999999999997</v>
      </c>
      <c r="M2707">
        <v>857.29</v>
      </c>
      <c r="N2707">
        <v>0.73978999999999995</v>
      </c>
      <c r="O2707">
        <v>855.77</v>
      </c>
    </row>
    <row r="2708" spans="1:15" x14ac:dyDescent="0.25">
      <c r="A2708" s="142" t="s">
        <v>3028</v>
      </c>
      <c r="B2708" s="142" t="s">
        <v>2830</v>
      </c>
      <c r="C2708" s="142" t="s">
        <v>44</v>
      </c>
      <c r="D2708">
        <v>1E-4</v>
      </c>
      <c r="E2708">
        <v>1.0399999999999999E-3</v>
      </c>
      <c r="F2708">
        <v>9.9999999999999995E-7</v>
      </c>
      <c r="G2708" s="142" t="s">
        <v>13</v>
      </c>
      <c r="H2708" s="142" t="s">
        <v>11</v>
      </c>
      <c r="I2708">
        <v>0.01</v>
      </c>
      <c r="J2708">
        <v>2</v>
      </c>
      <c r="K2708" s="142" t="s">
        <v>10</v>
      </c>
      <c r="L2708">
        <v>1.1172</v>
      </c>
      <c r="M2708">
        <v>1119.7</v>
      </c>
      <c r="N2708">
        <v>1.1168</v>
      </c>
      <c r="O2708">
        <v>1118.5999999999999</v>
      </c>
    </row>
    <row r="2709" spans="1:15" x14ac:dyDescent="0.25">
      <c r="A2709" s="142" t="s">
        <v>3029</v>
      </c>
      <c r="B2709" s="142" t="s">
        <v>2830</v>
      </c>
      <c r="C2709" s="142" t="s">
        <v>44</v>
      </c>
      <c r="D2709">
        <v>1E-3</v>
      </c>
      <c r="E2709">
        <v>1.04E-2</v>
      </c>
      <c r="F2709">
        <v>9.9999999999999995E-7</v>
      </c>
      <c r="G2709" s="142" t="s">
        <v>13</v>
      </c>
      <c r="H2709" s="142" t="s">
        <v>11</v>
      </c>
      <c r="I2709">
        <v>0.01</v>
      </c>
      <c r="J2709">
        <v>2</v>
      </c>
      <c r="K2709" s="142" t="s">
        <v>10</v>
      </c>
      <c r="L2709">
        <v>9.6999999999999993</v>
      </c>
      <c r="M2709">
        <v>1191.5</v>
      </c>
      <c r="N2709">
        <v>9.6691000000000003</v>
      </c>
      <c r="O2709">
        <v>1191.3</v>
      </c>
    </row>
    <row r="2710" spans="1:15" x14ac:dyDescent="0.25">
      <c r="A2710" s="142" t="s">
        <v>3030</v>
      </c>
      <c r="B2710" s="142" t="s">
        <v>2830</v>
      </c>
      <c r="C2710" s="142" t="s">
        <v>44</v>
      </c>
      <c r="D2710">
        <v>0.01</v>
      </c>
      <c r="E2710">
        <v>0.104</v>
      </c>
      <c r="F2710">
        <v>9.9999999999999995E-7</v>
      </c>
      <c r="G2710" s="142" t="s">
        <v>13</v>
      </c>
      <c r="H2710" s="142" t="s">
        <v>11</v>
      </c>
      <c r="I2710">
        <v>0.01</v>
      </c>
      <c r="J2710">
        <v>2</v>
      </c>
      <c r="K2710" s="142" t="s">
        <v>10</v>
      </c>
      <c r="L2710">
        <v>97</v>
      </c>
      <c r="M2710">
        <v>1200</v>
      </c>
      <c r="N2710">
        <v>96.53</v>
      </c>
      <c r="O2710">
        <v>1192.0999999999999</v>
      </c>
    </row>
    <row r="2711" spans="1:15" x14ac:dyDescent="0.25">
      <c r="A2711" s="142" t="s">
        <v>3031</v>
      </c>
      <c r="B2711" s="142" t="s">
        <v>2830</v>
      </c>
      <c r="C2711" s="142" t="s">
        <v>44</v>
      </c>
      <c r="D2711">
        <v>1.0000000000000001E-5</v>
      </c>
      <c r="E2711">
        <v>1.0399999999999999E-4</v>
      </c>
      <c r="F2711">
        <v>1.0000000000000001E-5</v>
      </c>
      <c r="G2711" s="142" t="s">
        <v>13</v>
      </c>
      <c r="H2711" s="142" t="s">
        <v>11</v>
      </c>
      <c r="I2711">
        <v>0.01</v>
      </c>
      <c r="J2711">
        <v>2</v>
      </c>
      <c r="K2711" s="142" t="s">
        <v>10</v>
      </c>
      <c r="L2711">
        <v>5.8087999999999997</v>
      </c>
      <c r="M2711">
        <v>394.38</v>
      </c>
      <c r="N2711">
        <v>5.8087999999999997</v>
      </c>
      <c r="O2711">
        <v>393.5</v>
      </c>
    </row>
    <row r="2712" spans="1:15" x14ac:dyDescent="0.25">
      <c r="A2712" s="142" t="s">
        <v>3032</v>
      </c>
      <c r="B2712" s="142" t="s">
        <v>2830</v>
      </c>
      <c r="C2712" s="142" t="s">
        <v>44</v>
      </c>
      <c r="D2712">
        <v>1E-4</v>
      </c>
      <c r="E2712">
        <v>1.0399999999999999E-3</v>
      </c>
      <c r="F2712">
        <v>1.0000000000000001E-5</v>
      </c>
      <c r="G2712" s="142" t="s">
        <v>13</v>
      </c>
      <c r="H2712" s="142" t="s">
        <v>11</v>
      </c>
      <c r="I2712">
        <v>0.01</v>
      </c>
      <c r="J2712">
        <v>2</v>
      </c>
      <c r="K2712" s="142" t="s">
        <v>10</v>
      </c>
      <c r="L2712">
        <v>5.8400999999999996</v>
      </c>
      <c r="M2712">
        <v>353.65</v>
      </c>
      <c r="N2712">
        <v>5.8398000000000003</v>
      </c>
      <c r="O2712">
        <v>351.6</v>
      </c>
    </row>
    <row r="2713" spans="1:15" x14ac:dyDescent="0.25">
      <c r="A2713" s="142" t="s">
        <v>3033</v>
      </c>
      <c r="B2713" s="142" t="s">
        <v>2830</v>
      </c>
      <c r="C2713" s="142" t="s">
        <v>44</v>
      </c>
      <c r="D2713">
        <v>1E-3</v>
      </c>
      <c r="E2713">
        <v>1.04E-2</v>
      </c>
      <c r="F2713">
        <v>1.0000000000000001E-5</v>
      </c>
      <c r="G2713" s="142" t="s">
        <v>13</v>
      </c>
      <c r="H2713" s="142" t="s">
        <v>11</v>
      </c>
      <c r="I2713">
        <v>0.01</v>
      </c>
      <c r="J2713">
        <v>2</v>
      </c>
      <c r="K2713" s="142" t="s">
        <v>10</v>
      </c>
      <c r="L2713">
        <v>11.172000000000001</v>
      </c>
      <c r="M2713">
        <v>1119.7</v>
      </c>
      <c r="N2713">
        <v>11.167999999999999</v>
      </c>
      <c r="O2713">
        <v>1118.5999999999999</v>
      </c>
    </row>
    <row r="2714" spans="1:15" x14ac:dyDescent="0.25">
      <c r="A2714" s="142" t="s">
        <v>3034</v>
      </c>
      <c r="B2714" s="142" t="s">
        <v>2830</v>
      </c>
      <c r="C2714" s="142" t="s">
        <v>44</v>
      </c>
      <c r="D2714">
        <v>0.01</v>
      </c>
      <c r="E2714">
        <v>0.104</v>
      </c>
      <c r="F2714">
        <v>1.0000000000000001E-5</v>
      </c>
      <c r="G2714" s="142" t="s">
        <v>13</v>
      </c>
      <c r="H2714" s="142" t="s">
        <v>11</v>
      </c>
      <c r="I2714">
        <v>0.01</v>
      </c>
      <c r="J2714">
        <v>2</v>
      </c>
      <c r="K2714" s="142" t="s">
        <v>10</v>
      </c>
      <c r="L2714">
        <v>97</v>
      </c>
      <c r="M2714">
        <v>1191.5</v>
      </c>
      <c r="N2714">
        <v>96.691000000000003</v>
      </c>
      <c r="O2714">
        <v>1191.3</v>
      </c>
    </row>
    <row r="2715" spans="1:15" x14ac:dyDescent="0.25">
      <c r="A2715" s="142" t="s">
        <v>3035</v>
      </c>
      <c r="B2715" s="142" t="s">
        <v>2830</v>
      </c>
      <c r="C2715" s="142" t="s">
        <v>44</v>
      </c>
      <c r="D2715">
        <v>0.1</v>
      </c>
      <c r="E2715">
        <v>1.04</v>
      </c>
      <c r="F2715">
        <v>1.0000000000000001E-5</v>
      </c>
      <c r="G2715" s="142" t="s">
        <v>13</v>
      </c>
      <c r="H2715" s="142" t="s">
        <v>12</v>
      </c>
      <c r="I2715">
        <v>0.01</v>
      </c>
      <c r="J2715">
        <v>2</v>
      </c>
      <c r="K2715" s="142" t="s">
        <v>10</v>
      </c>
      <c r="L2715">
        <v>1</v>
      </c>
      <c r="M2715">
        <v>1.5</v>
      </c>
      <c r="N2715">
        <v>0.99589000000000005</v>
      </c>
      <c r="O2715">
        <v>1.4890000000000001</v>
      </c>
    </row>
    <row r="2716" spans="1:15" x14ac:dyDescent="0.25">
      <c r="A2716" s="142" t="s">
        <v>3036</v>
      </c>
      <c r="B2716" s="142" t="s">
        <v>2830</v>
      </c>
      <c r="C2716" s="142" t="s">
        <v>44</v>
      </c>
      <c r="D2716">
        <v>1E-4</v>
      </c>
      <c r="E2716">
        <v>1.0399999999999999E-3</v>
      </c>
      <c r="F2716">
        <v>1E-4</v>
      </c>
      <c r="G2716" s="142" t="s">
        <v>13</v>
      </c>
      <c r="H2716" s="142" t="s">
        <v>11</v>
      </c>
      <c r="I2716">
        <v>0.01</v>
      </c>
      <c r="J2716">
        <v>2</v>
      </c>
      <c r="K2716" s="142" t="s">
        <v>10</v>
      </c>
      <c r="L2716">
        <v>57.911999999999999</v>
      </c>
      <c r="M2716">
        <v>316.08</v>
      </c>
      <c r="N2716">
        <v>57.911999999999999</v>
      </c>
      <c r="O2716">
        <v>315.2</v>
      </c>
    </row>
    <row r="2717" spans="1:15" x14ac:dyDescent="0.25">
      <c r="A2717" s="142" t="s">
        <v>3037</v>
      </c>
      <c r="B2717" s="142" t="s">
        <v>2830</v>
      </c>
      <c r="C2717" s="142" t="s">
        <v>44</v>
      </c>
      <c r="D2717">
        <v>1E-3</v>
      </c>
      <c r="E2717">
        <v>1.04E-2</v>
      </c>
      <c r="F2717">
        <v>1E-4</v>
      </c>
      <c r="G2717" s="142" t="s">
        <v>13</v>
      </c>
      <c r="H2717" s="142" t="s">
        <v>11</v>
      </c>
      <c r="I2717">
        <v>0.01</v>
      </c>
      <c r="J2717">
        <v>2</v>
      </c>
      <c r="K2717" s="142" t="s">
        <v>10</v>
      </c>
      <c r="L2717">
        <v>58.401000000000003</v>
      </c>
      <c r="M2717">
        <v>353.65</v>
      </c>
      <c r="N2717">
        <v>58.398000000000003</v>
      </c>
      <c r="O2717">
        <v>351.6</v>
      </c>
    </row>
    <row r="2718" spans="1:15" x14ac:dyDescent="0.25">
      <c r="A2718" s="142" t="s">
        <v>3038</v>
      </c>
      <c r="B2718" s="142" t="s">
        <v>2830</v>
      </c>
      <c r="C2718" s="142" t="s">
        <v>44</v>
      </c>
      <c r="D2718">
        <v>0.01</v>
      </c>
      <c r="E2718">
        <v>0.104</v>
      </c>
      <c r="F2718">
        <v>1E-4</v>
      </c>
      <c r="G2718" s="142" t="s">
        <v>13</v>
      </c>
      <c r="H2718" s="142" t="s">
        <v>11</v>
      </c>
      <c r="I2718">
        <v>0.01</v>
      </c>
      <c r="J2718">
        <v>2</v>
      </c>
      <c r="K2718" s="142" t="s">
        <v>10</v>
      </c>
      <c r="L2718">
        <v>111.72</v>
      </c>
      <c r="M2718">
        <v>1119.7</v>
      </c>
      <c r="N2718">
        <v>111.68</v>
      </c>
      <c r="O2718">
        <v>1118.5999999999999</v>
      </c>
    </row>
    <row r="2719" spans="1:15" x14ac:dyDescent="0.25">
      <c r="A2719" s="142" t="s">
        <v>3039</v>
      </c>
      <c r="B2719" s="142" t="s">
        <v>2830</v>
      </c>
      <c r="C2719" s="142" t="s">
        <v>44</v>
      </c>
      <c r="D2719">
        <v>0.1</v>
      </c>
      <c r="E2719">
        <v>1.04</v>
      </c>
      <c r="F2719">
        <v>1E-4</v>
      </c>
      <c r="G2719" s="142" t="s">
        <v>13</v>
      </c>
      <c r="H2719" s="142" t="s">
        <v>12</v>
      </c>
      <c r="I2719">
        <v>0.01</v>
      </c>
      <c r="J2719">
        <v>2</v>
      </c>
      <c r="K2719" s="142" t="s">
        <v>10</v>
      </c>
      <c r="L2719">
        <v>1</v>
      </c>
      <c r="M2719">
        <v>1.4883999999999999</v>
      </c>
      <c r="N2719">
        <v>0.99738000000000004</v>
      </c>
      <c r="O2719">
        <v>1.4882</v>
      </c>
    </row>
    <row r="2720" spans="1:15" x14ac:dyDescent="0.25">
      <c r="A2720" s="142" t="s">
        <v>3040</v>
      </c>
      <c r="B2720" s="142" t="s">
        <v>2830</v>
      </c>
      <c r="C2720" s="142" t="s">
        <v>44</v>
      </c>
      <c r="D2720">
        <v>1</v>
      </c>
      <c r="E2720">
        <v>10.4</v>
      </c>
      <c r="F2720">
        <v>1E-4</v>
      </c>
      <c r="G2720" s="142" t="s">
        <v>13</v>
      </c>
      <c r="H2720" s="142" t="s">
        <v>12</v>
      </c>
      <c r="I2720">
        <v>0.01</v>
      </c>
      <c r="J2720">
        <v>2</v>
      </c>
      <c r="K2720" s="142" t="s">
        <v>10</v>
      </c>
      <c r="L2720">
        <v>18</v>
      </c>
      <c r="M2720">
        <v>1.4</v>
      </c>
      <c r="N2720">
        <v>17.128</v>
      </c>
      <c r="O2720">
        <v>1.4000999999999999</v>
      </c>
    </row>
    <row r="2721" spans="1:15" x14ac:dyDescent="0.25">
      <c r="A2721" s="142" t="s">
        <v>3041</v>
      </c>
      <c r="B2721" s="142" t="s">
        <v>2830</v>
      </c>
      <c r="C2721" s="142" t="s">
        <v>44</v>
      </c>
      <c r="D2721">
        <v>1E-3</v>
      </c>
      <c r="E2721">
        <v>1.04E-2</v>
      </c>
      <c r="F2721">
        <v>1E-3</v>
      </c>
      <c r="G2721" s="142" t="s">
        <v>13</v>
      </c>
      <c r="H2721" s="142" t="s">
        <v>11</v>
      </c>
      <c r="I2721">
        <v>0.01</v>
      </c>
      <c r="J2721">
        <v>2</v>
      </c>
      <c r="K2721" s="142" t="s">
        <v>10</v>
      </c>
      <c r="L2721">
        <v>579.12</v>
      </c>
      <c r="M2721">
        <v>316.08</v>
      </c>
      <c r="N2721">
        <v>579.12</v>
      </c>
      <c r="O2721">
        <v>315.2</v>
      </c>
    </row>
    <row r="2722" spans="1:15" x14ac:dyDescent="0.25">
      <c r="A2722" s="142" t="s">
        <v>3042</v>
      </c>
      <c r="B2722" s="142" t="s">
        <v>2830</v>
      </c>
      <c r="C2722" s="142" t="s">
        <v>44</v>
      </c>
      <c r="D2722">
        <v>0.01</v>
      </c>
      <c r="E2722">
        <v>0.104</v>
      </c>
      <c r="F2722">
        <v>1E-3</v>
      </c>
      <c r="G2722" s="142" t="s">
        <v>13</v>
      </c>
      <c r="H2722" s="142" t="s">
        <v>11</v>
      </c>
      <c r="I2722">
        <v>0.01</v>
      </c>
      <c r="J2722">
        <v>2</v>
      </c>
      <c r="K2722" s="142" t="s">
        <v>10</v>
      </c>
      <c r="L2722">
        <v>583.96</v>
      </c>
      <c r="M2722">
        <v>353.65</v>
      </c>
      <c r="N2722">
        <v>583.98</v>
      </c>
      <c r="O2722">
        <v>351.6</v>
      </c>
    </row>
    <row r="2723" spans="1:15" x14ac:dyDescent="0.25">
      <c r="A2723" s="142" t="s">
        <v>3043</v>
      </c>
      <c r="B2723" s="142" t="s">
        <v>2830</v>
      </c>
      <c r="C2723" s="142" t="s">
        <v>44</v>
      </c>
      <c r="D2723">
        <v>0.1</v>
      </c>
      <c r="E2723">
        <v>1.04</v>
      </c>
      <c r="F2723">
        <v>1E-3</v>
      </c>
      <c r="G2723" s="142" t="s">
        <v>13</v>
      </c>
      <c r="H2723" s="142" t="s">
        <v>12</v>
      </c>
      <c r="I2723">
        <v>0.01</v>
      </c>
      <c r="J2723">
        <v>2</v>
      </c>
      <c r="K2723" s="142" t="s">
        <v>10</v>
      </c>
      <c r="L2723">
        <v>1.1829000000000001</v>
      </c>
      <c r="M2723">
        <v>1.4133</v>
      </c>
      <c r="N2723">
        <v>1.1409</v>
      </c>
      <c r="O2723">
        <v>1.4124000000000001</v>
      </c>
    </row>
    <row r="2724" spans="1:15" x14ac:dyDescent="0.25">
      <c r="A2724" s="142" t="s">
        <v>3044</v>
      </c>
      <c r="B2724" s="142" t="s">
        <v>2830</v>
      </c>
      <c r="C2724" s="142" t="s">
        <v>44</v>
      </c>
      <c r="D2724">
        <v>1</v>
      </c>
      <c r="E2724">
        <v>10.4</v>
      </c>
      <c r="F2724">
        <v>1E-3</v>
      </c>
      <c r="G2724" s="142" t="s">
        <v>13</v>
      </c>
      <c r="H2724" s="142" t="s">
        <v>12</v>
      </c>
      <c r="I2724">
        <v>0.01</v>
      </c>
      <c r="J2724">
        <v>2</v>
      </c>
      <c r="K2724" s="142" t="s">
        <v>10</v>
      </c>
      <c r="L2724">
        <v>18</v>
      </c>
      <c r="M2724">
        <v>1.3998999999999999</v>
      </c>
      <c r="N2724">
        <v>17.138000000000002</v>
      </c>
      <c r="O2724">
        <v>1.3996999999999999</v>
      </c>
    </row>
    <row r="2725" spans="1:15" x14ac:dyDescent="0.25">
      <c r="A2725" s="142" t="s">
        <v>3045</v>
      </c>
      <c r="B2725" s="142" t="s">
        <v>2830</v>
      </c>
      <c r="C2725" s="142" t="s">
        <v>44</v>
      </c>
      <c r="D2725">
        <v>0.01</v>
      </c>
      <c r="E2725">
        <v>0.104</v>
      </c>
      <c r="F2725">
        <v>0.01</v>
      </c>
      <c r="G2725" s="142" t="s">
        <v>13</v>
      </c>
      <c r="H2725" s="142" t="s">
        <v>11</v>
      </c>
      <c r="I2725">
        <v>0.01</v>
      </c>
      <c r="J2725">
        <v>2</v>
      </c>
      <c r="K2725" s="142" t="s">
        <v>10</v>
      </c>
      <c r="L2725">
        <v>5791.2</v>
      </c>
      <c r="M2725">
        <v>316.08</v>
      </c>
      <c r="N2725">
        <v>5791.2</v>
      </c>
      <c r="O2725">
        <v>315.2</v>
      </c>
    </row>
    <row r="2726" spans="1:15" x14ac:dyDescent="0.25">
      <c r="A2726" s="142" t="s">
        <v>3046</v>
      </c>
      <c r="B2726" s="142" t="s">
        <v>2830</v>
      </c>
      <c r="C2726" s="142" t="s">
        <v>44</v>
      </c>
      <c r="D2726">
        <v>0.1</v>
      </c>
      <c r="E2726">
        <v>1.04</v>
      </c>
      <c r="F2726">
        <v>0.01</v>
      </c>
      <c r="G2726" s="142" t="s">
        <v>13</v>
      </c>
      <c r="H2726" s="142" t="s">
        <v>12</v>
      </c>
      <c r="I2726">
        <v>0.01</v>
      </c>
      <c r="J2726">
        <v>2</v>
      </c>
      <c r="K2726" s="142" t="s">
        <v>10</v>
      </c>
      <c r="L2726">
        <v>5.9116</v>
      </c>
      <c r="M2726">
        <v>0.47821000000000002</v>
      </c>
      <c r="N2726">
        <v>5.8383000000000003</v>
      </c>
      <c r="O2726">
        <v>0.47621000000000002</v>
      </c>
    </row>
    <row r="2727" spans="1:15" x14ac:dyDescent="0.25">
      <c r="A2727" s="142" t="s">
        <v>3047</v>
      </c>
      <c r="B2727" s="142" t="s">
        <v>2830</v>
      </c>
      <c r="C2727" s="142" t="s">
        <v>44</v>
      </c>
      <c r="D2727">
        <v>1</v>
      </c>
      <c r="E2727">
        <v>10.4</v>
      </c>
      <c r="F2727">
        <v>0.01</v>
      </c>
      <c r="G2727" s="142" t="s">
        <v>13</v>
      </c>
      <c r="H2727" s="142" t="s">
        <v>12</v>
      </c>
      <c r="I2727">
        <v>0.01</v>
      </c>
      <c r="J2727">
        <v>2</v>
      </c>
      <c r="K2727" s="142" t="s">
        <v>10</v>
      </c>
      <c r="L2727">
        <v>18.047000000000001</v>
      </c>
      <c r="M2727">
        <v>1.3634999999999999</v>
      </c>
      <c r="N2727">
        <v>18.045000000000002</v>
      </c>
      <c r="O2727">
        <v>1.3626</v>
      </c>
    </row>
    <row r="2728" spans="1:15" x14ac:dyDescent="0.25">
      <c r="A2728" s="142" t="s">
        <v>3048</v>
      </c>
      <c r="B2728" s="142" t="s">
        <v>2830</v>
      </c>
      <c r="C2728" s="142" t="s">
        <v>44</v>
      </c>
      <c r="D2728">
        <v>0.1</v>
      </c>
      <c r="E2728">
        <v>1.04</v>
      </c>
      <c r="F2728">
        <v>0.1</v>
      </c>
      <c r="G2728" s="142" t="s">
        <v>13</v>
      </c>
      <c r="H2728" s="142" t="s">
        <v>12</v>
      </c>
      <c r="I2728">
        <v>0.01</v>
      </c>
      <c r="J2728">
        <v>2</v>
      </c>
      <c r="K2728" s="142" t="s">
        <v>10</v>
      </c>
      <c r="L2728">
        <v>57.947000000000003</v>
      </c>
      <c r="M2728">
        <v>0.32961000000000001</v>
      </c>
      <c r="N2728">
        <v>57.91</v>
      </c>
      <c r="O2728">
        <v>0.32873000000000002</v>
      </c>
    </row>
    <row r="2729" spans="1:15" x14ac:dyDescent="0.25">
      <c r="A2729" s="142" t="s">
        <v>3049</v>
      </c>
      <c r="B2729" s="142" t="s">
        <v>2830</v>
      </c>
      <c r="C2729" s="142" t="s">
        <v>44</v>
      </c>
      <c r="D2729">
        <v>1</v>
      </c>
      <c r="E2729">
        <v>10.4</v>
      </c>
      <c r="F2729">
        <v>0.1</v>
      </c>
      <c r="G2729" s="142" t="s">
        <v>13</v>
      </c>
      <c r="H2729" s="142" t="s">
        <v>12</v>
      </c>
      <c r="I2729">
        <v>0.01</v>
      </c>
      <c r="J2729">
        <v>2</v>
      </c>
      <c r="K2729" s="142" t="s">
        <v>10</v>
      </c>
      <c r="L2729">
        <v>60.057000000000002</v>
      </c>
      <c r="M2729">
        <v>0.58243</v>
      </c>
      <c r="N2729">
        <v>60.055</v>
      </c>
      <c r="O2729">
        <v>0.58052000000000004</v>
      </c>
    </row>
    <row r="2730" spans="1:15" x14ac:dyDescent="0.25">
      <c r="A2730" s="142" t="s">
        <v>3050</v>
      </c>
      <c r="B2730" s="142" t="s">
        <v>2830</v>
      </c>
      <c r="C2730" s="142" t="s">
        <v>44</v>
      </c>
      <c r="D2730">
        <v>1</v>
      </c>
      <c r="E2730">
        <v>10.4</v>
      </c>
      <c r="F2730">
        <v>1</v>
      </c>
      <c r="G2730" s="142" t="s">
        <v>13</v>
      </c>
      <c r="H2730" s="142" t="s">
        <v>12</v>
      </c>
      <c r="I2730">
        <v>0.01</v>
      </c>
      <c r="J2730">
        <v>2</v>
      </c>
      <c r="K2730" s="142" t="s">
        <v>10</v>
      </c>
      <c r="L2730">
        <v>579.27</v>
      </c>
      <c r="M2730">
        <v>0.34275</v>
      </c>
      <c r="N2730">
        <v>579.27</v>
      </c>
      <c r="O2730">
        <v>0.34186</v>
      </c>
    </row>
    <row r="2731" spans="1:15" x14ac:dyDescent="0.25">
      <c r="A2731" s="142" t="s">
        <v>3051</v>
      </c>
      <c r="B2731" s="142" t="s">
        <v>2830</v>
      </c>
      <c r="C2731" s="142" t="s">
        <v>8</v>
      </c>
      <c r="D2731">
        <v>0</v>
      </c>
      <c r="E2731">
        <v>0.1</v>
      </c>
      <c r="F2731">
        <v>9.9999999999999995E-7</v>
      </c>
      <c r="G2731" s="142" t="s">
        <v>6</v>
      </c>
      <c r="H2731" s="142" t="s">
        <v>5</v>
      </c>
      <c r="I2731">
        <v>0.01</v>
      </c>
      <c r="J2731">
        <v>2</v>
      </c>
      <c r="K2731" s="142" t="s">
        <v>10</v>
      </c>
      <c r="L2731">
        <v>35</v>
      </c>
      <c r="M2731">
        <v>940</v>
      </c>
      <c r="N2731">
        <v>34.74</v>
      </c>
      <c r="O2731">
        <v>937.4</v>
      </c>
    </row>
    <row r="2732" spans="1:15" x14ac:dyDescent="0.25">
      <c r="A2732" s="142" t="s">
        <v>3052</v>
      </c>
      <c r="B2732" s="142" t="s">
        <v>2830</v>
      </c>
      <c r="C2732" s="142" t="s">
        <v>8</v>
      </c>
      <c r="D2732">
        <v>0</v>
      </c>
      <c r="E2732">
        <v>0.1</v>
      </c>
      <c r="F2732">
        <v>9.9999999999999995E-7</v>
      </c>
      <c r="G2732" s="142" t="s">
        <v>6</v>
      </c>
      <c r="H2732" s="142" t="s">
        <v>5</v>
      </c>
      <c r="I2732">
        <v>2</v>
      </c>
      <c r="J2732">
        <v>20</v>
      </c>
      <c r="K2732" s="142" t="s">
        <v>10</v>
      </c>
      <c r="L2732">
        <v>36</v>
      </c>
      <c r="M2732">
        <v>930</v>
      </c>
      <c r="N2732">
        <v>35.470999999999997</v>
      </c>
      <c r="O2732">
        <v>926.49</v>
      </c>
    </row>
    <row r="2733" spans="1:15" x14ac:dyDescent="0.25">
      <c r="A2733" s="142" t="s">
        <v>3053</v>
      </c>
      <c r="B2733" s="142" t="s">
        <v>2830</v>
      </c>
      <c r="C2733" s="142" t="s">
        <v>8</v>
      </c>
      <c r="D2733">
        <v>0</v>
      </c>
      <c r="E2733">
        <v>0.1</v>
      </c>
      <c r="F2733">
        <v>1.0000000000000001E-5</v>
      </c>
      <c r="G2733" s="142" t="s">
        <v>6</v>
      </c>
      <c r="H2733" s="142" t="s">
        <v>5</v>
      </c>
      <c r="I2733">
        <v>0.01</v>
      </c>
      <c r="J2733">
        <v>2</v>
      </c>
      <c r="K2733" s="142" t="s">
        <v>10</v>
      </c>
      <c r="L2733">
        <v>35.161999999999999</v>
      </c>
      <c r="M2733">
        <v>934.08</v>
      </c>
      <c r="N2733">
        <v>35.156999999999996</v>
      </c>
      <c r="O2733">
        <v>934.05</v>
      </c>
    </row>
    <row r="2734" spans="1:15" x14ac:dyDescent="0.25">
      <c r="A2734" s="142" t="s">
        <v>3054</v>
      </c>
      <c r="B2734" s="142" t="s">
        <v>2830</v>
      </c>
      <c r="C2734" s="142" t="s">
        <v>8</v>
      </c>
      <c r="D2734">
        <v>0</v>
      </c>
      <c r="E2734">
        <v>0.1</v>
      </c>
      <c r="F2734">
        <v>1.0000000000000001E-5</v>
      </c>
      <c r="G2734" s="142" t="s">
        <v>6</v>
      </c>
      <c r="H2734" s="142" t="s">
        <v>5</v>
      </c>
      <c r="I2734">
        <v>2</v>
      </c>
      <c r="J2734">
        <v>20</v>
      </c>
      <c r="K2734" s="142" t="s">
        <v>10</v>
      </c>
      <c r="L2734">
        <v>36</v>
      </c>
      <c r="M2734">
        <v>923.18</v>
      </c>
      <c r="N2734">
        <v>35.865000000000002</v>
      </c>
      <c r="O2734">
        <v>923.15</v>
      </c>
    </row>
    <row r="2735" spans="1:15" x14ac:dyDescent="0.25">
      <c r="A2735" s="142" t="s">
        <v>3055</v>
      </c>
      <c r="B2735" s="142" t="s">
        <v>2830</v>
      </c>
      <c r="C2735" s="142" t="s">
        <v>8</v>
      </c>
      <c r="D2735">
        <v>0.1</v>
      </c>
      <c r="E2735">
        <v>1</v>
      </c>
      <c r="F2735">
        <v>1.0000000000000001E-5</v>
      </c>
      <c r="G2735" s="142" t="s">
        <v>6</v>
      </c>
      <c r="H2735" s="142" t="s">
        <v>5</v>
      </c>
      <c r="I2735">
        <v>0.01</v>
      </c>
      <c r="J2735">
        <v>2</v>
      </c>
      <c r="K2735" s="142" t="s">
        <v>10</v>
      </c>
      <c r="L2735">
        <v>350</v>
      </c>
      <c r="M2735">
        <v>940</v>
      </c>
      <c r="N2735">
        <v>347.15</v>
      </c>
      <c r="O2735">
        <v>937.18</v>
      </c>
    </row>
    <row r="2736" spans="1:15" x14ac:dyDescent="0.25">
      <c r="A2736" s="142" t="s">
        <v>3056</v>
      </c>
      <c r="B2736" s="142" t="s">
        <v>2830</v>
      </c>
      <c r="C2736" s="142" t="s">
        <v>8</v>
      </c>
      <c r="D2736">
        <v>0.1</v>
      </c>
      <c r="E2736">
        <v>1</v>
      </c>
      <c r="F2736">
        <v>1.0000000000000001E-5</v>
      </c>
      <c r="G2736" s="142" t="s">
        <v>6</v>
      </c>
      <c r="H2736" s="142" t="s">
        <v>5</v>
      </c>
      <c r="I2736">
        <v>2</v>
      </c>
      <c r="J2736">
        <v>20</v>
      </c>
      <c r="K2736" s="142" t="s">
        <v>10</v>
      </c>
      <c r="L2736">
        <v>850</v>
      </c>
      <c r="M2736">
        <v>1700</v>
      </c>
      <c r="N2736">
        <v>808.55</v>
      </c>
      <c r="O2736">
        <v>1738.9</v>
      </c>
    </row>
    <row r="2737" spans="1:15" x14ac:dyDescent="0.25">
      <c r="A2737" s="142" t="s">
        <v>3057</v>
      </c>
      <c r="B2737" s="142" t="s">
        <v>2830</v>
      </c>
      <c r="C2737" s="142" t="s">
        <v>8</v>
      </c>
      <c r="D2737">
        <v>0</v>
      </c>
      <c r="E2737">
        <v>0.1</v>
      </c>
      <c r="F2737">
        <v>1E-4</v>
      </c>
      <c r="G2737" s="142" t="s">
        <v>6</v>
      </c>
      <c r="H2737" s="142" t="s">
        <v>5</v>
      </c>
      <c r="I2737">
        <v>0.01</v>
      </c>
      <c r="J2737">
        <v>2</v>
      </c>
      <c r="K2737" s="142" t="s">
        <v>10</v>
      </c>
      <c r="L2737">
        <v>67.116</v>
      </c>
      <c r="M2737">
        <v>737.26</v>
      </c>
      <c r="N2737">
        <v>67.105000000000004</v>
      </c>
      <c r="O2737">
        <v>737.07</v>
      </c>
    </row>
    <row r="2738" spans="1:15" x14ac:dyDescent="0.25">
      <c r="A2738" s="142" t="s">
        <v>3058</v>
      </c>
      <c r="B2738" s="142" t="s">
        <v>2830</v>
      </c>
      <c r="C2738" s="142" t="s">
        <v>8</v>
      </c>
      <c r="D2738">
        <v>0</v>
      </c>
      <c r="E2738">
        <v>0.1</v>
      </c>
      <c r="F2738">
        <v>1E-4</v>
      </c>
      <c r="G2738" s="142" t="s">
        <v>6</v>
      </c>
      <c r="H2738" s="142" t="s">
        <v>5</v>
      </c>
      <c r="I2738">
        <v>2</v>
      </c>
      <c r="J2738">
        <v>20</v>
      </c>
      <c r="K2738" s="142" t="s">
        <v>10</v>
      </c>
      <c r="L2738">
        <v>67.126000000000005</v>
      </c>
      <c r="M2738">
        <v>727.32</v>
      </c>
      <c r="N2738">
        <v>67.116</v>
      </c>
      <c r="O2738">
        <v>727.12</v>
      </c>
    </row>
    <row r="2739" spans="1:15" x14ac:dyDescent="0.25">
      <c r="A2739" s="142" t="s">
        <v>3059</v>
      </c>
      <c r="B2739" s="142" t="s">
        <v>2830</v>
      </c>
      <c r="C2739" s="142" t="s">
        <v>8</v>
      </c>
      <c r="D2739">
        <v>0.1</v>
      </c>
      <c r="E2739">
        <v>1</v>
      </c>
      <c r="F2739">
        <v>1E-4</v>
      </c>
      <c r="G2739" s="142" t="s">
        <v>6</v>
      </c>
      <c r="H2739" s="142" t="s">
        <v>5</v>
      </c>
      <c r="I2739">
        <v>0.01</v>
      </c>
      <c r="J2739">
        <v>2</v>
      </c>
      <c r="K2739" s="142" t="s">
        <v>10</v>
      </c>
      <c r="L2739">
        <v>351.19</v>
      </c>
      <c r="M2739">
        <v>934.51</v>
      </c>
      <c r="N2739">
        <v>351.16</v>
      </c>
      <c r="O2739">
        <v>934.46</v>
      </c>
    </row>
    <row r="2740" spans="1:15" x14ac:dyDescent="0.25">
      <c r="A2740" s="142" t="s">
        <v>3060</v>
      </c>
      <c r="B2740" s="142" t="s">
        <v>2830</v>
      </c>
      <c r="C2740" s="142" t="s">
        <v>8</v>
      </c>
      <c r="D2740">
        <v>0.1</v>
      </c>
      <c r="E2740">
        <v>1</v>
      </c>
      <c r="F2740">
        <v>1E-4</v>
      </c>
      <c r="G2740" s="142" t="s">
        <v>6</v>
      </c>
      <c r="H2740" s="142" t="s">
        <v>5</v>
      </c>
      <c r="I2740">
        <v>2</v>
      </c>
      <c r="J2740">
        <v>20</v>
      </c>
      <c r="K2740" s="142" t="s">
        <v>10</v>
      </c>
      <c r="L2740">
        <v>850</v>
      </c>
      <c r="M2740">
        <v>1737.8</v>
      </c>
      <c r="N2740">
        <v>810.33</v>
      </c>
      <c r="O2740">
        <v>1737.8</v>
      </c>
    </row>
    <row r="2741" spans="1:15" x14ac:dyDescent="0.25">
      <c r="A2741" s="142" t="s">
        <v>3061</v>
      </c>
      <c r="B2741" s="142" t="s">
        <v>2830</v>
      </c>
      <c r="C2741" s="142" t="s">
        <v>8</v>
      </c>
      <c r="D2741">
        <v>1</v>
      </c>
      <c r="E2741">
        <v>10</v>
      </c>
      <c r="F2741">
        <v>1E-4</v>
      </c>
      <c r="G2741" s="142" t="s">
        <v>6</v>
      </c>
      <c r="H2741" s="142" t="s">
        <v>4</v>
      </c>
      <c r="I2741">
        <v>0.01</v>
      </c>
      <c r="J2741">
        <v>2</v>
      </c>
      <c r="K2741" s="142" t="s">
        <v>10</v>
      </c>
      <c r="L2741">
        <v>3.5</v>
      </c>
      <c r="M2741">
        <v>0.94</v>
      </c>
      <c r="N2741">
        <v>3.4754999999999998</v>
      </c>
      <c r="O2741">
        <v>0.93718000000000001</v>
      </c>
    </row>
    <row r="2742" spans="1:15" x14ac:dyDescent="0.25">
      <c r="A2742" s="142" t="s">
        <v>3062</v>
      </c>
      <c r="B2742" s="142" t="s">
        <v>2830</v>
      </c>
      <c r="C2742" s="142" t="s">
        <v>8</v>
      </c>
      <c r="D2742">
        <v>1</v>
      </c>
      <c r="E2742">
        <v>10</v>
      </c>
      <c r="F2742">
        <v>1E-4</v>
      </c>
      <c r="G2742" s="142" t="s">
        <v>6</v>
      </c>
      <c r="H2742" s="142" t="s">
        <v>4</v>
      </c>
      <c r="I2742">
        <v>2</v>
      </c>
      <c r="J2742">
        <v>20</v>
      </c>
      <c r="K2742" s="142" t="s">
        <v>10</v>
      </c>
      <c r="L2742">
        <v>8.1999999999999993</v>
      </c>
      <c r="M2742">
        <v>1.8</v>
      </c>
      <c r="N2742">
        <v>8.1347000000000005</v>
      </c>
      <c r="O2742">
        <v>1.7537</v>
      </c>
    </row>
    <row r="2743" spans="1:15" x14ac:dyDescent="0.25">
      <c r="A2743" s="142" t="s">
        <v>3063</v>
      </c>
      <c r="B2743" s="142" t="s">
        <v>2830</v>
      </c>
      <c r="C2743" s="142" t="s">
        <v>8</v>
      </c>
      <c r="D2743">
        <v>0</v>
      </c>
      <c r="E2743">
        <v>0.1</v>
      </c>
      <c r="F2743">
        <v>1E-3</v>
      </c>
      <c r="G2743" s="142" t="s">
        <v>6</v>
      </c>
      <c r="H2743" s="142" t="s">
        <v>5</v>
      </c>
      <c r="I2743">
        <v>0.01</v>
      </c>
      <c r="J2743">
        <v>2</v>
      </c>
      <c r="K2743" s="142" t="s">
        <v>10</v>
      </c>
      <c r="L2743">
        <v>578.33000000000004</v>
      </c>
      <c r="M2743">
        <v>131.69</v>
      </c>
      <c r="N2743">
        <v>578.32000000000005</v>
      </c>
      <c r="O2743">
        <v>131.46</v>
      </c>
    </row>
    <row r="2744" spans="1:15" x14ac:dyDescent="0.25">
      <c r="A2744" s="142" t="s">
        <v>3064</v>
      </c>
      <c r="B2744" s="142" t="s">
        <v>2830</v>
      </c>
      <c r="C2744" s="142" t="s">
        <v>8</v>
      </c>
      <c r="D2744">
        <v>0</v>
      </c>
      <c r="E2744">
        <v>0.1</v>
      </c>
      <c r="F2744">
        <v>1E-3</v>
      </c>
      <c r="G2744" s="142" t="s">
        <v>6</v>
      </c>
      <c r="H2744" s="142" t="s">
        <v>5</v>
      </c>
      <c r="I2744">
        <v>2</v>
      </c>
      <c r="J2744">
        <v>20</v>
      </c>
      <c r="K2744" s="142" t="s">
        <v>10</v>
      </c>
      <c r="L2744">
        <v>578.33000000000004</v>
      </c>
      <c r="M2744">
        <v>129.33000000000001</v>
      </c>
      <c r="N2744">
        <v>578.32000000000005</v>
      </c>
      <c r="O2744">
        <v>129.1</v>
      </c>
    </row>
    <row r="2745" spans="1:15" x14ac:dyDescent="0.25">
      <c r="A2745" s="142" t="s">
        <v>3065</v>
      </c>
      <c r="B2745" s="142" t="s">
        <v>2830</v>
      </c>
      <c r="C2745" s="142" t="s">
        <v>8</v>
      </c>
      <c r="D2745">
        <v>0.1</v>
      </c>
      <c r="E2745">
        <v>1</v>
      </c>
      <c r="F2745">
        <v>1E-3</v>
      </c>
      <c r="G2745" s="142" t="s">
        <v>6</v>
      </c>
      <c r="H2745" s="142" t="s">
        <v>5</v>
      </c>
      <c r="I2745">
        <v>0.01</v>
      </c>
      <c r="J2745">
        <v>2</v>
      </c>
      <c r="K2745" s="142" t="s">
        <v>10</v>
      </c>
      <c r="L2745">
        <v>650.74</v>
      </c>
      <c r="M2745">
        <v>757.68</v>
      </c>
      <c r="N2745">
        <v>650.66</v>
      </c>
      <c r="O2745">
        <v>757.46</v>
      </c>
    </row>
    <row r="2746" spans="1:15" x14ac:dyDescent="0.25">
      <c r="A2746" s="142" t="s">
        <v>3066</v>
      </c>
      <c r="B2746" s="142" t="s">
        <v>2830</v>
      </c>
      <c r="C2746" s="142" t="s">
        <v>8</v>
      </c>
      <c r="D2746">
        <v>0.1</v>
      </c>
      <c r="E2746">
        <v>1</v>
      </c>
      <c r="F2746">
        <v>1E-3</v>
      </c>
      <c r="G2746" s="142" t="s">
        <v>6</v>
      </c>
      <c r="H2746" s="142" t="s">
        <v>5</v>
      </c>
      <c r="I2746">
        <v>2</v>
      </c>
      <c r="J2746">
        <v>20</v>
      </c>
      <c r="K2746" s="142" t="s">
        <v>10</v>
      </c>
      <c r="L2746">
        <v>976.25</v>
      </c>
      <c r="M2746">
        <v>1636.3</v>
      </c>
      <c r="N2746">
        <v>975.89</v>
      </c>
      <c r="O2746">
        <v>1636.2</v>
      </c>
    </row>
    <row r="2747" spans="1:15" x14ac:dyDescent="0.25">
      <c r="A2747" s="142" t="s">
        <v>3067</v>
      </c>
      <c r="B2747" s="142" t="s">
        <v>2830</v>
      </c>
      <c r="C2747" s="142" t="s">
        <v>8</v>
      </c>
      <c r="D2747">
        <v>1</v>
      </c>
      <c r="E2747">
        <v>10</v>
      </c>
      <c r="F2747">
        <v>1E-3</v>
      </c>
      <c r="G2747" s="142" t="s">
        <v>6</v>
      </c>
      <c r="H2747" s="142" t="s">
        <v>4</v>
      </c>
      <c r="I2747">
        <v>0.01</v>
      </c>
      <c r="J2747">
        <v>2</v>
      </c>
      <c r="K2747" s="142" t="s">
        <v>10</v>
      </c>
      <c r="L2747">
        <v>3.5127000000000002</v>
      </c>
      <c r="M2747">
        <v>0.93464999999999998</v>
      </c>
      <c r="N2747">
        <v>3.5116000000000001</v>
      </c>
      <c r="O2747">
        <v>0.93445999999999996</v>
      </c>
    </row>
    <row r="2748" spans="1:15" x14ac:dyDescent="0.25">
      <c r="A2748" s="142" t="s">
        <v>3068</v>
      </c>
      <c r="B2748" s="142" t="s">
        <v>2830</v>
      </c>
      <c r="C2748" s="142" t="s">
        <v>8</v>
      </c>
      <c r="D2748">
        <v>1</v>
      </c>
      <c r="E2748">
        <v>10</v>
      </c>
      <c r="F2748">
        <v>1E-3</v>
      </c>
      <c r="G2748" s="142" t="s">
        <v>6</v>
      </c>
      <c r="H2748" s="142" t="s">
        <v>4</v>
      </c>
      <c r="I2748">
        <v>2</v>
      </c>
      <c r="J2748">
        <v>20</v>
      </c>
      <c r="K2748" s="142" t="s">
        <v>10</v>
      </c>
      <c r="L2748">
        <v>8.1999999999999993</v>
      </c>
      <c r="M2748">
        <v>1.7524999999999999</v>
      </c>
      <c r="N2748">
        <v>8.1524999999999999</v>
      </c>
      <c r="O2748">
        <v>1.7525999999999999</v>
      </c>
    </row>
    <row r="2749" spans="1:15" x14ac:dyDescent="0.25">
      <c r="A2749" s="142" t="s">
        <v>3069</v>
      </c>
      <c r="B2749" s="142" t="s">
        <v>2830</v>
      </c>
      <c r="C2749" s="142" t="s">
        <v>8</v>
      </c>
      <c r="D2749">
        <v>10</v>
      </c>
      <c r="E2749">
        <v>100</v>
      </c>
      <c r="F2749">
        <v>1E-3</v>
      </c>
      <c r="G2749" s="142" t="s">
        <v>6</v>
      </c>
      <c r="H2749" s="142" t="s">
        <v>4</v>
      </c>
      <c r="I2749">
        <v>0.04</v>
      </c>
      <c r="J2749">
        <v>1</v>
      </c>
      <c r="K2749" s="142" t="s">
        <v>10</v>
      </c>
      <c r="L2749">
        <v>35</v>
      </c>
      <c r="M2749">
        <v>0.95</v>
      </c>
      <c r="N2749">
        <v>34.942999999999998</v>
      </c>
      <c r="O2749">
        <v>0.94799</v>
      </c>
    </row>
    <row r="2750" spans="1:15" x14ac:dyDescent="0.25">
      <c r="A2750" s="142" t="s">
        <v>3070</v>
      </c>
      <c r="B2750" s="142" t="s">
        <v>2830</v>
      </c>
      <c r="C2750" s="142" t="s">
        <v>8</v>
      </c>
      <c r="D2750">
        <v>0</v>
      </c>
      <c r="E2750">
        <v>0.1</v>
      </c>
      <c r="F2750">
        <v>0.01</v>
      </c>
      <c r="G2750" s="142" t="s">
        <v>6</v>
      </c>
      <c r="H2750" s="142" t="s">
        <v>5</v>
      </c>
      <c r="I2750">
        <v>0.01</v>
      </c>
      <c r="J2750">
        <v>2</v>
      </c>
      <c r="K2750" s="142" t="s">
        <v>10</v>
      </c>
      <c r="L2750">
        <v>5773.7</v>
      </c>
      <c r="M2750">
        <v>13.414999999999999</v>
      </c>
      <c r="N2750">
        <v>5773.6</v>
      </c>
      <c r="O2750">
        <v>13.317</v>
      </c>
    </row>
    <row r="2751" spans="1:15" x14ac:dyDescent="0.25">
      <c r="A2751" s="142" t="s">
        <v>3071</v>
      </c>
      <c r="B2751" s="142" t="s">
        <v>2830</v>
      </c>
      <c r="C2751" s="142" t="s">
        <v>8</v>
      </c>
      <c r="D2751">
        <v>0</v>
      </c>
      <c r="E2751">
        <v>0.1</v>
      </c>
      <c r="F2751">
        <v>0.01</v>
      </c>
      <c r="G2751" s="142" t="s">
        <v>6</v>
      </c>
      <c r="H2751" s="142" t="s">
        <v>5</v>
      </c>
      <c r="I2751">
        <v>2</v>
      </c>
      <c r="J2751">
        <v>20</v>
      </c>
      <c r="K2751" s="142" t="s">
        <v>10</v>
      </c>
      <c r="L2751">
        <v>5773.7</v>
      </c>
      <c r="M2751">
        <v>13.173</v>
      </c>
      <c r="N2751">
        <v>5773.6</v>
      </c>
      <c r="O2751">
        <v>13.074999999999999</v>
      </c>
    </row>
    <row r="2752" spans="1:15" x14ac:dyDescent="0.25">
      <c r="A2752" s="142" t="s">
        <v>3072</v>
      </c>
      <c r="B2752" s="142" t="s">
        <v>2830</v>
      </c>
      <c r="C2752" s="142" t="s">
        <v>8</v>
      </c>
      <c r="D2752">
        <v>0.1</v>
      </c>
      <c r="E2752">
        <v>1</v>
      </c>
      <c r="F2752">
        <v>0.01</v>
      </c>
      <c r="G2752" s="142" t="s">
        <v>6</v>
      </c>
      <c r="H2752" s="142" t="s">
        <v>5</v>
      </c>
      <c r="I2752">
        <v>0.01</v>
      </c>
      <c r="J2752">
        <v>2</v>
      </c>
      <c r="K2752" s="142" t="s">
        <v>10</v>
      </c>
      <c r="L2752">
        <v>5776.6</v>
      </c>
      <c r="M2752">
        <v>138.38999999999999</v>
      </c>
      <c r="N2752">
        <v>5776.5</v>
      </c>
      <c r="O2752">
        <v>138.13</v>
      </c>
    </row>
    <row r="2753" spans="1:15" x14ac:dyDescent="0.25">
      <c r="A2753" s="142" t="s">
        <v>3073</v>
      </c>
      <c r="B2753" s="142" t="s">
        <v>2830</v>
      </c>
      <c r="C2753" s="142" t="s">
        <v>8</v>
      </c>
      <c r="D2753">
        <v>0.1</v>
      </c>
      <c r="E2753">
        <v>1</v>
      </c>
      <c r="F2753">
        <v>0.01</v>
      </c>
      <c r="G2753" s="142" t="s">
        <v>6</v>
      </c>
      <c r="H2753" s="142" t="s">
        <v>5</v>
      </c>
      <c r="I2753">
        <v>2</v>
      </c>
      <c r="J2753">
        <v>20</v>
      </c>
      <c r="K2753" s="142" t="s">
        <v>10</v>
      </c>
      <c r="L2753">
        <v>5806.3</v>
      </c>
      <c r="M2753">
        <v>505.05</v>
      </c>
      <c r="N2753">
        <v>5806.1</v>
      </c>
      <c r="O2753">
        <v>504.49</v>
      </c>
    </row>
    <row r="2754" spans="1:15" x14ac:dyDescent="0.25">
      <c r="A2754" s="142" t="s">
        <v>3074</v>
      </c>
      <c r="B2754" s="142" t="s">
        <v>2830</v>
      </c>
      <c r="C2754" s="142" t="s">
        <v>8</v>
      </c>
      <c r="D2754">
        <v>1</v>
      </c>
      <c r="E2754">
        <v>10</v>
      </c>
      <c r="F2754">
        <v>0.01</v>
      </c>
      <c r="G2754" s="142" t="s">
        <v>6</v>
      </c>
      <c r="H2754" s="142" t="s">
        <v>4</v>
      </c>
      <c r="I2754">
        <v>0.01</v>
      </c>
      <c r="J2754">
        <v>2</v>
      </c>
      <c r="K2754" s="142" t="s">
        <v>10</v>
      </c>
      <c r="L2754">
        <v>6.5091000000000001</v>
      </c>
      <c r="M2754">
        <v>0.75829999999999997</v>
      </c>
      <c r="N2754">
        <v>6.5065999999999997</v>
      </c>
      <c r="O2754">
        <v>0.75746000000000002</v>
      </c>
    </row>
    <row r="2755" spans="1:15" x14ac:dyDescent="0.25">
      <c r="A2755" s="142" t="s">
        <v>3075</v>
      </c>
      <c r="B2755" s="142" t="s">
        <v>2830</v>
      </c>
      <c r="C2755" s="142" t="s">
        <v>8</v>
      </c>
      <c r="D2755">
        <v>1</v>
      </c>
      <c r="E2755">
        <v>10</v>
      </c>
      <c r="F2755">
        <v>0.01</v>
      </c>
      <c r="G2755" s="142" t="s">
        <v>6</v>
      </c>
      <c r="H2755" s="142" t="s">
        <v>4</v>
      </c>
      <c r="I2755">
        <v>2</v>
      </c>
      <c r="J2755">
        <v>20</v>
      </c>
      <c r="K2755" s="142" t="s">
        <v>10</v>
      </c>
      <c r="L2755">
        <v>9.8125999999999998</v>
      </c>
      <c r="M2755">
        <v>1.6513</v>
      </c>
      <c r="N2755">
        <v>9.7989999999999995</v>
      </c>
      <c r="O2755">
        <v>1.6514</v>
      </c>
    </row>
    <row r="2756" spans="1:15" x14ac:dyDescent="0.25">
      <c r="A2756" s="142" t="s">
        <v>3076</v>
      </c>
      <c r="B2756" s="142" t="s">
        <v>2830</v>
      </c>
      <c r="C2756" s="142" t="s">
        <v>8</v>
      </c>
      <c r="D2756">
        <v>10</v>
      </c>
      <c r="E2756">
        <v>100</v>
      </c>
      <c r="F2756">
        <v>0.01</v>
      </c>
      <c r="G2756" s="142" t="s">
        <v>6</v>
      </c>
      <c r="H2756" s="142" t="s">
        <v>4</v>
      </c>
      <c r="I2756">
        <v>0.04</v>
      </c>
      <c r="J2756">
        <v>1</v>
      </c>
      <c r="K2756" s="142" t="s">
        <v>10</v>
      </c>
      <c r="L2756">
        <v>35.348999999999997</v>
      </c>
      <c r="M2756">
        <v>0.94557000000000002</v>
      </c>
      <c r="N2756">
        <v>35.281999999999996</v>
      </c>
      <c r="O2756">
        <v>0.94527000000000005</v>
      </c>
    </row>
    <row r="2757" spans="1:15" x14ac:dyDescent="0.25">
      <c r="A2757" s="142" t="s">
        <v>3077</v>
      </c>
      <c r="B2757" s="142" t="s">
        <v>2830</v>
      </c>
      <c r="C2757" s="142" t="s">
        <v>8</v>
      </c>
      <c r="D2757">
        <v>100</v>
      </c>
      <c r="E2757">
        <v>1020</v>
      </c>
      <c r="F2757">
        <v>0.01</v>
      </c>
      <c r="G2757" s="142" t="s">
        <v>6</v>
      </c>
      <c r="H2757" s="142" t="s">
        <v>4</v>
      </c>
      <c r="I2757">
        <v>0.04</v>
      </c>
      <c r="J2757">
        <v>1</v>
      </c>
      <c r="K2757" s="142" t="s">
        <v>10</v>
      </c>
      <c r="L2757">
        <v>360</v>
      </c>
      <c r="M2757">
        <v>1.1000000000000001</v>
      </c>
      <c r="N2757">
        <v>337.15</v>
      </c>
      <c r="O2757">
        <v>1.1167</v>
      </c>
    </row>
    <row r="2758" spans="1:15" x14ac:dyDescent="0.25">
      <c r="A2758" s="142" t="s">
        <v>3078</v>
      </c>
      <c r="B2758" s="142" t="s">
        <v>2830</v>
      </c>
      <c r="C2758" s="142" t="s">
        <v>8</v>
      </c>
      <c r="D2758">
        <v>0.1</v>
      </c>
      <c r="E2758">
        <v>1</v>
      </c>
      <c r="F2758">
        <v>0.1</v>
      </c>
      <c r="G2758" s="142" t="s">
        <v>6</v>
      </c>
      <c r="H2758" s="142" t="s">
        <v>5</v>
      </c>
      <c r="I2758">
        <v>0.01</v>
      </c>
      <c r="J2758">
        <v>2</v>
      </c>
      <c r="K2758" s="142" t="s">
        <v>10</v>
      </c>
      <c r="L2758">
        <v>57736</v>
      </c>
      <c r="M2758">
        <v>14.108000000000001</v>
      </c>
      <c r="N2758">
        <v>57736</v>
      </c>
      <c r="O2758">
        <v>14</v>
      </c>
    </row>
    <row r="2759" spans="1:15" x14ac:dyDescent="0.25">
      <c r="A2759" s="142" t="s">
        <v>3079</v>
      </c>
      <c r="B2759" s="142" t="s">
        <v>2830</v>
      </c>
      <c r="C2759" s="142" t="s">
        <v>8</v>
      </c>
      <c r="D2759">
        <v>0.1</v>
      </c>
      <c r="E2759">
        <v>1</v>
      </c>
      <c r="F2759">
        <v>0.1</v>
      </c>
      <c r="G2759" s="142" t="s">
        <v>6</v>
      </c>
      <c r="H2759" s="142" t="s">
        <v>5</v>
      </c>
      <c r="I2759">
        <v>2</v>
      </c>
      <c r="J2759">
        <v>20</v>
      </c>
      <c r="K2759" s="142" t="s">
        <v>10</v>
      </c>
      <c r="L2759">
        <v>57739</v>
      </c>
      <c r="M2759">
        <v>53.381</v>
      </c>
      <c r="N2759">
        <v>57739</v>
      </c>
      <c r="O2759">
        <v>53.128</v>
      </c>
    </row>
    <row r="2760" spans="1:15" x14ac:dyDescent="0.25">
      <c r="A2760" s="142" t="s">
        <v>3080</v>
      </c>
      <c r="B2760" s="142" t="s">
        <v>2830</v>
      </c>
      <c r="C2760" s="142" t="s">
        <v>8</v>
      </c>
      <c r="D2760">
        <v>1</v>
      </c>
      <c r="E2760">
        <v>10</v>
      </c>
      <c r="F2760">
        <v>0.1</v>
      </c>
      <c r="G2760" s="142" t="s">
        <v>6</v>
      </c>
      <c r="H2760" s="142" t="s">
        <v>4</v>
      </c>
      <c r="I2760">
        <v>0.01</v>
      </c>
      <c r="J2760">
        <v>2</v>
      </c>
      <c r="K2760" s="142" t="s">
        <v>10</v>
      </c>
      <c r="L2760">
        <v>57.765999999999998</v>
      </c>
      <c r="M2760">
        <v>0.1391</v>
      </c>
      <c r="N2760">
        <v>57.765000000000001</v>
      </c>
      <c r="O2760">
        <v>0.13813</v>
      </c>
    </row>
    <row r="2761" spans="1:15" x14ac:dyDescent="0.25">
      <c r="A2761" s="142" t="s">
        <v>3081</v>
      </c>
      <c r="B2761" s="142" t="s">
        <v>2830</v>
      </c>
      <c r="C2761" s="142" t="s">
        <v>8</v>
      </c>
      <c r="D2761">
        <v>1</v>
      </c>
      <c r="E2761">
        <v>10</v>
      </c>
      <c r="F2761">
        <v>0.1</v>
      </c>
      <c r="G2761" s="142" t="s">
        <v>6</v>
      </c>
      <c r="H2761" s="142" t="s">
        <v>4</v>
      </c>
      <c r="I2761">
        <v>2</v>
      </c>
      <c r="J2761">
        <v>20</v>
      </c>
      <c r="K2761" s="142" t="s">
        <v>10</v>
      </c>
      <c r="L2761">
        <v>58.073</v>
      </c>
      <c r="M2761">
        <v>0.51336999999999999</v>
      </c>
      <c r="N2761">
        <v>58.064</v>
      </c>
      <c r="O2761">
        <v>0.51215999999999995</v>
      </c>
    </row>
    <row r="2762" spans="1:15" x14ac:dyDescent="0.25">
      <c r="A2762" s="142" t="s">
        <v>3082</v>
      </c>
      <c r="B2762" s="142" t="s">
        <v>2830</v>
      </c>
      <c r="C2762" s="142" t="s">
        <v>8</v>
      </c>
      <c r="D2762">
        <v>10</v>
      </c>
      <c r="E2762">
        <v>100</v>
      </c>
      <c r="F2762">
        <v>0.1</v>
      </c>
      <c r="G2762" s="142" t="s">
        <v>6</v>
      </c>
      <c r="H2762" s="142" t="s">
        <v>4</v>
      </c>
      <c r="I2762">
        <v>0.04</v>
      </c>
      <c r="J2762">
        <v>1</v>
      </c>
      <c r="K2762" s="142" t="s">
        <v>10</v>
      </c>
      <c r="L2762">
        <v>65.075999999999993</v>
      </c>
      <c r="M2762">
        <v>0.76909000000000005</v>
      </c>
      <c r="N2762">
        <v>64.997</v>
      </c>
      <c r="O2762">
        <v>0.76749999999999996</v>
      </c>
    </row>
    <row r="2763" spans="1:15" x14ac:dyDescent="0.25">
      <c r="A2763" s="142" t="s">
        <v>3083</v>
      </c>
      <c r="B2763" s="142" t="s">
        <v>2830</v>
      </c>
      <c r="C2763" s="142" t="s">
        <v>8</v>
      </c>
      <c r="D2763">
        <v>100</v>
      </c>
      <c r="E2763">
        <v>1020</v>
      </c>
      <c r="F2763">
        <v>0.1</v>
      </c>
      <c r="G2763" s="142" t="s">
        <v>6</v>
      </c>
      <c r="H2763" s="142" t="s">
        <v>4</v>
      </c>
      <c r="I2763">
        <v>0.04</v>
      </c>
      <c r="J2763">
        <v>1</v>
      </c>
      <c r="K2763" s="142" t="s">
        <v>10</v>
      </c>
      <c r="L2763">
        <v>360</v>
      </c>
      <c r="M2763">
        <v>1.1141000000000001</v>
      </c>
      <c r="N2763">
        <v>341.11</v>
      </c>
      <c r="O2763">
        <v>1.1138999999999999</v>
      </c>
    </row>
    <row r="2764" spans="1:15" x14ac:dyDescent="0.25">
      <c r="A2764" s="142" t="s">
        <v>3084</v>
      </c>
      <c r="B2764" s="142" t="s">
        <v>2830</v>
      </c>
      <c r="C2764" s="142" t="s">
        <v>8</v>
      </c>
      <c r="D2764">
        <v>1</v>
      </c>
      <c r="E2764">
        <v>10</v>
      </c>
      <c r="F2764">
        <v>1</v>
      </c>
      <c r="G2764" s="142" t="s">
        <v>6</v>
      </c>
      <c r="H2764" s="142" t="s">
        <v>4</v>
      </c>
      <c r="I2764">
        <v>0.01</v>
      </c>
      <c r="J2764">
        <v>2</v>
      </c>
      <c r="K2764" s="142" t="s">
        <v>10</v>
      </c>
      <c r="L2764">
        <v>577.36</v>
      </c>
      <c r="M2764">
        <v>1.4397E-2</v>
      </c>
      <c r="N2764">
        <v>577.36</v>
      </c>
      <c r="O2764">
        <v>1.4E-2</v>
      </c>
    </row>
    <row r="2765" spans="1:15" x14ac:dyDescent="0.25">
      <c r="A2765" s="142" t="s">
        <v>3085</v>
      </c>
      <c r="B2765" s="142" t="s">
        <v>2830</v>
      </c>
      <c r="C2765" s="142" t="s">
        <v>8</v>
      </c>
      <c r="D2765">
        <v>1</v>
      </c>
      <c r="E2765">
        <v>10</v>
      </c>
      <c r="F2765">
        <v>1</v>
      </c>
      <c r="G2765" s="142" t="s">
        <v>6</v>
      </c>
      <c r="H2765" s="142" t="s">
        <v>4</v>
      </c>
      <c r="I2765">
        <v>2</v>
      </c>
      <c r="J2765">
        <v>20</v>
      </c>
      <c r="K2765" s="142" t="s">
        <v>10</v>
      </c>
      <c r="L2765">
        <v>577.39</v>
      </c>
      <c r="M2765">
        <v>5.4542E-2</v>
      </c>
      <c r="N2765">
        <v>577.39</v>
      </c>
      <c r="O2765">
        <v>5.3976000000000003E-2</v>
      </c>
    </row>
    <row r="2766" spans="1:15" x14ac:dyDescent="0.25">
      <c r="A2766" s="142" t="s">
        <v>3086</v>
      </c>
      <c r="B2766" s="142" t="s">
        <v>2830</v>
      </c>
      <c r="C2766" s="142" t="s">
        <v>8</v>
      </c>
      <c r="D2766">
        <v>10</v>
      </c>
      <c r="E2766">
        <v>100</v>
      </c>
      <c r="F2766">
        <v>1</v>
      </c>
      <c r="G2766" s="142" t="s">
        <v>6</v>
      </c>
      <c r="H2766" s="142" t="s">
        <v>4</v>
      </c>
      <c r="I2766">
        <v>0.04</v>
      </c>
      <c r="J2766">
        <v>1</v>
      </c>
      <c r="K2766" s="142" t="s">
        <v>10</v>
      </c>
      <c r="L2766">
        <v>577.66</v>
      </c>
      <c r="M2766">
        <v>0.14257</v>
      </c>
      <c r="N2766">
        <v>577.63</v>
      </c>
      <c r="O2766">
        <v>0.14057</v>
      </c>
    </row>
    <row r="2767" spans="1:15" x14ac:dyDescent="0.25">
      <c r="A2767" s="142" t="s">
        <v>3087</v>
      </c>
      <c r="B2767" s="142" t="s">
        <v>2830</v>
      </c>
      <c r="C2767" s="142" t="s">
        <v>8</v>
      </c>
      <c r="D2767">
        <v>100</v>
      </c>
      <c r="E2767">
        <v>1020</v>
      </c>
      <c r="F2767">
        <v>1</v>
      </c>
      <c r="G2767" s="142" t="s">
        <v>6</v>
      </c>
      <c r="H2767" s="142" t="s">
        <v>4</v>
      </c>
      <c r="I2767">
        <v>0.04</v>
      </c>
      <c r="J2767">
        <v>1</v>
      </c>
      <c r="K2767" s="142" t="s">
        <v>10</v>
      </c>
      <c r="L2767">
        <v>639.27</v>
      </c>
      <c r="M2767">
        <v>0.92932000000000003</v>
      </c>
      <c r="N2767">
        <v>638.46</v>
      </c>
      <c r="O2767">
        <v>0.92803000000000002</v>
      </c>
    </row>
    <row r="2768" spans="1:15" x14ac:dyDescent="0.25">
      <c r="A2768" s="142" t="s">
        <v>3088</v>
      </c>
      <c r="B2768" s="142" t="s">
        <v>2830</v>
      </c>
      <c r="C2768" s="142" t="s">
        <v>8</v>
      </c>
      <c r="D2768">
        <v>10</v>
      </c>
      <c r="E2768">
        <v>100</v>
      </c>
      <c r="F2768">
        <v>10</v>
      </c>
      <c r="G2768" s="142" t="s">
        <v>6</v>
      </c>
      <c r="H2768" s="142" t="s">
        <v>4</v>
      </c>
      <c r="I2768">
        <v>0.04</v>
      </c>
      <c r="J2768">
        <v>1</v>
      </c>
      <c r="K2768" s="142" t="s">
        <v>10</v>
      </c>
      <c r="L2768">
        <v>5773.6</v>
      </c>
      <c r="M2768">
        <v>1.5076000000000001E-2</v>
      </c>
      <c r="N2768">
        <v>5773.6</v>
      </c>
      <c r="O2768">
        <v>1.4250000000000001E-2</v>
      </c>
    </row>
    <row r="2769" spans="1:15" x14ac:dyDescent="0.25">
      <c r="A2769" s="142" t="s">
        <v>3089</v>
      </c>
      <c r="B2769" s="142" t="s">
        <v>2830</v>
      </c>
      <c r="C2769" s="142" t="s">
        <v>8</v>
      </c>
      <c r="D2769">
        <v>100</v>
      </c>
      <c r="E2769">
        <v>1020</v>
      </c>
      <c r="F2769">
        <v>10</v>
      </c>
      <c r="G2769" s="142" t="s">
        <v>6</v>
      </c>
      <c r="H2769" s="142" t="s">
        <v>4</v>
      </c>
      <c r="I2769">
        <v>0.04</v>
      </c>
      <c r="J2769">
        <v>1</v>
      </c>
      <c r="K2769" s="142" t="s">
        <v>10</v>
      </c>
      <c r="L2769">
        <v>5773</v>
      </c>
      <c r="M2769">
        <v>0.18489</v>
      </c>
      <c r="N2769">
        <v>5772.7</v>
      </c>
      <c r="O2769">
        <v>0.18293999999999999</v>
      </c>
    </row>
    <row r="2770" spans="1:15" x14ac:dyDescent="0.25">
      <c r="A2770" s="142" t="s">
        <v>3090</v>
      </c>
      <c r="B2770" s="142" t="s">
        <v>2830</v>
      </c>
      <c r="C2770" s="142" t="s">
        <v>8</v>
      </c>
      <c r="D2770">
        <v>100</v>
      </c>
      <c r="E2770">
        <v>1020</v>
      </c>
      <c r="F2770">
        <v>100</v>
      </c>
      <c r="G2770" s="142" t="s">
        <v>6</v>
      </c>
      <c r="H2770" s="142" t="s">
        <v>4</v>
      </c>
      <c r="I2770">
        <v>0.04</v>
      </c>
      <c r="J2770">
        <v>1</v>
      </c>
      <c r="K2770" s="142" t="s">
        <v>10</v>
      </c>
      <c r="L2770">
        <v>57736</v>
      </c>
      <c r="M2770">
        <v>1.9421000000000001E-2</v>
      </c>
      <c r="N2770">
        <v>57735</v>
      </c>
      <c r="O2770">
        <v>1.8613000000000001E-2</v>
      </c>
    </row>
    <row r="2771" spans="1:15" x14ac:dyDescent="0.25">
      <c r="A2771" s="142" t="s">
        <v>2831</v>
      </c>
      <c r="B2771" s="142" t="s">
        <v>2830</v>
      </c>
      <c r="C2771" s="142" t="s">
        <v>14</v>
      </c>
      <c r="D2771">
        <v>1.0000000000000001E-9</v>
      </c>
      <c r="E2771">
        <v>1E-8</v>
      </c>
      <c r="F2771">
        <v>9.9999999999999998E-13</v>
      </c>
      <c r="G2771" s="142" t="s">
        <v>102</v>
      </c>
      <c r="H2771" s="142" t="s">
        <v>15</v>
      </c>
      <c r="I2771">
        <v>0</v>
      </c>
      <c r="J2771">
        <v>0</v>
      </c>
      <c r="K2771" s="142" t="s">
        <v>1674</v>
      </c>
      <c r="L2771">
        <v>3.5999999999999997E-2</v>
      </c>
      <c r="M2771">
        <v>6600000</v>
      </c>
      <c r="N2771">
        <v>3.5476000000000001E-2</v>
      </c>
      <c r="O2771">
        <v>6559300</v>
      </c>
    </row>
    <row r="2772" spans="1:15" x14ac:dyDescent="0.25">
      <c r="A2772" s="142" t="s">
        <v>2832</v>
      </c>
      <c r="B2772" s="142" t="s">
        <v>2830</v>
      </c>
      <c r="C2772" s="142" t="s">
        <v>14</v>
      </c>
      <c r="D2772">
        <v>1.0000000000000001E-9</v>
      </c>
      <c r="E2772">
        <v>1E-8</v>
      </c>
      <c r="F2772">
        <v>9.9999999999999994E-12</v>
      </c>
      <c r="G2772" s="142" t="s">
        <v>102</v>
      </c>
      <c r="H2772" s="142" t="s">
        <v>15</v>
      </c>
      <c r="I2772">
        <v>0</v>
      </c>
      <c r="J2772">
        <v>0</v>
      </c>
      <c r="K2772" s="142" t="s">
        <v>1674</v>
      </c>
      <c r="L2772">
        <v>3.5999999999999997E-2</v>
      </c>
      <c r="M2772">
        <v>6536700</v>
      </c>
      <c r="N2772">
        <v>3.5893000000000001E-2</v>
      </c>
      <c r="O2772">
        <v>6534200</v>
      </c>
    </row>
    <row r="2773" spans="1:15" x14ac:dyDescent="0.25">
      <c r="A2773" s="142" t="s">
        <v>2833</v>
      </c>
      <c r="B2773" s="142" t="s">
        <v>2830</v>
      </c>
      <c r="C2773" s="142" t="s">
        <v>14</v>
      </c>
      <c r="D2773">
        <v>1E-8</v>
      </c>
      <c r="E2773">
        <v>9.9999999999999995E-8</v>
      </c>
      <c r="F2773">
        <v>9.9999999999999994E-12</v>
      </c>
      <c r="G2773" s="142" t="s">
        <v>102</v>
      </c>
      <c r="H2773" s="142" t="s">
        <v>15</v>
      </c>
      <c r="I2773">
        <v>0</v>
      </c>
      <c r="J2773">
        <v>0</v>
      </c>
      <c r="K2773" s="142" t="s">
        <v>1674</v>
      </c>
      <c r="L2773">
        <v>0.5</v>
      </c>
      <c r="M2773">
        <v>5800000</v>
      </c>
      <c r="N2773">
        <v>0.48988999999999999</v>
      </c>
      <c r="O2773">
        <v>5801600</v>
      </c>
    </row>
    <row r="2774" spans="1:15" x14ac:dyDescent="0.25">
      <c r="A2774" s="142" t="s">
        <v>2834</v>
      </c>
      <c r="B2774" s="142" t="s">
        <v>2830</v>
      </c>
      <c r="C2774" s="142" t="s">
        <v>14</v>
      </c>
      <c r="D2774">
        <v>1.0000000000000001E-9</v>
      </c>
      <c r="E2774">
        <v>1E-8</v>
      </c>
      <c r="F2774">
        <v>1E-10</v>
      </c>
      <c r="G2774" s="142" t="s">
        <v>102</v>
      </c>
      <c r="H2774" s="142" t="s">
        <v>15</v>
      </c>
      <c r="I2774">
        <v>0</v>
      </c>
      <c r="J2774">
        <v>0</v>
      </c>
      <c r="K2774" s="142" t="s">
        <v>1674</v>
      </c>
      <c r="L2774">
        <v>6.6424999999999998E-2</v>
      </c>
      <c r="M2774">
        <v>5023200</v>
      </c>
      <c r="N2774">
        <v>6.6402000000000003E-2</v>
      </c>
      <c r="O2774">
        <v>5012600</v>
      </c>
    </row>
    <row r="2775" spans="1:15" x14ac:dyDescent="0.25">
      <c r="A2775" s="142" t="s">
        <v>2835</v>
      </c>
      <c r="B2775" s="142" t="s">
        <v>2830</v>
      </c>
      <c r="C2775" s="142" t="s">
        <v>14</v>
      </c>
      <c r="D2775">
        <v>1E-8</v>
      </c>
      <c r="E2775">
        <v>9.9999999999999995E-8</v>
      </c>
      <c r="F2775">
        <v>1E-10</v>
      </c>
      <c r="G2775" s="142" t="s">
        <v>102</v>
      </c>
      <c r="H2775" s="142" t="s">
        <v>15</v>
      </c>
      <c r="I2775">
        <v>0</v>
      </c>
      <c r="J2775">
        <v>0</v>
      </c>
      <c r="K2775" s="142" t="s">
        <v>1674</v>
      </c>
      <c r="L2775">
        <v>0.5</v>
      </c>
      <c r="M2775">
        <v>5788200</v>
      </c>
      <c r="N2775">
        <v>0.49306</v>
      </c>
      <c r="O2775">
        <v>5785500</v>
      </c>
    </row>
    <row r="2776" spans="1:15" x14ac:dyDescent="0.25">
      <c r="A2776" s="142" t="s">
        <v>2836</v>
      </c>
      <c r="B2776" s="142" t="s">
        <v>2830</v>
      </c>
      <c r="C2776" s="142" t="s">
        <v>14</v>
      </c>
      <c r="D2776">
        <v>9.9999999999999995E-8</v>
      </c>
      <c r="E2776">
        <v>9.9999999999999995E-7</v>
      </c>
      <c r="F2776">
        <v>1E-10</v>
      </c>
      <c r="G2776" s="142" t="s">
        <v>102</v>
      </c>
      <c r="H2776" s="142" t="s">
        <v>15</v>
      </c>
      <c r="I2776">
        <v>0</v>
      </c>
      <c r="J2776">
        <v>0</v>
      </c>
      <c r="K2776" s="142" t="s">
        <v>1674</v>
      </c>
      <c r="L2776">
        <v>6.2</v>
      </c>
      <c r="M2776">
        <v>5200000</v>
      </c>
      <c r="N2776">
        <v>6.1439000000000004</v>
      </c>
      <c r="O2776">
        <v>5209500</v>
      </c>
    </row>
    <row r="2777" spans="1:15" x14ac:dyDescent="0.25">
      <c r="A2777" s="142" t="s">
        <v>2837</v>
      </c>
      <c r="B2777" s="142" t="s">
        <v>2830</v>
      </c>
      <c r="C2777" s="142" t="s">
        <v>14</v>
      </c>
      <c r="D2777">
        <v>1.0000000000000001E-9</v>
      </c>
      <c r="E2777">
        <v>1E-8</v>
      </c>
      <c r="F2777">
        <v>1.0000000000000001E-9</v>
      </c>
      <c r="G2777" s="142" t="s">
        <v>102</v>
      </c>
      <c r="H2777" s="142" t="s">
        <v>15</v>
      </c>
      <c r="I2777">
        <v>0</v>
      </c>
      <c r="J2777">
        <v>0</v>
      </c>
      <c r="K2777" s="142" t="s">
        <v>1674</v>
      </c>
      <c r="L2777">
        <v>0.57862999999999998</v>
      </c>
      <c r="M2777">
        <v>1104800</v>
      </c>
      <c r="N2777">
        <v>0.57862999999999998</v>
      </c>
      <c r="O2777">
        <v>1095300</v>
      </c>
    </row>
    <row r="2778" spans="1:15" x14ac:dyDescent="0.25">
      <c r="A2778" s="142" t="s">
        <v>2838</v>
      </c>
      <c r="B2778" s="142" t="s">
        <v>2830</v>
      </c>
      <c r="C2778" s="142" t="s">
        <v>14</v>
      </c>
      <c r="D2778">
        <v>1E-8</v>
      </c>
      <c r="E2778">
        <v>9.9999999999999995E-8</v>
      </c>
      <c r="F2778">
        <v>1.0000000000000001E-9</v>
      </c>
      <c r="G2778" s="142" t="s">
        <v>102</v>
      </c>
      <c r="H2778" s="142" t="s">
        <v>15</v>
      </c>
      <c r="I2778">
        <v>0</v>
      </c>
      <c r="J2778">
        <v>0</v>
      </c>
      <c r="K2778" s="142" t="s">
        <v>1674</v>
      </c>
      <c r="L2778">
        <v>0.74933000000000005</v>
      </c>
      <c r="M2778">
        <v>4690300</v>
      </c>
      <c r="N2778">
        <v>0.74914000000000003</v>
      </c>
      <c r="O2778">
        <v>4679800</v>
      </c>
    </row>
    <row r="2779" spans="1:15" x14ac:dyDescent="0.25">
      <c r="A2779" s="142" t="s">
        <v>2839</v>
      </c>
      <c r="B2779" s="142" t="s">
        <v>2830</v>
      </c>
      <c r="C2779" s="142" t="s">
        <v>14</v>
      </c>
      <c r="D2779">
        <v>9.9999999999999995E-8</v>
      </c>
      <c r="E2779">
        <v>9.9999999999999995E-7</v>
      </c>
      <c r="F2779">
        <v>1.0000000000000001E-9</v>
      </c>
      <c r="G2779" s="142" t="s">
        <v>102</v>
      </c>
      <c r="H2779" s="142" t="s">
        <v>15</v>
      </c>
      <c r="I2779">
        <v>0</v>
      </c>
      <c r="J2779">
        <v>0</v>
      </c>
      <c r="K2779" s="142" t="s">
        <v>1674</v>
      </c>
      <c r="L2779">
        <v>6.2</v>
      </c>
      <c r="M2779">
        <v>5201100</v>
      </c>
      <c r="N2779">
        <v>6.1698000000000004</v>
      </c>
      <c r="O2779">
        <v>5198400</v>
      </c>
    </row>
    <row r="2780" spans="1:15" x14ac:dyDescent="0.25">
      <c r="A2780" s="142" t="s">
        <v>2840</v>
      </c>
      <c r="B2780" s="142" t="s">
        <v>2830</v>
      </c>
      <c r="C2780" s="142" t="s">
        <v>14</v>
      </c>
      <c r="D2780">
        <v>1.0000000000000001E-9</v>
      </c>
      <c r="E2780">
        <v>1E-8</v>
      </c>
      <c r="F2780">
        <v>1E-8</v>
      </c>
      <c r="G2780" s="142" t="s">
        <v>102</v>
      </c>
      <c r="H2780" s="142" t="s">
        <v>15</v>
      </c>
      <c r="I2780">
        <v>0</v>
      </c>
      <c r="J2780">
        <v>0</v>
      </c>
      <c r="K2780" s="142" t="s">
        <v>1674</v>
      </c>
      <c r="L2780">
        <v>5.7903000000000002</v>
      </c>
      <c r="M2780">
        <v>3024400</v>
      </c>
      <c r="N2780">
        <v>5.7903000000000002</v>
      </c>
      <c r="O2780">
        <v>3020500</v>
      </c>
    </row>
    <row r="2781" spans="1:15" x14ac:dyDescent="0.25">
      <c r="A2781" s="142" t="s">
        <v>2841</v>
      </c>
      <c r="B2781" s="142" t="s">
        <v>2830</v>
      </c>
      <c r="C2781" s="142" t="s">
        <v>14</v>
      </c>
      <c r="D2781">
        <v>1E-8</v>
      </c>
      <c r="E2781">
        <v>9.9999999999999995E-8</v>
      </c>
      <c r="F2781">
        <v>1E-8</v>
      </c>
      <c r="G2781" s="142" t="s">
        <v>102</v>
      </c>
      <c r="H2781" s="142" t="s">
        <v>15</v>
      </c>
      <c r="I2781">
        <v>0</v>
      </c>
      <c r="J2781">
        <v>0</v>
      </c>
      <c r="K2781" s="142" t="s">
        <v>1674</v>
      </c>
      <c r="L2781">
        <v>5.7969999999999997</v>
      </c>
      <c r="M2781">
        <v>1102800</v>
      </c>
      <c r="N2781">
        <v>5.7969999999999997</v>
      </c>
      <c r="O2781">
        <v>1093300</v>
      </c>
    </row>
    <row r="2782" spans="1:15" x14ac:dyDescent="0.25">
      <c r="A2782" s="142" t="s">
        <v>2842</v>
      </c>
      <c r="B2782" s="142" t="s">
        <v>2830</v>
      </c>
      <c r="C2782" s="142" t="s">
        <v>14</v>
      </c>
      <c r="D2782">
        <v>9.9999999999999995E-8</v>
      </c>
      <c r="E2782">
        <v>9.9999999999999995E-7</v>
      </c>
      <c r="F2782">
        <v>1E-8</v>
      </c>
      <c r="G2782" s="142" t="s">
        <v>102</v>
      </c>
      <c r="H2782" s="142" t="s">
        <v>15</v>
      </c>
      <c r="I2782">
        <v>0</v>
      </c>
      <c r="J2782">
        <v>0</v>
      </c>
      <c r="K2782" s="142" t="s">
        <v>1674</v>
      </c>
      <c r="L2782">
        <v>8.3825000000000003</v>
      </c>
      <c r="M2782">
        <v>4378300</v>
      </c>
      <c r="N2782">
        <v>8.3808000000000007</v>
      </c>
      <c r="O2782">
        <v>4368200</v>
      </c>
    </row>
    <row r="2783" spans="1:15" x14ac:dyDescent="0.25">
      <c r="A2783" s="142" t="s">
        <v>2843</v>
      </c>
      <c r="B2783" s="142" t="s">
        <v>2830</v>
      </c>
      <c r="C2783" s="142" t="s">
        <v>14</v>
      </c>
      <c r="D2783">
        <v>1E-8</v>
      </c>
      <c r="E2783">
        <v>9.9999999999999995E-8</v>
      </c>
      <c r="F2783">
        <v>9.9999999999999995E-8</v>
      </c>
      <c r="G2783" s="142" t="s">
        <v>102</v>
      </c>
      <c r="H2783" s="142" t="s">
        <v>15</v>
      </c>
      <c r="I2783">
        <v>0</v>
      </c>
      <c r="J2783">
        <v>0</v>
      </c>
      <c r="K2783" s="142" t="s">
        <v>1674</v>
      </c>
      <c r="L2783">
        <v>57.904000000000003</v>
      </c>
      <c r="M2783">
        <v>3024300</v>
      </c>
      <c r="N2783">
        <v>57.904000000000003</v>
      </c>
      <c r="O2783">
        <v>3020400</v>
      </c>
    </row>
    <row r="2784" spans="1:15" x14ac:dyDescent="0.25">
      <c r="A2784" s="142" t="s">
        <v>2844</v>
      </c>
      <c r="B2784" s="142" t="s">
        <v>2830</v>
      </c>
      <c r="C2784" s="142" t="s">
        <v>14</v>
      </c>
      <c r="D2784">
        <v>9.9999999999999995E-8</v>
      </c>
      <c r="E2784">
        <v>9.9999999999999995E-7</v>
      </c>
      <c r="F2784">
        <v>9.9999999999999995E-8</v>
      </c>
      <c r="G2784" s="142" t="s">
        <v>102</v>
      </c>
      <c r="H2784" s="142" t="s">
        <v>15</v>
      </c>
      <c r="I2784">
        <v>0</v>
      </c>
      <c r="J2784">
        <v>0</v>
      </c>
      <c r="K2784" s="142" t="s">
        <v>1674</v>
      </c>
      <c r="L2784">
        <v>58.094000000000001</v>
      </c>
      <c r="M2784">
        <v>1100500</v>
      </c>
      <c r="N2784">
        <v>58.094000000000001</v>
      </c>
      <c r="O2784">
        <v>1091000</v>
      </c>
    </row>
    <row r="2785" spans="1:15" x14ac:dyDescent="0.25">
      <c r="A2785" s="142" t="s">
        <v>2845</v>
      </c>
      <c r="B2785" s="142" t="s">
        <v>2830</v>
      </c>
      <c r="C2785" s="142" t="s">
        <v>14</v>
      </c>
      <c r="D2785">
        <v>9.9999999999999995E-8</v>
      </c>
      <c r="E2785">
        <v>9.9999999999999995E-7</v>
      </c>
      <c r="F2785">
        <v>9.9999999999999995E-7</v>
      </c>
      <c r="G2785" s="142" t="s">
        <v>102</v>
      </c>
      <c r="H2785" s="142" t="s">
        <v>15</v>
      </c>
      <c r="I2785">
        <v>0</v>
      </c>
      <c r="J2785">
        <v>0</v>
      </c>
      <c r="K2785" s="142" t="s">
        <v>1674</v>
      </c>
      <c r="L2785">
        <v>579.04999999999995</v>
      </c>
      <c r="M2785">
        <v>3024200</v>
      </c>
      <c r="N2785">
        <v>579.04999999999995</v>
      </c>
      <c r="O2785">
        <v>3020300</v>
      </c>
    </row>
    <row r="2786" spans="1:15" x14ac:dyDescent="0.25">
      <c r="A2786" s="142" t="s">
        <v>2846</v>
      </c>
      <c r="B2786" s="142" t="s">
        <v>2830</v>
      </c>
      <c r="C2786" s="142" t="s">
        <v>85</v>
      </c>
      <c r="D2786">
        <v>-210</v>
      </c>
      <c r="E2786">
        <v>-100</v>
      </c>
      <c r="F2786">
        <v>0.1</v>
      </c>
      <c r="G2786" s="142" t="s">
        <v>23</v>
      </c>
      <c r="H2786" s="142" t="s">
        <v>23</v>
      </c>
      <c r="I2786">
        <v>0</v>
      </c>
      <c r="J2786">
        <v>0</v>
      </c>
      <c r="K2786" s="142" t="s">
        <v>1674</v>
      </c>
      <c r="L2786">
        <v>1.3460795586909999</v>
      </c>
      <c r="M2786">
        <v>0</v>
      </c>
      <c r="N2786">
        <v>1.3448069606140001</v>
      </c>
      <c r="O2786">
        <v>0</v>
      </c>
    </row>
    <row r="2787" spans="1:15" x14ac:dyDescent="0.25">
      <c r="A2787" s="142" t="s">
        <v>2847</v>
      </c>
      <c r="B2787" s="142" t="s">
        <v>2830</v>
      </c>
      <c r="C2787" s="142" t="s">
        <v>85</v>
      </c>
      <c r="D2787">
        <v>-100</v>
      </c>
      <c r="E2787">
        <v>150</v>
      </c>
      <c r="F2787">
        <v>0.1</v>
      </c>
      <c r="G2787" s="142" t="s">
        <v>23</v>
      </c>
      <c r="H2787" s="142" t="s">
        <v>23</v>
      </c>
      <c r="I2787">
        <v>0</v>
      </c>
      <c r="J2787">
        <v>0</v>
      </c>
      <c r="K2787" s="142" t="s">
        <v>1674</v>
      </c>
      <c r="L2787">
        <v>1.066462549593</v>
      </c>
      <c r="M2787">
        <v>0</v>
      </c>
      <c r="N2787">
        <v>1.065307969537</v>
      </c>
      <c r="O2787">
        <v>0</v>
      </c>
    </row>
    <row r="2788" spans="1:15" x14ac:dyDescent="0.25">
      <c r="A2788" s="142" t="s">
        <v>2848</v>
      </c>
      <c r="B2788" s="142" t="s">
        <v>2830</v>
      </c>
      <c r="C2788" s="142" t="s">
        <v>85</v>
      </c>
      <c r="D2788">
        <v>150</v>
      </c>
      <c r="E2788">
        <v>760</v>
      </c>
      <c r="F2788">
        <v>0.1</v>
      </c>
      <c r="G2788" s="142" t="s">
        <v>23</v>
      </c>
      <c r="H2788" s="142" t="s">
        <v>23</v>
      </c>
      <c r="I2788">
        <v>0</v>
      </c>
      <c r="J2788">
        <v>0</v>
      </c>
      <c r="K2788" s="142" t="s">
        <v>1674</v>
      </c>
      <c r="L2788">
        <v>1.1341934752839999</v>
      </c>
      <c r="M2788">
        <v>0</v>
      </c>
      <c r="N2788">
        <v>1.133886790941</v>
      </c>
      <c r="O2788">
        <v>0</v>
      </c>
    </row>
    <row r="2789" spans="1:15" x14ac:dyDescent="0.25">
      <c r="A2789" s="142" t="s">
        <v>2849</v>
      </c>
      <c r="B2789" s="142" t="s">
        <v>2830</v>
      </c>
      <c r="C2789" s="142" t="s">
        <v>85</v>
      </c>
      <c r="D2789">
        <v>760</v>
      </c>
      <c r="E2789">
        <v>1200</v>
      </c>
      <c r="F2789">
        <v>0.1</v>
      </c>
      <c r="G2789" s="142" t="s">
        <v>23</v>
      </c>
      <c r="H2789" s="142" t="s">
        <v>23</v>
      </c>
      <c r="I2789">
        <v>0</v>
      </c>
      <c r="J2789">
        <v>0</v>
      </c>
      <c r="K2789" s="142" t="s">
        <v>1674</v>
      </c>
      <c r="L2789">
        <v>1.249497729165</v>
      </c>
      <c r="M2789">
        <v>0</v>
      </c>
      <c r="N2789">
        <v>1.2492193524290001</v>
      </c>
      <c r="O2789">
        <v>0</v>
      </c>
    </row>
    <row r="2790" spans="1:15" x14ac:dyDescent="0.25">
      <c r="A2790" s="142" t="s">
        <v>2850</v>
      </c>
      <c r="B2790" s="142" t="s">
        <v>2830</v>
      </c>
      <c r="C2790" s="142" t="s">
        <v>85</v>
      </c>
      <c r="D2790">
        <v>-210</v>
      </c>
      <c r="E2790">
        <v>-100</v>
      </c>
      <c r="F2790">
        <v>1</v>
      </c>
      <c r="G2790" s="142" t="s">
        <v>23</v>
      </c>
      <c r="H2790" s="142" t="s">
        <v>23</v>
      </c>
      <c r="I2790">
        <v>0</v>
      </c>
      <c r="J2790">
        <v>0</v>
      </c>
      <c r="K2790" s="142" t="s">
        <v>1674</v>
      </c>
      <c r="L2790">
        <v>1.467039000625</v>
      </c>
      <c r="M2790">
        <v>0</v>
      </c>
      <c r="N2790">
        <v>1.462363074382</v>
      </c>
      <c r="O2790">
        <v>0</v>
      </c>
    </row>
    <row r="2791" spans="1:15" x14ac:dyDescent="0.25">
      <c r="A2791" s="142" t="s">
        <v>2851</v>
      </c>
      <c r="B2791" s="142" t="s">
        <v>2830</v>
      </c>
      <c r="C2791" s="142" t="s">
        <v>85</v>
      </c>
      <c r="D2791">
        <v>-100</v>
      </c>
      <c r="E2791">
        <v>150</v>
      </c>
      <c r="F2791">
        <v>1</v>
      </c>
      <c r="G2791" s="142" t="s">
        <v>23</v>
      </c>
      <c r="H2791" s="142" t="s">
        <v>23</v>
      </c>
      <c r="I2791">
        <v>0</v>
      </c>
      <c r="J2791">
        <v>0</v>
      </c>
      <c r="K2791" s="142" t="s">
        <v>1674</v>
      </c>
      <c r="L2791">
        <v>1.214383081594</v>
      </c>
      <c r="M2791">
        <v>0</v>
      </c>
      <c r="N2791">
        <v>1.210322713147</v>
      </c>
      <c r="O2791">
        <v>0</v>
      </c>
    </row>
    <row r="2792" spans="1:15" x14ac:dyDescent="0.25">
      <c r="A2792" s="142" t="s">
        <v>2852</v>
      </c>
      <c r="B2792" s="142" t="s">
        <v>2830</v>
      </c>
      <c r="C2792" s="142" t="s">
        <v>85</v>
      </c>
      <c r="D2792">
        <v>150</v>
      </c>
      <c r="E2792">
        <v>760</v>
      </c>
      <c r="F2792">
        <v>1</v>
      </c>
      <c r="G2792" s="142" t="s">
        <v>23</v>
      </c>
      <c r="H2792" s="142" t="s">
        <v>23</v>
      </c>
      <c r="I2792">
        <v>0</v>
      </c>
      <c r="J2792">
        <v>0</v>
      </c>
      <c r="K2792" s="142" t="s">
        <v>1674</v>
      </c>
      <c r="L2792">
        <v>1.27219557989</v>
      </c>
      <c r="M2792">
        <v>0</v>
      </c>
      <c r="N2792">
        <v>1.271101591011</v>
      </c>
      <c r="O2792">
        <v>0</v>
      </c>
    </row>
    <row r="2793" spans="1:15" x14ac:dyDescent="0.25">
      <c r="A2793" s="142" t="s">
        <v>2853</v>
      </c>
      <c r="B2793" s="142" t="s">
        <v>2830</v>
      </c>
      <c r="C2793" s="142" t="s">
        <v>85</v>
      </c>
      <c r="D2793">
        <v>760</v>
      </c>
      <c r="E2793">
        <v>1200</v>
      </c>
      <c r="F2793">
        <v>1</v>
      </c>
      <c r="G2793" s="142" t="s">
        <v>23</v>
      </c>
      <c r="H2793" s="142" t="s">
        <v>23</v>
      </c>
      <c r="I2793">
        <v>0</v>
      </c>
      <c r="J2793">
        <v>0</v>
      </c>
      <c r="K2793" s="142" t="s">
        <v>1674</v>
      </c>
      <c r="L2793">
        <v>1.37598376782</v>
      </c>
      <c r="M2793">
        <v>0</v>
      </c>
      <c r="N2793">
        <v>1.3749723598979999</v>
      </c>
      <c r="O2793">
        <v>0</v>
      </c>
    </row>
    <row r="2794" spans="1:15" x14ac:dyDescent="0.25">
      <c r="A2794" s="142" t="s">
        <v>2854</v>
      </c>
      <c r="B2794" s="142" t="s">
        <v>2830</v>
      </c>
      <c r="C2794" s="142" t="s">
        <v>84</v>
      </c>
      <c r="D2794">
        <v>-200</v>
      </c>
      <c r="E2794">
        <v>-100</v>
      </c>
      <c r="F2794">
        <v>0.1</v>
      </c>
      <c r="G2794" s="142" t="s">
        <v>23</v>
      </c>
      <c r="H2794" s="142" t="s">
        <v>23</v>
      </c>
      <c r="I2794">
        <v>0</v>
      </c>
      <c r="J2794">
        <v>0</v>
      </c>
      <c r="K2794" s="142" t="s">
        <v>1674</v>
      </c>
      <c r="L2794">
        <v>1.439755064449</v>
      </c>
      <c r="M2794">
        <v>0</v>
      </c>
      <c r="N2794">
        <v>1.4381747431259999</v>
      </c>
      <c r="O2794">
        <v>0</v>
      </c>
    </row>
    <row r="2795" spans="1:15" x14ac:dyDescent="0.25">
      <c r="A2795" s="142" t="s">
        <v>2855</v>
      </c>
      <c r="B2795" s="142" t="s">
        <v>2830</v>
      </c>
      <c r="C2795" s="142" t="s">
        <v>84</v>
      </c>
      <c r="D2795">
        <v>-100</v>
      </c>
      <c r="E2795">
        <v>120</v>
      </c>
      <c r="F2795">
        <v>0.1</v>
      </c>
      <c r="G2795" s="142" t="s">
        <v>23</v>
      </c>
      <c r="H2795" s="142" t="s">
        <v>23</v>
      </c>
      <c r="I2795">
        <v>0</v>
      </c>
      <c r="J2795">
        <v>0</v>
      </c>
      <c r="K2795" s="142" t="s">
        <v>1674</v>
      </c>
      <c r="L2795">
        <v>1.160049146705</v>
      </c>
      <c r="M2795">
        <v>0</v>
      </c>
      <c r="N2795">
        <v>1.158087202645</v>
      </c>
      <c r="O2795">
        <v>0</v>
      </c>
    </row>
    <row r="2796" spans="1:15" x14ac:dyDescent="0.25">
      <c r="A2796" s="142" t="s">
        <v>2856</v>
      </c>
      <c r="B2796" s="142" t="s">
        <v>2830</v>
      </c>
      <c r="C2796" s="142" t="s">
        <v>84</v>
      </c>
      <c r="D2796">
        <v>120</v>
      </c>
      <c r="E2796">
        <v>1370</v>
      </c>
      <c r="F2796">
        <v>0.1</v>
      </c>
      <c r="G2796" s="142" t="s">
        <v>23</v>
      </c>
      <c r="H2796" s="142" t="s">
        <v>23</v>
      </c>
      <c r="I2796">
        <v>0</v>
      </c>
      <c r="J2796">
        <v>0</v>
      </c>
      <c r="K2796" s="142" t="s">
        <v>1674</v>
      </c>
      <c r="L2796">
        <v>1.4120823717469999</v>
      </c>
      <c r="M2796">
        <v>0</v>
      </c>
      <c r="N2796">
        <v>1.411267460271</v>
      </c>
      <c r="O2796">
        <v>0</v>
      </c>
    </row>
    <row r="2797" spans="1:15" x14ac:dyDescent="0.25">
      <c r="A2797" s="142" t="s">
        <v>2857</v>
      </c>
      <c r="B2797" s="142" t="s">
        <v>2830</v>
      </c>
      <c r="C2797" s="142" t="s">
        <v>84</v>
      </c>
      <c r="D2797">
        <v>-200</v>
      </c>
      <c r="E2797">
        <v>-100</v>
      </c>
      <c r="F2797">
        <v>1</v>
      </c>
      <c r="G2797" s="142" t="s">
        <v>23</v>
      </c>
      <c r="H2797" s="142" t="s">
        <v>23</v>
      </c>
      <c r="I2797">
        <v>0</v>
      </c>
      <c r="J2797">
        <v>0</v>
      </c>
      <c r="K2797" s="142" t="s">
        <v>1674</v>
      </c>
      <c r="L2797">
        <v>1.5545220510269999</v>
      </c>
      <c r="M2797">
        <v>0</v>
      </c>
      <c r="N2797">
        <v>1.5486596113310001</v>
      </c>
      <c r="O2797">
        <v>0</v>
      </c>
    </row>
    <row r="2798" spans="1:15" x14ac:dyDescent="0.25">
      <c r="A2798" s="142" t="s">
        <v>2858</v>
      </c>
      <c r="B2798" s="142" t="s">
        <v>2830</v>
      </c>
      <c r="C2798" s="142" t="s">
        <v>84</v>
      </c>
      <c r="D2798">
        <v>-100</v>
      </c>
      <c r="E2798">
        <v>120</v>
      </c>
      <c r="F2798">
        <v>1</v>
      </c>
      <c r="G2798" s="142" t="s">
        <v>23</v>
      </c>
      <c r="H2798" s="142" t="s">
        <v>23</v>
      </c>
      <c r="I2798">
        <v>0</v>
      </c>
      <c r="J2798">
        <v>0</v>
      </c>
      <c r="K2798" s="142" t="s">
        <v>1674</v>
      </c>
      <c r="L2798">
        <v>1.2997531243639999</v>
      </c>
      <c r="M2798">
        <v>0</v>
      </c>
      <c r="N2798">
        <v>1.2927358465400001</v>
      </c>
      <c r="O2798">
        <v>0</v>
      </c>
    </row>
    <row r="2799" spans="1:15" x14ac:dyDescent="0.25">
      <c r="A2799" s="142" t="s">
        <v>2859</v>
      </c>
      <c r="B2799" s="142" t="s">
        <v>2830</v>
      </c>
      <c r="C2799" s="142" t="s">
        <v>84</v>
      </c>
      <c r="D2799">
        <v>120</v>
      </c>
      <c r="E2799">
        <v>1370</v>
      </c>
      <c r="F2799">
        <v>1</v>
      </c>
      <c r="G2799" s="142" t="s">
        <v>23</v>
      </c>
      <c r="H2799" s="142" t="s">
        <v>23</v>
      </c>
      <c r="I2799">
        <v>0</v>
      </c>
      <c r="J2799">
        <v>0</v>
      </c>
      <c r="K2799" s="142" t="s">
        <v>1674</v>
      </c>
      <c r="L2799">
        <v>1.5267216397009999</v>
      </c>
      <c r="M2799">
        <v>0</v>
      </c>
      <c r="N2799">
        <v>1.5237046447460001</v>
      </c>
      <c r="O2799">
        <v>0</v>
      </c>
    </row>
    <row r="2800" spans="1:15" x14ac:dyDescent="0.25">
      <c r="A2800" s="142" t="s">
        <v>2860</v>
      </c>
      <c r="B2800" s="142" t="s">
        <v>2830</v>
      </c>
      <c r="C2800" s="142" t="s">
        <v>87</v>
      </c>
      <c r="D2800">
        <v>-200</v>
      </c>
      <c r="E2800">
        <v>-100</v>
      </c>
      <c r="F2800">
        <v>0.1</v>
      </c>
      <c r="G2800" s="142" t="s">
        <v>23</v>
      </c>
      <c r="H2800" s="142" t="s">
        <v>23</v>
      </c>
      <c r="I2800">
        <v>0</v>
      </c>
      <c r="J2800">
        <v>0</v>
      </c>
      <c r="K2800" s="142" t="s">
        <v>1674</v>
      </c>
      <c r="L2800">
        <v>1.7820036995349999</v>
      </c>
      <c r="M2800">
        <v>0</v>
      </c>
      <c r="N2800">
        <v>1.7806369905799999</v>
      </c>
      <c r="O2800">
        <v>0</v>
      </c>
    </row>
    <row r="2801" spans="1:15" x14ac:dyDescent="0.25">
      <c r="A2801" s="142" t="s">
        <v>2861</v>
      </c>
      <c r="B2801" s="142" t="s">
        <v>2830</v>
      </c>
      <c r="C2801" s="142" t="s">
        <v>87</v>
      </c>
      <c r="D2801">
        <v>-100</v>
      </c>
      <c r="E2801">
        <v>410</v>
      </c>
      <c r="F2801">
        <v>0.1</v>
      </c>
      <c r="G2801" s="142" t="s">
        <v>23</v>
      </c>
      <c r="H2801" s="142" t="s">
        <v>23</v>
      </c>
      <c r="I2801">
        <v>0</v>
      </c>
      <c r="J2801">
        <v>0</v>
      </c>
      <c r="K2801" s="142" t="s">
        <v>1674</v>
      </c>
      <c r="L2801">
        <v>1.2762020275020001</v>
      </c>
      <c r="M2801">
        <v>0</v>
      </c>
      <c r="N2801">
        <v>1.2748596777650001</v>
      </c>
      <c r="O2801">
        <v>0</v>
      </c>
    </row>
    <row r="2802" spans="1:15" x14ac:dyDescent="0.25">
      <c r="A2802" s="142" t="s">
        <v>2862</v>
      </c>
      <c r="B2802" s="142" t="s">
        <v>2830</v>
      </c>
      <c r="C2802" s="142" t="s">
        <v>87</v>
      </c>
      <c r="D2802">
        <v>410</v>
      </c>
      <c r="E2802">
        <v>1300</v>
      </c>
      <c r="F2802">
        <v>0.1</v>
      </c>
      <c r="G2802" s="142" t="s">
        <v>23</v>
      </c>
      <c r="H2802" s="142" t="s">
        <v>23</v>
      </c>
      <c r="I2802">
        <v>0</v>
      </c>
      <c r="J2802">
        <v>0</v>
      </c>
      <c r="K2802" s="142" t="s">
        <v>1674</v>
      </c>
      <c r="L2802">
        <v>1.3657911635390001</v>
      </c>
      <c r="M2802">
        <v>0</v>
      </c>
      <c r="N2802">
        <v>1.3650662113309999</v>
      </c>
      <c r="O2802">
        <v>0</v>
      </c>
    </row>
    <row r="2803" spans="1:15" x14ac:dyDescent="0.25">
      <c r="A2803" s="142" t="s">
        <v>2863</v>
      </c>
      <c r="B2803" s="142" t="s">
        <v>2830</v>
      </c>
      <c r="C2803" s="142" t="s">
        <v>87</v>
      </c>
      <c r="D2803">
        <v>-200</v>
      </c>
      <c r="E2803">
        <v>-100</v>
      </c>
      <c r="F2803">
        <v>1</v>
      </c>
      <c r="G2803" s="142" t="s">
        <v>23</v>
      </c>
      <c r="H2803" s="142" t="s">
        <v>23</v>
      </c>
      <c r="I2803">
        <v>0</v>
      </c>
      <c r="J2803">
        <v>0</v>
      </c>
      <c r="K2803" s="142" t="s">
        <v>1674</v>
      </c>
      <c r="L2803">
        <v>1.8762048033100001</v>
      </c>
      <c r="M2803">
        <v>0</v>
      </c>
      <c r="N2803">
        <v>1.8710072400240001</v>
      </c>
      <c r="O2803">
        <v>0</v>
      </c>
    </row>
    <row r="2804" spans="1:15" x14ac:dyDescent="0.25">
      <c r="A2804" s="142" t="s">
        <v>2864</v>
      </c>
      <c r="B2804" s="142" t="s">
        <v>2830</v>
      </c>
      <c r="C2804" s="142" t="s">
        <v>87</v>
      </c>
      <c r="D2804">
        <v>-100</v>
      </c>
      <c r="E2804">
        <v>410</v>
      </c>
      <c r="F2804">
        <v>1</v>
      </c>
      <c r="G2804" s="142" t="s">
        <v>23</v>
      </c>
      <c r="H2804" s="142" t="s">
        <v>23</v>
      </c>
      <c r="I2804">
        <v>0</v>
      </c>
      <c r="J2804">
        <v>0</v>
      </c>
      <c r="K2804" s="142" t="s">
        <v>1674</v>
      </c>
      <c r="L2804">
        <v>1.4031980851000001</v>
      </c>
      <c r="M2804">
        <v>0</v>
      </c>
      <c r="N2804">
        <v>1.398308691952</v>
      </c>
      <c r="O2804">
        <v>0</v>
      </c>
    </row>
    <row r="2805" spans="1:15" x14ac:dyDescent="0.25">
      <c r="A2805" s="142" t="s">
        <v>2865</v>
      </c>
      <c r="B2805" s="142" t="s">
        <v>2830</v>
      </c>
      <c r="C2805" s="142" t="s">
        <v>87</v>
      </c>
      <c r="D2805">
        <v>410</v>
      </c>
      <c r="E2805">
        <v>1300</v>
      </c>
      <c r="F2805">
        <v>1</v>
      </c>
      <c r="G2805" s="142" t="s">
        <v>23</v>
      </c>
      <c r="H2805" s="142" t="s">
        <v>23</v>
      </c>
      <c r="I2805">
        <v>0</v>
      </c>
      <c r="J2805">
        <v>0</v>
      </c>
      <c r="K2805" s="142" t="s">
        <v>1674</v>
      </c>
      <c r="L2805">
        <v>1.4836861951410001</v>
      </c>
      <c r="M2805">
        <v>0</v>
      </c>
      <c r="N2805">
        <v>1.481015111779</v>
      </c>
      <c r="O2805">
        <v>0</v>
      </c>
    </row>
    <row r="2806" spans="1:15" x14ac:dyDescent="0.25">
      <c r="A2806" s="142" t="s">
        <v>2866</v>
      </c>
      <c r="B2806" s="142" t="s">
        <v>2830</v>
      </c>
      <c r="C2806" s="142" t="s">
        <v>88</v>
      </c>
      <c r="D2806">
        <v>0</v>
      </c>
      <c r="E2806">
        <v>250</v>
      </c>
      <c r="F2806">
        <v>0.1</v>
      </c>
      <c r="G2806" s="142" t="s">
        <v>23</v>
      </c>
      <c r="H2806" s="142" t="s">
        <v>23</v>
      </c>
      <c r="I2806">
        <v>0</v>
      </c>
      <c r="J2806">
        <v>0</v>
      </c>
      <c r="K2806" s="142" t="s">
        <v>1674</v>
      </c>
      <c r="L2806">
        <v>2.6783637652209999</v>
      </c>
      <c r="M2806">
        <v>0</v>
      </c>
      <c r="N2806">
        <v>2.6774646351400002</v>
      </c>
      <c r="O2806">
        <v>0</v>
      </c>
    </row>
    <row r="2807" spans="1:15" x14ac:dyDescent="0.25">
      <c r="A2807" s="142" t="s">
        <v>2867</v>
      </c>
      <c r="B2807" s="142" t="s">
        <v>2830</v>
      </c>
      <c r="C2807" s="142" t="s">
        <v>88</v>
      </c>
      <c r="D2807">
        <v>250</v>
      </c>
      <c r="E2807">
        <v>1760</v>
      </c>
      <c r="F2807">
        <v>0.1</v>
      </c>
      <c r="G2807" s="142" t="s">
        <v>23</v>
      </c>
      <c r="H2807" s="142" t="s">
        <v>23</v>
      </c>
      <c r="I2807">
        <v>0</v>
      </c>
      <c r="J2807">
        <v>0</v>
      </c>
      <c r="K2807" s="142" t="s">
        <v>1674</v>
      </c>
      <c r="L2807">
        <v>1.9965044722600001</v>
      </c>
      <c r="M2807">
        <v>0</v>
      </c>
      <c r="N2807">
        <v>1.9954858086580001</v>
      </c>
      <c r="O2807">
        <v>0</v>
      </c>
    </row>
    <row r="2808" spans="1:15" x14ac:dyDescent="0.25">
      <c r="A2808" s="142" t="s">
        <v>2868</v>
      </c>
      <c r="B2808" s="142" t="s">
        <v>2830</v>
      </c>
      <c r="C2808" s="142" t="s">
        <v>88</v>
      </c>
      <c r="D2808">
        <v>0</v>
      </c>
      <c r="E2808">
        <v>250</v>
      </c>
      <c r="F2808">
        <v>1</v>
      </c>
      <c r="G2808" s="142" t="s">
        <v>23</v>
      </c>
      <c r="H2808" s="142" t="s">
        <v>23</v>
      </c>
      <c r="I2808">
        <v>0</v>
      </c>
      <c r="J2808">
        <v>0</v>
      </c>
      <c r="K2808" s="142" t="s">
        <v>1674</v>
      </c>
      <c r="L2808">
        <v>2.7419115992509999</v>
      </c>
      <c r="M2808">
        <v>0</v>
      </c>
      <c r="N2808">
        <v>2.7383967704529999</v>
      </c>
      <c r="O2808">
        <v>0</v>
      </c>
    </row>
    <row r="2809" spans="1:15" x14ac:dyDescent="0.25">
      <c r="A2809" s="142" t="s">
        <v>2869</v>
      </c>
      <c r="B2809" s="142" t="s">
        <v>2830</v>
      </c>
      <c r="C2809" s="142" t="s">
        <v>88</v>
      </c>
      <c r="D2809">
        <v>250</v>
      </c>
      <c r="E2809">
        <v>1760</v>
      </c>
      <c r="F2809">
        <v>1</v>
      </c>
      <c r="G2809" s="142" t="s">
        <v>23</v>
      </c>
      <c r="H2809" s="142" t="s">
        <v>23</v>
      </c>
      <c r="I2809">
        <v>0</v>
      </c>
      <c r="J2809">
        <v>0</v>
      </c>
      <c r="K2809" s="142" t="s">
        <v>1674</v>
      </c>
      <c r="L2809">
        <v>2.0804397596070001</v>
      </c>
      <c r="M2809">
        <v>0</v>
      </c>
      <c r="N2809">
        <v>2.0765268147940001</v>
      </c>
      <c r="O2809">
        <v>0</v>
      </c>
    </row>
    <row r="2810" spans="1:15" x14ac:dyDescent="0.25">
      <c r="A2810" s="142" t="s">
        <v>2870</v>
      </c>
      <c r="B2810" s="142" t="s">
        <v>2830</v>
      </c>
      <c r="C2810" s="142" t="s">
        <v>89</v>
      </c>
      <c r="D2810">
        <v>0</v>
      </c>
      <c r="E2810">
        <v>250</v>
      </c>
      <c r="F2810">
        <v>0.1</v>
      </c>
      <c r="G2810" s="142" t="s">
        <v>23</v>
      </c>
      <c r="H2810" s="142" t="s">
        <v>23</v>
      </c>
      <c r="I2810">
        <v>0</v>
      </c>
      <c r="J2810">
        <v>0</v>
      </c>
      <c r="K2810" s="142" t="s">
        <v>1674</v>
      </c>
      <c r="L2810">
        <v>2.678343787832</v>
      </c>
      <c r="M2810">
        <v>0</v>
      </c>
      <c r="N2810">
        <v>2.6774646351400002</v>
      </c>
      <c r="O2810">
        <v>0</v>
      </c>
    </row>
    <row r="2811" spans="1:15" x14ac:dyDescent="0.25">
      <c r="A2811" s="142" t="s">
        <v>2871</v>
      </c>
      <c r="B2811" s="142" t="s">
        <v>2830</v>
      </c>
      <c r="C2811" s="142" t="s">
        <v>89</v>
      </c>
      <c r="D2811">
        <v>250</v>
      </c>
      <c r="E2811">
        <v>1760</v>
      </c>
      <c r="F2811">
        <v>0.1</v>
      </c>
      <c r="G2811" s="142" t="s">
        <v>23</v>
      </c>
      <c r="H2811" s="142" t="s">
        <v>23</v>
      </c>
      <c r="I2811">
        <v>0</v>
      </c>
      <c r="J2811">
        <v>0</v>
      </c>
      <c r="K2811" s="142" t="s">
        <v>1674</v>
      </c>
      <c r="L2811">
        <v>2.0005886565119999</v>
      </c>
      <c r="M2811">
        <v>0</v>
      </c>
      <c r="N2811">
        <v>1.9995720735610001</v>
      </c>
      <c r="O2811">
        <v>0</v>
      </c>
    </row>
    <row r="2812" spans="1:15" x14ac:dyDescent="0.25">
      <c r="A2812" s="142" t="s">
        <v>2872</v>
      </c>
      <c r="B2812" s="142" t="s">
        <v>2830</v>
      </c>
      <c r="C2812" s="142" t="s">
        <v>89</v>
      </c>
      <c r="D2812">
        <v>0</v>
      </c>
      <c r="E2812">
        <v>250</v>
      </c>
      <c r="F2812">
        <v>1</v>
      </c>
      <c r="G2812" s="142" t="s">
        <v>23</v>
      </c>
      <c r="H2812" s="142" t="s">
        <v>23</v>
      </c>
      <c r="I2812">
        <v>0</v>
      </c>
      <c r="J2812">
        <v>0</v>
      </c>
      <c r="K2812" s="142" t="s">
        <v>1674</v>
      </c>
      <c r="L2812">
        <v>2.7418335408960002</v>
      </c>
      <c r="M2812">
        <v>0</v>
      </c>
      <c r="N2812">
        <v>2.7383967704529999</v>
      </c>
      <c r="O2812">
        <v>0</v>
      </c>
    </row>
    <row r="2813" spans="1:15" x14ac:dyDescent="0.25">
      <c r="A2813" s="142" t="s">
        <v>2873</v>
      </c>
      <c r="B2813" s="142" t="s">
        <v>2830</v>
      </c>
      <c r="C2813" s="142" t="s">
        <v>89</v>
      </c>
      <c r="D2813">
        <v>250</v>
      </c>
      <c r="E2813">
        <v>1760</v>
      </c>
      <c r="F2813">
        <v>1</v>
      </c>
      <c r="G2813" s="142" t="s">
        <v>23</v>
      </c>
      <c r="H2813" s="142" t="s">
        <v>23</v>
      </c>
      <c r="I2813">
        <v>0</v>
      </c>
      <c r="J2813">
        <v>0</v>
      </c>
      <c r="K2813" s="142" t="s">
        <v>1674</v>
      </c>
      <c r="L2813">
        <v>2.0843594839090001</v>
      </c>
      <c r="M2813">
        <v>0</v>
      </c>
      <c r="N2813">
        <v>2.0804539113780001</v>
      </c>
      <c r="O2813">
        <v>0</v>
      </c>
    </row>
    <row r="2814" spans="1:15" x14ac:dyDescent="0.25">
      <c r="A2814" s="142" t="s">
        <v>2874</v>
      </c>
      <c r="B2814" s="142" t="s">
        <v>2830</v>
      </c>
      <c r="C2814" s="142" t="s">
        <v>90</v>
      </c>
      <c r="D2814">
        <v>-250</v>
      </c>
      <c r="E2814">
        <v>-150</v>
      </c>
      <c r="F2814">
        <v>0.1</v>
      </c>
      <c r="G2814" s="142" t="s">
        <v>23</v>
      </c>
      <c r="H2814" s="142" t="s">
        <v>23</v>
      </c>
      <c r="I2814">
        <v>0</v>
      </c>
      <c r="J2814">
        <v>0</v>
      </c>
      <c r="K2814" s="142" t="s">
        <v>1674</v>
      </c>
      <c r="L2814">
        <v>2.2146411807419999</v>
      </c>
      <c r="M2814">
        <v>0</v>
      </c>
      <c r="N2814">
        <v>2.2134449201140001</v>
      </c>
      <c r="O2814">
        <v>0</v>
      </c>
    </row>
    <row r="2815" spans="1:15" x14ac:dyDescent="0.25">
      <c r="A2815" s="142" t="s">
        <v>2875</v>
      </c>
      <c r="B2815" s="142" t="s">
        <v>2830</v>
      </c>
      <c r="C2815" s="142" t="s">
        <v>90</v>
      </c>
      <c r="D2815">
        <v>-150</v>
      </c>
      <c r="E2815">
        <v>400</v>
      </c>
      <c r="F2815">
        <v>0.1</v>
      </c>
      <c r="G2815" s="142" t="s">
        <v>23</v>
      </c>
      <c r="H2815" s="142" t="s">
        <v>23</v>
      </c>
      <c r="I2815">
        <v>0</v>
      </c>
      <c r="J2815">
        <v>0</v>
      </c>
      <c r="K2815" s="142" t="s">
        <v>1674</v>
      </c>
      <c r="L2815">
        <v>1.0694359707859999</v>
      </c>
      <c r="M2815">
        <v>0</v>
      </c>
      <c r="N2815">
        <v>1.067382668642</v>
      </c>
      <c r="O2815">
        <v>0</v>
      </c>
    </row>
    <row r="2816" spans="1:15" x14ac:dyDescent="0.25">
      <c r="A2816" s="142" t="s">
        <v>2876</v>
      </c>
      <c r="B2816" s="142" t="s">
        <v>2830</v>
      </c>
      <c r="C2816" s="142" t="s">
        <v>90</v>
      </c>
      <c r="D2816">
        <v>-250</v>
      </c>
      <c r="E2816">
        <v>-150</v>
      </c>
      <c r="F2816">
        <v>1</v>
      </c>
      <c r="G2816" s="142" t="s">
        <v>23</v>
      </c>
      <c r="H2816" s="142" t="s">
        <v>23</v>
      </c>
      <c r="I2816">
        <v>0</v>
      </c>
      <c r="J2816">
        <v>0</v>
      </c>
      <c r="K2816" s="142" t="s">
        <v>1674</v>
      </c>
      <c r="L2816">
        <v>2.291402844247</v>
      </c>
      <c r="M2816">
        <v>0</v>
      </c>
      <c r="N2816">
        <v>2.2867746750340001</v>
      </c>
      <c r="O2816">
        <v>0</v>
      </c>
    </row>
    <row r="2817" spans="1:15" x14ac:dyDescent="0.25">
      <c r="A2817" s="142" t="s">
        <v>2877</v>
      </c>
      <c r="B2817" s="142" t="s">
        <v>2830</v>
      </c>
      <c r="C2817" s="142" t="s">
        <v>43</v>
      </c>
      <c r="D2817">
        <v>0</v>
      </c>
      <c r="E2817">
        <v>1E-4</v>
      </c>
      <c r="F2817">
        <v>1.0000000000000001E-9</v>
      </c>
      <c r="G2817" s="142" t="s">
        <v>13</v>
      </c>
      <c r="H2817" s="142" t="s">
        <v>65</v>
      </c>
      <c r="I2817">
        <v>0</v>
      </c>
      <c r="J2817">
        <v>0</v>
      </c>
      <c r="K2817" s="142" t="s">
        <v>1674</v>
      </c>
      <c r="L2817">
        <v>35</v>
      </c>
      <c r="M2817">
        <v>350000</v>
      </c>
      <c r="N2817">
        <v>34.933</v>
      </c>
      <c r="O2817">
        <v>349170</v>
      </c>
    </row>
    <row r="2818" spans="1:15" x14ac:dyDescent="0.25">
      <c r="A2818" s="142" t="s">
        <v>2878</v>
      </c>
      <c r="B2818" s="142" t="s">
        <v>2830</v>
      </c>
      <c r="C2818" s="142" t="s">
        <v>43</v>
      </c>
      <c r="D2818">
        <v>0</v>
      </c>
      <c r="E2818">
        <v>1E-4</v>
      </c>
      <c r="F2818">
        <v>1E-8</v>
      </c>
      <c r="G2818" s="142" t="s">
        <v>13</v>
      </c>
      <c r="H2818" s="142" t="s">
        <v>65</v>
      </c>
      <c r="I2818">
        <v>0</v>
      </c>
      <c r="J2818">
        <v>0</v>
      </c>
      <c r="K2818" s="142" t="s">
        <v>1674</v>
      </c>
      <c r="L2818">
        <v>35.368000000000002</v>
      </c>
      <c r="M2818">
        <v>346810</v>
      </c>
      <c r="N2818">
        <v>35.366</v>
      </c>
      <c r="O2818">
        <v>346810</v>
      </c>
    </row>
    <row r="2819" spans="1:15" x14ac:dyDescent="0.25">
      <c r="A2819" s="142" t="s">
        <v>2879</v>
      </c>
      <c r="B2819" s="142" t="s">
        <v>2830</v>
      </c>
      <c r="C2819" s="142" t="s">
        <v>43</v>
      </c>
      <c r="D2819">
        <v>1E-4</v>
      </c>
      <c r="E2819">
        <v>1E-3</v>
      </c>
      <c r="F2819">
        <v>1E-8</v>
      </c>
      <c r="G2819" s="142" t="s">
        <v>13</v>
      </c>
      <c r="H2819" s="142" t="s">
        <v>65</v>
      </c>
      <c r="I2819">
        <v>0</v>
      </c>
      <c r="J2819">
        <v>0</v>
      </c>
      <c r="K2819" s="142" t="s">
        <v>1674</v>
      </c>
      <c r="L2819">
        <v>120</v>
      </c>
      <c r="M2819">
        <v>350000</v>
      </c>
      <c r="N2819">
        <v>115.86</v>
      </c>
      <c r="O2819">
        <v>347000</v>
      </c>
    </row>
    <row r="2820" spans="1:15" x14ac:dyDescent="0.25">
      <c r="A2820" s="142" t="s">
        <v>2880</v>
      </c>
      <c r="B2820" s="142" t="s">
        <v>2830</v>
      </c>
      <c r="C2820" s="142" t="s">
        <v>43</v>
      </c>
      <c r="D2820">
        <v>0</v>
      </c>
      <c r="E2820">
        <v>1E-4</v>
      </c>
      <c r="F2820">
        <v>9.9999999999999995E-8</v>
      </c>
      <c r="G2820" s="142" t="s">
        <v>13</v>
      </c>
      <c r="H2820" s="142" t="s">
        <v>65</v>
      </c>
      <c r="I2820">
        <v>0</v>
      </c>
      <c r="J2820">
        <v>0</v>
      </c>
      <c r="K2820" s="142" t="s">
        <v>1674</v>
      </c>
      <c r="L2820">
        <v>67.34</v>
      </c>
      <c r="M2820">
        <v>230750</v>
      </c>
      <c r="N2820">
        <v>67.335999999999999</v>
      </c>
      <c r="O2820">
        <v>230720</v>
      </c>
    </row>
    <row r="2821" spans="1:15" x14ac:dyDescent="0.25">
      <c r="A2821" s="142" t="s">
        <v>2881</v>
      </c>
      <c r="B2821" s="142" t="s">
        <v>2830</v>
      </c>
      <c r="C2821" s="142" t="s">
        <v>43</v>
      </c>
      <c r="D2821">
        <v>1E-4</v>
      </c>
      <c r="E2821">
        <v>1E-3</v>
      </c>
      <c r="F2821">
        <v>9.9999999999999995E-8</v>
      </c>
      <c r="G2821" s="142" t="s">
        <v>13</v>
      </c>
      <c r="H2821" s="142" t="s">
        <v>65</v>
      </c>
      <c r="I2821">
        <v>0</v>
      </c>
      <c r="J2821">
        <v>0</v>
      </c>
      <c r="K2821" s="142" t="s">
        <v>1674</v>
      </c>
      <c r="L2821">
        <v>127.29</v>
      </c>
      <c r="M2821">
        <v>339170</v>
      </c>
      <c r="N2821">
        <v>127.24</v>
      </c>
      <c r="O2821">
        <v>339180</v>
      </c>
    </row>
    <row r="2822" spans="1:15" x14ac:dyDescent="0.25">
      <c r="A2822" s="142" t="s">
        <v>2882</v>
      </c>
      <c r="B2822" s="142" t="s">
        <v>2830</v>
      </c>
      <c r="C2822" s="142" t="s">
        <v>43</v>
      </c>
      <c r="D2822">
        <v>1E-3</v>
      </c>
      <c r="E2822">
        <v>0.01</v>
      </c>
      <c r="F2822">
        <v>9.9999999999999995E-8</v>
      </c>
      <c r="G2822" s="142" t="s">
        <v>13</v>
      </c>
      <c r="H2822" s="142" t="s">
        <v>11</v>
      </c>
      <c r="I2822">
        <v>0</v>
      </c>
      <c r="J2822">
        <v>0</v>
      </c>
      <c r="K2822" s="142" t="s">
        <v>1674</v>
      </c>
      <c r="L2822">
        <v>1.2</v>
      </c>
      <c r="M2822">
        <v>350</v>
      </c>
      <c r="N2822">
        <v>1.1597</v>
      </c>
      <c r="O2822">
        <v>346.89</v>
      </c>
    </row>
    <row r="2823" spans="1:15" x14ac:dyDescent="0.25">
      <c r="A2823" s="142" t="s">
        <v>2883</v>
      </c>
      <c r="B2823" s="142" t="s">
        <v>2830</v>
      </c>
      <c r="C2823" s="142" t="s">
        <v>43</v>
      </c>
      <c r="D2823">
        <v>0</v>
      </c>
      <c r="E2823">
        <v>1E-4</v>
      </c>
      <c r="F2823">
        <v>9.9999999999999995E-7</v>
      </c>
      <c r="G2823" s="142" t="s">
        <v>13</v>
      </c>
      <c r="H2823" s="142" t="s">
        <v>65</v>
      </c>
      <c r="I2823">
        <v>0</v>
      </c>
      <c r="J2823">
        <v>0</v>
      </c>
      <c r="K2823" s="142" t="s">
        <v>1674</v>
      </c>
      <c r="L2823">
        <v>578.4</v>
      </c>
      <c r="M2823">
        <v>31405</v>
      </c>
      <c r="N2823">
        <v>578.39</v>
      </c>
      <c r="O2823">
        <v>31376</v>
      </c>
    </row>
    <row r="2824" spans="1:15" x14ac:dyDescent="0.25">
      <c r="A2824" s="142" t="s">
        <v>2884</v>
      </c>
      <c r="B2824" s="142" t="s">
        <v>2830</v>
      </c>
      <c r="C2824" s="142" t="s">
        <v>43</v>
      </c>
      <c r="D2824">
        <v>1E-4</v>
      </c>
      <c r="E2824">
        <v>1E-3</v>
      </c>
      <c r="F2824">
        <v>9.9999999999999995E-7</v>
      </c>
      <c r="G2824" s="142" t="s">
        <v>13</v>
      </c>
      <c r="H2824" s="142" t="s">
        <v>65</v>
      </c>
      <c r="I2824">
        <v>0</v>
      </c>
      <c r="J2824">
        <v>0</v>
      </c>
      <c r="K2824" s="142" t="s">
        <v>1674</v>
      </c>
      <c r="L2824">
        <v>580.76</v>
      </c>
      <c r="M2824">
        <v>159300</v>
      </c>
      <c r="N2824">
        <v>580.72</v>
      </c>
      <c r="O2824">
        <v>159250</v>
      </c>
    </row>
    <row r="2825" spans="1:15" x14ac:dyDescent="0.25">
      <c r="A2825" s="142" t="s">
        <v>2885</v>
      </c>
      <c r="B2825" s="142" t="s">
        <v>2830</v>
      </c>
      <c r="C2825" s="142" t="s">
        <v>43</v>
      </c>
      <c r="D2825">
        <v>1E-3</v>
      </c>
      <c r="E2825">
        <v>0.01</v>
      </c>
      <c r="F2825">
        <v>9.9999999999999995E-7</v>
      </c>
      <c r="G2825" s="142" t="s">
        <v>13</v>
      </c>
      <c r="H2825" s="142" t="s">
        <v>11</v>
      </c>
      <c r="I2825">
        <v>0</v>
      </c>
      <c r="J2825">
        <v>0</v>
      </c>
      <c r="K2825" s="142" t="s">
        <v>1674</v>
      </c>
      <c r="L2825">
        <v>1.2739</v>
      </c>
      <c r="M2825">
        <v>339.07</v>
      </c>
      <c r="N2825">
        <v>1.2734000000000001</v>
      </c>
      <c r="O2825">
        <v>339.08</v>
      </c>
    </row>
    <row r="2826" spans="1:15" x14ac:dyDescent="0.25">
      <c r="A2826" s="142" t="s">
        <v>2886</v>
      </c>
      <c r="B2826" s="142" t="s">
        <v>2830</v>
      </c>
      <c r="C2826" s="142" t="s">
        <v>43</v>
      </c>
      <c r="D2826">
        <v>0.01</v>
      </c>
      <c r="E2826">
        <v>0.1</v>
      </c>
      <c r="F2826">
        <v>9.9999999999999995E-7</v>
      </c>
      <c r="G2826" s="142" t="s">
        <v>13</v>
      </c>
      <c r="H2826" s="142" t="s">
        <v>11</v>
      </c>
      <c r="I2826">
        <v>0</v>
      </c>
      <c r="J2826">
        <v>0</v>
      </c>
      <c r="K2826" s="142" t="s">
        <v>1674</v>
      </c>
      <c r="L2826">
        <v>12</v>
      </c>
      <c r="M2826">
        <v>350</v>
      </c>
      <c r="N2826">
        <v>11.589</v>
      </c>
      <c r="O2826">
        <v>348.45</v>
      </c>
    </row>
    <row r="2827" spans="1:15" x14ac:dyDescent="0.25">
      <c r="A2827" s="142" t="s">
        <v>2887</v>
      </c>
      <c r="B2827" s="142" t="s">
        <v>2830</v>
      </c>
      <c r="C2827" s="142" t="s">
        <v>43</v>
      </c>
      <c r="D2827">
        <v>0</v>
      </c>
      <c r="E2827">
        <v>1E-4</v>
      </c>
      <c r="F2827">
        <v>1.0000000000000001E-5</v>
      </c>
      <c r="G2827" s="142" t="s">
        <v>13</v>
      </c>
      <c r="H2827" s="142" t="s">
        <v>65</v>
      </c>
      <c r="I2827">
        <v>0</v>
      </c>
      <c r="J2827">
        <v>0</v>
      </c>
      <c r="K2827" s="142" t="s">
        <v>1674</v>
      </c>
      <c r="L2827">
        <v>5773.7</v>
      </c>
      <c r="M2827">
        <v>3163.2</v>
      </c>
      <c r="N2827">
        <v>5773.7</v>
      </c>
      <c r="O2827">
        <v>3151.6</v>
      </c>
    </row>
    <row r="2828" spans="1:15" x14ac:dyDescent="0.25">
      <c r="A2828" s="142" t="s">
        <v>2888</v>
      </c>
      <c r="B2828" s="142" t="s">
        <v>2830</v>
      </c>
      <c r="C2828" s="142" t="s">
        <v>43</v>
      </c>
      <c r="D2828">
        <v>1E-4</v>
      </c>
      <c r="E2828">
        <v>1E-3</v>
      </c>
      <c r="F2828">
        <v>1.0000000000000001E-5</v>
      </c>
      <c r="G2828" s="142" t="s">
        <v>13</v>
      </c>
      <c r="H2828" s="142" t="s">
        <v>65</v>
      </c>
      <c r="I2828">
        <v>0</v>
      </c>
      <c r="J2828">
        <v>0</v>
      </c>
      <c r="K2828" s="142" t="s">
        <v>1674</v>
      </c>
      <c r="L2828">
        <v>5773.7</v>
      </c>
      <c r="M2828">
        <v>18430</v>
      </c>
      <c r="N2828">
        <v>5773.7</v>
      </c>
      <c r="O2828">
        <v>18401</v>
      </c>
    </row>
    <row r="2829" spans="1:15" x14ac:dyDescent="0.25">
      <c r="A2829" s="142" t="s">
        <v>2889</v>
      </c>
      <c r="B2829" s="142" t="s">
        <v>2830</v>
      </c>
      <c r="C2829" s="142" t="s">
        <v>43</v>
      </c>
      <c r="D2829">
        <v>1E-3</v>
      </c>
      <c r="E2829">
        <v>0.01</v>
      </c>
      <c r="F2829">
        <v>1.0000000000000001E-5</v>
      </c>
      <c r="G2829" s="142" t="s">
        <v>13</v>
      </c>
      <c r="H2829" s="142" t="s">
        <v>11</v>
      </c>
      <c r="I2829">
        <v>0</v>
      </c>
      <c r="J2829">
        <v>0</v>
      </c>
      <c r="K2829" s="142" t="s">
        <v>1674</v>
      </c>
      <c r="L2829">
        <v>5.8079000000000001</v>
      </c>
      <c r="M2829">
        <v>159.28</v>
      </c>
      <c r="N2829">
        <v>5.8074000000000003</v>
      </c>
      <c r="O2829">
        <v>159.22999999999999</v>
      </c>
    </row>
    <row r="2830" spans="1:15" x14ac:dyDescent="0.25">
      <c r="A2830" s="142" t="s">
        <v>2890</v>
      </c>
      <c r="B2830" s="142" t="s">
        <v>2830</v>
      </c>
      <c r="C2830" s="142" t="s">
        <v>43</v>
      </c>
      <c r="D2830">
        <v>0.01</v>
      </c>
      <c r="E2830">
        <v>0.1</v>
      </c>
      <c r="F2830">
        <v>1.0000000000000001E-5</v>
      </c>
      <c r="G2830" s="142" t="s">
        <v>13</v>
      </c>
      <c r="H2830" s="142" t="s">
        <v>11</v>
      </c>
      <c r="I2830">
        <v>0</v>
      </c>
      <c r="J2830">
        <v>0</v>
      </c>
      <c r="K2830" s="142" t="s">
        <v>1674</v>
      </c>
      <c r="L2830">
        <v>12.73</v>
      </c>
      <c r="M2830">
        <v>340.62</v>
      </c>
      <c r="N2830">
        <v>12.725</v>
      </c>
      <c r="O2830">
        <v>340.63</v>
      </c>
    </row>
    <row r="2831" spans="1:15" x14ac:dyDescent="0.25">
      <c r="A2831" s="142" t="s">
        <v>2891</v>
      </c>
      <c r="B2831" s="142" t="s">
        <v>2830</v>
      </c>
      <c r="C2831" s="142" t="s">
        <v>43</v>
      </c>
      <c r="D2831">
        <v>0.1</v>
      </c>
      <c r="E2831">
        <v>1</v>
      </c>
      <c r="F2831">
        <v>1.0000000000000001E-5</v>
      </c>
      <c r="G2831" s="142" t="s">
        <v>13</v>
      </c>
      <c r="H2831" s="142" t="s">
        <v>11</v>
      </c>
      <c r="I2831">
        <v>0</v>
      </c>
      <c r="J2831">
        <v>0</v>
      </c>
      <c r="K2831" s="142" t="s">
        <v>1674</v>
      </c>
      <c r="L2831">
        <v>180</v>
      </c>
      <c r="M2831">
        <v>370</v>
      </c>
      <c r="N2831">
        <v>172.98</v>
      </c>
      <c r="O2831">
        <v>365.23</v>
      </c>
    </row>
    <row r="2832" spans="1:15" x14ac:dyDescent="0.25">
      <c r="A2832" s="142" t="s">
        <v>2892</v>
      </c>
      <c r="B2832" s="142" t="s">
        <v>2830</v>
      </c>
      <c r="C2832" s="142" t="s">
        <v>43</v>
      </c>
      <c r="D2832">
        <v>1E-4</v>
      </c>
      <c r="E2832">
        <v>1E-3</v>
      </c>
      <c r="F2832">
        <v>1E-4</v>
      </c>
      <c r="G2832" s="142" t="s">
        <v>13</v>
      </c>
      <c r="H2832" s="142" t="s">
        <v>65</v>
      </c>
      <c r="I2832">
        <v>0</v>
      </c>
      <c r="J2832">
        <v>0</v>
      </c>
      <c r="K2832" s="142" t="s">
        <v>1674</v>
      </c>
      <c r="L2832">
        <v>57736</v>
      </c>
      <c r="M2832">
        <v>1854.7</v>
      </c>
      <c r="N2832">
        <v>57736</v>
      </c>
      <c r="O2832">
        <v>1843.4</v>
      </c>
    </row>
    <row r="2833" spans="1:15" x14ac:dyDescent="0.25">
      <c r="A2833" s="142" t="s">
        <v>2893</v>
      </c>
      <c r="B2833" s="142" t="s">
        <v>2830</v>
      </c>
      <c r="C2833" s="142" t="s">
        <v>43</v>
      </c>
      <c r="D2833">
        <v>1E-3</v>
      </c>
      <c r="E2833">
        <v>0.01</v>
      </c>
      <c r="F2833">
        <v>1E-4</v>
      </c>
      <c r="G2833" s="142" t="s">
        <v>13</v>
      </c>
      <c r="H2833" s="142" t="s">
        <v>11</v>
      </c>
      <c r="I2833">
        <v>0</v>
      </c>
      <c r="J2833">
        <v>0</v>
      </c>
      <c r="K2833" s="142" t="s">
        <v>1674</v>
      </c>
      <c r="L2833">
        <v>57.737000000000002</v>
      </c>
      <c r="M2833">
        <v>18.431000000000001</v>
      </c>
      <c r="N2833">
        <v>57.737000000000002</v>
      </c>
      <c r="O2833">
        <v>18.399000000000001</v>
      </c>
    </row>
    <row r="2834" spans="1:15" x14ac:dyDescent="0.25">
      <c r="A2834" s="142" t="s">
        <v>2894</v>
      </c>
      <c r="B2834" s="142" t="s">
        <v>2830</v>
      </c>
      <c r="C2834" s="142" t="s">
        <v>43</v>
      </c>
      <c r="D2834">
        <v>0.01</v>
      </c>
      <c r="E2834">
        <v>0.1</v>
      </c>
      <c r="F2834">
        <v>1E-4</v>
      </c>
      <c r="G2834" s="142" t="s">
        <v>13</v>
      </c>
      <c r="H2834" s="142" t="s">
        <v>11</v>
      </c>
      <c r="I2834">
        <v>0</v>
      </c>
      <c r="J2834">
        <v>0</v>
      </c>
      <c r="K2834" s="142" t="s">
        <v>1674</v>
      </c>
      <c r="L2834">
        <v>58.070999999999998</v>
      </c>
      <c r="M2834">
        <v>160.28</v>
      </c>
      <c r="N2834">
        <v>58.066000000000003</v>
      </c>
      <c r="O2834">
        <v>160.22999999999999</v>
      </c>
    </row>
    <row r="2835" spans="1:15" x14ac:dyDescent="0.25">
      <c r="A2835" s="142" t="s">
        <v>2895</v>
      </c>
      <c r="B2835" s="142" t="s">
        <v>2830</v>
      </c>
      <c r="C2835" s="142" t="s">
        <v>43</v>
      </c>
      <c r="D2835">
        <v>0.1</v>
      </c>
      <c r="E2835">
        <v>1</v>
      </c>
      <c r="F2835">
        <v>1E-4</v>
      </c>
      <c r="G2835" s="142" t="s">
        <v>13</v>
      </c>
      <c r="H2835" s="142" t="s">
        <v>11</v>
      </c>
      <c r="I2835">
        <v>0</v>
      </c>
      <c r="J2835">
        <v>0</v>
      </c>
      <c r="K2835" s="142" t="s">
        <v>1674</v>
      </c>
      <c r="L2835">
        <v>181.28</v>
      </c>
      <c r="M2835">
        <v>360.03</v>
      </c>
      <c r="N2835">
        <v>181.24</v>
      </c>
      <c r="O2835">
        <v>360.03</v>
      </c>
    </row>
    <row r="2836" spans="1:15" x14ac:dyDescent="0.25">
      <c r="A2836" s="142" t="s">
        <v>2896</v>
      </c>
      <c r="B2836" s="142" t="s">
        <v>2830</v>
      </c>
      <c r="C2836" s="142" t="s">
        <v>43</v>
      </c>
      <c r="D2836">
        <v>1</v>
      </c>
      <c r="E2836">
        <v>10.199999999999999</v>
      </c>
      <c r="F2836">
        <v>1E-4</v>
      </c>
      <c r="G2836" s="142" t="s">
        <v>13</v>
      </c>
      <c r="H2836" s="142" t="s">
        <v>11</v>
      </c>
      <c r="I2836">
        <v>0</v>
      </c>
      <c r="J2836">
        <v>0</v>
      </c>
      <c r="K2836" s="142" t="s">
        <v>1674</v>
      </c>
      <c r="L2836">
        <v>2.4</v>
      </c>
      <c r="M2836">
        <v>0.59</v>
      </c>
      <c r="N2836">
        <v>2.3094999999999999</v>
      </c>
      <c r="O2836">
        <v>0.57974999999999999</v>
      </c>
    </row>
    <row r="2837" spans="1:15" x14ac:dyDescent="0.25">
      <c r="A2837" s="142" t="s">
        <v>2897</v>
      </c>
      <c r="B2837" s="142" t="s">
        <v>2830</v>
      </c>
      <c r="C2837" s="142" t="s">
        <v>43</v>
      </c>
      <c r="D2837">
        <v>1E-3</v>
      </c>
      <c r="E2837">
        <v>0.01</v>
      </c>
      <c r="F2837">
        <v>1E-3</v>
      </c>
      <c r="G2837" s="142" t="s">
        <v>13</v>
      </c>
      <c r="H2837" s="142" t="s">
        <v>11</v>
      </c>
      <c r="I2837">
        <v>0</v>
      </c>
      <c r="J2837">
        <v>0</v>
      </c>
      <c r="K2837" s="142" t="s">
        <v>1674</v>
      </c>
      <c r="L2837">
        <v>577.36</v>
      </c>
      <c r="M2837">
        <v>1.8560000000000001</v>
      </c>
      <c r="N2837">
        <v>577.36</v>
      </c>
      <c r="O2837">
        <v>1.8431</v>
      </c>
    </row>
    <row r="2838" spans="1:15" x14ac:dyDescent="0.25">
      <c r="A2838" s="142" t="s">
        <v>2898</v>
      </c>
      <c r="B2838" s="142" t="s">
        <v>2830</v>
      </c>
      <c r="C2838" s="142" t="s">
        <v>43</v>
      </c>
      <c r="D2838">
        <v>0.01</v>
      </c>
      <c r="E2838">
        <v>0.1</v>
      </c>
      <c r="F2838">
        <v>1E-3</v>
      </c>
      <c r="G2838" s="142" t="s">
        <v>13</v>
      </c>
      <c r="H2838" s="142" t="s">
        <v>11</v>
      </c>
      <c r="I2838">
        <v>0</v>
      </c>
      <c r="J2838">
        <v>0</v>
      </c>
      <c r="K2838" s="142" t="s">
        <v>1674</v>
      </c>
      <c r="L2838">
        <v>577.37</v>
      </c>
      <c r="M2838">
        <v>18.559999999999999</v>
      </c>
      <c r="N2838">
        <v>577.37</v>
      </c>
      <c r="O2838">
        <v>18.527999999999999</v>
      </c>
    </row>
    <row r="2839" spans="1:15" x14ac:dyDescent="0.25">
      <c r="A2839" s="142" t="s">
        <v>2899</v>
      </c>
      <c r="B2839" s="142" t="s">
        <v>2830</v>
      </c>
      <c r="C2839" s="142" t="s">
        <v>43</v>
      </c>
      <c r="D2839">
        <v>0.1</v>
      </c>
      <c r="E2839">
        <v>1</v>
      </c>
      <c r="F2839">
        <v>1E-3</v>
      </c>
      <c r="G2839" s="142" t="s">
        <v>13</v>
      </c>
      <c r="H2839" s="142" t="s">
        <v>11</v>
      </c>
      <c r="I2839">
        <v>0</v>
      </c>
      <c r="J2839">
        <v>0</v>
      </c>
      <c r="K2839" s="142" t="s">
        <v>1674</v>
      </c>
      <c r="L2839">
        <v>594.75</v>
      </c>
      <c r="M2839">
        <v>194.63</v>
      </c>
      <c r="N2839">
        <v>594.71</v>
      </c>
      <c r="O2839">
        <v>194.58</v>
      </c>
    </row>
    <row r="2840" spans="1:15" x14ac:dyDescent="0.25">
      <c r="A2840" s="142" t="s">
        <v>2900</v>
      </c>
      <c r="B2840" s="142" t="s">
        <v>2830</v>
      </c>
      <c r="C2840" s="142" t="s">
        <v>43</v>
      </c>
      <c r="D2840">
        <v>1</v>
      </c>
      <c r="E2840">
        <v>10.199999999999999</v>
      </c>
      <c r="F2840">
        <v>1E-3</v>
      </c>
      <c r="G2840" s="142" t="s">
        <v>13</v>
      </c>
      <c r="H2840" s="142" t="s">
        <v>11</v>
      </c>
      <c r="I2840">
        <v>0</v>
      </c>
      <c r="J2840">
        <v>0</v>
      </c>
      <c r="K2840" s="142" t="s">
        <v>1674</v>
      </c>
      <c r="L2840">
        <v>2.4</v>
      </c>
      <c r="M2840">
        <v>0.63080999999999998</v>
      </c>
      <c r="N2840">
        <v>2.3700999999999999</v>
      </c>
      <c r="O2840">
        <v>0.57577999999999996</v>
      </c>
    </row>
    <row r="2841" spans="1:15" x14ac:dyDescent="0.25">
      <c r="A2841" s="142" t="s">
        <v>2901</v>
      </c>
      <c r="B2841" s="142" t="s">
        <v>2830</v>
      </c>
      <c r="C2841" s="142" t="s">
        <v>43</v>
      </c>
      <c r="D2841">
        <v>0.01</v>
      </c>
      <c r="E2841">
        <v>0.1</v>
      </c>
      <c r="F2841">
        <v>0.01</v>
      </c>
      <c r="G2841" s="142" t="s">
        <v>13</v>
      </c>
      <c r="H2841" s="142" t="s">
        <v>11</v>
      </c>
      <c r="I2841">
        <v>0</v>
      </c>
      <c r="J2841">
        <v>0</v>
      </c>
      <c r="K2841" s="142" t="s">
        <v>1674</v>
      </c>
      <c r="L2841">
        <v>5773.6</v>
      </c>
      <c r="M2841">
        <v>1.8689</v>
      </c>
      <c r="N2841">
        <v>5773.6</v>
      </c>
      <c r="O2841">
        <v>1.8560000000000001</v>
      </c>
    </row>
    <row r="2842" spans="1:15" x14ac:dyDescent="0.25">
      <c r="A2842" s="142" t="s">
        <v>2902</v>
      </c>
      <c r="B2842" s="142" t="s">
        <v>2830</v>
      </c>
      <c r="C2842" s="142" t="s">
        <v>43</v>
      </c>
      <c r="D2842">
        <v>0.1</v>
      </c>
      <c r="E2842">
        <v>1</v>
      </c>
      <c r="F2842">
        <v>0.01</v>
      </c>
      <c r="G2842" s="142" t="s">
        <v>13</v>
      </c>
      <c r="H2842" s="142" t="s">
        <v>11</v>
      </c>
      <c r="I2842">
        <v>0</v>
      </c>
      <c r="J2842">
        <v>0</v>
      </c>
      <c r="K2842" s="142" t="s">
        <v>1674</v>
      </c>
      <c r="L2842">
        <v>5775</v>
      </c>
      <c r="M2842">
        <v>23.623000000000001</v>
      </c>
      <c r="N2842">
        <v>5775</v>
      </c>
      <c r="O2842">
        <v>23.591000000000001</v>
      </c>
    </row>
    <row r="2843" spans="1:15" x14ac:dyDescent="0.25">
      <c r="A2843" s="142" t="s">
        <v>2903</v>
      </c>
      <c r="B2843" s="142" t="s">
        <v>2830</v>
      </c>
      <c r="C2843" s="142" t="s">
        <v>43</v>
      </c>
      <c r="D2843">
        <v>1</v>
      </c>
      <c r="E2843">
        <v>10.199999999999999</v>
      </c>
      <c r="F2843">
        <v>0.01</v>
      </c>
      <c r="G2843" s="142" t="s">
        <v>13</v>
      </c>
      <c r="H2843" s="142" t="s">
        <v>11</v>
      </c>
      <c r="I2843">
        <v>0</v>
      </c>
      <c r="J2843">
        <v>0</v>
      </c>
      <c r="K2843" s="142" t="s">
        <v>1674</v>
      </c>
      <c r="L2843">
        <v>5.8935000000000004</v>
      </c>
      <c r="M2843">
        <v>0.56293000000000004</v>
      </c>
      <c r="N2843">
        <v>6.0655000000000001</v>
      </c>
      <c r="O2843">
        <v>0.39036999999999999</v>
      </c>
    </row>
    <row r="2844" spans="1:15" x14ac:dyDescent="0.25">
      <c r="A2844" s="142" t="s">
        <v>2904</v>
      </c>
      <c r="B2844" s="142" t="s">
        <v>2830</v>
      </c>
      <c r="C2844" s="142" t="s">
        <v>43</v>
      </c>
      <c r="D2844">
        <v>0.1</v>
      </c>
      <c r="E2844">
        <v>1</v>
      </c>
      <c r="F2844">
        <v>0.1</v>
      </c>
      <c r="G2844" s="142" t="s">
        <v>13</v>
      </c>
      <c r="H2844" s="142" t="s">
        <v>11</v>
      </c>
      <c r="I2844">
        <v>0</v>
      </c>
      <c r="J2844">
        <v>0</v>
      </c>
      <c r="K2844" s="142" t="s">
        <v>1674</v>
      </c>
      <c r="L2844">
        <v>57736</v>
      </c>
      <c r="M2844">
        <v>2.3778000000000001</v>
      </c>
      <c r="N2844">
        <v>57736</v>
      </c>
      <c r="O2844">
        <v>2.3649</v>
      </c>
    </row>
    <row r="2845" spans="1:15" x14ac:dyDescent="0.25">
      <c r="A2845" s="142" t="s">
        <v>2905</v>
      </c>
      <c r="B2845" s="142" t="s">
        <v>2830</v>
      </c>
      <c r="C2845" s="142" t="s">
        <v>43</v>
      </c>
      <c r="D2845">
        <v>1</v>
      </c>
      <c r="E2845">
        <v>10.199999999999999</v>
      </c>
      <c r="F2845">
        <v>0.1</v>
      </c>
      <c r="G2845" s="142" t="s">
        <v>13</v>
      </c>
      <c r="H2845" s="142" t="s">
        <v>11</v>
      </c>
      <c r="I2845">
        <v>0</v>
      </c>
      <c r="J2845">
        <v>0</v>
      </c>
      <c r="K2845" s="142" t="s">
        <v>1674</v>
      </c>
      <c r="L2845">
        <v>57.625</v>
      </c>
      <c r="M2845">
        <v>0.18253</v>
      </c>
      <c r="N2845">
        <v>57.752000000000002</v>
      </c>
      <c r="O2845">
        <v>5.5476999999999999E-2</v>
      </c>
    </row>
    <row r="2846" spans="1:15" x14ac:dyDescent="0.25">
      <c r="A2846" s="142" t="s">
        <v>2906</v>
      </c>
      <c r="B2846" s="142" t="s">
        <v>2830</v>
      </c>
      <c r="C2846" s="142" t="s">
        <v>43</v>
      </c>
      <c r="D2846">
        <v>1</v>
      </c>
      <c r="E2846">
        <v>10.199999999999999</v>
      </c>
      <c r="F2846">
        <v>1</v>
      </c>
      <c r="G2846" s="142" t="s">
        <v>13</v>
      </c>
      <c r="H2846" s="142" t="s">
        <v>11</v>
      </c>
      <c r="I2846">
        <v>0</v>
      </c>
      <c r="J2846">
        <v>0</v>
      </c>
      <c r="K2846" s="142" t="s">
        <v>1674</v>
      </c>
      <c r="L2846">
        <v>577.30999999999995</v>
      </c>
      <c r="M2846">
        <v>5.7402000000000002E-2</v>
      </c>
      <c r="N2846">
        <v>577.36</v>
      </c>
      <c r="O2846">
        <v>5.5789000000000004E-3</v>
      </c>
    </row>
    <row r="2847" spans="1:15" x14ac:dyDescent="0.25">
      <c r="A2847" s="142" t="s">
        <v>2907</v>
      </c>
      <c r="B2847" s="142" t="s">
        <v>2830</v>
      </c>
      <c r="C2847" s="142" t="s">
        <v>55</v>
      </c>
      <c r="D2847">
        <v>10</v>
      </c>
      <c r="E2847">
        <v>102</v>
      </c>
      <c r="F2847">
        <v>1E-4</v>
      </c>
      <c r="G2847" s="142" t="s">
        <v>13</v>
      </c>
      <c r="H2847" s="142" t="s">
        <v>12</v>
      </c>
      <c r="I2847">
        <v>0</v>
      </c>
      <c r="J2847">
        <v>0</v>
      </c>
      <c r="K2847" s="142" t="s">
        <v>1674</v>
      </c>
      <c r="L2847">
        <v>16</v>
      </c>
      <c r="M2847">
        <v>2</v>
      </c>
      <c r="N2847">
        <v>15.052</v>
      </c>
      <c r="O2847">
        <v>2.0087999999999999</v>
      </c>
    </row>
    <row r="2848" spans="1:15" x14ac:dyDescent="0.25">
      <c r="A2848" s="142" t="s">
        <v>2908</v>
      </c>
      <c r="B2848" s="142" t="s">
        <v>2830</v>
      </c>
      <c r="C2848" s="142" t="s">
        <v>55</v>
      </c>
      <c r="D2848">
        <v>10</v>
      </c>
      <c r="E2848">
        <v>102</v>
      </c>
      <c r="F2848">
        <v>1E-3</v>
      </c>
      <c r="G2848" s="142" t="s">
        <v>13</v>
      </c>
      <c r="H2848" s="142" t="s">
        <v>12</v>
      </c>
      <c r="I2848">
        <v>0</v>
      </c>
      <c r="J2848">
        <v>0</v>
      </c>
      <c r="K2848" s="142" t="s">
        <v>1674</v>
      </c>
      <c r="L2848">
        <v>16</v>
      </c>
      <c r="M2848">
        <v>2.0045000000000002</v>
      </c>
      <c r="N2848">
        <v>15.566000000000001</v>
      </c>
      <c r="O2848">
        <v>2.0045000000000002</v>
      </c>
    </row>
    <row r="2849" spans="1:15" x14ac:dyDescent="0.25">
      <c r="A2849" s="142" t="s">
        <v>2909</v>
      </c>
      <c r="B2849" s="142" t="s">
        <v>2830</v>
      </c>
      <c r="C2849" s="142" t="s">
        <v>55</v>
      </c>
      <c r="D2849">
        <v>10</v>
      </c>
      <c r="E2849">
        <v>102</v>
      </c>
      <c r="F2849">
        <v>0.01</v>
      </c>
      <c r="G2849" s="142" t="s">
        <v>13</v>
      </c>
      <c r="H2849" s="142" t="s">
        <v>12</v>
      </c>
      <c r="I2849">
        <v>0</v>
      </c>
      <c r="J2849">
        <v>0</v>
      </c>
      <c r="K2849" s="142" t="s">
        <v>1674</v>
      </c>
      <c r="L2849">
        <v>50.243000000000002</v>
      </c>
      <c r="M2849">
        <v>1.7371000000000001</v>
      </c>
      <c r="N2849">
        <v>50.216000000000001</v>
      </c>
      <c r="O2849">
        <v>1.7371000000000001</v>
      </c>
    </row>
    <row r="2850" spans="1:15" x14ac:dyDescent="0.25">
      <c r="A2850" s="142" t="s">
        <v>2910</v>
      </c>
      <c r="B2850" s="142" t="s">
        <v>2830</v>
      </c>
      <c r="C2850" s="142" t="s">
        <v>55</v>
      </c>
      <c r="D2850">
        <v>10</v>
      </c>
      <c r="E2850">
        <v>102</v>
      </c>
      <c r="F2850">
        <v>0.1</v>
      </c>
      <c r="G2850" s="142" t="s">
        <v>13</v>
      </c>
      <c r="H2850" s="142" t="s">
        <v>12</v>
      </c>
      <c r="I2850">
        <v>0</v>
      </c>
      <c r="J2850">
        <v>0</v>
      </c>
      <c r="K2850" s="142" t="s">
        <v>1674</v>
      </c>
      <c r="L2850">
        <v>574.15</v>
      </c>
      <c r="M2850">
        <v>0.42863000000000001</v>
      </c>
      <c r="N2850">
        <v>574.14</v>
      </c>
      <c r="O2850">
        <v>0.42836000000000002</v>
      </c>
    </row>
    <row r="2851" spans="1:15" x14ac:dyDescent="0.25">
      <c r="A2851" s="142" t="s">
        <v>2911</v>
      </c>
      <c r="B2851" s="142" t="s">
        <v>2830</v>
      </c>
      <c r="C2851" s="142" t="s">
        <v>55</v>
      </c>
      <c r="D2851">
        <v>10</v>
      </c>
      <c r="E2851">
        <v>102</v>
      </c>
      <c r="F2851">
        <v>1</v>
      </c>
      <c r="G2851" s="142" t="s">
        <v>13</v>
      </c>
      <c r="H2851" s="142" t="s">
        <v>12</v>
      </c>
      <c r="I2851">
        <v>0</v>
      </c>
      <c r="J2851">
        <v>0</v>
      </c>
      <c r="K2851" s="142" t="s">
        <v>1674</v>
      </c>
      <c r="L2851">
        <v>5773.2</v>
      </c>
      <c r="M2851">
        <v>4.4478999999999998E-2</v>
      </c>
      <c r="N2851">
        <v>5773.2</v>
      </c>
      <c r="O2851">
        <v>4.4360999999999998E-2</v>
      </c>
    </row>
    <row r="2852" spans="1:15" x14ac:dyDescent="0.25">
      <c r="A2852" s="142" t="s">
        <v>2912</v>
      </c>
      <c r="B2852" s="142" t="s">
        <v>2830</v>
      </c>
      <c r="C2852" s="142" t="s">
        <v>55</v>
      </c>
      <c r="D2852">
        <v>10</v>
      </c>
      <c r="E2852">
        <v>102</v>
      </c>
      <c r="F2852">
        <v>10</v>
      </c>
      <c r="G2852" s="142" t="s">
        <v>13</v>
      </c>
      <c r="H2852" s="142" t="s">
        <v>12</v>
      </c>
      <c r="I2852">
        <v>0</v>
      </c>
      <c r="J2852">
        <v>0</v>
      </c>
      <c r="K2852" s="142" t="s">
        <v>1674</v>
      </c>
      <c r="L2852">
        <v>57735</v>
      </c>
      <c r="M2852">
        <v>4.4850999999999997E-3</v>
      </c>
      <c r="N2852">
        <v>57735</v>
      </c>
      <c r="O2852">
        <v>4.4377000000000002E-3</v>
      </c>
    </row>
    <row r="2853" spans="1:15" x14ac:dyDescent="0.25">
      <c r="A2853" s="142" t="s">
        <v>2913</v>
      </c>
      <c r="B2853" s="142" t="s">
        <v>2830</v>
      </c>
      <c r="C2853" s="142" t="s">
        <v>56</v>
      </c>
      <c r="D2853">
        <v>20</v>
      </c>
      <c r="E2853">
        <v>204</v>
      </c>
      <c r="F2853">
        <v>1E-3</v>
      </c>
      <c r="G2853" s="142" t="s">
        <v>13</v>
      </c>
      <c r="H2853" s="142" t="s">
        <v>12</v>
      </c>
      <c r="I2853">
        <v>0</v>
      </c>
      <c r="J2853">
        <v>0</v>
      </c>
      <c r="K2853" s="142" t="s">
        <v>1674</v>
      </c>
      <c r="L2853">
        <v>32</v>
      </c>
      <c r="M2853">
        <v>2</v>
      </c>
      <c r="N2853">
        <v>30.087</v>
      </c>
      <c r="O2853">
        <v>2.0089000000000001</v>
      </c>
    </row>
    <row r="2854" spans="1:15" x14ac:dyDescent="0.25">
      <c r="A2854" s="142" t="s">
        <v>2914</v>
      </c>
      <c r="B2854" s="142" t="s">
        <v>2830</v>
      </c>
      <c r="C2854" s="142" t="s">
        <v>56</v>
      </c>
      <c r="D2854">
        <v>20</v>
      </c>
      <c r="E2854">
        <v>204</v>
      </c>
      <c r="F2854">
        <v>0.01</v>
      </c>
      <c r="G2854" s="142" t="s">
        <v>13</v>
      </c>
      <c r="H2854" s="142" t="s">
        <v>12</v>
      </c>
      <c r="I2854">
        <v>0</v>
      </c>
      <c r="J2854">
        <v>0</v>
      </c>
      <c r="K2854" s="142" t="s">
        <v>1674</v>
      </c>
      <c r="L2854">
        <v>32</v>
      </c>
      <c r="M2854">
        <v>2.0076999999999998</v>
      </c>
      <c r="N2854">
        <v>30.344000000000001</v>
      </c>
      <c r="O2854">
        <v>2.0078</v>
      </c>
    </row>
    <row r="2855" spans="1:15" x14ac:dyDescent="0.25">
      <c r="A2855" s="142" t="s">
        <v>2915</v>
      </c>
      <c r="B2855" s="142" t="s">
        <v>2830</v>
      </c>
      <c r="C2855" s="142" t="s">
        <v>56</v>
      </c>
      <c r="D2855">
        <v>20</v>
      </c>
      <c r="E2855">
        <v>204</v>
      </c>
      <c r="F2855">
        <v>0.1</v>
      </c>
      <c r="G2855" s="142" t="s">
        <v>13</v>
      </c>
      <c r="H2855" s="142" t="s">
        <v>12</v>
      </c>
      <c r="I2855">
        <v>0</v>
      </c>
      <c r="J2855">
        <v>0</v>
      </c>
      <c r="K2855" s="142" t="s">
        <v>1674</v>
      </c>
      <c r="L2855">
        <v>52.695</v>
      </c>
      <c r="M2855">
        <v>1.9168000000000001</v>
      </c>
      <c r="N2855">
        <v>52.600999999999999</v>
      </c>
      <c r="O2855">
        <v>1.917</v>
      </c>
    </row>
    <row r="2856" spans="1:15" x14ac:dyDescent="0.25">
      <c r="A2856" s="142" t="s">
        <v>2916</v>
      </c>
      <c r="B2856" s="142" t="s">
        <v>2830</v>
      </c>
      <c r="C2856" s="142" t="s">
        <v>56</v>
      </c>
      <c r="D2856">
        <v>20</v>
      </c>
      <c r="E2856">
        <v>204</v>
      </c>
      <c r="F2856">
        <v>1</v>
      </c>
      <c r="G2856" s="142" t="s">
        <v>13</v>
      </c>
      <c r="H2856" s="142" t="s">
        <v>12</v>
      </c>
      <c r="I2856">
        <v>0</v>
      </c>
      <c r="J2856">
        <v>0</v>
      </c>
      <c r="K2856" s="142" t="s">
        <v>1674</v>
      </c>
      <c r="L2856">
        <v>565.98</v>
      </c>
      <c r="M2856">
        <v>0.78427000000000002</v>
      </c>
      <c r="N2856">
        <v>565.94000000000005</v>
      </c>
      <c r="O2856">
        <v>0.78385000000000005</v>
      </c>
    </row>
    <row r="2857" spans="1:15" x14ac:dyDescent="0.25">
      <c r="A2857" s="142" t="s">
        <v>2917</v>
      </c>
      <c r="B2857" s="142" t="s">
        <v>2830</v>
      </c>
      <c r="C2857" s="142" t="s">
        <v>56</v>
      </c>
      <c r="D2857">
        <v>20</v>
      </c>
      <c r="E2857">
        <v>204</v>
      </c>
      <c r="F2857">
        <v>10</v>
      </c>
      <c r="G2857" s="142" t="s">
        <v>13</v>
      </c>
      <c r="H2857" s="142" t="s">
        <v>12</v>
      </c>
      <c r="I2857">
        <v>0</v>
      </c>
      <c r="J2857">
        <v>0</v>
      </c>
      <c r="K2857" s="142" t="s">
        <v>1674</v>
      </c>
      <c r="L2857">
        <v>5772.2</v>
      </c>
      <c r="M2857">
        <v>8.8858000000000006E-2</v>
      </c>
      <c r="N2857">
        <v>5772.2</v>
      </c>
      <c r="O2857">
        <v>8.8622999999999993E-2</v>
      </c>
    </row>
    <row r="2858" spans="1:15" x14ac:dyDescent="0.25">
      <c r="A2858" s="142" t="s">
        <v>2918</v>
      </c>
      <c r="B2858" s="142" t="s">
        <v>2830</v>
      </c>
      <c r="C2858" s="142" t="s">
        <v>57</v>
      </c>
      <c r="D2858">
        <v>5</v>
      </c>
      <c r="E2858">
        <v>51</v>
      </c>
      <c r="F2858">
        <v>1E-3</v>
      </c>
      <c r="G2858" s="142" t="s">
        <v>13</v>
      </c>
      <c r="H2858" s="142" t="s">
        <v>12</v>
      </c>
      <c r="I2858">
        <v>0</v>
      </c>
      <c r="J2858">
        <v>0</v>
      </c>
      <c r="K2858" s="142" t="s">
        <v>1674</v>
      </c>
      <c r="L2858">
        <v>4.7</v>
      </c>
      <c r="M2858">
        <v>2</v>
      </c>
      <c r="N2858">
        <v>4.5993000000000004</v>
      </c>
      <c r="O2858">
        <v>1.98</v>
      </c>
    </row>
    <row r="2859" spans="1:15" x14ac:dyDescent="0.25">
      <c r="A2859" s="142" t="s">
        <v>2919</v>
      </c>
      <c r="B2859" s="142" t="s">
        <v>2830</v>
      </c>
      <c r="C2859" s="142" t="s">
        <v>57</v>
      </c>
      <c r="D2859">
        <v>50</v>
      </c>
      <c r="E2859">
        <v>510</v>
      </c>
      <c r="F2859">
        <v>1E-3</v>
      </c>
      <c r="G2859" s="142" t="s">
        <v>13</v>
      </c>
      <c r="H2859" s="142" t="s">
        <v>12</v>
      </c>
      <c r="I2859">
        <v>0</v>
      </c>
      <c r="J2859">
        <v>0</v>
      </c>
      <c r="K2859" s="142" t="s">
        <v>1674</v>
      </c>
      <c r="L2859">
        <v>80</v>
      </c>
      <c r="M2859">
        <v>2</v>
      </c>
      <c r="N2859">
        <v>75.207999999999998</v>
      </c>
      <c r="O2859">
        <v>2.0089000000000001</v>
      </c>
    </row>
    <row r="2860" spans="1:15" x14ac:dyDescent="0.25">
      <c r="A2860" s="142" t="s">
        <v>2920</v>
      </c>
      <c r="B2860" s="142" t="s">
        <v>2830</v>
      </c>
      <c r="C2860" s="142" t="s">
        <v>57</v>
      </c>
      <c r="D2860">
        <v>5</v>
      </c>
      <c r="E2860">
        <v>51</v>
      </c>
      <c r="F2860">
        <v>0.01</v>
      </c>
      <c r="G2860" s="142" t="s">
        <v>13</v>
      </c>
      <c r="H2860" s="142" t="s">
        <v>12</v>
      </c>
      <c r="I2860">
        <v>0</v>
      </c>
      <c r="J2860">
        <v>0</v>
      </c>
      <c r="K2860" s="142" t="s">
        <v>1674</v>
      </c>
      <c r="L2860">
        <v>5.9279000000000002</v>
      </c>
      <c r="M2860">
        <v>1.9581</v>
      </c>
      <c r="N2860">
        <v>5.8000999999999996</v>
      </c>
      <c r="O2860">
        <v>1.9595</v>
      </c>
    </row>
    <row r="2861" spans="1:15" x14ac:dyDescent="0.25">
      <c r="A2861" s="142" t="s">
        <v>2921</v>
      </c>
      <c r="B2861" s="142" t="s">
        <v>2830</v>
      </c>
      <c r="C2861" s="142" t="s">
        <v>57</v>
      </c>
      <c r="D2861">
        <v>50</v>
      </c>
      <c r="E2861">
        <v>510</v>
      </c>
      <c r="F2861">
        <v>0.01</v>
      </c>
      <c r="G2861" s="142" t="s">
        <v>13</v>
      </c>
      <c r="H2861" s="142" t="s">
        <v>12</v>
      </c>
      <c r="I2861">
        <v>0</v>
      </c>
      <c r="J2861">
        <v>0</v>
      </c>
      <c r="K2861" s="142" t="s">
        <v>1674</v>
      </c>
      <c r="L2861">
        <v>80</v>
      </c>
      <c r="M2861">
        <v>2.0085999999999999</v>
      </c>
      <c r="N2861">
        <v>75.317999999999998</v>
      </c>
      <c r="O2861">
        <v>2.0087000000000002</v>
      </c>
    </row>
    <row r="2862" spans="1:15" x14ac:dyDescent="0.25">
      <c r="A2862" s="142" t="s">
        <v>2922</v>
      </c>
      <c r="B2862" s="142" t="s">
        <v>2830</v>
      </c>
      <c r="C2862" s="142" t="s">
        <v>57</v>
      </c>
      <c r="D2862">
        <v>5</v>
      </c>
      <c r="E2862">
        <v>51</v>
      </c>
      <c r="F2862">
        <v>0.1</v>
      </c>
      <c r="G2862" s="142" t="s">
        <v>13</v>
      </c>
      <c r="H2862" s="142" t="s">
        <v>12</v>
      </c>
      <c r="I2862">
        <v>0</v>
      </c>
      <c r="J2862">
        <v>0</v>
      </c>
      <c r="K2862" s="142" t="s">
        <v>1674</v>
      </c>
      <c r="L2862">
        <v>53.039000000000001</v>
      </c>
      <c r="M2862">
        <v>1.3232999999999999</v>
      </c>
      <c r="N2862">
        <v>52.915999999999997</v>
      </c>
      <c r="O2862">
        <v>1.3219000000000001</v>
      </c>
    </row>
    <row r="2863" spans="1:15" x14ac:dyDescent="0.25">
      <c r="A2863" s="142" t="s">
        <v>2923</v>
      </c>
      <c r="B2863" s="142" t="s">
        <v>2830</v>
      </c>
      <c r="C2863" s="142" t="s">
        <v>57</v>
      </c>
      <c r="D2863">
        <v>50</v>
      </c>
      <c r="E2863">
        <v>510</v>
      </c>
      <c r="F2863">
        <v>0.1</v>
      </c>
      <c r="G2863" s="142" t="s">
        <v>13</v>
      </c>
      <c r="H2863" s="142" t="s">
        <v>12</v>
      </c>
      <c r="I2863">
        <v>0</v>
      </c>
      <c r="J2863">
        <v>0</v>
      </c>
      <c r="K2863" s="142" t="s">
        <v>1674</v>
      </c>
      <c r="L2863">
        <v>85.569000000000003</v>
      </c>
      <c r="M2863">
        <v>1.9918</v>
      </c>
      <c r="N2863">
        <v>85.292000000000002</v>
      </c>
      <c r="O2863">
        <v>1.9921</v>
      </c>
    </row>
    <row r="2864" spans="1:15" x14ac:dyDescent="0.25">
      <c r="A2864" s="142" t="s">
        <v>2924</v>
      </c>
      <c r="B2864" s="142" t="s">
        <v>2830</v>
      </c>
      <c r="C2864" s="142" t="s">
        <v>57</v>
      </c>
      <c r="D2864">
        <v>5</v>
      </c>
      <c r="E2864">
        <v>51</v>
      </c>
      <c r="F2864">
        <v>1</v>
      </c>
      <c r="G2864" s="142" t="s">
        <v>13</v>
      </c>
      <c r="H2864" s="142" t="s">
        <v>12</v>
      </c>
      <c r="I2864">
        <v>0</v>
      </c>
      <c r="J2864">
        <v>0</v>
      </c>
      <c r="K2864" s="142" t="s">
        <v>1674</v>
      </c>
      <c r="L2864">
        <v>576.55999999999995</v>
      </c>
      <c r="M2864">
        <v>0.20649000000000001</v>
      </c>
      <c r="N2864">
        <v>576.52</v>
      </c>
      <c r="O2864">
        <v>0.20416999999999999</v>
      </c>
    </row>
    <row r="2865" spans="1:15" x14ac:dyDescent="0.25">
      <c r="A2865" s="142" t="s">
        <v>2925</v>
      </c>
      <c r="B2865" s="142" t="s">
        <v>2830</v>
      </c>
      <c r="C2865" s="142" t="s">
        <v>57</v>
      </c>
      <c r="D2865">
        <v>50</v>
      </c>
      <c r="E2865">
        <v>510</v>
      </c>
      <c r="F2865">
        <v>1</v>
      </c>
      <c r="G2865" s="142" t="s">
        <v>13</v>
      </c>
      <c r="H2865" s="142" t="s">
        <v>12</v>
      </c>
      <c r="I2865">
        <v>0</v>
      </c>
      <c r="J2865">
        <v>0</v>
      </c>
      <c r="K2865" s="142" t="s">
        <v>1674</v>
      </c>
      <c r="L2865">
        <v>534.37</v>
      </c>
      <c r="M2865">
        <v>1.3886000000000001</v>
      </c>
      <c r="N2865">
        <v>534.07000000000005</v>
      </c>
      <c r="O2865">
        <v>1.3883000000000001</v>
      </c>
    </row>
    <row r="2866" spans="1:15" x14ac:dyDescent="0.25">
      <c r="A2866" s="142" t="s">
        <v>2926</v>
      </c>
      <c r="B2866" s="142" t="s">
        <v>2830</v>
      </c>
      <c r="C2866" s="142" t="s">
        <v>57</v>
      </c>
      <c r="D2866">
        <v>5</v>
      </c>
      <c r="E2866">
        <v>51</v>
      </c>
      <c r="F2866">
        <v>10</v>
      </c>
      <c r="G2866" s="142" t="s">
        <v>13</v>
      </c>
      <c r="H2866" s="142" t="s">
        <v>12</v>
      </c>
      <c r="I2866">
        <v>0</v>
      </c>
      <c r="J2866">
        <v>0</v>
      </c>
      <c r="K2866" s="142" t="s">
        <v>1674</v>
      </c>
      <c r="L2866">
        <v>5773.5</v>
      </c>
      <c r="M2866">
        <v>2.1536E-2</v>
      </c>
      <c r="N2866">
        <v>5773.5</v>
      </c>
      <c r="O2866">
        <v>2.0587999999999999E-2</v>
      </c>
    </row>
    <row r="2867" spans="1:15" x14ac:dyDescent="0.25">
      <c r="A2867" s="142" t="s">
        <v>2927</v>
      </c>
      <c r="B2867" s="142" t="s">
        <v>2830</v>
      </c>
      <c r="C2867" s="142" t="s">
        <v>57</v>
      </c>
      <c r="D2867">
        <v>50</v>
      </c>
      <c r="E2867">
        <v>510</v>
      </c>
      <c r="F2867">
        <v>10</v>
      </c>
      <c r="G2867" s="142" t="s">
        <v>13</v>
      </c>
      <c r="H2867" s="142" t="s">
        <v>12</v>
      </c>
      <c r="I2867">
        <v>0</v>
      </c>
      <c r="J2867">
        <v>0</v>
      </c>
      <c r="K2867" s="142" t="s">
        <v>1674</v>
      </c>
      <c r="L2867">
        <v>5765.3</v>
      </c>
      <c r="M2867">
        <v>0.22044</v>
      </c>
      <c r="N2867">
        <v>5765.2</v>
      </c>
      <c r="O2867">
        <v>0.21986</v>
      </c>
    </row>
    <row r="2868" spans="1:15" x14ac:dyDescent="0.25">
      <c r="A2868" s="142" t="s">
        <v>2928</v>
      </c>
      <c r="B2868" s="142" t="s">
        <v>2830</v>
      </c>
      <c r="C2868" s="142" t="s">
        <v>3</v>
      </c>
      <c r="D2868">
        <v>0</v>
      </c>
      <c r="E2868">
        <v>0.1</v>
      </c>
      <c r="F2868">
        <v>9.9999999999999995E-7</v>
      </c>
      <c r="G2868" s="142" t="s">
        <v>6</v>
      </c>
      <c r="H2868" s="142" t="s">
        <v>5</v>
      </c>
      <c r="I2868">
        <v>0</v>
      </c>
      <c r="J2868">
        <v>0</v>
      </c>
      <c r="K2868" s="142" t="s">
        <v>1674</v>
      </c>
      <c r="L2868">
        <v>12</v>
      </c>
      <c r="M2868">
        <v>92</v>
      </c>
      <c r="N2868">
        <v>11.624000000000001</v>
      </c>
      <c r="O2868">
        <v>92.067999999999998</v>
      </c>
    </row>
    <row r="2869" spans="1:15" x14ac:dyDescent="0.25">
      <c r="A2869" s="142" t="s">
        <v>2929</v>
      </c>
      <c r="B2869" s="142" t="s">
        <v>2830</v>
      </c>
      <c r="C2869" s="142" t="s">
        <v>3</v>
      </c>
      <c r="D2869">
        <v>0</v>
      </c>
      <c r="E2869">
        <v>0.1</v>
      </c>
      <c r="F2869">
        <v>1.0000000000000001E-5</v>
      </c>
      <c r="G2869" s="142" t="s">
        <v>6</v>
      </c>
      <c r="H2869" s="142" t="s">
        <v>5</v>
      </c>
      <c r="I2869">
        <v>0</v>
      </c>
      <c r="J2869">
        <v>0</v>
      </c>
      <c r="K2869" s="142" t="s">
        <v>1674</v>
      </c>
      <c r="L2869">
        <v>12.962999999999999</v>
      </c>
      <c r="M2869">
        <v>86.429000000000002</v>
      </c>
      <c r="N2869">
        <v>12.956</v>
      </c>
      <c r="O2869">
        <v>86.457999999999998</v>
      </c>
    </row>
    <row r="2870" spans="1:15" x14ac:dyDescent="0.25">
      <c r="A2870" s="142" t="s">
        <v>2930</v>
      </c>
      <c r="B2870" s="142" t="s">
        <v>2830</v>
      </c>
      <c r="C2870" s="142" t="s">
        <v>3</v>
      </c>
      <c r="D2870">
        <v>0.1</v>
      </c>
      <c r="E2870">
        <v>1</v>
      </c>
      <c r="F2870">
        <v>1.0000000000000001E-5</v>
      </c>
      <c r="G2870" s="142" t="s">
        <v>6</v>
      </c>
      <c r="H2870" s="142" t="s">
        <v>5</v>
      </c>
      <c r="I2870">
        <v>0</v>
      </c>
      <c r="J2870">
        <v>0</v>
      </c>
      <c r="K2870" s="142" t="s">
        <v>1674</v>
      </c>
      <c r="L2870">
        <v>36</v>
      </c>
      <c r="M2870">
        <v>92</v>
      </c>
      <c r="N2870">
        <v>35.884999999999998</v>
      </c>
      <c r="O2870">
        <v>91.647999999999996</v>
      </c>
    </row>
    <row r="2871" spans="1:15" x14ac:dyDescent="0.25">
      <c r="A2871" s="142" t="s">
        <v>2931</v>
      </c>
      <c r="B2871" s="142" t="s">
        <v>2830</v>
      </c>
      <c r="C2871" s="142" t="s">
        <v>3</v>
      </c>
      <c r="D2871">
        <v>0</v>
      </c>
      <c r="E2871">
        <v>0.1</v>
      </c>
      <c r="F2871">
        <v>1E-4</v>
      </c>
      <c r="G2871" s="142" t="s">
        <v>6</v>
      </c>
      <c r="H2871" s="142" t="s">
        <v>5</v>
      </c>
      <c r="I2871">
        <v>0</v>
      </c>
      <c r="J2871">
        <v>0</v>
      </c>
      <c r="K2871" s="142" t="s">
        <v>1674</v>
      </c>
      <c r="L2871">
        <v>58.889000000000003</v>
      </c>
      <c r="M2871">
        <v>24.899000000000001</v>
      </c>
      <c r="N2871">
        <v>58.883000000000003</v>
      </c>
      <c r="O2871">
        <v>24.902000000000001</v>
      </c>
    </row>
    <row r="2872" spans="1:15" x14ac:dyDescent="0.25">
      <c r="A2872" s="142" t="s">
        <v>2932</v>
      </c>
      <c r="B2872" s="142" t="s">
        <v>2830</v>
      </c>
      <c r="C2872" s="142" t="s">
        <v>3</v>
      </c>
      <c r="D2872">
        <v>0.1</v>
      </c>
      <c r="E2872">
        <v>1</v>
      </c>
      <c r="F2872">
        <v>1E-4</v>
      </c>
      <c r="G2872" s="142" t="s">
        <v>6</v>
      </c>
      <c r="H2872" s="142" t="s">
        <v>5</v>
      </c>
      <c r="I2872">
        <v>0</v>
      </c>
      <c r="J2872">
        <v>0</v>
      </c>
      <c r="K2872" s="142" t="s">
        <v>1674</v>
      </c>
      <c r="L2872">
        <v>65.685000000000002</v>
      </c>
      <c r="M2872">
        <v>74.286000000000001</v>
      </c>
      <c r="N2872">
        <v>65.573999999999998</v>
      </c>
      <c r="O2872">
        <v>74.301000000000002</v>
      </c>
    </row>
    <row r="2873" spans="1:15" x14ac:dyDescent="0.25">
      <c r="A2873" s="142" t="s">
        <v>2933</v>
      </c>
      <c r="B2873" s="142" t="s">
        <v>2830</v>
      </c>
      <c r="C2873" s="142" t="s">
        <v>3</v>
      </c>
      <c r="D2873">
        <v>1</v>
      </c>
      <c r="E2873">
        <v>10</v>
      </c>
      <c r="F2873">
        <v>1E-4</v>
      </c>
      <c r="G2873" s="142" t="s">
        <v>6</v>
      </c>
      <c r="H2873" s="142" t="s">
        <v>5</v>
      </c>
      <c r="I2873">
        <v>0</v>
      </c>
      <c r="J2873">
        <v>0</v>
      </c>
      <c r="K2873" s="142" t="s">
        <v>1674</v>
      </c>
      <c r="L2873">
        <v>360</v>
      </c>
      <c r="M2873">
        <v>92</v>
      </c>
      <c r="N2873">
        <v>354.54</v>
      </c>
      <c r="O2873">
        <v>91.828999999999994</v>
      </c>
    </row>
    <row r="2874" spans="1:15" x14ac:dyDescent="0.25">
      <c r="A2874" s="142" t="s">
        <v>2934</v>
      </c>
      <c r="B2874" s="142" t="s">
        <v>2830</v>
      </c>
      <c r="C2874" s="142" t="s">
        <v>3</v>
      </c>
      <c r="D2874">
        <v>0</v>
      </c>
      <c r="E2874">
        <v>0.1</v>
      </c>
      <c r="F2874">
        <v>1E-3</v>
      </c>
      <c r="G2874" s="142" t="s">
        <v>6</v>
      </c>
      <c r="H2874" s="142" t="s">
        <v>5</v>
      </c>
      <c r="I2874">
        <v>0</v>
      </c>
      <c r="J2874">
        <v>0</v>
      </c>
      <c r="K2874" s="142" t="s">
        <v>1674</v>
      </c>
      <c r="L2874">
        <v>577.47</v>
      </c>
      <c r="M2874">
        <v>2.5928</v>
      </c>
      <c r="N2874">
        <v>577.47</v>
      </c>
      <c r="O2874">
        <v>2.5928</v>
      </c>
    </row>
    <row r="2875" spans="1:15" x14ac:dyDescent="0.25">
      <c r="A2875" s="142" t="s">
        <v>2935</v>
      </c>
      <c r="B2875" s="142" t="s">
        <v>2830</v>
      </c>
      <c r="C2875" s="142" t="s">
        <v>3</v>
      </c>
      <c r="D2875">
        <v>0.1</v>
      </c>
      <c r="E2875">
        <v>1</v>
      </c>
      <c r="F2875">
        <v>1E-3</v>
      </c>
      <c r="G2875" s="142" t="s">
        <v>6</v>
      </c>
      <c r="H2875" s="142" t="s">
        <v>5</v>
      </c>
      <c r="I2875">
        <v>0</v>
      </c>
      <c r="J2875">
        <v>0</v>
      </c>
      <c r="K2875" s="142" t="s">
        <v>1674</v>
      </c>
      <c r="L2875">
        <v>577.78</v>
      </c>
      <c r="M2875">
        <v>13.555</v>
      </c>
      <c r="N2875">
        <v>577.73</v>
      </c>
      <c r="O2875">
        <v>13.515000000000001</v>
      </c>
    </row>
    <row r="2876" spans="1:15" x14ac:dyDescent="0.25">
      <c r="A2876" s="142" t="s">
        <v>2936</v>
      </c>
      <c r="B2876" s="142" t="s">
        <v>2830</v>
      </c>
      <c r="C2876" s="142" t="s">
        <v>3</v>
      </c>
      <c r="D2876">
        <v>1</v>
      </c>
      <c r="E2876">
        <v>10</v>
      </c>
      <c r="F2876">
        <v>1E-3</v>
      </c>
      <c r="G2876" s="142" t="s">
        <v>6</v>
      </c>
      <c r="H2876" s="142" t="s">
        <v>5</v>
      </c>
      <c r="I2876">
        <v>0</v>
      </c>
      <c r="J2876">
        <v>0</v>
      </c>
      <c r="K2876" s="142" t="s">
        <v>1674</v>
      </c>
      <c r="L2876">
        <v>653.72</v>
      </c>
      <c r="M2876">
        <v>74.370999999999995</v>
      </c>
      <c r="N2876">
        <v>653.16999999999996</v>
      </c>
      <c r="O2876">
        <v>74.328999999999994</v>
      </c>
    </row>
    <row r="2877" spans="1:15" x14ac:dyDescent="0.25">
      <c r="A2877" s="142" t="s">
        <v>2937</v>
      </c>
      <c r="B2877" s="142" t="s">
        <v>2830</v>
      </c>
      <c r="C2877" s="142" t="s">
        <v>3</v>
      </c>
      <c r="D2877">
        <v>10</v>
      </c>
      <c r="E2877">
        <v>100</v>
      </c>
      <c r="F2877">
        <v>1E-3</v>
      </c>
      <c r="G2877" s="142" t="s">
        <v>6</v>
      </c>
      <c r="H2877" s="142" t="s">
        <v>4</v>
      </c>
      <c r="I2877">
        <v>0</v>
      </c>
      <c r="J2877">
        <v>0</v>
      </c>
      <c r="K2877" s="142" t="s">
        <v>1674</v>
      </c>
      <c r="L2877">
        <v>6.8</v>
      </c>
      <c r="M2877">
        <v>8.2000000000000003E-2</v>
      </c>
      <c r="N2877">
        <v>6.7337999999999996</v>
      </c>
      <c r="O2877">
        <v>8.2464999999999997E-2</v>
      </c>
    </row>
    <row r="2878" spans="1:15" x14ac:dyDescent="0.25">
      <c r="A2878" s="142" t="s">
        <v>2938</v>
      </c>
      <c r="B2878" s="142" t="s">
        <v>2830</v>
      </c>
      <c r="C2878" s="142" t="s">
        <v>3</v>
      </c>
      <c r="D2878">
        <v>0</v>
      </c>
      <c r="E2878">
        <v>0.1</v>
      </c>
      <c r="F2878">
        <v>0.01</v>
      </c>
      <c r="G2878" s="142" t="s">
        <v>6</v>
      </c>
      <c r="H2878" s="142" t="s">
        <v>5</v>
      </c>
      <c r="I2878">
        <v>0</v>
      </c>
      <c r="J2878">
        <v>0</v>
      </c>
      <c r="K2878" s="142" t="s">
        <v>1674</v>
      </c>
      <c r="L2878">
        <v>5773.6</v>
      </c>
      <c r="M2878">
        <v>0.25939000000000001</v>
      </c>
      <c r="N2878">
        <v>5773.6</v>
      </c>
      <c r="O2878">
        <v>0.25939000000000001</v>
      </c>
    </row>
    <row r="2879" spans="1:15" x14ac:dyDescent="0.25">
      <c r="A2879" s="142" t="s">
        <v>2939</v>
      </c>
      <c r="B2879" s="142" t="s">
        <v>2830</v>
      </c>
      <c r="C2879" s="142" t="s">
        <v>3</v>
      </c>
      <c r="D2879">
        <v>0.1</v>
      </c>
      <c r="E2879">
        <v>1</v>
      </c>
      <c r="F2879">
        <v>0.01</v>
      </c>
      <c r="G2879" s="142" t="s">
        <v>6</v>
      </c>
      <c r="H2879" s="142" t="s">
        <v>5</v>
      </c>
      <c r="I2879">
        <v>0</v>
      </c>
      <c r="J2879">
        <v>0</v>
      </c>
      <c r="K2879" s="142" t="s">
        <v>1674</v>
      </c>
      <c r="L2879">
        <v>5773.6</v>
      </c>
      <c r="M2879">
        <v>1.3866000000000001</v>
      </c>
      <c r="N2879">
        <v>5773.6</v>
      </c>
      <c r="O2879">
        <v>1.3695999999999999</v>
      </c>
    </row>
    <row r="2880" spans="1:15" x14ac:dyDescent="0.25">
      <c r="A2880" s="142" t="s">
        <v>2940</v>
      </c>
      <c r="B2880" s="142" t="s">
        <v>2830</v>
      </c>
      <c r="C2880" s="142" t="s">
        <v>3</v>
      </c>
      <c r="D2880">
        <v>1</v>
      </c>
      <c r="E2880">
        <v>10</v>
      </c>
      <c r="F2880">
        <v>0.01</v>
      </c>
      <c r="G2880" s="142" t="s">
        <v>6</v>
      </c>
      <c r="H2880" s="142" t="s">
        <v>5</v>
      </c>
      <c r="I2880">
        <v>0</v>
      </c>
      <c r="J2880">
        <v>0</v>
      </c>
      <c r="K2880" s="142" t="s">
        <v>1674</v>
      </c>
      <c r="L2880">
        <v>5777.2</v>
      </c>
      <c r="M2880">
        <v>13.558999999999999</v>
      </c>
      <c r="N2880">
        <v>5777</v>
      </c>
      <c r="O2880">
        <v>13.491</v>
      </c>
    </row>
    <row r="2881" spans="1:15" x14ac:dyDescent="0.25">
      <c r="A2881" s="142" t="s">
        <v>2941</v>
      </c>
      <c r="B2881" s="142" t="s">
        <v>2830</v>
      </c>
      <c r="C2881" s="142" t="s">
        <v>3</v>
      </c>
      <c r="D2881">
        <v>10</v>
      </c>
      <c r="E2881">
        <v>100</v>
      </c>
      <c r="F2881">
        <v>0.01</v>
      </c>
      <c r="G2881" s="142" t="s">
        <v>6</v>
      </c>
      <c r="H2881" s="142" t="s">
        <v>4</v>
      </c>
      <c r="I2881">
        <v>0</v>
      </c>
      <c r="J2881">
        <v>0</v>
      </c>
      <c r="K2881" s="142" t="s">
        <v>1674</v>
      </c>
      <c r="L2881">
        <v>8.7739999999999991</v>
      </c>
      <c r="M2881">
        <v>7.2816000000000006E-2</v>
      </c>
      <c r="N2881">
        <v>8.766</v>
      </c>
      <c r="O2881">
        <v>7.2780999999999998E-2</v>
      </c>
    </row>
    <row r="2882" spans="1:15" x14ac:dyDescent="0.25">
      <c r="A2882" s="142" t="s">
        <v>2942</v>
      </c>
      <c r="B2882" s="142" t="s">
        <v>2830</v>
      </c>
      <c r="C2882" s="142" t="s">
        <v>3</v>
      </c>
      <c r="D2882">
        <v>100</v>
      </c>
      <c r="E2882">
        <v>1020</v>
      </c>
      <c r="F2882">
        <v>0.01</v>
      </c>
      <c r="G2882" s="142" t="s">
        <v>6</v>
      </c>
      <c r="H2882" s="142" t="s">
        <v>4</v>
      </c>
      <c r="I2882">
        <v>0</v>
      </c>
      <c r="J2882">
        <v>0</v>
      </c>
      <c r="K2882" s="142" t="s">
        <v>1674</v>
      </c>
      <c r="L2882">
        <v>36</v>
      </c>
      <c r="M2882">
        <v>9.1999999999999998E-2</v>
      </c>
      <c r="N2882">
        <v>35.843000000000004</v>
      </c>
      <c r="O2882">
        <v>9.1772000000000006E-2</v>
      </c>
    </row>
    <row r="2883" spans="1:15" x14ac:dyDescent="0.25">
      <c r="A2883" s="142" t="s">
        <v>2943</v>
      </c>
      <c r="B2883" s="142" t="s">
        <v>2830</v>
      </c>
      <c r="C2883" s="142" t="s">
        <v>3</v>
      </c>
      <c r="D2883">
        <v>0.1</v>
      </c>
      <c r="E2883">
        <v>1</v>
      </c>
      <c r="F2883">
        <v>0.1</v>
      </c>
      <c r="G2883" s="142" t="s">
        <v>6</v>
      </c>
      <c r="H2883" s="142" t="s">
        <v>5</v>
      </c>
      <c r="I2883">
        <v>0</v>
      </c>
      <c r="J2883">
        <v>0</v>
      </c>
      <c r="K2883" s="142" t="s">
        <v>1674</v>
      </c>
      <c r="L2883">
        <v>57736</v>
      </c>
      <c r="M2883">
        <v>0.14379</v>
      </c>
      <c r="N2883">
        <v>57736</v>
      </c>
      <c r="O2883">
        <v>0.13697999999999999</v>
      </c>
    </row>
    <row r="2884" spans="1:15" x14ac:dyDescent="0.25">
      <c r="A2884" s="142" t="s">
        <v>2944</v>
      </c>
      <c r="B2884" s="142" t="s">
        <v>2830</v>
      </c>
      <c r="C2884" s="142" t="s">
        <v>3</v>
      </c>
      <c r="D2884">
        <v>1</v>
      </c>
      <c r="E2884">
        <v>10</v>
      </c>
      <c r="F2884">
        <v>0.1</v>
      </c>
      <c r="G2884" s="142" t="s">
        <v>6</v>
      </c>
      <c r="H2884" s="142" t="s">
        <v>5</v>
      </c>
      <c r="I2884">
        <v>0</v>
      </c>
      <c r="J2884">
        <v>0</v>
      </c>
      <c r="K2884" s="142" t="s">
        <v>1674</v>
      </c>
      <c r="L2884">
        <v>57736</v>
      </c>
      <c r="M2884">
        <v>1.3954</v>
      </c>
      <c r="N2884">
        <v>57736</v>
      </c>
      <c r="O2884">
        <v>13.496</v>
      </c>
    </row>
    <row r="2885" spans="1:15" x14ac:dyDescent="0.25">
      <c r="A2885" s="142" t="s">
        <v>2945</v>
      </c>
      <c r="B2885" s="142" t="s">
        <v>2830</v>
      </c>
      <c r="C2885" s="142" t="s">
        <v>3</v>
      </c>
      <c r="D2885">
        <v>10</v>
      </c>
      <c r="E2885">
        <v>100</v>
      </c>
      <c r="F2885">
        <v>0.1</v>
      </c>
      <c r="G2885" s="142" t="s">
        <v>6</v>
      </c>
      <c r="H2885" s="142" t="s">
        <v>4</v>
      </c>
      <c r="I2885">
        <v>0</v>
      </c>
      <c r="J2885">
        <v>0</v>
      </c>
      <c r="K2885" s="142" t="s">
        <v>1674</v>
      </c>
      <c r="L2885">
        <v>58.072000000000003</v>
      </c>
      <c r="M2885">
        <v>1.5845000000000001E-2</v>
      </c>
      <c r="N2885">
        <v>58.067999999999998</v>
      </c>
      <c r="O2885">
        <v>1.5768999999999998E-2</v>
      </c>
    </row>
    <row r="2886" spans="1:15" x14ac:dyDescent="0.25">
      <c r="A2886" s="142" t="s">
        <v>2946</v>
      </c>
      <c r="B2886" s="142" t="s">
        <v>2830</v>
      </c>
      <c r="C2886" s="142" t="s">
        <v>3</v>
      </c>
      <c r="D2886">
        <v>100</v>
      </c>
      <c r="E2886">
        <v>1020</v>
      </c>
      <c r="F2886">
        <v>0.1</v>
      </c>
      <c r="G2886" s="142" t="s">
        <v>6</v>
      </c>
      <c r="H2886" s="142" t="s">
        <v>4</v>
      </c>
      <c r="I2886">
        <v>0</v>
      </c>
      <c r="J2886">
        <v>0</v>
      </c>
      <c r="K2886" s="142" t="s">
        <v>1674</v>
      </c>
      <c r="L2886">
        <v>65.632000000000005</v>
      </c>
      <c r="M2886">
        <v>7.4630000000000002E-2</v>
      </c>
      <c r="N2886">
        <v>65.525000000000006</v>
      </c>
      <c r="O2886">
        <v>7.4607999999999994E-2</v>
      </c>
    </row>
    <row r="2887" spans="1:15" x14ac:dyDescent="0.25">
      <c r="A2887" s="142" t="s">
        <v>2947</v>
      </c>
      <c r="B2887" s="142" t="s">
        <v>2830</v>
      </c>
      <c r="C2887" s="142" t="s">
        <v>3</v>
      </c>
      <c r="D2887">
        <v>1</v>
      </c>
      <c r="E2887">
        <v>10</v>
      </c>
      <c r="F2887">
        <v>1</v>
      </c>
      <c r="G2887" s="142" t="s">
        <v>6</v>
      </c>
      <c r="H2887" s="142" t="s">
        <v>5</v>
      </c>
      <c r="I2887">
        <v>0</v>
      </c>
      <c r="J2887">
        <v>0</v>
      </c>
      <c r="K2887" s="142" t="s">
        <v>1674</v>
      </c>
      <c r="L2887">
        <v>577360</v>
      </c>
      <c r="M2887">
        <v>0.14807999999999999</v>
      </c>
      <c r="N2887">
        <v>577360</v>
      </c>
      <c r="O2887">
        <v>13.497</v>
      </c>
    </row>
    <row r="2888" spans="1:15" x14ac:dyDescent="0.25">
      <c r="A2888" s="142" t="s">
        <v>2948</v>
      </c>
      <c r="B2888" s="142" t="s">
        <v>2830</v>
      </c>
      <c r="C2888" s="142" t="s">
        <v>3</v>
      </c>
      <c r="D2888">
        <v>10</v>
      </c>
      <c r="E2888">
        <v>100</v>
      </c>
      <c r="F2888">
        <v>1</v>
      </c>
      <c r="G2888" s="142" t="s">
        <v>6</v>
      </c>
      <c r="H2888" s="142" t="s">
        <v>4</v>
      </c>
      <c r="I2888">
        <v>0</v>
      </c>
      <c r="J2888">
        <v>0</v>
      </c>
      <c r="K2888" s="142" t="s">
        <v>1674</v>
      </c>
      <c r="L2888">
        <v>577.39</v>
      </c>
      <c r="M2888">
        <v>1.6414999999999999E-3</v>
      </c>
      <c r="N2888">
        <v>577.39</v>
      </c>
      <c r="O2888">
        <v>1.6092999999999999E-3</v>
      </c>
    </row>
    <row r="2889" spans="1:15" x14ac:dyDescent="0.25">
      <c r="A2889" s="142" t="s">
        <v>2949</v>
      </c>
      <c r="B2889" s="142" t="s">
        <v>2830</v>
      </c>
      <c r="C2889" s="142" t="s">
        <v>3</v>
      </c>
      <c r="D2889">
        <v>100</v>
      </c>
      <c r="E2889">
        <v>1020</v>
      </c>
      <c r="F2889">
        <v>1</v>
      </c>
      <c r="G2889" s="142" t="s">
        <v>6</v>
      </c>
      <c r="H2889" s="142" t="s">
        <v>4</v>
      </c>
      <c r="I2889">
        <v>0</v>
      </c>
      <c r="J2889">
        <v>0</v>
      </c>
      <c r="K2889" s="142" t="s">
        <v>1674</v>
      </c>
      <c r="L2889">
        <v>577.76</v>
      </c>
      <c r="M2889">
        <v>1.3752E-2</v>
      </c>
      <c r="N2889">
        <v>577.71</v>
      </c>
      <c r="O2889">
        <v>1.3677E-2</v>
      </c>
    </row>
    <row r="2890" spans="1:15" x14ac:dyDescent="0.25">
      <c r="A2890" s="142" t="s">
        <v>2950</v>
      </c>
      <c r="B2890" s="142" t="s">
        <v>2830</v>
      </c>
      <c r="C2890" s="142" t="s">
        <v>3</v>
      </c>
      <c r="D2890">
        <v>10</v>
      </c>
      <c r="E2890">
        <v>100</v>
      </c>
      <c r="F2890">
        <v>10</v>
      </c>
      <c r="G2890" s="142" t="s">
        <v>6</v>
      </c>
      <c r="H2890" s="142" t="s">
        <v>4</v>
      </c>
      <c r="I2890">
        <v>0</v>
      </c>
      <c r="J2890">
        <v>0</v>
      </c>
      <c r="K2890" s="142" t="s">
        <v>1674</v>
      </c>
      <c r="L2890">
        <v>5773.6</v>
      </c>
      <c r="M2890">
        <v>1.7383000000000001E-4</v>
      </c>
      <c r="N2890">
        <v>5773.6</v>
      </c>
      <c r="O2890">
        <v>1.6097E-4</v>
      </c>
    </row>
    <row r="2891" spans="1:15" x14ac:dyDescent="0.25">
      <c r="A2891" s="142" t="s">
        <v>2951</v>
      </c>
      <c r="B2891" s="142" t="s">
        <v>2830</v>
      </c>
      <c r="C2891" s="142" t="s">
        <v>3</v>
      </c>
      <c r="D2891">
        <v>100</v>
      </c>
      <c r="E2891">
        <v>1020</v>
      </c>
      <c r="F2891">
        <v>10</v>
      </c>
      <c r="G2891" s="142" t="s">
        <v>6</v>
      </c>
      <c r="H2891" s="142" t="s">
        <v>4</v>
      </c>
      <c r="I2891">
        <v>0</v>
      </c>
      <c r="J2891">
        <v>0</v>
      </c>
      <c r="K2891" s="142" t="s">
        <v>1674</v>
      </c>
      <c r="L2891">
        <v>5773.6</v>
      </c>
      <c r="M2891">
        <v>1.4178999999999999E-3</v>
      </c>
      <c r="N2891">
        <v>5773.6</v>
      </c>
      <c r="O2891">
        <v>1.3864000000000001E-3</v>
      </c>
    </row>
    <row r="2892" spans="1:15" x14ac:dyDescent="0.25">
      <c r="A2892" s="142" t="s">
        <v>2952</v>
      </c>
      <c r="B2892" s="142" t="s">
        <v>2830</v>
      </c>
      <c r="C2892" s="142" t="s">
        <v>3</v>
      </c>
      <c r="D2892">
        <v>100</v>
      </c>
      <c r="E2892">
        <v>1020</v>
      </c>
      <c r="F2892">
        <v>100</v>
      </c>
      <c r="G2892" s="142" t="s">
        <v>6</v>
      </c>
      <c r="H2892" s="142" t="s">
        <v>4</v>
      </c>
      <c r="I2892">
        <v>0</v>
      </c>
      <c r="J2892">
        <v>0</v>
      </c>
      <c r="K2892" s="142" t="s">
        <v>1674</v>
      </c>
      <c r="L2892">
        <v>57736</v>
      </c>
      <c r="M2892">
        <v>1.5124999999999999E-4</v>
      </c>
      <c r="N2892">
        <v>57736</v>
      </c>
      <c r="O2892">
        <v>1.3866E-4</v>
      </c>
    </row>
    <row r="2893" spans="1:15" x14ac:dyDescent="0.25">
      <c r="A2893" s="142" t="s">
        <v>2953</v>
      </c>
      <c r="B2893" s="142" t="s">
        <v>2830</v>
      </c>
      <c r="C2893" s="142" t="s">
        <v>76</v>
      </c>
      <c r="D2893">
        <v>-346</v>
      </c>
      <c r="E2893">
        <v>-148</v>
      </c>
      <c r="F2893">
        <v>0.1</v>
      </c>
      <c r="G2893" s="142" t="s">
        <v>26</v>
      </c>
      <c r="H2893" s="142" t="s">
        <v>26</v>
      </c>
      <c r="I2893">
        <v>0</v>
      </c>
      <c r="J2893">
        <v>0</v>
      </c>
      <c r="K2893" s="142" t="s">
        <v>1674</v>
      </c>
      <c r="L2893">
        <v>2.41677204368</v>
      </c>
      <c r="M2893">
        <v>0</v>
      </c>
      <c r="N2893">
        <v>2.414475512404</v>
      </c>
      <c r="O2893">
        <v>0</v>
      </c>
    </row>
    <row r="2894" spans="1:15" x14ac:dyDescent="0.25">
      <c r="A2894" s="142" t="s">
        <v>2954</v>
      </c>
      <c r="B2894" s="142" t="s">
        <v>2830</v>
      </c>
      <c r="C2894" s="142" t="s">
        <v>76</v>
      </c>
      <c r="D2894">
        <v>-148</v>
      </c>
      <c r="E2894">
        <v>302</v>
      </c>
      <c r="F2894">
        <v>0.1</v>
      </c>
      <c r="G2894" s="142" t="s">
        <v>26</v>
      </c>
      <c r="H2894" s="142" t="s">
        <v>26</v>
      </c>
      <c r="I2894">
        <v>0</v>
      </c>
      <c r="J2894">
        <v>0</v>
      </c>
      <c r="K2894" s="142" t="s">
        <v>1674</v>
      </c>
      <c r="L2894">
        <v>1.916532785984</v>
      </c>
      <c r="M2894">
        <v>0</v>
      </c>
      <c r="N2894">
        <v>1.914451176876</v>
      </c>
      <c r="O2894">
        <v>0</v>
      </c>
    </row>
    <row r="2895" spans="1:15" x14ac:dyDescent="0.25">
      <c r="A2895" s="142" t="s">
        <v>2955</v>
      </c>
      <c r="B2895" s="142" t="s">
        <v>2830</v>
      </c>
      <c r="C2895" s="142" t="s">
        <v>76</v>
      </c>
      <c r="D2895">
        <v>302</v>
      </c>
      <c r="E2895">
        <v>1400</v>
      </c>
      <c r="F2895">
        <v>0.1</v>
      </c>
      <c r="G2895" s="142" t="s">
        <v>26</v>
      </c>
      <c r="H2895" s="142" t="s">
        <v>26</v>
      </c>
      <c r="I2895">
        <v>0</v>
      </c>
      <c r="J2895">
        <v>0</v>
      </c>
      <c r="K2895" s="142" t="s">
        <v>1674</v>
      </c>
      <c r="L2895">
        <v>2.039283008265</v>
      </c>
      <c r="M2895">
        <v>0</v>
      </c>
      <c r="N2895">
        <v>2.0387303630829998</v>
      </c>
      <c r="O2895">
        <v>0</v>
      </c>
    </row>
    <row r="2896" spans="1:15" x14ac:dyDescent="0.25">
      <c r="A2896" s="142" t="s">
        <v>2956</v>
      </c>
      <c r="B2896" s="142" t="s">
        <v>2830</v>
      </c>
      <c r="C2896" s="142" t="s">
        <v>76</v>
      </c>
      <c r="D2896">
        <v>1400</v>
      </c>
      <c r="E2896">
        <v>2192</v>
      </c>
      <c r="F2896">
        <v>0.1</v>
      </c>
      <c r="G2896" s="142" t="s">
        <v>26</v>
      </c>
      <c r="H2896" s="142" t="s">
        <v>26</v>
      </c>
      <c r="I2896">
        <v>0</v>
      </c>
      <c r="J2896">
        <v>0</v>
      </c>
      <c r="K2896" s="142" t="s">
        <v>1674</v>
      </c>
      <c r="L2896">
        <v>2.2469486547190001</v>
      </c>
      <c r="M2896">
        <v>0</v>
      </c>
      <c r="N2896">
        <v>2.246447097641</v>
      </c>
      <c r="O2896">
        <v>0</v>
      </c>
    </row>
    <row r="2897" spans="1:15" x14ac:dyDescent="0.25">
      <c r="A2897" s="142" t="s">
        <v>2957</v>
      </c>
      <c r="B2897" s="142" t="s">
        <v>2830</v>
      </c>
      <c r="C2897" s="142" t="s">
        <v>76</v>
      </c>
      <c r="D2897">
        <v>-346</v>
      </c>
      <c r="E2897">
        <v>-148</v>
      </c>
      <c r="F2897">
        <v>1</v>
      </c>
      <c r="G2897" s="142" t="s">
        <v>26</v>
      </c>
      <c r="H2897" s="142" t="s">
        <v>26</v>
      </c>
      <c r="I2897">
        <v>0</v>
      </c>
      <c r="J2897">
        <v>0</v>
      </c>
      <c r="K2897" s="142" t="s">
        <v>1674</v>
      </c>
      <c r="L2897">
        <v>2.490797551879</v>
      </c>
      <c r="M2897">
        <v>0</v>
      </c>
      <c r="N2897">
        <v>2.4818726800539999</v>
      </c>
      <c r="O2897">
        <v>0</v>
      </c>
    </row>
    <row r="2898" spans="1:15" x14ac:dyDescent="0.25">
      <c r="A2898" s="142" t="s">
        <v>2958</v>
      </c>
      <c r="B2898" s="142" t="s">
        <v>2830</v>
      </c>
      <c r="C2898" s="142" t="s">
        <v>76</v>
      </c>
      <c r="D2898">
        <v>-148</v>
      </c>
      <c r="E2898">
        <v>302</v>
      </c>
      <c r="F2898">
        <v>1</v>
      </c>
      <c r="G2898" s="142" t="s">
        <v>26</v>
      </c>
      <c r="H2898" s="142" t="s">
        <v>26</v>
      </c>
      <c r="I2898">
        <v>0</v>
      </c>
      <c r="J2898">
        <v>0</v>
      </c>
      <c r="K2898" s="142" t="s">
        <v>1674</v>
      </c>
      <c r="L2898">
        <v>2.006744067659</v>
      </c>
      <c r="M2898">
        <v>0</v>
      </c>
      <c r="N2898">
        <v>1.998780455338</v>
      </c>
      <c r="O2898">
        <v>0</v>
      </c>
    </row>
    <row r="2899" spans="1:15" x14ac:dyDescent="0.25">
      <c r="A2899" s="142" t="s">
        <v>2959</v>
      </c>
      <c r="B2899" s="142" t="s">
        <v>2830</v>
      </c>
      <c r="C2899" s="142" t="s">
        <v>76</v>
      </c>
      <c r="D2899">
        <v>302</v>
      </c>
      <c r="E2899">
        <v>1400</v>
      </c>
      <c r="F2899">
        <v>1</v>
      </c>
      <c r="G2899" s="142" t="s">
        <v>26</v>
      </c>
      <c r="H2899" s="142" t="s">
        <v>26</v>
      </c>
      <c r="I2899">
        <v>0</v>
      </c>
      <c r="J2899">
        <v>0</v>
      </c>
      <c r="K2899" s="142" t="s">
        <v>1674</v>
      </c>
      <c r="L2899">
        <v>2.1202443894830001</v>
      </c>
      <c r="M2899">
        <v>0</v>
      </c>
      <c r="N2899">
        <v>2.1181174408789998</v>
      </c>
      <c r="O2899">
        <v>0</v>
      </c>
    </row>
    <row r="2900" spans="1:15" x14ac:dyDescent="0.25">
      <c r="A2900" s="142" t="s">
        <v>2960</v>
      </c>
      <c r="B2900" s="142" t="s">
        <v>2830</v>
      </c>
      <c r="C2900" s="142" t="s">
        <v>76</v>
      </c>
      <c r="D2900">
        <v>1400</v>
      </c>
      <c r="E2900">
        <v>2192</v>
      </c>
      <c r="F2900">
        <v>1</v>
      </c>
      <c r="G2900" s="142" t="s">
        <v>26</v>
      </c>
      <c r="H2900" s="142" t="s">
        <v>26</v>
      </c>
      <c r="I2900">
        <v>0</v>
      </c>
      <c r="J2900">
        <v>0</v>
      </c>
      <c r="K2900" s="142" t="s">
        <v>1674</v>
      </c>
      <c r="L2900">
        <v>2.3206764833290001</v>
      </c>
      <c r="M2900">
        <v>0</v>
      </c>
      <c r="N2900">
        <v>2.318733396167</v>
      </c>
      <c r="O2900">
        <v>0</v>
      </c>
    </row>
    <row r="2901" spans="1:15" x14ac:dyDescent="0.25">
      <c r="A2901" s="142" t="s">
        <v>2961</v>
      </c>
      <c r="B2901" s="142" t="s">
        <v>2830</v>
      </c>
      <c r="C2901" s="142" t="s">
        <v>77</v>
      </c>
      <c r="D2901">
        <v>-328</v>
      </c>
      <c r="E2901">
        <v>-148</v>
      </c>
      <c r="F2901">
        <v>0.1</v>
      </c>
      <c r="G2901" s="142" t="s">
        <v>26</v>
      </c>
      <c r="H2901" s="142" t="s">
        <v>26</v>
      </c>
      <c r="I2901">
        <v>0</v>
      </c>
      <c r="J2901">
        <v>0</v>
      </c>
      <c r="K2901" s="142" t="s">
        <v>1674</v>
      </c>
      <c r="L2901">
        <v>2.5841262594719998</v>
      </c>
      <c r="M2901">
        <v>0</v>
      </c>
      <c r="N2901">
        <v>2.5812734900529999</v>
      </c>
      <c r="O2901">
        <v>0</v>
      </c>
    </row>
    <row r="2902" spans="1:15" x14ac:dyDescent="0.25">
      <c r="A2902" s="142" t="s">
        <v>2962</v>
      </c>
      <c r="B2902" s="142" t="s">
        <v>2830</v>
      </c>
      <c r="C2902" s="142" t="s">
        <v>77</v>
      </c>
      <c r="D2902">
        <v>-148</v>
      </c>
      <c r="E2902">
        <v>248</v>
      </c>
      <c r="F2902">
        <v>0.1</v>
      </c>
      <c r="G2902" s="142" t="s">
        <v>26</v>
      </c>
      <c r="H2902" s="142" t="s">
        <v>26</v>
      </c>
      <c r="I2902">
        <v>0</v>
      </c>
      <c r="J2902">
        <v>0</v>
      </c>
      <c r="K2902" s="142" t="s">
        <v>1674</v>
      </c>
      <c r="L2902">
        <v>2.0844413884919999</v>
      </c>
      <c r="M2902">
        <v>0</v>
      </c>
      <c r="N2902">
        <v>2.0809036997449999</v>
      </c>
      <c r="O2902">
        <v>0</v>
      </c>
    </row>
    <row r="2903" spans="1:15" x14ac:dyDescent="0.25">
      <c r="A2903" s="142" t="s">
        <v>2963</v>
      </c>
      <c r="B2903" s="142" t="s">
        <v>2830</v>
      </c>
      <c r="C2903" s="142" t="s">
        <v>77</v>
      </c>
      <c r="D2903">
        <v>248</v>
      </c>
      <c r="E2903">
        <v>2500</v>
      </c>
      <c r="F2903">
        <v>0.1</v>
      </c>
      <c r="G2903" s="142" t="s">
        <v>26</v>
      </c>
      <c r="H2903" s="142" t="s">
        <v>26</v>
      </c>
      <c r="I2903">
        <v>0</v>
      </c>
      <c r="J2903">
        <v>0</v>
      </c>
      <c r="K2903" s="142" t="s">
        <v>1674</v>
      </c>
      <c r="L2903">
        <v>2.5390574256759999</v>
      </c>
      <c r="M2903">
        <v>0</v>
      </c>
      <c r="N2903">
        <v>2.537589029591</v>
      </c>
      <c r="O2903">
        <v>0</v>
      </c>
    </row>
    <row r="2904" spans="1:15" x14ac:dyDescent="0.25">
      <c r="A2904" s="142" t="s">
        <v>2964</v>
      </c>
      <c r="B2904" s="142" t="s">
        <v>2830</v>
      </c>
      <c r="C2904" s="142" t="s">
        <v>77</v>
      </c>
      <c r="D2904">
        <v>-328</v>
      </c>
      <c r="E2904">
        <v>-148</v>
      </c>
      <c r="F2904">
        <v>1</v>
      </c>
      <c r="G2904" s="142" t="s">
        <v>26</v>
      </c>
      <c r="H2904" s="142" t="s">
        <v>26</v>
      </c>
      <c r="I2904">
        <v>0</v>
      </c>
      <c r="J2904">
        <v>0</v>
      </c>
      <c r="K2904" s="142" t="s">
        <v>1674</v>
      </c>
      <c r="L2904">
        <v>2.655544314868</v>
      </c>
      <c r="M2904">
        <v>0</v>
      </c>
      <c r="N2904">
        <v>2.644422967388</v>
      </c>
      <c r="O2904">
        <v>0</v>
      </c>
    </row>
    <row r="2905" spans="1:15" x14ac:dyDescent="0.25">
      <c r="A2905" s="142" t="s">
        <v>2965</v>
      </c>
      <c r="B2905" s="142" t="s">
        <v>2830</v>
      </c>
      <c r="C2905" s="142" t="s">
        <v>77</v>
      </c>
      <c r="D2905">
        <v>-148</v>
      </c>
      <c r="E2905">
        <v>248</v>
      </c>
      <c r="F2905">
        <v>1</v>
      </c>
      <c r="G2905" s="142" t="s">
        <v>26</v>
      </c>
      <c r="H2905" s="142" t="s">
        <v>26</v>
      </c>
      <c r="I2905">
        <v>0</v>
      </c>
      <c r="J2905">
        <v>0</v>
      </c>
      <c r="K2905" s="142" t="s">
        <v>1674</v>
      </c>
      <c r="L2905">
        <v>2.1723496462099998</v>
      </c>
      <c r="M2905">
        <v>0</v>
      </c>
      <c r="N2905">
        <v>2.1587404215450001</v>
      </c>
      <c r="O2905">
        <v>0</v>
      </c>
    </row>
    <row r="2906" spans="1:15" x14ac:dyDescent="0.25">
      <c r="A2906" s="142" t="s">
        <v>2966</v>
      </c>
      <c r="B2906" s="142" t="s">
        <v>2830</v>
      </c>
      <c r="C2906" s="142" t="s">
        <v>77</v>
      </c>
      <c r="D2906">
        <v>248</v>
      </c>
      <c r="E2906">
        <v>2500</v>
      </c>
      <c r="F2906">
        <v>1</v>
      </c>
      <c r="G2906" s="142" t="s">
        <v>26</v>
      </c>
      <c r="H2906" s="142" t="s">
        <v>26</v>
      </c>
      <c r="I2906">
        <v>0</v>
      </c>
      <c r="J2906">
        <v>0</v>
      </c>
      <c r="K2906" s="142" t="s">
        <v>1674</v>
      </c>
      <c r="L2906">
        <v>2.6075229997479998</v>
      </c>
      <c r="M2906">
        <v>0</v>
      </c>
      <c r="N2906">
        <v>2.601799008975</v>
      </c>
      <c r="O2906">
        <v>0</v>
      </c>
    </row>
    <row r="2907" spans="1:15" x14ac:dyDescent="0.25">
      <c r="A2907" s="142" t="s">
        <v>2967</v>
      </c>
      <c r="B2907" s="142" t="s">
        <v>2830</v>
      </c>
      <c r="C2907" s="142" t="s">
        <v>78</v>
      </c>
      <c r="D2907">
        <v>-328</v>
      </c>
      <c r="E2907">
        <v>-148</v>
      </c>
      <c r="F2907">
        <v>0.1</v>
      </c>
      <c r="G2907" s="142" t="s">
        <v>26</v>
      </c>
      <c r="H2907" s="142" t="s">
        <v>26</v>
      </c>
      <c r="I2907">
        <v>0</v>
      </c>
      <c r="J2907">
        <v>0</v>
      </c>
      <c r="K2907" s="142" t="s">
        <v>1674</v>
      </c>
      <c r="L2907">
        <v>3.204988329466</v>
      </c>
      <c r="M2907">
        <v>0</v>
      </c>
      <c r="N2907">
        <v>3.202526242032</v>
      </c>
      <c r="O2907">
        <v>0</v>
      </c>
    </row>
    <row r="2908" spans="1:15" x14ac:dyDescent="0.25">
      <c r="A2908" s="142" t="s">
        <v>2968</v>
      </c>
      <c r="B2908" s="142" t="s">
        <v>2830</v>
      </c>
      <c r="C2908" s="142" t="s">
        <v>78</v>
      </c>
      <c r="D2908">
        <v>-148</v>
      </c>
      <c r="E2908">
        <v>770</v>
      </c>
      <c r="F2908">
        <v>0.1</v>
      </c>
      <c r="G2908" s="142" t="s">
        <v>26</v>
      </c>
      <c r="H2908" s="142" t="s">
        <v>26</v>
      </c>
      <c r="I2908">
        <v>0</v>
      </c>
      <c r="J2908">
        <v>0</v>
      </c>
      <c r="K2908" s="142" t="s">
        <v>1674</v>
      </c>
      <c r="L2908">
        <v>2.2918456640409999</v>
      </c>
      <c r="M2908">
        <v>0</v>
      </c>
      <c r="N2908">
        <v>2.2894238219849998</v>
      </c>
      <c r="O2908">
        <v>0</v>
      </c>
    </row>
    <row r="2909" spans="1:15" x14ac:dyDescent="0.25">
      <c r="A2909" s="142" t="s">
        <v>2969</v>
      </c>
      <c r="B2909" s="142" t="s">
        <v>2830</v>
      </c>
      <c r="C2909" s="142" t="s">
        <v>78</v>
      </c>
      <c r="D2909">
        <v>770</v>
      </c>
      <c r="E2909">
        <v>2372</v>
      </c>
      <c r="F2909">
        <v>0.1</v>
      </c>
      <c r="G2909" s="142" t="s">
        <v>26</v>
      </c>
      <c r="H2909" s="142" t="s">
        <v>26</v>
      </c>
      <c r="I2909">
        <v>0</v>
      </c>
      <c r="J2909">
        <v>0</v>
      </c>
      <c r="K2909" s="142" t="s">
        <v>1674</v>
      </c>
      <c r="L2909">
        <v>2.455765127432</v>
      </c>
      <c r="M2909">
        <v>0</v>
      </c>
      <c r="N2909">
        <v>2.454458799817</v>
      </c>
      <c r="O2909">
        <v>0</v>
      </c>
    </row>
    <row r="2910" spans="1:15" x14ac:dyDescent="0.25">
      <c r="A2910" s="142" t="s">
        <v>2970</v>
      </c>
      <c r="B2910" s="142" t="s">
        <v>2830</v>
      </c>
      <c r="C2910" s="142" t="s">
        <v>78</v>
      </c>
      <c r="D2910">
        <v>-328</v>
      </c>
      <c r="E2910">
        <v>-148</v>
      </c>
      <c r="F2910">
        <v>1</v>
      </c>
      <c r="G2910" s="142" t="s">
        <v>26</v>
      </c>
      <c r="H2910" s="142" t="s">
        <v>26</v>
      </c>
      <c r="I2910">
        <v>0</v>
      </c>
      <c r="J2910">
        <v>0</v>
      </c>
      <c r="K2910" s="142" t="s">
        <v>1674</v>
      </c>
      <c r="L2910">
        <v>3.2633231184409999</v>
      </c>
      <c r="M2910">
        <v>0</v>
      </c>
      <c r="N2910">
        <v>3.2536401661690002</v>
      </c>
      <c r="O2910">
        <v>0</v>
      </c>
    </row>
    <row r="2911" spans="1:15" x14ac:dyDescent="0.25">
      <c r="A2911" s="142" t="s">
        <v>2971</v>
      </c>
      <c r="B2911" s="142" t="s">
        <v>2830</v>
      </c>
      <c r="C2911" s="142" t="s">
        <v>78</v>
      </c>
      <c r="D2911">
        <v>-148</v>
      </c>
      <c r="E2911">
        <v>770</v>
      </c>
      <c r="F2911">
        <v>1</v>
      </c>
      <c r="G2911" s="142" t="s">
        <v>26</v>
      </c>
      <c r="H2911" s="142" t="s">
        <v>26</v>
      </c>
      <c r="I2911">
        <v>0</v>
      </c>
      <c r="J2911">
        <v>0</v>
      </c>
      <c r="K2911" s="142" t="s">
        <v>1674</v>
      </c>
      <c r="L2911">
        <v>2.3697767576539999</v>
      </c>
      <c r="M2911">
        <v>0</v>
      </c>
      <c r="N2911">
        <v>2.3603943392310001</v>
      </c>
      <c r="O2911">
        <v>0</v>
      </c>
    </row>
    <row r="2912" spans="1:15" x14ac:dyDescent="0.25">
      <c r="A2912" s="142" t="s">
        <v>2972</v>
      </c>
      <c r="B2912" s="142" t="s">
        <v>2830</v>
      </c>
      <c r="C2912" s="142" t="s">
        <v>78</v>
      </c>
      <c r="D2912">
        <v>770</v>
      </c>
      <c r="E2912">
        <v>2372</v>
      </c>
      <c r="F2912">
        <v>1</v>
      </c>
      <c r="G2912" s="142" t="s">
        <v>26</v>
      </c>
      <c r="H2912" s="142" t="s">
        <v>26</v>
      </c>
      <c r="I2912">
        <v>0</v>
      </c>
      <c r="J2912">
        <v>0</v>
      </c>
      <c r="K2912" s="142" t="s">
        <v>1674</v>
      </c>
      <c r="L2912">
        <v>2.5258712248339998</v>
      </c>
      <c r="M2912">
        <v>0</v>
      </c>
      <c r="N2912">
        <v>2.5207871786410001</v>
      </c>
      <c r="O2912">
        <v>0</v>
      </c>
    </row>
    <row r="2913" spans="1:15" x14ac:dyDescent="0.25">
      <c r="A2913" s="142" t="s">
        <v>2973</v>
      </c>
      <c r="B2913" s="142" t="s">
        <v>2830</v>
      </c>
      <c r="C2913" s="142" t="s">
        <v>79</v>
      </c>
      <c r="D2913">
        <v>32</v>
      </c>
      <c r="E2913">
        <v>482</v>
      </c>
      <c r="F2913">
        <v>0.1</v>
      </c>
      <c r="G2913" s="142" t="s">
        <v>26</v>
      </c>
      <c r="H2913" s="142" t="s">
        <v>26</v>
      </c>
      <c r="I2913">
        <v>0</v>
      </c>
      <c r="J2913">
        <v>0</v>
      </c>
      <c r="K2913" s="142" t="s">
        <v>1674</v>
      </c>
      <c r="L2913">
        <v>4.7943939774609996</v>
      </c>
      <c r="M2913">
        <v>0</v>
      </c>
      <c r="N2913">
        <v>4.7927665404350002</v>
      </c>
      <c r="O2913">
        <v>0</v>
      </c>
    </row>
    <row r="2914" spans="1:15" x14ac:dyDescent="0.25">
      <c r="A2914" s="142" t="s">
        <v>2974</v>
      </c>
      <c r="B2914" s="142" t="s">
        <v>2830</v>
      </c>
      <c r="C2914" s="142" t="s">
        <v>79</v>
      </c>
      <c r="D2914">
        <v>482</v>
      </c>
      <c r="E2914">
        <v>3200</v>
      </c>
      <c r="F2914">
        <v>0.1</v>
      </c>
      <c r="G2914" s="142" t="s">
        <v>26</v>
      </c>
      <c r="H2914" s="142" t="s">
        <v>26</v>
      </c>
      <c r="I2914">
        <v>0</v>
      </c>
      <c r="J2914">
        <v>0</v>
      </c>
      <c r="K2914" s="142" t="s">
        <v>1674</v>
      </c>
      <c r="L2914">
        <v>3.5823485726099999</v>
      </c>
      <c r="M2914">
        <v>0</v>
      </c>
      <c r="N2914">
        <v>3.580509160893</v>
      </c>
      <c r="O2914">
        <v>0</v>
      </c>
    </row>
    <row r="2915" spans="1:15" x14ac:dyDescent="0.25">
      <c r="A2915" s="142" t="s">
        <v>2975</v>
      </c>
      <c r="B2915" s="142" t="s">
        <v>2830</v>
      </c>
      <c r="C2915" s="142" t="s">
        <v>79</v>
      </c>
      <c r="D2915">
        <v>32</v>
      </c>
      <c r="E2915">
        <v>482</v>
      </c>
      <c r="F2915">
        <v>1</v>
      </c>
      <c r="G2915" s="142" t="s">
        <v>26</v>
      </c>
      <c r="H2915" s="142" t="s">
        <v>26</v>
      </c>
      <c r="I2915">
        <v>0</v>
      </c>
      <c r="J2915">
        <v>0</v>
      </c>
      <c r="K2915" s="142" t="s">
        <v>1674</v>
      </c>
      <c r="L2915">
        <v>4.8335309155020001</v>
      </c>
      <c r="M2915">
        <v>0</v>
      </c>
      <c r="N2915">
        <v>4.8270706552849996</v>
      </c>
      <c r="O2915">
        <v>0</v>
      </c>
    </row>
    <row r="2916" spans="1:15" x14ac:dyDescent="0.25">
      <c r="A2916" s="142" t="s">
        <v>2976</v>
      </c>
      <c r="B2916" s="142" t="s">
        <v>2830</v>
      </c>
      <c r="C2916" s="142" t="s">
        <v>79</v>
      </c>
      <c r="D2916">
        <v>482</v>
      </c>
      <c r="E2916">
        <v>3200</v>
      </c>
      <c r="F2916">
        <v>1</v>
      </c>
      <c r="G2916" s="142" t="s">
        <v>26</v>
      </c>
      <c r="H2916" s="142" t="s">
        <v>26</v>
      </c>
      <c r="I2916">
        <v>0</v>
      </c>
      <c r="J2916">
        <v>0</v>
      </c>
      <c r="K2916" s="142" t="s">
        <v>1674</v>
      </c>
      <c r="L2916">
        <v>3.6335585352400002</v>
      </c>
      <c r="M2916">
        <v>0</v>
      </c>
      <c r="N2916">
        <v>3.6262991949419998</v>
      </c>
      <c r="O2916">
        <v>0</v>
      </c>
    </row>
    <row r="2917" spans="1:15" x14ac:dyDescent="0.25">
      <c r="A2917" s="142" t="s">
        <v>2977</v>
      </c>
      <c r="B2917" s="142" t="s">
        <v>2830</v>
      </c>
      <c r="C2917" s="142" t="s">
        <v>80</v>
      </c>
      <c r="D2917">
        <v>32</v>
      </c>
      <c r="E2917">
        <v>482</v>
      </c>
      <c r="F2917">
        <v>0.1</v>
      </c>
      <c r="G2917" s="142" t="s">
        <v>26</v>
      </c>
      <c r="H2917" s="142" t="s">
        <v>26</v>
      </c>
      <c r="I2917">
        <v>0</v>
      </c>
      <c r="J2917">
        <v>0</v>
      </c>
      <c r="K2917" s="142" t="s">
        <v>1674</v>
      </c>
      <c r="L2917">
        <v>4.7943578181950004</v>
      </c>
      <c r="M2917">
        <v>0</v>
      </c>
      <c r="N2917">
        <v>4.7927665404350002</v>
      </c>
      <c r="O2917">
        <v>0</v>
      </c>
    </row>
    <row r="2918" spans="1:15" x14ac:dyDescent="0.25">
      <c r="A2918" s="142" t="s">
        <v>2978</v>
      </c>
      <c r="B2918" s="142" t="s">
        <v>2830</v>
      </c>
      <c r="C2918" s="142" t="s">
        <v>80</v>
      </c>
      <c r="D2918">
        <v>482</v>
      </c>
      <c r="E2918">
        <v>3200</v>
      </c>
      <c r="F2918">
        <v>0.1</v>
      </c>
      <c r="G2918" s="142" t="s">
        <v>26</v>
      </c>
      <c r="H2918" s="142" t="s">
        <v>26</v>
      </c>
      <c r="I2918">
        <v>0</v>
      </c>
      <c r="J2918">
        <v>0</v>
      </c>
      <c r="K2918" s="142" t="s">
        <v>1674</v>
      </c>
      <c r="L2918">
        <v>3.584626362746</v>
      </c>
      <c r="M2918">
        <v>0</v>
      </c>
      <c r="N2918">
        <v>3.5827881204519998</v>
      </c>
      <c r="O2918">
        <v>0</v>
      </c>
    </row>
    <row r="2919" spans="1:15" x14ac:dyDescent="0.25">
      <c r="A2919" s="142" t="s">
        <v>2979</v>
      </c>
      <c r="B2919" s="142" t="s">
        <v>2830</v>
      </c>
      <c r="C2919" s="142" t="s">
        <v>80</v>
      </c>
      <c r="D2919">
        <v>32</v>
      </c>
      <c r="E2919">
        <v>482</v>
      </c>
      <c r="F2919">
        <v>1</v>
      </c>
      <c r="G2919" s="142" t="s">
        <v>26</v>
      </c>
      <c r="H2919" s="142" t="s">
        <v>26</v>
      </c>
      <c r="I2919">
        <v>0</v>
      </c>
      <c r="J2919">
        <v>0</v>
      </c>
      <c r="K2919" s="142" t="s">
        <v>1674</v>
      </c>
      <c r="L2919">
        <v>4.8333874479730001</v>
      </c>
      <c r="M2919">
        <v>0</v>
      </c>
      <c r="N2919">
        <v>4.8270706552849996</v>
      </c>
      <c r="O2919">
        <v>0</v>
      </c>
    </row>
    <row r="2920" spans="1:15" x14ac:dyDescent="0.25">
      <c r="A2920" s="142" t="s">
        <v>2980</v>
      </c>
      <c r="B2920" s="142" t="s">
        <v>2830</v>
      </c>
      <c r="C2920" s="142" t="s">
        <v>80</v>
      </c>
      <c r="D2920">
        <v>482</v>
      </c>
      <c r="E2920">
        <v>3200</v>
      </c>
      <c r="F2920">
        <v>1</v>
      </c>
      <c r="G2920" s="142" t="s">
        <v>26</v>
      </c>
      <c r="H2920" s="142" t="s">
        <v>26</v>
      </c>
      <c r="I2920">
        <v>0</v>
      </c>
      <c r="J2920">
        <v>0</v>
      </c>
      <c r="K2920" s="142" t="s">
        <v>1674</v>
      </c>
      <c r="L2920">
        <v>3.635804243056</v>
      </c>
      <c r="M2920">
        <v>0</v>
      </c>
      <c r="N2920">
        <v>3.6285493955639998</v>
      </c>
      <c r="O2920">
        <v>0</v>
      </c>
    </row>
    <row r="2921" spans="1:15" x14ac:dyDescent="0.25">
      <c r="A2921" s="142" t="s">
        <v>2981</v>
      </c>
      <c r="B2921" s="142" t="s">
        <v>2830</v>
      </c>
      <c r="C2921" s="142" t="s">
        <v>81</v>
      </c>
      <c r="D2921">
        <v>-418</v>
      </c>
      <c r="E2921">
        <v>-238</v>
      </c>
      <c r="F2921">
        <v>0.1</v>
      </c>
      <c r="G2921" s="142" t="s">
        <v>26</v>
      </c>
      <c r="H2921" s="142" t="s">
        <v>26</v>
      </c>
      <c r="I2921">
        <v>0</v>
      </c>
      <c r="J2921">
        <v>0</v>
      </c>
      <c r="K2921" s="142" t="s">
        <v>1674</v>
      </c>
      <c r="L2921">
        <v>3.9624103022099999</v>
      </c>
      <c r="M2921">
        <v>0</v>
      </c>
      <c r="N2921">
        <v>3.960244014333</v>
      </c>
      <c r="O2921">
        <v>0</v>
      </c>
    </row>
    <row r="2922" spans="1:15" x14ac:dyDescent="0.25">
      <c r="A2922" s="142" t="s">
        <v>2982</v>
      </c>
      <c r="B2922" s="142" t="s">
        <v>2830</v>
      </c>
      <c r="C2922" s="142" t="s">
        <v>81</v>
      </c>
      <c r="D2922">
        <v>-238</v>
      </c>
      <c r="E2922">
        <v>752</v>
      </c>
      <c r="F2922">
        <v>0.1</v>
      </c>
      <c r="G2922" s="142" t="s">
        <v>26</v>
      </c>
      <c r="H2922" s="142" t="s">
        <v>26</v>
      </c>
      <c r="I2922">
        <v>0</v>
      </c>
      <c r="J2922">
        <v>0</v>
      </c>
      <c r="K2922" s="142" t="s">
        <v>1674</v>
      </c>
      <c r="L2922">
        <v>1.919313317599</v>
      </c>
      <c r="M2922">
        <v>0</v>
      </c>
      <c r="N2922">
        <v>1.9156064313950001</v>
      </c>
      <c r="O2922">
        <v>0</v>
      </c>
    </row>
    <row r="2923" spans="1:15" x14ac:dyDescent="0.25">
      <c r="A2923" s="142" t="s">
        <v>2983</v>
      </c>
      <c r="B2923" s="142" t="s">
        <v>2830</v>
      </c>
      <c r="C2923" s="142" t="s">
        <v>81</v>
      </c>
      <c r="D2923">
        <v>-418</v>
      </c>
      <c r="E2923">
        <v>-238</v>
      </c>
      <c r="F2923">
        <v>1</v>
      </c>
      <c r="G2923" s="142" t="s">
        <v>26</v>
      </c>
      <c r="H2923" s="142" t="s">
        <v>26</v>
      </c>
      <c r="I2923">
        <v>0</v>
      </c>
      <c r="J2923">
        <v>0</v>
      </c>
      <c r="K2923" s="142" t="s">
        <v>1674</v>
      </c>
      <c r="L2923">
        <v>4.0102597986989998</v>
      </c>
      <c r="M2923">
        <v>0</v>
      </c>
      <c r="N2923">
        <v>4.0016912241030003</v>
      </c>
      <c r="O2923">
        <v>0</v>
      </c>
    </row>
    <row r="2924" spans="1:15" x14ac:dyDescent="0.25">
      <c r="A2924" s="142" t="s">
        <v>2984</v>
      </c>
      <c r="B2924" s="142" t="s">
        <v>2830</v>
      </c>
      <c r="C2924" s="142" t="s">
        <v>81</v>
      </c>
      <c r="D2924">
        <v>-238</v>
      </c>
      <c r="E2924">
        <v>752</v>
      </c>
      <c r="F2924">
        <v>1</v>
      </c>
      <c r="G2924" s="142" t="s">
        <v>26</v>
      </c>
      <c r="H2924" s="142" t="s">
        <v>26</v>
      </c>
      <c r="I2924">
        <v>0</v>
      </c>
      <c r="J2924">
        <v>0</v>
      </c>
      <c r="K2924" s="142" t="s">
        <v>1674</v>
      </c>
      <c r="L2924">
        <v>2.014053237738</v>
      </c>
      <c r="M2924">
        <v>0</v>
      </c>
      <c r="N2924">
        <v>1.999886996808</v>
      </c>
      <c r="O2924">
        <v>0</v>
      </c>
    </row>
    <row r="2925" spans="1:15" x14ac:dyDescent="0.25">
      <c r="A2925" s="142" t="s">
        <v>2985</v>
      </c>
      <c r="B2925" s="142" t="s">
        <v>2830</v>
      </c>
      <c r="C2925" s="142" t="s">
        <v>17</v>
      </c>
      <c r="D2925">
        <v>1</v>
      </c>
      <c r="E2925">
        <v>100000</v>
      </c>
      <c r="F2925">
        <v>1</v>
      </c>
      <c r="G2925" s="142" t="s">
        <v>9</v>
      </c>
      <c r="H2925" s="142" t="s">
        <v>9</v>
      </c>
      <c r="I2925">
        <v>0</v>
      </c>
      <c r="J2925">
        <v>0</v>
      </c>
      <c r="K2925" s="142" t="s">
        <v>1674</v>
      </c>
      <c r="L2925">
        <v>0.87</v>
      </c>
      <c r="M2925">
        <v>1.5999999999999999E-5</v>
      </c>
      <c r="N2925">
        <v>0.81637000000000004</v>
      </c>
      <c r="O2925">
        <v>1.6344000000000001E-5</v>
      </c>
    </row>
    <row r="2926" spans="1:15" x14ac:dyDescent="0.25">
      <c r="A2926" s="142" t="s">
        <v>2986</v>
      </c>
      <c r="B2926" s="142" t="s">
        <v>2830</v>
      </c>
      <c r="C2926" s="142" t="s">
        <v>17</v>
      </c>
      <c r="D2926">
        <v>1</v>
      </c>
      <c r="E2926">
        <v>100000</v>
      </c>
      <c r="F2926">
        <v>10</v>
      </c>
      <c r="G2926" s="142" t="s">
        <v>9</v>
      </c>
      <c r="H2926" s="142" t="s">
        <v>9</v>
      </c>
      <c r="I2926">
        <v>0</v>
      </c>
      <c r="J2926">
        <v>0</v>
      </c>
      <c r="K2926" s="142" t="s">
        <v>1674</v>
      </c>
      <c r="L2926">
        <v>5.8379000000000003</v>
      </c>
      <c r="M2926">
        <v>4.8158999999999999E-6</v>
      </c>
      <c r="N2926">
        <v>5.8243</v>
      </c>
      <c r="O2926">
        <v>4.6747000000000003E-6</v>
      </c>
    </row>
    <row r="2927" spans="1:15" x14ac:dyDescent="0.25">
      <c r="A2927" s="142" t="s">
        <v>2987</v>
      </c>
      <c r="B2927" s="142" t="s">
        <v>2830</v>
      </c>
      <c r="C2927" s="142" t="s">
        <v>17</v>
      </c>
      <c r="D2927">
        <v>1</v>
      </c>
      <c r="E2927">
        <v>100000</v>
      </c>
      <c r="F2927">
        <v>100</v>
      </c>
      <c r="G2927" s="142" t="s">
        <v>9</v>
      </c>
      <c r="H2927" s="142" t="s">
        <v>9</v>
      </c>
      <c r="I2927">
        <v>0</v>
      </c>
      <c r="J2927">
        <v>0</v>
      </c>
      <c r="K2927" s="142" t="s">
        <v>1674</v>
      </c>
      <c r="L2927">
        <v>58.005000000000003</v>
      </c>
      <c r="M2927">
        <v>3.1690999999999999E-6</v>
      </c>
      <c r="N2927">
        <v>58</v>
      </c>
      <c r="O2927">
        <v>3.1057000000000002E-6</v>
      </c>
    </row>
    <row r="2928" spans="1:15" x14ac:dyDescent="0.25">
      <c r="A2928" s="142" t="s">
        <v>2988</v>
      </c>
      <c r="B2928" s="142" t="s">
        <v>2830</v>
      </c>
      <c r="C2928" s="142" t="s">
        <v>17</v>
      </c>
      <c r="D2928">
        <v>1</v>
      </c>
      <c r="E2928">
        <v>100000</v>
      </c>
      <c r="F2928">
        <v>1000</v>
      </c>
      <c r="G2928" s="142" t="s">
        <v>9</v>
      </c>
      <c r="H2928" s="142" t="s">
        <v>9</v>
      </c>
      <c r="I2928">
        <v>0</v>
      </c>
      <c r="J2928">
        <v>0</v>
      </c>
      <c r="K2928" s="142" t="s">
        <v>1674</v>
      </c>
      <c r="L2928">
        <v>579.98</v>
      </c>
      <c r="M2928">
        <v>2.6531000000000001E-5</v>
      </c>
      <c r="N2928">
        <v>579.97</v>
      </c>
      <c r="O2928">
        <v>2.6505000000000001E-5</v>
      </c>
    </row>
    <row r="2929" spans="1:15" x14ac:dyDescent="0.25">
      <c r="A2929" s="142" t="s">
        <v>2989</v>
      </c>
      <c r="B2929" s="142" t="s">
        <v>2830</v>
      </c>
      <c r="C2929" s="142" t="s">
        <v>17</v>
      </c>
      <c r="D2929">
        <v>1</v>
      </c>
      <c r="E2929">
        <v>100000</v>
      </c>
      <c r="F2929">
        <v>10000</v>
      </c>
      <c r="G2929" s="142" t="s">
        <v>9</v>
      </c>
      <c r="H2929" s="142" t="s">
        <v>9</v>
      </c>
      <c r="I2929">
        <v>0</v>
      </c>
      <c r="J2929">
        <v>0</v>
      </c>
      <c r="K2929" s="142" t="s">
        <v>1674</v>
      </c>
      <c r="L2929">
        <v>5799.7</v>
      </c>
      <c r="M2929">
        <v>2.6460999999999998E-4</v>
      </c>
      <c r="N2929">
        <v>5799.7</v>
      </c>
      <c r="O2929">
        <v>2.6459999999999998E-4</v>
      </c>
    </row>
    <row r="2930" spans="1:15" x14ac:dyDescent="0.25">
      <c r="A2930" s="142" t="s">
        <v>2990</v>
      </c>
      <c r="B2930" s="142" t="s">
        <v>2830</v>
      </c>
      <c r="C2930" s="142" t="s">
        <v>67</v>
      </c>
      <c r="D2930">
        <v>1</v>
      </c>
      <c r="E2930">
        <v>100</v>
      </c>
      <c r="F2930">
        <v>1</v>
      </c>
      <c r="G2930" s="142" t="s">
        <v>6</v>
      </c>
      <c r="H2930" s="142" t="s">
        <v>6</v>
      </c>
      <c r="I2930">
        <v>0</v>
      </c>
      <c r="J2930">
        <v>0</v>
      </c>
      <c r="K2930" s="142" t="s">
        <v>1674</v>
      </c>
      <c r="L2930">
        <v>1.5</v>
      </c>
      <c r="M2930">
        <v>1.0999999999999999E-2</v>
      </c>
      <c r="N2930">
        <v>1.4054</v>
      </c>
      <c r="O2930">
        <v>1.0453E-2</v>
      </c>
    </row>
    <row r="2931" spans="1:15" x14ac:dyDescent="0.25">
      <c r="A2931" s="142" t="s">
        <v>2991</v>
      </c>
      <c r="B2931" s="142" t="s">
        <v>2830</v>
      </c>
      <c r="C2931" s="142" t="s">
        <v>67</v>
      </c>
      <c r="D2931">
        <v>100</v>
      </c>
      <c r="E2931">
        <v>250</v>
      </c>
      <c r="F2931">
        <v>1</v>
      </c>
      <c r="G2931" s="142" t="s">
        <v>6</v>
      </c>
      <c r="H2931" s="142" t="s">
        <v>6</v>
      </c>
      <c r="I2931">
        <v>0</v>
      </c>
      <c r="J2931">
        <v>0</v>
      </c>
      <c r="K2931" s="142" t="s">
        <v>1674</v>
      </c>
      <c r="L2931">
        <v>1.4</v>
      </c>
      <c r="M2931">
        <v>1.0999999999999999E-2</v>
      </c>
      <c r="N2931">
        <v>1.3333999999999999</v>
      </c>
      <c r="O2931">
        <v>1.1162E-2</v>
      </c>
    </row>
    <row r="2932" spans="1:15" x14ac:dyDescent="0.25">
      <c r="A2932" s="142" t="s">
        <v>2992</v>
      </c>
      <c r="B2932" s="142" t="s">
        <v>2830</v>
      </c>
      <c r="C2932" s="142" t="s">
        <v>67</v>
      </c>
      <c r="D2932">
        <v>250</v>
      </c>
      <c r="E2932">
        <v>500</v>
      </c>
      <c r="F2932">
        <v>1</v>
      </c>
      <c r="G2932" s="142" t="s">
        <v>6</v>
      </c>
      <c r="H2932" s="142" t="s">
        <v>6</v>
      </c>
      <c r="I2932">
        <v>0</v>
      </c>
      <c r="J2932">
        <v>0</v>
      </c>
      <c r="K2932" s="142" t="s">
        <v>1674</v>
      </c>
      <c r="L2932">
        <v>1.5</v>
      </c>
      <c r="M2932">
        <v>1.0999999999999999E-2</v>
      </c>
      <c r="N2932">
        <v>1.2696000000000001</v>
      </c>
      <c r="O2932">
        <v>1.1414000000000001E-2</v>
      </c>
    </row>
    <row r="2933" spans="1:15" x14ac:dyDescent="0.25">
      <c r="A2933" s="142" t="s">
        <v>2993</v>
      </c>
      <c r="B2933" s="142" t="s">
        <v>2830</v>
      </c>
      <c r="C2933" s="142" t="s">
        <v>67</v>
      </c>
      <c r="D2933">
        <v>1</v>
      </c>
      <c r="E2933">
        <v>100</v>
      </c>
      <c r="F2933">
        <v>10</v>
      </c>
      <c r="G2933" s="142" t="s">
        <v>6</v>
      </c>
      <c r="H2933" s="142" t="s">
        <v>6</v>
      </c>
      <c r="I2933">
        <v>0</v>
      </c>
      <c r="J2933">
        <v>0</v>
      </c>
      <c r="K2933" s="142" t="s">
        <v>1674</v>
      </c>
      <c r="L2933">
        <v>5.9149000000000003</v>
      </c>
      <c r="M2933">
        <v>3.8256000000000002E-3</v>
      </c>
      <c r="N2933">
        <v>5.9069000000000003</v>
      </c>
      <c r="O2933">
        <v>3.6668E-3</v>
      </c>
    </row>
    <row r="2934" spans="1:15" x14ac:dyDescent="0.25">
      <c r="A2934" s="142" t="s">
        <v>2994</v>
      </c>
      <c r="B2934" s="142" t="s">
        <v>2830</v>
      </c>
      <c r="C2934" s="142" t="s">
        <v>67</v>
      </c>
      <c r="D2934">
        <v>100</v>
      </c>
      <c r="E2934">
        <v>250</v>
      </c>
      <c r="F2934">
        <v>10</v>
      </c>
      <c r="G2934" s="142" t="s">
        <v>6</v>
      </c>
      <c r="H2934" s="142" t="s">
        <v>6</v>
      </c>
      <c r="I2934">
        <v>0</v>
      </c>
      <c r="J2934">
        <v>0</v>
      </c>
      <c r="K2934" s="142" t="s">
        <v>1674</v>
      </c>
      <c r="L2934">
        <v>5.6898999999999997</v>
      </c>
      <c r="M2934">
        <v>5.7678E-3</v>
      </c>
      <c r="N2934">
        <v>5.6798000000000002</v>
      </c>
      <c r="O2934">
        <v>5.6527000000000001E-3</v>
      </c>
    </row>
    <row r="2935" spans="1:15" x14ac:dyDescent="0.25">
      <c r="A2935" s="142" t="s">
        <v>2995</v>
      </c>
      <c r="B2935" s="142" t="s">
        <v>2830</v>
      </c>
      <c r="C2935" s="142" t="s">
        <v>67</v>
      </c>
      <c r="D2935">
        <v>250</v>
      </c>
      <c r="E2935">
        <v>500</v>
      </c>
      <c r="F2935">
        <v>10</v>
      </c>
      <c r="G2935" s="142" t="s">
        <v>6</v>
      </c>
      <c r="H2935" s="142" t="s">
        <v>6</v>
      </c>
      <c r="I2935">
        <v>0</v>
      </c>
      <c r="J2935">
        <v>0</v>
      </c>
      <c r="K2935" s="142" t="s">
        <v>1674</v>
      </c>
      <c r="L2935">
        <v>5.1032000000000002</v>
      </c>
      <c r="M2935">
        <v>8.0275999999999993E-3</v>
      </c>
      <c r="N2935">
        <v>5.0880999999999998</v>
      </c>
      <c r="O2935">
        <v>7.9319999999999998E-3</v>
      </c>
    </row>
    <row r="2936" spans="1:15" x14ac:dyDescent="0.25">
      <c r="A2936" s="142" t="s">
        <v>2996</v>
      </c>
      <c r="B2936" s="142" t="s">
        <v>2830</v>
      </c>
      <c r="C2936" s="142" t="s">
        <v>67</v>
      </c>
      <c r="D2936">
        <v>1</v>
      </c>
      <c r="E2936">
        <v>100</v>
      </c>
      <c r="F2936">
        <v>100</v>
      </c>
      <c r="G2936" s="142" t="s">
        <v>6</v>
      </c>
      <c r="H2936" s="142" t="s">
        <v>6</v>
      </c>
      <c r="I2936">
        <v>0</v>
      </c>
      <c r="J2936">
        <v>0</v>
      </c>
      <c r="K2936" s="142" t="s">
        <v>1674</v>
      </c>
      <c r="L2936">
        <v>57.917999999999999</v>
      </c>
      <c r="M2936">
        <v>3.3655999999999998E-3</v>
      </c>
      <c r="N2936">
        <v>57.914999999999999</v>
      </c>
      <c r="O2936">
        <v>3.2951999999999999E-3</v>
      </c>
    </row>
    <row r="2937" spans="1:15" x14ac:dyDescent="0.25">
      <c r="A2937" s="142" t="s">
        <v>2997</v>
      </c>
      <c r="B2937" s="142" t="s">
        <v>2830</v>
      </c>
      <c r="C2937" s="142" t="s">
        <v>67</v>
      </c>
      <c r="D2937">
        <v>100</v>
      </c>
      <c r="E2937">
        <v>250</v>
      </c>
      <c r="F2937">
        <v>100</v>
      </c>
      <c r="G2937" s="142" t="s">
        <v>6</v>
      </c>
      <c r="H2937" s="142" t="s">
        <v>6</v>
      </c>
      <c r="I2937">
        <v>0</v>
      </c>
      <c r="J2937">
        <v>0</v>
      </c>
      <c r="K2937" s="142" t="s">
        <v>1674</v>
      </c>
      <c r="L2937">
        <v>57.719000000000001</v>
      </c>
      <c r="M2937">
        <v>2.4580000000000001E-3</v>
      </c>
      <c r="N2937">
        <v>57.716000000000001</v>
      </c>
      <c r="O2937">
        <v>2.3936000000000001E-3</v>
      </c>
    </row>
    <row r="2938" spans="1:15" x14ac:dyDescent="0.25">
      <c r="A2938" s="142" t="s">
        <v>2998</v>
      </c>
      <c r="B2938" s="142" t="s">
        <v>2830</v>
      </c>
      <c r="C2938" s="142" t="s">
        <v>67</v>
      </c>
      <c r="D2938">
        <v>250</v>
      </c>
      <c r="E2938">
        <v>500</v>
      </c>
      <c r="F2938">
        <v>100</v>
      </c>
      <c r="G2938" s="142" t="s">
        <v>6</v>
      </c>
      <c r="H2938" s="142" t="s">
        <v>6</v>
      </c>
      <c r="I2938">
        <v>0</v>
      </c>
      <c r="J2938">
        <v>0</v>
      </c>
      <c r="K2938" s="142" t="s">
        <v>1674</v>
      </c>
      <c r="L2938">
        <v>57.497</v>
      </c>
      <c r="M2938">
        <v>2.2225000000000001E-3</v>
      </c>
      <c r="N2938">
        <v>57.502000000000002</v>
      </c>
      <c r="O2938">
        <v>2.1424999999999999E-3</v>
      </c>
    </row>
    <row r="2939" spans="1:15" x14ac:dyDescent="0.25">
      <c r="A2939" s="142" t="s">
        <v>2999</v>
      </c>
      <c r="B2939" s="142" t="s">
        <v>2830</v>
      </c>
      <c r="C2939" s="142" t="s">
        <v>3000</v>
      </c>
      <c r="D2939">
        <v>500</v>
      </c>
      <c r="E2939">
        <v>1000</v>
      </c>
      <c r="F2939">
        <v>1</v>
      </c>
      <c r="G2939" s="142" t="s">
        <v>6</v>
      </c>
      <c r="H2939" s="142" t="s">
        <v>6</v>
      </c>
      <c r="I2939">
        <v>0</v>
      </c>
      <c r="J2939">
        <v>0</v>
      </c>
      <c r="K2939" s="142" t="s">
        <v>1674</v>
      </c>
      <c r="L2939">
        <v>1.8</v>
      </c>
      <c r="M2939">
        <v>1.0999999999999999E-2</v>
      </c>
      <c r="N2939">
        <v>1.2242</v>
      </c>
      <c r="O2939">
        <v>1.1504E-2</v>
      </c>
    </row>
    <row r="2940" spans="1:15" x14ac:dyDescent="0.25">
      <c r="A2940" s="142" t="s">
        <v>3001</v>
      </c>
      <c r="B2940" s="142" t="s">
        <v>2830</v>
      </c>
      <c r="C2940" s="142" t="s">
        <v>3000</v>
      </c>
      <c r="D2940">
        <v>500</v>
      </c>
      <c r="E2940">
        <v>1000</v>
      </c>
      <c r="F2940">
        <v>10</v>
      </c>
      <c r="G2940" s="142" t="s">
        <v>6</v>
      </c>
      <c r="H2940" s="142" t="s">
        <v>6</v>
      </c>
      <c r="I2940">
        <v>0</v>
      </c>
      <c r="J2940">
        <v>0</v>
      </c>
      <c r="K2940" s="142" t="s">
        <v>1674</v>
      </c>
      <c r="L2940">
        <v>4.1694000000000004</v>
      </c>
      <c r="M2940">
        <v>9.8749000000000007E-3</v>
      </c>
      <c r="N2940">
        <v>4.0987</v>
      </c>
      <c r="O2940">
        <v>9.8767000000000004E-3</v>
      </c>
    </row>
    <row r="2941" spans="1:15" x14ac:dyDescent="0.25">
      <c r="A2941" s="142" t="s">
        <v>3002</v>
      </c>
      <c r="B2941" s="142" t="s">
        <v>2830</v>
      </c>
      <c r="C2941" s="142" t="s">
        <v>3000</v>
      </c>
      <c r="D2941">
        <v>500</v>
      </c>
      <c r="E2941">
        <v>1000</v>
      </c>
      <c r="F2941">
        <v>100</v>
      </c>
      <c r="G2941" s="142" t="s">
        <v>6</v>
      </c>
      <c r="H2941" s="142" t="s">
        <v>6</v>
      </c>
      <c r="I2941">
        <v>0</v>
      </c>
      <c r="J2941">
        <v>0</v>
      </c>
      <c r="K2941" s="142" t="s">
        <v>1674</v>
      </c>
      <c r="L2941">
        <v>57.066000000000003</v>
      </c>
      <c r="M2941">
        <v>2.4926000000000002E-3</v>
      </c>
      <c r="N2941">
        <v>57.040999999999997</v>
      </c>
      <c r="O2941">
        <v>2.4497E-3</v>
      </c>
    </row>
    <row r="2942" spans="1:15" x14ac:dyDescent="0.25">
      <c r="A2942" s="142" t="s">
        <v>3003</v>
      </c>
      <c r="B2942" s="142" t="s">
        <v>2830</v>
      </c>
      <c r="C2942" s="142" t="s">
        <v>68</v>
      </c>
      <c r="D2942">
        <v>250000</v>
      </c>
      <c r="E2942">
        <v>100000000</v>
      </c>
      <c r="F2942">
        <v>10000</v>
      </c>
      <c r="G2942" s="142" t="s">
        <v>46</v>
      </c>
      <c r="H2942" s="142" t="s">
        <v>47</v>
      </c>
      <c r="I2942">
        <v>0</v>
      </c>
      <c r="J2942">
        <v>0</v>
      </c>
      <c r="K2942" s="142" t="s">
        <v>1674</v>
      </c>
      <c r="L2942">
        <v>18</v>
      </c>
      <c r="M2942">
        <v>9.2E-6</v>
      </c>
      <c r="N2942">
        <v>13.773</v>
      </c>
      <c r="O2942">
        <v>9.2419000000000004E-6</v>
      </c>
    </row>
    <row r="2943" spans="1:15" x14ac:dyDescent="0.25">
      <c r="A2943" s="142" t="s">
        <v>3004</v>
      </c>
      <c r="B2943" s="142" t="s">
        <v>2830</v>
      </c>
      <c r="C2943" s="142" t="s">
        <v>68</v>
      </c>
      <c r="D2943">
        <v>100000000</v>
      </c>
      <c r="E2943">
        <v>250000000</v>
      </c>
      <c r="F2943">
        <v>10000</v>
      </c>
      <c r="G2943" s="142" t="s">
        <v>46</v>
      </c>
      <c r="H2943" s="142" t="s">
        <v>47</v>
      </c>
      <c r="I2943">
        <v>0</v>
      </c>
      <c r="J2943">
        <v>0</v>
      </c>
      <c r="K2943" s="142" t="s">
        <v>1674</v>
      </c>
      <c r="L2943">
        <v>14</v>
      </c>
      <c r="M2943">
        <v>1.1E-5</v>
      </c>
      <c r="N2943">
        <v>13.510999999999999</v>
      </c>
      <c r="O2943">
        <v>1.0788000000000001E-5</v>
      </c>
    </row>
    <row r="2944" spans="1:15" x14ac:dyDescent="0.25">
      <c r="A2944" s="142" t="s">
        <v>3005</v>
      </c>
      <c r="B2944" s="142" t="s">
        <v>2830</v>
      </c>
      <c r="C2944" s="142" t="s">
        <v>68</v>
      </c>
      <c r="D2944">
        <v>250000000</v>
      </c>
      <c r="E2944">
        <v>500000000</v>
      </c>
      <c r="F2944">
        <v>10000</v>
      </c>
      <c r="G2944" s="142" t="s">
        <v>46</v>
      </c>
      <c r="H2944" s="142" t="s">
        <v>47</v>
      </c>
      <c r="I2944">
        <v>0</v>
      </c>
      <c r="J2944">
        <v>0</v>
      </c>
      <c r="K2944" s="142" t="s">
        <v>1674</v>
      </c>
      <c r="L2944">
        <v>18</v>
      </c>
      <c r="M2944">
        <v>1.1E-5</v>
      </c>
      <c r="N2944">
        <v>12.763999999999999</v>
      </c>
      <c r="O2944">
        <v>1.1009000000000001E-5</v>
      </c>
    </row>
    <row r="2945" spans="1:15" x14ac:dyDescent="0.25">
      <c r="A2945" s="142" t="s">
        <v>3006</v>
      </c>
      <c r="B2945" s="142" t="s">
        <v>2830</v>
      </c>
      <c r="C2945" s="142" t="s">
        <v>68</v>
      </c>
      <c r="D2945">
        <v>500000000</v>
      </c>
      <c r="E2945">
        <v>1000000000</v>
      </c>
      <c r="F2945">
        <v>10000</v>
      </c>
      <c r="G2945" s="142" t="s">
        <v>46</v>
      </c>
      <c r="H2945" s="142" t="s">
        <v>47</v>
      </c>
      <c r="I2945">
        <v>0</v>
      </c>
      <c r="J2945">
        <v>0</v>
      </c>
      <c r="K2945" s="142" t="s">
        <v>1674</v>
      </c>
      <c r="L2945">
        <v>25</v>
      </c>
      <c r="M2945">
        <v>1.1E-5</v>
      </c>
      <c r="N2945">
        <v>-76.510000000000005</v>
      </c>
      <c r="O2945">
        <v>1.1211E-5</v>
      </c>
    </row>
    <row r="2946" spans="1:15" x14ac:dyDescent="0.25">
      <c r="A2946" s="142" t="s">
        <v>3007</v>
      </c>
      <c r="B2946" s="142" t="s">
        <v>2830</v>
      </c>
      <c r="C2946" s="142" t="s">
        <v>68</v>
      </c>
      <c r="D2946">
        <v>250000</v>
      </c>
      <c r="E2946">
        <v>100000000</v>
      </c>
      <c r="F2946">
        <v>100000</v>
      </c>
      <c r="G2946" s="142" t="s">
        <v>46</v>
      </c>
      <c r="H2946" s="142" t="s">
        <v>47</v>
      </c>
      <c r="I2946">
        <v>0</v>
      </c>
      <c r="J2946">
        <v>0</v>
      </c>
      <c r="K2946" s="142" t="s">
        <v>1674</v>
      </c>
      <c r="L2946">
        <v>57.523000000000003</v>
      </c>
      <c r="M2946">
        <v>8.8223000000000002E-6</v>
      </c>
      <c r="N2946">
        <v>57.453000000000003</v>
      </c>
      <c r="O2946">
        <v>8.8227999999999996E-6</v>
      </c>
    </row>
    <row r="2947" spans="1:15" x14ac:dyDescent="0.25">
      <c r="A2947" s="142" t="s">
        <v>3008</v>
      </c>
      <c r="B2947" s="142" t="s">
        <v>2830</v>
      </c>
      <c r="C2947" s="142" t="s">
        <v>68</v>
      </c>
      <c r="D2947">
        <v>100000000</v>
      </c>
      <c r="E2947">
        <v>250000000</v>
      </c>
      <c r="F2947">
        <v>100000</v>
      </c>
      <c r="G2947" s="142" t="s">
        <v>46</v>
      </c>
      <c r="H2947" s="142" t="s">
        <v>47</v>
      </c>
      <c r="I2947">
        <v>0</v>
      </c>
      <c r="J2947">
        <v>0</v>
      </c>
      <c r="K2947" s="142" t="s">
        <v>1674</v>
      </c>
      <c r="L2947">
        <v>57.137999999999998</v>
      </c>
      <c r="M2947">
        <v>1.0616E-5</v>
      </c>
      <c r="N2947">
        <v>57.125</v>
      </c>
      <c r="O2947">
        <v>1.0616E-5</v>
      </c>
    </row>
    <row r="2948" spans="1:15" x14ac:dyDescent="0.25">
      <c r="A2948" s="142" t="s">
        <v>3009</v>
      </c>
      <c r="B2948" s="142" t="s">
        <v>2830</v>
      </c>
      <c r="C2948" s="142" t="s">
        <v>68</v>
      </c>
      <c r="D2948">
        <v>250000000</v>
      </c>
      <c r="E2948">
        <v>500000000</v>
      </c>
      <c r="F2948">
        <v>100000</v>
      </c>
      <c r="G2948" s="142" t="s">
        <v>46</v>
      </c>
      <c r="H2948" s="142" t="s">
        <v>47</v>
      </c>
      <c r="I2948">
        <v>0</v>
      </c>
      <c r="J2948">
        <v>0</v>
      </c>
      <c r="K2948" s="142" t="s">
        <v>1674</v>
      </c>
      <c r="L2948">
        <v>55.079000000000001</v>
      </c>
      <c r="M2948">
        <v>1.0925E-5</v>
      </c>
      <c r="N2948">
        <v>54.77</v>
      </c>
      <c r="O2948">
        <v>1.0926E-5</v>
      </c>
    </row>
    <row r="2949" spans="1:15" x14ac:dyDescent="0.25">
      <c r="A2949" s="142" t="s">
        <v>3010</v>
      </c>
      <c r="B2949" s="142" t="s">
        <v>2830</v>
      </c>
      <c r="C2949" s="142" t="s">
        <v>68</v>
      </c>
      <c r="D2949">
        <v>500000000</v>
      </c>
      <c r="E2949">
        <v>1000000000</v>
      </c>
      <c r="F2949">
        <v>100000</v>
      </c>
      <c r="G2949" s="142" t="s">
        <v>46</v>
      </c>
      <c r="H2949" s="142" t="s">
        <v>47</v>
      </c>
      <c r="I2949">
        <v>0</v>
      </c>
      <c r="J2949">
        <v>0</v>
      </c>
      <c r="K2949" s="142" t="s">
        <v>1674</v>
      </c>
      <c r="L2949">
        <v>25</v>
      </c>
      <c r="M2949">
        <v>1.1209000000000001E-5</v>
      </c>
      <c r="N2949">
        <v>-75.391000000000005</v>
      </c>
      <c r="O2949">
        <v>1.1209000000000001E-5</v>
      </c>
    </row>
    <row r="2950" spans="1:15" x14ac:dyDescent="0.25">
      <c r="A2950" s="142" t="s">
        <v>3011</v>
      </c>
      <c r="B2950" s="142" t="s">
        <v>2830</v>
      </c>
      <c r="C2950" s="142" t="s">
        <v>68</v>
      </c>
      <c r="D2950">
        <v>250000</v>
      </c>
      <c r="E2950">
        <v>100000000</v>
      </c>
      <c r="F2950">
        <v>1000000</v>
      </c>
      <c r="G2950" s="142" t="s">
        <v>46</v>
      </c>
      <c r="H2950" s="142" t="s">
        <v>47</v>
      </c>
      <c r="I2950">
        <v>0</v>
      </c>
      <c r="J2950">
        <v>0</v>
      </c>
      <c r="K2950" s="142" t="s">
        <v>1674</v>
      </c>
      <c r="L2950">
        <v>576.26</v>
      </c>
      <c r="M2950">
        <v>5.2658999999999998E-6</v>
      </c>
      <c r="N2950">
        <v>576.24</v>
      </c>
      <c r="O2950">
        <v>5.2654999999999998E-6</v>
      </c>
    </row>
    <row r="2951" spans="1:15" x14ac:dyDescent="0.25">
      <c r="A2951" s="142" t="s">
        <v>3012</v>
      </c>
      <c r="B2951" s="142" t="s">
        <v>2830</v>
      </c>
      <c r="C2951" s="142" t="s">
        <v>68</v>
      </c>
      <c r="D2951">
        <v>100000000</v>
      </c>
      <c r="E2951">
        <v>250000000</v>
      </c>
      <c r="F2951">
        <v>1000000</v>
      </c>
      <c r="G2951" s="142" t="s">
        <v>46</v>
      </c>
      <c r="H2951" s="142" t="s">
        <v>47</v>
      </c>
      <c r="I2951">
        <v>0</v>
      </c>
      <c r="J2951">
        <v>0</v>
      </c>
      <c r="K2951" s="142" t="s">
        <v>1674</v>
      </c>
      <c r="L2951">
        <v>575.4</v>
      </c>
      <c r="M2951">
        <v>8.7861000000000005E-6</v>
      </c>
      <c r="N2951">
        <v>575.35</v>
      </c>
      <c r="O2951">
        <v>8.7861000000000005E-6</v>
      </c>
    </row>
    <row r="2952" spans="1:15" x14ac:dyDescent="0.25">
      <c r="A2952" s="142" t="s">
        <v>3013</v>
      </c>
      <c r="B2952" s="142" t="s">
        <v>2830</v>
      </c>
      <c r="C2952" s="142" t="s">
        <v>68</v>
      </c>
      <c r="D2952">
        <v>250000000</v>
      </c>
      <c r="E2952">
        <v>500000000</v>
      </c>
      <c r="F2952">
        <v>1000000</v>
      </c>
      <c r="G2952" s="142" t="s">
        <v>46</v>
      </c>
      <c r="H2952" s="142" t="s">
        <v>47</v>
      </c>
      <c r="I2952">
        <v>0</v>
      </c>
      <c r="J2952">
        <v>0</v>
      </c>
      <c r="K2952" s="142" t="s">
        <v>1674</v>
      </c>
      <c r="L2952">
        <v>572.66999999999996</v>
      </c>
      <c r="M2952">
        <v>9.9500999999999998E-6</v>
      </c>
      <c r="N2952">
        <v>572.64</v>
      </c>
      <c r="O2952">
        <v>9.9500999999999998E-6</v>
      </c>
    </row>
    <row r="2953" spans="1:15" x14ac:dyDescent="0.25">
      <c r="A2953" s="142" t="s">
        <v>3014</v>
      </c>
      <c r="B2953" s="142" t="s">
        <v>2830</v>
      </c>
      <c r="C2953" s="142" t="s">
        <v>68</v>
      </c>
      <c r="D2953">
        <v>500000000</v>
      </c>
      <c r="E2953">
        <v>1000000000</v>
      </c>
      <c r="F2953">
        <v>1000000</v>
      </c>
      <c r="G2953" s="142" t="s">
        <v>46</v>
      </c>
      <c r="H2953" s="142" t="s">
        <v>47</v>
      </c>
      <c r="I2953">
        <v>0</v>
      </c>
      <c r="J2953">
        <v>0</v>
      </c>
      <c r="K2953" s="142" t="s">
        <v>1674</v>
      </c>
      <c r="L2953">
        <v>25</v>
      </c>
      <c r="M2953">
        <v>1.1045E-5</v>
      </c>
      <c r="N2953">
        <v>24.396000000000001</v>
      </c>
      <c r="O2953">
        <v>1.1045E-5</v>
      </c>
    </row>
    <row r="2954" spans="1:15" x14ac:dyDescent="0.25">
      <c r="A2954" s="142" t="s">
        <v>3015</v>
      </c>
      <c r="B2954" s="142" t="s">
        <v>2830</v>
      </c>
      <c r="C2954" s="142" t="s">
        <v>68</v>
      </c>
      <c r="D2954">
        <v>250000</v>
      </c>
      <c r="E2954">
        <v>100000000</v>
      </c>
      <c r="F2954">
        <v>10000000</v>
      </c>
      <c r="G2954" s="142" t="s">
        <v>46</v>
      </c>
      <c r="H2954" s="142" t="s">
        <v>47</v>
      </c>
      <c r="I2954">
        <v>0</v>
      </c>
      <c r="J2954">
        <v>0</v>
      </c>
      <c r="K2954" s="142" t="s">
        <v>1674</v>
      </c>
      <c r="L2954">
        <v>5775</v>
      </c>
      <c r="M2954">
        <v>1.0208E-6</v>
      </c>
      <c r="N2954">
        <v>5775</v>
      </c>
      <c r="O2954">
        <v>1.0204E-6</v>
      </c>
    </row>
    <row r="2955" spans="1:15" x14ac:dyDescent="0.25">
      <c r="A2955" s="142" t="s">
        <v>3016</v>
      </c>
      <c r="B2955" s="142" t="s">
        <v>2830</v>
      </c>
      <c r="C2955" s="142" t="s">
        <v>68</v>
      </c>
      <c r="D2955">
        <v>100000000</v>
      </c>
      <c r="E2955">
        <v>250000000</v>
      </c>
      <c r="F2955">
        <v>10000000</v>
      </c>
      <c r="G2955" s="142" t="s">
        <v>46</v>
      </c>
      <c r="H2955" s="142" t="s">
        <v>47</v>
      </c>
      <c r="I2955">
        <v>0</v>
      </c>
      <c r="J2955">
        <v>0</v>
      </c>
      <c r="K2955" s="142" t="s">
        <v>1674</v>
      </c>
      <c r="L2955">
        <v>5773</v>
      </c>
      <c r="M2955">
        <v>2.5170000000000002E-6</v>
      </c>
      <c r="N2955">
        <v>5772.9</v>
      </c>
      <c r="O2955">
        <v>2.5167E-6</v>
      </c>
    </row>
    <row r="2956" spans="1:15" x14ac:dyDescent="0.25">
      <c r="A2956" s="142" t="s">
        <v>3017</v>
      </c>
      <c r="B2956" s="142" t="s">
        <v>2830</v>
      </c>
      <c r="C2956" s="142" t="s">
        <v>68</v>
      </c>
      <c r="D2956">
        <v>250000000</v>
      </c>
      <c r="E2956">
        <v>500000000</v>
      </c>
      <c r="F2956">
        <v>10000000</v>
      </c>
      <c r="G2956" s="142" t="s">
        <v>46</v>
      </c>
      <c r="H2956" s="142" t="s">
        <v>47</v>
      </c>
      <c r="I2956">
        <v>0</v>
      </c>
      <c r="J2956">
        <v>0</v>
      </c>
      <c r="K2956" s="142" t="s">
        <v>1674</v>
      </c>
      <c r="L2956">
        <v>5771.4</v>
      </c>
      <c r="M2956">
        <v>4.4676000000000002E-6</v>
      </c>
      <c r="N2956">
        <v>5771.3</v>
      </c>
      <c r="O2956">
        <v>4.4673999999999998E-6</v>
      </c>
    </row>
    <row r="2957" spans="1:15" x14ac:dyDescent="0.25">
      <c r="A2957" s="142" t="s">
        <v>3018</v>
      </c>
      <c r="B2957" s="142" t="s">
        <v>2830</v>
      </c>
      <c r="C2957" s="142" t="s">
        <v>68</v>
      </c>
      <c r="D2957">
        <v>500000000</v>
      </c>
      <c r="E2957">
        <v>1000000000</v>
      </c>
      <c r="F2957">
        <v>10000000</v>
      </c>
      <c r="G2957" s="142" t="s">
        <v>46</v>
      </c>
      <c r="H2957" s="142" t="s">
        <v>47</v>
      </c>
      <c r="I2957">
        <v>0</v>
      </c>
      <c r="J2957">
        <v>0</v>
      </c>
      <c r="K2957" s="142" t="s">
        <v>1674</v>
      </c>
      <c r="L2957">
        <v>5114.5</v>
      </c>
      <c r="M2957">
        <v>7.3429999999999998E-6</v>
      </c>
      <c r="N2957">
        <v>5114.5</v>
      </c>
      <c r="O2957">
        <v>7.3428999999999996E-6</v>
      </c>
    </row>
    <row r="2958" spans="1:15" x14ac:dyDescent="0.25">
      <c r="A2958" s="142" t="s">
        <v>3019</v>
      </c>
      <c r="B2958" s="142" t="s">
        <v>2830</v>
      </c>
      <c r="C2958" s="142" t="s">
        <v>68</v>
      </c>
      <c r="D2958">
        <v>100000000</v>
      </c>
      <c r="E2958">
        <v>250000000</v>
      </c>
      <c r="F2958">
        <v>100000000</v>
      </c>
      <c r="G2958" s="142" t="s">
        <v>46</v>
      </c>
      <c r="H2958" s="142" t="s">
        <v>47</v>
      </c>
      <c r="I2958">
        <v>0</v>
      </c>
      <c r="J2958">
        <v>0</v>
      </c>
      <c r="K2958" s="142" t="s">
        <v>1674</v>
      </c>
      <c r="L2958">
        <v>57896</v>
      </c>
      <c r="M2958">
        <v>1.3129E-6</v>
      </c>
      <c r="N2958">
        <v>57896</v>
      </c>
      <c r="O2958">
        <v>1.3127999999999999E-6</v>
      </c>
    </row>
    <row r="2959" spans="1:15" x14ac:dyDescent="0.25">
      <c r="A2959" s="142" t="s">
        <v>3020</v>
      </c>
      <c r="B2959" s="142" t="s">
        <v>2830</v>
      </c>
      <c r="C2959" s="142" t="s">
        <v>68</v>
      </c>
      <c r="D2959">
        <v>500000000</v>
      </c>
      <c r="E2959">
        <v>1000000000</v>
      </c>
      <c r="F2959">
        <v>100000000</v>
      </c>
      <c r="G2959" s="142" t="s">
        <v>46</v>
      </c>
      <c r="H2959" s="142" t="s">
        <v>47</v>
      </c>
      <c r="I2959">
        <v>0</v>
      </c>
      <c r="J2959">
        <v>0</v>
      </c>
      <c r="K2959" s="142" t="s">
        <v>1674</v>
      </c>
      <c r="L2959">
        <v>57638</v>
      </c>
      <c r="M2959">
        <v>1.4394999999999999E-6</v>
      </c>
      <c r="N2959">
        <v>57638</v>
      </c>
      <c r="O2959">
        <v>1.4394999999999999E-6</v>
      </c>
    </row>
  </sheetData>
  <sheetProtection insertRows="0" deleteRows="0" sort="0" autoFilter="0" pivotTables="0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F3172-BE27-48D6-A82A-DFEAE547A639}">
  <sheetPr codeName="Sheet3"/>
  <dimension ref="A1:B43"/>
  <sheetViews>
    <sheetView workbookViewId="0">
      <selection activeCell="F26" sqref="F26"/>
    </sheetView>
  </sheetViews>
  <sheetFormatPr defaultRowHeight="15" x14ac:dyDescent="0.25"/>
  <cols>
    <col min="1" max="1" width="14.140625" bestFit="1" customWidth="1"/>
    <col min="2" max="2" width="15.28515625" bestFit="1" customWidth="1"/>
    <col min="3" max="3" width="11.7109375" bestFit="1" customWidth="1"/>
    <col min="4" max="4" width="12.28515625" bestFit="1" customWidth="1"/>
    <col min="5" max="5" width="12.5703125" bestFit="1" customWidth="1"/>
    <col min="6" max="6" width="17" bestFit="1" customWidth="1"/>
    <col min="7" max="7" width="10.140625" bestFit="1" customWidth="1"/>
    <col min="8" max="8" width="15.5703125" bestFit="1" customWidth="1"/>
  </cols>
  <sheetData>
    <row r="1" spans="1:2" x14ac:dyDescent="0.25">
      <c r="A1" t="s">
        <v>0</v>
      </c>
      <c r="B1" t="s">
        <v>29</v>
      </c>
    </row>
    <row r="2" spans="1:2" x14ac:dyDescent="0.25">
      <c r="A2" t="s">
        <v>44</v>
      </c>
      <c r="B2" t="s">
        <v>99</v>
      </c>
    </row>
    <row r="3" spans="1:2" x14ac:dyDescent="0.25">
      <c r="A3" t="s">
        <v>58</v>
      </c>
      <c r="B3" t="s">
        <v>99</v>
      </c>
    </row>
    <row r="4" spans="1:2" x14ac:dyDescent="0.25">
      <c r="A4" t="s">
        <v>59</v>
      </c>
      <c r="B4" t="s">
        <v>99</v>
      </c>
    </row>
    <row r="5" spans="1:2" x14ac:dyDescent="0.25">
      <c r="A5" t="s">
        <v>60</v>
      </c>
      <c r="B5" t="s">
        <v>99</v>
      </c>
    </row>
    <row r="6" spans="1:2" x14ac:dyDescent="0.25">
      <c r="A6" t="s">
        <v>8</v>
      </c>
      <c r="B6" t="s">
        <v>97</v>
      </c>
    </row>
    <row r="7" spans="1:2" x14ac:dyDescent="0.25">
      <c r="A7" t="s">
        <v>94</v>
      </c>
      <c r="B7" t="s">
        <v>2189</v>
      </c>
    </row>
    <row r="8" spans="1:2" x14ac:dyDescent="0.25">
      <c r="A8" t="s">
        <v>14</v>
      </c>
      <c r="B8" t="s">
        <v>14</v>
      </c>
    </row>
    <row r="9" spans="1:2" x14ac:dyDescent="0.25">
      <c r="A9" t="s">
        <v>86</v>
      </c>
      <c r="B9" t="s">
        <v>101</v>
      </c>
    </row>
    <row r="10" spans="1:2" x14ac:dyDescent="0.25">
      <c r="A10" t="s">
        <v>85</v>
      </c>
      <c r="B10" t="s">
        <v>101</v>
      </c>
    </row>
    <row r="11" spans="1:2" x14ac:dyDescent="0.25">
      <c r="A11" t="s">
        <v>84</v>
      </c>
      <c r="B11" t="s">
        <v>101</v>
      </c>
    </row>
    <row r="12" spans="1:2" x14ac:dyDescent="0.25">
      <c r="A12" t="s">
        <v>87</v>
      </c>
      <c r="B12" t="s">
        <v>101</v>
      </c>
    </row>
    <row r="13" spans="1:2" x14ac:dyDescent="0.25">
      <c r="A13" t="s">
        <v>91</v>
      </c>
      <c r="B13" t="s">
        <v>101</v>
      </c>
    </row>
    <row r="14" spans="1:2" x14ac:dyDescent="0.25">
      <c r="A14" t="s">
        <v>92</v>
      </c>
      <c r="B14" t="s">
        <v>101</v>
      </c>
    </row>
    <row r="15" spans="1:2" x14ac:dyDescent="0.25">
      <c r="A15" t="s">
        <v>88</v>
      </c>
      <c r="B15" t="s">
        <v>101</v>
      </c>
    </row>
    <row r="16" spans="1:2" x14ac:dyDescent="0.25">
      <c r="A16" t="s">
        <v>89</v>
      </c>
      <c r="B16" t="s">
        <v>101</v>
      </c>
    </row>
    <row r="17" spans="1:2" x14ac:dyDescent="0.25">
      <c r="A17" t="s">
        <v>90</v>
      </c>
      <c r="B17" t="s">
        <v>101</v>
      </c>
    </row>
    <row r="18" spans="1:2" x14ac:dyDescent="0.25">
      <c r="A18" t="s">
        <v>43</v>
      </c>
      <c r="B18" t="s">
        <v>100</v>
      </c>
    </row>
    <row r="19" spans="1:2" x14ac:dyDescent="0.25">
      <c r="A19" t="s">
        <v>55</v>
      </c>
      <c r="B19" t="s">
        <v>100</v>
      </c>
    </row>
    <row r="20" spans="1:2" x14ac:dyDescent="0.25">
      <c r="A20" t="s">
        <v>56</v>
      </c>
      <c r="B20" t="s">
        <v>100</v>
      </c>
    </row>
    <row r="21" spans="1:2" x14ac:dyDescent="0.25">
      <c r="A21" t="s">
        <v>57</v>
      </c>
      <c r="B21" t="s">
        <v>100</v>
      </c>
    </row>
    <row r="22" spans="1:2" x14ac:dyDescent="0.25">
      <c r="A22" t="s">
        <v>3</v>
      </c>
      <c r="B22" t="s">
        <v>98</v>
      </c>
    </row>
    <row r="23" spans="1:2" x14ac:dyDescent="0.25">
      <c r="A23" t="s">
        <v>64</v>
      </c>
      <c r="B23" t="s">
        <v>2191</v>
      </c>
    </row>
    <row r="24" spans="1:2" x14ac:dyDescent="0.25">
      <c r="A24" t="s">
        <v>93</v>
      </c>
      <c r="B24" t="s">
        <v>2188</v>
      </c>
    </row>
    <row r="25" spans="1:2" x14ac:dyDescent="0.25">
      <c r="A25" t="s">
        <v>75</v>
      </c>
      <c r="B25" t="s">
        <v>101</v>
      </c>
    </row>
    <row r="26" spans="1:2" x14ac:dyDescent="0.25">
      <c r="A26" t="s">
        <v>76</v>
      </c>
      <c r="B26" t="s">
        <v>101</v>
      </c>
    </row>
    <row r="27" spans="1:2" x14ac:dyDescent="0.25">
      <c r="A27" t="s">
        <v>77</v>
      </c>
      <c r="B27" t="s">
        <v>101</v>
      </c>
    </row>
    <row r="28" spans="1:2" x14ac:dyDescent="0.25">
      <c r="A28" t="s">
        <v>78</v>
      </c>
      <c r="B28" t="s">
        <v>101</v>
      </c>
    </row>
    <row r="29" spans="1:2" x14ac:dyDescent="0.25">
      <c r="A29" t="s">
        <v>82</v>
      </c>
      <c r="B29" t="s">
        <v>101</v>
      </c>
    </row>
    <row r="30" spans="1:2" x14ac:dyDescent="0.25">
      <c r="A30" t="s">
        <v>83</v>
      </c>
      <c r="B30" t="s">
        <v>101</v>
      </c>
    </row>
    <row r="31" spans="1:2" x14ac:dyDescent="0.25">
      <c r="A31" t="s">
        <v>79</v>
      </c>
      <c r="B31" t="s">
        <v>101</v>
      </c>
    </row>
    <row r="32" spans="1:2" x14ac:dyDescent="0.25">
      <c r="A32" t="s">
        <v>80</v>
      </c>
      <c r="B32" t="s">
        <v>101</v>
      </c>
    </row>
    <row r="33" spans="1:2" x14ac:dyDescent="0.25">
      <c r="A33" t="s">
        <v>81</v>
      </c>
      <c r="B33" t="s">
        <v>101</v>
      </c>
    </row>
    <row r="34" spans="1:2" x14ac:dyDescent="0.25">
      <c r="A34" t="s">
        <v>17</v>
      </c>
      <c r="B34" t="s">
        <v>17</v>
      </c>
    </row>
    <row r="35" spans="1:2" x14ac:dyDescent="0.25">
      <c r="A35" t="s">
        <v>67</v>
      </c>
      <c r="B35" t="s">
        <v>115</v>
      </c>
    </row>
    <row r="36" spans="1:2" x14ac:dyDescent="0.25">
      <c r="A36" t="s">
        <v>68</v>
      </c>
      <c r="B36" t="s">
        <v>2190</v>
      </c>
    </row>
    <row r="37" spans="1:2" x14ac:dyDescent="0.25">
      <c r="A37" t="s">
        <v>7</v>
      </c>
      <c r="B37" t="s">
        <v>7</v>
      </c>
    </row>
    <row r="38" spans="1:2" x14ac:dyDescent="0.25">
      <c r="A38" t="s">
        <v>69</v>
      </c>
      <c r="B38" t="s">
        <v>2192</v>
      </c>
    </row>
    <row r="39" spans="1:2" x14ac:dyDescent="0.25">
      <c r="A39" t="s">
        <v>70</v>
      </c>
      <c r="B39" t="s">
        <v>2192</v>
      </c>
    </row>
    <row r="40" spans="1:2" x14ac:dyDescent="0.25">
      <c r="A40" t="s">
        <v>71</v>
      </c>
      <c r="B40" t="s">
        <v>2192</v>
      </c>
    </row>
    <row r="41" spans="1:2" x14ac:dyDescent="0.25">
      <c r="A41" t="s">
        <v>72</v>
      </c>
      <c r="B41" t="s">
        <v>2192</v>
      </c>
    </row>
    <row r="42" spans="1:2" x14ac:dyDescent="0.25">
      <c r="A42" t="s">
        <v>73</v>
      </c>
      <c r="B42" t="s">
        <v>2192</v>
      </c>
    </row>
    <row r="43" spans="1:2" x14ac:dyDescent="0.25">
      <c r="A43" t="s">
        <v>74</v>
      </c>
      <c r="B43" t="s">
        <v>2192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Print</vt:lpstr>
      <vt:lpstr>Worksheet</vt:lpstr>
      <vt:lpstr>Unc. Lookup</vt:lpstr>
      <vt:lpstr>Items</vt:lpstr>
      <vt:lpstr>Print!Print_Area</vt:lpstr>
      <vt:lpstr>Worksheet!Print_Area</vt:lpstr>
      <vt:lpstr>Print!Print_Titles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JGI</dc:creator>
  <cp:lastModifiedBy>Jeff Hall</cp:lastModifiedBy>
  <cp:lastPrinted>2023-08-29T19:15:18Z</cp:lastPrinted>
  <dcterms:created xsi:type="dcterms:W3CDTF">2006-09-16T00:00:00Z</dcterms:created>
  <dcterms:modified xsi:type="dcterms:W3CDTF">2025-02-14T01:49:01Z</dcterms:modified>
</cp:coreProperties>
</file>