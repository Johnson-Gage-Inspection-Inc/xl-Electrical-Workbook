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37" documentId="8_{6922E083-3AD4-42D1-90EC-22CFE87CB43B}" xr6:coauthVersionLast="47" xr6:coauthVersionMax="47" xr10:uidLastSave="{43803AF7-51AC-45F1-B5A1-ADB3A83D8C17}"/>
  <bookViews>
    <workbookView xWindow="-120" yWindow="-120" windowWidth="29040" windowHeight="15840" activeTab="1" xr2:uid="{00000000-000D-0000-FFFF-FFFF00000000}"/>
  </bookViews>
  <sheets>
    <sheet name="Print" sheetId="29" r:id="rId1"/>
    <sheet name="Worksheet" sheetId="3" r:id="rId2"/>
    <sheet name="Items" sheetId="33" r:id="rId3"/>
    <sheet name="Mult Dummy Readings" sheetId="13" r:id="rId4"/>
    <sheet name="Unc. Lookup" sheetId="31" r:id="rId5"/>
  </sheets>
  <functionGroups builtInGroupCount="19"/>
  <definedNames>
    <definedName name="ExternalData_1" localSheetId="4" hidden="1">'Unc. Lookup'!$A$1:$O$2653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1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7" i="3"/>
  <c r="AF6" i="3" l="1"/>
  <c r="AB6" i="3"/>
  <c r="AC6" i="3"/>
  <c r="H22" i="3" a="1"/>
  <c r="H30" i="3" a="1"/>
  <c r="H38" i="3" a="1"/>
  <c r="H46" i="3" a="1"/>
  <c r="H54" i="3" a="1"/>
  <c r="H62" i="3" a="1"/>
  <c r="H70" i="3" a="1"/>
  <c r="H78" i="3" a="1"/>
  <c r="H86" i="3" a="1"/>
  <c r="H94" i="3" a="1"/>
  <c r="H102" i="3" a="1"/>
  <c r="H110" i="3" a="1"/>
  <c r="H97" i="3" a="1"/>
  <c r="C6" i="3" a="1"/>
  <c r="H21" i="3" a="1"/>
  <c r="H29" i="3" a="1"/>
  <c r="H37" i="3" a="1"/>
  <c r="H45" i="3" a="1"/>
  <c r="H53" i="3" a="1"/>
  <c r="H61" i="3" a="1"/>
  <c r="H69" i="3" a="1"/>
  <c r="H77" i="3" a="1"/>
  <c r="H87" i="3" a="1"/>
  <c r="H99" i="3" a="1"/>
  <c r="H60" i="3" a="1"/>
  <c r="H92" i="3" a="1"/>
  <c r="H108" i="3" a="1"/>
  <c r="H109" i="3" a="1"/>
  <c r="H27" i="3" a="1"/>
  <c r="H43" i="3" a="1"/>
  <c r="H59" i="3" a="1"/>
  <c r="H75" i="3" a="1"/>
  <c r="H95" i="3" a="1"/>
  <c r="H16" i="3" a="1"/>
  <c r="H24" i="3" a="1"/>
  <c r="H32" i="3" a="1"/>
  <c r="H40" i="3" a="1"/>
  <c r="H48" i="3" a="1"/>
  <c r="H56" i="3" a="1"/>
  <c r="H64" i="3" a="1"/>
  <c r="H72" i="3" a="1"/>
  <c r="H80" i="3" a="1"/>
  <c r="H88" i="3" a="1"/>
  <c r="H96" i="3" a="1"/>
  <c r="H104" i="3" a="1"/>
  <c r="AG6" i="3" a="1"/>
  <c r="H101" i="3" a="1"/>
  <c r="H15" i="3" a="1"/>
  <c r="H23" i="3" a="1"/>
  <c r="H31" i="3" a="1"/>
  <c r="H39" i="3" a="1"/>
  <c r="H47" i="3" a="1"/>
  <c r="H55" i="3" a="1"/>
  <c r="H63" i="3" a="1"/>
  <c r="H71" i="3" a="1"/>
  <c r="H79" i="3" a="1"/>
  <c r="H89" i="3" a="1"/>
  <c r="H103" i="3" a="1"/>
  <c r="H26" i="3" a="1"/>
  <c r="H34" i="3" a="1"/>
  <c r="H42" i="3" a="1"/>
  <c r="H50" i="3" a="1"/>
  <c r="H58" i="3" a="1"/>
  <c r="H66" i="3" a="1"/>
  <c r="H74" i="3" a="1"/>
  <c r="H82" i="3" a="1"/>
  <c r="H90" i="3" a="1"/>
  <c r="H98" i="3" a="1"/>
  <c r="H106" i="3" a="1"/>
  <c r="H83" i="3" a="1"/>
  <c r="H105" i="3" a="1"/>
  <c r="H17" i="3" a="1"/>
  <c r="H25" i="3" a="1"/>
  <c r="H33" i="3" a="1"/>
  <c r="H41" i="3" a="1"/>
  <c r="H49" i="3" a="1"/>
  <c r="H57" i="3" a="1"/>
  <c r="H65" i="3" a="1"/>
  <c r="H73" i="3" a="1"/>
  <c r="H81" i="3" a="1"/>
  <c r="H91" i="3" a="1"/>
  <c r="H107" i="3" a="1"/>
  <c r="H20" i="3" a="1"/>
  <c r="H28" i="3" a="1"/>
  <c r="H36" i="3" a="1"/>
  <c r="H44" i="3" a="1"/>
  <c r="H52" i="3" a="1"/>
  <c r="H68" i="3" a="1"/>
  <c r="H76" i="3" a="1"/>
  <c r="H84" i="3" a="1"/>
  <c r="H100" i="3" a="1"/>
  <c r="H93" i="3" a="1"/>
  <c r="H19" i="3" a="1"/>
  <c r="H35" i="3" a="1"/>
  <c r="H51" i="3" a="1"/>
  <c r="H67" i="3" a="1"/>
  <c r="H85" i="3" a="1"/>
  <c r="Y6" i="3" a="1"/>
  <c r="H18" i="3" a="1"/>
  <c r="Y6" i="3" l="1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D6" i="3" l="1"/>
  <c r="AH6" i="3"/>
  <c r="E6" i="3" s="1"/>
  <c r="F6" i="3" l="1"/>
  <c r="G6" i="3"/>
  <c r="G1" i="29"/>
  <c r="F1" i="29" a="1"/>
  <c r="F1" i="29" l="1"/>
  <c r="C79" i="3" a="1"/>
  <c r="C100" i="3" a="1"/>
  <c r="C57" i="3" a="1"/>
  <c r="C49" i="3" a="1"/>
  <c r="C109" i="3" a="1"/>
  <c r="C72" i="3" a="1"/>
  <c r="C34" i="3" a="1"/>
  <c r="C55" i="3" a="1"/>
  <c r="C11" i="3" a="1"/>
  <c r="C73" i="3" a="1"/>
  <c r="C32" i="3" a="1"/>
  <c r="C9" i="3" a="1"/>
  <c r="C99" i="3" a="1"/>
  <c r="C107" i="3" a="1"/>
  <c r="C27" i="3" a="1"/>
  <c r="C91" i="3" a="1"/>
  <c r="C21" i="3" a="1"/>
  <c r="C53" i="3" a="1"/>
  <c r="C76" i="3" a="1"/>
  <c r="C92" i="3" a="1"/>
  <c r="C62" i="3" a="1"/>
  <c r="C106" i="3" a="1"/>
  <c r="C29" i="3" a="1"/>
  <c r="C59" i="3" a="1"/>
  <c r="C20" i="3" a="1"/>
  <c r="C86" i="3" a="1"/>
  <c r="C84" i="3" a="1"/>
  <c r="C31" i="3" a="1"/>
  <c r="C96" i="3" a="1"/>
  <c r="C46" i="3" a="1"/>
  <c r="C43" i="3" a="1"/>
  <c r="C101" i="3" a="1"/>
  <c r="C26" i="3" a="1"/>
  <c r="C94" i="3" a="1"/>
  <c r="C105" i="3" a="1"/>
  <c r="C74" i="3" a="1"/>
  <c r="C16" i="3" a="1"/>
  <c r="C80" i="3" a="1"/>
  <c r="C95" i="3" a="1"/>
  <c r="C108" i="3" a="1"/>
  <c r="C17" i="3" a="1"/>
  <c r="C78" i="3" a="1"/>
  <c r="C67" i="3" a="1"/>
  <c r="C88" i="3" a="1"/>
  <c r="C52" i="3" a="1"/>
  <c r="C40" i="3" a="1"/>
  <c r="C110" i="3" a="1"/>
  <c r="C87" i="3" a="1"/>
  <c r="C44" i="3" a="1"/>
  <c r="C50" i="3" a="1"/>
  <c r="C25" i="3" a="1"/>
  <c r="C54" i="3" a="1"/>
  <c r="C102" i="3" a="1"/>
  <c r="C22" i="3" a="1"/>
  <c r="C8" i="3" a="1"/>
  <c r="C7" i="3" a="1"/>
  <c r="C89" i="3" a="1"/>
  <c r="C61" i="3" a="1"/>
  <c r="C69" i="3" a="1"/>
  <c r="C82" i="3" a="1"/>
  <c r="C68" i="3" a="1"/>
  <c r="C10" i="3" a="1"/>
  <c r="C15" i="3" a="1"/>
  <c r="C45" i="3" a="1"/>
  <c r="C48" i="3" a="1"/>
  <c r="C24" i="3" a="1"/>
  <c r="C51" i="3" a="1"/>
  <c r="C28" i="3" a="1"/>
  <c r="C75" i="3" a="1"/>
  <c r="C36" i="3" a="1"/>
  <c r="C97" i="3" a="1"/>
  <c r="C23" i="3" a="1"/>
  <c r="C93" i="3" a="1"/>
  <c r="C81" i="3" a="1"/>
  <c r="C30" i="3" a="1"/>
  <c r="C66" i="3" a="1"/>
  <c r="C90" i="3" a="1"/>
  <c r="C38" i="3" a="1"/>
  <c r="C63" i="3" a="1"/>
  <c r="C65" i="3" a="1"/>
  <c r="C60" i="3" a="1"/>
  <c r="C13" i="3" a="1"/>
  <c r="C37" i="3" a="1"/>
  <c r="C77" i="3" a="1"/>
  <c r="C83" i="3" a="1"/>
  <c r="C47" i="3" a="1"/>
  <c r="C12" i="3" a="1"/>
  <c r="C85" i="3" a="1"/>
  <c r="C41" i="3" a="1"/>
  <c r="C70" i="3" a="1"/>
  <c r="C58" i="3" a="1"/>
  <c r="C56" i="3" a="1"/>
  <c r="C42" i="3" a="1"/>
  <c r="C33" i="3" a="1"/>
  <c r="C14" i="3" a="1"/>
  <c r="C98" i="3" a="1"/>
  <c r="C71" i="3" a="1"/>
  <c r="C35" i="3" a="1"/>
  <c r="C19" i="3" a="1"/>
  <c r="C18" i="3" a="1"/>
  <c r="C104" i="3" a="1"/>
  <c r="C39" i="3" a="1"/>
  <c r="C64" i="3" a="1"/>
  <c r="C103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G58" i="3" a="1"/>
  <c r="Y103" i="3" a="1"/>
  <c r="AG110" i="3" a="1"/>
  <c r="AG14" i="3" a="1"/>
  <c r="Y29" i="3" a="1"/>
  <c r="AG52" i="3" a="1"/>
  <c r="Y10" i="3" a="1"/>
  <c r="AG36" i="3" a="1"/>
  <c r="Y75" i="3" a="1"/>
  <c r="AG39" i="3" a="1"/>
  <c r="Y101" i="3" a="1"/>
  <c r="AG29" i="3" a="1"/>
  <c r="AG13" i="3" a="1"/>
  <c r="AG65" i="3" a="1"/>
  <c r="AG106" i="3" a="1"/>
  <c r="Y38" i="3" a="1"/>
  <c r="AG72" i="3" a="1"/>
  <c r="Y84" i="3" a="1"/>
  <c r="Y76" i="3" a="1"/>
  <c r="AG54" i="3" a="1"/>
  <c r="Y19" i="3" a="1"/>
  <c r="AG20" i="3" a="1"/>
  <c r="Y96" i="3" a="1"/>
  <c r="AG25" i="3" a="1"/>
  <c r="AG45" i="3" a="1"/>
  <c r="Y110" i="3" a="1"/>
  <c r="AG22" i="3" a="1"/>
  <c r="AG108" i="3" a="1"/>
  <c r="Y90" i="3" a="1"/>
  <c r="Y59" i="3" a="1"/>
  <c r="Y80" i="3" a="1"/>
  <c r="AG92" i="3" a="1"/>
  <c r="AG60" i="3" a="1"/>
  <c r="AG21" i="3" a="1"/>
  <c r="Y64" i="3" a="1"/>
  <c r="AG41" i="3" a="1"/>
  <c r="Y20" i="3" a="1"/>
  <c r="Y61" i="3" a="1"/>
  <c r="AG56" i="3" a="1"/>
  <c r="Y48" i="3" a="1"/>
  <c r="AG67" i="3" a="1"/>
  <c r="AG34" i="3" a="1"/>
  <c r="AG18" i="3" a="1"/>
  <c r="Y55" i="3" a="1"/>
  <c r="Y42" i="3" a="1"/>
  <c r="AG68" i="3" a="1"/>
  <c r="AG94" i="3" a="1"/>
  <c r="AG95" i="3" a="1"/>
  <c r="Y79" i="3" a="1"/>
  <c r="AG40" i="3" a="1"/>
  <c r="Y44" i="3" a="1"/>
  <c r="Y12" i="3" a="1"/>
  <c r="Y17" i="3" a="1"/>
  <c r="AG30" i="3" a="1"/>
  <c r="Y21" i="3" a="1"/>
  <c r="AG7" i="3" a="1"/>
  <c r="Y89" i="3" a="1"/>
  <c r="Y27" i="3" a="1"/>
  <c r="AG70" i="3" a="1"/>
  <c r="Y87" i="3" a="1"/>
  <c r="AG63" i="3" a="1"/>
  <c r="AG98" i="3" a="1"/>
  <c r="Y71" i="3" a="1"/>
  <c r="AG109" i="3" a="1"/>
  <c r="AG69" i="3" a="1"/>
  <c r="AG100" i="3" a="1"/>
  <c r="AG51" i="3" a="1"/>
  <c r="AG49" i="3" a="1"/>
  <c r="AG55" i="3" a="1"/>
  <c r="Y37" i="3" a="1"/>
  <c r="AG42" i="3" a="1"/>
  <c r="Y39" i="3" a="1"/>
  <c r="AG73" i="3" a="1"/>
  <c r="Y28" i="3" a="1"/>
  <c r="Y65" i="3" a="1"/>
  <c r="Y43" i="3" a="1"/>
  <c r="Y49" i="3" a="1"/>
  <c r="AG33" i="3" a="1"/>
  <c r="AG47" i="3" a="1"/>
  <c r="AG102" i="3" a="1"/>
  <c r="Y69" i="3" a="1"/>
  <c r="AG10" i="3" a="1"/>
  <c r="AG79" i="3" a="1"/>
  <c r="AG71" i="3" a="1"/>
  <c r="AG89" i="3" a="1"/>
  <c r="Y86" i="3" a="1"/>
  <c r="Y56" i="3" a="1"/>
  <c r="AG48" i="3" a="1"/>
  <c r="Y91" i="3" a="1"/>
  <c r="AG101" i="3" a="1"/>
  <c r="Y16" i="3" a="1"/>
  <c r="Y63" i="3" a="1"/>
  <c r="Y92" i="3" a="1"/>
  <c r="Y107" i="3" a="1"/>
  <c r="Y105" i="3" a="1"/>
  <c r="Y66" i="3" a="1"/>
  <c r="AG28" i="3" a="1"/>
  <c r="Y94" i="3" a="1"/>
  <c r="Y97" i="3" a="1"/>
  <c r="Y8" i="3" a="1"/>
  <c r="Y52" i="3" a="1"/>
  <c r="AG86" i="3" a="1"/>
  <c r="AG66" i="3" a="1"/>
  <c r="Y93" i="3" a="1"/>
  <c r="Y31" i="3" a="1"/>
  <c r="AG107" i="3" a="1"/>
  <c r="AG17" i="3" a="1"/>
  <c r="AG91" i="3" a="1"/>
  <c r="Y53" i="3" a="1"/>
  <c r="AG12" i="3" a="1"/>
  <c r="Y35" i="3" a="1"/>
  <c r="AG31" i="3" a="1"/>
  <c r="Y9" i="3" a="1"/>
  <c r="AG38" i="3" a="1"/>
  <c r="AG32" i="3" a="1"/>
  <c r="AG81" i="3" a="1"/>
  <c r="Y18" i="3" a="1"/>
  <c r="Y40" i="3" a="1"/>
  <c r="Y50" i="3" a="1"/>
  <c r="Y102" i="3" a="1"/>
  <c r="AG57" i="3" a="1"/>
  <c r="AG11" i="3" a="1"/>
  <c r="Y45" i="3" a="1"/>
  <c r="AG15" i="3" a="1"/>
  <c r="Y36" i="3" a="1"/>
  <c r="Y15" i="3" a="1"/>
  <c r="Y68" i="3" a="1"/>
  <c r="AG87" i="3" a="1"/>
  <c r="AG80" i="3" a="1"/>
  <c r="Y34" i="3" a="1"/>
  <c r="AG96" i="3" a="1"/>
  <c r="Y73" i="3" a="1"/>
  <c r="Y32" i="3" a="1"/>
  <c r="Y51" i="3" a="1"/>
  <c r="Y77" i="3" a="1"/>
  <c r="AG23" i="3" a="1"/>
  <c r="AG61" i="3" a="1"/>
  <c r="AG82" i="3" a="1"/>
  <c r="AG59" i="3" a="1"/>
  <c r="Y82" i="3" a="1"/>
  <c r="AG99" i="3" a="1"/>
  <c r="AG103" i="3" a="1"/>
  <c r="AG83" i="3" a="1"/>
  <c r="Y83" i="3" a="1"/>
  <c r="Y33" i="3" a="1"/>
  <c r="Y30" i="3" a="1"/>
  <c r="Y41" i="3" a="1"/>
  <c r="Y47" i="3" a="1"/>
  <c r="AG46" i="3" a="1"/>
  <c r="Y81" i="3" a="1"/>
  <c r="AG16" i="3" a="1"/>
  <c r="AG37" i="3" a="1"/>
  <c r="Y25" i="3" a="1"/>
  <c r="AG75" i="3" a="1"/>
  <c r="AG43" i="3" a="1"/>
  <c r="AG90" i="3" a="1"/>
  <c r="AG26" i="3" a="1"/>
  <c r="AG97" i="3" a="1"/>
  <c r="AG24" i="3" a="1"/>
  <c r="Y98" i="3" a="1"/>
  <c r="AG50" i="3" a="1"/>
  <c r="Y46" i="3" a="1"/>
  <c r="AG78" i="3" a="1"/>
  <c r="AG44" i="3" a="1"/>
  <c r="AG77" i="3" a="1"/>
  <c r="Y24" i="3" a="1"/>
  <c r="Y78" i="3" a="1"/>
  <c r="AG35" i="3" a="1"/>
  <c r="AG27" i="3" a="1"/>
  <c r="Y22" i="3" a="1"/>
  <c r="Y100" i="3" a="1"/>
  <c r="Y88" i="3" a="1"/>
  <c r="Y99" i="3" a="1"/>
  <c r="Y23" i="3" a="1"/>
  <c r="Y95" i="3" a="1"/>
  <c r="Y70" i="3" a="1"/>
  <c r="AG53" i="3" a="1"/>
  <c r="Y67" i="3" a="1"/>
  <c r="AG9" i="3" a="1"/>
  <c r="Y26" i="3" a="1"/>
  <c r="Y11" i="3" a="1"/>
  <c r="Y57" i="3" a="1"/>
  <c r="AG88" i="3" a="1"/>
  <c r="AG62" i="3" a="1"/>
  <c r="AG74" i="3" a="1"/>
  <c r="AG105" i="3" a="1"/>
  <c r="Y108" i="3" a="1"/>
  <c r="Y72" i="3" a="1"/>
  <c r="AG85" i="3" a="1"/>
  <c r="Y60" i="3" a="1"/>
  <c r="AG8" i="3" a="1"/>
  <c r="AG64" i="3" a="1"/>
  <c r="Y58" i="3" a="1"/>
  <c r="Y54" i="3" a="1"/>
  <c r="Y13" i="3" a="1"/>
  <c r="AG76" i="3" a="1"/>
  <c r="Y62" i="3" a="1"/>
  <c r="Y109" i="3" a="1"/>
  <c r="Y106" i="3" a="1"/>
  <c r="Y85" i="3" a="1"/>
  <c r="AG19" i="3" a="1"/>
  <c r="AG93" i="3" a="1"/>
  <c r="Y74" i="3" a="1"/>
  <c r="AG84" i="3" a="1"/>
  <c r="Y104" i="3" a="1"/>
  <c r="AG104" i="3" a="1"/>
  <c r="Y7" i="3" a="1"/>
  <c r="Y14" i="3" a="1"/>
  <c r="AG40" i="3" l="1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AH105" i="3" l="1"/>
  <c r="E105" i="3" s="1"/>
  <c r="AH57" i="3"/>
  <c r="E57" i="3" s="1"/>
  <c r="AH21" i="3"/>
  <c r="E21" i="3" s="1"/>
  <c r="AH70" i="3"/>
  <c r="E70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F17" i="3" s="1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62" i="3" a="1"/>
  <c r="A29" i="3" a="1"/>
  <c r="A21" i="3" a="1"/>
  <c r="A105" i="3" a="1"/>
  <c r="A83" i="3" a="1"/>
  <c r="A58" i="3" a="1"/>
  <c r="A72" i="3" a="1"/>
  <c r="A47" i="3" a="1"/>
  <c r="A81" i="3" a="1"/>
  <c r="A64" i="3" a="1"/>
  <c r="A75" i="3" a="1"/>
  <c r="A57" i="3" a="1"/>
  <c r="A70" i="3" a="1"/>
  <c r="A74" i="3" a="1"/>
  <c r="A96" i="3" a="1"/>
  <c r="A97" i="3" a="1"/>
  <c r="A101" i="3" a="1"/>
  <c r="A68" i="3" a="1"/>
  <c r="A69" i="3" a="1"/>
  <c r="A85" i="3" a="1"/>
  <c r="A54" i="3" a="1"/>
  <c r="A59" i="3" a="1"/>
  <c r="A108" i="3" a="1"/>
  <c r="A60" i="3" a="1"/>
  <c r="A106" i="3" a="1"/>
  <c r="A82" i="3" a="1"/>
  <c r="A107" i="3" a="1"/>
  <c r="A66" i="3" a="1"/>
  <c r="A50" i="3" a="1"/>
  <c r="A63" i="3" a="1"/>
  <c r="A100" i="3" a="1"/>
  <c r="A94" i="3" a="1"/>
  <c r="A71" i="3" a="1"/>
  <c r="A52" i="3" a="1"/>
  <c r="A51" i="3" a="1"/>
  <c r="A16" i="3" a="1"/>
  <c r="A93" i="3" a="1"/>
  <c r="A103" i="3" a="1"/>
  <c r="A55" i="3" a="1"/>
  <c r="A53" i="3" a="1"/>
  <c r="A65" i="3" a="1"/>
  <c r="A110" i="3" a="1"/>
  <c r="A22" i="3" a="1"/>
  <c r="A76" i="3" a="1"/>
  <c r="A15" i="3" a="1"/>
  <c r="A86" i="3" a="1"/>
  <c r="A56" i="3" a="1"/>
  <c r="A79" i="3" a="1"/>
  <c r="A30" i="3" a="1"/>
  <c r="A109" i="3" a="1"/>
  <c r="A102" i="3" a="1"/>
  <c r="A92" i="3" a="1"/>
  <c r="A48" i="3" a="1"/>
  <c r="A78" i="3" a="1"/>
  <c r="A89" i="3" a="1"/>
  <c r="A87" i="3" a="1"/>
  <c r="A46" i="3" a="1"/>
  <c r="A98" i="3" a="1"/>
  <c r="A91" i="3" a="1"/>
  <c r="A41" i="3" a="1"/>
  <c r="A49" i="3" a="1"/>
  <c r="A73" i="3" a="1"/>
  <c r="A84" i="3" a="1"/>
  <c r="A95" i="3" a="1"/>
  <c r="A45" i="3" a="1"/>
  <c r="A61" i="3" a="1"/>
  <c r="A67" i="3" a="1"/>
  <c r="A90" i="3" a="1"/>
  <c r="A80" i="3" a="1"/>
  <c r="A99" i="3" a="1"/>
  <c r="A104" i="3" a="1"/>
  <c r="A88" i="3" a="1"/>
  <c r="A77" i="3" a="1"/>
  <c r="F37" i="3" l="1"/>
  <c r="E37" i="3"/>
  <c r="G34" i="3"/>
  <c r="E34" i="3"/>
  <c r="G36" i="3"/>
  <c r="E36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F13" i="3"/>
  <c r="E13" i="3"/>
  <c r="G24" i="3"/>
  <c r="E24" i="3"/>
  <c r="G19" i="3"/>
  <c r="E19" i="3"/>
  <c r="F31" i="3"/>
  <c r="E31" i="3"/>
  <c r="G11" i="3"/>
  <c r="E11" i="3"/>
  <c r="G42" i="3"/>
  <c r="E42" i="3"/>
  <c r="F40" i="3"/>
  <c r="E40" i="3"/>
  <c r="F12" i="3"/>
  <c r="E12" i="3"/>
  <c r="G38" i="3"/>
  <c r="E38" i="3"/>
  <c r="F25" i="3"/>
  <c r="E25" i="3"/>
  <c r="G20" i="3"/>
  <c r="E20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19" i="3" a="1"/>
  <c r="A36" i="3" a="1"/>
  <c r="A40" i="3" a="1"/>
  <c r="A24" i="3" a="1"/>
  <c r="A39" i="3" a="1"/>
  <c r="A32" i="3" a="1"/>
  <c r="A28" i="3" a="1"/>
  <c r="A43" i="3" a="1"/>
  <c r="A23" i="3" a="1"/>
  <c r="A27" i="3" a="1"/>
  <c r="A18" i="3" a="1"/>
  <c r="A26" i="3" a="1"/>
  <c r="A34" i="3" a="1"/>
  <c r="A25" i="3" a="1"/>
  <c r="A38" i="3" a="1"/>
  <c r="A37" i="3" a="1"/>
  <c r="A20" i="3" a="1"/>
  <c r="A17" i="3" a="1"/>
  <c r="A31" i="3" a="1"/>
  <c r="A44" i="3" a="1"/>
  <c r="A33" i="3" a="1"/>
  <c r="A35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4" i="3" l="1" a="1"/>
  <c r="H14" i="3" l="1"/>
  <c r="A14" i="3" a="1"/>
  <c r="H13" i="3" a="1"/>
  <c r="H13" i="3" l="1"/>
  <c r="A14" i="3"/>
  <c r="A13" i="3" a="1"/>
  <c r="H12" i="3" a="1"/>
  <c r="H12" i="3" l="1"/>
  <c r="A13" i="3"/>
  <c r="A12" i="3" a="1"/>
  <c r="H11" i="3" a="1"/>
  <c r="H11" i="3" l="1"/>
  <c r="A12" i="3"/>
  <c r="A11" i="3" a="1"/>
  <c r="H10" i="3" a="1"/>
  <c r="H10" i="3" l="1"/>
  <c r="A11" i="3"/>
  <c r="A10" i="3" a="1"/>
  <c r="H9" i="3" a="1"/>
  <c r="H9" i="3" l="1"/>
  <c r="A10" i="3"/>
  <c r="A9" i="3" a="1"/>
  <c r="H7" i="3" a="1"/>
  <c r="H7" i="3" l="1"/>
  <c r="A9" i="3"/>
  <c r="A7" i="3" a="1"/>
  <c r="H8" i="3" a="1"/>
  <c r="H8" i="3" l="1"/>
  <c r="A7" i="3"/>
  <c r="A8" i="3" a="1"/>
  <c r="H6" i="3" a="1"/>
  <c r="B6" i="3" l="1"/>
  <c r="H6" i="3"/>
  <c r="A8" i="3"/>
  <c r="A6" i="3" a="1"/>
  <c r="A6" i="3" l="1"/>
  <c r="E20" i="29" l="1"/>
  <c r="C19" i="29"/>
  <c r="H32" i="29"/>
  <c r="B20" i="29"/>
  <c r="F19" i="29"/>
  <c r="B18" i="29"/>
  <c r="H43" i="29"/>
  <c r="C39" i="29"/>
  <c r="B9" i="29"/>
  <c r="E38" i="29"/>
  <c r="E9" i="29"/>
  <c r="C37" i="29"/>
  <c r="G29" i="29"/>
  <c r="G9" i="29"/>
  <c r="D27" i="29"/>
  <c r="E37" i="29"/>
  <c r="G13" i="29"/>
  <c r="H6" i="29"/>
  <c r="E24" i="29"/>
  <c r="G36" i="29"/>
  <c r="C13" i="29"/>
  <c r="G7" i="29"/>
  <c r="G22" i="29"/>
  <c r="E34" i="29"/>
  <c r="C33" i="29"/>
  <c r="H36" i="29"/>
  <c r="D43" i="29"/>
  <c r="C36" i="29"/>
  <c r="C7" i="29"/>
  <c r="H33" i="29"/>
  <c r="H30" i="29"/>
  <c r="D10" i="29"/>
  <c r="H27" i="29"/>
  <c r="B38" i="29"/>
  <c r="E15" i="29"/>
  <c r="G6" i="29"/>
  <c r="B25" i="29"/>
  <c r="D37" i="29"/>
  <c r="H14" i="29"/>
  <c r="D8" i="29"/>
  <c r="D24" i="29"/>
  <c r="B36" i="29"/>
  <c r="D14" i="29"/>
  <c r="F12" i="29"/>
  <c r="C42" i="29"/>
  <c r="E16" i="29"/>
  <c r="B33" i="29"/>
  <c r="C43" i="29"/>
  <c r="C38" i="29"/>
  <c r="C15" i="29"/>
  <c r="C31" i="29"/>
  <c r="E42" i="29"/>
  <c r="E8" i="29"/>
  <c r="E14" i="29"/>
  <c r="E30" i="29"/>
  <c r="C41" i="29"/>
  <c r="E45" i="29"/>
  <c r="H45" i="29"/>
  <c r="B28" i="29"/>
  <c r="F8" i="29"/>
  <c r="D36" i="29"/>
  <c r="G42" i="29"/>
  <c r="F34" i="29"/>
  <c r="G8" i="29"/>
  <c r="F6" i="29"/>
  <c r="D33" i="29"/>
  <c r="C45" i="29"/>
  <c r="G18" i="29"/>
  <c r="C20" i="29"/>
  <c r="H18" i="29"/>
  <c r="D25" i="29"/>
  <c r="B22" i="29"/>
  <c r="F7" i="29"/>
  <c r="D15" i="29"/>
  <c r="B42" i="29"/>
  <c r="B14" i="29"/>
  <c r="B30" i="29"/>
  <c r="C6" i="29"/>
  <c r="D29" i="29"/>
  <c r="E22" i="29"/>
  <c r="H22" i="29"/>
  <c r="D9" i="29"/>
  <c r="H15" i="29"/>
  <c r="F42" i="29"/>
  <c r="G20" i="29"/>
  <c r="C18" i="29"/>
  <c r="G19" i="29"/>
  <c r="D20" i="29"/>
  <c r="D18" i="29"/>
  <c r="B32" i="29"/>
  <c r="G14" i="29"/>
  <c r="G43" i="29"/>
  <c r="G15" i="29"/>
  <c r="B43" i="29"/>
  <c r="B15" i="29"/>
  <c r="G41" i="29"/>
  <c r="D34" i="29"/>
  <c r="B13" i="29"/>
  <c r="F29" i="29"/>
  <c r="G39" i="29"/>
  <c r="E27" i="29"/>
  <c r="C10" i="29"/>
  <c r="G27" i="29"/>
  <c r="B39" i="29"/>
  <c r="G24" i="29"/>
  <c r="B10" i="29"/>
  <c r="B27" i="29"/>
  <c r="G37" i="29"/>
  <c r="C9" i="29"/>
  <c r="E41" i="29"/>
  <c r="E13" i="29"/>
  <c r="G40" i="29"/>
  <c r="G12" i="29"/>
  <c r="E39" i="29"/>
  <c r="E36" i="29"/>
  <c r="F13" i="29"/>
  <c r="C30" i="29"/>
  <c r="D40" i="29"/>
  <c r="C29" i="29"/>
  <c r="D12" i="29"/>
  <c r="D28" i="29"/>
  <c r="F39" i="29"/>
  <c r="F10" i="29"/>
  <c r="F27" i="29"/>
  <c r="D38" i="29"/>
  <c r="G38" i="29"/>
  <c r="H25" i="29"/>
  <c r="C25" i="29"/>
  <c r="H9" i="29"/>
  <c r="D22" i="29"/>
  <c r="G16" i="29"/>
  <c r="E43" i="29"/>
  <c r="H19" i="29"/>
  <c r="E19" i="29"/>
  <c r="F20" i="29"/>
  <c r="F18" i="29"/>
  <c r="G25" i="29"/>
  <c r="C27" i="29"/>
  <c r="E25" i="29"/>
  <c r="H39" i="29"/>
  <c r="H31" i="29"/>
  <c r="H34" i="29"/>
  <c r="D41" i="29"/>
  <c r="D13" i="29"/>
  <c r="B40" i="29"/>
  <c r="B12" i="29"/>
  <c r="E10" i="29"/>
  <c r="C22" i="29"/>
  <c r="B41" i="29"/>
  <c r="E32" i="29"/>
  <c r="B37" i="29"/>
  <c r="D32" i="29"/>
  <c r="D19" i="29"/>
  <c r="G31" i="29"/>
  <c r="D6" i="29"/>
  <c r="E40" i="29"/>
  <c r="G10" i="29"/>
  <c r="D31" i="29"/>
  <c r="G28" i="29"/>
  <c r="G34" i="29"/>
  <c r="H16" i="29"/>
  <c r="B7" i="29"/>
  <c r="C16" i="29"/>
  <c r="H42" i="29"/>
  <c r="F37" i="29"/>
  <c r="G30" i="29"/>
  <c r="D30" i="29"/>
  <c r="H28" i="29"/>
  <c r="E31" i="29"/>
  <c r="C28" i="29"/>
  <c r="G45" i="29"/>
  <c r="B6" i="29"/>
  <c r="C14" i="29"/>
  <c r="H12" i="29"/>
  <c r="C40" i="29"/>
  <c r="F45" i="29"/>
  <c r="G32" i="29"/>
  <c r="E6" i="29"/>
  <c r="D42" i="29"/>
  <c r="F24" i="29"/>
  <c r="H41" i="29"/>
  <c r="H13" i="29"/>
  <c r="F40" i="29"/>
  <c r="F32" i="29"/>
  <c r="E28" i="29"/>
  <c r="F22" i="29"/>
  <c r="F25" i="29"/>
  <c r="F16" i="29"/>
  <c r="H24" i="29"/>
  <c r="D45" i="29"/>
  <c r="E18" i="29"/>
  <c r="F28" i="29"/>
  <c r="F9" i="29"/>
  <c r="B24" i="29"/>
  <c r="D16" i="29"/>
  <c r="F15" i="29"/>
  <c r="G33" i="29"/>
  <c r="C24" i="29"/>
  <c r="C8" i="29"/>
  <c r="F30" i="29"/>
  <c r="D7" i="29"/>
  <c r="H29" i="29"/>
  <c r="E12" i="29"/>
  <c r="H10" i="29"/>
  <c r="F38" i="29"/>
  <c r="H7" i="29"/>
  <c r="H37" i="29"/>
  <c r="H8" i="29"/>
  <c r="F36" i="29"/>
  <c r="B45" i="29"/>
  <c r="H20" i="29"/>
  <c r="F33" i="29"/>
  <c r="B31" i="29"/>
  <c r="C34" i="29"/>
  <c r="E33" i="29"/>
  <c r="F31" i="29"/>
  <c r="E29" i="29"/>
  <c r="B8" i="29"/>
  <c r="F41" i="29"/>
  <c r="B34" i="29"/>
  <c r="C32" i="29"/>
  <c r="B29" i="29"/>
  <c r="H40" i="29"/>
  <c r="C12" i="29"/>
  <c r="H38" i="29"/>
  <c r="B19" i="29"/>
  <c r="D39" i="29"/>
  <c r="B16" i="29"/>
  <c r="F43" i="29"/>
  <c r="E7" i="29"/>
  <c r="F14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<sst xmlns="http://schemas.openxmlformats.org/spreadsheetml/2006/main" count="16318" uniqueCount="2840">
  <si>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</si>
  <si>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</si>
  <si>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</si>
  <si>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</si>
  <si>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</si>
  <si>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</si>
  <si>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</si>
  <si>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</si>
  <si>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</si>
  <si>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</si>
  <si>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</si>
  <si>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</si>
  <si>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</si>
  <si>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</si>
  <si>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</si>
  <si>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</si>
  <si>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</si>
  <si>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</si>
  <si>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</si>
  <si>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</si>
  <si>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</si>
  <si>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</si>
  <si>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</si>
  <si>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</si>
  <si>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</si>
  <si>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</si>
  <si>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</si>
  <si>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</si>
  <si>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</si>
  <si>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</si>
  <si>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</si>
  <si>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</si>
  <si>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</si>
  <si>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</si>
  <si>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</si>
  <si>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</si>
  <si>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</si>
  <si>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</si>
  <si>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</si>
  <si>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</si>
  <si>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</si>
  <si>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</si>
  <si>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</si>
  <si>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</si>
  <si>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</si>
  <si>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</si>
  <si>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</si>
  <si>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</si>
  <si>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</si>
  <si>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</si>
  <si>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</si>
  <si>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</si>
  <si>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</si>
  <si>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</si>
  <si>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</si>
  <si>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</si>
  <si>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</si>
  <si>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</si>
  <si>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</si>
  <si>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</si>
  <si>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</si>
  <si>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</si>
  <si>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</si>
  <si>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</si>
  <si>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</si>
  <si>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</si>
  <si>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</si>
  <si>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</si>
  <si>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</si>
  <si>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</si>
  <si>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</si>
  <si>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</si>
  <si>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</si>
  <si>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</si>
  <si>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</si>
  <si>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</si>
  <si>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</si>
  <si>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</si>
  <si>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</si>
  <si>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</si>
  <si>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</si>
  <si>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</si>
  <si>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</si>
  <si>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</si>
  <si>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</si>
  <si>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</si>
  <si>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</si>
  <si>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</si>
  <si>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</si>
  <si>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</si>
  <si>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</si>
  <si>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</si>
  <si>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</si>
  <si>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</si>
  <si>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</si>
  <si>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</si>
  <si>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</si>
  <si>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</si>
  <si>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</si>
  <si>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</si>
  <si>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</si>
  <si>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</si>
  <si>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</si>
  <si>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</si>
  <si>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</si>
  <si>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</si>
  <si>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</si>
  <si>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</si>
  <si>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</si>
  <si>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</si>
  <si>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</si>
  <si>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</si>
  <si>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</si>
  <si>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</si>
  <si>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</si>
  <si>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</si>
  <si>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</si>
  <si>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</si>
  <si>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</si>
  <si>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</si>
  <si>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</si>
  <si>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</si>
  <si>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</si>
  <si>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</si>
  <si>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</si>
  <si>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</si>
  <si>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</si>
  <si>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</si>
  <si>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</si>
  <si>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</si>
  <si>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</si>
  <si>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</si>
  <si>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</si>
  <si>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</si>
  <si>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</si>
  <si>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</si>
  <si>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</si>
  <si>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</si>
  <si>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</si>
  <si>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</si>
  <si>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</si>
  <si>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</si>
  <si>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</si>
  <si>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</si>
  <si>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</si>
  <si>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</si>
  <si>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</si>
  <si>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</si>
  <si>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</si>
  <si>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</si>
  <si>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</si>
  <si>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</si>
  <si>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</si>
  <si>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</si>
  <si>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</si>
  <si>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</si>
  <si>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</si>
  <si>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</si>
  <si>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</si>
  <si>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</si>
  <si>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</si>
  <si>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</si>
  <si>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</si>
  <si>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</si>
  <si>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</si>
  <si>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</si>
  <si>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</si>
  <si>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</si>
  <si>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</si>
  <si>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</si>
  <si>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</si>
  <si>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</si>
  <si>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</si>
  <si>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</si>
  <si>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</si>
  <si>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</si>
  <si>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</si>
  <si>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</si>
  <si>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</si>
  <si>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</si>
  <si>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</si>
  <si>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</si>
  <si>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</si>
  <si>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</si>
  <si>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</si>
  <si>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</si>
  <si>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</si>
  <si>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</si>
  <si>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</si>
  <si>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</si>
  <si>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</si>
  <si>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</si>
  <si>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</si>
  <si>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</si>
  <si>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</si>
  <si>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</si>
  <si>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</si>
  <si>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</si>
  <si>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</si>
  <si>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</si>
  <si>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</si>
  <si>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</si>
  <si>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</si>
  <si>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</si>
  <si>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</si>
  <si>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</si>
  <si>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</si>
  <si>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</si>
  <si>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</si>
  <si>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</si>
  <si>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</si>
  <si>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</si>
  <si>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</si>
  <si>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</si>
  <si>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</si>
  <si>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</si>
  <si>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</si>
  <si>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</si>
  <si>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</si>
  <si>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</si>
  <si>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</si>
  <si>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</si>
  <si>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</si>
  <si>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</si>
  <si>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</si>
  <si>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</si>
  <si>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</si>
  <si>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</si>
  <si>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</si>
  <si>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</si>
  <si>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</si>
  <si>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</si>
  <si>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</si>
  <si>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</si>
  <si>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</si>
  <si>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</si>
  <si>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</si>
  <si>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</si>
  <si>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</si>
  <si>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</si>
  <si>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</si>
  <si>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</si>
  <si>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</si>
  <si>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</si>
  <si>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</si>
  <si>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</si>
  <si>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</si>
  <si>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</si>
  <si>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</si>
  <si>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</si>
  <si>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</si>
  <si>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</si>
  <si>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</si>
  <si>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</si>
  <si>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</si>
  <si>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</si>
  <si>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</si>
  <si>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</si>
  <si>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</si>
  <si>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</si>
  <si>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</si>
  <si>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</si>
  <si>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</si>
  <si>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</si>
  <si>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</si>
  <si>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</si>
  <si>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</si>
  <si>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</si>
  <si>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</si>
  <si>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</si>
  <si>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</si>
  <si>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</si>
  <si>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</si>
  <si>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</si>
  <si>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</si>
  <si>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</si>
  <si>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</si>
  <si>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</si>
  <si>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</si>
  <si>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</si>
  <si>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</si>
  <si>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</si>
  <si>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</si>
  <si>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</si>
  <si>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</si>
  <si>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</si>
  <si>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</si>
  <si>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</si>
  <si>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</si>
  <si>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</si>
  <si>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</si>
  <si>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</si>
  <si>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</si>
  <si>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</si>
  <si>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</si>
  <si>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</si>
  <si>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</si>
  <si>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</si>
  <si>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</si>
  <si>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</si>
  <si>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</si>
  <si>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</si>
  <si>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</si>
  <si>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</si>
  <si>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</si>
  <si>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</si>
  <si>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</si>
  <si>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</si>
  <si>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</si>
  <si>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</si>
  <si>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</si>
  <si>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</si>
  <si>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</si>
  <si>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</si>
  <si>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</si>
  <si>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</si>
  <si>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</si>
  <si>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</si>
  <si>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</si>
  <si>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</si>
  <si>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</si>
  <si>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</si>
  <si>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</si>
  <si>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</si>
  <si>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</si>
  <si>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</si>
  <si>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</si>
  <si>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</si>
  <si>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</si>
  <si>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</si>
  <si>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</si>
  <si>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</si>
  <si>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</si>
  <si>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</si>
  <si>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</si>
  <si>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</si>
  <si>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</si>
  <si>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</si>
  <si>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</si>
  <si>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</si>
  <si>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</si>
  <si>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</si>
  <si>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</si>
  <si>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</si>
  <si>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</si>
  <si>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</si>
  <si>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</si>
  <si>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</si>
  <si>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</si>
  <si>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</si>
  <si>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</si>
  <si>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</si>
  <si>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</si>
  <si>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</si>
  <si>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</si>
  <si>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</si>
  <si>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</si>
  <si>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</si>
  <si>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</si>
  <si>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</si>
  <si>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</si>
  <si>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</si>
  <si>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</si>
  <si>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</si>
  <si>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</si>
  <si>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</si>
  <si>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</si>
  <si>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</si>
  <si>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</si>
  <si>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</si>
  <si>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</si>
  <si>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</si>
  <si>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</si>
  <si>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</si>
  <si>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</si>
  <si>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</si>
  <si>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</si>
  <si>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</si>
  <si>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</si>
  <si>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</si>
  <si>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</si>
  <si>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</si>
  <si>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</si>
  <si>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</si>
  <si>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</si>
  <si>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</si>
  <si>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</si>
  <si>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</si>
  <si>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</si>
  <si>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</si>
  <si>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</si>
  <si>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</si>
  <si>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</si>
  <si>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</si>
  <si>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</si>
  <si>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</si>
  <si>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</si>
  <si>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</si>
  <si>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</si>
  <si>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</si>
  <si>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</si>
  <si>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</si>
  <si>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</si>
  <si>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</si>
  <si>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</si>
  <si>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</si>
  <si>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</si>
  <si>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</si>
  <si>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</si>
  <si>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</si>
  <si>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</si>
  <si>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</si>
  <si>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</si>
  <si>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</si>
  <si>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</si>
  <si>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</si>
  <si>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</si>
  <si>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</si>
  <si>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</si>
  <si>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</si>
  <si>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</si>
  <si>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</si>
  <si>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</si>
  <si>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</si>
  <si>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</si>
  <si>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</si>
  <si>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</si>
  <si>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</si>
  <si>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</si>
  <si>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</si>
  <si>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</si>
  <si>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</si>
  <si>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</si>
  <si>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</si>
  <si>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</si>
  <si>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</si>
  <si>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</si>
  <si>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</si>
  <si>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</si>
  <si>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</si>
  <si>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</si>
  <si>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</si>
  <si>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</si>
  <si>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</si>
  <si>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</si>
  <si>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</si>
  <si>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</si>
  <si>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</si>
  <si>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</si>
  <si>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</si>
  <si>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</si>
  <si>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</si>
  <si>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</si>
  <si>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</si>
  <si>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</si>
  <si>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</si>
  <si>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</si>
  <si>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</si>
  <si>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</si>
  <si>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</si>
  <si>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</si>
  <si>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</si>
  <si>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</si>
  <si>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</si>
  <si>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</si>
  <si>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</si>
  <si>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</si>
  <si>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</si>
  <si>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</si>
  <si>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</si>
  <si>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</si>
  <si>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</si>
  <si>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</si>
  <si>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</si>
  <si>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</si>
  <si>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</si>
  <si>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</si>
  <si>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</si>
  <si>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</si>
  <si>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</si>
  <si>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</si>
  <si>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</si>
  <si>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</si>
  <si>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</si>
  <si>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</si>
  <si>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</si>
  <si>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</si>
  <si>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</si>
  <si>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</si>
  <si>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</si>
  <si>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</si>
  <si>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</si>
  <si>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</si>
  <si>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</si>
  <si>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</si>
  <si>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</si>
  <si>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</si>
  <si>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</si>
  <si>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</si>
  <si>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</si>
  <si>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</si>
  <si>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</si>
  <si>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</si>
  <si>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</si>
  <si>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</si>
  <si>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</si>
  <si>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</si>
  <si>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</si>
  <si>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</si>
  <si>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</si>
  <si>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</si>
  <si>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</si>
  <si>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</si>
  <si>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</si>
  <si>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</si>
  <si>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</si>
  <si>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</si>
  <si>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</si>
  <si>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</si>
  <si>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</si>
  <si>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</si>
  <si>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</si>
  <si>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</si>
  <si>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</si>
  <si>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</si>
  <si>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</si>
  <si>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</si>
  <si>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</si>
  <si>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</si>
  <si>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</si>
  <si>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</si>
  <si>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</si>
  <si>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</si>
  <si>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</si>
  <si>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</si>
  <si>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</si>
  <si>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</si>
  <si>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</si>
  <si>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</si>
  <si>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</si>
  <si>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</si>
  <si>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</si>
  <si>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</si>
  <si>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</si>
  <si>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</si>
  <si>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</si>
  <si>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</si>
  <si>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</si>
  <si>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</si>
  <si>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</si>
  <si>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</si>
  <si>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</si>
  <si>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</si>
  <si>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</si>
  <si>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</si>
  <si>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</si>
  <si>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</si>
  <si>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</si>
  <si>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</si>
  <si>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</si>
  <si>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</si>
  <si>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</si>
  <si>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</si>
  <si>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</si>
  <si>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</si>
  <si>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</si>
  <si>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</si>
  <si>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</si>
  <si>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</si>
  <si>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</si>
  <si>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</si>
  <si>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</si>
  <si>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</si>
  <si>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</si>
  <si>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</si>
  <si>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</si>
  <si>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</si>
  <si>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</si>
  <si>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</si>
  <si>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</si>
  <si>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</si>
  <si>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</si>
  <si>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</si>
  <si>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</si>
  <si>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</si>
  <si>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</si>
  <si>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</si>
  <si>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</si>
  <si>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</si>
  <si>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</si>
  <si>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</si>
  <si>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</si>
  <si>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</si>
  <si>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</si>
  <si>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</si>
  <si>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</si>
  <si>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</si>
  <si>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</si>
  <si>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</si>
  <si>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</si>
  <si>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</si>
  <si>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</si>
  <si>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</si>
  <si>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</si>
  <si>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</si>
  <si>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</si>
  <si>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</si>
  <si>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</si>
  <si>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</si>
  <si>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</si>
  <si>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</si>
  <si>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</si>
  <si>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</si>
  <si>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</si>
  <si>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</si>
  <si>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</si>
  <si>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</si>
  <si>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</si>
  <si>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</si>
  <si>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</si>
  <si>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</si>
  <si>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</si>
  <si>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</si>
  <si>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</si>
  <si>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</si>
  <si>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</si>
  <si>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</si>
  <si>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</si>
  <si>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</si>
  <si>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</si>
  <si>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</si>
  <si>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</si>
  <si>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</si>
  <si>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</si>
  <si>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</si>
  <si>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</si>
  <si>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</si>
  <si>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</si>
  <si>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</si>
  <si>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</si>
  <si>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</si>
  <si>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</si>
  <si>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</si>
  <si>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</si>
  <si>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</si>
  <si>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</si>
  <si>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</si>
  <si>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</si>
  <si>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</si>
  <si>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</si>
  <si>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</si>
  <si>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</si>
  <si>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</si>
  <si>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</si>
  <si>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</si>
  <si>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</si>
  <si>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</si>
  <si>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</si>
  <si>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</si>
  <si>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</si>
  <si>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</si>
  <si>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</si>
  <si>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</si>
  <si>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</si>
  <si>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</si>
  <si>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</si>
  <si>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</si>
  <si>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</si>
  <si>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</si>
  <si>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</si>
  <si>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</si>
  <si>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</si>
  <si>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</si>
  <si>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</si>
  <si>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</si>
  <si>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</si>
  <si>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</si>
  <si>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</si>
  <si>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</si>
  <si>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</si>
  <si>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</si>
  <si>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</si>
  <si>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</si>
  <si>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</si>
  <si>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</si>
  <si>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</si>
  <si>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</si>
  <si>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</si>
  <si>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</si>
  <si>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</si>
  <si>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</si>
  <si>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</si>
  <si>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</si>
  <si>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</si>
  <si>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</si>
  <si>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</si>
  <si>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</si>
  <si>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</si>
  <si>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</si>
  <si>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</si>
  <si>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</si>
  <si>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</si>
  <si>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</si>
  <si>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</si>
  <si>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</si>
  <si>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</si>
  <si>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</si>
  <si>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</si>
  <si>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</si>
  <si>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</si>
  <si>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</si>
  <si>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</si>
  <si>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</si>
  <si>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</si>
  <si>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</si>
  <si>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</si>
  <si>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</si>
  <si>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</si>
  <si>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</si>
  <si>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</si>
  <si>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</si>
  <si>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</si>
  <si>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</si>
  <si>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</si>
  <si>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</si>
  <si>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</si>
  <si>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</si>
  <si>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</si>
  <si>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</si>
  <si>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</si>
  <si>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</si>
  <si>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</si>
  <si>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</si>
  <si>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</si>
  <si>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</si>
  <si>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</si>
  <si>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</si>
  <si>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</si>
  <si>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</si>
  <si>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</si>
  <si>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</si>
  <si>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</si>
  <si>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</si>
  <si>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</si>
  <si>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</si>
  <si>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</si>
  <si>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</si>
  <si>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</si>
  <si>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</si>
  <si>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</si>
  <si>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</si>
  <si>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</si>
  <si>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</si>
  <si>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</si>
  <si>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</si>
  <si>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</si>
  <si>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</si>
  <si>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</si>
  <si>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</si>
  <si>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</si>
  <si>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</si>
  <si>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</si>
  <si>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</si>
  <si>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</si>
  <si>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</si>
  <si>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</si>
  <si>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</si>
  <si>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</si>
  <si>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</si>
  <si>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</si>
  <si>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</si>
  <si>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</si>
  <si>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</si>
  <si>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</si>
  <si>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</si>
  <si>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</si>
  <si>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</si>
  <si>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</si>
  <si>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</si>
  <si>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</si>
  <si>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</si>
  <si>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</si>
  <si>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</si>
  <si>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</si>
  <si>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</si>
  <si>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</si>
  <si>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</si>
  <si>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</si>
  <si>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</si>
  <si>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</si>
  <si>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</si>
  <si>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</si>
  <si>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</si>
  <si>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</si>
  <si>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</si>
  <si>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</si>
  <si>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</si>
  <si>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</si>
  <si>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</si>
  <si>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</si>
  <si>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</si>
  <si>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</si>
  <si>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</si>
  <si>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</si>
  <si>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</si>
  <si>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</si>
  <si>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</si>
  <si>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</si>
  <si>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</si>
  <si>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</si>
  <si>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</si>
  <si>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</si>
  <si>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</si>
  <si>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</si>
  <si>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</si>
  <si>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</si>
  <si>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</si>
  <si>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</si>
  <si>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</si>
  <si>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</si>
  <si>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</si>
  <si>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</si>
  <si>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</si>
  <si>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</si>
  <si>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</si>
  <si>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</si>
  <si>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</si>
  <si>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</si>
  <si>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</si>
  <si>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</si>
  <si>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</si>
  <si>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</si>
  <si>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</si>
  <si>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</si>
  <si>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</si>
  <si>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</si>
  <si>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</si>
  <si>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</si>
  <si>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</si>
  <si>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</si>
  <si>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</si>
  <si>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</si>
  <si>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</si>
  <si>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</si>
  <si>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</si>
  <si>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</si>
  <si>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</si>
  <si>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</si>
  <si>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</si>
  <si>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</si>
  <si>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</si>
  <si>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</si>
  <si>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</si>
  <si>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</si>
  <si>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</si>
  <si>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</si>
  <si>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</si>
  <si>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</si>
  <si>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</si>
  <si>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</si>
  <si>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</si>
  <si>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</si>
  <si>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</si>
  <si>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</si>
  <si>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</si>
  <si>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</si>
  <si>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</si>
  <si>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</si>
  <si>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</si>
  <si>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</si>
  <si>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</si>
  <si>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</si>
  <si>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</si>
  <si>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</si>
  <si>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</si>
  <si>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</si>
  <si>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</si>
  <si>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</si>
  <si>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</si>
  <si>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</si>
  <si>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</si>
  <si>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</si>
  <si>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</si>
  <si>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</si>
  <si>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</si>
  <si>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</si>
  <si>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</si>
  <si>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</si>
  <si>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</si>
  <si>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</si>
  <si>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</si>
  <si>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</si>
  <si>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</si>
  <si>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</si>
  <si>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</si>
  <si>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</si>
  <si>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</si>
  <si>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</si>
  <si>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</si>
  <si>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</si>
  <si>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</si>
  <si>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</si>
  <si>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</si>
  <si>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</si>
  <si>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</si>
  <si>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</si>
  <si>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</si>
  <si>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</si>
  <si>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</si>
  <si>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</si>
  <si>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</si>
  <si>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</si>
  <si>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</si>
  <si>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</si>
  <si>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</si>
  <si>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</si>
  <si>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</si>
  <si>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</si>
  <si>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</si>
  <si>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</si>
  <si>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</si>
  <si>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</si>
  <si>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</si>
  <si>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</si>
  <si>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</si>
  <si>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</si>
  <si>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</si>
  <si>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</si>
  <si>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</si>
  <si>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</si>
  <si>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</si>
  <si>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</si>
  <si>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</si>
  <si>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</si>
  <si>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</si>
  <si>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</si>
  <si>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</si>
  <si>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</si>
  <si>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</si>
  <si>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</si>
  <si>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</si>
  <si>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</si>
  <si>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</si>
  <si>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</si>
  <si>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</si>
  <si>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</si>
  <si>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</si>
  <si>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</si>
  <si>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</si>
  <si>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</si>
  <si>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</si>
  <si>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</si>
  <si>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</si>
  <si>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</si>
  <si>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</si>
  <si>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</si>
  <si>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</si>
  <si>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</si>
  <si>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</si>
  <si>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</si>
  <si>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</si>
  <si>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</si>
  <si>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</si>
  <si>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</si>
  <si>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</si>
  <si>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</si>
  <si>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</si>
  <si>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</si>
  <si>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</si>
  <si>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</si>
  <si>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</si>
  <si>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</si>
  <si>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</si>
  <si>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</si>
  <si>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</si>
  <si>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</si>
  <si>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</si>
  <si>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</si>
  <si>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</si>
  <si>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</si>
  <si>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</si>
  <si>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</si>
  <si>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</si>
  <si>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</si>
  <si>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</si>
  <si>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</si>
  <si>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</si>
  <si>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</si>
  <si>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</si>
  <si>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</si>
  <si>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</si>
  <si>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</si>
  <si>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</si>
  <si>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</si>
  <si>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</si>
  <si>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</si>
  <si>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</si>
  <si>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</si>
  <si>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</si>
  <si>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</si>
  <si>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</si>
  <si>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</si>
  <si>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</si>
  <si>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</si>
  <si>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</si>
  <si>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</si>
  <si>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</si>
  <si>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</si>
  <si>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</si>
  <si>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</si>
  <si>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</si>
  <si>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</si>
  <si>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</si>
  <si>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</si>
  <si>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</si>
  <si>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</si>
  <si>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</si>
  <si>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</si>
  <si>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</si>
  <si>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</si>
  <si>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</si>
  <si>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</si>
  <si>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</si>
  <si>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</si>
  <si>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</si>
  <si>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</si>
  <si>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</si>
  <si>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</si>
  <si>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</si>
  <si>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</si>
  <si>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</si>
  <si>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</si>
  <si>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</si>
  <si>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</si>
  <si>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</si>
  <si>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</si>
  <si>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</si>
  <si>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</si>
  <si>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</si>
  <si>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</si>
  <si>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</si>
  <si>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</si>
  <si>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</si>
  <si>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</si>
  <si>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</si>
  <si>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</si>
  <si>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</si>
  <si>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</si>
  <si>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</si>
  <si>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</si>
  <si>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</si>
  <si>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</si>
  <si>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</si>
  <si>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</si>
  <si>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</si>
  <si>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</si>
  <si>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</si>
  <si>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</si>
  <si>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</si>
  <si>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</si>
  <si>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</si>
  <si>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</si>
  <si>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</si>
  <si>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</si>
  <si>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</si>
  <si>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</si>
  <si>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</si>
  <si>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</si>
  <si>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</si>
  <si>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</si>
  <si>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</si>
  <si>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</si>
  <si>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</si>
  <si>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</si>
  <si>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</si>
  <si>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</si>
  <si>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</si>
  <si>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</si>
  <si>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</si>
  <si>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</si>
  <si>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</si>
  <si>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</si>
  <si>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</si>
  <si>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</si>
  <si>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</si>
  <si>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</si>
  <si>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</si>
  <si>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</si>
  <si>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</si>
  <si>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</si>
  <si>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</si>
  <si>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</si>
  <si>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</si>
  <si>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</si>
  <si>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</si>
  <si>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</si>
  <si>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</si>
  <si>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</si>
  <si>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</si>
  <si>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</si>
  <si>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</si>
  <si>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</si>
  <si>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</si>
  <si>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</si>
  <si>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</si>
  <si>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</si>
  <si>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</si>
  <si>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</si>
  <si>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</si>
  <si>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</si>
  <si>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</si>
  <si>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</si>
  <si>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</si>
  <si>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</si>
  <si>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</si>
  <si>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</si>
  <si>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</si>
  <si>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</si>
  <si>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</si>
  <si>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</si>
  <si>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</si>
  <si>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</si>
  <si>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</si>
  <si>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</si>
  <si>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</si>
  <si>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</si>
  <si>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</si>
  <si>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</si>
  <si>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</si>
  <si>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</si>
  <si>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</si>
  <si>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</si>
  <si>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</si>
  <si>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</si>
  <si>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</si>
  <si>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</si>
  <si>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</si>
  <si>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</si>
  <si>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</si>
  <si>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</si>
  <si>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</si>
  <si>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</si>
  <si>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</si>
  <si>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</si>
  <si>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</si>
  <si>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</si>
  <si>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</si>
  <si>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</si>
  <si>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</si>
  <si>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</si>
  <si>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</si>
  <si>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</si>
  <si>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</si>
  <si>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</si>
  <si>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</si>
  <si>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</si>
  <si>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</si>
  <si>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</si>
  <si>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</si>
  <si>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</si>
  <si>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</si>
  <si>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</si>
  <si>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</si>
  <si>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</si>
  <si>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</si>
  <si>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</si>
  <si>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</si>
  <si>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</si>
  <si>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</si>
  <si>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</si>
  <si>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</si>
  <si>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</si>
  <si>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</si>
  <si>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</si>
  <si>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</si>
  <si>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</si>
  <si>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</si>
  <si>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</si>
  <si>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</si>
  <si>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</si>
  <si>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</si>
  <si>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</si>
  <si>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</si>
  <si>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</si>
  <si>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</si>
  <si>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</si>
  <si>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</si>
  <si>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</si>
  <si>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</si>
  <si>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</si>
  <si>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</si>
  <si>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</si>
  <si>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</si>
  <si>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</si>
  <si>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</si>
  <si>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</si>
  <si>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</si>
  <si>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</si>
  <si>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</si>
  <si>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</si>
  <si>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</si>
  <si>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</si>
  <si>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</si>
  <si>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</si>
  <si>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</si>
  <si>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</si>
  <si>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</si>
  <si>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</si>
  <si>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</si>
  <si>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</si>
  <si>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</si>
  <si>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</si>
  <si>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</si>
  <si>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</si>
  <si>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</si>
  <si>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</si>
  <si>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</si>
  <si>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</si>
  <si>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</si>
  <si>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</si>
  <si>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</si>
  <si>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</si>
  <si>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</si>
  <si>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</si>
  <si>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</si>
  <si>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</si>
  <si>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</si>
  <si>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</si>
  <si>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</si>
  <si>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</si>
  <si>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</si>
  <si>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</si>
  <si>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</si>
  <si>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</si>
  <si>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</si>
  <si>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</si>
  <si>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</si>
  <si>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</si>
  <si>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</si>
  <si>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</si>
  <si>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</si>
  <si>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</si>
  <si>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</si>
  <si>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</si>
  <si>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</si>
  <si>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</si>
  <si>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</si>
  <si>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</si>
  <si>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</si>
  <si>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</si>
  <si>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</si>
  <si>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</si>
  <si>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</si>
  <si>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</si>
  <si>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</si>
  <si>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</si>
  <si>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</si>
  <si>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</si>
  <si>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</si>
  <si>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</si>
  <si>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</si>
  <si>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</si>
  <si>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</si>
  <si>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</si>
  <si>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</si>
  <si>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</si>
  <si>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</si>
  <si>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</si>
  <si>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</si>
  <si>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</si>
  <si>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</si>
  <si>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</si>
  <si>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</si>
  <si>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</si>
  <si>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</si>
  <si>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</si>
  <si>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</si>
  <si>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</si>
  <si>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</si>
  <si>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</si>
  <si>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</si>
  <si>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</si>
  <si>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</si>
  <si>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</si>
  <si>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</si>
  <si>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</si>
  <si>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</si>
  <si>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</si>
  <si>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</si>
  <si>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</si>
  <si>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</si>
  <si>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</si>
  <si>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</si>
  <si>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</si>
  <si>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</si>
  <si>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</si>
  <si>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</si>
  <si>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</si>
  <si>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</si>
  <si>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</si>
  <si>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</si>
  <si>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</si>
  <si>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</si>
  <si>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</si>
  <si>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</si>
  <si>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</si>
  <si>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</si>
  <si>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</si>
  <si>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</si>
  <si>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</si>
  <si>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</si>
  <si>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</si>
  <si>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</si>
  <si>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</si>
  <si>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</si>
  <si>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</si>
  <si>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</si>
  <si>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</si>
  <si>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</si>
  <si>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</si>
  <si>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</si>
  <si>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</si>
  <si>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</si>
  <si>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</si>
  <si>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</si>
  <si>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</si>
  <si>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</si>
  <si>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</si>
  <si>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</si>
  <si>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</si>
  <si>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</si>
  <si>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</si>
  <si>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</si>
  <si>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</si>
  <si>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</si>
  <si>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</si>
  <si>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</si>
  <si>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</si>
  <si>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</si>
  <si>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</si>
  <si>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</si>
  <si>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</si>
  <si>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</si>
  <si>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</si>
  <si>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</si>
  <si>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</si>
  <si>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</si>
  <si>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</si>
  <si>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</si>
  <si>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</si>
  <si>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</si>
  <si>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</si>
  <si>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</si>
  <si>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</si>
  <si>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</si>
  <si>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</si>
  <si>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</si>
  <si>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</si>
  <si>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</si>
  <si>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</si>
  <si>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</si>
  <si>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</si>
  <si>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</si>
  <si>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</si>
  <si>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</si>
  <si>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</si>
  <si>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</si>
  <si>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</si>
  <si>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</si>
  <si>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</si>
  <si>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</si>
  <si>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</si>
  <si>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</si>
  <si>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</si>
  <si>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</si>
  <si>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</si>
  <si>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</si>
  <si>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</si>
  <si>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</si>
  <si>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</si>
  <si>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</si>
  <si>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</si>
  <si>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</si>
  <si>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</si>
  <si>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</si>
  <si>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</si>
  <si>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</si>
  <si>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</si>
  <si>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</si>
  <si>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</si>
  <si>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</si>
  <si>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</si>
  <si>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</si>
  <si>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</si>
  <si>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</si>
  <si>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</si>
  <si>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</si>
  <si>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</si>
  <si>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</si>
  <si>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</si>
  <si>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</si>
  <si>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</si>
  <si>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</si>
  <si>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</si>
  <si>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</si>
  <si>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</si>
  <si>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</si>
  <si>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</si>
  <si>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</si>
  <si>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</si>
  <si>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</si>
  <si>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</si>
  <si>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</si>
  <si>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</si>
  <si>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</si>
  <si>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</si>
  <si>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</si>
  <si>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</si>
  <si>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</si>
  <si>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</si>
  <si>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</si>
  <si>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</si>
  <si>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</si>
  <si>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</si>
  <si>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</si>
  <si>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</si>
  <si>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</si>
  <si>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</si>
  <si>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</si>
  <si>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</si>
  <si>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</si>
  <si>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</si>
  <si>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</si>
  <si>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</si>
  <si>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</si>
  <si>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</si>
  <si>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</si>
  <si>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</si>
  <si>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</si>
  <si>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</si>
  <si>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</si>
  <si>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</si>
  <si>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</si>
  <si>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</si>
  <si>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</si>
  <si>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</si>
  <si>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</si>
  <si>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</si>
  <si>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</si>
  <si>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</si>
  <si>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</si>
  <si>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</si>
  <si>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</si>
  <si>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</si>
  <si>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</si>
  <si>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</si>
  <si>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</si>
  <si>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</si>
  <si>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</si>
  <si>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</si>
  <si>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</si>
  <si>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</si>
  <si>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</si>
  <si>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</si>
  <si>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</si>
  <si>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</si>
  <si>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</si>
  <si>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</si>
  <si>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</si>
  <si>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</si>
  <si>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</si>
  <si>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</si>
  <si>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</si>
  <si>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</si>
  <si>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</si>
  <si>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</si>
  <si>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</si>
  <si>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</si>
  <si>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</si>
  <si>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</si>
  <si>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</si>
  <si>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</si>
  <si>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</si>
  <si>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</si>
  <si>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</si>
  <si>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</si>
  <si>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</si>
  <si>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</si>
  <si>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</si>
  <si>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</si>
  <si>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</si>
  <si>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</si>
  <si>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</si>
  <si>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</si>
  <si>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</si>
  <si>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</si>
  <si>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</si>
  <si>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</si>
  <si>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</si>
  <si>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</si>
  <si>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</si>
  <si>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</si>
  <si>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</si>
  <si>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</si>
  <si>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</si>
  <si>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</si>
  <si>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</si>
  <si>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</si>
  <si>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</si>
  <si>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</si>
  <si>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</si>
  <si>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</si>
  <si>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</si>
  <si>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</si>
  <si>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</si>
  <si>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</si>
  <si>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</si>
  <si>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</si>
  <si>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</si>
  <si>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</si>
  <si>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</si>
  <si>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</si>
  <si>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</si>
  <si>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</si>
  <si>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</si>
  <si>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</si>
  <si>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</si>
  <si>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</si>
  <si>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</si>
  <si>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</si>
  <si>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</si>
  <si>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</si>
  <si>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</si>
  <si>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</si>
  <si>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</si>
  <si>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</si>
  <si>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</si>
  <si>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</si>
  <si>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</si>
  <si>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</si>
  <si>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</si>
  <si>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</si>
  <si>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</si>
  <si>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</si>
  <si>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</si>
  <si>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</si>
  <si>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</si>
  <si>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</si>
  <si>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</si>
  <si>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</si>
  <si>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</si>
  <si>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</si>
  <si>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</si>
  <si>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</si>
  <si>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</si>
  <si>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</si>
  <si>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</si>
  <si>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</si>
  <si>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</si>
  <si>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</si>
  <si>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</si>
  <si>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</si>
  <si>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</si>
  <si>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</si>
  <si>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</si>
  <si>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</si>
  <si>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</si>
  <si>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</si>
  <si>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</si>
  <si>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</si>
  <si>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</si>
  <si>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</si>
  <si>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</si>
  <si>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</si>
  <si>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</si>
  <si>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</si>
  <si>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</si>
  <si>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</si>
  <si>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</si>
  <si>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</si>
  <si>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</si>
  <si>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</si>
  <si>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</si>
  <si>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</si>
  <si>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</si>
  <si>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</si>
  <si>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</si>
  <si>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</si>
  <si>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</si>
  <si>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</si>
  <si>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</si>
  <si>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</si>
  <si>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</si>
  <si>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</si>
  <si>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</si>
  <si>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</si>
  <si>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</si>
  <si>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</si>
  <si>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</si>
  <si>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</si>
  <si>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</si>
  <si>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</si>
  <si>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</si>
  <si>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</si>
  <si>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</si>
  <si>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</si>
  <si>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</si>
  <si>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</si>
  <si>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</si>
  <si>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</si>
  <si>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</si>
  <si>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</si>
  <si>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</si>
  <si>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</si>
  <si>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</si>
  <si>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</si>
  <si>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</si>
  <si>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</si>
  <si>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</si>
  <si>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</si>
  <si>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</si>
  <si>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</si>
  <si>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</si>
  <si>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</si>
  <si>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</si>
  <si>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</si>
  <si>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</si>
  <si>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</si>
  <si>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</si>
  <si>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</si>
  <si>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</si>
  <si>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</si>
  <si>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</si>
  <si>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</si>
  <si>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</si>
  <si>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</si>
  <si>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</si>
  <si>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</si>
  <si>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</si>
  <si>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</si>
  <si>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</si>
  <si>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</si>
  <si>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</si>
  <si>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</si>
  <si>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</si>
  <si>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</si>
  <si>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</si>
  <si>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</si>
  <si>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</si>
  <si>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</si>
  <si>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</si>
  <si>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</si>
  <si>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</si>
  <si>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</si>
  <si>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</si>
  <si>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</si>
  <si>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</si>
  <si>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</si>
  <si>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</si>
  <si>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</si>
  <si>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</si>
  <si>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</si>
  <si>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</si>
  <si>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</si>
  <si>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</si>
  <si>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</si>
  <si>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</si>
  <si>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</si>
  <si>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</si>
  <si>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</si>
  <si>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</si>
  <si>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</si>
  <si>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</si>
  <si>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</si>
  <si>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</si>
  <si>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</si>
  <si>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</si>
  <si>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</si>
  <si>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</si>
  <si>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</si>
  <si>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</si>
  <si>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</si>
  <si>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</si>
  <si>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</si>
  <si>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</si>
  <si>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</si>
  <si>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</si>
  <si>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</si>
  <si>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</si>
  <si>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</si>
  <si>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</si>
  <si>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</si>
  <si>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</si>
  <si>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</si>
  <si>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</si>
  <si>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</si>
  <si>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</si>
  <si>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</si>
  <si>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</si>
  <si>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</si>
  <si>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</si>
  <si>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</si>
  <si>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</si>
  <si>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</si>
  <si>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</si>
  <si>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</si>
  <si>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</si>
  <si>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</si>
  <si>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</si>
  <si>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</si>
  <si>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</si>
  <si>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</si>
  <si>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</si>
  <si>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</si>
  <si>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</si>
  <si>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</si>
  <si>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</si>
  <si>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</si>
  <si>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</si>
  <si>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</si>
  <si>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</si>
  <si>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</si>
  <si>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</si>
  <si>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</si>
  <si>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</si>
  <si>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</si>
  <si>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</si>
  <si>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</si>
  <si>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</si>
  <si>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</si>
  <si>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</si>
  <si>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</si>
  <si>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</si>
  <si>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</si>
  <si>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</si>
  <si>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</si>
  <si>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</si>
  <si>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</si>
  <si>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</si>
  <si>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</si>
  <si>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</si>
  <si>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</si>
  <si>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</si>
  <si>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</si>
  <si>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</si>
  <si>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</si>
  <si>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</si>
  <si>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</si>
  <si>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</si>
  <si>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</si>
  <si>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</si>
  <si>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</si>
  <si>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</si>
  <si>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</si>
  <si>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</si>
  <si>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</si>
  <si>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</si>
  <si>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</si>
  <si>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</si>
  <si>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</si>
  <si>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</si>
  <si>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</si>
  <si>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</si>
  <si>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</si>
  <si>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</si>
  <si>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</si>
  <si>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</si>
  <si>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</si>
  <si>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</si>
  <si>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</si>
  <si>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</si>
  <si>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</si>
  <si>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</si>
  <si>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</si>
  <si>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</si>
  <si>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</si>
  <si>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</si>
  <si>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</si>
  <si>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</si>
  <si>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</si>
  <si>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</si>
  <si>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</si>
  <si>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</si>
  <si>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</si>
  <si>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</si>
  <si>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</si>
  <si>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</si>
  <si>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</si>
  <si>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</si>
  <si>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</si>
  <si>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</si>
  <si>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</si>
  <si>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</si>
  <si>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</si>
  <si>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</si>
  <si>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</si>
  <si>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</si>
  <si>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</si>
  <si>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</si>
  <si>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</si>
  <si>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</si>
  <si>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</si>
  <si>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</si>
  <si>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</si>
  <si>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</si>
  <si>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</si>
  <si>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</si>
  <si>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</si>
  <si>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</si>
  <si>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</si>
  <si>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</si>
  <si>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</si>
  <si>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</si>
  <si>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</si>
  <si>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</si>
  <si>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</si>
  <si>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</si>
  <si>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</si>
  <si>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</si>
  <si>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</si>
  <si>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</si>
  <si>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</si>
  <si>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</si>
  <si>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</si>
  <si>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</si>
  <si>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</si>
  <si>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</si>
  <si>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</si>
  <si>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</si>
  <si>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</si>
  <si>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</si>
  <si>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</si>
  <si>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</si>
  <si>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</si>
  <si>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</si>
  <si>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</si>
  <si>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</si>
  <si>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</si>
  <si>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</si>
  <si>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</si>
  <si>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</si>
  <si>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</si>
  <si>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</si>
  <si>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</si>
  <si>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</si>
  <si>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</si>
  <si>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</si>
  <si>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</si>
  <si>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</si>
  <si>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</si>
  <si>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</si>
  <si>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</si>
  <si>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</si>
  <si>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</si>
  <si>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</si>
  <si>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</si>
  <si>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</si>
  <si>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</si>
  <si>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</si>
  <si>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</si>
  <si>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</si>
  <si>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</si>
  <si>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</si>
  <si>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</si>
  <si>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</si>
  <si>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</si>
  <si>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</si>
  <si>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</si>
  <si>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</si>
  <si>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</si>
  <si>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</si>
  <si>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</si>
  <si>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</si>
  <si>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</si>
  <si>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</si>
  <si>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</si>
  <si>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</si>
  <si>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</si>
  <si>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</si>
  <si>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</si>
  <si>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</si>
  <si>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</si>
  <si>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</si>
  <si>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</si>
  <si>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</si>
  <si>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</si>
  <si>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</si>
  <si>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</si>
  <si>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</si>
  <si>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</si>
  <si>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</si>
  <si>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</si>
  <si>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</si>
  <si>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</si>
  <si>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</si>
  <si>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</si>
  <si>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</si>
  <si>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</si>
  <si>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</si>
  <si>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</si>
  <si>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</si>
  <si>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</si>
  <si>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</si>
  <si>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</si>
  <si>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</si>
  <si>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</si>
  <si>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</si>
  <si>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</si>
  <si>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</si>
  <si>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</si>
  <si>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</si>
  <si>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</si>
  <si>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</si>
  <si>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</si>
  <si>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</si>
  <si>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</si>
  <si>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</si>
  <si>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</si>
  <si>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</si>
  <si>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</si>
  <si>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</si>
  <si>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</si>
  <si>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</si>
  <si>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</si>
  <si>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</si>
  <si>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</si>
  <si>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</si>
  <si>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</si>
  <si>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</si>
  <si>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</si>
  <si>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</si>
  <si>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</si>
  <si>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</si>
  <si>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</si>
  <si>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</si>
  <si>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</si>
  <si>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</si>
  <si>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</si>
  <si>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</si>
  <si>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</si>
  <si>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</si>
  <si>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</si>
  <si>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</si>
  <si>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</si>
  <si>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</si>
  <si>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</si>
  <si>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</si>
  <si>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</si>
  <si>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</si>
  <si>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</si>
  <si>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</si>
  <si>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</si>
  <si>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</si>
  <si>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</si>
  <si>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</si>
  <si>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</si>
  <si>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</si>
  <si>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</si>
  <si>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</si>
  <si>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</si>
  <si>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</si>
  <si>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</si>
  <si>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</si>
  <si>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</si>
  <si>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</si>
  <si>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</si>
  <si>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</si>
  <si>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</si>
  <si>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</si>
  <si>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</si>
  <si>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</si>
  <si>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</si>
  <si>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</si>
  <si>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</si>
  <si>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</si>
  <si>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</si>
  <si>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</si>
  <si>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</si>
  <si>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</si>
  <si>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</si>
  <si>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</si>
  <si>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</si>
  <si>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</si>
  <si>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</si>
  <si>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</si>
  <si>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</si>
  <si>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</si>
  <si>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</si>
  <si>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</si>
  <si>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</si>
  <si>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</si>
  <si>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</si>
  <si>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</si>
  <si>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</si>
  <si>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</si>
  <si>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</si>
  <si>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</si>
  <si>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</si>
  <si>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</si>
  <si>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</si>
  <si>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</si>
  <si>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</si>
  <si>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</si>
  <si>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</si>
  <si>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</si>
  <si>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</si>
  <si>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</si>
  <si>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</si>
  <si>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</si>
  <si>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</si>
  <si>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</si>
  <si>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</si>
  <si>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</si>
  <si>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</si>
  <si>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</si>
  <si>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</si>
  <si>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</si>
  <si>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</si>
  <si>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</si>
  <si>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</si>
  <si>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</si>
  <si>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</si>
  <si>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</si>
  <si>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</si>
  <si>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</si>
  <si>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</si>
  <si>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</si>
  <si>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</si>
  <si>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</si>
  <si>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</si>
  <si>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</si>
  <si>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</si>
  <si>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</si>
  <si>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</si>
  <si>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</si>
  <si>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</si>
  <si>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</si>
  <si>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</si>
  <si>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</si>
  <si>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</si>
  <si>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</si>
  <si>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</si>
  <si>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</si>
  <si>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</si>
  <si>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</si>
  <si>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</si>
  <si>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</si>
  <si>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</si>
  <si>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</si>
  <si>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</si>
  <si>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</si>
  <si>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</si>
  <si>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</si>
  <si>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</si>
  <si>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</si>
  <si>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</si>
  <si>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</si>
  <si>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</si>
  <si>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</si>
  <si>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</si>
  <si>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</si>
  <si>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</si>
  <si>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</si>
  <si>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</si>
  <si>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</si>
  <si>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</si>
  <si>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</si>
  <si>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</si>
  <si>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</si>
  <si>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</si>
  <si>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</si>
  <si>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</si>
  <si>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</si>
  <si>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</si>
  <si>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</si>
  <si>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</si>
  <si>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</si>
  <si>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</si>
  <si>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</si>
  <si>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</si>
  <si>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</si>
  <si>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</si>
  <si>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</si>
  <si>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</si>
  <si>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</si>
  <si>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</si>
  <si>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</si>
  <si>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</si>
  <si>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</si>
  <si>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</si>
  <si>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</si>
  <si>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</si>
  <si>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</si>
  <si>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</si>
  <si>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</si>
  <si>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</si>
  <si>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</si>
  <si>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</si>
  <si>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</si>
  <si>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</si>
  <si>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</si>
  <si>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</si>
  <si>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</si>
  <si>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</si>
  <si>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</si>
  <si>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</si>
  <si>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</si>
  <si>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</si>
  <si>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</si>
  <si>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</si>
  <si>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</si>
  <si>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</si>
  <si>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</si>
  <si>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</si>
  <si>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</si>
  <si>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</si>
  <si>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</si>
  <si>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</si>
  <si>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</si>
  <si>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</si>
  <si>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</si>
  <si>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</si>
  <si>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</si>
  <si>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</si>
  <si>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</si>
  <si>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</si>
  <si>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</si>
  <si>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</si>
  <si>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</si>
  <si>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</si>
  <si>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</si>
  <si>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</si>
  <si>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</si>
  <si>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</si>
  <si>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</si>
  <si>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</si>
  <si>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</si>
  <si>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</si>
  <si>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</si>
  <si>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</si>
  <si>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</si>
  <si>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</si>
  <si>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</si>
  <si>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</si>
  <si>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</si>
  <si>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</si>
  <si>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</si>
  <si>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</si>
  <si>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</si>
  <si>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</si>
  <si>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</si>
  <si>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</si>
  <si>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</si>
  <si>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</si>
  <si>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</si>
  <si>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</si>
  <si>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</si>
  <si>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</si>
  <si>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</si>
  <si>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</si>
  <si>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</si>
  <si>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</si>
  <si>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</si>
  <si>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</si>
  <si>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</si>
  <si>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</si>
  <si>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</si>
  <si>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</si>
  <si>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</si>
  <si>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</si>
  <si>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</si>
  <si>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</si>
  <si>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</si>
  <si>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</si>
  <si>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</si>
  <si>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</si>
  <si>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</si>
  <si>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</si>
  <si>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</si>
  <si>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</si>
  <si>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</si>
  <si>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</si>
  <si>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</si>
  <si>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</si>
  <si>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</si>
  <si>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</si>
  <si>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</si>
  <si>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</si>
  <si>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</si>
  <si>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</si>
  <si>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</si>
  <si>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</si>
  <si>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</si>
  <si>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</si>
  <si>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</si>
  <si>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</si>
  <si>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</si>
  <si>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</si>
  <si>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</si>
  <si>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</si>
  <si>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</si>
  <si>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</si>
  <si>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</si>
  <si>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</si>
  <si>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</si>
  <si>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</si>
  <si>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</si>
  <si>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</si>
  <si>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</si>
  <si>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</si>
  <si>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</si>
  <si>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</si>
  <si>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</si>
  <si>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</si>
  <si>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</si>
  <si>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</si>
  <si>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</si>
  <si>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</si>
  <si>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</si>
  <si>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</si>
  <si>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</si>
  <si>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</si>
  <si>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</si>
  <si>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</si>
  <si>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</si>
  <si>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</si>
  <si>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</si>
  <si>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</si>
  <si>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</si>
  <si>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</si>
  <si>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</si>
  <si>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</si>
  <si>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</si>
  <si>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</si>
  <si>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</si>
  <si>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</si>
  <si>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</si>
  <si>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</si>
  <si>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</si>
  <si>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</si>
  <si>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</si>
  <si>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</si>
  <si>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</si>
  <si>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</si>
  <si>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</si>
  <si>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</si>
  <si>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</si>
  <si>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</si>
  <si>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</si>
  <si>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</si>
  <si>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</si>
  <si>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</si>
  <si>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</si>
  <si>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</si>
  <si>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</si>
  <si>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</si>
  <si>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</si>
  <si>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</si>
  <si>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</si>
  <si>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</si>
  <si>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</si>
  <si>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</si>
  <si>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</si>
  <si>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</si>
  <si>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</si>
  <si>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</si>
  <si>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</si>
  <si>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</si>
  <si>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</si>
  <si>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</si>
  <si>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</si>
  <si>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</si>
  <si>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</si>
  <si>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</si>
  <si>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</si>
  <si>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</si>
  <si>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</si>
  <si>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</si>
  <si>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</si>
  <si>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</si>
  <si>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</si>
  <si>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</si>
  <si>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</si>
  <si>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</si>
  <si>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</si>
  <si>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</si>
  <si>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</si>
  <si>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</si>
  <si>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</si>
  <si>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</si>
  <si>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</si>
  <si>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</si>
  <si>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</si>
  <si>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</si>
  <si>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</si>
  <si>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</si>
  <si>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</si>
  <si>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</si>
  <si>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</si>
  <si>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</si>
  <si>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</si>
  <si>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</si>
  <si>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</si>
  <si>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</si>
  <si>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</si>
  <si>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</si>
  <si>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</si>
  <si>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</si>
  <si>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</si>
  <si>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</si>
  <si>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</si>
  <si>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</si>
  <si>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</si>
  <si>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</si>
  <si>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</si>
  <si>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</si>
  <si>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</si>
  <si>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</si>
  <si>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</si>
  <si>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</si>
  <si>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</si>
  <si>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</si>
  <si>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</si>
  <si>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</si>
  <si>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</si>
  <si>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</si>
  <si>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</si>
  <si>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</si>
  <si>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</si>
  <si>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</si>
  <si>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</si>
  <si>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</si>
  <si>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</si>
  <si>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</si>
  <si>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</si>
  <si>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</si>
  <si>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</si>
  <si>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</si>
  <si>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</si>
  <si>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</si>
  <si>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</si>
  <si>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</si>
  <si>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</si>
  <si>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</si>
  <si>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</si>
  <si>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</si>
  <si>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</si>
  <si>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</si>
  <si>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</si>
  <si>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</si>
  <si>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</si>
  <si>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</si>
  <si>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</si>
  <si>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</si>
  <si>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</si>
  <si>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</si>
  <si>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</si>
  <si>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</si>
  <si>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</si>
  <si>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</si>
  <si>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</si>
  <si>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</si>
  <si>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</si>
  <si>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</si>
  <si>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</si>
  <si>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</si>
  <si>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</si>
  <si>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</si>
  <si>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</si>
  <si>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</si>
  <si>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</si>
  <si>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</si>
  <si>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</si>
  <si>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</si>
  <si>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</si>
  <si>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</si>
  <si>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</si>
  <si>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</si>
  <si>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</si>
  <si>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</si>
  <si>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</si>
  <si>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</si>
  <si>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</si>
  <si>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</si>
  <si>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</si>
  <si>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</si>
  <si>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</si>
  <si>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</si>
  <si>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</si>
  <si>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</si>
  <si>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</si>
  <si>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</si>
  <si>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</si>
  <si>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</si>
  <si>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</si>
  <si>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</si>
  <si>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</si>
  <si>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</si>
  <si>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</si>
  <si>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</si>
  <si>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</si>
  <si>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</si>
  <si>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</si>
  <si>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</si>
  <si>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</si>
  <si>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</si>
  <si>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</si>
  <si>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</si>
  <si>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</si>
  <si>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</si>
  <si>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</si>
  <si>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</si>
  <si>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</si>
  <si>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</si>
  <si>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</si>
  <si>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</si>
  <si>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</si>
  <si>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</si>
  <si>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</si>
  <si>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</si>
  <si>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</si>
  <si>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</si>
  <si>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</si>
  <si>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</si>
  <si>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</si>
  <si>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</si>
  <si>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</si>
  <si>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</si>
  <si>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</si>
  <si>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</si>
  <si>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</si>
  <si>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</si>
  <si>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</si>
  <si>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</si>
  <si>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</si>
  <si>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</si>
  <si>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</si>
  <si>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</si>
  <si>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</si>
  <si>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</si>
  <si>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</si>
  <si>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</si>
  <si>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</si>
  <si>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</si>
  <si>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</si>
  <si>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</si>
  <si>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</si>
  <si>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</si>
  <si>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</si>
  <si>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</si>
  <si>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</si>
  <si>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</si>
  <si>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</si>
  <si>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</si>
  <si>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</si>
  <si>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</si>
  <si>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</si>
  <si>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</si>
  <si>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</si>
  <si>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</si>
  <si>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</si>
  <si>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</si>
  <si>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</si>
  <si>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</si>
  <si>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</si>
  <si>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</si>
  <si>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</si>
  <si>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</si>
  <si>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</si>
  <si>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</si>
  <si>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</si>
  <si>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</si>
  <si>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</si>
  <si>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</si>
  <si>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</si>
  <si>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</si>
  <si>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</si>
  <si>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</si>
  <si>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</si>
  <si>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</si>
  <si>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</si>
  <si>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</si>
  <si>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</si>
  <si>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</si>
  <si>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</si>
  <si>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</si>
  <si>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</si>
  <si>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</si>
  <si>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</si>
  <si>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</si>
  <si>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</si>
  <si>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</si>
  <si>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</si>
  <si>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</si>
  <si>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</si>
  <si>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</si>
  <si>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</si>
  <si>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</si>
  <si>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</si>
  <si>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</si>
  <si>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</si>
  <si>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</si>
  <si>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</si>
  <si>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</si>
  <si>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</si>
  <si>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</si>
  <si>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</si>
  <si>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</si>
  <si>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</si>
  <si>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</si>
  <si>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</si>
  <si>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</si>
  <si>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</si>
  <si>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</si>
  <si>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</si>
  <si>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</si>
  <si>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</si>
  <si>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</si>
  <si>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</si>
  <si>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</si>
  <si>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</si>
  <si>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</si>
  <si>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</si>
  <si>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</si>
  <si>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</si>
  <si>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</si>
  <si>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</si>
  <si>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</si>
  <si>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</si>
  <si>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</si>
  <si>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</si>
  <si>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</si>
  <si>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</si>
  <si>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</si>
  <si>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</si>
  <si>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</si>
  <si>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</si>
  <si>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</si>
  <si>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</si>
  <si>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</si>
  <si>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</si>
  <si>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</si>
  <si>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</si>
  <si>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</si>
  <si>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</si>
  <si>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</si>
  <si>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</si>
  <si>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</si>
  <si>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</si>
  <si>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</si>
  <si>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</si>
  <si>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</si>
  <si>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</si>
  <si>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</si>
  <si>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</si>
  <si>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</si>
  <si>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</si>
  <si>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</si>
  <si>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</si>
  <si>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</si>
  <si>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</si>
  <si>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</si>
  <si>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</si>
  <si>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</si>
  <si>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</si>
  <si>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</si>
  <si>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</si>
  <si>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</si>
  <si>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</si>
  <si>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</si>
  <si>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</si>
  <si>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</si>
  <si>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</si>
  <si>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</si>
  <si>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</si>
  <si>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</si>
  <si>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</si>
  <si>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</si>
  <si>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</si>
  <si>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</si>
  <si>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</si>
  <si>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</si>
  <si>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</si>
  <si>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</si>
  <si>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</si>
  <si>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</si>
  <si>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</si>
  <si>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</si>
  <si>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</si>
  <si>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</si>
  <si>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</si>
  <si>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</si>
  <si>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</si>
  <si>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</si>
  <si>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</si>
  <si>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</si>
  <si>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</si>
  <si>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</si>
  <si>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</si>
  <si>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</si>
  <si>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</si>
  <si>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</si>
  <si>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</si>
  <si>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</si>
  <si>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</si>
  <si>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</si>
  <si>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</si>
  <si>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</si>
  <si>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</si>
  <si>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</si>
  <si>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</si>
  <si>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</si>
  <si>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</si>
  <si>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</si>
  <si>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</si>
  <si>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</si>
  <si>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</si>
  <si>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</si>
  <si>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</si>
  <si>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</si>
  <si>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</si>
  <si>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</si>
  <si>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</si>
  <si>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</si>
  <si>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</si>
  <si>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</si>
  <si>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</si>
  <si>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</si>
  <si>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</si>
  <si>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</si>
  <si>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</si>
  <si>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</si>
  <si>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</si>
  <si>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</si>
  <si>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</si>
  <si>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</si>
  <si>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</si>
  <si>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</si>
  <si>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</si>
  <si>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</si>
  <si>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</si>
  <si>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</si>
  <si>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</si>
  <si>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</si>
  <si>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</si>
  <si>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</si>
  <si>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</si>
  <si>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</si>
  <si>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</si>
  <si>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</si>
  <si>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</si>
  <si>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</si>
  <si>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</si>
  <si>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</si>
  <si>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</si>
  <si>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</si>
  <si>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</si>
  <si>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</si>
  <si>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</si>
  <si>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</si>
  <si>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</si>
  <si>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</si>
  <si>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</si>
  <si>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</si>
  <si>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</si>
  <si>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</si>
  <si>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</si>
  <si>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</si>
  <si>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</si>
  <si>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</si>
  <si>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</si>
  <si>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</si>
  <si>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</si>
  <si>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</si>
  <si>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</si>
  <si>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</si>
  <si>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</si>
  <si>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</si>
  <si>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</si>
  <si>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</si>
  <si>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</si>
  <si>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</si>
  <si>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</si>
  <si>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</si>
  <si>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</si>
  <si>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</si>
  <si>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</si>
  <si>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</si>
  <si>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</si>
  <si>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</si>
  <si>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</si>
  <si>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</si>
  <si>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</si>
  <si>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</si>
  <si>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</si>
  <si>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</si>
  <si>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</si>
  <si>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</si>
  <si>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</si>
  <si>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</si>
  <si>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</si>
  <si>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</si>
  <si>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</si>
  <si>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</si>
  <si>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</si>
  <si>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</si>
  <si>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</si>
  <si>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</si>
  <si>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</si>
  <si>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</si>
  <si>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</si>
  <si>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</si>
  <si>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</si>
  <si>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</si>
  <si>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</si>
  <si>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</si>
  <si>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</si>
  <si>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</si>
  <si>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</si>
  <si>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</si>
  <si>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</si>
  <si>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</si>
  <si>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</si>
  <si>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</si>
  <si>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</si>
  <si>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</si>
  <si>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</si>
  <si>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</si>
  <si>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</si>
  <si>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</si>
  <si>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</si>
  <si>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</si>
  <si>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</si>
  <si>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</si>
  <si>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</si>
  <si>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</si>
  <si>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</si>
  <si>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</si>
  <si>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</si>
  <si>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</si>
  <si>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</si>
  <si>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</si>
  <si>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</si>
  <si>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</si>
  <si>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</si>
  <si>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</si>
  <si>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</si>
  <si>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</si>
  <si>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</si>
  <si>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</si>
  <si>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</si>
  <si>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</si>
  <si>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</si>
  <si>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</si>
  <si>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</si>
  <si>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</si>
  <si>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</si>
  <si>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</si>
  <si>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</si>
  <si>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</si>
  <si>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</si>
  <si>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</si>
  <si>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</si>
  <si>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</si>
  <si>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</si>
  <si>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</si>
  <si>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</si>
  <si>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</si>
  <si>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</si>
  <si>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</si>
  <si>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</si>
  <si>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</si>
  <si>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</si>
  <si>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</si>
  <si>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</si>
  <si>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</si>
  <si>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</si>
  <si>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</si>
  <si>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</si>
  <si>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</si>
  <si>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</si>
  <si>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</si>
  <si>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</si>
  <si>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</si>
  <si>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</si>
  <si>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</si>
  <si>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</si>
  <si>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</si>
  <si>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</si>
  <si>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</si>
  <si>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</si>
  <si>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</si>
  <si>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</si>
  <si>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</si>
  <si>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</si>
  <si>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</si>
  <si>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</si>
  <si>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</si>
  <si>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</si>
  <si>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</si>
  <si>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</si>
  <si>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</si>
  <si>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</si>
  <si>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</si>
  <si>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</si>
  <si>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</si>
  <si>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</si>
  <si>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</si>
  <si>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</si>
  <si>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</si>
  <si>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</si>
  <si>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</si>
  <si>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</si>
  <si>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</si>
  <si>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</si>
  <si>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</si>
  <si>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</si>
  <si>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</si>
  <si>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</si>
  <si>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</si>
  <si>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</si>
  <si>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</si>
  <si>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</si>
  <si>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</si>
  <si>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</si>
  <si>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</si>
  <si>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</si>
  <si>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</si>
  <si>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</si>
  <si>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</si>
  <si>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</si>
  <si>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</si>
  <si>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</si>
  <si>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</si>
  <si>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</si>
  <si>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</si>
  <si>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</si>
  <si>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</si>
  <si>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DC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</si>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</sst>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1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5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9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6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0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0" fillId="3" borderId="6" xfId="0" applyFont="1" applyFill="1" applyBorder="1" applyAlignment="1">
      <alignment horizontal="center" wrapText="1"/>
    </xf>
    <xf numFmtId="0" fontId="0" fillId="0" borderId="0" xfId="0" applyNumberFormat="1"/>
    <xf numFmtId="0" fontId="0" fillId="0" borderId="0" xfId="0" pivotButton="1" applyAlignment="1"/>
    <xf numFmtId="0" fontId="24" fillId="13" borderId="0" xfId="0" applyFont="1" applyFill="1" applyAlignment="1"/>
    <xf numFmtId="0" fontId="22" fillId="11" borderId="0" xfId="0" applyFont="1" applyFill="1" applyAlignment="1"/>
    <xf numFmtId="0" fontId="23" fillId="10" borderId="0" xfId="0" applyFont="1" applyFill="1" applyAlignment="1"/>
    <xf numFmtId="0" fontId="0" fillId="0" borderId="0" xfId="0" applyFill="1"/>
    <xf numFmtId="0" fontId="9" fillId="0" borderId="0" xfId="0" applyFont="1" applyFill="1" applyAlignment="1">
      <alignment horizontal="right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</cellXfs>
  <cellStyles count="2">
    <cellStyle name="Normal" xfId="0" builtinId="0"/>
    <cellStyle name="Percent" xfId="1" builtinId="5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41094560182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72">
        <n v="32522917"/>
        <n v="94988977"/>
        <n v="427068135"/>
        <n v="-156211742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470797" u="1"/>
        <n v="365253862" u="1"/>
        <n v="-203194944" u="1"/>
        <n v="-150401807" u="1"/>
        <n v="440718739" u="1"/>
        <n v="-4866098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-533201877" u="1"/>
        <n v="-246462777" u="1"/>
        <n v="192705586" u="1"/>
        <n v="-367133330" u="1"/>
        <n v="-427630886" u="1"/>
        <n v="-457617973" u="1"/>
        <n v="270387093" u="1"/>
        <n v="-160627480" u="1"/>
        <n v="195570049" u="1"/>
        <n v="526822794" u="1"/>
        <n v="261165363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ivolts DC" u="1"/>
        <s v="Diode" u="1"/>
        <s v="Millivolts DC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73">
        <item m="1" x="40"/>
        <item m="1" x="34"/>
        <item m="1" x="48"/>
        <item m="1" x="35"/>
        <item m="1" x="65"/>
        <item m="1" x="36"/>
        <item m="1" x="64"/>
        <item m="1" x="63"/>
        <item m="1" x="59"/>
        <item m="1" x="44"/>
        <item m="1" x="57"/>
        <item m="1" x="67"/>
        <item m="1" x="45"/>
        <item m="1" x="47"/>
        <item m="1" x="42"/>
        <item m="1" x="38"/>
        <item m="1" x="52"/>
        <item m="1" x="50"/>
        <item m="1" x="62"/>
        <item m="1" x="68"/>
        <item m="1" x="55"/>
        <item m="1" x="66"/>
        <item m="1" x="71"/>
        <item m="1" x="41"/>
        <item m="1" x="37"/>
        <item m="1" x="43"/>
        <item m="1" x="49"/>
        <item m="1" x="46"/>
        <item m="1" x="51"/>
        <item m="1" x="53"/>
        <item m="1" x="58"/>
        <item m="1" x="39"/>
        <item m="1" x="69"/>
        <item m="1" x="54"/>
        <item x="1"/>
        <item x="2"/>
        <item m="1" x="70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m="1" x="61"/>
        <item m="1" x="56"/>
        <item x="19"/>
        <item x="20"/>
        <item x="21"/>
        <item m="1" x="60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x="3"/>
        <item x="17"/>
        <item x="18"/>
        <item x="22"/>
        <item t="default"/>
      </items>
    </pivotField>
    <pivotField axis="axisRow" showAll="0">
      <items count="14">
        <item x="7"/>
        <item x="6"/>
        <item x="8"/>
        <item x="5"/>
        <item m="1" x="11"/>
        <item m="1" x="12"/>
        <item x="4"/>
        <item x="1"/>
        <item x="3"/>
        <item m="1" x="9"/>
        <item m="1" x="10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34"/>
    </i>
    <i r="1">
      <x v="35"/>
    </i>
    <i r="1">
      <x v="37"/>
    </i>
    <i r="1">
      <x v="38"/>
    </i>
    <i r="1">
      <x v="39"/>
    </i>
    <i r="1">
      <x v="40"/>
    </i>
    <i r="1">
      <x v="41"/>
    </i>
    <i r="1">
      <x v="68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66"/>
    </i>
  </rowItems>
  <colItems count="1">
    <i/>
  </colItems>
  <formats count="385">
    <format dxfId="401">
      <pivotArea dataOnly="0" labelOnly="1" fieldPosition="0">
        <references count="1">
          <reference field="1" count="1">
            <x v="0"/>
          </reference>
        </references>
      </pivotArea>
    </format>
    <format dxfId="40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9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9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9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95">
      <pivotArea dataOnly="0" labelOnly="1" fieldPosition="0">
        <references count="1">
          <reference field="1" count="1">
            <x v="1"/>
          </reference>
        </references>
      </pivotArea>
    </format>
    <format dxfId="39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9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9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9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9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89">
      <pivotArea dataOnly="0" labelOnly="1" fieldPosition="0">
        <references count="1">
          <reference field="1" count="1">
            <x v="3"/>
          </reference>
        </references>
      </pivotArea>
    </format>
    <format dxfId="38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87">
      <pivotArea dataOnly="0" labelOnly="1" fieldPosition="0">
        <references count="1">
          <reference field="1" count="1">
            <x v="4"/>
          </reference>
        </references>
      </pivotArea>
    </format>
    <format dxfId="38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5">
      <pivotArea dataOnly="0" labelOnly="1" fieldPosition="0">
        <references count="1">
          <reference field="1" count="1">
            <x v="6"/>
          </reference>
        </references>
      </pivotArea>
    </format>
    <format dxfId="38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8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2">
      <pivotArea dataOnly="0" labelOnly="1" fieldPosition="0">
        <references count="1">
          <reference field="1" count="1">
            <x v="2"/>
          </reference>
        </references>
      </pivotArea>
    </format>
    <format dxfId="38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8">
      <pivotArea dataOnly="0" labelOnly="1" fieldPosition="0">
        <references count="1">
          <reference field="1" count="1">
            <x v="7"/>
          </reference>
        </references>
      </pivotArea>
    </format>
    <format dxfId="37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7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7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7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69">
      <pivotArea dataOnly="0" labelOnly="1" fieldPosition="0">
        <references count="1">
          <reference field="1" count="1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6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64">
      <pivotArea dataOnly="0" labelOnly="1" fieldPosition="0">
        <references count="1">
          <reference field="1" count="1">
            <x v="9"/>
          </reference>
        </references>
      </pivotArea>
    </format>
    <format dxfId="36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6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61">
      <pivotArea dataOnly="0" labelOnly="1" fieldPosition="0">
        <references count="1">
          <reference field="1" count="1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56">
      <pivotArea dataOnly="0" labelOnly="1" fieldPosition="0">
        <references count="1">
          <reference field="1" count="1">
            <x v="10"/>
          </reference>
        </references>
      </pivotArea>
    </format>
    <format dxfId="35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2">
      <pivotArea dataOnly="0" labelOnly="1" fieldPosition="0">
        <references count="1">
          <reference field="1" count="1">
            <x v="10"/>
          </reference>
        </references>
      </pivotArea>
    </format>
    <format dxfId="35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8">
      <pivotArea dataOnly="0" labelOnly="1" fieldPosition="0">
        <references count="1">
          <reference field="1" count="1">
            <x v="0"/>
          </reference>
        </references>
      </pivotArea>
    </format>
    <format dxfId="34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46">
      <pivotArea dataOnly="0" labelOnly="1" fieldPosition="0">
        <references count="1">
          <reference field="1" count="1">
            <x v="3"/>
          </reference>
        </references>
      </pivotArea>
    </format>
    <format dxfId="345">
      <pivotArea dataOnly="0" labelOnly="1" fieldPosition="0">
        <references count="1">
          <reference field="1" count="1">
            <x v="0"/>
          </reference>
        </references>
      </pivotArea>
    </format>
    <format dxfId="34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4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42">
      <pivotArea dataOnly="0" labelOnly="1" fieldPosition="0">
        <references count="1">
          <reference field="1" count="1">
            <x v="4"/>
          </reference>
        </references>
      </pivotArea>
    </format>
    <format dxfId="34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40">
      <pivotArea dataOnly="0" labelOnly="1" fieldPosition="0">
        <references count="1">
          <reference field="1" count="1">
            <x v="6"/>
          </reference>
        </references>
      </pivotArea>
    </format>
    <format dxfId="33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3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35">
      <pivotArea dataOnly="0" labelOnly="1" fieldPosition="0">
        <references count="1">
          <reference field="1" count="1">
            <x v="3"/>
          </reference>
        </references>
      </pivotArea>
    </format>
    <format dxfId="334">
      <pivotArea dataOnly="0" labelOnly="1" fieldPosition="0">
        <references count="1">
          <reference field="1" count="1">
            <x v="3"/>
          </reference>
        </references>
      </pivotArea>
    </format>
    <format dxfId="33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3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3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29">
      <pivotArea dataOnly="0" labelOnly="1" fieldPosition="0">
        <references count="1">
          <reference field="1" count="1">
            <x v="4"/>
          </reference>
        </references>
      </pivotArea>
    </format>
    <format dxfId="32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27">
      <pivotArea dataOnly="0" labelOnly="1" fieldPosition="0">
        <references count="1">
          <reference field="1" count="1">
            <x v="6"/>
          </reference>
        </references>
      </pivotArea>
    </format>
    <format dxfId="3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25">
      <pivotArea dataOnly="0" labelOnly="1" fieldPosition="0">
        <references count="1">
          <reference field="1" count="1">
            <x v="3"/>
          </reference>
        </references>
      </pivotArea>
    </format>
    <format dxfId="324">
      <pivotArea dataOnly="0" labelOnly="1" fieldPosition="0">
        <references count="1">
          <reference field="1" count="1">
            <x v="4"/>
          </reference>
        </references>
      </pivotArea>
    </format>
    <format dxfId="32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2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21">
      <pivotArea dataOnly="0" labelOnly="1" fieldPosition="0">
        <references count="1">
          <reference field="1" count="1">
            <x v="7"/>
          </reference>
        </references>
      </pivotArea>
    </format>
    <format dxfId="3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19">
      <pivotArea dataOnly="0" labelOnly="1" fieldPosition="0">
        <references count="1">
          <reference field="1" count="1">
            <x v="8"/>
          </reference>
        </references>
      </pivotArea>
    </format>
    <format dxfId="31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17">
      <pivotArea dataOnly="0" labelOnly="1" fieldPosition="0">
        <references count="1">
          <reference field="1" count="1">
            <x v="9"/>
          </reference>
        </references>
      </pivotArea>
    </format>
    <format dxfId="316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15">
      <pivotArea dataOnly="0" labelOnly="1" fieldPosition="0">
        <references count="1">
          <reference field="1" count="1">
            <x v="10"/>
          </reference>
        </references>
      </pivotArea>
    </format>
    <format dxfId="314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13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12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1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1">
          <reference field="1" count="1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1">
          <reference field="1" count="1">
            <x v="8"/>
          </reference>
        </references>
      </pivotArea>
    </format>
    <format dxfId="30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0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0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0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02">
      <pivotArea dataOnly="0" labelOnly="1" fieldPosition="0">
        <references count="1">
          <reference field="1" count="1">
            <x v="11"/>
          </reference>
        </references>
      </pivotArea>
    </format>
    <format dxfId="30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8">
      <pivotArea type="all" dataOnly="0" outline="0" fieldPosition="0"/>
    </format>
    <format dxfId="297">
      <pivotArea field="1" type="button" dataOnly="0" labelOnly="1" outline="0" axis="axisRow" fieldPosition="0"/>
    </format>
    <format dxfId="296">
      <pivotArea dataOnly="0" labelOnly="1" fieldPosition="0">
        <references count="1">
          <reference field="1" count="0"/>
        </references>
      </pivotArea>
    </format>
    <format dxfId="29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9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9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8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8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7">
      <pivotArea type="all" dataOnly="0" outline="0" fieldPosition="0"/>
    </format>
    <format dxfId="286">
      <pivotArea field="1" type="button" dataOnly="0" labelOnly="1" outline="0" axis="axisRow" fieldPosition="0"/>
    </format>
    <format dxfId="285">
      <pivotArea dataOnly="0" labelOnly="1" fieldPosition="0">
        <references count="1">
          <reference field="1" count="0"/>
        </references>
      </pivotArea>
    </format>
    <format dxfId="28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8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8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7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76">
      <pivotArea type="all" dataOnly="0" outline="0" fieldPosition="0"/>
    </format>
    <format dxfId="275">
      <pivotArea field="1" type="button" dataOnly="0" labelOnly="1" outline="0" axis="axisRow" fieldPosition="0"/>
    </format>
    <format dxfId="274">
      <pivotArea dataOnly="0" labelOnly="1" fieldPosition="0">
        <references count="1">
          <reference field="1" count="0"/>
        </references>
      </pivotArea>
    </format>
    <format dxfId="273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272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27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69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68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65">
      <pivotArea dataOnly="0" labelOnly="1" fieldPosition="0">
        <references count="1">
          <reference field="1" count="1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9">
      <pivotArea dataOnly="0" labelOnly="1" fieldPosition="0">
        <references count="1">
          <reference field="1" count="1">
            <x v="1"/>
          </reference>
        </references>
      </pivotArea>
    </format>
    <format dxfId="25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53">
      <pivotArea dataOnly="0" labelOnly="1" fieldPosition="0">
        <references count="1">
          <reference field="1" count="1">
            <x v="2"/>
          </reference>
        </references>
      </pivotArea>
    </format>
    <format dxfId="25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5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9">
      <pivotArea dataOnly="0" labelOnly="1" fieldPosition="0">
        <references count="1">
          <reference field="1" count="1">
            <x v="3"/>
          </reference>
        </references>
      </pivotArea>
    </format>
    <format dxfId="2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47">
      <pivotArea dataOnly="0" labelOnly="1" fieldPosition="0">
        <references count="1">
          <reference field="1" count="1">
            <x v="6"/>
          </reference>
        </references>
      </pivotArea>
    </format>
    <format dxfId="2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4">
      <pivotArea dataOnly="0" labelOnly="1" fieldPosition="0">
        <references count="1">
          <reference field="1" count="1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1">
          <reference field="1" count="1">
            <x v="8"/>
          </reference>
        </references>
      </pivotArea>
    </format>
    <format dxfId="23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3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3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3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3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1">
          <reference field="1" count="1">
            <x v="11"/>
          </reference>
        </references>
      </pivotArea>
    </format>
    <format dxfId="22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24">
      <pivotArea dataOnly="0" labelOnly="1" fieldPosition="0">
        <references count="1">
          <reference field="1" count="1">
            <x v="0"/>
          </reference>
        </references>
      </pivotArea>
    </format>
    <format dxfId="223">
      <pivotArea dataOnly="0" labelOnly="1" fieldPosition="0">
        <references count="1">
          <reference field="1" count="1">
            <x v="0"/>
          </reference>
        </references>
      </pivotArea>
    </format>
    <format dxfId="2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2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1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1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1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1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12">
      <pivotArea dataOnly="0" labelOnly="1" fieldPosition="0">
        <references count="1">
          <reference field="1" count="1">
            <x v="1"/>
          </reference>
        </references>
      </pivotArea>
    </format>
    <format dxfId="211">
      <pivotArea dataOnly="0" labelOnly="1" fieldPosition="0">
        <references count="1">
          <reference field="1" count="1">
            <x v="1"/>
          </reference>
        </references>
      </pivotArea>
    </format>
    <format dxfId="21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0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0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0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1">
          <reference field="1" count="1">
            <x v="2"/>
          </reference>
        </references>
      </pivotArea>
    </format>
    <format dxfId="199">
      <pivotArea dataOnly="0" labelOnly="1" fieldPosition="0">
        <references count="1">
          <reference field="1" count="1">
            <x v="2"/>
          </reference>
        </references>
      </pivotArea>
    </format>
    <format dxfId="1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1">
          <reference field="1" count="1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8">
      <pivotArea dataOnly="0" labelOnly="1" fieldPosition="0">
        <references count="1">
          <reference field="1" count="1">
            <x v="6"/>
          </reference>
        </references>
      </pivotArea>
    </format>
    <format dxfId="187">
      <pivotArea dataOnly="0" labelOnly="1" fieldPosition="0">
        <references count="1">
          <reference field="1" count="1">
            <x v="6"/>
          </reference>
        </references>
      </pivotArea>
    </format>
    <format dxfId="18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2">
      <pivotArea dataOnly="0" labelOnly="1" fieldPosition="0">
        <references count="1">
          <reference field="1" count="1">
            <x v="7"/>
          </reference>
        </references>
      </pivotArea>
    </format>
    <format dxfId="181">
      <pivotArea dataOnly="0" labelOnly="1" fieldPosition="0">
        <references count="1">
          <reference field="1" count="1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6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1">
          <reference field="1" count="1">
            <x v="8"/>
          </reference>
        </references>
      </pivotArea>
    </format>
    <format dxfId="163">
      <pivotArea dataOnly="0" labelOnly="1" fieldPosition="0">
        <references count="1">
          <reference field="1" count="1">
            <x v="8"/>
          </reference>
        </references>
      </pivotArea>
    </format>
    <format dxfId="16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6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6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4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4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6">
      <pivotArea dataOnly="0" labelOnly="1" fieldPosition="0">
        <references count="1">
          <reference field="1" count="1">
            <x v="11"/>
          </reference>
        </references>
      </pivotArea>
    </format>
    <format dxfId="145">
      <pivotArea dataOnly="0" labelOnly="1" fieldPosition="0">
        <references count="1">
          <reference field="1" count="1">
            <x v="11"/>
          </reference>
        </references>
      </pivotArea>
    </format>
    <format dxfId="1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2">
      <pivotArea dataOnly="0" labelOnly="1" fieldPosition="0">
        <references count="1">
          <reference field="1" count="1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1">
          <reference field="1" count="1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0">
      <pivotArea dataOnly="0" labelOnly="1" fieldPosition="0">
        <references count="1">
          <reference field="1" count="1">
            <x v="2"/>
          </reference>
        </references>
      </pivotArea>
    </format>
    <format dxfId="1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2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2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26">
      <pivotArea dataOnly="0" labelOnly="1" fieldPosition="0">
        <references count="1">
          <reference field="1" count="1">
            <x v="3"/>
          </reference>
        </references>
      </pivotArea>
    </format>
    <format dxfId="12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24">
      <pivotArea dataOnly="0" labelOnly="1" fieldPosition="0">
        <references count="1">
          <reference field="1" count="1">
            <x v="6"/>
          </reference>
        </references>
      </pivotArea>
    </format>
    <format dxfId="12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2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21">
      <pivotArea dataOnly="0" labelOnly="1" fieldPosition="0">
        <references count="1">
          <reference field="1" count="1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2">
      <pivotArea dataOnly="0" labelOnly="1" fieldPosition="0">
        <references count="1">
          <reference field="1" count="1">
            <x v="8"/>
          </reference>
        </references>
      </pivotArea>
    </format>
    <format dxfId="11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1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0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0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0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0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0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0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03">
      <pivotArea dataOnly="0" labelOnly="1" fieldPosition="0">
        <references count="1">
          <reference field="1" count="1">
            <x v="11"/>
          </reference>
        </references>
      </pivotArea>
    </format>
    <format dxfId="10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8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7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7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7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7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7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7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73">
      <pivotArea dataOnly="0" labelOnly="1" fieldPosition="0">
        <references count="1">
          <reference field="1" count="1">
            <x v="11"/>
          </reference>
        </references>
      </pivotArea>
    </format>
    <format dxfId="7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71">
      <pivotArea dataOnly="0" labelOnly="1" fieldPosition="0">
        <references count="1">
          <reference field="1" count="1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1">
          <reference field="1" count="1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1">
          <reference field="1" count="1">
            <x v="3"/>
          </reference>
        </references>
      </pivotArea>
    </format>
    <format dxfId="5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9">
      <pivotArea dataOnly="0" labelOnly="1" fieldPosition="0">
        <references count="1">
          <reference field="1" count="1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4">
      <pivotArea dataOnly="0" labelOnly="1" fieldPosition="0">
        <references count="1">
          <reference field="1" count="1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1">
          <reference field="1" count="1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1">
          <reference field="1" count="1">
            <x v="12"/>
          </reference>
        </references>
      </pivotArea>
    </format>
    <format dxfId="19">
      <pivotArea dataOnly="0" labelOnly="1" fieldPosition="0">
        <references count="1">
          <reference field="1" count="1">
            <x v="12"/>
          </reference>
        </references>
      </pivotArea>
    </format>
    <format dxfId="18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7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AB83-C39E-48D5-9080-0D297307DBA5}" name="Table1" displayName="Table1" ref="A1:H43" totalsRowShown="0" headerRowDxfId="9" dataDxfId="8">
  <autoFilter ref="A1:H43" xr:uid="{E013AB83-C39E-48D5-9080-0D297307DBA5}"/>
  <tableColumns count="8">
    <tableColumn id="1" xr3:uid="{098B02ED-3B7E-4548-ABA5-02288418BFAD}" name="Item" dataDxfId="7"/>
    <tableColumn id="2" xr3:uid="{F69C5A44-60C1-47CB-A41D-0707CF793850}" name="Function" dataDxfId="6"/>
    <tableColumn id="3" xr3:uid="{39C63E67-CAF5-4E68-A260-C4DC3A3F3124}" name="special" dataDxfId="5"/>
    <tableColumn id="4" xr3:uid="{BF29CC85-1D4D-4A38-9750-9EFF3C841B7E}" name="coil_used" dataDxfId="4"/>
    <tableColumn id="5" xr3:uid="{6E298B5A-EEF1-4BD6-A673-1B9A5425E92C}" name="wire_type" dataDxfId="3"/>
    <tableColumn id="6" xr3:uid="{351FED0D-0A68-405E-8D00-B9D3D4FD0FB3}" name="meas_unit" dataDxfId="2"/>
    <tableColumn id="7" xr3:uid="{06890D15-F12D-4CE0-9883-43ABAB5FF388}" name="secondary_unit" dataDxfId="1"/>
    <tableColumn id="8" xr3:uid="{2D181E62-949C-4EF0-824A-0F321FEF83A2}" name="Polarity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16"/>
    <tableColumn id="2" xr3:uid="{4C008F17-C160-43C0-8DC7-F63ED2B2735E}" uniqueName="2" name="Standard" queryTableFieldId="2" dataDxfId="15"/>
    <tableColumn id="3" xr3:uid="{82E825C6-6B9A-4A2D-BA51-08B97502A174}" uniqueName="3" name="Item" queryTableFieldId="3" dataDxfId="14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13"/>
    <tableColumn id="8" xr3:uid="{F80A92A4-F76E-4375-A587-E73A2C954D1A}" uniqueName="8" name="Uncert_Units" queryTableFieldId="8" dataDxfId="12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11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opLeftCell="A19" workbookViewId="0">
      <selection activeCell="D28" sqref="D28"/>
    </sheetView>
  </sheetViews>
  <sheetFormatPr defaultRowHeight="15" x14ac:dyDescent="0.25"/>
  <cols>
    <col min="1" max="1" width="13.140625" style="134" bestFit="1" customWidth="1"/>
    <col min="2" max="2" width="8.28515625" style="134" bestFit="1" customWidth="1"/>
    <col min="3" max="3" width="17.85546875" style="134" customWidth="1"/>
    <col min="4" max="4" width="18.5703125" style="134" customWidth="1"/>
    <col min="5" max="5" width="16.28515625" style="134" customWidth="1"/>
    <col min="6" max="6" width="15" style="134" bestFit="1" customWidth="1"/>
    <col min="7" max="7" width="11.42578125" style="134" bestFit="1" customWidth="1"/>
  </cols>
  <sheetData>
    <row r="1" spans="1:8" ht="18" x14ac:dyDescent="0.25">
      <c r="A1" s="113"/>
      <c r="B1" s="113"/>
      <c r="C1" s="117" t="s">
        <v>64</v>
      </c>
      <c r="D1" s="118"/>
      <c r="E1" s="118"/>
      <c r="F1" s="112" t="str" cm="1">
        <f t="array" ref="F1">IfZero(Worksheet!F2)</f>
        <v>56561-12354</v>
      </c>
      <c r="G1" s="114">
        <f>Worksheet!F3</f>
        <v>45175</v>
      </c>
    </row>
    <row r="2" spans="1:8" x14ac:dyDescent="0.25">
      <c r="A2" s="113"/>
      <c r="B2" s="113"/>
      <c r="C2" s="101"/>
      <c r="D2" s="101"/>
      <c r="E2" s="101"/>
      <c r="F2" s="101"/>
      <c r="G2" s="102"/>
    </row>
    <row r="3" spans="1:8" ht="25.5" x14ac:dyDescent="0.25">
      <c r="A3" s="111"/>
      <c r="B3" s="103" t="s">
        <v>18</v>
      </c>
      <c r="C3" s="103" t="s">
        <v>30</v>
      </c>
      <c r="D3" s="115" t="s">
        <v>31</v>
      </c>
      <c r="E3" s="103" t="s">
        <v>32</v>
      </c>
      <c r="F3" s="103" t="s">
        <v>33</v>
      </c>
      <c r="G3" s="104" t="s">
        <v>34</v>
      </c>
    </row>
    <row r="4" spans="1:8" hidden="1" x14ac:dyDescent="0.25">
      <c r="A4" s="130" t="s">
        <v>2654</v>
      </c>
      <c r="B4" s="97">
        <v>3</v>
      </c>
      <c r="C4" s="97">
        <v>4</v>
      </c>
      <c r="D4" s="97">
        <v>5</v>
      </c>
      <c r="E4" s="97">
        <v>6</v>
      </c>
      <c r="F4" s="97">
        <v>7</v>
      </c>
      <c r="G4" s="97">
        <v>8</v>
      </c>
    </row>
    <row r="5" spans="1:8" x14ac:dyDescent="0.25">
      <c r="A5" s="131" t="s">
        <v>104</v>
      </c>
      <c r="B5" s="105"/>
      <c r="C5" s="105"/>
      <c r="D5" s="105"/>
      <c r="E5" s="105"/>
      <c r="F5" s="105"/>
      <c r="G5" s="105"/>
    </row>
    <row r="6" spans="1:8" x14ac:dyDescent="0.25">
      <c r="A6" s="133">
        <v>-181566174</v>
      </c>
      <c r="B6" s="99" t="str">
        <f>IFERROR(VLOOKUP($A6,Worksheet!$A$5:$I$110,B$4,FALSE),"")</f>
        <v>60 mA</v>
      </c>
      <c r="C6" s="99" t="str">
        <f>IFERROR(VLOOKUP($A6,Worksheet!$A$5:$I$110,C$4,FALSE),"")</f>
        <v xml:space="preserve">3 mADC </v>
      </c>
      <c r="D6" s="99" t="str">
        <f>IFERROR(VLOOKUP($A6,Worksheet!$A$5:$I$110,D$4,FALSE),"")</f>
        <v>3 mA (DC)</v>
      </c>
      <c r="E6" s="99" t="str">
        <f>IFERROR(VLOOKUP($A6,Worksheet!$A$5:$I$110,E$4,FALSE),"")</f>
        <v>2.94 mA (DC)</v>
      </c>
      <c r="F6" s="99" t="str">
        <f>IFERROR(VLOOKUP($A6,Worksheet!$A$5:$I$110,F$4,FALSE),"")</f>
        <v>3.06 mA (DC)</v>
      </c>
      <c r="G6" s="99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32">
        <v>407318084</v>
      </c>
      <c r="B7" s="98" t="str">
        <f>IFERROR(VLOOKUP($A7,Worksheet!$A$5:$I$110,B$4,FALSE),"")</f>
        <v>6 A</v>
      </c>
      <c r="C7" s="98" t="str">
        <f>IFERROR(VLOOKUP($A7,Worksheet!$A$5:$I$110,C$4,FALSE),"")</f>
        <v xml:space="preserve">4 ADC </v>
      </c>
      <c r="D7" s="98" t="str">
        <f>IFERROR(VLOOKUP($A7,Worksheet!$A$5:$I$110,D$4,FALSE),"")</f>
        <v>3.999 A (DC)</v>
      </c>
      <c r="E7" s="98" t="str">
        <f>IFERROR(VLOOKUP($A7,Worksheet!$A$5:$I$110,E$4,FALSE),"")</f>
        <v>3.957 A (DC)</v>
      </c>
      <c r="F7" s="98" t="str">
        <f>IFERROR(VLOOKUP($A7,Worksheet!$A$5:$I$110,F$4,FALSE),"")</f>
        <v>4.043 A (DC)</v>
      </c>
      <c r="G7" s="98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33">
        <v>330404380</v>
      </c>
      <c r="B8" s="99" t="str">
        <f>IFERROR(VLOOKUP($A8,Worksheet!$A$5:$I$110,B$4,FALSE),"")</f>
        <v>400 mA</v>
      </c>
      <c r="C8" s="99" t="str">
        <f>IFERROR(VLOOKUP($A8,Worksheet!$A$5:$I$110,C$4,FALSE),"")</f>
        <v xml:space="preserve">-400 mADC </v>
      </c>
      <c r="D8" s="99" t="str">
        <f>IFERROR(VLOOKUP($A8,Worksheet!$A$5:$I$110,D$4,FALSE),"")</f>
        <v>-399.9 mA (DC)</v>
      </c>
      <c r="E8" s="99" t="str">
        <f>IFERROR(VLOOKUP($A8,Worksheet!$A$5:$I$110,E$4,FALSE),"")</f>
        <v>-404.3 mA (DC)</v>
      </c>
      <c r="F8" s="99" t="str">
        <f>IFERROR(VLOOKUP($A8,Worksheet!$A$5:$I$110,F$4,FALSE),"")</f>
        <v>-395.7 mA (DC)</v>
      </c>
      <c r="G8" s="99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32">
        <v>-182569286</v>
      </c>
      <c r="B9" s="98" t="str">
        <f>IFERROR(VLOOKUP($A9,Worksheet!$A$5:$I$110,B$4,FALSE),"")</f>
        <v>60 mA</v>
      </c>
      <c r="C9" s="98" t="str">
        <f>IFERROR(VLOOKUP($A9,Worksheet!$A$5:$I$110,C$4,FALSE),"")</f>
        <v xml:space="preserve">50 mADC </v>
      </c>
      <c r="D9" s="98" t="str">
        <f>IFERROR(VLOOKUP($A9,Worksheet!$A$5:$I$110,D$4,FALSE),"")</f>
        <v>49.98 mA (DC)</v>
      </c>
      <c r="E9" s="98" t="str">
        <f>IFERROR(VLOOKUP($A9,Worksheet!$A$5:$I$110,E$4,FALSE),"")</f>
        <v>49.47 mA (DC)</v>
      </c>
      <c r="F9" s="98" t="str">
        <f>IFERROR(VLOOKUP($A9,Worksheet!$A$5:$I$110,F$4,FALSE),"")</f>
        <v>50.53 mA (DC)</v>
      </c>
      <c r="G9" s="98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33">
        <v>82324729</v>
      </c>
      <c r="B10" s="99" t="str">
        <f>IFERROR(VLOOKUP($A10,Worksheet!$A$5:$I$110,B$4,FALSE),"")</f>
        <v>10 A</v>
      </c>
      <c r="C10" s="99" t="str">
        <f>IFERROR(VLOOKUP($A10,Worksheet!$A$5:$I$110,C$4,FALSE),"")</f>
        <v xml:space="preserve">-9 ADC </v>
      </c>
      <c r="D10" s="99" t="str">
        <f>IFERROR(VLOOKUP($A10,Worksheet!$A$5:$I$110,D$4,FALSE),"")</f>
        <v>-9 A (DC)</v>
      </c>
      <c r="E10" s="99" t="str">
        <f>IFERROR(VLOOKUP($A10,Worksheet!$A$5:$I$110,E$4,FALSE),"")</f>
        <v>-9.12 A (DC)</v>
      </c>
      <c r="F10" s="99" t="str">
        <f>IFERROR(VLOOKUP($A10,Worksheet!$A$5:$I$110,F$4,FALSE),"")</f>
        <v>-8.88 A (DC)</v>
      </c>
      <c r="G10" s="99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31" t="s">
        <v>103</v>
      </c>
      <c r="B11" s="105"/>
      <c r="C11" s="105"/>
      <c r="D11" s="105"/>
      <c r="E11" s="105"/>
      <c r="F11" s="105"/>
      <c r="G11" s="105"/>
    </row>
    <row r="12" spans="1:8" x14ac:dyDescent="0.25">
      <c r="A12" s="133">
        <v>-83086660</v>
      </c>
      <c r="B12" s="99" t="str">
        <f>IFERROR(VLOOKUP($A12,Worksheet!$A$5:$I$110,B$4,FALSE),"")</f>
        <v>60 mA</v>
      </c>
      <c r="C12" s="99" t="str">
        <f>IFERROR(VLOOKUP($A12,Worksheet!$A$5:$I$110,C$4,FALSE),"")</f>
        <v>3 mAAC @ 45Hz</v>
      </c>
      <c r="D12" s="99" t="str">
        <f>IFERROR(VLOOKUP($A12,Worksheet!$A$5:$I$110,D$4,FALSE),"")</f>
        <v>3 mA (AC)</v>
      </c>
      <c r="E12" s="99" t="str">
        <f>IFERROR(VLOOKUP($A12,Worksheet!$A$5:$I$110,E$4,FALSE),"")</f>
        <v>2.92 mA (AC)</v>
      </c>
      <c r="F12" s="99" t="str">
        <f>IFERROR(VLOOKUP($A12,Worksheet!$A$5:$I$110,F$4,FALSE),"")</f>
        <v>3.08 mA (AC)</v>
      </c>
      <c r="G12" s="99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32">
        <v>-139962380</v>
      </c>
      <c r="B13" s="98" t="str">
        <f>IFERROR(VLOOKUP($A13,Worksheet!$A$5:$I$110,B$4,FALSE),"")</f>
        <v>400 mA</v>
      </c>
      <c r="C13" s="98" t="str">
        <f>IFERROR(VLOOKUP($A13,Worksheet!$A$5:$I$110,C$4,FALSE),"")</f>
        <v>400 mAAC @ 1kHz</v>
      </c>
      <c r="D13" s="98" t="str">
        <f>IFERROR(VLOOKUP($A13,Worksheet!$A$5:$I$110,D$4,FALSE),"")</f>
        <v>399.3 mA (AC)</v>
      </c>
      <c r="E13" s="98" t="str">
        <f>IFERROR(VLOOKUP($A13,Worksheet!$A$5:$I$110,E$4,FALSE),"")</f>
        <v>393.7 mA (AC)</v>
      </c>
      <c r="F13" s="98" t="str">
        <f>IFERROR(VLOOKUP($A13,Worksheet!$A$5:$I$110,F$4,FALSE),"")</f>
        <v>406.3 mA (AC)</v>
      </c>
      <c r="G13" s="98" t="str">
        <f>IFERROR(VLOOKUP($A13,Worksheet!$A$5:$I$110,G$4,FALSE),"")</f>
        <v>0.35 mA</v>
      </c>
      <c r="H13" t="str">
        <f>IFERROR(VLOOKUP($A13,Worksheet!$A$5:$I$110,H$4,FALSE),"")</f>
        <v/>
      </c>
    </row>
    <row r="14" spans="1:8" x14ac:dyDescent="0.25">
      <c r="A14" s="133">
        <v>-421364563</v>
      </c>
      <c r="B14" s="99" t="str">
        <f>IFERROR(VLOOKUP($A14,Worksheet!$A$5:$I$110,B$4,FALSE),"")</f>
        <v>6 A</v>
      </c>
      <c r="C14" s="99" t="str">
        <f>IFERROR(VLOOKUP($A14,Worksheet!$A$5:$I$110,C$4,FALSE),"")</f>
        <v>4 AAC @ 45Hz</v>
      </c>
      <c r="D14" s="99" t="str">
        <f>IFERROR(VLOOKUP($A14,Worksheet!$A$5:$I$110,D$4,FALSE),"")</f>
        <v>3.999 A (AC)</v>
      </c>
      <c r="E14" s="99" t="str">
        <f>IFERROR(VLOOKUP($A14,Worksheet!$A$5:$I$110,E$4,FALSE),"")</f>
        <v>3.937 A (AC)</v>
      </c>
      <c r="F14" s="99" t="str">
        <f>IFERROR(VLOOKUP($A14,Worksheet!$A$5:$I$110,F$4,FALSE),"")</f>
        <v>4.063 A (AC)</v>
      </c>
      <c r="G14" s="99" t="str">
        <f>IFERROR(VLOOKUP($A14,Worksheet!$A$5:$I$110,G$4,FALSE),"")</f>
        <v>5.2 mA</v>
      </c>
      <c r="H14" t="str">
        <f>IFERROR(VLOOKUP($A14,Worksheet!$A$5:$I$110,H$4,FALSE),"")</f>
        <v/>
      </c>
    </row>
    <row r="15" spans="1:8" x14ac:dyDescent="0.25">
      <c r="A15" s="132">
        <v>-175935206</v>
      </c>
      <c r="B15" s="98" t="str">
        <f>IFERROR(VLOOKUP($A15,Worksheet!$A$5:$I$110,B$4,FALSE),"")</f>
        <v>10 A</v>
      </c>
      <c r="C15" s="98" t="str">
        <f>IFERROR(VLOOKUP($A15,Worksheet!$A$5:$I$110,C$4,FALSE),"")</f>
        <v>9 AAC @ 1kHz</v>
      </c>
      <c r="D15" s="98" t="str">
        <f>IFERROR(VLOOKUP($A15,Worksheet!$A$5:$I$110,D$4,FALSE),"")</f>
        <v>9.1 A (AC)</v>
      </c>
      <c r="E15" s="98" t="str">
        <f>IFERROR(VLOOKUP($A15,Worksheet!$A$5:$I$110,E$4,FALSE),"")</f>
        <v>8.83 A (AC)</v>
      </c>
      <c r="F15" s="98" t="str">
        <f>IFERROR(VLOOKUP($A15,Worksheet!$A$5:$I$110,F$4,FALSE),"")</f>
        <v>9.17 A (AC)</v>
      </c>
      <c r="G15" s="98" t="str">
        <f>IFERROR(VLOOKUP($A15,Worksheet!$A$5:$I$110,G$4,FALSE),"")</f>
        <v>14 mA</v>
      </c>
      <c r="H15" t="str">
        <f>IFERROR(VLOOKUP($A15,Worksheet!$A$5:$I$110,H$4,FALSE),"")</f>
        <v/>
      </c>
    </row>
    <row r="16" spans="1:8" x14ac:dyDescent="0.25">
      <c r="A16" s="133">
        <v>280793810</v>
      </c>
      <c r="B16" s="99" t="str">
        <f>IFERROR(VLOOKUP($A16,Worksheet!$A$5:$I$110,B$4,FALSE),"")</f>
        <v>60 mA</v>
      </c>
      <c r="C16" s="99" t="str">
        <f>IFERROR(VLOOKUP($A16,Worksheet!$A$5:$I$110,C$4,FALSE),"")</f>
        <v>50 mAAC @ 1kHz</v>
      </c>
      <c r="D16" s="99" t="str">
        <f>IFERROR(VLOOKUP($A16,Worksheet!$A$5:$I$110,D$4,FALSE),"")</f>
        <v>50.02 mA (AC)</v>
      </c>
      <c r="E16" s="99" t="str">
        <f>IFERROR(VLOOKUP($A16,Worksheet!$A$5:$I$110,E$4,FALSE),"")</f>
        <v>49.22 mA (AC)</v>
      </c>
      <c r="F16" s="99" t="str">
        <f>IFERROR(VLOOKUP($A16,Worksheet!$A$5:$I$110,F$4,FALSE),"")</f>
        <v>50.78 mA (AC)</v>
      </c>
      <c r="G16" s="99" t="str">
        <f>IFERROR(VLOOKUP($A16,Worksheet!$A$5:$I$110,G$4,FALSE),"")</f>
        <v>0.048 mA</v>
      </c>
      <c r="H16" t="str">
        <f>IFERROR(VLOOKUP($A16,Worksheet!$A$5:$I$110,H$4,FALSE),"")</f>
        <v/>
      </c>
    </row>
    <row r="17" spans="1:8" x14ac:dyDescent="0.25">
      <c r="A17" s="131" t="s">
        <v>105</v>
      </c>
      <c r="B17" s="105"/>
      <c r="C17" s="105"/>
      <c r="D17" s="105"/>
      <c r="E17" s="105"/>
      <c r="F17" s="105"/>
      <c r="G17" s="105"/>
    </row>
    <row r="18" spans="1:8" x14ac:dyDescent="0.25">
      <c r="A18" s="133">
        <v>36563959</v>
      </c>
      <c r="B18" s="99" t="str">
        <f>IFERROR(VLOOKUP($A18,Worksheet!$A$5:$I$110,B$4,FALSE),"")</f>
        <v>400 °C</v>
      </c>
      <c r="C18" s="99" t="str">
        <f>IFERROR(VLOOKUP($A18,Worksheet!$A$5:$I$110,C$4,FALSE),"")</f>
        <v>0 °C</v>
      </c>
      <c r="D18" s="99" t="str">
        <f>IFERROR(VLOOKUP($A18,Worksheet!$A$5:$I$110,D$4,FALSE),"")</f>
        <v>0.2 °C</v>
      </c>
      <c r="E18" s="99" t="str">
        <f>IFERROR(VLOOKUP($A18,Worksheet!$A$5:$I$110,E$4,FALSE),"")</f>
        <v>-1 °C</v>
      </c>
      <c r="F18" s="99" t="str">
        <f>IFERROR(VLOOKUP($A18,Worksheet!$A$5:$I$110,F$4,FALSE),"")</f>
        <v>1 °C</v>
      </c>
      <c r="G18" s="99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32">
        <v>-66073833</v>
      </c>
      <c r="B19" s="98" t="str">
        <f>IFERROR(VLOOKUP($A19,Worksheet!$A$5:$I$110,B$4,FALSE),"")</f>
        <v>400 °C</v>
      </c>
      <c r="C19" s="98" t="str">
        <f>IFERROR(VLOOKUP($A19,Worksheet!$A$5:$I$110,C$4,FALSE),"")</f>
        <v>-40 °C</v>
      </c>
      <c r="D19" s="98" t="str">
        <f>IFERROR(VLOOKUP($A19,Worksheet!$A$5:$I$110,D$4,FALSE),"")</f>
        <v>-39.8 °C</v>
      </c>
      <c r="E19" s="98" t="str">
        <f>IFERROR(VLOOKUP($A19,Worksheet!$A$5:$I$110,E$4,FALSE),"")</f>
        <v>-41.4 °C</v>
      </c>
      <c r="F19" s="98" t="str">
        <f>IFERROR(VLOOKUP($A19,Worksheet!$A$5:$I$110,F$4,FALSE),"")</f>
        <v>-38.6 °C</v>
      </c>
      <c r="G19" s="98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33">
        <v>465457095</v>
      </c>
      <c r="B20" s="99" t="str">
        <f>IFERROR(VLOOKUP($A20,Worksheet!$A$5:$I$110,B$4,FALSE),"")</f>
        <v>400 °C</v>
      </c>
      <c r="C20" s="99" t="str">
        <f>IFERROR(VLOOKUP($A20,Worksheet!$A$5:$I$110,C$4,FALSE),"")</f>
        <v>400 °C</v>
      </c>
      <c r="D20" s="99" t="str">
        <f>IFERROR(VLOOKUP($A20,Worksheet!$A$5:$I$110,D$4,FALSE),"")</f>
        <v>399.7 °C</v>
      </c>
      <c r="E20" s="99" t="str">
        <f>IFERROR(VLOOKUP($A20,Worksheet!$A$5:$I$110,E$4,FALSE),"")</f>
        <v>395 °C</v>
      </c>
      <c r="F20" s="99" t="str">
        <f>IFERROR(VLOOKUP($A20,Worksheet!$A$5:$I$110,F$4,FALSE),"")</f>
        <v>405 °C</v>
      </c>
      <c r="G20" s="99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31" t="s">
        <v>14</v>
      </c>
      <c r="B21" s="105"/>
      <c r="C21" s="105"/>
      <c r="D21" s="105"/>
      <c r="E21" s="105"/>
      <c r="F21" s="105"/>
      <c r="G21" s="105"/>
    </row>
    <row r="22" spans="1:8" x14ac:dyDescent="0.25">
      <c r="A22" s="133">
        <v>-57753614</v>
      </c>
      <c r="B22" s="99" t="str">
        <f>IFERROR(VLOOKUP($A22,Worksheet!$A$5:$I$110,B$4,FALSE),"")</f>
        <v>1000 nF</v>
      </c>
      <c r="C22" s="99" t="str">
        <f>IFERROR(VLOOKUP($A22,Worksheet!$A$5:$I$110,C$4,FALSE),"")</f>
        <v xml:space="preserve">900 nF </v>
      </c>
      <c r="D22" s="99" t="str">
        <f>IFERROR(VLOOKUP($A22,Worksheet!$A$5:$I$110,D$4,FALSE),"")</f>
        <v>900 nF</v>
      </c>
      <c r="E22" s="99" t="str">
        <f>IFERROR(VLOOKUP($A22,Worksheet!$A$5:$I$110,E$4,FALSE),"")</f>
        <v>887 nF</v>
      </c>
      <c r="F22" s="99" t="str">
        <f>IFERROR(VLOOKUP($A22,Worksheet!$A$5:$I$110,F$4,FALSE),"")</f>
        <v>913 nF</v>
      </c>
      <c r="G22" s="99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31" t="s">
        <v>7</v>
      </c>
      <c r="B23" s="105"/>
      <c r="C23" s="105"/>
      <c r="D23" s="105"/>
      <c r="E23" s="105"/>
      <c r="F23" s="105"/>
      <c r="G23" s="105"/>
    </row>
    <row r="24" spans="1:8" x14ac:dyDescent="0.25">
      <c r="A24" s="133">
        <v>226361642</v>
      </c>
      <c r="B24" s="99" t="str">
        <f>IFERROR(VLOOKUP($A24,Worksheet!$A$5:$I$110,B$4,FALSE),"")</f>
        <v>600 Ω</v>
      </c>
      <c r="C24" s="99" t="str">
        <f>IFERROR(VLOOKUP($A24,Worksheet!$A$5:$I$110,C$4,FALSE),"")</f>
        <v xml:space="preserve">500 Ω </v>
      </c>
      <c r="D24" s="99" t="str">
        <f>IFERROR(VLOOKUP($A24,Worksheet!$A$5:$I$110,D$4,FALSE),"")</f>
        <v>500.2 Ω</v>
      </c>
      <c r="E24" s="99" t="str">
        <f>IFERROR(VLOOKUP($A24,Worksheet!$A$5:$I$110,E$4,FALSE),"")</f>
        <v>495.3 Ω</v>
      </c>
      <c r="F24" s="99" t="str">
        <f>IFERROR(VLOOKUP($A24,Worksheet!$A$5:$I$110,F$4,FALSE),"")</f>
        <v>504.7 Ω</v>
      </c>
      <c r="G24" s="99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32">
        <v>120236181</v>
      </c>
      <c r="B25" s="98" t="str">
        <f>IFERROR(VLOOKUP($A25,Worksheet!$A$5:$I$110,B$4,FALSE),"")</f>
        <v>50 MΩ</v>
      </c>
      <c r="C25" s="98" t="str">
        <f>IFERROR(VLOOKUP($A25,Worksheet!$A$5:$I$110,C$4,FALSE),"")</f>
        <v xml:space="preserve">19 MΩ </v>
      </c>
      <c r="D25" s="98" t="str">
        <f>IFERROR(VLOOKUP($A25,Worksheet!$A$5:$I$110,D$4,FALSE),"")</f>
        <v>19 MΩ</v>
      </c>
      <c r="E25" s="98" t="str">
        <f>IFERROR(VLOOKUP($A25,Worksheet!$A$5:$I$110,E$4,FALSE),"")</f>
        <v>18.68 MΩ</v>
      </c>
      <c r="F25" s="98" t="str">
        <f>IFERROR(VLOOKUP($A25,Worksheet!$A$5:$I$110,F$4,FALSE),"")</f>
        <v>19.32 MΩ</v>
      </c>
      <c r="G25" s="98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31" t="s">
        <v>101</v>
      </c>
      <c r="B26" s="105"/>
      <c r="C26" s="105"/>
      <c r="D26" s="105"/>
      <c r="E26" s="105"/>
      <c r="F26" s="105"/>
      <c r="G26" s="105"/>
    </row>
    <row r="27" spans="1:8" x14ac:dyDescent="0.25">
      <c r="A27" s="132">
        <v>94988977</v>
      </c>
      <c r="B27" s="98" t="str">
        <f>IFERROR(VLOOKUP($A27,Worksheet!$A$5:$I$110,B$4,FALSE),"")</f>
        <v/>
      </c>
      <c r="C27" s="98" t="str">
        <f>IFERROR(VLOOKUP($A27,Worksheet!$A$5:$I$110,C$4,FALSE),"")</f>
        <v/>
      </c>
      <c r="D27" s="98" t="str">
        <f>IFERROR(VLOOKUP($A27,Worksheet!$A$5:$I$110,D$4,FALSE),"")</f>
        <v/>
      </c>
      <c r="E27" s="98" t="str">
        <f>IFERROR(VLOOKUP($A27,Worksheet!$A$5:$I$110,E$4,FALSE),"")</f>
        <v/>
      </c>
      <c r="F27" s="98" t="str">
        <f>IFERROR(VLOOKUP($A27,Worksheet!$A$5:$I$110,F$4,FALSE),"")</f>
        <v/>
      </c>
      <c r="G27" s="98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33">
        <v>427068135</v>
      </c>
      <c r="B28" s="99" t="str">
        <f>IFERROR(VLOOKUP($A28,Worksheet!$A$5:$I$110,B$4,FALSE),"")</f>
        <v/>
      </c>
      <c r="C28" s="99" t="str">
        <f>IFERROR(VLOOKUP($A28,Worksheet!$A$5:$I$110,C$4,FALSE),"")</f>
        <v/>
      </c>
      <c r="D28" s="99" t="str">
        <f>IFERROR(VLOOKUP($A28,Worksheet!$A$5:$I$110,D$4,FALSE),"")</f>
        <v/>
      </c>
      <c r="E28" s="99" t="str">
        <f>IFERROR(VLOOKUP($A28,Worksheet!$A$5:$I$110,E$4,FALSE),"")</f>
        <v/>
      </c>
      <c r="F28" s="99" t="str">
        <f>IFERROR(VLOOKUP($A28,Worksheet!$A$5:$I$110,F$4,FALSE),"")</f>
        <v/>
      </c>
      <c r="G28" s="99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32">
        <v>-79395897</v>
      </c>
      <c r="B29" s="98" t="str">
        <f>IFERROR(VLOOKUP($A29,Worksheet!$A$5:$I$110,B$4,FALSE),"")</f>
        <v/>
      </c>
      <c r="C29" s="98" t="str">
        <f>IFERROR(VLOOKUP($A29,Worksheet!$A$5:$I$110,C$4,FALSE),"")</f>
        <v/>
      </c>
      <c r="D29" s="98" t="str">
        <f>IFERROR(VLOOKUP($A29,Worksheet!$A$5:$I$110,D$4,FALSE),"")</f>
        <v/>
      </c>
      <c r="E29" s="98" t="str">
        <f>IFERROR(VLOOKUP($A29,Worksheet!$A$5:$I$110,E$4,FALSE),"")</f>
        <v/>
      </c>
      <c r="F29" s="98" t="str">
        <f>IFERROR(VLOOKUP($A29,Worksheet!$A$5:$I$110,F$4,FALSE),"")</f>
        <v/>
      </c>
      <c r="G29" s="98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33">
        <v>-88135951</v>
      </c>
      <c r="B30" s="99" t="str">
        <f>IFERROR(VLOOKUP($A30,Worksheet!$A$5:$I$110,B$4,FALSE),"")</f>
        <v/>
      </c>
      <c r="C30" s="99" t="str">
        <f>IFERROR(VLOOKUP($A30,Worksheet!$A$5:$I$110,C$4,FALSE),"")</f>
        <v/>
      </c>
      <c r="D30" s="99" t="str">
        <f>IFERROR(VLOOKUP($A30,Worksheet!$A$5:$I$110,D$4,FALSE),"")</f>
        <v/>
      </c>
      <c r="E30" s="99" t="str">
        <f>IFERROR(VLOOKUP($A30,Worksheet!$A$5:$I$110,E$4,FALSE),"")</f>
        <v/>
      </c>
      <c r="F30" s="99" t="str">
        <f>IFERROR(VLOOKUP($A30,Worksheet!$A$5:$I$110,F$4,FALSE),"")</f>
        <v/>
      </c>
      <c r="G30" s="99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32">
        <v>-396379885</v>
      </c>
      <c r="B31" s="98" t="str">
        <f>IFERROR(VLOOKUP($A31,Worksheet!$A$5:$I$110,B$4,FALSE),"")</f>
        <v/>
      </c>
      <c r="C31" s="98" t="str">
        <f>IFERROR(VLOOKUP($A31,Worksheet!$A$5:$I$110,C$4,FALSE),"")</f>
        <v/>
      </c>
      <c r="D31" s="98" t="str">
        <f>IFERROR(VLOOKUP($A31,Worksheet!$A$5:$I$110,D$4,FALSE),"")</f>
        <v/>
      </c>
      <c r="E31" s="98" t="str">
        <f>IFERROR(VLOOKUP($A31,Worksheet!$A$5:$I$110,E$4,FALSE),"")</f>
        <v/>
      </c>
      <c r="F31" s="98" t="str">
        <f>IFERROR(VLOOKUP($A31,Worksheet!$A$5:$I$110,F$4,FALSE),"")</f>
        <v/>
      </c>
      <c r="G31" s="98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33">
        <v>-130603686</v>
      </c>
      <c r="B32" s="99" t="str">
        <f>IFERROR(VLOOKUP($A32,Worksheet!$A$5:$I$110,B$4,FALSE),"")</f>
        <v/>
      </c>
      <c r="C32" s="99" t="str">
        <f>IFERROR(VLOOKUP($A32,Worksheet!$A$5:$I$110,C$4,FALSE),"")</f>
        <v/>
      </c>
      <c r="D32" s="99" t="str">
        <f>IFERROR(VLOOKUP($A32,Worksheet!$A$5:$I$110,D$4,FALSE),"")</f>
        <v/>
      </c>
      <c r="E32" s="99" t="str">
        <f>IFERROR(VLOOKUP($A32,Worksheet!$A$5:$I$110,E$4,FALSE),"")</f>
        <v/>
      </c>
      <c r="F32" s="99" t="str">
        <f>IFERROR(VLOOKUP($A32,Worksheet!$A$5:$I$110,F$4,FALSE),"")</f>
        <v/>
      </c>
      <c r="G32" s="99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32">
        <v>351166055</v>
      </c>
      <c r="B33" s="98" t="str">
        <f>IFERROR(VLOOKUP($A33,Worksheet!$A$5:$I$110,B$4,FALSE),"")</f>
        <v/>
      </c>
      <c r="C33" s="98" t="str">
        <f>IFERROR(VLOOKUP($A33,Worksheet!$A$5:$I$110,C$4,FALSE),"")</f>
        <v/>
      </c>
      <c r="D33" s="98" t="str">
        <f>IFERROR(VLOOKUP($A33,Worksheet!$A$5:$I$110,D$4,FALSE),"")</f>
        <v/>
      </c>
      <c r="E33" s="98" t="str">
        <f>IFERROR(VLOOKUP($A33,Worksheet!$A$5:$I$110,E$4,FALSE),"")</f>
        <v/>
      </c>
      <c r="F33" s="98" t="str">
        <f>IFERROR(VLOOKUP($A33,Worksheet!$A$5:$I$110,F$4,FALSE),"")</f>
        <v/>
      </c>
      <c r="G33" s="98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33">
        <v>-156211742</v>
      </c>
      <c r="B34" s="99" t="str">
        <f>IFERROR(VLOOKUP($A34,Worksheet!$A$5:$I$110,B$4,FALSE),"")</f>
        <v/>
      </c>
      <c r="C34" s="99" t="str">
        <f>IFERROR(VLOOKUP($A34,Worksheet!$A$5:$I$110,C$4,FALSE),"")</f>
        <v/>
      </c>
      <c r="D34" s="99" t="str">
        <f>IFERROR(VLOOKUP($A34,Worksheet!$A$5:$I$110,D$4,FALSE),"")</f>
        <v/>
      </c>
      <c r="E34" s="99" t="str">
        <f>IFERROR(VLOOKUP($A34,Worksheet!$A$5:$I$110,E$4,FALSE),"")</f>
        <v/>
      </c>
      <c r="F34" s="99" t="str">
        <f>IFERROR(VLOOKUP($A34,Worksheet!$A$5:$I$110,F$4,FALSE),"")</f>
        <v/>
      </c>
      <c r="G34" s="99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31" t="s">
        <v>102</v>
      </c>
      <c r="B35" s="105"/>
      <c r="C35" s="105"/>
      <c r="D35" s="105"/>
      <c r="E35" s="105"/>
      <c r="F35" s="105"/>
      <c r="G35" s="105"/>
    </row>
    <row r="36" spans="1:8" x14ac:dyDescent="0.25">
      <c r="A36" s="133">
        <v>-21486868</v>
      </c>
      <c r="B36" s="99" t="str">
        <f>IFERROR(VLOOKUP($A36,Worksheet!$A$5:$I$110,B$4,FALSE),"")</f>
        <v>6 V</v>
      </c>
      <c r="C36" s="99" t="str">
        <f>IFERROR(VLOOKUP($A36,Worksheet!$A$5:$I$110,C$4,FALSE),"")</f>
        <v xml:space="preserve">5 VDC </v>
      </c>
      <c r="D36" s="99" t="str">
        <f>IFERROR(VLOOKUP($A36,Worksheet!$A$5:$I$110,D$4,FALSE),"")</f>
        <v>5 V (DC)</v>
      </c>
      <c r="E36" s="99" t="str">
        <f>IFERROR(VLOOKUP($A36,Worksheet!$A$5:$I$110,E$4,FALSE),"")</f>
        <v>4.99 V (DC)</v>
      </c>
      <c r="F36" s="99" t="str">
        <f>IFERROR(VLOOKUP($A36,Worksheet!$A$5:$I$110,F$4,FALSE),"")</f>
        <v>5.01 V (DC)</v>
      </c>
      <c r="G36" s="99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32">
        <v>-6474445</v>
      </c>
      <c r="B37" s="98" t="str">
        <f>IFERROR(VLOOKUP($A37,Worksheet!$A$5:$I$110,B$4,FALSE),"")</f>
        <v>600 V</v>
      </c>
      <c r="C37" s="98" t="str">
        <f>IFERROR(VLOOKUP($A37,Worksheet!$A$5:$I$110,C$4,FALSE),"")</f>
        <v xml:space="preserve">300 VDC </v>
      </c>
      <c r="D37" s="98" t="str">
        <f>IFERROR(VLOOKUP($A37,Worksheet!$A$5:$I$110,D$4,FALSE),"")</f>
        <v>300 V (DC)</v>
      </c>
      <c r="E37" s="98" t="str">
        <f>IFERROR(VLOOKUP($A37,Worksheet!$A$5:$I$110,E$4,FALSE),"")</f>
        <v>299.5 V (DC)</v>
      </c>
      <c r="F37" s="98" t="str">
        <f>IFERROR(VLOOKUP($A37,Worksheet!$A$5:$I$110,F$4,FALSE),"")</f>
        <v>300.5 V (DC)</v>
      </c>
      <c r="G37" s="98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33">
        <v>251385326</v>
      </c>
      <c r="B38" s="99" t="str">
        <f>IFERROR(VLOOKUP($A38,Worksheet!$A$5:$I$110,B$4,FALSE),"")</f>
        <v>1000 V</v>
      </c>
      <c r="C38" s="99" t="str">
        <f>IFERROR(VLOOKUP($A38,Worksheet!$A$5:$I$110,C$4,FALSE),"")</f>
        <v xml:space="preserve">1000 VDC </v>
      </c>
      <c r="D38" s="99" t="str">
        <f>IFERROR(VLOOKUP($A38,Worksheet!$A$5:$I$110,D$4,FALSE),"")</f>
        <v>1000 V (DC)</v>
      </c>
      <c r="E38" s="99" t="str">
        <f>IFERROR(VLOOKUP($A38,Worksheet!$A$5:$I$110,E$4,FALSE),"")</f>
        <v>997 V (DC)</v>
      </c>
      <c r="F38" s="99" t="str">
        <f>IFERROR(VLOOKUP($A38,Worksheet!$A$5:$I$110,F$4,FALSE),"")</f>
        <v>1003 V (DC)</v>
      </c>
      <c r="G38" s="99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32">
        <v>-146082280</v>
      </c>
      <c r="B39" s="98" t="str">
        <f>IFERROR(VLOOKUP($A39,Worksheet!$A$5:$I$110,B$4,FALSE),"")</f>
        <v>1000 V</v>
      </c>
      <c r="C39" s="98" t="str">
        <f>IFERROR(VLOOKUP($A39,Worksheet!$A$5:$I$110,C$4,FALSE),"")</f>
        <v xml:space="preserve">-1000 VDC </v>
      </c>
      <c r="D39" s="98" t="str">
        <f>IFERROR(VLOOKUP($A39,Worksheet!$A$5:$I$110,D$4,FALSE),"")</f>
        <v>-1000 V (DC)</v>
      </c>
      <c r="E39" s="98" t="str">
        <f>IFERROR(VLOOKUP($A39,Worksheet!$A$5:$I$110,E$4,FALSE),"")</f>
        <v>-1003 V (DC)</v>
      </c>
      <c r="F39" s="98" t="str">
        <f>IFERROR(VLOOKUP($A39,Worksheet!$A$5:$I$110,F$4,FALSE),"")</f>
        <v>-997 V (DC)</v>
      </c>
      <c r="G39" s="98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33">
        <v>267957746</v>
      </c>
      <c r="B40" s="99" t="str">
        <f>IFERROR(VLOOKUP($A40,Worksheet!$A$5:$I$110,B$4,FALSE),"")</f>
        <v>600 mV</v>
      </c>
      <c r="C40" s="99" t="str">
        <f>IFERROR(VLOOKUP($A40,Worksheet!$A$5:$I$110,C$4,FALSE),"")</f>
        <v xml:space="preserve">30 mVDC </v>
      </c>
      <c r="D40" s="99" t="str">
        <f>IFERROR(VLOOKUP($A40,Worksheet!$A$5:$I$110,D$4,FALSE),"")</f>
        <v>30 mV (DC)</v>
      </c>
      <c r="E40" s="99" t="str">
        <f>IFERROR(VLOOKUP($A40,Worksheet!$A$5:$I$110,E$4,FALSE),"")</f>
        <v>29.8 mV (DC)</v>
      </c>
      <c r="F40" s="99" t="str">
        <f>IFERROR(VLOOKUP($A40,Worksheet!$A$5:$I$110,F$4,FALSE),"")</f>
        <v>30.2 mV (DC)</v>
      </c>
      <c r="G40" s="99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32">
        <v>-103933429</v>
      </c>
      <c r="B41" s="98" t="str">
        <f>IFERROR(VLOOKUP($A41,Worksheet!$A$5:$I$110,B$4,FALSE),"")</f>
        <v>600 mV</v>
      </c>
      <c r="C41" s="98" t="str">
        <f>IFERROR(VLOOKUP($A41,Worksheet!$A$5:$I$110,C$4,FALSE),"")</f>
        <v xml:space="preserve">-300 mVDC </v>
      </c>
      <c r="D41" s="98" t="str">
        <f>IFERROR(VLOOKUP($A41,Worksheet!$A$5:$I$110,D$4,FALSE),"")</f>
        <v>-299.9 mV (DC)</v>
      </c>
      <c r="E41" s="98" t="str">
        <f>IFERROR(VLOOKUP($A41,Worksheet!$A$5:$I$110,E$4,FALSE),"")</f>
        <v>-300.5 mV (DC)</v>
      </c>
      <c r="F41" s="98" t="str">
        <f>IFERROR(VLOOKUP($A41,Worksheet!$A$5:$I$110,F$4,FALSE),"")</f>
        <v>-299.5 mV (DC)</v>
      </c>
      <c r="G41" s="98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33">
        <v>341390981</v>
      </c>
      <c r="B42" s="99" t="str">
        <f>IFERROR(VLOOKUP($A42,Worksheet!$A$5:$I$110,B$4,FALSE),"")</f>
        <v>600 mV</v>
      </c>
      <c r="C42" s="99" t="str">
        <f>IFERROR(VLOOKUP($A42,Worksheet!$A$5:$I$110,C$4,FALSE),"")</f>
        <v xml:space="preserve">600 mVDC </v>
      </c>
      <c r="D42" s="99" t="str">
        <f>IFERROR(VLOOKUP($A42,Worksheet!$A$5:$I$110,D$4,FALSE),"")</f>
        <v>599.9 mV (DC)</v>
      </c>
      <c r="E42" s="99" t="str">
        <f>IFERROR(VLOOKUP($A42,Worksheet!$A$5:$I$110,E$4,FALSE),"")</f>
        <v>599.3 mV (DC)</v>
      </c>
      <c r="F42" s="99" t="str">
        <f>IFERROR(VLOOKUP($A42,Worksheet!$A$5:$I$110,F$4,FALSE),"")</f>
        <v>600.7 mV (DC)</v>
      </c>
      <c r="G42" s="99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32">
        <v>-465464144</v>
      </c>
      <c r="B43" s="98" t="str">
        <f>IFERROR(VLOOKUP($A43,Worksheet!$A$5:$I$110,B$4,FALSE),"")</f>
        <v>2.4 V</v>
      </c>
      <c r="C43" s="98" t="str">
        <f>IFERROR(VLOOKUP($A43,Worksheet!$A$5:$I$110,C$4,FALSE),"")</f>
        <v xml:space="preserve">2 VDC </v>
      </c>
      <c r="D43" s="98" t="str">
        <f>IFERROR(VLOOKUP($A43,Worksheet!$A$5:$I$110,D$4,FALSE),"")</f>
        <v>1.999 V (DC)</v>
      </c>
      <c r="E43" s="98" t="str">
        <f>IFERROR(VLOOKUP($A43,Worksheet!$A$5:$I$110,E$4,FALSE),"")</f>
        <v>1.978 V (DC)</v>
      </c>
      <c r="F43" s="98" t="str">
        <f>IFERROR(VLOOKUP($A43,Worksheet!$A$5:$I$110,F$4,FALSE),"")</f>
        <v>2.022 V (DC)</v>
      </c>
      <c r="G43" s="98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31" t="s">
        <v>148</v>
      </c>
      <c r="B44" s="105"/>
      <c r="C44" s="105"/>
      <c r="D44" s="105"/>
      <c r="E44" s="105"/>
      <c r="F44" s="105"/>
      <c r="G44" s="105"/>
    </row>
    <row r="45" spans="1:8" x14ac:dyDescent="0.25">
      <c r="A45" s="132">
        <v>32522917</v>
      </c>
      <c r="B45" s="98" t="str">
        <f>IFERROR(VLOOKUP($A45,Worksheet!$A$5:$I$110,B$4,FALSE),"")</f>
        <v/>
      </c>
      <c r="C45" s="98" t="str">
        <f>IFERROR(VLOOKUP($A45,Worksheet!$A$5:$I$110,C$4,FALSE),"")</f>
        <v/>
      </c>
      <c r="D45" s="98" t="str">
        <f>IFERROR(VLOOKUP($A45,Worksheet!$A$5:$I$110,D$4,FALSE),"")</f>
        <v/>
      </c>
      <c r="E45" s="98" t="str">
        <f>IFERROR(VLOOKUP($A45,Worksheet!$A$5:$I$110,E$4,FALSE),"")</f>
        <v/>
      </c>
      <c r="F45" s="98" t="str">
        <f>IFERROR(VLOOKUP($A45,Worksheet!$A$5:$I$110,F$4,FALSE),"")</f>
        <v/>
      </c>
      <c r="G45" s="98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35"/>
      <c r="C46" s="135"/>
      <c r="D46" s="135"/>
      <c r="E46" s="135"/>
      <c r="F46" s="135"/>
      <c r="G46" s="135"/>
    </row>
    <row r="47" spans="1:8" x14ac:dyDescent="0.25">
      <c r="B47" s="135"/>
      <c r="C47" s="135"/>
      <c r="D47" s="135"/>
      <c r="E47" s="135"/>
      <c r="F47" s="135"/>
      <c r="G47" s="135"/>
    </row>
    <row r="48" spans="1:8" x14ac:dyDescent="0.25">
      <c r="B48" s="135"/>
      <c r="C48" s="135"/>
      <c r="D48" s="135"/>
      <c r="E48" s="135"/>
      <c r="F48" s="135"/>
      <c r="G48" s="135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zoomScaleNormal="100" workbookViewId="0">
      <selection activeCell="F9" sqref="F9"/>
    </sheetView>
  </sheetViews>
  <sheetFormatPr defaultColWidth="9.28515625" defaultRowHeight="15" x14ac:dyDescent="0.25"/>
  <cols>
    <col min="1" max="1" width="14.42578125" style="93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7" customWidth="1"/>
    <col min="10" max="10" width="8.5703125" style="107" customWidth="1"/>
    <col min="11" max="11" width="6" style="66" customWidth="1"/>
    <col min="12" max="12" width="7.5703125" style="66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66" bestFit="1" customWidth="1"/>
    <col min="20" max="20" width="5.28515625" style="66" bestFit="1" customWidth="1"/>
    <col min="21" max="21" width="12.7109375" style="66" customWidth="1"/>
    <col min="22" max="22" width="13.7109375" style="66" customWidth="1"/>
    <col min="23" max="23" width="8" style="66" customWidth="1"/>
    <col min="24" max="25" width="9.28515625" style="66"/>
    <col min="26" max="26" width="9.28515625" style="66" bestFit="1" customWidth="1"/>
    <col min="27" max="27" width="10.28515625" style="66" bestFit="1" customWidth="1"/>
    <col min="28" max="28" width="10.7109375" customWidth="1"/>
    <col min="29" max="29" width="11.28515625" customWidth="1"/>
    <col min="30" max="31" width="10.42578125" style="66" customWidth="1"/>
    <col min="32" max="32" width="10.28515625" customWidth="1"/>
    <col min="33" max="33" width="21.7109375" bestFit="1" customWidth="1"/>
    <col min="34" max="34" width="21.7109375" customWidth="1"/>
    <col min="35" max="35" width="9.140625" bestFit="1" customWidth="1"/>
    <col min="36" max="38" width="12" customWidth="1"/>
  </cols>
  <sheetData>
    <row r="1" spans="1:38" ht="18.75" x14ac:dyDescent="0.3">
      <c r="A1" s="89"/>
      <c r="B1" s="1"/>
      <c r="C1" s="2"/>
      <c r="D1" s="3" t="s">
        <v>20</v>
      </c>
      <c r="E1" s="2"/>
      <c r="F1" s="2" t="s">
        <v>63</v>
      </c>
      <c r="G1" s="2"/>
      <c r="H1" s="27"/>
      <c r="I1" s="58"/>
      <c r="J1" s="108"/>
      <c r="K1" s="54"/>
      <c r="L1" s="35"/>
      <c r="M1" s="128" t="s">
        <v>170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95"/>
    </row>
    <row r="2" spans="1:38" ht="18" x14ac:dyDescent="0.25">
      <c r="A2" s="91"/>
      <c r="B2" s="11"/>
      <c r="C2" s="121" t="s">
        <v>64</v>
      </c>
      <c r="D2" s="122"/>
      <c r="E2" s="122"/>
      <c r="F2" s="55" t="s">
        <v>2657</v>
      </c>
      <c r="G2" s="12"/>
      <c r="H2" s="28"/>
      <c r="I2" s="59"/>
      <c r="J2" s="106"/>
      <c r="K2" s="51"/>
      <c r="L2" s="36"/>
      <c r="M2" s="128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95"/>
    </row>
    <row r="3" spans="1:38" ht="16.5" customHeight="1" thickBot="1" x14ac:dyDescent="0.3">
      <c r="A3" s="91"/>
      <c r="B3" s="11"/>
      <c r="C3" s="14"/>
      <c r="D3" s="15"/>
      <c r="E3" s="136"/>
      <c r="F3" s="82">
        <v>45175</v>
      </c>
      <c r="G3" s="16"/>
      <c r="H3" s="28"/>
      <c r="I3" s="59"/>
      <c r="J3" s="106"/>
      <c r="K3" s="116"/>
      <c r="L3" s="36"/>
      <c r="M3" s="62">
        <v>45175.672673611109</v>
      </c>
      <c r="N3" s="5"/>
      <c r="O3" s="5"/>
      <c r="P3" s="5"/>
      <c r="Q3" s="5"/>
      <c r="R3" s="6"/>
      <c r="S3" s="7"/>
      <c r="T3" s="7"/>
      <c r="U3" s="123" t="s">
        <v>27</v>
      </c>
      <c r="V3" s="30"/>
      <c r="W3" s="8"/>
      <c r="X3" s="9"/>
      <c r="Y3" s="8"/>
      <c r="Z3" s="8" t="s">
        <v>1961</v>
      </c>
      <c r="AA3" s="8"/>
      <c r="AB3" s="8"/>
      <c r="AC3" s="8"/>
      <c r="AD3" s="8" t="s">
        <v>11</v>
      </c>
      <c r="AE3" s="8"/>
      <c r="AF3" s="7"/>
      <c r="AG3" s="119" t="s">
        <v>50</v>
      </c>
      <c r="AH3" s="96"/>
    </row>
    <row r="4" spans="1:38" ht="15.75" x14ac:dyDescent="0.25">
      <c r="A4" s="91"/>
      <c r="B4" s="1"/>
      <c r="C4" s="15"/>
      <c r="E4" s="15"/>
      <c r="F4" s="15"/>
      <c r="G4" s="15"/>
      <c r="H4" s="28"/>
      <c r="I4" s="59"/>
      <c r="J4" s="106"/>
      <c r="K4" s="51"/>
      <c r="L4" s="36"/>
      <c r="M4" s="17"/>
      <c r="N4" s="100" t="s">
        <v>2653</v>
      </c>
      <c r="O4" s="5"/>
      <c r="P4" s="5"/>
      <c r="Q4" s="5"/>
      <c r="R4" s="6"/>
      <c r="S4" s="7"/>
      <c r="T4" s="7"/>
      <c r="U4" s="124"/>
      <c r="V4" s="30"/>
      <c r="W4" s="8"/>
      <c r="X4" s="9"/>
      <c r="Y4" s="8"/>
      <c r="Z4" s="8" t="s">
        <v>62</v>
      </c>
      <c r="AA4" s="8"/>
      <c r="AB4" s="8"/>
      <c r="AC4" s="8"/>
      <c r="AD4" s="18"/>
      <c r="AE4" s="18"/>
      <c r="AF4" s="7"/>
      <c r="AG4" s="119"/>
      <c r="AH4" s="96"/>
    </row>
    <row r="5" spans="1:38" ht="39" customHeight="1" x14ac:dyDescent="0.25">
      <c r="A5" s="90" t="s">
        <v>2655</v>
      </c>
      <c r="B5" s="39" t="s">
        <v>29</v>
      </c>
      <c r="C5" s="40" t="s">
        <v>18</v>
      </c>
      <c r="D5" s="41" t="s">
        <v>30</v>
      </c>
      <c r="E5" s="40" t="s">
        <v>31</v>
      </c>
      <c r="F5" s="40" t="s">
        <v>32</v>
      </c>
      <c r="G5" s="40" t="s">
        <v>33</v>
      </c>
      <c r="H5" s="42" t="s">
        <v>34</v>
      </c>
      <c r="I5" s="60" t="s">
        <v>98</v>
      </c>
      <c r="J5" s="109" t="s">
        <v>0</v>
      </c>
      <c r="K5" s="38" t="s">
        <v>48</v>
      </c>
      <c r="L5" s="37" t="s">
        <v>49</v>
      </c>
      <c r="M5" s="19" t="s">
        <v>35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145</v>
      </c>
      <c r="T5" s="56" t="s">
        <v>146</v>
      </c>
      <c r="U5" s="125"/>
      <c r="V5" s="31" t="s">
        <v>28</v>
      </c>
      <c r="W5" s="22" t="s">
        <v>18</v>
      </c>
      <c r="X5" s="23" t="s">
        <v>36</v>
      </c>
      <c r="Y5" s="24" t="s">
        <v>37</v>
      </c>
      <c r="Z5" s="24" t="s">
        <v>38</v>
      </c>
      <c r="AA5" s="24" t="s">
        <v>39</v>
      </c>
      <c r="AB5" s="24" t="s">
        <v>41</v>
      </c>
      <c r="AC5" s="24" t="s">
        <v>40</v>
      </c>
      <c r="AD5" s="53" t="s">
        <v>17</v>
      </c>
      <c r="AE5" s="126" t="s">
        <v>42</v>
      </c>
      <c r="AF5" s="127"/>
      <c r="AG5" s="120"/>
      <c r="AH5" s="96" t="s">
        <v>2656</v>
      </c>
      <c r="AI5" s="29"/>
      <c r="AJ5" s="57"/>
      <c r="AK5" s="29"/>
      <c r="AL5" s="29"/>
    </row>
    <row r="6" spans="1:38" x14ac:dyDescent="0.25">
      <c r="A6" s="92" cm="1">
        <f t="array" ref="A6">IfEmpty(TRIM(_xlfn.CONCAT(C6:H6)),"",CRC32HASH(_xlfn.CONCAT(C6:H6)))</f>
        <v>174384610</v>
      </c>
      <c r="B6" s="11" t="str">
        <f>IFERROR(VLOOKUP(J6,Table1[],2,FALSE),"")</f>
        <v>Insulation</v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69" t="str">
        <f>IFERROR(ROUND(AVERAGE(N6:R6),-LOG10(V6))&amp;AH6,"")</f>
        <v>69 daV (DC)</v>
      </c>
      <c r="F6" s="50" t="str">
        <f t="shared" ref="F6:F37" si="1">IF(AB6="","",AB6&amp;$AH6)</f>
        <v>65 daV (DC)</v>
      </c>
      <c r="G6" s="50" t="str">
        <f t="shared" ref="G6:G37" si="2">IF(AC6="","",AC6&amp;$AH6)</f>
        <v>69 daV (DC)</v>
      </c>
      <c r="H6" s="44" t="str" cm="1">
        <f t="array" ref="H6:J6">IFERROR(CalcUnc(K6,L6,S6,T6,V6,X6,AD6,AE6,N6:R6,Z6,AA6),"")</f>
        <v>9.4 V</v>
      </c>
      <c r="I6" s="61" t="str">
        <v/>
      </c>
      <c r="J6" s="110" t="str">
        <v>Insulation DCV</v>
      </c>
      <c r="K6" s="67"/>
      <c r="L6" s="68" t="s">
        <v>65</v>
      </c>
      <c r="M6" s="26"/>
      <c r="N6" s="63">
        <v>69</v>
      </c>
      <c r="O6" s="64"/>
      <c r="P6" s="64"/>
      <c r="Q6" s="64"/>
      <c r="R6" s="65"/>
      <c r="S6" s="71" t="s">
        <v>148</v>
      </c>
      <c r="T6" s="71"/>
      <c r="U6" s="71"/>
      <c r="V6" s="72">
        <v>0.1</v>
      </c>
      <c r="W6" s="73">
        <v>60</v>
      </c>
      <c r="X6" s="74" t="s">
        <v>165</v>
      </c>
      <c r="Y6" s="94" t="str" cm="1">
        <f t="array" ref="Y6">GetPolarity(X6,AE6)</f>
        <v>DC</v>
      </c>
      <c r="Z6" s="75">
        <v>67</v>
      </c>
      <c r="AA6" s="76">
        <v>2</v>
      </c>
      <c r="AB6" s="88">
        <f t="shared" ref="AB6:AB37" si="3">IF(V6&lt;&gt;"",ROUND(Z6-AA6,-LOG10(V6)),"")</f>
        <v>65</v>
      </c>
      <c r="AC6" s="88">
        <f t="shared" ref="AC6:AC37" si="4">IF(V6&lt;&gt;"",ROUND(Z6+AA6,-LOG10(V6)),"")</f>
        <v>69</v>
      </c>
      <c r="AD6" s="80"/>
      <c r="AE6" s="81"/>
      <c r="AF6" s="25" t="str">
        <f>IF(RIGHT(AE6,2)="Hz","@ ","")&amp;AD6&amp;AE6</f>
        <v/>
      </c>
      <c r="AG6" s="33" t="str" cm="1">
        <f t="array" ref="AG6">FilterSpecialCharacters(X6)</f>
        <v>daV</v>
      </c>
      <c r="AH6" s="95" t="str">
        <f>" "&amp;AG6&amp;IF($Y6="",""," ("&amp;$Y6&amp;")")</f>
        <v xml:space="preserve"> daV (DC)</v>
      </c>
    </row>
    <row r="7" spans="1:38" x14ac:dyDescent="0.25">
      <c r="A7" s="92" cm="1">
        <f t="array" ref="A7">IfEmpty(TRIM(_xlfn.CONCAT(C7:H7)),"",CRC32HASH(_xlfn.CONCAT(C7:H7)))</f>
        <v>496692070</v>
      </c>
      <c r="B7" s="48" t="str">
        <f>IFERROR(VLOOKUP(J7,Table1[],2,FALSE),"")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70" t="str">
        <f>IFERROR(ROUND(AVERAGE(N7:R7),-LOG10(V7))&amp;AH7,"")</f>
        <v>5.002 V (AC)</v>
      </c>
      <c r="F7" s="51" t="str">
        <f t="shared" si="1"/>
        <v>4.947 V (AC)</v>
      </c>
      <c r="G7" s="51" t="str">
        <f t="shared" si="2"/>
        <v>5.053 V (AC)</v>
      </c>
      <c r="H7" s="47" t="str" cm="1">
        <f t="array" ref="H7:J7">IFERROR(CalcUnc(K7,L7,S7,T7,V7,X7,AD7,AE7,N7:R7,Z7,AA7),"")</f>
        <v>2.5 mV</v>
      </c>
      <c r="I7" s="61" t="str">
        <v/>
      </c>
      <c r="J7" s="110" t="str">
        <v>ACV</v>
      </c>
      <c r="K7" s="67"/>
      <c r="L7" s="68" t="s">
        <v>51</v>
      </c>
      <c r="M7" s="26"/>
      <c r="N7" s="63">
        <v>5.0018296473637278</v>
      </c>
      <c r="O7" s="64"/>
      <c r="P7" s="64"/>
      <c r="Q7" s="64"/>
      <c r="R7" s="65"/>
      <c r="S7" s="71"/>
      <c r="T7" s="71"/>
      <c r="U7" s="71"/>
      <c r="V7" s="72">
        <v>1E-3</v>
      </c>
      <c r="W7" s="73">
        <v>6</v>
      </c>
      <c r="X7" s="77" t="s">
        <v>6</v>
      </c>
      <c r="Y7" s="94" t="str" cm="1">
        <f t="array" ref="Y7">GetPolarity(X7,AE7)</f>
        <v>AC</v>
      </c>
      <c r="Z7" s="75">
        <v>5</v>
      </c>
      <c r="AA7" s="76">
        <v>5.2999999999999999E-2</v>
      </c>
      <c r="AB7" s="88">
        <f t="shared" si="3"/>
        <v>4.9470000000000001</v>
      </c>
      <c r="AC7" s="88">
        <f t="shared" si="4"/>
        <v>5.0529999999999999</v>
      </c>
      <c r="AD7" s="80">
        <v>500</v>
      </c>
      <c r="AE7" s="81" t="s">
        <v>9</v>
      </c>
      <c r="AF7" s="25" t="str">
        <f t="shared" ref="AF7:AF70" si="5">IF(RIGHT(AE7,2)="Hz","@ ","")&amp;AD7&amp;AE7</f>
        <v>@ 500Hz</v>
      </c>
      <c r="AG7" s="33" t="str" cm="1">
        <f t="array" ref="AG7">FilterSpecialCharacters(X7)</f>
        <v>V</v>
      </c>
      <c r="AH7" s="95" t="str">
        <f t="shared" ref="AH7:AH70" si="6">" "&amp;AG7&amp;IF($Y7="",""," ("&amp;$Y7&amp;")")</f>
        <v xml:space="preserve"> V (AC)</v>
      </c>
    </row>
    <row r="8" spans="1:38" x14ac:dyDescent="0.25">
      <c r="A8" s="92" cm="1">
        <f t="array" ref="A8">IfEmpty(TRIM(_xlfn.CONCAT(C8:H8)),"",CRC32HASH(_xlfn.CONCAT(C8:H8)))</f>
        <v>236682244</v>
      </c>
      <c r="B8" s="11" t="str">
        <f>IFERROR(VLOOKUP(J8,Table1[],2,FALSE),"")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69" t="str">
        <f t="shared" ref="E8:E71" si="7">IFERROR(ROUND(AVERAGE(N8:R8),-LOG10(V8))&amp;AH8,"")</f>
        <v>4.947 V (AC)</v>
      </c>
      <c r="F8" s="50" t="str">
        <f t="shared" si="1"/>
        <v>4.897 V (AC)</v>
      </c>
      <c r="G8" s="50" t="str">
        <f t="shared" si="2"/>
        <v>5.103 V (AC)</v>
      </c>
      <c r="H8" s="44" t="str" cm="1">
        <f t="array" ref="H8:J8">IFERROR(CalcUnc(K8,L8,S8,T8,V8,X8,AD8,AE8,N8:R8,Z8,AA8),"")</f>
        <v>2.5 mV</v>
      </c>
      <c r="I8" s="61" t="str">
        <v/>
      </c>
      <c r="J8" s="110" t="str">
        <v>ACV</v>
      </c>
      <c r="K8" s="67"/>
      <c r="L8" s="68" t="s">
        <v>51</v>
      </c>
      <c r="M8" s="26"/>
      <c r="N8" s="63">
        <v>4.947237042771655</v>
      </c>
      <c r="O8" s="64"/>
      <c r="P8" s="64"/>
      <c r="Q8" s="64"/>
      <c r="R8" s="65"/>
      <c r="S8" s="71"/>
      <c r="T8" s="71"/>
      <c r="U8" s="71"/>
      <c r="V8" s="72">
        <v>1E-3</v>
      </c>
      <c r="W8" s="73">
        <v>6</v>
      </c>
      <c r="X8" s="77" t="s">
        <v>6</v>
      </c>
      <c r="Y8" s="94" t="str" cm="1">
        <f t="array" ref="Y8">GetPolarity(X8,AE8)</f>
        <v>AC</v>
      </c>
      <c r="Z8" s="75">
        <v>5</v>
      </c>
      <c r="AA8" s="76">
        <v>0.10299999999999999</v>
      </c>
      <c r="AB8" s="88">
        <f t="shared" si="3"/>
        <v>4.8970000000000002</v>
      </c>
      <c r="AC8" s="88">
        <f t="shared" si="4"/>
        <v>5.1029999999999998</v>
      </c>
      <c r="AD8" s="80">
        <v>1</v>
      </c>
      <c r="AE8" s="81" t="s">
        <v>10</v>
      </c>
      <c r="AF8" s="25" t="str">
        <f t="shared" si="5"/>
        <v>@ 1kHz</v>
      </c>
      <c r="AG8" s="33" t="str" cm="1">
        <f t="array" ref="AG8">FilterSpecialCharacters(X8)</f>
        <v>V</v>
      </c>
      <c r="AH8" s="95" t="str">
        <f t="shared" si="6"/>
        <v xml:space="preserve"> V (AC)</v>
      </c>
    </row>
    <row r="9" spans="1:38" x14ac:dyDescent="0.25">
      <c r="A9" s="92" cm="1">
        <f t="array" ref="A9">IfEmpty(TRIM(_xlfn.CONCAT(C9:H9)),"",CRC32HASH(_xlfn.CONCAT(C9:H9)))</f>
        <v>262234357</v>
      </c>
      <c r="B9" s="48" t="str">
        <f>IFERROR(VLOOKUP(J9,Table1[],2,FALSE),"")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70" t="str">
        <f t="shared" si="7"/>
        <v>50.04 V (AC)</v>
      </c>
      <c r="F9" s="51" t="str">
        <f t="shared" si="1"/>
        <v>49.47 V (AC)</v>
      </c>
      <c r="G9" s="51" t="str">
        <f t="shared" si="2"/>
        <v>50.53 V (AC)</v>
      </c>
      <c r="H9" s="47" t="str" cm="1">
        <f t="array" ref="H9:J9">IFERROR(CalcUnc(K9,L9,S9,T9,V9,X9,AD9,AE9,N9:R9,Z9,AA9),"")</f>
        <v>33 mV</v>
      </c>
      <c r="I9" s="61" t="str">
        <v/>
      </c>
      <c r="J9" s="110" t="str">
        <v>ACV</v>
      </c>
      <c r="K9" s="67"/>
      <c r="L9" s="68" t="s">
        <v>51</v>
      </c>
      <c r="M9" s="26"/>
      <c r="N9" s="63">
        <v>50.041866555580285</v>
      </c>
      <c r="O9" s="64"/>
      <c r="P9" s="64"/>
      <c r="Q9" s="64"/>
      <c r="R9" s="65"/>
      <c r="S9" s="71"/>
      <c r="T9" s="71"/>
      <c r="U9" s="71"/>
      <c r="V9" s="72">
        <v>0.01</v>
      </c>
      <c r="W9" s="73">
        <v>60</v>
      </c>
      <c r="X9" s="77" t="s">
        <v>6</v>
      </c>
      <c r="Y9" s="94" t="str" cm="1">
        <f t="array" ref="Y9">GetPolarity(X9,AE9)</f>
        <v>AC</v>
      </c>
      <c r="Z9" s="75">
        <v>50</v>
      </c>
      <c r="AA9" s="76">
        <v>0.53</v>
      </c>
      <c r="AB9" s="88">
        <f t="shared" si="3"/>
        <v>49.47</v>
      </c>
      <c r="AC9" s="88">
        <f t="shared" si="4"/>
        <v>50.53</v>
      </c>
      <c r="AD9" s="80">
        <v>45</v>
      </c>
      <c r="AE9" s="81" t="s">
        <v>9</v>
      </c>
      <c r="AF9" s="25" t="str">
        <f t="shared" si="5"/>
        <v>@ 45Hz</v>
      </c>
      <c r="AG9" s="33" t="str" cm="1">
        <f t="array" ref="AG9">FilterSpecialCharacters(X9)</f>
        <v>V</v>
      </c>
      <c r="AH9" s="95" t="str">
        <f t="shared" si="6"/>
        <v xml:space="preserve"> V (AC)</v>
      </c>
    </row>
    <row r="10" spans="1:38" x14ac:dyDescent="0.25">
      <c r="A10" s="92" cm="1">
        <f t="array" ref="A10">IfEmpty(TRIM(_xlfn.CONCAT(C10:H10)),"",CRC32HASH(_xlfn.CONCAT(C10:H10)))</f>
        <v>-172668313</v>
      </c>
      <c r="B10" s="11" t="str">
        <f>IFERROR(VLOOKUP(J10,Table1[],2,FALSE),"")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69" t="str">
        <f t="shared" si="7"/>
        <v>49.97 V (AC)</v>
      </c>
      <c r="F10" s="50" t="str">
        <f t="shared" si="1"/>
        <v>48.97 V (AC)</v>
      </c>
      <c r="G10" s="50" t="str">
        <f t="shared" si="2"/>
        <v>51.03 V (AC)</v>
      </c>
      <c r="H10" s="44" t="str" cm="1">
        <f t="array" ref="H10:J10">IFERROR(CalcUnc(K10,L10,S10,T10,V10,X10,AD10,AE10,N10:R10,Z10,AA10),"")</f>
        <v>58 mV</v>
      </c>
      <c r="I10" s="61" t="str">
        <v/>
      </c>
      <c r="J10" s="110" t="str">
        <v>ACV</v>
      </c>
      <c r="K10" s="67"/>
      <c r="L10" s="68" t="s">
        <v>51</v>
      </c>
      <c r="M10" s="26"/>
      <c r="N10" s="63">
        <v>49.974815335739649</v>
      </c>
      <c r="O10" s="64"/>
      <c r="P10" s="64"/>
      <c r="Q10" s="64"/>
      <c r="R10" s="65"/>
      <c r="S10" s="71"/>
      <c r="T10" s="71"/>
      <c r="U10" s="71"/>
      <c r="V10" s="72">
        <v>0.01</v>
      </c>
      <c r="W10" s="73">
        <v>60</v>
      </c>
      <c r="X10" s="77" t="s">
        <v>6</v>
      </c>
      <c r="Y10" s="94" t="str" cm="1">
        <f t="array" ref="Y10">GetPolarity(X10,AE10)</f>
        <v>AC</v>
      </c>
      <c r="Z10" s="75">
        <v>50</v>
      </c>
      <c r="AA10" s="76">
        <v>1.03</v>
      </c>
      <c r="AB10" s="88">
        <f t="shared" si="3"/>
        <v>48.97</v>
      </c>
      <c r="AC10" s="88">
        <f t="shared" si="4"/>
        <v>51.03</v>
      </c>
      <c r="AD10" s="80">
        <v>1</v>
      </c>
      <c r="AE10" s="81" t="s">
        <v>10</v>
      </c>
      <c r="AF10" s="25" t="str">
        <f t="shared" si="5"/>
        <v>@ 1kHz</v>
      </c>
      <c r="AG10" s="33" t="str" cm="1">
        <f t="array" ref="AG10">FilterSpecialCharacters(X10)</f>
        <v>V</v>
      </c>
      <c r="AH10" s="95" t="str">
        <f t="shared" si="6"/>
        <v xml:space="preserve"> V (AC)</v>
      </c>
    </row>
    <row r="11" spans="1:38" x14ac:dyDescent="0.25">
      <c r="A11" s="92" cm="1">
        <f t="array" ref="A11">IfEmpty(TRIM(_xlfn.CONCAT(C11:H11)),"",CRC32HASH(_xlfn.CONCAT(C11:H11)))</f>
        <v>382924314</v>
      </c>
      <c r="B11" s="48" t="str">
        <f>IFERROR(VLOOKUP(J11,Table1[],2,FALSE),"")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70" t="str">
        <f t="shared" si="7"/>
        <v>299.6 V (AC)</v>
      </c>
      <c r="F11" s="51" t="str">
        <f t="shared" si="1"/>
        <v>296.7 V (AC)</v>
      </c>
      <c r="G11" s="51" t="str">
        <f t="shared" si="2"/>
        <v>303.3 V (AC)</v>
      </c>
      <c r="H11" s="47" t="str" cm="1">
        <f t="array" ref="H11:J11">IFERROR(CalcUnc(K11,L11,S11,T11,V11,X11,AD11,AE11,N11:R11,Z11,AA11),"")</f>
        <v>190 mV</v>
      </c>
      <c r="I11" s="61" t="str">
        <v/>
      </c>
      <c r="J11" s="110" t="str">
        <v>ACV</v>
      </c>
      <c r="K11" s="67"/>
      <c r="L11" s="68" t="s">
        <v>51</v>
      </c>
      <c r="M11" s="26"/>
      <c r="N11" s="63">
        <v>299.56465807435097</v>
      </c>
      <c r="O11" s="64"/>
      <c r="P11" s="64"/>
      <c r="Q11" s="64"/>
      <c r="R11" s="65"/>
      <c r="S11" s="71"/>
      <c r="T11" s="71"/>
      <c r="U11" s="71"/>
      <c r="V11" s="72">
        <v>0.1</v>
      </c>
      <c r="W11" s="73">
        <v>600</v>
      </c>
      <c r="X11" s="77" t="s">
        <v>6</v>
      </c>
      <c r="Y11" s="94" t="str" cm="1">
        <f t="array" ref="Y11">GetPolarity(X11,AE11)</f>
        <v>AC</v>
      </c>
      <c r="Z11" s="75">
        <v>300</v>
      </c>
      <c r="AA11" s="76">
        <v>3.3</v>
      </c>
      <c r="AB11" s="88">
        <f t="shared" si="3"/>
        <v>296.7</v>
      </c>
      <c r="AC11" s="88">
        <f t="shared" si="4"/>
        <v>303.3</v>
      </c>
      <c r="AD11" s="80">
        <v>45</v>
      </c>
      <c r="AE11" s="81" t="s">
        <v>9</v>
      </c>
      <c r="AF11" s="25" t="str">
        <f t="shared" si="5"/>
        <v>@ 45Hz</v>
      </c>
      <c r="AG11" s="33" t="str" cm="1">
        <f t="array" ref="AG11">FilterSpecialCharacters(X11)</f>
        <v>V</v>
      </c>
      <c r="AH11" s="95" t="str">
        <f t="shared" si="6"/>
        <v xml:space="preserve"> V (AC)</v>
      </c>
    </row>
    <row r="12" spans="1:38" x14ac:dyDescent="0.25">
      <c r="A12" s="92" cm="1">
        <f t="array" ref="A12">IfEmpty(TRIM(_xlfn.CONCAT(C12:H12)),"",CRC32HASH(_xlfn.CONCAT(C12:H12)))</f>
        <v>410868578</v>
      </c>
      <c r="B12" s="11" t="str">
        <f>IFERROR(VLOOKUP(J12,Table1[],2,FALSE),"")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69" t="str">
        <f t="shared" si="7"/>
        <v>498.8 V (AC)</v>
      </c>
      <c r="F12" s="50" t="str">
        <f t="shared" si="1"/>
        <v>494.7 V (AC)</v>
      </c>
      <c r="G12" s="50" t="str">
        <f t="shared" si="2"/>
        <v>505.3 V (AC)</v>
      </c>
      <c r="H12" s="44" t="str" cm="1">
        <f t="array" ref="H12:J12">IFERROR(CalcUnc(K12,L12,S12,T12,V12,X12,AD12,AE12,N12:R12,Z12,AA12),"")</f>
        <v>670 mV</v>
      </c>
      <c r="I12" s="61" t="str">
        <v/>
      </c>
      <c r="J12" s="110" t="str">
        <v>ACV</v>
      </c>
      <c r="K12" s="67"/>
      <c r="L12" s="68" t="s">
        <v>51</v>
      </c>
      <c r="M12" s="26"/>
      <c r="N12" s="63">
        <v>498.81797102124506</v>
      </c>
      <c r="O12" s="63"/>
      <c r="P12" s="64"/>
      <c r="Q12" s="64"/>
      <c r="R12" s="65"/>
      <c r="S12" s="71"/>
      <c r="T12" s="71"/>
      <c r="U12" s="71"/>
      <c r="V12" s="72">
        <v>0.1</v>
      </c>
      <c r="W12" s="73">
        <v>600</v>
      </c>
      <c r="X12" s="77" t="s">
        <v>6</v>
      </c>
      <c r="Y12" s="94" t="str" cm="1">
        <f t="array" ref="Y12">GetPolarity(X12,AE12)</f>
        <v>AC</v>
      </c>
      <c r="Z12" s="75">
        <v>500</v>
      </c>
      <c r="AA12" s="76">
        <v>5.3</v>
      </c>
      <c r="AB12" s="88">
        <f t="shared" si="3"/>
        <v>494.7</v>
      </c>
      <c r="AC12" s="88">
        <f t="shared" si="4"/>
        <v>505.3</v>
      </c>
      <c r="AD12" s="80">
        <v>500</v>
      </c>
      <c r="AE12" s="81" t="s">
        <v>9</v>
      </c>
      <c r="AF12" s="25" t="str">
        <f t="shared" si="5"/>
        <v>@ 500Hz</v>
      </c>
      <c r="AG12" s="33" t="str" cm="1">
        <f t="array" ref="AG12">FilterSpecialCharacters(X12)</f>
        <v>V</v>
      </c>
      <c r="AH12" s="95" t="str">
        <f t="shared" si="6"/>
        <v xml:space="preserve"> V (AC)</v>
      </c>
    </row>
    <row r="13" spans="1:38" x14ac:dyDescent="0.25">
      <c r="A13" s="92" cm="1">
        <f t="array" ref="A13">IfEmpty(TRIM(_xlfn.CONCAT(C13:H13)),"",CRC32HASH(_xlfn.CONCAT(C13:H13)))</f>
        <v>-55482732</v>
      </c>
      <c r="B13" s="48" t="str">
        <f>IFERROR(VLOOKUP(J13,Table1[],2,FALSE),"")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70" t="str">
        <f t="shared" si="7"/>
        <v>500.2 V (AC)</v>
      </c>
      <c r="F13" s="51" t="str">
        <f t="shared" si="1"/>
        <v>489.7 V (AC)</v>
      </c>
      <c r="G13" s="51" t="str">
        <f t="shared" si="2"/>
        <v>510.3 V (AC)</v>
      </c>
      <c r="H13" s="47" t="str" cm="1">
        <f t="array" ref="H13:J13">IFERROR(CalcUnc(K13,L13,S13,T13,V13,X13,AD13,AE13,N13:R13,Z13,AA13),"")</f>
        <v>670 mV</v>
      </c>
      <c r="I13" s="61" t="str">
        <v/>
      </c>
      <c r="J13" s="110" t="str">
        <v>ACV</v>
      </c>
      <c r="K13" s="67"/>
      <c r="L13" s="68" t="s">
        <v>51</v>
      </c>
      <c r="M13" s="26"/>
      <c r="N13" s="63">
        <v>500.18140973822221</v>
      </c>
      <c r="O13" s="64"/>
      <c r="P13" s="64"/>
      <c r="Q13" s="64"/>
      <c r="R13" s="65"/>
      <c r="S13" s="71"/>
      <c r="T13" s="71"/>
      <c r="U13" s="71"/>
      <c r="V13" s="72">
        <v>0.1</v>
      </c>
      <c r="W13" s="73">
        <v>600</v>
      </c>
      <c r="X13" s="77" t="s">
        <v>6</v>
      </c>
      <c r="Y13" s="94" t="str" cm="1">
        <f t="array" ref="Y13">GetPolarity(X13,AE13)</f>
        <v>AC</v>
      </c>
      <c r="Z13" s="75">
        <v>500</v>
      </c>
      <c r="AA13" s="73">
        <v>10.3</v>
      </c>
      <c r="AB13" s="88">
        <f t="shared" si="3"/>
        <v>489.7</v>
      </c>
      <c r="AC13" s="88">
        <f t="shared" si="4"/>
        <v>510.3</v>
      </c>
      <c r="AD13" s="75">
        <v>1</v>
      </c>
      <c r="AE13" s="73" t="s">
        <v>10</v>
      </c>
      <c r="AF13" s="25" t="str">
        <f t="shared" si="5"/>
        <v>@ 1kHz</v>
      </c>
      <c r="AG13" s="33" t="str" cm="1">
        <f t="array" ref="AG13">FilterSpecialCharacters(X13)</f>
        <v>V</v>
      </c>
      <c r="AH13" s="95" t="str">
        <f t="shared" si="6"/>
        <v xml:space="preserve"> V (AC)</v>
      </c>
    </row>
    <row r="14" spans="1:38" x14ac:dyDescent="0.25">
      <c r="A14" s="92" cm="1">
        <f t="array" ref="A14">IfEmpty(TRIM(_xlfn.CONCAT(C14:H14)),"",CRC32HASH(_xlfn.CONCAT(C14:H14)))</f>
        <v>-417944664</v>
      </c>
      <c r="B14" s="11" t="str">
        <f>IFERROR(VLOOKUP(J14,Table1[],2,FALSE),"")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69" t="str">
        <f t="shared" si="7"/>
        <v>997 V (AC)</v>
      </c>
      <c r="F14" s="50" t="str">
        <f t="shared" si="1"/>
        <v>987 V (AC)</v>
      </c>
      <c r="G14" s="50" t="str">
        <f t="shared" si="2"/>
        <v>1013 V (AC)</v>
      </c>
      <c r="H14" s="44" t="str" cm="1">
        <f t="array" ref="H14:J14">IFERROR(CalcUnc(K14,L14,S14,T14,V14,X14,AD14,AE14,N14:R14,Z14,AA14),"")</f>
        <v>5800 mV</v>
      </c>
      <c r="I14" s="61" t="str">
        <v/>
      </c>
      <c r="J14" s="110" t="str">
        <v>ACV</v>
      </c>
      <c r="K14" s="67"/>
      <c r="L14" s="68" t="s">
        <v>51</v>
      </c>
      <c r="M14" s="26"/>
      <c r="N14" s="63">
        <v>997.18284190593704</v>
      </c>
      <c r="O14" s="64"/>
      <c r="P14" s="64"/>
      <c r="Q14" s="64"/>
      <c r="R14" s="65"/>
      <c r="S14" s="71"/>
      <c r="T14" s="71"/>
      <c r="U14" s="71"/>
      <c r="V14" s="72">
        <v>1</v>
      </c>
      <c r="W14" s="73">
        <v>1000</v>
      </c>
      <c r="X14" s="77" t="s">
        <v>6</v>
      </c>
      <c r="Y14" s="94" t="str" cm="1">
        <f t="array" ref="Y14">GetPolarity(X14,AE14)</f>
        <v>AC</v>
      </c>
      <c r="Z14" s="75">
        <v>1000</v>
      </c>
      <c r="AA14" s="73">
        <v>13</v>
      </c>
      <c r="AB14" s="88">
        <f t="shared" si="3"/>
        <v>987</v>
      </c>
      <c r="AC14" s="88">
        <f t="shared" si="4"/>
        <v>1013</v>
      </c>
      <c r="AD14" s="75">
        <v>45</v>
      </c>
      <c r="AE14" s="73" t="s">
        <v>9</v>
      </c>
      <c r="AF14" s="25" t="str">
        <f t="shared" si="5"/>
        <v>@ 45Hz</v>
      </c>
      <c r="AG14" s="33" t="str" cm="1">
        <f t="array" ref="AG14">FilterSpecialCharacters(X14)</f>
        <v>V</v>
      </c>
      <c r="AH14" s="95" t="str">
        <f t="shared" si="6"/>
        <v xml:space="preserve"> V (AC)</v>
      </c>
    </row>
    <row r="15" spans="1:38" x14ac:dyDescent="0.25">
      <c r="A15" s="92" t="str" cm="1">
        <f t="array" ref="A15">IfEmpty(TRIM(_xlfn.CONCAT(C15:H15)),"",CRC32HASH(_xlfn.CONCAT(C15:H15)))</f>
        <v/>
      </c>
      <c r="B15" s="48" t="str">
        <f>IFERROR(VLOOKUP(J15,Table1[],2,FALSE),"")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70" t="str">
        <f t="shared" si="7"/>
        <v/>
      </c>
      <c r="F15" s="51" t="str">
        <f t="shared" si="1"/>
        <v/>
      </c>
      <c r="G15" s="51" t="str">
        <f t="shared" si="2"/>
        <v/>
      </c>
      <c r="H15" s="47" t="str" cm="1">
        <f t="array" ref="H15:J15">IFERROR(CalcUnc(K15,L15,S15,T15,V15,X15,AD15,AE15,N15:R15,Z15,AA15),"")</f>
        <v/>
      </c>
      <c r="I15" s="61" t="str">
        <v/>
      </c>
      <c r="J15" s="110" t="str">
        <v/>
      </c>
      <c r="K15" s="67"/>
      <c r="L15" s="68"/>
      <c r="M15" s="26"/>
      <c r="N15" s="63"/>
      <c r="O15" s="64"/>
      <c r="P15" s="64"/>
      <c r="Q15" s="64"/>
      <c r="R15" s="65"/>
      <c r="S15" s="71"/>
      <c r="T15" s="71"/>
      <c r="U15" s="71"/>
      <c r="V15" s="72"/>
      <c r="W15" s="73"/>
      <c r="X15" s="77"/>
      <c r="Y15" s="94" t="str" cm="1">
        <f t="array" ref="Y15">GetPolarity(X15,AE15)</f>
        <v/>
      </c>
      <c r="Z15" s="75"/>
      <c r="AA15" s="73"/>
      <c r="AB15" s="88" t="str">
        <f t="shared" si="3"/>
        <v/>
      </c>
      <c r="AC15" s="88" t="str">
        <f t="shared" si="4"/>
        <v/>
      </c>
      <c r="AD15" s="75"/>
      <c r="AE15" s="73"/>
      <c r="AF15" s="25" t="str">
        <f t="shared" si="5"/>
        <v/>
      </c>
      <c r="AG15" s="33" t="str" cm="1">
        <f t="array" ref="AG15">FilterSpecialCharacters(X15)</f>
        <v/>
      </c>
      <c r="AH15" s="95" t="str">
        <f t="shared" si="6"/>
        <v xml:space="preserve"> </v>
      </c>
      <c r="AI15" s="49"/>
    </row>
    <row r="16" spans="1:38" x14ac:dyDescent="0.25">
      <c r="A16" s="92" t="str" cm="1">
        <f t="array" ref="A16">IfEmpty(TRIM(_xlfn.CONCAT(C16:H16)),"",CRC32HASH(_xlfn.CONCAT(C16:H16)))</f>
        <v/>
      </c>
      <c r="B16" s="11" t="str">
        <f>IFERROR(VLOOKUP(J16,Table1[],2,FALSE),"")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69" t="str">
        <f t="shared" si="7"/>
        <v/>
      </c>
      <c r="F16" s="50" t="str">
        <f t="shared" si="1"/>
        <v/>
      </c>
      <c r="G16" s="50" t="str">
        <f t="shared" si="2"/>
        <v/>
      </c>
      <c r="H16" s="44" t="str" cm="1">
        <f t="array" ref="H16:J16">IFERROR(CalcUnc(K16,L16,S16,T16,V16,X16,AD16,AE16,N16:R16,Z16,AA16),"")</f>
        <v/>
      </c>
      <c r="I16" s="61" t="str">
        <v/>
      </c>
      <c r="J16" s="110" t="str">
        <v/>
      </c>
      <c r="K16" s="67"/>
      <c r="L16" s="68"/>
      <c r="M16" s="26"/>
      <c r="N16" s="63"/>
      <c r="O16" s="64"/>
      <c r="P16" s="64"/>
      <c r="Q16" s="64"/>
      <c r="R16" s="65"/>
      <c r="S16" s="71"/>
      <c r="T16" s="71"/>
      <c r="U16" s="71"/>
      <c r="V16" s="72"/>
      <c r="W16" s="73"/>
      <c r="X16" s="77"/>
      <c r="Y16" s="94" t="str" cm="1">
        <f t="array" ref="Y16">GetPolarity(X16,AE16)</f>
        <v/>
      </c>
      <c r="Z16" s="75"/>
      <c r="AA16" s="73"/>
      <c r="AB16" s="88" t="str">
        <f t="shared" si="3"/>
        <v/>
      </c>
      <c r="AC16" s="88" t="str">
        <f t="shared" si="4"/>
        <v/>
      </c>
      <c r="AD16" s="75"/>
      <c r="AE16" s="73"/>
      <c r="AF16" s="25" t="str">
        <f t="shared" si="5"/>
        <v/>
      </c>
      <c r="AG16" s="33" t="str" cm="1">
        <f t="array" ref="AG16">FilterSpecialCharacters(X16)</f>
        <v/>
      </c>
      <c r="AH16" s="95" t="str">
        <f t="shared" si="6"/>
        <v xml:space="preserve"> </v>
      </c>
      <c r="AI16" s="49"/>
    </row>
    <row r="17" spans="1:35" x14ac:dyDescent="0.25">
      <c r="A17" s="92" cm="1">
        <f t="array" ref="A17">IfEmpty(TRIM(_xlfn.CONCAT(C17:H17)),"",CRC32HASH(_xlfn.CONCAT(C17:H17)))</f>
        <v>-21486868</v>
      </c>
      <c r="B17" s="48" t="str">
        <f>IFERROR(VLOOKUP(J17,Table1[],2,FALSE),"")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70" t="str">
        <f t="shared" si="7"/>
        <v>5 V (DC)</v>
      </c>
      <c r="F17" s="51" t="str">
        <f t="shared" si="1"/>
        <v>4.99 V (DC)</v>
      </c>
      <c r="G17" s="51" t="str">
        <f t="shared" si="2"/>
        <v>5.01 V (DC)</v>
      </c>
      <c r="H17" s="47" t="str" cm="1">
        <f t="array" ref="H17:J17">IFERROR(CalcUnc(K17,L17,S17,T17,V17,X17,AD17,AE17,N17:R17,Z17,AA17),"")</f>
        <v>5.8 mV</v>
      </c>
      <c r="I17" s="61" t="str">
        <v/>
      </c>
      <c r="J17" s="110" t="str">
        <v>DCV</v>
      </c>
      <c r="K17" s="67"/>
      <c r="L17" s="68" t="s">
        <v>51</v>
      </c>
      <c r="M17" s="26"/>
      <c r="N17" s="63">
        <v>5</v>
      </c>
      <c r="O17" s="64"/>
      <c r="P17" s="64"/>
      <c r="Q17" s="64"/>
      <c r="R17" s="65"/>
      <c r="S17" s="71"/>
      <c r="T17" s="71"/>
      <c r="U17" s="71"/>
      <c r="V17" s="71">
        <v>0.01</v>
      </c>
      <c r="W17" s="73">
        <v>6</v>
      </c>
      <c r="X17" s="77" t="s">
        <v>6</v>
      </c>
      <c r="Y17" s="94" t="str" cm="1">
        <f t="array" ref="Y17">GetPolarity(X17,AE17)</f>
        <v>DC</v>
      </c>
      <c r="Z17" s="75">
        <v>5</v>
      </c>
      <c r="AA17" s="73">
        <v>7.0000000000000001E-3</v>
      </c>
      <c r="AB17" s="88">
        <f t="shared" si="3"/>
        <v>4.99</v>
      </c>
      <c r="AC17" s="88">
        <f t="shared" si="4"/>
        <v>5.01</v>
      </c>
      <c r="AD17" s="75"/>
      <c r="AE17" s="73"/>
      <c r="AF17" s="25" t="str">
        <f t="shared" si="5"/>
        <v/>
      </c>
      <c r="AG17" s="33" t="str" cm="1">
        <f t="array" ref="AG17">FilterSpecialCharacters(X17)</f>
        <v>V</v>
      </c>
      <c r="AH17" s="95" t="str">
        <f t="shared" si="6"/>
        <v xml:space="preserve"> V (DC)</v>
      </c>
    </row>
    <row r="18" spans="1:35" x14ac:dyDescent="0.25">
      <c r="A18" s="92" cm="1">
        <f t="array" ref="A18">IfEmpty(TRIM(_xlfn.CONCAT(C18:H18)),"",CRC32HASH(_xlfn.CONCAT(C18:H18)))</f>
        <v>-6474445</v>
      </c>
      <c r="B18" s="11" t="str">
        <f>IFERROR(VLOOKUP(J18,Table1[],2,FALSE),"")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69" t="str">
        <f t="shared" si="7"/>
        <v>300 V (DC)</v>
      </c>
      <c r="F18" s="50" t="str">
        <f t="shared" si="1"/>
        <v>299.5 V (DC)</v>
      </c>
      <c r="G18" s="50" t="str">
        <f t="shared" si="2"/>
        <v>300.5 V (DC)</v>
      </c>
      <c r="H18" s="44" t="str" cm="1">
        <f t="array" ref="H18:J18">IFERROR(CalcUnc(K18,L18,S18,T18,V18,X18,AD18,AE18,N18:R18,Z18,AA18),"")</f>
        <v>62 mV</v>
      </c>
      <c r="I18" s="61" t="str">
        <v/>
      </c>
      <c r="J18" s="110" t="str">
        <v>DCV</v>
      </c>
      <c r="K18" s="67"/>
      <c r="L18" s="68" t="s">
        <v>51</v>
      </c>
      <c r="M18" s="26"/>
      <c r="N18" s="63">
        <v>300</v>
      </c>
      <c r="O18" s="64"/>
      <c r="P18" s="64"/>
      <c r="Q18" s="64"/>
      <c r="R18" s="65"/>
      <c r="S18" s="71"/>
      <c r="T18" s="71"/>
      <c r="U18" s="71"/>
      <c r="V18" s="72">
        <v>0.1</v>
      </c>
      <c r="W18" s="73">
        <v>600</v>
      </c>
      <c r="X18" s="77" t="s">
        <v>6</v>
      </c>
      <c r="Y18" s="94" t="str" cm="1">
        <f t="array" ref="Y18">GetPolarity(X18,AE18)</f>
        <v>DC</v>
      </c>
      <c r="Z18" s="75">
        <v>300</v>
      </c>
      <c r="AA18" s="73">
        <v>0.5</v>
      </c>
      <c r="AB18" s="88">
        <f t="shared" si="3"/>
        <v>299.5</v>
      </c>
      <c r="AC18" s="88">
        <f t="shared" si="4"/>
        <v>300.5</v>
      </c>
      <c r="AD18" s="75"/>
      <c r="AE18" s="73"/>
      <c r="AF18" s="25" t="str">
        <f t="shared" si="5"/>
        <v/>
      </c>
      <c r="AG18" s="33" t="str" cm="1">
        <f t="array" ref="AG18">FilterSpecialCharacters(X18)</f>
        <v>V</v>
      </c>
      <c r="AH18" s="95" t="str">
        <f t="shared" si="6"/>
        <v xml:space="preserve"> V (DC)</v>
      </c>
    </row>
    <row r="19" spans="1:35" x14ac:dyDescent="0.25">
      <c r="A19" s="92" cm="1">
        <f t="array" ref="A19">IfEmpty(TRIM(_xlfn.CONCAT(C19:H19)),"",CRC32HASH(_xlfn.CONCAT(C19:H19)))</f>
        <v>251385326</v>
      </c>
      <c r="B19" s="48" t="str">
        <f>IFERROR(VLOOKUP(J19,Table1[],2,FALSE),"")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70" t="str">
        <f t="shared" si="7"/>
        <v>1000 V (DC)</v>
      </c>
      <c r="F19" s="51" t="str">
        <f t="shared" si="1"/>
        <v>997 V (DC)</v>
      </c>
      <c r="G19" s="51" t="str">
        <f t="shared" si="2"/>
        <v>1003 V (DC)</v>
      </c>
      <c r="H19" s="47" t="str" cm="1">
        <f t="array" ref="H19:J19">IFERROR(CalcUnc(K19,L19,S19,T19,V19,X19,AD19,AE19,N19:R19,Z19,AA19),"")</f>
        <v>580 mV</v>
      </c>
      <c r="I19" s="61" t="str">
        <v/>
      </c>
      <c r="J19" s="110" t="str">
        <v>DCV</v>
      </c>
      <c r="K19" s="67"/>
      <c r="L19" s="68" t="s">
        <v>51</v>
      </c>
      <c r="M19" s="26"/>
      <c r="N19" s="63">
        <v>1000</v>
      </c>
      <c r="O19" s="64"/>
      <c r="P19" s="64"/>
      <c r="Q19" s="64"/>
      <c r="R19" s="65"/>
      <c r="S19" s="71"/>
      <c r="T19" s="71"/>
      <c r="U19" s="71"/>
      <c r="V19" s="72">
        <v>1</v>
      </c>
      <c r="W19" s="73">
        <v>1000</v>
      </c>
      <c r="X19" s="77" t="s">
        <v>6</v>
      </c>
      <c r="Y19" s="94" t="str" cm="1">
        <f t="array" ref="Y19">GetPolarity(X19,AE19)</f>
        <v>DC</v>
      </c>
      <c r="Z19" s="75">
        <v>1000</v>
      </c>
      <c r="AA19" s="73">
        <v>3</v>
      </c>
      <c r="AB19" s="88">
        <f t="shared" si="3"/>
        <v>997</v>
      </c>
      <c r="AC19" s="88">
        <f t="shared" si="4"/>
        <v>1003</v>
      </c>
      <c r="AD19" s="75"/>
      <c r="AE19" s="73"/>
      <c r="AF19" s="25" t="str">
        <f t="shared" si="5"/>
        <v/>
      </c>
      <c r="AG19" s="33" t="str" cm="1">
        <f t="array" ref="AG19">FilterSpecialCharacters(X19)</f>
        <v>V</v>
      </c>
      <c r="AH19" s="95" t="str">
        <f t="shared" si="6"/>
        <v xml:space="preserve"> V (DC)</v>
      </c>
    </row>
    <row r="20" spans="1:35" x14ac:dyDescent="0.25">
      <c r="A20" s="92" cm="1">
        <f t="array" ref="A20">IfEmpty(TRIM(_xlfn.CONCAT(C20:H20)),"",CRC32HASH(_xlfn.CONCAT(C20:H20)))</f>
        <v>-146082280</v>
      </c>
      <c r="B20" s="11" t="str">
        <f>IFERROR(VLOOKUP(J20,Table1[],2,FALSE),"")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69" t="str">
        <f t="shared" si="7"/>
        <v>-1000 V (DC)</v>
      </c>
      <c r="F20" s="50" t="str">
        <f t="shared" si="1"/>
        <v>-1003 V (DC)</v>
      </c>
      <c r="G20" s="50" t="str">
        <f t="shared" si="2"/>
        <v>-997 V (DC)</v>
      </c>
      <c r="H20" s="44" t="str" cm="1">
        <f t="array" ref="H20:J20">IFERROR(CalcUnc(K20,L20,S20,T20,V20,X20,AD20,AE20,N20:R20,Z20,AA20),"")</f>
        <v>580 mV</v>
      </c>
      <c r="I20" s="61" t="str">
        <v/>
      </c>
      <c r="J20" s="110" t="str">
        <v>DCV</v>
      </c>
      <c r="K20" s="67"/>
      <c r="L20" s="68" t="s">
        <v>51</v>
      </c>
      <c r="M20" s="26"/>
      <c r="N20" s="63">
        <v>-1000</v>
      </c>
      <c r="O20" s="64"/>
      <c r="P20" s="64"/>
      <c r="Q20" s="64"/>
      <c r="R20" s="65"/>
      <c r="S20" s="71"/>
      <c r="T20" s="71"/>
      <c r="U20" s="71"/>
      <c r="V20" s="72">
        <v>1</v>
      </c>
      <c r="W20" s="73">
        <v>1000</v>
      </c>
      <c r="X20" s="77" t="s">
        <v>6</v>
      </c>
      <c r="Y20" s="94" t="str" cm="1">
        <f t="array" ref="Y20">GetPolarity(X20,AE20)</f>
        <v>DC</v>
      </c>
      <c r="Z20" s="75">
        <v>-1000</v>
      </c>
      <c r="AA20" s="73">
        <v>3</v>
      </c>
      <c r="AB20" s="88">
        <f t="shared" si="3"/>
        <v>-1003</v>
      </c>
      <c r="AC20" s="88">
        <f t="shared" si="4"/>
        <v>-997</v>
      </c>
      <c r="AD20" s="75"/>
      <c r="AE20" s="73"/>
      <c r="AF20" s="25" t="str">
        <f t="shared" si="5"/>
        <v/>
      </c>
      <c r="AG20" s="33" t="str" cm="1">
        <f t="array" ref="AG20">FilterSpecialCharacters(X20)</f>
        <v>V</v>
      </c>
      <c r="AH20" s="95" t="str">
        <f t="shared" si="6"/>
        <v xml:space="preserve"> V (DC)</v>
      </c>
    </row>
    <row r="21" spans="1:35" x14ac:dyDescent="0.25">
      <c r="A21" s="92" t="str" cm="1">
        <f t="array" ref="A21">IfEmpty(TRIM(_xlfn.CONCAT(C21:H21)),"",CRC32HASH(_xlfn.CONCAT(C21:H21)))</f>
        <v/>
      </c>
      <c r="B21" s="48" t="str">
        <f>IFERROR(VLOOKUP(J21,Table1[],2,FALSE),"")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70" t="str">
        <f t="shared" si="7"/>
        <v/>
      </c>
      <c r="F21" s="51" t="str">
        <f t="shared" si="1"/>
        <v/>
      </c>
      <c r="G21" s="51" t="str">
        <f t="shared" si="2"/>
        <v/>
      </c>
      <c r="H21" s="47" t="str" cm="1">
        <f t="array" ref="H21:J21">IFERROR(CalcUnc(K21,L21,S21,T21,V21,X21,AD21,AE21,N21:R21,Z21,AA21),"")</f>
        <v/>
      </c>
      <c r="I21" s="61" t="str">
        <v/>
      </c>
      <c r="J21" s="110" t="str">
        <v/>
      </c>
      <c r="K21" s="67"/>
      <c r="L21" s="68"/>
      <c r="M21" s="26"/>
      <c r="N21" s="63"/>
      <c r="O21" s="64"/>
      <c r="P21" s="64"/>
      <c r="Q21" s="64"/>
      <c r="R21" s="65"/>
      <c r="S21" s="71"/>
      <c r="T21" s="71"/>
      <c r="U21" s="71"/>
      <c r="V21" s="72"/>
      <c r="W21" s="73"/>
      <c r="X21" s="77"/>
      <c r="Y21" s="94" t="str" cm="1">
        <f t="array" ref="Y21">GetPolarity(X21,AE21)</f>
        <v/>
      </c>
      <c r="Z21" s="75"/>
      <c r="AA21" s="73"/>
      <c r="AB21" s="88" t="str">
        <f t="shared" si="3"/>
        <v/>
      </c>
      <c r="AC21" s="88" t="str">
        <f t="shared" si="4"/>
        <v/>
      </c>
      <c r="AD21" s="75"/>
      <c r="AE21" s="73"/>
      <c r="AF21" s="25" t="str">
        <f t="shared" si="5"/>
        <v/>
      </c>
      <c r="AG21" s="33" t="str" cm="1">
        <f t="array" ref="AG21">FilterSpecialCharacters(X21)</f>
        <v/>
      </c>
      <c r="AH21" s="95" t="str">
        <f t="shared" si="6"/>
        <v xml:space="preserve"> </v>
      </c>
      <c r="AI21" s="49"/>
    </row>
    <row r="22" spans="1:35" x14ac:dyDescent="0.25">
      <c r="A22" s="92" t="str" cm="1">
        <f t="array" ref="A22">IfEmpty(TRIM(_xlfn.CONCAT(C22:H22)),"",CRC32HASH(_xlfn.CONCAT(C22:H22)))</f>
        <v/>
      </c>
      <c r="B22" s="11" t="str">
        <f>IFERROR(VLOOKUP(J22,Table1[],2,FALSE),"")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69" t="str">
        <f t="shared" si="7"/>
        <v/>
      </c>
      <c r="F22" s="50" t="str">
        <f t="shared" si="1"/>
        <v/>
      </c>
      <c r="G22" s="50" t="str">
        <f t="shared" si="2"/>
        <v/>
      </c>
      <c r="H22" s="44" t="str" cm="1">
        <f t="array" ref="H22:J22">IFERROR(CalcUnc(K22,L22,S22,T22,V22,X22,AD22,AE22,N22:R22,Z22,AA22),"")</f>
        <v/>
      </c>
      <c r="I22" s="61" t="str">
        <v/>
      </c>
      <c r="J22" s="110" t="str">
        <v/>
      </c>
      <c r="K22" s="67"/>
      <c r="L22" s="68"/>
      <c r="M22" s="26"/>
      <c r="N22" s="63"/>
      <c r="O22" s="64"/>
      <c r="P22" s="64"/>
      <c r="Q22" s="64"/>
      <c r="R22" s="65"/>
      <c r="S22" s="71"/>
      <c r="T22" s="71"/>
      <c r="U22" s="71"/>
      <c r="V22" s="72"/>
      <c r="W22" s="73"/>
      <c r="X22" s="77"/>
      <c r="Y22" s="94" t="str" cm="1">
        <f t="array" ref="Y22">GetPolarity(X22,AE22)</f>
        <v/>
      </c>
      <c r="Z22" s="75"/>
      <c r="AA22" s="73"/>
      <c r="AB22" s="88" t="str">
        <f t="shared" si="3"/>
        <v/>
      </c>
      <c r="AC22" s="88" t="str">
        <f t="shared" si="4"/>
        <v/>
      </c>
      <c r="AD22" s="75"/>
      <c r="AE22" s="73"/>
      <c r="AF22" s="25" t="str">
        <f t="shared" si="5"/>
        <v/>
      </c>
      <c r="AG22" s="33" t="str" cm="1">
        <f t="array" ref="AG22">FilterSpecialCharacters(X22)</f>
        <v/>
      </c>
      <c r="AH22" s="95" t="str">
        <f t="shared" si="6"/>
        <v xml:space="preserve"> </v>
      </c>
      <c r="AI22" s="49"/>
    </row>
    <row r="23" spans="1:35" x14ac:dyDescent="0.25">
      <c r="A23" s="92" cm="1">
        <f t="array" ref="A23">IfEmpty(TRIM(_xlfn.CONCAT(C23:H23)),"",CRC32HASH(_xlfn.CONCAT(C23:H23)))</f>
        <v>267957746</v>
      </c>
      <c r="B23" s="48" t="str">
        <f>IFERROR(VLOOKUP(J23,Table1[],2,FALSE),"")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70" t="str">
        <f t="shared" si="7"/>
        <v>30 mV (DC)</v>
      </c>
      <c r="F23" s="51" t="str">
        <f t="shared" si="1"/>
        <v>29.8 mV (DC)</v>
      </c>
      <c r="G23" s="51" t="str">
        <f t="shared" si="2"/>
        <v>30.2 mV (DC)</v>
      </c>
      <c r="H23" s="47" t="str" cm="1">
        <f t="array" ref="H23:J23">IFERROR(CalcUnc(K23,L23,S23,T23,V23,X23,AD23,AE23,N23:R23,Z23,AA23),"")</f>
        <v>59 µV</v>
      </c>
      <c r="I23" s="61" t="str">
        <v/>
      </c>
      <c r="J23" s="110" t="str">
        <v>DCV</v>
      </c>
      <c r="K23" s="67"/>
      <c r="L23" s="68" t="s">
        <v>51</v>
      </c>
      <c r="M23" s="26"/>
      <c r="N23" s="63">
        <v>30</v>
      </c>
      <c r="O23" s="64"/>
      <c r="P23" s="64"/>
      <c r="Q23" s="64"/>
      <c r="R23" s="65"/>
      <c r="S23" s="71"/>
      <c r="T23" s="71"/>
      <c r="U23" s="71"/>
      <c r="V23" s="72">
        <v>0.1</v>
      </c>
      <c r="W23" s="73">
        <v>600</v>
      </c>
      <c r="X23" s="77" t="s">
        <v>4</v>
      </c>
      <c r="Y23" s="94" t="str" cm="1">
        <f t="array" ref="Y23">GetPolarity(X23,AE23)</f>
        <v>DC</v>
      </c>
      <c r="Z23" s="75">
        <v>30</v>
      </c>
      <c r="AA23" s="73">
        <v>0.2</v>
      </c>
      <c r="AB23" s="88">
        <f t="shared" si="3"/>
        <v>29.8</v>
      </c>
      <c r="AC23" s="88">
        <f t="shared" si="4"/>
        <v>30.2</v>
      </c>
      <c r="AD23" s="75"/>
      <c r="AE23" s="73"/>
      <c r="AF23" s="25" t="str">
        <f t="shared" si="5"/>
        <v/>
      </c>
      <c r="AG23" s="33" t="str" cm="1">
        <f t="array" ref="AG23">FilterSpecialCharacters(X23)</f>
        <v>mV</v>
      </c>
      <c r="AH23" s="95" t="str">
        <f t="shared" si="6"/>
        <v xml:space="preserve"> mV (DC)</v>
      </c>
    </row>
    <row r="24" spans="1:35" x14ac:dyDescent="0.25">
      <c r="A24" s="92" cm="1">
        <f t="array" ref="A24">IfEmpty(TRIM(_xlfn.CONCAT(C24:H24)),"",CRC32HASH(_xlfn.CONCAT(C24:H24)))</f>
        <v>-103933429</v>
      </c>
      <c r="B24" s="11" t="str">
        <f>IFERROR(VLOOKUP(J24,Table1[],2,FALSE),"")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69" t="str">
        <f t="shared" si="7"/>
        <v>-299.9 mV (DC)</v>
      </c>
      <c r="F24" s="50" t="str">
        <f t="shared" si="1"/>
        <v>-300.5 mV (DC)</v>
      </c>
      <c r="G24" s="50" t="str">
        <f t="shared" si="2"/>
        <v>-299.5 mV (DC)</v>
      </c>
      <c r="H24" s="44" t="str" cm="1">
        <f t="array" ref="H24:J24">IFERROR(CalcUnc(K24,L24,S24,T24,V24,X24,AD24,AE24,N24:R24,Z24,AA24),"")</f>
        <v>63 µV</v>
      </c>
      <c r="I24" s="61" t="str">
        <v/>
      </c>
      <c r="J24" s="110" t="str">
        <v>DCV</v>
      </c>
      <c r="K24" s="67"/>
      <c r="L24" s="68" t="s">
        <v>51</v>
      </c>
      <c r="M24" s="26"/>
      <c r="N24" s="63">
        <v>-299.89999999999998</v>
      </c>
      <c r="O24" s="64"/>
      <c r="P24" s="64"/>
      <c r="Q24" s="64"/>
      <c r="R24" s="65"/>
      <c r="S24" s="71"/>
      <c r="T24" s="71"/>
      <c r="U24" s="71"/>
      <c r="V24" s="72">
        <v>0.1</v>
      </c>
      <c r="W24" s="73">
        <v>600</v>
      </c>
      <c r="X24" s="77" t="s">
        <v>4</v>
      </c>
      <c r="Y24" s="94" t="str" cm="1">
        <f t="array" ref="Y24">GetPolarity(X24,AE24)</f>
        <v>DC</v>
      </c>
      <c r="Z24" s="75">
        <v>-300</v>
      </c>
      <c r="AA24" s="73">
        <v>0.5</v>
      </c>
      <c r="AB24" s="88">
        <f t="shared" si="3"/>
        <v>-300.5</v>
      </c>
      <c r="AC24" s="88">
        <f t="shared" si="4"/>
        <v>-299.5</v>
      </c>
      <c r="AD24" s="75"/>
      <c r="AE24" s="73"/>
      <c r="AF24" s="25" t="str">
        <f t="shared" si="5"/>
        <v/>
      </c>
      <c r="AG24" s="33" t="str" cm="1">
        <f t="array" ref="AG24">FilterSpecialCharacters(X24)</f>
        <v>mV</v>
      </c>
      <c r="AH24" s="95" t="str">
        <f t="shared" si="6"/>
        <v xml:space="preserve"> mV (DC)</v>
      </c>
    </row>
    <row r="25" spans="1:35" x14ac:dyDescent="0.25">
      <c r="A25" s="92" cm="1">
        <f t="array" ref="A25">IfEmpty(TRIM(_xlfn.CONCAT(C25:H25)),"",CRC32HASH(_xlfn.CONCAT(C25:H25)))</f>
        <v>341390981</v>
      </c>
      <c r="B25" s="48" t="str">
        <f>IFERROR(VLOOKUP(J25,Table1[],2,FALSE),"")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70" t="str">
        <f t="shared" si="7"/>
        <v>599.9 mV (DC)</v>
      </c>
      <c r="F25" s="51" t="str">
        <f t="shared" si="1"/>
        <v>599.3 mV (DC)</v>
      </c>
      <c r="G25" s="51" t="str">
        <f t="shared" si="2"/>
        <v>600.7 mV (DC)</v>
      </c>
      <c r="H25" s="47" t="str" cm="1">
        <f t="array" ref="H25:J25">IFERROR(CalcUnc(K25,L25,S25,T25,V25,X25,AD25,AE25,N25:R25,Z25,AA25),"")</f>
        <v>76 µV</v>
      </c>
      <c r="I25" s="61" t="str">
        <v/>
      </c>
      <c r="J25" s="110" t="str">
        <v>DCV</v>
      </c>
      <c r="K25" s="67"/>
      <c r="L25" s="68" t="s">
        <v>51</v>
      </c>
      <c r="M25" s="26"/>
      <c r="N25" s="63">
        <v>599.9</v>
      </c>
      <c r="O25" s="64"/>
      <c r="P25" s="64"/>
      <c r="Q25" s="64"/>
      <c r="R25" s="65"/>
      <c r="S25" s="71"/>
      <c r="T25" s="71"/>
      <c r="U25" s="71"/>
      <c r="V25" s="78">
        <v>0.1</v>
      </c>
      <c r="W25" s="73">
        <v>600</v>
      </c>
      <c r="X25" s="74" t="s">
        <v>4</v>
      </c>
      <c r="Y25" s="94" t="str" cm="1">
        <f t="array" ref="Y25">GetPolarity(X25,AE25)</f>
        <v>DC</v>
      </c>
      <c r="Z25" s="75">
        <v>600</v>
      </c>
      <c r="AA25" s="73">
        <v>0.7</v>
      </c>
      <c r="AB25" s="88">
        <f t="shared" si="3"/>
        <v>599.29999999999995</v>
      </c>
      <c r="AC25" s="88">
        <f t="shared" si="4"/>
        <v>600.70000000000005</v>
      </c>
      <c r="AD25" s="75"/>
      <c r="AE25" s="73"/>
      <c r="AF25" s="25" t="str">
        <f t="shared" si="5"/>
        <v/>
      </c>
      <c r="AG25" s="33" t="str" cm="1">
        <f t="array" ref="AG25">FilterSpecialCharacters(X25)</f>
        <v>mV</v>
      </c>
      <c r="AH25" s="95" t="str">
        <f t="shared" si="6"/>
        <v xml:space="preserve"> mV (DC)</v>
      </c>
    </row>
    <row r="26" spans="1:35" x14ac:dyDescent="0.25">
      <c r="A26" s="92" cm="1">
        <f t="array" ref="A26">IfEmpty(TRIM(_xlfn.CONCAT(C26:H26)),"",CRC32HASH(_xlfn.CONCAT(C26:H26)))</f>
        <v>226361642</v>
      </c>
      <c r="B26" s="11" t="str">
        <f>IFERROR(VLOOKUP(J26,Table1[],2,FALSE),"")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69" t="str">
        <f t="shared" si="7"/>
        <v>500.2 Ω</v>
      </c>
      <c r="F26" s="50" t="str">
        <f t="shared" si="1"/>
        <v>495.3 Ω</v>
      </c>
      <c r="G26" s="50" t="str">
        <f t="shared" si="2"/>
        <v>504.7 Ω</v>
      </c>
      <c r="H26" s="44" t="str" cm="1">
        <f t="array" ref="H26:J26">IFERROR(CalcUnc(K26,L26,S26,T26,V26,X26,AD26,AE26,N26:R26,Z26,AA26),"")</f>
        <v>97 mΩ</v>
      </c>
      <c r="I26" s="61" t="str">
        <v/>
      </c>
      <c r="J26" s="110" t="str">
        <v>Resistance</v>
      </c>
      <c r="K26" s="67"/>
      <c r="L26" s="68" t="s">
        <v>51</v>
      </c>
      <c r="M26" s="26"/>
      <c r="N26" s="63">
        <v>500.2</v>
      </c>
      <c r="O26" s="64"/>
      <c r="P26" s="64"/>
      <c r="Q26" s="64"/>
      <c r="R26" s="65"/>
      <c r="S26" s="71"/>
      <c r="T26" s="71"/>
      <c r="U26" s="71"/>
      <c r="V26" s="78">
        <v>0.1</v>
      </c>
      <c r="W26" s="73">
        <v>600</v>
      </c>
      <c r="X26" s="74" t="s">
        <v>99</v>
      </c>
      <c r="Y26" s="94" t="str" cm="1">
        <f t="array" ref="Y26">GetPolarity(X26,AE26)</f>
        <v/>
      </c>
      <c r="Z26" s="75">
        <v>500</v>
      </c>
      <c r="AA26" s="73">
        <v>4.7</v>
      </c>
      <c r="AB26" s="88">
        <f t="shared" si="3"/>
        <v>495.3</v>
      </c>
      <c r="AC26" s="88">
        <f t="shared" si="4"/>
        <v>504.7</v>
      </c>
      <c r="AD26" s="75"/>
      <c r="AE26" s="73"/>
      <c r="AF26" s="25" t="str">
        <f t="shared" si="5"/>
        <v/>
      </c>
      <c r="AG26" s="33" t="str" cm="1">
        <f t="array" ref="AG26">FilterSpecialCharacters(X26)</f>
        <v>Ω</v>
      </c>
      <c r="AH26" s="95" t="str">
        <f t="shared" si="6"/>
        <v xml:space="preserve"> Ω</v>
      </c>
    </row>
    <row r="27" spans="1:35" x14ac:dyDescent="0.25">
      <c r="A27" s="92" cm="1">
        <f t="array" ref="A27">IfEmpty(TRIM(_xlfn.CONCAT(C27:H27)),"",CRC32HASH(_xlfn.CONCAT(C27:H27)))</f>
        <v>120236181</v>
      </c>
      <c r="B27" s="48" t="str">
        <f>IFERROR(VLOOKUP(J27,Table1[],2,FALSE),"")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70" t="str">
        <f t="shared" si="7"/>
        <v>19 MΩ</v>
      </c>
      <c r="F27" s="51" t="str">
        <f t="shared" si="1"/>
        <v>18.68 MΩ</v>
      </c>
      <c r="G27" s="51" t="str">
        <f t="shared" si="2"/>
        <v>19.32 MΩ</v>
      </c>
      <c r="H27" s="47" t="str" cm="1">
        <f t="array" ref="H27:J27">IFERROR(CalcUnc(K27,L27,S27,T27,V27,X27,AD27,AE27,N27:R27,Z27,AA27),"")</f>
        <v>26 kΩ</v>
      </c>
      <c r="I27" s="61" t="str">
        <v/>
      </c>
      <c r="J27" s="110" t="str">
        <v>Resistance</v>
      </c>
      <c r="K27" s="67"/>
      <c r="L27" s="68" t="s">
        <v>51</v>
      </c>
      <c r="M27" s="26"/>
      <c r="N27" s="63">
        <v>19</v>
      </c>
      <c r="O27" s="64"/>
      <c r="P27" s="64"/>
      <c r="Q27" s="64"/>
      <c r="R27" s="65"/>
      <c r="S27" s="71"/>
      <c r="T27" s="71"/>
      <c r="U27" s="71"/>
      <c r="V27" s="78">
        <v>0.01</v>
      </c>
      <c r="W27" s="73">
        <v>50</v>
      </c>
      <c r="X27" s="74" t="s">
        <v>100</v>
      </c>
      <c r="Y27" s="94" t="str" cm="1">
        <f t="array" ref="Y27">GetPolarity(X27,AE27)</f>
        <v/>
      </c>
      <c r="Z27" s="75">
        <v>19</v>
      </c>
      <c r="AA27" s="73">
        <v>0.32</v>
      </c>
      <c r="AB27" s="88">
        <f t="shared" si="3"/>
        <v>18.68</v>
      </c>
      <c r="AC27" s="88">
        <f t="shared" si="4"/>
        <v>19.32</v>
      </c>
      <c r="AD27" s="75"/>
      <c r="AE27" s="73"/>
      <c r="AF27" s="25" t="str">
        <f t="shared" si="5"/>
        <v/>
      </c>
      <c r="AG27" s="33" t="str" cm="1">
        <f t="array" ref="AG27">FilterSpecialCharacters(X27)</f>
        <v>MΩ</v>
      </c>
      <c r="AH27" s="95" t="str">
        <f t="shared" si="6"/>
        <v xml:space="preserve"> MΩ</v>
      </c>
    </row>
    <row r="28" spans="1:35" x14ac:dyDescent="0.25">
      <c r="A28" s="92" cm="1">
        <f t="array" ref="A28">IfEmpty(TRIM(_xlfn.CONCAT(C28:H28)),"",CRC32HASH(_xlfn.CONCAT(C28:H28)))</f>
        <v>-57753614</v>
      </c>
      <c r="B28" s="11" t="str">
        <f>IFERROR(VLOOKUP(J28,Table1[],2,FALSE),"")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69" t="str">
        <f t="shared" si="7"/>
        <v>900 nF</v>
      </c>
      <c r="F28" s="50" t="str">
        <f t="shared" si="1"/>
        <v>887 nF</v>
      </c>
      <c r="G28" s="50" t="str">
        <f t="shared" si="2"/>
        <v>913 nF</v>
      </c>
      <c r="H28" s="44" t="str" cm="1">
        <f t="array" ref="H28:J28">IFERROR(CalcUnc(K28,L28,S28,T28,V28,X28,AD28,AE28,N28:R28,Z28,AA28),"")</f>
        <v>3.8 nF</v>
      </c>
      <c r="I28" s="61" t="str">
        <v/>
      </c>
      <c r="J28" s="110" t="str">
        <v>Capacitance</v>
      </c>
      <c r="K28" s="67"/>
      <c r="L28" s="68" t="s">
        <v>51</v>
      </c>
      <c r="M28" s="26"/>
      <c r="N28" s="63">
        <v>900</v>
      </c>
      <c r="O28" s="64"/>
      <c r="P28" s="64"/>
      <c r="Q28" s="64"/>
      <c r="R28" s="65"/>
      <c r="S28" s="71"/>
      <c r="T28" s="71"/>
      <c r="U28" s="71"/>
      <c r="V28" s="78">
        <v>1</v>
      </c>
      <c r="W28" s="73">
        <v>1000</v>
      </c>
      <c r="X28" s="74" t="s">
        <v>15</v>
      </c>
      <c r="Y28" s="94" t="str" cm="1">
        <f t="array" ref="Y28">GetPolarity(X28,AE28)</f>
        <v/>
      </c>
      <c r="Z28" s="75">
        <v>900</v>
      </c>
      <c r="AA28" s="73">
        <v>13</v>
      </c>
      <c r="AB28" s="88">
        <f t="shared" si="3"/>
        <v>887</v>
      </c>
      <c r="AC28" s="88">
        <f t="shared" si="4"/>
        <v>913</v>
      </c>
      <c r="AD28" s="75"/>
      <c r="AE28" s="73"/>
      <c r="AF28" s="25" t="str">
        <f t="shared" si="5"/>
        <v/>
      </c>
      <c r="AG28" s="33" t="str" cm="1">
        <f t="array" ref="AG28">FilterSpecialCharacters(X28)</f>
        <v>nF</v>
      </c>
      <c r="AH28" s="95" t="str">
        <f t="shared" si="6"/>
        <v xml:space="preserve"> nF</v>
      </c>
    </row>
    <row r="29" spans="1:35" x14ac:dyDescent="0.25">
      <c r="A29" s="92" t="str" cm="1">
        <f t="array" ref="A29">IfEmpty(TRIM(_xlfn.CONCAT(C29:H29)),"",CRC32HASH(_xlfn.CONCAT(C29:H29)))</f>
        <v/>
      </c>
      <c r="B29" s="48" t="str">
        <f>IFERROR(VLOOKUP(J29,Table1[],2,FALSE),"")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70" t="str">
        <f t="shared" si="7"/>
        <v/>
      </c>
      <c r="F29" s="51" t="str">
        <f t="shared" si="1"/>
        <v/>
      </c>
      <c r="G29" s="51" t="str">
        <f t="shared" si="2"/>
        <v/>
      </c>
      <c r="H29" s="47" t="str" cm="1">
        <f t="array" ref="H29:J29">IFERROR(CalcUnc(K29,L29,S29,T29,V29,X29,AD29,AE29,N29:R29,Z29,AA29),"")</f>
        <v/>
      </c>
      <c r="I29" s="61" t="str">
        <v/>
      </c>
      <c r="J29" s="110" t="str">
        <v/>
      </c>
      <c r="K29" s="67"/>
      <c r="L29" s="68"/>
      <c r="M29" s="26"/>
      <c r="N29" s="63"/>
      <c r="O29" s="64"/>
      <c r="P29" s="64"/>
      <c r="Q29" s="64"/>
      <c r="R29" s="65"/>
      <c r="S29" s="71"/>
      <c r="T29" s="71"/>
      <c r="U29" s="71"/>
      <c r="V29" s="78"/>
      <c r="W29" s="73"/>
      <c r="X29" s="74"/>
      <c r="Y29" s="94" t="str" cm="1">
        <f t="array" ref="Y29">GetPolarity(X29,AE29)</f>
        <v/>
      </c>
      <c r="Z29" s="75"/>
      <c r="AA29" s="73"/>
      <c r="AB29" s="88" t="str">
        <f t="shared" si="3"/>
        <v/>
      </c>
      <c r="AC29" s="88" t="str">
        <f t="shared" si="4"/>
        <v/>
      </c>
      <c r="AD29" s="75"/>
      <c r="AE29" s="73"/>
      <c r="AF29" s="25" t="str">
        <f t="shared" si="5"/>
        <v/>
      </c>
      <c r="AG29" s="33" t="str" cm="1">
        <f t="array" ref="AG29">FilterSpecialCharacters(X29)</f>
        <v/>
      </c>
      <c r="AH29" s="95" t="str">
        <f t="shared" si="6"/>
        <v xml:space="preserve"> </v>
      </c>
    </row>
    <row r="30" spans="1:35" x14ac:dyDescent="0.25">
      <c r="A30" s="92" t="str" cm="1">
        <f t="array" ref="A30">IfEmpty(TRIM(_xlfn.CONCAT(C30:H30)),"",CRC32HASH(_xlfn.CONCAT(C30:H30)))</f>
        <v/>
      </c>
      <c r="B30" s="11" t="str">
        <f>IFERROR(VLOOKUP(J30,Table1[],2,FALSE),"")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69" t="str">
        <f t="shared" si="7"/>
        <v/>
      </c>
      <c r="F30" s="50" t="str">
        <f t="shared" si="1"/>
        <v/>
      </c>
      <c r="G30" s="50" t="str">
        <f t="shared" si="2"/>
        <v/>
      </c>
      <c r="H30" s="44" t="str" cm="1">
        <f t="array" ref="H30:J30">IFERROR(CalcUnc(K30,L30,S30,T30,V30,X30,AD30,AE30,N30:R30,Z30,AA30),"")</f>
        <v/>
      </c>
      <c r="I30" s="61" t="str">
        <v/>
      </c>
      <c r="J30" s="110" t="str">
        <v/>
      </c>
      <c r="K30" s="67"/>
      <c r="L30" s="68"/>
      <c r="M30" s="26"/>
      <c r="N30" s="63"/>
      <c r="O30" s="64"/>
      <c r="P30" s="64"/>
      <c r="Q30" s="64"/>
      <c r="R30" s="65"/>
      <c r="S30" s="71"/>
      <c r="T30" s="71"/>
      <c r="U30" s="71"/>
      <c r="V30" s="78"/>
      <c r="W30" s="73"/>
      <c r="X30" s="74"/>
      <c r="Y30" s="94" t="str" cm="1">
        <f t="array" ref="Y30">GetPolarity(X30,AE30)</f>
        <v/>
      </c>
      <c r="Z30" s="75"/>
      <c r="AA30" s="73"/>
      <c r="AB30" s="88" t="str">
        <f t="shared" si="3"/>
        <v/>
      </c>
      <c r="AC30" s="88" t="str">
        <f t="shared" si="4"/>
        <v/>
      </c>
      <c r="AD30" s="75"/>
      <c r="AE30" s="73"/>
      <c r="AF30" s="25" t="str">
        <f t="shared" si="5"/>
        <v/>
      </c>
      <c r="AG30" s="33" t="str" cm="1">
        <f t="array" ref="AG30">FilterSpecialCharacters(X30)</f>
        <v/>
      </c>
      <c r="AH30" s="95" t="str">
        <f t="shared" si="6"/>
        <v xml:space="preserve"> </v>
      </c>
    </row>
    <row r="31" spans="1:35" x14ac:dyDescent="0.25">
      <c r="A31" s="92" cm="1">
        <f t="array" ref="A31">IfEmpty(TRIM(_xlfn.CONCAT(C31:H31)),"",CRC32HASH(_xlfn.CONCAT(C31:H31)))</f>
        <v>-465464144</v>
      </c>
      <c r="B31" s="48" t="str">
        <f>IFERROR(VLOOKUP(J31,Table1[],2,FALSE),"")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70" t="str">
        <f t="shared" si="7"/>
        <v>1.999 V (DC)</v>
      </c>
      <c r="F31" s="51" t="str">
        <f t="shared" si="1"/>
        <v>1.978 V (DC)</v>
      </c>
      <c r="G31" s="51" t="str">
        <f t="shared" si="2"/>
        <v>2.022 V (DC)</v>
      </c>
      <c r="H31" s="47" t="str" cm="1">
        <f t="array" ref="H31:J31">IFERROR(CalcUnc(K31,L31,S31,T31,V31,X31,AD31,AE31,N31:R31,Z31,AA31),"")</f>
        <v>600 µV</v>
      </c>
      <c r="I31" s="61" t="str">
        <v/>
      </c>
      <c r="J31" s="110" t="str">
        <v>DCV</v>
      </c>
      <c r="K31" s="67"/>
      <c r="L31" s="68" t="s">
        <v>51</v>
      </c>
      <c r="M31" s="26"/>
      <c r="N31" s="63">
        <v>1.9990000000000001</v>
      </c>
      <c r="O31" s="64"/>
      <c r="P31" s="64"/>
      <c r="Q31" s="64"/>
      <c r="R31" s="65"/>
      <c r="S31" s="71"/>
      <c r="T31" s="71"/>
      <c r="U31" s="71"/>
      <c r="V31" s="78">
        <v>1E-3</v>
      </c>
      <c r="W31" s="73">
        <v>2.4</v>
      </c>
      <c r="X31" s="74" t="s">
        <v>6</v>
      </c>
      <c r="Y31" s="94" t="str" cm="1">
        <f t="array" ref="Y31">GetPolarity(X31,AE31)</f>
        <v>DC</v>
      </c>
      <c r="Z31" s="75">
        <v>2</v>
      </c>
      <c r="AA31" s="73">
        <v>2.1999999999999999E-2</v>
      </c>
      <c r="AB31" s="88">
        <f t="shared" si="3"/>
        <v>1.978</v>
      </c>
      <c r="AC31" s="88">
        <f t="shared" si="4"/>
        <v>2.0219999999999998</v>
      </c>
      <c r="AD31" s="75"/>
      <c r="AE31" s="73"/>
      <c r="AF31" s="25" t="str">
        <f t="shared" si="5"/>
        <v/>
      </c>
      <c r="AG31" s="33" t="str" cm="1">
        <f t="array" ref="AG31">FilterSpecialCharacters(X31)</f>
        <v>V</v>
      </c>
      <c r="AH31" s="95" t="str">
        <f t="shared" si="6"/>
        <v xml:space="preserve"> V (DC)</v>
      </c>
    </row>
    <row r="32" spans="1:35" x14ac:dyDescent="0.25">
      <c r="A32" s="92" cm="1">
        <f t="array" ref="A32">IfEmpty(TRIM(_xlfn.CONCAT(C32:H32)),"",CRC32HASH(_xlfn.CONCAT(C32:H32)))</f>
        <v>-83086660</v>
      </c>
      <c r="B32" s="11" t="str">
        <f>IFERROR(VLOOKUP(J32,Table1[],2,FALSE),"")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69" t="str">
        <f t="shared" si="7"/>
        <v>3 mA (AC)</v>
      </c>
      <c r="F32" s="50" t="str">
        <f t="shared" si="1"/>
        <v>2.92 mA (AC)</v>
      </c>
      <c r="G32" s="50" t="str">
        <f t="shared" si="2"/>
        <v>3.08 mA (AC)</v>
      </c>
      <c r="H32" s="44" t="str" cm="1">
        <f t="array" ref="H32:J32">IFERROR(CalcUnc(K32,L32,S32,T32,V32,X32,AD32,AE32,N32:R32,Z32,AA32),"")</f>
        <v>7.4 µA</v>
      </c>
      <c r="I32" s="61" t="str">
        <v/>
      </c>
      <c r="J32" s="110" t="str">
        <v>ACA</v>
      </c>
      <c r="K32" s="67"/>
      <c r="L32" s="68" t="s">
        <v>51</v>
      </c>
      <c r="M32" s="26"/>
      <c r="N32" s="63">
        <v>3</v>
      </c>
      <c r="O32" s="64"/>
      <c r="P32" s="64"/>
      <c r="Q32" s="64"/>
      <c r="R32" s="65"/>
      <c r="S32" s="71"/>
      <c r="T32" s="71"/>
      <c r="U32" s="71"/>
      <c r="V32" s="78">
        <v>0.01</v>
      </c>
      <c r="W32" s="73">
        <v>60</v>
      </c>
      <c r="X32" s="74" t="s">
        <v>12</v>
      </c>
      <c r="Y32" s="94" t="str" cm="1">
        <f t="array" ref="Y32">GetPolarity(X32,AE32)</f>
        <v>AC</v>
      </c>
      <c r="Z32" s="75">
        <v>3</v>
      </c>
      <c r="AA32" s="73">
        <v>0.08</v>
      </c>
      <c r="AB32" s="88">
        <f t="shared" si="3"/>
        <v>2.92</v>
      </c>
      <c r="AC32" s="88">
        <f t="shared" si="4"/>
        <v>3.08</v>
      </c>
      <c r="AD32" s="75">
        <v>45</v>
      </c>
      <c r="AE32" s="73" t="s">
        <v>9</v>
      </c>
      <c r="AF32" s="25" t="str">
        <f t="shared" si="5"/>
        <v>@ 45Hz</v>
      </c>
      <c r="AG32" s="33" t="str" cm="1">
        <f t="array" ref="AG32">FilterSpecialCharacters(X32)</f>
        <v>mA</v>
      </c>
      <c r="AH32" s="95" t="str">
        <f t="shared" si="6"/>
        <v xml:space="preserve"> mA (AC)</v>
      </c>
    </row>
    <row r="33" spans="1:34" x14ac:dyDescent="0.25">
      <c r="A33" s="92" cm="1">
        <f t="array" ref="A33">IfEmpty(TRIM(_xlfn.CONCAT(C33:H33)),"",CRC32HASH(_xlfn.CONCAT(C33:H33)))</f>
        <v>280793810</v>
      </c>
      <c r="B33" s="48" t="str">
        <f>IFERROR(VLOOKUP(J33,Table1[],2,FALSE),"")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70" t="str">
        <f t="shared" si="7"/>
        <v>50.02 mA (AC)</v>
      </c>
      <c r="F33" s="51" t="str">
        <f t="shared" si="1"/>
        <v>49.22 mA (AC)</v>
      </c>
      <c r="G33" s="51" t="str">
        <f t="shared" si="2"/>
        <v>50.78 mA (AC)</v>
      </c>
      <c r="H33" s="47" t="str" cm="1">
        <f t="array" ref="H33:J33">IFERROR(CalcUnc(K33,L33,S33,T33,V33,X33,AD33,AE33,N33:R33,Z33,AA33),"")</f>
        <v>0.048 mA</v>
      </c>
      <c r="I33" s="61" t="str">
        <v/>
      </c>
      <c r="J33" s="110" t="str">
        <v>ACA</v>
      </c>
      <c r="K33" s="67"/>
      <c r="L33" s="68" t="s">
        <v>51</v>
      </c>
      <c r="M33" s="26"/>
      <c r="N33" s="63">
        <v>50.02</v>
      </c>
      <c r="O33" s="64"/>
      <c r="P33" s="64"/>
      <c r="Q33" s="64"/>
      <c r="R33" s="65"/>
      <c r="S33" s="71"/>
      <c r="T33" s="71"/>
      <c r="U33" s="71"/>
      <c r="V33" s="78">
        <v>0.01</v>
      </c>
      <c r="W33" s="73">
        <v>60</v>
      </c>
      <c r="X33" s="74" t="s">
        <v>12</v>
      </c>
      <c r="Y33" s="94" t="str" cm="1">
        <f t="array" ref="Y33">GetPolarity(X33,AE33)</f>
        <v>AC</v>
      </c>
      <c r="Z33" s="75">
        <v>50</v>
      </c>
      <c r="AA33" s="73">
        <v>0.78</v>
      </c>
      <c r="AB33" s="88">
        <f t="shared" si="3"/>
        <v>49.22</v>
      </c>
      <c r="AC33" s="88">
        <f t="shared" si="4"/>
        <v>50.78</v>
      </c>
      <c r="AD33" s="75">
        <v>1</v>
      </c>
      <c r="AE33" s="73" t="s">
        <v>10</v>
      </c>
      <c r="AF33" s="25" t="str">
        <f t="shared" si="5"/>
        <v>@ 1kHz</v>
      </c>
      <c r="AG33" s="33" t="str" cm="1">
        <f t="array" ref="AG33">FilterSpecialCharacters(X33)</f>
        <v>mA</v>
      </c>
      <c r="AH33" s="95" t="str">
        <f t="shared" si="6"/>
        <v xml:space="preserve"> mA (AC)</v>
      </c>
    </row>
    <row r="34" spans="1:34" x14ac:dyDescent="0.25">
      <c r="A34" s="92" cm="1">
        <f t="array" ref="A34">IfEmpty(TRIM(_xlfn.CONCAT(C34:H34)),"",CRC32HASH(_xlfn.CONCAT(C34:H34)))</f>
        <v>-139962380</v>
      </c>
      <c r="B34" s="11" t="str">
        <f>IFERROR(VLOOKUP(J34,Table1[],2,FALSE),"")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69" t="str">
        <f t="shared" si="7"/>
        <v>399.3 mA (AC)</v>
      </c>
      <c r="F34" s="50" t="str">
        <f t="shared" si="1"/>
        <v>393.7 mA (AC)</v>
      </c>
      <c r="G34" s="50" t="str">
        <f t="shared" si="2"/>
        <v>406.3 mA (AC)</v>
      </c>
      <c r="H34" s="44" t="str" cm="1">
        <f t="array" ref="H34:J34">IFERROR(CalcUnc(K34,L34,S34,T34,V34,X34,AD34,AE34,N34:R34,Z34,AA34),"")</f>
        <v>0.35 mA</v>
      </c>
      <c r="I34" s="61" t="str">
        <v/>
      </c>
      <c r="J34" s="110" t="str">
        <v>ACA</v>
      </c>
      <c r="K34" s="67"/>
      <c r="L34" s="68" t="s">
        <v>51</v>
      </c>
      <c r="M34" s="26"/>
      <c r="N34" s="63">
        <v>399.3</v>
      </c>
      <c r="O34" s="64"/>
      <c r="P34" s="64"/>
      <c r="Q34" s="64"/>
      <c r="R34" s="65"/>
      <c r="S34" s="71"/>
      <c r="T34" s="71"/>
      <c r="U34" s="71"/>
      <c r="V34" s="78">
        <v>0.1</v>
      </c>
      <c r="W34" s="73">
        <v>400</v>
      </c>
      <c r="X34" s="74" t="s">
        <v>12</v>
      </c>
      <c r="Y34" s="94" t="str" cm="1">
        <f t="array" ref="Y34">GetPolarity(X34,AE34)</f>
        <v>AC</v>
      </c>
      <c r="Z34" s="75">
        <v>400</v>
      </c>
      <c r="AA34" s="73">
        <v>6.3</v>
      </c>
      <c r="AB34" s="88">
        <f t="shared" si="3"/>
        <v>393.7</v>
      </c>
      <c r="AC34" s="88">
        <f t="shared" si="4"/>
        <v>406.3</v>
      </c>
      <c r="AD34" s="75">
        <v>1</v>
      </c>
      <c r="AE34" s="73" t="s">
        <v>10</v>
      </c>
      <c r="AF34" s="25" t="str">
        <f t="shared" si="5"/>
        <v>@ 1kHz</v>
      </c>
      <c r="AG34" s="33" t="str" cm="1">
        <f t="array" ref="AG34">FilterSpecialCharacters(X34)</f>
        <v>mA</v>
      </c>
      <c r="AH34" s="95" t="str">
        <f t="shared" si="6"/>
        <v xml:space="preserve"> mA (AC)</v>
      </c>
    </row>
    <row r="35" spans="1:34" x14ac:dyDescent="0.25">
      <c r="A35" s="92" cm="1">
        <f t="array" ref="A35">IfEmpty(TRIM(_xlfn.CONCAT(C35:H35)),"",CRC32HASH(_xlfn.CONCAT(C35:H35)))</f>
        <v>-421364563</v>
      </c>
      <c r="B35" s="48" t="str">
        <f>IFERROR(VLOOKUP(J35,Table1[],2,FALSE),"")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70" t="str">
        <f t="shared" si="7"/>
        <v>3.999 A (AC)</v>
      </c>
      <c r="F35" s="51" t="str">
        <f t="shared" si="1"/>
        <v>3.937 A (AC)</v>
      </c>
      <c r="G35" s="51" t="str">
        <f t="shared" si="2"/>
        <v>4.063 A (AC)</v>
      </c>
      <c r="H35" s="47" t="str" cm="1">
        <f t="array" ref="H35:J35">IFERROR(CalcUnc(K35,L35,S35,T35,V35,X35,AD35,AE35,N35:R35,Z35,AA35),"")</f>
        <v>5.2 mA</v>
      </c>
      <c r="I35" s="61" t="str">
        <v/>
      </c>
      <c r="J35" s="110" t="str">
        <v>ACA</v>
      </c>
      <c r="K35" s="67"/>
      <c r="L35" s="68" t="s">
        <v>51</v>
      </c>
      <c r="M35" s="26"/>
      <c r="N35" s="63">
        <v>3.9990000000000001</v>
      </c>
      <c r="O35" s="64"/>
      <c r="P35" s="64"/>
      <c r="Q35" s="64"/>
      <c r="R35" s="65"/>
      <c r="S35" s="71"/>
      <c r="T35" s="71"/>
      <c r="U35" s="71"/>
      <c r="V35" s="78">
        <v>1E-3</v>
      </c>
      <c r="W35" s="73">
        <v>6</v>
      </c>
      <c r="X35" s="74" t="s">
        <v>13</v>
      </c>
      <c r="Y35" s="94" t="str" cm="1">
        <f t="array" ref="Y35">GetPolarity(X35,AE35)</f>
        <v>AC</v>
      </c>
      <c r="Z35" s="75">
        <v>4</v>
      </c>
      <c r="AA35" s="73">
        <v>6.3E-2</v>
      </c>
      <c r="AB35" s="88">
        <f t="shared" si="3"/>
        <v>3.9369999999999998</v>
      </c>
      <c r="AC35" s="88">
        <f t="shared" si="4"/>
        <v>4.0629999999999997</v>
      </c>
      <c r="AD35" s="75">
        <v>45</v>
      </c>
      <c r="AE35" s="73" t="s">
        <v>9</v>
      </c>
      <c r="AF35" s="25" t="str">
        <f t="shared" si="5"/>
        <v>@ 45Hz</v>
      </c>
      <c r="AG35" s="33" t="str" cm="1">
        <f t="array" ref="AG35">FilterSpecialCharacters(X35)</f>
        <v>A</v>
      </c>
      <c r="AH35" s="95" t="str">
        <f t="shared" si="6"/>
        <v xml:space="preserve"> A (AC)</v>
      </c>
    </row>
    <row r="36" spans="1:34" x14ac:dyDescent="0.25">
      <c r="A36" s="92" cm="1">
        <f t="array" ref="A36">IfEmpty(TRIM(_xlfn.CONCAT(C36:H36)),"",CRC32HASH(_xlfn.CONCAT(C36:H36)))</f>
        <v>-175935206</v>
      </c>
      <c r="B36" s="11" t="str">
        <f>IFERROR(VLOOKUP(J36,Table1[],2,FALSE),"")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69" t="str">
        <f t="shared" si="7"/>
        <v>9.1 A (AC)</v>
      </c>
      <c r="F36" s="50" t="str">
        <f t="shared" si="1"/>
        <v>8.83 A (AC)</v>
      </c>
      <c r="G36" s="50" t="str">
        <f t="shared" si="2"/>
        <v>9.17 A (AC)</v>
      </c>
      <c r="H36" s="44" t="str" cm="1">
        <f t="array" ref="H36:J36">IFERROR(CalcUnc(K36,L36,S36,T36,V36,X36,AD36,AE36,N36:R36,Z36,AA36),"")</f>
        <v>14 mA</v>
      </c>
      <c r="I36" s="61" t="str">
        <v/>
      </c>
      <c r="J36" s="110" t="str">
        <v>ACA</v>
      </c>
      <c r="K36" s="67"/>
      <c r="L36" s="68"/>
      <c r="M36" s="26"/>
      <c r="N36" s="63">
        <v>9.1</v>
      </c>
      <c r="O36" s="64"/>
      <c r="P36" s="64"/>
      <c r="Q36" s="64"/>
      <c r="R36" s="65"/>
      <c r="S36" s="71"/>
      <c r="T36" s="71"/>
      <c r="U36" s="71"/>
      <c r="V36" s="78">
        <v>0.01</v>
      </c>
      <c r="W36" s="73">
        <v>10</v>
      </c>
      <c r="X36" s="74" t="s">
        <v>13</v>
      </c>
      <c r="Y36" s="94" t="str" cm="1">
        <f t="array" ref="Y36">GetPolarity(X36,AE36)</f>
        <v>AC</v>
      </c>
      <c r="Z36" s="75">
        <v>9</v>
      </c>
      <c r="AA36" s="73">
        <v>0.17</v>
      </c>
      <c r="AB36" s="88">
        <f t="shared" si="3"/>
        <v>8.83</v>
      </c>
      <c r="AC36" s="88">
        <f t="shared" si="4"/>
        <v>9.17</v>
      </c>
      <c r="AD36" s="75">
        <v>1</v>
      </c>
      <c r="AE36" s="73" t="s">
        <v>10</v>
      </c>
      <c r="AF36" s="25" t="str">
        <f t="shared" si="5"/>
        <v>@ 1kHz</v>
      </c>
      <c r="AG36" s="33" t="str" cm="1">
        <f t="array" ref="AG36">FilterSpecialCharacters(X36)</f>
        <v>A</v>
      </c>
      <c r="AH36" s="95" t="str">
        <f t="shared" si="6"/>
        <v xml:space="preserve"> A (AC)</v>
      </c>
    </row>
    <row r="37" spans="1:34" x14ac:dyDescent="0.25">
      <c r="A37" s="92" cm="1">
        <f t="array" ref="A37">IfEmpty(TRIM(_xlfn.CONCAT(C37:H37)),"",CRC32HASH(_xlfn.CONCAT(C37:H37)))</f>
        <v>-181566174</v>
      </c>
      <c r="B37" s="48" t="str">
        <f>IFERROR(VLOOKUP(J37,Table1[],2,FALSE),"")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70" t="str">
        <f t="shared" si="7"/>
        <v>3 mA (DC)</v>
      </c>
      <c r="F37" s="51" t="str">
        <f t="shared" si="1"/>
        <v>2.94 mA (DC)</v>
      </c>
      <c r="G37" s="51" t="str">
        <f t="shared" si="2"/>
        <v>3.06 mA (DC)</v>
      </c>
      <c r="H37" s="47" t="str" cm="1">
        <f t="array" ref="H37:J37">IFERROR(CalcUnc(K37,L37,S37,T37,V37,X37,AD37,AE37,N37:R37,Z37,AA37),"")</f>
        <v>5.8 µA</v>
      </c>
      <c r="I37" s="61" t="str">
        <v/>
      </c>
      <c r="J37" s="110" t="str">
        <v>DCA</v>
      </c>
      <c r="K37" s="67"/>
      <c r="L37" s="68" t="s">
        <v>51</v>
      </c>
      <c r="M37" s="26"/>
      <c r="N37" s="63">
        <v>3</v>
      </c>
      <c r="O37" s="64"/>
      <c r="P37" s="64"/>
      <c r="Q37" s="64"/>
      <c r="R37" s="65"/>
      <c r="S37" s="71"/>
      <c r="T37" s="71"/>
      <c r="U37" s="71"/>
      <c r="V37" s="78">
        <v>0.01</v>
      </c>
      <c r="W37" s="73">
        <v>60</v>
      </c>
      <c r="X37" s="74" t="s">
        <v>12</v>
      </c>
      <c r="Y37" s="94" t="str" cm="1">
        <f t="array" ref="Y37">GetPolarity(X37,AE37)</f>
        <v>DC</v>
      </c>
      <c r="Z37" s="75">
        <v>3</v>
      </c>
      <c r="AA37" s="73">
        <v>0.06</v>
      </c>
      <c r="AB37" s="88">
        <f t="shared" si="3"/>
        <v>2.94</v>
      </c>
      <c r="AC37" s="88">
        <f t="shared" si="4"/>
        <v>3.06</v>
      </c>
      <c r="AD37" s="75"/>
      <c r="AE37" s="73"/>
      <c r="AF37" s="25" t="str">
        <f t="shared" si="5"/>
        <v/>
      </c>
      <c r="AG37" s="33" t="str" cm="1">
        <f t="array" ref="AG37">FilterSpecialCharacters(X37)</f>
        <v>mA</v>
      </c>
      <c r="AH37" s="95" t="str">
        <f t="shared" si="6"/>
        <v xml:space="preserve"> mA (DC)</v>
      </c>
    </row>
    <row r="38" spans="1:34" x14ac:dyDescent="0.25">
      <c r="A38" s="92" cm="1">
        <f t="array" ref="A38">IfEmpty(TRIM(_xlfn.CONCAT(C38:H38)),"",CRC32HASH(_xlfn.CONCAT(C38:H38)))</f>
        <v>-182569286</v>
      </c>
      <c r="B38" s="11" t="str">
        <f>IFERROR(VLOOKUP(J38,Table1[],2,FALSE),"")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69" t="str">
        <f t="shared" si="7"/>
        <v>49.98 mA (DC)</v>
      </c>
      <c r="F38" s="50" t="str">
        <f t="shared" ref="F38:F69" si="9">IF(AB38="","",AB38&amp;$AH38)</f>
        <v>49.47 mA (DC)</v>
      </c>
      <c r="G38" s="50" t="str">
        <f t="shared" ref="G38:G69" si="10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1" t="str">
        <v/>
      </c>
      <c r="J38" s="110" t="str">
        <v>DCA</v>
      </c>
      <c r="K38" s="67"/>
      <c r="L38" s="68" t="s">
        <v>51</v>
      </c>
      <c r="M38" s="26"/>
      <c r="N38" s="63">
        <v>49.98</v>
      </c>
      <c r="O38" s="64"/>
      <c r="P38" s="64"/>
      <c r="Q38" s="64"/>
      <c r="R38" s="65"/>
      <c r="S38" s="71"/>
      <c r="T38" s="71"/>
      <c r="U38" s="71"/>
      <c r="V38" s="78">
        <v>0.01</v>
      </c>
      <c r="W38" s="73">
        <v>60</v>
      </c>
      <c r="X38" s="74" t="s">
        <v>12</v>
      </c>
      <c r="Y38" s="94" t="str" cm="1">
        <f t="array" ref="Y38">GetPolarity(X38,AE38)</f>
        <v>DC</v>
      </c>
      <c r="Z38" s="75">
        <v>50</v>
      </c>
      <c r="AA38" s="73">
        <v>0.53</v>
      </c>
      <c r="AB38" s="88">
        <f t="shared" ref="AB38:AB69" si="11">IF(V38&lt;&gt;"",ROUND(Z38-AA38,-LOG10(V38)),"")</f>
        <v>49.47</v>
      </c>
      <c r="AC38" s="88">
        <f t="shared" ref="AC38:AC69" si="12">IF(V38&lt;&gt;"",ROUND(Z38+AA38,-LOG10(V38)),"")</f>
        <v>50.53</v>
      </c>
      <c r="AD38" s="75"/>
      <c r="AE38" s="73"/>
      <c r="AF38" s="25" t="str">
        <f t="shared" si="5"/>
        <v/>
      </c>
      <c r="AG38" s="33" t="str" cm="1">
        <f t="array" ref="AG38">FilterSpecialCharacters(X38)</f>
        <v>mA</v>
      </c>
      <c r="AH38" s="95" t="str">
        <f t="shared" si="6"/>
        <v xml:space="preserve"> mA (DC)</v>
      </c>
    </row>
    <row r="39" spans="1:34" x14ac:dyDescent="0.25">
      <c r="A39" s="92" cm="1">
        <f t="array" ref="A39">IfEmpty(TRIM(_xlfn.CONCAT(C39:H39)),"",CRC32HASH(_xlfn.CONCAT(C39:H39)))</f>
        <v>330404380</v>
      </c>
      <c r="B39" s="48" t="str">
        <f>IFERROR(VLOOKUP(J39,Table1[],2,FALSE),"")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70" t="str">
        <f t="shared" si="7"/>
        <v>-399.9 mA (DC)</v>
      </c>
      <c r="F39" s="51" t="str">
        <f t="shared" si="9"/>
        <v>-404.3 mA (DC)</v>
      </c>
      <c r="G39" s="51" t="str">
        <f t="shared" si="10"/>
        <v>-395.7 mA (DC)</v>
      </c>
      <c r="H39" s="47" t="str" cm="1">
        <f t="array" ref="H39:J39">IFERROR(CalcUnc(K39,L39,S39,T39,V39,X39,AD39,AE39,N39:R39,Z39,AA39),"")</f>
        <v>0.23 mA</v>
      </c>
      <c r="I39" s="61" t="str">
        <v/>
      </c>
      <c r="J39" s="110" t="str">
        <v>DCA</v>
      </c>
      <c r="K39" s="67"/>
      <c r="L39" s="68" t="s">
        <v>51</v>
      </c>
      <c r="M39" s="26"/>
      <c r="N39" s="63">
        <v>-399.9</v>
      </c>
      <c r="O39" s="64"/>
      <c r="P39" s="64"/>
      <c r="Q39" s="64"/>
      <c r="R39" s="65"/>
      <c r="S39" s="71"/>
      <c r="T39" s="71"/>
      <c r="U39" s="71"/>
      <c r="V39" s="78">
        <v>0.1</v>
      </c>
      <c r="W39" s="73">
        <v>400</v>
      </c>
      <c r="X39" s="74" t="s">
        <v>12</v>
      </c>
      <c r="Y39" s="94" t="str" cm="1">
        <f t="array" ref="Y39">GetPolarity(X39,AE39)</f>
        <v>DC</v>
      </c>
      <c r="Z39" s="75">
        <v>-400</v>
      </c>
      <c r="AA39" s="73">
        <v>4.3</v>
      </c>
      <c r="AB39" s="88">
        <f t="shared" si="11"/>
        <v>-404.3</v>
      </c>
      <c r="AC39" s="88">
        <f t="shared" si="12"/>
        <v>-395.7</v>
      </c>
      <c r="AD39" s="75"/>
      <c r="AE39" s="73"/>
      <c r="AF39" s="25" t="str">
        <f t="shared" si="5"/>
        <v/>
      </c>
      <c r="AG39" s="33" t="str" cm="1">
        <f t="array" ref="AG39">FilterSpecialCharacters(X39)</f>
        <v>mA</v>
      </c>
      <c r="AH39" s="95" t="str">
        <f t="shared" si="6"/>
        <v xml:space="preserve"> mA (DC)</v>
      </c>
    </row>
    <row r="40" spans="1:34" x14ac:dyDescent="0.25">
      <c r="A40" s="92" cm="1">
        <f t="array" ref="A40">IfEmpty(TRIM(_xlfn.CONCAT(C40:H40)),"",CRC32HASH(_xlfn.CONCAT(C40:H40)))</f>
        <v>407318084</v>
      </c>
      <c r="B40" s="11" t="str">
        <f>IFERROR(VLOOKUP(J40,Table1[],2,FALSE),"")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69" t="str">
        <f t="shared" si="7"/>
        <v>3.999 A (DC)</v>
      </c>
      <c r="F40" s="50" t="str">
        <f t="shared" si="9"/>
        <v>3.957 A (DC)</v>
      </c>
      <c r="G40" s="50" t="str">
        <f t="shared" si="10"/>
        <v>4.043 A (DC)</v>
      </c>
      <c r="H40" s="44" t="str" cm="1">
        <f t="array" ref="H40:J40">IFERROR(CalcUnc(K40,L40,S40,T40,V40,X40,AD40,AE40,N40:R40,Z40,AA40),"")</f>
        <v>3.7 mA</v>
      </c>
      <c r="I40" s="61" t="str">
        <v/>
      </c>
      <c r="J40" s="110" t="str">
        <v>DCA</v>
      </c>
      <c r="K40" s="67"/>
      <c r="L40" s="68" t="s">
        <v>51</v>
      </c>
      <c r="M40" s="26"/>
      <c r="N40" s="63">
        <v>3.9990000000000001</v>
      </c>
      <c r="O40" s="64"/>
      <c r="P40" s="64"/>
      <c r="Q40" s="64"/>
      <c r="R40" s="65"/>
      <c r="S40" s="71"/>
      <c r="T40" s="71"/>
      <c r="U40" s="71"/>
      <c r="V40" s="78">
        <v>1E-3</v>
      </c>
      <c r="W40" s="73">
        <v>6</v>
      </c>
      <c r="X40" s="74" t="s">
        <v>13</v>
      </c>
      <c r="Y40" s="94" t="str" cm="1">
        <f t="array" ref="Y40">GetPolarity(X40,AE40)</f>
        <v>DC</v>
      </c>
      <c r="Z40" s="75">
        <v>4</v>
      </c>
      <c r="AA40" s="73">
        <v>4.2999999999999997E-2</v>
      </c>
      <c r="AB40" s="88">
        <f t="shared" si="11"/>
        <v>3.9569999999999999</v>
      </c>
      <c r="AC40" s="88">
        <f t="shared" si="12"/>
        <v>4.0430000000000001</v>
      </c>
      <c r="AD40" s="75"/>
      <c r="AE40" s="73"/>
      <c r="AF40" s="25" t="str">
        <f t="shared" si="5"/>
        <v/>
      </c>
      <c r="AG40" s="33" t="str" cm="1">
        <f t="array" ref="AG40">FilterSpecialCharacters(X40)</f>
        <v>A</v>
      </c>
      <c r="AH40" s="95" t="str">
        <f t="shared" si="6"/>
        <v xml:space="preserve"> A (DC)</v>
      </c>
    </row>
    <row r="41" spans="1:34" x14ac:dyDescent="0.25">
      <c r="A41" s="92" cm="1">
        <f t="array" ref="A41">IfEmpty(TRIM(_xlfn.CONCAT(C41:H41)),"",CRC32HASH(_xlfn.CONCAT(C41:H41)))</f>
        <v>82324729</v>
      </c>
      <c r="B41" s="48" t="str">
        <f>IFERROR(VLOOKUP(J41,Table1[],2,FALSE),"")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70" t="str">
        <f t="shared" si="7"/>
        <v>-9 A (DC)</v>
      </c>
      <c r="F41" s="51" t="str">
        <f t="shared" si="9"/>
        <v>-9.12 A (DC)</v>
      </c>
      <c r="G41" s="51" t="str">
        <f t="shared" si="10"/>
        <v>-8.88 A (DC)</v>
      </c>
      <c r="H41" s="47" t="str" cm="1">
        <f t="array" ref="H41:J41">IFERROR(CalcUnc(K41,L41,S41,T41,V41,X41,AD41,AE41,N41:R41,Z41,AA41),"")</f>
        <v>10 mA</v>
      </c>
      <c r="I41" s="61" t="str">
        <v/>
      </c>
      <c r="J41" s="110" t="str">
        <v>DCA</v>
      </c>
      <c r="K41" s="67"/>
      <c r="L41" s="68" t="s">
        <v>51</v>
      </c>
      <c r="M41" s="26"/>
      <c r="N41" s="63">
        <v>-9</v>
      </c>
      <c r="O41" s="64"/>
      <c r="P41" s="64"/>
      <c r="Q41" s="64"/>
      <c r="R41" s="65"/>
      <c r="S41" s="71"/>
      <c r="T41" s="71"/>
      <c r="U41" s="71"/>
      <c r="V41" s="78">
        <v>0.01</v>
      </c>
      <c r="W41" s="73">
        <v>10</v>
      </c>
      <c r="X41" s="74" t="s">
        <v>13</v>
      </c>
      <c r="Y41" s="94" t="str" cm="1">
        <f t="array" ref="Y41">GetPolarity(X41,AE41)</f>
        <v>DC</v>
      </c>
      <c r="Z41" s="75">
        <v>-9</v>
      </c>
      <c r="AA41" s="73">
        <v>0.12</v>
      </c>
      <c r="AB41" s="88">
        <f t="shared" si="11"/>
        <v>-9.1199999999999992</v>
      </c>
      <c r="AC41" s="88">
        <f t="shared" si="12"/>
        <v>-8.8800000000000008</v>
      </c>
      <c r="AD41" s="75"/>
      <c r="AE41" s="73"/>
      <c r="AF41" s="25" t="str">
        <f t="shared" si="5"/>
        <v/>
      </c>
      <c r="AG41" s="33" t="str" cm="1">
        <f t="array" ref="AG41">FilterSpecialCharacters(X41)</f>
        <v>A</v>
      </c>
      <c r="AH41" s="95" t="str">
        <f t="shared" si="6"/>
        <v xml:space="preserve"> A (DC)</v>
      </c>
    </row>
    <row r="42" spans="1:34" x14ac:dyDescent="0.25">
      <c r="A42" s="92" cm="1">
        <f t="array" ref="A42">IfEmpty(TRIM(_xlfn.CONCAT(C42:H42)),"",CRC32HASH(_xlfn.CONCAT(C42:H42)))</f>
        <v>36563959</v>
      </c>
      <c r="B42" s="11" t="str">
        <f>IFERROR(VLOOKUP(J42,Table1[],2,FALSE),"")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69" t="str">
        <f t="shared" si="7"/>
        <v>0.2 °C</v>
      </c>
      <c r="F42" s="50" t="str">
        <f t="shared" si="9"/>
        <v>-1 °C</v>
      </c>
      <c r="G42" s="50" t="str">
        <f t="shared" si="10"/>
        <v>1 °C</v>
      </c>
      <c r="H42" s="44" t="str" cm="1">
        <f t="array" ref="H42:J42">IFERROR(CalcUnc(K42,L42,S42,T42,V42,X42,AD42,AE42,N42:R42,Z42,AA42),"")</f>
        <v>0.2 °C</v>
      </c>
      <c r="I42" s="61" t="str">
        <v/>
      </c>
      <c r="J42" s="110" t="str">
        <v>CDK</v>
      </c>
      <c r="K42" s="67"/>
      <c r="L42" s="68" t="s">
        <v>51</v>
      </c>
      <c r="M42" s="26"/>
      <c r="N42" s="63">
        <v>0.2</v>
      </c>
      <c r="O42" s="64"/>
      <c r="P42" s="64"/>
      <c r="Q42" s="64"/>
      <c r="R42" s="65"/>
      <c r="S42" s="71"/>
      <c r="T42" s="71" t="s">
        <v>106</v>
      </c>
      <c r="U42" s="71"/>
      <c r="V42" s="78">
        <v>0.1</v>
      </c>
      <c r="W42" s="73">
        <v>400</v>
      </c>
      <c r="X42" s="74" t="s">
        <v>23</v>
      </c>
      <c r="Y42" s="94" t="str" cm="1">
        <f t="array" ref="Y42">GetPolarity(X42,AE42)</f>
        <v/>
      </c>
      <c r="Z42" s="75">
        <v>0</v>
      </c>
      <c r="AA42" s="73">
        <v>1</v>
      </c>
      <c r="AB42" s="88">
        <f t="shared" si="11"/>
        <v>-1</v>
      </c>
      <c r="AC42" s="88">
        <f t="shared" si="12"/>
        <v>1</v>
      </c>
      <c r="AD42" s="75"/>
      <c r="AE42" s="73"/>
      <c r="AF42" s="25" t="str">
        <f t="shared" si="5"/>
        <v/>
      </c>
      <c r="AG42" s="33" t="str" cm="1">
        <f t="array" ref="AG42">FilterSpecialCharacters(X42)</f>
        <v>°C</v>
      </c>
      <c r="AH42" s="95" t="str">
        <f t="shared" si="6"/>
        <v xml:space="preserve"> °C</v>
      </c>
    </row>
    <row r="43" spans="1:34" x14ac:dyDescent="0.25">
      <c r="A43" s="92" cm="1">
        <f t="array" ref="A43">IfEmpty(TRIM(_xlfn.CONCAT(C43:H43)),"",CRC32HASH(_xlfn.CONCAT(C43:H43)))</f>
        <v>-66073833</v>
      </c>
      <c r="B43" s="48" t="str">
        <f>IFERROR(VLOOKUP(J43,Table1[],2,FALSE),"")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70" t="str">
        <f t="shared" si="7"/>
        <v>-39.8 °C</v>
      </c>
      <c r="F43" s="51" t="str">
        <f t="shared" si="9"/>
        <v>-41.4 °C</v>
      </c>
      <c r="G43" s="51" t="str">
        <f t="shared" si="10"/>
        <v>-38.6 °C</v>
      </c>
      <c r="H43" s="47" t="str" cm="1">
        <f t="array" ref="H43:J43">IFERROR(CalcUnc(K43,L43,S43,T43,V43,X43,AD43,AE43,N43:R43,Z43,AA43),"")</f>
        <v>0.23 °C</v>
      </c>
      <c r="I43" s="61" t="str">
        <v/>
      </c>
      <c r="J43" s="110" t="str">
        <v>CDK</v>
      </c>
      <c r="K43" s="67"/>
      <c r="L43" s="68" t="s">
        <v>51</v>
      </c>
      <c r="M43" s="26"/>
      <c r="N43" s="63">
        <v>-39.799999999999997</v>
      </c>
      <c r="O43" s="64"/>
      <c r="P43" s="64"/>
      <c r="Q43" s="64"/>
      <c r="R43" s="65"/>
      <c r="S43" s="71"/>
      <c r="T43" s="71" t="s">
        <v>106</v>
      </c>
      <c r="U43" s="71"/>
      <c r="V43" s="78">
        <v>0.1</v>
      </c>
      <c r="W43" s="73">
        <v>400</v>
      </c>
      <c r="X43" s="74" t="s">
        <v>23</v>
      </c>
      <c r="Y43" s="94" t="str" cm="1">
        <f t="array" ref="Y43">GetPolarity(X43,AE43)</f>
        <v/>
      </c>
      <c r="Z43" s="75">
        <v>-40</v>
      </c>
      <c r="AA43" s="73">
        <v>1.4</v>
      </c>
      <c r="AB43" s="88">
        <f t="shared" si="11"/>
        <v>-41.4</v>
      </c>
      <c r="AC43" s="88">
        <f t="shared" si="12"/>
        <v>-38.6</v>
      </c>
      <c r="AD43" s="75"/>
      <c r="AE43" s="73"/>
      <c r="AF43" s="25" t="str">
        <f t="shared" si="5"/>
        <v/>
      </c>
      <c r="AG43" s="33" t="str" cm="1">
        <f t="array" ref="AG43">FilterSpecialCharacters(X43)</f>
        <v>°C</v>
      </c>
      <c r="AH43" s="95" t="str">
        <f t="shared" si="6"/>
        <v xml:space="preserve"> °C</v>
      </c>
    </row>
    <row r="44" spans="1:34" x14ac:dyDescent="0.25">
      <c r="A44" s="92" cm="1">
        <f t="array" ref="A44">IfEmpty(TRIM(_xlfn.CONCAT(C44:H44)),"",CRC32HASH(_xlfn.CONCAT(C44:H44)))</f>
        <v>465457095</v>
      </c>
      <c r="B44" s="11" t="str">
        <f>IFERROR(VLOOKUP(J44,Table1[],2,FALSE),"")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69" t="str">
        <f t="shared" si="7"/>
        <v>399.7 °C</v>
      </c>
      <c r="F44" s="50" t="str">
        <f t="shared" si="9"/>
        <v>395 °C</v>
      </c>
      <c r="G44" s="50" t="str">
        <f t="shared" si="10"/>
        <v>405 °C</v>
      </c>
      <c r="H44" s="44" t="str" cm="1">
        <f t="array" ref="H44:J44">IFERROR(CalcUnc(K44,L44,S44,T44,V44,X44,AD44,AE44,N44:R44,Z44,AA44),"")</f>
        <v>0.31 °C</v>
      </c>
      <c r="I44" s="61" t="str">
        <v/>
      </c>
      <c r="J44" s="110" t="str">
        <v>CDK</v>
      </c>
      <c r="K44" s="67"/>
      <c r="L44" s="68" t="s">
        <v>51</v>
      </c>
      <c r="M44" s="26"/>
      <c r="N44" s="63">
        <v>399.7</v>
      </c>
      <c r="O44" s="64"/>
      <c r="P44" s="64"/>
      <c r="Q44" s="64"/>
      <c r="R44" s="65"/>
      <c r="S44" s="71"/>
      <c r="T44" s="71" t="s">
        <v>106</v>
      </c>
      <c r="U44" s="71"/>
      <c r="V44" s="78">
        <v>0.1</v>
      </c>
      <c r="W44" s="73">
        <v>400</v>
      </c>
      <c r="X44" s="74" t="s">
        <v>23</v>
      </c>
      <c r="Y44" s="94" t="str" cm="1">
        <f t="array" ref="Y44">GetPolarity(X44,AE44)</f>
        <v/>
      </c>
      <c r="Z44" s="75">
        <v>400</v>
      </c>
      <c r="AA44" s="73">
        <v>5</v>
      </c>
      <c r="AB44" s="88">
        <f t="shared" si="11"/>
        <v>395</v>
      </c>
      <c r="AC44" s="88">
        <f t="shared" si="12"/>
        <v>405</v>
      </c>
      <c r="AD44" s="75"/>
      <c r="AE44" s="73"/>
      <c r="AF44" s="25" t="str">
        <f t="shared" si="5"/>
        <v/>
      </c>
      <c r="AG44" s="33" t="str" cm="1">
        <f t="array" ref="AG44">FilterSpecialCharacters(X44)</f>
        <v>°C</v>
      </c>
      <c r="AH44" s="95" t="str">
        <f t="shared" si="6"/>
        <v xml:space="preserve"> °C</v>
      </c>
    </row>
    <row r="45" spans="1:34" x14ac:dyDescent="0.25">
      <c r="A45" s="92" t="str" cm="1">
        <f t="array" ref="A45">IfEmpty(TRIM(_xlfn.CONCAT(C45:H45)),"",CRC32HASH(_xlfn.CONCAT(C45:H45)))</f>
        <v/>
      </c>
      <c r="B45" s="48" t="str">
        <f>IFERROR(VLOOKUP(J45,Table1[],2,FALSE),"")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70" t="str">
        <f t="shared" si="7"/>
        <v/>
      </c>
      <c r="F45" s="51" t="str">
        <f t="shared" si="9"/>
        <v/>
      </c>
      <c r="G45" s="51" t="str">
        <f t="shared" si="10"/>
        <v/>
      </c>
      <c r="H45" s="47" t="str" cm="1">
        <f t="array" ref="H45:J45">IFERROR(CalcUnc(K45,L45,S45,T45,V45,X45,AD45,AE45,N45:R45,Z45,AA45),"")</f>
        <v/>
      </c>
      <c r="I45" s="61" t="str">
        <v/>
      </c>
      <c r="J45" s="110" t="str">
        <v/>
      </c>
      <c r="K45" s="67"/>
      <c r="L45" s="68"/>
      <c r="M45" s="26"/>
      <c r="N45" s="63"/>
      <c r="O45" s="64"/>
      <c r="P45" s="64"/>
      <c r="Q45" s="64"/>
      <c r="R45" s="65"/>
      <c r="S45" s="71"/>
      <c r="T45" s="71"/>
      <c r="U45" s="71"/>
      <c r="V45" s="78"/>
      <c r="W45" s="73"/>
      <c r="X45" s="74"/>
      <c r="Y45" s="94" t="str" cm="1">
        <f t="array" ref="Y45">GetPolarity(X45,AE45)</f>
        <v/>
      </c>
      <c r="Z45" s="75"/>
      <c r="AA45" s="79"/>
      <c r="AB45" s="88" t="str">
        <f t="shared" si="11"/>
        <v/>
      </c>
      <c r="AC45" s="88" t="str">
        <f t="shared" si="12"/>
        <v/>
      </c>
      <c r="AD45" s="75"/>
      <c r="AE45" s="73"/>
      <c r="AF45" s="25" t="str">
        <f t="shared" si="5"/>
        <v/>
      </c>
      <c r="AG45" s="33" t="str" cm="1">
        <f t="array" ref="AG45">FilterSpecialCharacters(X45)</f>
        <v/>
      </c>
      <c r="AH45" s="95" t="str">
        <f t="shared" si="6"/>
        <v xml:space="preserve"> </v>
      </c>
    </row>
    <row r="46" spans="1:34" x14ac:dyDescent="0.25">
      <c r="A46" s="92" t="str" cm="1">
        <f t="array" ref="A46">IfEmpty(TRIM(_xlfn.CONCAT(C46:H46)),"",CRC32HASH(_xlfn.CONCAT(C46:H46)))</f>
        <v/>
      </c>
      <c r="B46" s="11" t="str">
        <f>IFERROR(VLOOKUP(J46,Table1[],2,FALSE),"")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69" t="str">
        <f t="shared" si="7"/>
        <v/>
      </c>
      <c r="F46" s="50" t="str">
        <f t="shared" si="9"/>
        <v/>
      </c>
      <c r="G46" s="50" t="str">
        <f t="shared" si="10"/>
        <v/>
      </c>
      <c r="H46" s="44" t="str" cm="1">
        <f t="array" ref="H46:J46">IFERROR(CalcUnc(K46,L46,S46,T46,V46,X46,AD46,AE46,N46:R46,Z46,AA46),"")</f>
        <v/>
      </c>
      <c r="I46" s="61" t="str">
        <v/>
      </c>
      <c r="J46" s="110" t="str">
        <v/>
      </c>
      <c r="K46" s="67"/>
      <c r="L46" s="68"/>
      <c r="M46" s="26"/>
      <c r="N46" s="63"/>
      <c r="O46" s="64"/>
      <c r="P46" s="64"/>
      <c r="Q46" s="64"/>
      <c r="R46" s="65"/>
      <c r="S46" s="71"/>
      <c r="T46" s="71"/>
      <c r="U46" s="71"/>
      <c r="V46" s="78"/>
      <c r="W46" s="73"/>
      <c r="X46" s="74"/>
      <c r="Y46" s="94" t="str" cm="1">
        <f t="array" ref="Y46">GetPolarity(X46,AE46)</f>
        <v/>
      </c>
      <c r="Z46" s="75"/>
      <c r="AA46" s="79"/>
      <c r="AB46" s="88" t="str">
        <f t="shared" si="11"/>
        <v/>
      </c>
      <c r="AC46" s="88" t="str">
        <f t="shared" si="12"/>
        <v/>
      </c>
      <c r="AD46" s="75"/>
      <c r="AE46" s="73"/>
      <c r="AF46" s="25" t="str">
        <f t="shared" si="5"/>
        <v/>
      </c>
      <c r="AG46" s="33" t="str" cm="1">
        <f t="array" ref="AG46">FilterSpecialCharacters(X46)</f>
        <v/>
      </c>
      <c r="AH46" s="95" t="str">
        <f t="shared" si="6"/>
        <v xml:space="preserve"> </v>
      </c>
    </row>
    <row r="47" spans="1:34" x14ac:dyDescent="0.25">
      <c r="A47" s="92" t="str" cm="1">
        <f t="array" ref="A47">IfEmpty(TRIM(_xlfn.CONCAT(C47:H47)),"",CRC32HASH(_xlfn.CONCAT(C47:H47)))</f>
        <v/>
      </c>
      <c r="B47" s="48" t="str">
        <f>IFERROR(VLOOKUP(J47,Table1[],2,FALSE),"")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70" t="str">
        <f t="shared" si="7"/>
        <v/>
      </c>
      <c r="F47" s="51" t="str">
        <f t="shared" si="9"/>
        <v/>
      </c>
      <c r="G47" s="51" t="str">
        <f t="shared" si="10"/>
        <v/>
      </c>
      <c r="H47" s="47" t="str" cm="1">
        <f t="array" ref="H47:J47">IFERROR(CalcUnc(K47,L47,S47,T47,V47,X47,AD47,AE47,N47:R47,Z47,AA47),"")</f>
        <v/>
      </c>
      <c r="I47" s="61" t="str">
        <v/>
      </c>
      <c r="J47" s="110" t="str">
        <v/>
      </c>
      <c r="K47" s="67"/>
      <c r="L47" s="68"/>
      <c r="M47" s="26"/>
      <c r="N47" s="63"/>
      <c r="O47" s="64"/>
      <c r="P47" s="64"/>
      <c r="Q47" s="64"/>
      <c r="R47" s="65"/>
      <c r="S47" s="71"/>
      <c r="T47" s="71"/>
      <c r="U47" s="71"/>
      <c r="V47" s="78"/>
      <c r="W47" s="73"/>
      <c r="X47" s="74"/>
      <c r="Y47" s="94" t="str" cm="1">
        <f t="array" ref="Y47">GetPolarity(X47,AE47)</f>
        <v/>
      </c>
      <c r="Z47" s="75"/>
      <c r="AA47" s="79"/>
      <c r="AB47" s="88" t="str">
        <f t="shared" si="11"/>
        <v/>
      </c>
      <c r="AC47" s="88" t="str">
        <f t="shared" si="12"/>
        <v/>
      </c>
      <c r="AD47" s="75"/>
      <c r="AE47" s="73"/>
      <c r="AF47" s="25" t="str">
        <f t="shared" si="5"/>
        <v/>
      </c>
      <c r="AG47" s="33" t="str" cm="1">
        <f t="array" ref="AG47">FilterSpecialCharacters(X47)</f>
        <v/>
      </c>
      <c r="AH47" s="95" t="str">
        <f t="shared" si="6"/>
        <v xml:space="preserve"> </v>
      </c>
    </row>
    <row r="48" spans="1:34" x14ac:dyDescent="0.25">
      <c r="A48" s="92" t="str" cm="1">
        <f t="array" ref="A48">IfEmpty(TRIM(_xlfn.CONCAT(C48:H48)),"",CRC32HASH(_xlfn.CONCAT(C48:H48)))</f>
        <v/>
      </c>
      <c r="B48" s="11" t="str">
        <f>IFERROR(VLOOKUP(J48,Table1[],2,FALSE),"")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69" t="str">
        <f t="shared" si="7"/>
        <v/>
      </c>
      <c r="F48" s="50" t="str">
        <f t="shared" si="9"/>
        <v/>
      </c>
      <c r="G48" s="50" t="str">
        <f t="shared" si="10"/>
        <v/>
      </c>
      <c r="H48" s="44" t="str" cm="1">
        <f t="array" ref="H48:J48">IFERROR(CalcUnc(K48,L48,S48,T48,V48,X48,AD48,AE48,N48:R48,Z48,AA48),"")</f>
        <v/>
      </c>
      <c r="I48" s="61" t="str">
        <v/>
      </c>
      <c r="J48" s="110" t="str">
        <v/>
      </c>
      <c r="K48" s="67"/>
      <c r="L48" s="68"/>
      <c r="M48" s="26"/>
      <c r="N48" s="63"/>
      <c r="O48" s="64"/>
      <c r="P48" s="64"/>
      <c r="Q48" s="64"/>
      <c r="R48" s="65"/>
      <c r="S48" s="71"/>
      <c r="T48" s="71"/>
      <c r="U48" s="71"/>
      <c r="V48" s="78"/>
      <c r="W48" s="73"/>
      <c r="X48" s="74"/>
      <c r="Y48" s="94" t="str" cm="1">
        <f t="array" ref="Y48">GetPolarity(X48,AE48)</f>
        <v/>
      </c>
      <c r="Z48" s="75"/>
      <c r="AA48" s="79"/>
      <c r="AB48" s="88" t="str">
        <f t="shared" si="11"/>
        <v/>
      </c>
      <c r="AC48" s="88" t="str">
        <f t="shared" si="12"/>
        <v/>
      </c>
      <c r="AD48" s="75"/>
      <c r="AE48" s="73"/>
      <c r="AF48" s="25" t="str">
        <f t="shared" si="5"/>
        <v/>
      </c>
      <c r="AG48" s="33" t="str" cm="1">
        <f t="array" ref="AG48">FilterSpecialCharacters(X48)</f>
        <v/>
      </c>
      <c r="AH48" s="95" t="str">
        <f t="shared" si="6"/>
        <v xml:space="preserve"> </v>
      </c>
    </row>
    <row r="49" spans="1:34" x14ac:dyDescent="0.25">
      <c r="A49" s="92" t="str" cm="1">
        <f t="array" ref="A49">IfEmpty(TRIM(_xlfn.CONCAT(C49:H49)),"",CRC32HASH(_xlfn.CONCAT(C49:H49)))</f>
        <v/>
      </c>
      <c r="B49" s="48" t="str">
        <f>IFERROR(VLOOKUP(J49,Table1[],2,FALSE),"")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70" t="str">
        <f t="shared" si="7"/>
        <v/>
      </c>
      <c r="F49" s="51" t="str">
        <f t="shared" si="9"/>
        <v/>
      </c>
      <c r="G49" s="51" t="str">
        <f t="shared" si="10"/>
        <v/>
      </c>
      <c r="H49" s="47" t="str" cm="1">
        <f t="array" ref="H49:J49">IFERROR(CalcUnc(K49,L49,S49,T49,V49,X49,AD49,AE49,N49:R49,Z49,AA49),"")</f>
        <v/>
      </c>
      <c r="I49" s="61" t="str">
        <v/>
      </c>
      <c r="J49" s="110" t="str">
        <v/>
      </c>
      <c r="K49" s="67"/>
      <c r="L49" s="68"/>
      <c r="M49" s="26"/>
      <c r="N49" s="63"/>
      <c r="O49" s="64"/>
      <c r="P49" s="64"/>
      <c r="Q49" s="64"/>
      <c r="R49" s="65"/>
      <c r="S49" s="71"/>
      <c r="T49" s="71"/>
      <c r="U49" s="71"/>
      <c r="V49" s="78"/>
      <c r="W49" s="73"/>
      <c r="X49" s="74"/>
      <c r="Y49" s="94" t="str" cm="1">
        <f t="array" ref="Y49">GetPolarity(X49,AE49)</f>
        <v/>
      </c>
      <c r="Z49" s="75"/>
      <c r="AA49" s="79"/>
      <c r="AB49" s="88" t="str">
        <f t="shared" si="11"/>
        <v/>
      </c>
      <c r="AC49" s="88" t="str">
        <f t="shared" si="12"/>
        <v/>
      </c>
      <c r="AD49" s="75"/>
      <c r="AE49" s="73"/>
      <c r="AF49" s="25" t="str">
        <f t="shared" si="5"/>
        <v/>
      </c>
      <c r="AG49" s="33" t="str" cm="1">
        <f t="array" ref="AG49">FilterSpecialCharacters(X49)</f>
        <v/>
      </c>
      <c r="AH49" s="95" t="str">
        <f t="shared" si="6"/>
        <v xml:space="preserve"> </v>
      </c>
    </row>
    <row r="50" spans="1:34" x14ac:dyDescent="0.25">
      <c r="A50" s="92" t="str" cm="1">
        <f t="array" ref="A50">IfEmpty(TRIM(_xlfn.CONCAT(C50:H50)),"",CRC32HASH(_xlfn.CONCAT(C50:H50)))</f>
        <v/>
      </c>
      <c r="B50" s="11" t="str">
        <f>IFERROR(VLOOKUP(J50,Table1[],2,FALSE),"")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69" t="str">
        <f t="shared" si="7"/>
        <v/>
      </c>
      <c r="F50" s="50" t="str">
        <f t="shared" si="9"/>
        <v/>
      </c>
      <c r="G50" s="50" t="str">
        <f t="shared" si="10"/>
        <v/>
      </c>
      <c r="H50" s="44" t="str" cm="1">
        <f t="array" ref="H50:J50">IFERROR(CalcUnc(K50,L50,S50,T50,V50,X50,AD50,AE50,N50:R50,Z50,AA50),"")</f>
        <v/>
      </c>
      <c r="I50" s="61" t="str">
        <v/>
      </c>
      <c r="J50" s="110" t="str">
        <v/>
      </c>
      <c r="K50" s="67"/>
      <c r="L50" s="68"/>
      <c r="M50" s="26"/>
      <c r="N50" s="63"/>
      <c r="O50" s="64"/>
      <c r="P50" s="64"/>
      <c r="Q50" s="64"/>
      <c r="R50" s="65"/>
      <c r="S50" s="71"/>
      <c r="T50" s="71"/>
      <c r="U50" s="71"/>
      <c r="V50" s="78"/>
      <c r="W50" s="73"/>
      <c r="X50" s="74"/>
      <c r="Y50" s="94" t="str" cm="1">
        <f t="array" ref="Y50">GetPolarity(X50,AE50)</f>
        <v/>
      </c>
      <c r="Z50" s="75"/>
      <c r="AA50" s="79"/>
      <c r="AB50" s="88" t="str">
        <f t="shared" si="11"/>
        <v/>
      </c>
      <c r="AC50" s="88" t="str">
        <f t="shared" si="12"/>
        <v/>
      </c>
      <c r="AD50" s="75"/>
      <c r="AE50" s="73"/>
      <c r="AF50" s="25" t="str">
        <f t="shared" si="5"/>
        <v/>
      </c>
      <c r="AG50" s="33" t="str" cm="1">
        <f t="array" ref="AG50">FilterSpecialCharacters(X50)</f>
        <v/>
      </c>
      <c r="AH50" s="95" t="str">
        <f t="shared" si="6"/>
        <v xml:space="preserve"> </v>
      </c>
    </row>
    <row r="51" spans="1:34" x14ac:dyDescent="0.25">
      <c r="A51" s="92" t="str" cm="1">
        <f t="array" ref="A51">IfEmpty(TRIM(_xlfn.CONCAT(C51:H51)),"",CRC32HASH(_xlfn.CONCAT(C51:H51)))</f>
        <v/>
      </c>
      <c r="B51" s="48" t="str">
        <f>IFERROR(VLOOKUP(J51,Table1[],2,FALSE),"")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70" t="str">
        <f t="shared" si="7"/>
        <v/>
      </c>
      <c r="F51" s="51" t="str">
        <f t="shared" si="9"/>
        <v/>
      </c>
      <c r="G51" s="51" t="str">
        <f t="shared" si="10"/>
        <v/>
      </c>
      <c r="H51" s="47" t="str" cm="1">
        <f t="array" ref="H51:J51">IFERROR(CalcUnc(K51,L51,S51,T51,V51,X51,AD51,AE51,N51:R51,Z51,AA51),"")</f>
        <v/>
      </c>
      <c r="I51" s="61" t="str">
        <v/>
      </c>
      <c r="J51" s="110" t="str">
        <v/>
      </c>
      <c r="K51" s="67"/>
      <c r="L51" s="68"/>
      <c r="M51" s="26"/>
      <c r="N51" s="63"/>
      <c r="O51" s="64"/>
      <c r="P51" s="64"/>
      <c r="Q51" s="64"/>
      <c r="R51" s="65"/>
      <c r="S51" s="71"/>
      <c r="T51" s="71"/>
      <c r="U51" s="71"/>
      <c r="V51" s="78"/>
      <c r="W51" s="73"/>
      <c r="X51" s="74"/>
      <c r="Y51" s="94" t="str" cm="1">
        <f t="array" ref="Y51">GetPolarity(X51,AE51)</f>
        <v/>
      </c>
      <c r="Z51" s="75"/>
      <c r="AA51" s="79"/>
      <c r="AB51" s="88" t="str">
        <f t="shared" si="11"/>
        <v/>
      </c>
      <c r="AC51" s="88" t="str">
        <f t="shared" si="12"/>
        <v/>
      </c>
      <c r="AD51" s="75"/>
      <c r="AE51" s="73"/>
      <c r="AF51" s="25" t="str">
        <f t="shared" si="5"/>
        <v/>
      </c>
      <c r="AG51" s="33" t="str" cm="1">
        <f t="array" ref="AG51">FilterSpecialCharacters(X51)</f>
        <v/>
      </c>
      <c r="AH51" s="95" t="str">
        <f t="shared" si="6"/>
        <v xml:space="preserve"> </v>
      </c>
    </row>
    <row r="52" spans="1:34" x14ac:dyDescent="0.25">
      <c r="A52" s="92" t="str" cm="1">
        <f t="array" ref="A52">IfEmpty(TRIM(_xlfn.CONCAT(C52:H52)),"",CRC32HASH(_xlfn.CONCAT(C52:H52)))</f>
        <v/>
      </c>
      <c r="B52" s="11" t="str">
        <f>IFERROR(VLOOKUP(J52,Table1[],2,FALSE),"")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69" t="str">
        <f t="shared" si="7"/>
        <v/>
      </c>
      <c r="F52" s="50" t="str">
        <f t="shared" si="9"/>
        <v/>
      </c>
      <c r="G52" s="50" t="str">
        <f t="shared" si="10"/>
        <v/>
      </c>
      <c r="H52" s="44" t="str" cm="1">
        <f t="array" ref="H52:J52">IFERROR(CalcUnc(K52,L52,S52,T52,V52,X52,AD52,AE52,N52:R52,Z52,AA52),"")</f>
        <v/>
      </c>
      <c r="I52" s="61" t="str">
        <v/>
      </c>
      <c r="J52" s="110" t="str">
        <v/>
      </c>
      <c r="K52" s="67"/>
      <c r="L52" s="68"/>
      <c r="M52" s="26"/>
      <c r="N52" s="63"/>
      <c r="O52" s="64"/>
      <c r="P52" s="64"/>
      <c r="Q52" s="64"/>
      <c r="R52" s="65"/>
      <c r="S52" s="71"/>
      <c r="T52" s="71"/>
      <c r="U52" s="71"/>
      <c r="V52" s="78"/>
      <c r="W52" s="73"/>
      <c r="X52" s="74"/>
      <c r="Y52" s="94" t="str" cm="1">
        <f t="array" ref="Y52">GetPolarity(X52,AE52)</f>
        <v/>
      </c>
      <c r="Z52" s="75"/>
      <c r="AA52" s="79"/>
      <c r="AB52" s="88" t="str">
        <f t="shared" si="11"/>
        <v/>
      </c>
      <c r="AC52" s="88" t="str">
        <f t="shared" si="12"/>
        <v/>
      </c>
      <c r="AD52" s="75"/>
      <c r="AE52" s="73"/>
      <c r="AF52" s="25" t="str">
        <f t="shared" si="5"/>
        <v/>
      </c>
      <c r="AG52" s="33" t="str" cm="1">
        <f t="array" ref="AG52">FilterSpecialCharacters(X52)</f>
        <v/>
      </c>
      <c r="AH52" s="95" t="str">
        <f t="shared" si="6"/>
        <v xml:space="preserve"> </v>
      </c>
    </row>
    <row r="53" spans="1:34" x14ac:dyDescent="0.25">
      <c r="A53" s="92" t="str" cm="1">
        <f t="array" ref="A53">IfEmpty(TRIM(_xlfn.CONCAT(C53:H53)),"",CRC32HASH(_xlfn.CONCAT(C53:H53)))</f>
        <v/>
      </c>
      <c r="B53" s="48" t="str">
        <f>IFERROR(VLOOKUP(J53,Table1[],2,FALSE),"")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70" t="str">
        <f t="shared" si="7"/>
        <v/>
      </c>
      <c r="F53" s="51" t="str">
        <f t="shared" si="9"/>
        <v/>
      </c>
      <c r="G53" s="51" t="str">
        <f t="shared" si="10"/>
        <v/>
      </c>
      <c r="H53" s="47" t="str" cm="1">
        <f t="array" ref="H53:J53">IFERROR(CalcUnc(K53,L53,S53,T53,V53,X53,AD53,AE53,N53:R53,Z53,AA53),"")</f>
        <v/>
      </c>
      <c r="I53" s="61" t="str">
        <v/>
      </c>
      <c r="J53" s="110" t="str">
        <v/>
      </c>
      <c r="K53" s="67"/>
      <c r="L53" s="68"/>
      <c r="M53" s="26"/>
      <c r="N53" s="63"/>
      <c r="O53" s="64"/>
      <c r="P53" s="64"/>
      <c r="Q53" s="64"/>
      <c r="R53" s="65"/>
      <c r="S53" s="71"/>
      <c r="T53" s="71"/>
      <c r="U53" s="71"/>
      <c r="V53" s="78"/>
      <c r="W53" s="73"/>
      <c r="X53" s="74"/>
      <c r="Y53" s="94" t="str" cm="1">
        <f t="array" ref="Y53">GetPolarity(X53,AE53)</f>
        <v/>
      </c>
      <c r="Z53" s="75"/>
      <c r="AA53" s="79"/>
      <c r="AB53" s="88" t="str">
        <f t="shared" si="11"/>
        <v/>
      </c>
      <c r="AC53" s="88" t="str">
        <f t="shared" si="12"/>
        <v/>
      </c>
      <c r="AD53" s="75"/>
      <c r="AE53" s="73"/>
      <c r="AF53" s="25" t="str">
        <f t="shared" si="5"/>
        <v/>
      </c>
      <c r="AG53" s="33" t="str" cm="1">
        <f t="array" ref="AG53">FilterSpecialCharacters(X53)</f>
        <v/>
      </c>
      <c r="AH53" s="95" t="str">
        <f t="shared" si="6"/>
        <v xml:space="preserve"> </v>
      </c>
    </row>
    <row r="54" spans="1:34" x14ac:dyDescent="0.25">
      <c r="A54" s="92" t="str" cm="1">
        <f t="array" ref="A54">IfEmpty(TRIM(_xlfn.CONCAT(C54:H54)),"",CRC32HASH(_xlfn.CONCAT(C54:H54)))</f>
        <v/>
      </c>
      <c r="B54" s="11" t="str">
        <f>IFERROR(VLOOKUP(J54,Table1[],2,FALSE),"")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69" t="str">
        <f t="shared" si="7"/>
        <v/>
      </c>
      <c r="F54" s="50" t="str">
        <f t="shared" si="9"/>
        <v/>
      </c>
      <c r="G54" s="50" t="str">
        <f t="shared" si="10"/>
        <v/>
      </c>
      <c r="H54" s="44" t="str" cm="1">
        <f t="array" ref="H54:J54">IFERROR(CalcUnc(K54,L54,S54,T54,V54,X54,AD54,AE54,N54:R54,Z54,AA54),"")</f>
        <v/>
      </c>
      <c r="I54" s="61" t="str">
        <v/>
      </c>
      <c r="J54" s="110" t="str">
        <v/>
      </c>
      <c r="K54" s="67"/>
      <c r="L54" s="68"/>
      <c r="M54" s="26"/>
      <c r="N54" s="63"/>
      <c r="O54" s="64"/>
      <c r="P54" s="64"/>
      <c r="Q54" s="64"/>
      <c r="R54" s="65"/>
      <c r="S54" s="71"/>
      <c r="T54" s="71"/>
      <c r="U54" s="71"/>
      <c r="V54" s="78"/>
      <c r="W54" s="73"/>
      <c r="X54" s="74"/>
      <c r="Y54" s="94" t="str" cm="1">
        <f t="array" ref="Y54">GetPolarity(X54,AE54)</f>
        <v/>
      </c>
      <c r="Z54" s="75"/>
      <c r="AA54" s="79"/>
      <c r="AB54" s="88" t="str">
        <f t="shared" si="11"/>
        <v/>
      </c>
      <c r="AC54" s="88" t="str">
        <f t="shared" si="12"/>
        <v/>
      </c>
      <c r="AD54" s="75"/>
      <c r="AE54" s="73"/>
      <c r="AF54" s="25" t="str">
        <f t="shared" si="5"/>
        <v/>
      </c>
      <c r="AG54" s="33" t="str" cm="1">
        <f t="array" ref="AG54">FilterSpecialCharacters(X54)</f>
        <v/>
      </c>
      <c r="AH54" s="95" t="str">
        <f t="shared" si="6"/>
        <v xml:space="preserve"> </v>
      </c>
    </row>
    <row r="55" spans="1:34" x14ac:dyDescent="0.25">
      <c r="A55" s="92" t="str" cm="1">
        <f t="array" ref="A55">IfEmpty(TRIM(_xlfn.CONCAT(C55:H55)),"",CRC32HASH(_xlfn.CONCAT(C55:H55)))</f>
        <v/>
      </c>
      <c r="B55" s="48" t="str">
        <f>IFERROR(VLOOKUP(J55,Table1[],2,FALSE),"")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70" t="str">
        <f t="shared" si="7"/>
        <v/>
      </c>
      <c r="F55" s="51" t="str">
        <f t="shared" si="9"/>
        <v/>
      </c>
      <c r="G55" s="51" t="str">
        <f t="shared" si="10"/>
        <v/>
      </c>
      <c r="H55" s="47" t="str" cm="1">
        <f t="array" ref="H55:J55">IFERROR(CalcUnc(K55,L55,S55,T55,V55,X55,AD55,AE55,N55:R55,Z55,AA55),"")</f>
        <v/>
      </c>
      <c r="I55" s="61" t="str">
        <v/>
      </c>
      <c r="J55" s="110" t="str">
        <v/>
      </c>
      <c r="K55" s="67"/>
      <c r="L55" s="68"/>
      <c r="M55" s="26"/>
      <c r="N55" s="63"/>
      <c r="O55" s="64"/>
      <c r="P55" s="64"/>
      <c r="Q55" s="64"/>
      <c r="R55" s="65"/>
      <c r="S55" s="71"/>
      <c r="T55" s="71"/>
      <c r="U55" s="71"/>
      <c r="V55" s="78"/>
      <c r="W55" s="73"/>
      <c r="X55" s="74"/>
      <c r="Y55" s="94" t="str" cm="1">
        <f t="array" ref="Y55">GetPolarity(X55,AE55)</f>
        <v/>
      </c>
      <c r="Z55" s="75"/>
      <c r="AA55" s="79"/>
      <c r="AB55" s="88" t="str">
        <f t="shared" si="11"/>
        <v/>
      </c>
      <c r="AC55" s="88" t="str">
        <f t="shared" si="12"/>
        <v/>
      </c>
      <c r="AD55" s="75"/>
      <c r="AE55" s="73"/>
      <c r="AF55" s="25" t="str">
        <f t="shared" si="5"/>
        <v/>
      </c>
      <c r="AG55" s="33" t="str" cm="1">
        <f t="array" ref="AG55">FilterSpecialCharacters(X55)</f>
        <v/>
      </c>
      <c r="AH55" s="95" t="str">
        <f t="shared" si="6"/>
        <v xml:space="preserve"> </v>
      </c>
    </row>
    <row r="56" spans="1:34" x14ac:dyDescent="0.25">
      <c r="A56" s="92" t="str" cm="1">
        <f t="array" ref="A56">IfEmpty(TRIM(_xlfn.CONCAT(C56:H56)),"",CRC32HASH(_xlfn.CONCAT(C56:H56)))</f>
        <v/>
      </c>
      <c r="B56" s="11" t="str">
        <f>IFERROR(VLOOKUP(J56,Table1[],2,FALSE),"")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69" t="str">
        <f t="shared" si="7"/>
        <v/>
      </c>
      <c r="F56" s="50" t="str">
        <f t="shared" si="9"/>
        <v/>
      </c>
      <c r="G56" s="50" t="str">
        <f t="shared" si="10"/>
        <v/>
      </c>
      <c r="H56" s="44" t="str" cm="1">
        <f t="array" ref="H56:J56">IFERROR(CalcUnc(K56,L56,S56,T56,V56,X56,AD56,AE56,N56:R56,Z56,AA56),"")</f>
        <v/>
      </c>
      <c r="I56" s="61" t="str">
        <v/>
      </c>
      <c r="J56" s="110" t="str">
        <v/>
      </c>
      <c r="K56" s="67"/>
      <c r="L56" s="68"/>
      <c r="M56" s="26"/>
      <c r="N56" s="63"/>
      <c r="O56" s="64"/>
      <c r="P56" s="64"/>
      <c r="Q56" s="64"/>
      <c r="R56" s="65"/>
      <c r="S56" s="71"/>
      <c r="T56" s="71"/>
      <c r="U56" s="71"/>
      <c r="V56" s="78"/>
      <c r="W56" s="73"/>
      <c r="X56" s="74"/>
      <c r="Y56" s="94" t="str" cm="1">
        <f t="array" ref="Y56">GetPolarity(X56,AE56)</f>
        <v/>
      </c>
      <c r="Z56" s="75"/>
      <c r="AA56" s="79"/>
      <c r="AB56" s="88" t="str">
        <f t="shared" si="11"/>
        <v/>
      </c>
      <c r="AC56" s="88" t="str">
        <f t="shared" si="12"/>
        <v/>
      </c>
      <c r="AD56" s="75"/>
      <c r="AE56" s="73"/>
      <c r="AF56" s="25" t="str">
        <f t="shared" si="5"/>
        <v/>
      </c>
      <c r="AG56" s="33" t="str" cm="1">
        <f t="array" ref="AG56">FilterSpecialCharacters(X56)</f>
        <v/>
      </c>
      <c r="AH56" s="95" t="str">
        <f t="shared" si="6"/>
        <v xml:space="preserve"> </v>
      </c>
    </row>
    <row r="57" spans="1:34" x14ac:dyDescent="0.25">
      <c r="A57" s="92" t="str" cm="1">
        <f t="array" ref="A57">IfEmpty(TRIM(_xlfn.CONCAT(C57:H57)),"",CRC32HASH(_xlfn.CONCAT(C57:H57)))</f>
        <v/>
      </c>
      <c r="B57" s="48" t="str">
        <f>IFERROR(VLOOKUP(J57,Table1[],2,FALSE),"")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70" t="str">
        <f t="shared" si="7"/>
        <v/>
      </c>
      <c r="F57" s="51" t="str">
        <f t="shared" si="9"/>
        <v/>
      </c>
      <c r="G57" s="51" t="str">
        <f t="shared" si="10"/>
        <v/>
      </c>
      <c r="H57" s="47" t="str" cm="1">
        <f t="array" ref="H57:J57">IFERROR(CalcUnc(K57,L57,S57,T57,V57,X57,AD57,AE57,N57:R57,Z57,AA57),"")</f>
        <v/>
      </c>
      <c r="I57" s="61" t="str">
        <v/>
      </c>
      <c r="J57" s="110" t="str">
        <v/>
      </c>
      <c r="K57" s="67"/>
      <c r="L57" s="68"/>
      <c r="M57" s="26"/>
      <c r="N57" s="63"/>
      <c r="O57" s="64"/>
      <c r="P57" s="64"/>
      <c r="Q57" s="64"/>
      <c r="R57" s="65"/>
      <c r="S57" s="71"/>
      <c r="T57" s="71"/>
      <c r="U57" s="71"/>
      <c r="V57" s="78"/>
      <c r="W57" s="73"/>
      <c r="X57" s="74"/>
      <c r="Y57" s="94" t="str" cm="1">
        <f t="array" ref="Y57">GetPolarity(X57,AE57)</f>
        <v/>
      </c>
      <c r="Z57" s="75"/>
      <c r="AA57" s="79"/>
      <c r="AB57" s="88" t="str">
        <f t="shared" si="11"/>
        <v/>
      </c>
      <c r="AC57" s="88" t="str">
        <f t="shared" si="12"/>
        <v/>
      </c>
      <c r="AD57" s="75"/>
      <c r="AE57" s="73"/>
      <c r="AF57" s="25" t="str">
        <f t="shared" si="5"/>
        <v/>
      </c>
      <c r="AG57" s="33" t="str" cm="1">
        <f t="array" ref="AG57">FilterSpecialCharacters(X57)</f>
        <v/>
      </c>
      <c r="AH57" s="95" t="str">
        <f t="shared" si="6"/>
        <v xml:space="preserve"> </v>
      </c>
    </row>
    <row r="58" spans="1:34" x14ac:dyDescent="0.25">
      <c r="A58" s="92" t="str" cm="1">
        <f t="array" ref="A58">IfEmpty(TRIM(_xlfn.CONCAT(C58:H58)),"",CRC32HASH(_xlfn.CONCAT(C58:H58)))</f>
        <v/>
      </c>
      <c r="B58" s="11" t="str">
        <f>IFERROR(VLOOKUP(J58,Table1[],2,FALSE),"")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69" t="str">
        <f t="shared" si="7"/>
        <v/>
      </c>
      <c r="F58" s="50" t="str">
        <f t="shared" si="9"/>
        <v/>
      </c>
      <c r="G58" s="50" t="str">
        <f t="shared" si="10"/>
        <v/>
      </c>
      <c r="H58" s="44" t="str" cm="1">
        <f t="array" ref="H58:J58">IFERROR(CalcUnc(K58,L58,S58,T58,V58,X58,AD58,AE58,N58:R58,Z58,AA58),"")</f>
        <v/>
      </c>
      <c r="I58" s="61" t="str">
        <v/>
      </c>
      <c r="J58" s="110" t="str">
        <v/>
      </c>
      <c r="K58" s="67"/>
      <c r="L58" s="68"/>
      <c r="M58" s="26"/>
      <c r="N58" s="63"/>
      <c r="O58" s="64"/>
      <c r="P58" s="64"/>
      <c r="Q58" s="64"/>
      <c r="R58" s="65"/>
      <c r="S58" s="71"/>
      <c r="T58" s="71"/>
      <c r="U58" s="71"/>
      <c r="V58" s="78"/>
      <c r="W58" s="73"/>
      <c r="X58" s="74"/>
      <c r="Y58" s="94" t="str" cm="1">
        <f t="array" ref="Y58">GetPolarity(X58,AE58)</f>
        <v/>
      </c>
      <c r="Z58" s="75"/>
      <c r="AA58" s="79"/>
      <c r="AB58" s="88" t="str">
        <f t="shared" si="11"/>
        <v/>
      </c>
      <c r="AC58" s="88" t="str">
        <f t="shared" si="12"/>
        <v/>
      </c>
      <c r="AD58" s="75"/>
      <c r="AE58" s="73"/>
      <c r="AF58" s="25" t="str">
        <f t="shared" si="5"/>
        <v/>
      </c>
      <c r="AG58" s="33" t="str" cm="1">
        <f t="array" ref="AG58">FilterSpecialCharacters(X58)</f>
        <v/>
      </c>
      <c r="AH58" s="95" t="str">
        <f t="shared" si="6"/>
        <v xml:space="preserve"> </v>
      </c>
    </row>
    <row r="59" spans="1:34" x14ac:dyDescent="0.25">
      <c r="A59" s="92" t="str" cm="1">
        <f t="array" ref="A59">IfEmpty(TRIM(_xlfn.CONCAT(C59:H59)),"",CRC32HASH(_xlfn.CONCAT(C59:H59)))</f>
        <v/>
      </c>
      <c r="B59" s="48" t="str">
        <f>IFERROR(VLOOKUP(J59,Table1[],2,FALSE),"")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70" t="str">
        <f t="shared" si="7"/>
        <v/>
      </c>
      <c r="F59" s="51" t="str">
        <f t="shared" si="9"/>
        <v/>
      </c>
      <c r="G59" s="51" t="str">
        <f t="shared" si="10"/>
        <v/>
      </c>
      <c r="H59" s="47" t="str" cm="1">
        <f t="array" ref="H59:J59">IFERROR(CalcUnc(K59,L59,S59,T59,V59,X59,AD59,AE59,N59:R59,Z59,AA59),"")</f>
        <v/>
      </c>
      <c r="I59" s="61" t="str">
        <v/>
      </c>
      <c r="J59" s="110" t="str">
        <v/>
      </c>
      <c r="K59" s="67"/>
      <c r="L59" s="68"/>
      <c r="M59" s="26"/>
      <c r="N59" s="63"/>
      <c r="O59" s="64"/>
      <c r="P59" s="64"/>
      <c r="Q59" s="64"/>
      <c r="R59" s="65"/>
      <c r="S59" s="71"/>
      <c r="T59" s="71"/>
      <c r="U59" s="71"/>
      <c r="V59" s="78"/>
      <c r="W59" s="73"/>
      <c r="X59" s="74"/>
      <c r="Y59" s="94" t="str" cm="1">
        <f t="array" ref="Y59">GetPolarity(X59,AE59)</f>
        <v/>
      </c>
      <c r="Z59" s="75"/>
      <c r="AA59" s="79"/>
      <c r="AB59" s="88" t="str">
        <f t="shared" si="11"/>
        <v/>
      </c>
      <c r="AC59" s="88" t="str">
        <f t="shared" si="12"/>
        <v/>
      </c>
      <c r="AD59" s="75"/>
      <c r="AE59" s="73"/>
      <c r="AF59" s="25" t="str">
        <f t="shared" si="5"/>
        <v/>
      </c>
      <c r="AG59" s="33" t="str" cm="1">
        <f t="array" ref="AG59">FilterSpecialCharacters(X59)</f>
        <v/>
      </c>
      <c r="AH59" s="95" t="str">
        <f t="shared" si="6"/>
        <v xml:space="preserve"> </v>
      </c>
    </row>
    <row r="60" spans="1:34" x14ac:dyDescent="0.25">
      <c r="A60" s="92" t="str" cm="1">
        <f t="array" ref="A60">IfEmpty(TRIM(_xlfn.CONCAT(C60:H60)),"",CRC32HASH(_xlfn.CONCAT(C60:H60)))</f>
        <v/>
      </c>
      <c r="B60" s="11" t="str">
        <f>IFERROR(VLOOKUP(J60,Table1[],2,FALSE),"")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69" t="str">
        <f t="shared" si="7"/>
        <v/>
      </c>
      <c r="F60" s="50" t="str">
        <f t="shared" si="9"/>
        <v/>
      </c>
      <c r="G60" s="50" t="str">
        <f t="shared" si="10"/>
        <v/>
      </c>
      <c r="H60" s="44" t="str" cm="1">
        <f t="array" ref="H60:J60">IFERROR(CalcUnc(K60,L60,S60,T60,V60,X60,AD60,AE60,N60:R60,Z60,AA60),"")</f>
        <v/>
      </c>
      <c r="I60" s="61" t="str">
        <v/>
      </c>
      <c r="J60" s="110" t="str">
        <v/>
      </c>
      <c r="K60" s="67"/>
      <c r="L60" s="68"/>
      <c r="M60" s="26"/>
      <c r="N60" s="63"/>
      <c r="O60" s="64"/>
      <c r="P60" s="64"/>
      <c r="Q60" s="64"/>
      <c r="R60" s="65"/>
      <c r="S60" s="71"/>
      <c r="T60" s="71"/>
      <c r="U60" s="71"/>
      <c r="V60" s="78"/>
      <c r="W60" s="73"/>
      <c r="X60" s="74"/>
      <c r="Y60" s="94" t="str" cm="1">
        <f t="array" ref="Y60">GetPolarity(X60,AE60)</f>
        <v/>
      </c>
      <c r="Z60" s="75"/>
      <c r="AA60" s="79"/>
      <c r="AB60" s="88" t="str">
        <f t="shared" si="11"/>
        <v/>
      </c>
      <c r="AC60" s="88" t="str">
        <f t="shared" si="12"/>
        <v/>
      </c>
      <c r="AD60" s="75"/>
      <c r="AE60" s="73"/>
      <c r="AF60" s="25" t="str">
        <f t="shared" si="5"/>
        <v/>
      </c>
      <c r="AG60" s="33" t="str" cm="1">
        <f t="array" ref="AG60">FilterSpecialCharacters(X60)</f>
        <v/>
      </c>
      <c r="AH60" s="95" t="str">
        <f t="shared" si="6"/>
        <v xml:space="preserve"> </v>
      </c>
    </row>
    <row r="61" spans="1:34" x14ac:dyDescent="0.25">
      <c r="A61" s="92" t="str" cm="1">
        <f t="array" ref="A61">IfEmpty(TRIM(_xlfn.CONCAT(C61:H61)),"",CRC32HASH(_xlfn.CONCAT(C61:H61)))</f>
        <v/>
      </c>
      <c r="B61" s="48" t="str">
        <f>IFERROR(VLOOKUP(J61,Table1[],2,FALSE),"")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70" t="str">
        <f t="shared" si="7"/>
        <v/>
      </c>
      <c r="F61" s="51" t="str">
        <f t="shared" si="9"/>
        <v/>
      </c>
      <c r="G61" s="51" t="str">
        <f t="shared" si="10"/>
        <v/>
      </c>
      <c r="H61" s="47" t="str" cm="1">
        <f t="array" ref="H61:J61">IFERROR(CalcUnc(K61,L61,S61,T61,V61,X61,AD61,AE61,N61:R61,Z61,AA61),"")</f>
        <v/>
      </c>
      <c r="I61" s="61" t="str">
        <v/>
      </c>
      <c r="J61" s="110" t="str">
        <v/>
      </c>
      <c r="K61" s="67"/>
      <c r="L61" s="68"/>
      <c r="M61" s="26"/>
      <c r="N61" s="63"/>
      <c r="O61" s="64"/>
      <c r="P61" s="64"/>
      <c r="Q61" s="64"/>
      <c r="R61" s="65"/>
      <c r="S61" s="71"/>
      <c r="T61" s="71"/>
      <c r="U61" s="71"/>
      <c r="V61" s="78"/>
      <c r="W61" s="73"/>
      <c r="X61" s="74"/>
      <c r="Y61" s="94" t="str" cm="1">
        <f t="array" ref="Y61">GetPolarity(X61,AE61)</f>
        <v/>
      </c>
      <c r="Z61" s="75"/>
      <c r="AA61" s="79"/>
      <c r="AB61" s="88" t="str">
        <f t="shared" si="11"/>
        <v/>
      </c>
      <c r="AC61" s="88" t="str">
        <f t="shared" si="12"/>
        <v/>
      </c>
      <c r="AD61" s="75"/>
      <c r="AE61" s="73"/>
      <c r="AF61" s="25" t="str">
        <f t="shared" si="5"/>
        <v/>
      </c>
      <c r="AG61" s="33" t="str" cm="1">
        <f t="array" ref="AG61">FilterSpecialCharacters(X61)</f>
        <v/>
      </c>
      <c r="AH61" s="95" t="str">
        <f t="shared" si="6"/>
        <v xml:space="preserve"> </v>
      </c>
    </row>
    <row r="62" spans="1:34" x14ac:dyDescent="0.25">
      <c r="A62" s="92" t="str" cm="1">
        <f t="array" ref="A62">IfEmpty(TRIM(_xlfn.CONCAT(C62:H62)),"",CRC32HASH(_xlfn.CONCAT(C62:H62)))</f>
        <v/>
      </c>
      <c r="B62" s="11" t="str">
        <f>IFERROR(VLOOKUP(J62,Table1[],2,FALSE),"")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69" t="str">
        <f t="shared" si="7"/>
        <v/>
      </c>
      <c r="F62" s="50" t="str">
        <f t="shared" si="9"/>
        <v/>
      </c>
      <c r="G62" s="50" t="str">
        <f t="shared" si="10"/>
        <v/>
      </c>
      <c r="H62" s="44" t="str" cm="1">
        <f t="array" ref="H62:J62">IFERROR(CalcUnc(K62,L62,S62,T62,V62,X62,AD62,AE62,N62:R62,Z62,AA62),"")</f>
        <v/>
      </c>
      <c r="I62" s="61" t="str">
        <v/>
      </c>
      <c r="J62" s="110" t="str">
        <v/>
      </c>
      <c r="K62" s="67"/>
      <c r="L62" s="68"/>
      <c r="M62" s="26"/>
      <c r="N62" s="63"/>
      <c r="O62" s="64"/>
      <c r="P62" s="64"/>
      <c r="Q62" s="64"/>
      <c r="R62" s="65"/>
      <c r="S62" s="71"/>
      <c r="T62" s="71"/>
      <c r="U62" s="71"/>
      <c r="V62" s="78"/>
      <c r="W62" s="73"/>
      <c r="X62" s="74"/>
      <c r="Y62" s="94" t="str" cm="1">
        <f t="array" ref="Y62">GetPolarity(X62,AE62)</f>
        <v/>
      </c>
      <c r="Z62" s="75"/>
      <c r="AA62" s="79"/>
      <c r="AB62" s="88" t="str">
        <f t="shared" si="11"/>
        <v/>
      </c>
      <c r="AC62" s="88" t="str">
        <f t="shared" si="12"/>
        <v/>
      </c>
      <c r="AD62" s="75"/>
      <c r="AE62" s="73"/>
      <c r="AF62" s="25" t="str">
        <f t="shared" si="5"/>
        <v/>
      </c>
      <c r="AG62" s="33" t="str" cm="1">
        <f t="array" ref="AG62">FilterSpecialCharacters(X62)</f>
        <v/>
      </c>
      <c r="AH62" s="95" t="str">
        <f t="shared" si="6"/>
        <v xml:space="preserve"> </v>
      </c>
    </row>
    <row r="63" spans="1:34" x14ac:dyDescent="0.25">
      <c r="A63" s="92" t="str" cm="1">
        <f t="array" ref="A63">IfEmpty(TRIM(_xlfn.CONCAT(C63:H63)),"",CRC32HASH(_xlfn.CONCAT(C63:H63)))</f>
        <v/>
      </c>
      <c r="B63" s="48" t="str">
        <f>IFERROR(VLOOKUP(J63,Table1[],2,FALSE),"")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70" t="str">
        <f t="shared" si="7"/>
        <v/>
      </c>
      <c r="F63" s="51" t="str">
        <f t="shared" si="9"/>
        <v/>
      </c>
      <c r="G63" s="51" t="str">
        <f t="shared" si="10"/>
        <v/>
      </c>
      <c r="H63" s="47" t="str" cm="1">
        <f t="array" ref="H63:J63">IFERROR(CalcUnc(K63,L63,S63,T63,V63,X63,AD63,AE63,N63:R63,Z63,AA63),"")</f>
        <v/>
      </c>
      <c r="I63" s="61" t="str">
        <v/>
      </c>
      <c r="J63" s="110" t="str">
        <v/>
      </c>
      <c r="K63" s="67"/>
      <c r="L63" s="68"/>
      <c r="M63" s="26"/>
      <c r="N63" s="63"/>
      <c r="O63" s="64"/>
      <c r="P63" s="64"/>
      <c r="Q63" s="64"/>
      <c r="R63" s="65"/>
      <c r="S63" s="71"/>
      <c r="T63" s="71"/>
      <c r="U63" s="71"/>
      <c r="V63" s="78"/>
      <c r="W63" s="73"/>
      <c r="X63" s="74"/>
      <c r="Y63" s="94" t="str" cm="1">
        <f t="array" ref="Y63">GetPolarity(X63,AE63)</f>
        <v/>
      </c>
      <c r="Z63" s="75"/>
      <c r="AA63" s="79"/>
      <c r="AB63" s="88" t="str">
        <f t="shared" si="11"/>
        <v/>
      </c>
      <c r="AC63" s="88" t="str">
        <f t="shared" si="12"/>
        <v/>
      </c>
      <c r="AD63" s="75"/>
      <c r="AE63" s="73"/>
      <c r="AF63" s="25" t="str">
        <f t="shared" si="5"/>
        <v/>
      </c>
      <c r="AG63" s="33" t="str" cm="1">
        <f t="array" ref="AG63">FilterSpecialCharacters(X63)</f>
        <v/>
      </c>
      <c r="AH63" s="95" t="str">
        <f t="shared" si="6"/>
        <v xml:space="preserve"> </v>
      </c>
    </row>
    <row r="64" spans="1:34" x14ac:dyDescent="0.25">
      <c r="A64" s="92" t="str" cm="1">
        <f t="array" ref="A64">IfEmpty(TRIM(_xlfn.CONCAT(C64:H64)),"",CRC32HASH(_xlfn.CONCAT(C64:H64)))</f>
        <v/>
      </c>
      <c r="B64" s="11" t="str">
        <f>IFERROR(VLOOKUP(J64,Table1[],2,FALSE),"")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69" t="str">
        <f t="shared" si="7"/>
        <v/>
      </c>
      <c r="F64" s="50" t="str">
        <f t="shared" si="9"/>
        <v/>
      </c>
      <c r="G64" s="50" t="str">
        <f t="shared" si="10"/>
        <v/>
      </c>
      <c r="H64" s="44" t="str" cm="1">
        <f t="array" ref="H64:J64">IFERROR(CalcUnc(K64,L64,S64,T64,V64,X64,AD64,AE64,N64:R64,Z64,AA64),"")</f>
        <v/>
      </c>
      <c r="I64" s="61" t="str">
        <v/>
      </c>
      <c r="J64" s="110" t="str">
        <v/>
      </c>
      <c r="K64" s="67"/>
      <c r="L64" s="68"/>
      <c r="M64" s="26"/>
      <c r="N64" s="63"/>
      <c r="O64" s="64"/>
      <c r="P64" s="64"/>
      <c r="Q64" s="64"/>
      <c r="R64" s="65"/>
      <c r="S64" s="71"/>
      <c r="T64" s="71"/>
      <c r="U64" s="71"/>
      <c r="V64" s="78"/>
      <c r="W64" s="73"/>
      <c r="X64" s="74"/>
      <c r="Y64" s="94" t="str" cm="1">
        <f t="array" ref="Y64">GetPolarity(X64,AE64)</f>
        <v/>
      </c>
      <c r="Z64" s="75"/>
      <c r="AA64" s="79"/>
      <c r="AB64" s="88" t="str">
        <f t="shared" si="11"/>
        <v/>
      </c>
      <c r="AC64" s="88" t="str">
        <f t="shared" si="12"/>
        <v/>
      </c>
      <c r="AD64" s="75"/>
      <c r="AE64" s="73"/>
      <c r="AF64" s="25" t="str">
        <f t="shared" si="5"/>
        <v/>
      </c>
      <c r="AG64" s="33" t="str" cm="1">
        <f t="array" ref="AG64">FilterSpecialCharacters(X64)</f>
        <v/>
      </c>
      <c r="AH64" s="95" t="str">
        <f t="shared" si="6"/>
        <v xml:space="preserve"> </v>
      </c>
    </row>
    <row r="65" spans="1:34" x14ac:dyDescent="0.25">
      <c r="A65" s="92" t="str" cm="1">
        <f t="array" ref="A65">IfEmpty(TRIM(_xlfn.CONCAT(C65:H65)),"",CRC32HASH(_xlfn.CONCAT(C65:H65)))</f>
        <v/>
      </c>
      <c r="B65" s="48" t="str">
        <f>IFERROR(VLOOKUP(J65,Table1[],2,FALSE),"")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70" t="str">
        <f t="shared" si="7"/>
        <v/>
      </c>
      <c r="F65" s="51" t="str">
        <f t="shared" si="9"/>
        <v/>
      </c>
      <c r="G65" s="51" t="str">
        <f t="shared" si="10"/>
        <v/>
      </c>
      <c r="H65" s="47" t="str" cm="1">
        <f t="array" ref="H65:J65">IFERROR(CalcUnc(K65,L65,S65,T65,V65,X65,AD65,AE65,N65:R65,Z65,AA65),"")</f>
        <v/>
      </c>
      <c r="I65" s="61" t="str">
        <v/>
      </c>
      <c r="J65" s="110" t="str">
        <v/>
      </c>
      <c r="K65" s="67"/>
      <c r="L65" s="68"/>
      <c r="M65" s="26"/>
      <c r="N65" s="63"/>
      <c r="O65" s="64"/>
      <c r="P65" s="64"/>
      <c r="Q65" s="64"/>
      <c r="R65" s="65"/>
      <c r="S65" s="71"/>
      <c r="T65" s="71"/>
      <c r="U65" s="71"/>
      <c r="V65" s="78"/>
      <c r="W65" s="73"/>
      <c r="X65" s="74"/>
      <c r="Y65" s="94" t="str" cm="1">
        <f t="array" ref="Y65">GetPolarity(X65,AE65)</f>
        <v/>
      </c>
      <c r="Z65" s="75"/>
      <c r="AA65" s="79"/>
      <c r="AB65" s="88" t="str">
        <f t="shared" si="11"/>
        <v/>
      </c>
      <c r="AC65" s="88" t="str">
        <f t="shared" si="12"/>
        <v/>
      </c>
      <c r="AD65" s="75"/>
      <c r="AE65" s="73"/>
      <c r="AF65" s="25" t="str">
        <f t="shared" si="5"/>
        <v/>
      </c>
      <c r="AG65" s="33" t="str" cm="1">
        <f t="array" ref="AG65">FilterSpecialCharacters(X65)</f>
        <v/>
      </c>
      <c r="AH65" s="95" t="str">
        <f t="shared" si="6"/>
        <v xml:space="preserve"> </v>
      </c>
    </row>
    <row r="66" spans="1:34" x14ac:dyDescent="0.25">
      <c r="A66" s="92" t="str" cm="1">
        <f t="array" ref="A66">IfEmpty(TRIM(_xlfn.CONCAT(C66:H66)),"",CRC32HASH(_xlfn.CONCAT(C66:H66)))</f>
        <v/>
      </c>
      <c r="B66" s="11" t="str">
        <f>IFERROR(VLOOKUP(J66,Table1[],2,FALSE),"")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69" t="str">
        <f t="shared" si="7"/>
        <v/>
      </c>
      <c r="F66" s="50" t="str">
        <f t="shared" si="9"/>
        <v/>
      </c>
      <c r="G66" s="50" t="str">
        <f t="shared" si="10"/>
        <v/>
      </c>
      <c r="H66" s="44" t="str" cm="1">
        <f t="array" ref="H66:J66">IFERROR(CalcUnc(K66,L66,S66,T66,V66,X66,AD66,AE66,N66:R66,Z66,AA66),"")</f>
        <v/>
      </c>
      <c r="I66" s="61" t="str">
        <v/>
      </c>
      <c r="J66" s="110" t="str">
        <v/>
      </c>
      <c r="K66" s="67"/>
      <c r="L66" s="68"/>
      <c r="M66" s="26"/>
      <c r="N66" s="63"/>
      <c r="O66" s="64"/>
      <c r="P66" s="64"/>
      <c r="Q66" s="64"/>
      <c r="R66" s="65"/>
      <c r="S66" s="71"/>
      <c r="T66" s="71"/>
      <c r="U66" s="71"/>
      <c r="V66" s="78"/>
      <c r="W66" s="73"/>
      <c r="X66" s="74"/>
      <c r="Y66" s="94" t="str" cm="1">
        <f t="array" ref="Y66">GetPolarity(X66,AE66)</f>
        <v/>
      </c>
      <c r="Z66" s="75"/>
      <c r="AA66" s="79"/>
      <c r="AB66" s="88" t="str">
        <f t="shared" si="11"/>
        <v/>
      </c>
      <c r="AC66" s="88" t="str">
        <f t="shared" si="12"/>
        <v/>
      </c>
      <c r="AD66" s="75"/>
      <c r="AE66" s="73"/>
      <c r="AF66" s="25" t="str">
        <f t="shared" si="5"/>
        <v/>
      </c>
      <c r="AG66" s="33" t="str" cm="1">
        <f t="array" ref="AG66">FilterSpecialCharacters(X66)</f>
        <v/>
      </c>
      <c r="AH66" s="95" t="str">
        <f t="shared" si="6"/>
        <v xml:space="preserve"> </v>
      </c>
    </row>
    <row r="67" spans="1:34" x14ac:dyDescent="0.25">
      <c r="A67" s="92" t="str" cm="1">
        <f t="array" ref="A67">IfEmpty(TRIM(_xlfn.CONCAT(C67:H67)),"",CRC32HASH(_xlfn.CONCAT(C67:H67)))</f>
        <v/>
      </c>
      <c r="B67" s="48" t="str">
        <f>IFERROR(VLOOKUP(J67,Table1[],2,FALSE),"")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70" t="str">
        <f t="shared" si="7"/>
        <v/>
      </c>
      <c r="F67" s="51" t="str">
        <f t="shared" si="9"/>
        <v/>
      </c>
      <c r="G67" s="51" t="str">
        <f t="shared" si="10"/>
        <v/>
      </c>
      <c r="H67" s="47" t="str" cm="1">
        <f t="array" ref="H67:J67">IFERROR(CalcUnc(K67,L67,S67,T67,V67,X67,AD67,AE67,N67:R67,Z67,AA67),"")</f>
        <v/>
      </c>
      <c r="I67" s="61" t="str">
        <v/>
      </c>
      <c r="J67" s="110" t="str">
        <v/>
      </c>
      <c r="K67" s="67"/>
      <c r="L67" s="68"/>
      <c r="M67" s="26"/>
      <c r="N67" s="63"/>
      <c r="O67" s="64"/>
      <c r="P67" s="64"/>
      <c r="Q67" s="64"/>
      <c r="R67" s="65"/>
      <c r="S67" s="71"/>
      <c r="T67" s="71"/>
      <c r="U67" s="71"/>
      <c r="V67" s="78"/>
      <c r="W67" s="73"/>
      <c r="X67" s="74"/>
      <c r="Y67" s="94" t="str" cm="1">
        <f t="array" ref="Y67">GetPolarity(X67,AE67)</f>
        <v/>
      </c>
      <c r="Z67" s="75"/>
      <c r="AA67" s="79"/>
      <c r="AB67" s="88" t="str">
        <f t="shared" si="11"/>
        <v/>
      </c>
      <c r="AC67" s="88" t="str">
        <f t="shared" si="12"/>
        <v/>
      </c>
      <c r="AD67" s="75"/>
      <c r="AE67" s="73"/>
      <c r="AF67" s="25" t="str">
        <f t="shared" si="5"/>
        <v/>
      </c>
      <c r="AG67" s="33" t="str" cm="1">
        <f t="array" ref="AG67">FilterSpecialCharacters(X67)</f>
        <v/>
      </c>
      <c r="AH67" s="95" t="str">
        <f t="shared" si="6"/>
        <v xml:space="preserve"> </v>
      </c>
    </row>
    <row r="68" spans="1:34" x14ac:dyDescent="0.25">
      <c r="A68" s="92" t="str" cm="1">
        <f t="array" ref="A68">IfEmpty(TRIM(_xlfn.CONCAT(C68:H68)),"",CRC32HASH(_xlfn.CONCAT(C68:H68)))</f>
        <v/>
      </c>
      <c r="B68" s="11" t="str">
        <f>IFERROR(VLOOKUP(J68,Table1[],2,FALSE),"")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69" t="str">
        <f t="shared" si="7"/>
        <v/>
      </c>
      <c r="F68" s="50" t="str">
        <f t="shared" si="9"/>
        <v/>
      </c>
      <c r="G68" s="50" t="str">
        <f t="shared" si="10"/>
        <v/>
      </c>
      <c r="H68" s="44" t="str" cm="1">
        <f t="array" ref="H68:J68">IFERROR(CalcUnc(K68,L68,S68,T68,V68,X68,AD68,AE68,N68:R68,Z68,AA68),"")</f>
        <v/>
      </c>
      <c r="I68" s="61" t="str">
        <v/>
      </c>
      <c r="J68" s="110" t="str">
        <v/>
      </c>
      <c r="K68" s="67"/>
      <c r="L68" s="68"/>
      <c r="M68" s="26"/>
      <c r="N68" s="63"/>
      <c r="O68" s="64"/>
      <c r="P68" s="64"/>
      <c r="Q68" s="64"/>
      <c r="R68" s="65"/>
      <c r="S68" s="71"/>
      <c r="T68" s="71"/>
      <c r="U68" s="71"/>
      <c r="V68" s="78"/>
      <c r="W68" s="73"/>
      <c r="X68" s="74"/>
      <c r="Y68" s="94" t="str" cm="1">
        <f t="array" ref="Y68">GetPolarity(X68,AE68)</f>
        <v/>
      </c>
      <c r="Z68" s="75"/>
      <c r="AA68" s="79"/>
      <c r="AB68" s="88" t="str">
        <f t="shared" si="11"/>
        <v/>
      </c>
      <c r="AC68" s="88" t="str">
        <f t="shared" si="12"/>
        <v/>
      </c>
      <c r="AD68" s="75"/>
      <c r="AE68" s="73"/>
      <c r="AF68" s="25" t="str">
        <f t="shared" si="5"/>
        <v/>
      </c>
      <c r="AG68" s="33" t="str" cm="1">
        <f t="array" ref="AG68">FilterSpecialCharacters(X68)</f>
        <v/>
      </c>
      <c r="AH68" s="95" t="str">
        <f t="shared" si="6"/>
        <v xml:space="preserve"> </v>
      </c>
    </row>
    <row r="69" spans="1:34" x14ac:dyDescent="0.25">
      <c r="A69" s="92" t="str" cm="1">
        <f t="array" ref="A69">IfEmpty(TRIM(_xlfn.CONCAT(C69:H69)),"",CRC32HASH(_xlfn.CONCAT(C69:H69)))</f>
        <v/>
      </c>
      <c r="B69" s="48" t="str">
        <f>IFERROR(VLOOKUP(J69,Table1[],2,FALSE),"")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70" t="str">
        <f t="shared" si="7"/>
        <v/>
      </c>
      <c r="F69" s="51" t="str">
        <f t="shared" si="9"/>
        <v/>
      </c>
      <c r="G69" s="51" t="str">
        <f t="shared" si="10"/>
        <v/>
      </c>
      <c r="H69" s="47" t="str" cm="1">
        <f t="array" ref="H69:J69">IFERROR(CalcUnc(K69,L69,S69,T69,V69,X69,AD69,AE69,N69:R69,Z69,AA69),"")</f>
        <v/>
      </c>
      <c r="I69" s="61" t="str">
        <v/>
      </c>
      <c r="J69" s="110" t="str">
        <v/>
      </c>
      <c r="K69" s="67"/>
      <c r="L69" s="68"/>
      <c r="M69" s="26"/>
      <c r="N69" s="63"/>
      <c r="O69" s="64"/>
      <c r="P69" s="64"/>
      <c r="Q69" s="64"/>
      <c r="R69" s="65"/>
      <c r="S69" s="71"/>
      <c r="T69" s="71"/>
      <c r="U69" s="71"/>
      <c r="V69" s="78"/>
      <c r="W69" s="73"/>
      <c r="X69" s="74"/>
      <c r="Y69" s="94" t="str" cm="1">
        <f t="array" ref="Y69">GetPolarity(X69,AE69)</f>
        <v/>
      </c>
      <c r="Z69" s="75"/>
      <c r="AA69" s="79"/>
      <c r="AB69" s="88" t="str">
        <f t="shared" si="11"/>
        <v/>
      </c>
      <c r="AC69" s="88" t="str">
        <f t="shared" si="12"/>
        <v/>
      </c>
      <c r="AD69" s="75"/>
      <c r="AE69" s="73"/>
      <c r="AF69" s="25" t="str">
        <f t="shared" si="5"/>
        <v/>
      </c>
      <c r="AG69" s="33" t="str" cm="1">
        <f t="array" ref="AG69">FilterSpecialCharacters(X69)</f>
        <v/>
      </c>
      <c r="AH69" s="95" t="str">
        <f t="shared" si="6"/>
        <v xml:space="preserve"> </v>
      </c>
    </row>
    <row r="70" spans="1:34" x14ac:dyDescent="0.25">
      <c r="A70" s="92" t="str" cm="1">
        <f t="array" ref="A70">IfEmpty(TRIM(_xlfn.CONCAT(C70:H70)),"",CRC32HASH(_xlfn.CONCAT(C70:H70)))</f>
        <v/>
      </c>
      <c r="B70" s="11" t="str">
        <f>IFERROR(VLOOKUP(J70,Table1[],2,FALSE),"")</f>
        <v/>
      </c>
      <c r="C70" s="43" t="str" cm="1">
        <f t="array" ref="C70">W70&amp;" "&amp;IfEmpty(U70,X70)</f>
        <v xml:space="preserve"> </v>
      </c>
      <c r="D70" s="52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69" t="str">
        <f t="shared" si="7"/>
        <v/>
      </c>
      <c r="F70" s="50" t="str">
        <f t="shared" ref="F70:F101" si="14">IF(AB70="","",AB70&amp;$AH70)</f>
        <v/>
      </c>
      <c r="G70" s="50" t="str">
        <f t="shared" ref="G70:G101" si="15">IF(AC70="","",AC70&amp;$AH70)</f>
        <v/>
      </c>
      <c r="H70" s="44" t="str" cm="1">
        <f t="array" ref="H70:J70">IFERROR(CalcUnc(K70,L70,S70,T70,V70,X70,AD70,AE70,N70:R70,Z70,AA70),"")</f>
        <v/>
      </c>
      <c r="I70" s="61" t="str">
        <v/>
      </c>
      <c r="J70" s="110" t="str">
        <v/>
      </c>
      <c r="K70" s="67"/>
      <c r="L70" s="68"/>
      <c r="M70" s="26"/>
      <c r="N70" s="63"/>
      <c r="O70" s="64"/>
      <c r="P70" s="64"/>
      <c r="Q70" s="64"/>
      <c r="R70" s="65"/>
      <c r="S70" s="71"/>
      <c r="T70" s="71"/>
      <c r="U70" s="71"/>
      <c r="V70" s="78"/>
      <c r="W70" s="73"/>
      <c r="X70" s="74"/>
      <c r="Y70" s="94" t="str" cm="1">
        <f t="array" ref="Y70">GetPolarity(X70,AE70)</f>
        <v/>
      </c>
      <c r="Z70" s="75"/>
      <c r="AA70" s="73"/>
      <c r="AB70" s="88" t="str">
        <f t="shared" ref="AB70:AB101" si="16">IF(V70&lt;&gt;"",ROUND(Z70-AA70,-LOG10(V70)),"")</f>
        <v/>
      </c>
      <c r="AC70" s="88" t="str">
        <f t="shared" ref="AC70:AC101" si="17">IF(V70&lt;&gt;"",ROUND(Z70+AA70,-LOG10(V70)),"")</f>
        <v/>
      </c>
      <c r="AD70" s="75"/>
      <c r="AE70" s="73"/>
      <c r="AF70" s="25" t="str">
        <f t="shared" si="5"/>
        <v/>
      </c>
      <c r="AG70" s="33" t="str" cm="1">
        <f t="array" ref="AG70">FilterSpecialCharacters(X70)</f>
        <v/>
      </c>
      <c r="AH70" s="95" t="str">
        <f t="shared" si="6"/>
        <v xml:space="preserve"> </v>
      </c>
    </row>
    <row r="71" spans="1:34" x14ac:dyDescent="0.25">
      <c r="A71" s="92" t="str" cm="1">
        <f t="array" ref="A71">IfEmpty(TRIM(_xlfn.CONCAT(C71:H71)),"",CRC32HASH(_xlfn.CONCAT(C71:H71)))</f>
        <v/>
      </c>
      <c r="B71" s="48" t="str">
        <f>IFERROR(VLOOKUP(J71,Table1[],2,FALSE),"")</f>
        <v/>
      </c>
      <c r="C71" s="45" t="str" cm="1">
        <f t="array" ref="C71">W71&amp;" "&amp;IfEmpty(U71,X71)</f>
        <v xml:space="preserve"> </v>
      </c>
      <c r="D71" s="46" t="str">
        <f t="shared" si="13"/>
        <v xml:space="preserve">  </v>
      </c>
      <c r="E71" s="70" t="str">
        <f t="shared" si="7"/>
        <v/>
      </c>
      <c r="F71" s="51" t="str">
        <f t="shared" si="14"/>
        <v/>
      </c>
      <c r="G71" s="51" t="str">
        <f t="shared" si="15"/>
        <v/>
      </c>
      <c r="H71" s="47" t="str" cm="1">
        <f t="array" ref="H71:J71">IFERROR(CalcUnc(K71,L71,S71,T71,V71,X71,AD71,AE71,N71:R71,Z71,AA71),"")</f>
        <v/>
      </c>
      <c r="I71" s="61" t="str">
        <v/>
      </c>
      <c r="J71" s="110" t="str">
        <v/>
      </c>
      <c r="K71" s="67"/>
      <c r="L71" s="68"/>
      <c r="M71" s="26"/>
      <c r="N71" s="63"/>
      <c r="O71" s="64"/>
      <c r="P71" s="64"/>
      <c r="Q71" s="64"/>
      <c r="R71" s="65"/>
      <c r="S71" s="71"/>
      <c r="T71" s="71"/>
      <c r="U71" s="71"/>
      <c r="V71" s="78"/>
      <c r="W71" s="73"/>
      <c r="X71" s="74"/>
      <c r="Y71" s="94" t="str" cm="1">
        <f t="array" ref="Y71">GetPolarity(X71,AE71)</f>
        <v/>
      </c>
      <c r="Z71" s="75"/>
      <c r="AA71" s="73"/>
      <c r="AB71" s="88" t="str">
        <f t="shared" si="16"/>
        <v/>
      </c>
      <c r="AC71" s="88" t="str">
        <f t="shared" si="17"/>
        <v/>
      </c>
      <c r="AD71" s="75"/>
      <c r="AE71" s="73"/>
      <c r="AF71" s="25" t="str">
        <f t="shared" ref="AF71:AF110" si="18">IF(RIGHT(AE71,2)="Hz","@ ","")&amp;AD71&amp;AE71</f>
        <v/>
      </c>
      <c r="AG71" s="33" t="str" cm="1">
        <f t="array" ref="AG71">FilterSpecialCharacters(X71)</f>
        <v/>
      </c>
      <c r="AH71" s="95" t="str">
        <f t="shared" ref="AH71:AH110" si="19">" "&amp;AG71&amp;IF($Y71="",""," ("&amp;$Y71&amp;")")</f>
        <v xml:space="preserve"> </v>
      </c>
    </row>
    <row r="72" spans="1:34" x14ac:dyDescent="0.25">
      <c r="A72" s="92" t="str" cm="1">
        <f t="array" ref="A72">IfEmpty(TRIM(_xlfn.CONCAT(C72:H72)),"",CRC32HASH(_xlfn.CONCAT(C72:H72)))</f>
        <v/>
      </c>
      <c r="B72" s="11" t="str">
        <f>IFERROR(VLOOKUP(J72,Table1[],2,FALSE),"")</f>
        <v/>
      </c>
      <c r="C72" s="43" t="str" cm="1">
        <f t="array" ref="C72">W72&amp;" "&amp;IfEmpty(U72,X72)</f>
        <v xml:space="preserve"> </v>
      </c>
      <c r="D72" s="52" t="str">
        <f t="shared" si="13"/>
        <v xml:space="preserve">  </v>
      </c>
      <c r="E72" s="69" t="str">
        <f t="shared" ref="E72:E110" si="20">IFERROR(ROUND(AVERAGE(N72:R72),-LOG10(V72))&amp;AH72,"")</f>
        <v/>
      </c>
      <c r="F72" s="50" t="str">
        <f t="shared" si="14"/>
        <v/>
      </c>
      <c r="G72" s="50" t="str">
        <f t="shared" si="15"/>
        <v/>
      </c>
      <c r="H72" s="44" t="str" cm="1">
        <f t="array" ref="H72:J72">IFERROR(CalcUnc(K72,L72,S72,T72,V72,X72,AD72,AE72,N72:R72,Z72,AA72),"")</f>
        <v/>
      </c>
      <c r="I72" s="61" t="str">
        <v/>
      </c>
      <c r="J72" s="110" t="str">
        <v/>
      </c>
      <c r="K72" s="67"/>
      <c r="L72" s="68"/>
      <c r="M72" s="26"/>
      <c r="N72" s="63"/>
      <c r="O72" s="64"/>
      <c r="P72" s="64"/>
      <c r="Q72" s="64"/>
      <c r="R72" s="65"/>
      <c r="S72" s="71"/>
      <c r="T72" s="71"/>
      <c r="U72" s="71"/>
      <c r="V72" s="78"/>
      <c r="W72" s="73"/>
      <c r="X72" s="74"/>
      <c r="Y72" s="94" t="str" cm="1">
        <f t="array" ref="Y72">GetPolarity(X72,AE72)</f>
        <v/>
      </c>
      <c r="Z72" s="75"/>
      <c r="AA72" s="73"/>
      <c r="AB72" s="88" t="str">
        <f t="shared" si="16"/>
        <v/>
      </c>
      <c r="AC72" s="88" t="str">
        <f t="shared" si="17"/>
        <v/>
      </c>
      <c r="AD72" s="75"/>
      <c r="AE72" s="73"/>
      <c r="AF72" s="25" t="str">
        <f t="shared" si="18"/>
        <v/>
      </c>
      <c r="AG72" s="33" t="str" cm="1">
        <f t="array" ref="AG72">FilterSpecialCharacters(X72)</f>
        <v/>
      </c>
      <c r="AH72" s="95" t="str">
        <f t="shared" si="19"/>
        <v xml:space="preserve"> </v>
      </c>
    </row>
    <row r="73" spans="1:34" x14ac:dyDescent="0.25">
      <c r="A73" s="92" t="str" cm="1">
        <f t="array" ref="A73">IfEmpty(TRIM(_xlfn.CONCAT(C73:H73)),"",CRC32HASH(_xlfn.CONCAT(C73:H73)))</f>
        <v/>
      </c>
      <c r="B73" s="48" t="str">
        <f>IFERROR(VLOOKUP(J73,Table1[],2,FALSE),"")</f>
        <v/>
      </c>
      <c r="C73" s="45" t="str" cm="1">
        <f t="array" ref="C73">W73&amp;" "&amp;IfEmpty(U73,X73)</f>
        <v xml:space="preserve"> </v>
      </c>
      <c r="D73" s="46" t="str">
        <f t="shared" si="13"/>
        <v xml:space="preserve">  </v>
      </c>
      <c r="E73" s="70" t="str">
        <f t="shared" si="20"/>
        <v/>
      </c>
      <c r="F73" s="51" t="str">
        <f t="shared" si="14"/>
        <v/>
      </c>
      <c r="G73" s="51" t="str">
        <f t="shared" si="15"/>
        <v/>
      </c>
      <c r="H73" s="47" t="str" cm="1">
        <f t="array" ref="H73:J73">IFERROR(CalcUnc(K73,L73,S73,T73,V73,X73,AD73,AE73,N73:R73,Z73,AA73),"")</f>
        <v/>
      </c>
      <c r="I73" s="61" t="str">
        <v/>
      </c>
      <c r="J73" s="110" t="str">
        <v/>
      </c>
      <c r="K73" s="67"/>
      <c r="L73" s="68"/>
      <c r="M73" s="26"/>
      <c r="N73" s="63"/>
      <c r="O73" s="64"/>
      <c r="P73" s="64"/>
      <c r="Q73" s="64"/>
      <c r="R73" s="65"/>
      <c r="S73" s="71"/>
      <c r="T73" s="71"/>
      <c r="U73" s="71"/>
      <c r="V73" s="78"/>
      <c r="W73" s="73"/>
      <c r="X73" s="74"/>
      <c r="Y73" s="94" t="str" cm="1">
        <f t="array" ref="Y73">GetPolarity(X73,AE73)</f>
        <v/>
      </c>
      <c r="Z73" s="75"/>
      <c r="AA73" s="73"/>
      <c r="AB73" s="88" t="str">
        <f t="shared" si="16"/>
        <v/>
      </c>
      <c r="AC73" s="88" t="str">
        <f t="shared" si="17"/>
        <v/>
      </c>
      <c r="AD73" s="75"/>
      <c r="AE73" s="73"/>
      <c r="AF73" s="25" t="str">
        <f t="shared" si="18"/>
        <v/>
      </c>
      <c r="AG73" s="33" t="str" cm="1">
        <f t="array" ref="AG73">FilterSpecialCharacters(X73)</f>
        <v/>
      </c>
      <c r="AH73" s="95" t="str">
        <f t="shared" si="19"/>
        <v xml:space="preserve"> </v>
      </c>
    </row>
    <row r="74" spans="1:34" x14ac:dyDescent="0.25">
      <c r="A74" s="92" t="str" cm="1">
        <f t="array" ref="A74">IfEmpty(TRIM(_xlfn.CONCAT(C74:H74)),"",CRC32HASH(_xlfn.CONCAT(C74:H74)))</f>
        <v/>
      </c>
      <c r="B74" s="11" t="str">
        <f>IFERROR(VLOOKUP(J74,Table1[],2,FALSE),"")</f>
        <v/>
      </c>
      <c r="C74" s="43" t="str" cm="1">
        <f t="array" ref="C74">W74&amp;" "&amp;IfEmpty(U74,X74)</f>
        <v xml:space="preserve"> </v>
      </c>
      <c r="D74" s="52" t="str">
        <f t="shared" si="13"/>
        <v xml:space="preserve">  </v>
      </c>
      <c r="E74" s="69" t="str">
        <f t="shared" si="20"/>
        <v/>
      </c>
      <c r="F74" s="50" t="str">
        <f t="shared" si="14"/>
        <v/>
      </c>
      <c r="G74" s="50" t="str">
        <f t="shared" si="15"/>
        <v/>
      </c>
      <c r="H74" s="44" t="str" cm="1">
        <f t="array" ref="H74:J74">IFERROR(CalcUnc(K74,L74,S74,T74,V74,X74,AD74,AE74,N74:R74,Z74,AA74),"")</f>
        <v/>
      </c>
      <c r="I74" s="61" t="str">
        <v/>
      </c>
      <c r="J74" s="110" t="str">
        <v/>
      </c>
      <c r="K74" s="67"/>
      <c r="L74" s="68"/>
      <c r="M74" s="26"/>
      <c r="N74" s="63"/>
      <c r="O74" s="64"/>
      <c r="P74" s="64"/>
      <c r="Q74" s="64"/>
      <c r="R74" s="65"/>
      <c r="S74" s="71"/>
      <c r="T74" s="71"/>
      <c r="U74" s="71"/>
      <c r="V74" s="78"/>
      <c r="W74" s="73"/>
      <c r="X74" s="74"/>
      <c r="Y74" s="94" t="str" cm="1">
        <f t="array" ref="Y74">GetPolarity(X74,AE74)</f>
        <v/>
      </c>
      <c r="Z74" s="75"/>
      <c r="AA74" s="73"/>
      <c r="AB74" s="88" t="str">
        <f t="shared" si="16"/>
        <v/>
      </c>
      <c r="AC74" s="88" t="str">
        <f t="shared" si="17"/>
        <v/>
      </c>
      <c r="AD74" s="75"/>
      <c r="AE74" s="73"/>
      <c r="AF74" s="25" t="str">
        <f t="shared" si="18"/>
        <v/>
      </c>
      <c r="AG74" s="33" t="str" cm="1">
        <f t="array" ref="AG74">FilterSpecialCharacters(X74)</f>
        <v/>
      </c>
      <c r="AH74" s="95" t="str">
        <f t="shared" si="19"/>
        <v xml:space="preserve"> </v>
      </c>
    </row>
    <row r="75" spans="1:34" x14ac:dyDescent="0.25">
      <c r="A75" s="92" t="str" cm="1">
        <f t="array" ref="A75">IfEmpty(TRIM(_xlfn.CONCAT(C75:H75)),"",CRC32HASH(_xlfn.CONCAT(C75:H75)))</f>
        <v/>
      </c>
      <c r="B75" s="48" t="str">
        <f>IFERROR(VLOOKUP(J75,Table1[],2,FALSE),"")</f>
        <v/>
      </c>
      <c r="C75" s="45" t="str" cm="1">
        <f t="array" ref="C75">W75&amp;" "&amp;IfEmpty(U75,X75)</f>
        <v xml:space="preserve"> </v>
      </c>
      <c r="D75" s="46" t="str">
        <f t="shared" si="13"/>
        <v xml:space="preserve">  </v>
      </c>
      <c r="E75" s="70" t="str">
        <f t="shared" si="20"/>
        <v/>
      </c>
      <c r="F75" s="51" t="str">
        <f t="shared" si="14"/>
        <v/>
      </c>
      <c r="G75" s="51" t="str">
        <f t="shared" si="15"/>
        <v/>
      </c>
      <c r="H75" s="47" t="str" cm="1">
        <f t="array" ref="H75:J75">IFERROR(CalcUnc(K75,L75,S75,T75,V75,X75,AD75,AE75,N75:R75,Z75,AA75),"")</f>
        <v/>
      </c>
      <c r="I75" s="61" t="str">
        <v/>
      </c>
      <c r="J75" s="110" t="str">
        <v/>
      </c>
      <c r="K75" s="67"/>
      <c r="L75" s="68"/>
      <c r="M75" s="26"/>
      <c r="N75" s="63"/>
      <c r="O75" s="64"/>
      <c r="P75" s="64"/>
      <c r="Q75" s="64"/>
      <c r="R75" s="65"/>
      <c r="S75" s="71"/>
      <c r="T75" s="71"/>
      <c r="U75" s="71"/>
      <c r="V75" s="78"/>
      <c r="W75" s="73"/>
      <c r="X75" s="74"/>
      <c r="Y75" s="94" t="str" cm="1">
        <f t="array" ref="Y75">GetPolarity(X75,AE75)</f>
        <v/>
      </c>
      <c r="Z75" s="75"/>
      <c r="AA75" s="73"/>
      <c r="AB75" s="88" t="str">
        <f t="shared" si="16"/>
        <v/>
      </c>
      <c r="AC75" s="88" t="str">
        <f t="shared" si="17"/>
        <v/>
      </c>
      <c r="AD75" s="75"/>
      <c r="AE75" s="73"/>
      <c r="AF75" s="25" t="str">
        <f t="shared" si="18"/>
        <v/>
      </c>
      <c r="AG75" s="33" t="str" cm="1">
        <f t="array" ref="AG75">FilterSpecialCharacters(X75)</f>
        <v/>
      </c>
      <c r="AH75" s="95" t="str">
        <f t="shared" si="19"/>
        <v xml:space="preserve"> </v>
      </c>
    </row>
    <row r="76" spans="1:34" x14ac:dyDescent="0.25">
      <c r="A76" s="92" t="str" cm="1">
        <f t="array" ref="A76">IfEmpty(TRIM(_xlfn.CONCAT(C76:H76)),"",CRC32HASH(_xlfn.CONCAT(C76:H76)))</f>
        <v/>
      </c>
      <c r="B76" s="11" t="str">
        <f>IFERROR(VLOOKUP(J76,Table1[],2,FALSE),"")</f>
        <v/>
      </c>
      <c r="C76" s="43" t="str" cm="1">
        <f t="array" ref="C76">W76&amp;" "&amp;IfEmpty(U76,X76)</f>
        <v xml:space="preserve"> </v>
      </c>
      <c r="D76" s="52" t="str">
        <f t="shared" si="13"/>
        <v xml:space="preserve">  </v>
      </c>
      <c r="E76" s="69" t="str">
        <f t="shared" si="20"/>
        <v/>
      </c>
      <c r="F76" s="50" t="str">
        <f t="shared" si="14"/>
        <v/>
      </c>
      <c r="G76" s="50" t="str">
        <f t="shared" si="15"/>
        <v/>
      </c>
      <c r="H76" s="44" t="str" cm="1">
        <f t="array" ref="H76:J76">IFERROR(CalcUnc(K76,L76,S76,T76,V76,X76,AD76,AE76,N76:R76,Z76,AA76),"")</f>
        <v/>
      </c>
      <c r="I76" s="61" t="str">
        <v/>
      </c>
      <c r="J76" s="110" t="str">
        <v/>
      </c>
      <c r="K76" s="67"/>
      <c r="L76" s="68"/>
      <c r="M76" s="26"/>
      <c r="N76" s="63"/>
      <c r="O76" s="64"/>
      <c r="P76" s="64"/>
      <c r="Q76" s="64"/>
      <c r="R76" s="65"/>
      <c r="S76" s="71"/>
      <c r="T76" s="71"/>
      <c r="U76" s="71"/>
      <c r="V76" s="78"/>
      <c r="W76" s="73"/>
      <c r="X76" s="74"/>
      <c r="Y76" s="94" t="str" cm="1">
        <f t="array" ref="Y76">GetPolarity(X76,AE76)</f>
        <v/>
      </c>
      <c r="Z76" s="75"/>
      <c r="AA76" s="73"/>
      <c r="AB76" s="88" t="str">
        <f t="shared" si="16"/>
        <v/>
      </c>
      <c r="AC76" s="88" t="str">
        <f t="shared" si="17"/>
        <v/>
      </c>
      <c r="AD76" s="75"/>
      <c r="AE76" s="73"/>
      <c r="AF76" s="25" t="str">
        <f t="shared" si="18"/>
        <v/>
      </c>
      <c r="AG76" s="33" t="str" cm="1">
        <f t="array" ref="AG76">FilterSpecialCharacters(X76)</f>
        <v/>
      </c>
      <c r="AH76" s="95" t="str">
        <f t="shared" si="19"/>
        <v xml:space="preserve"> </v>
      </c>
    </row>
    <row r="77" spans="1:34" x14ac:dyDescent="0.25">
      <c r="A77" s="92" t="str" cm="1">
        <f t="array" ref="A77">IfEmpty(TRIM(_xlfn.CONCAT(C77:H77)),"",CRC32HASH(_xlfn.CONCAT(C77:H77)))</f>
        <v/>
      </c>
      <c r="B77" s="48" t="str">
        <f>IFERROR(VLOOKUP(J77,Table1[],2,FALSE),"")</f>
        <v/>
      </c>
      <c r="C77" s="45" t="str" cm="1">
        <f t="array" ref="C77">W77&amp;" "&amp;IfEmpty(U77,X77)</f>
        <v xml:space="preserve"> </v>
      </c>
      <c r="D77" s="46" t="str">
        <f t="shared" si="13"/>
        <v xml:space="preserve">  </v>
      </c>
      <c r="E77" s="70" t="str">
        <f t="shared" si="20"/>
        <v/>
      </c>
      <c r="F77" s="51" t="str">
        <f t="shared" si="14"/>
        <v/>
      </c>
      <c r="G77" s="51" t="str">
        <f t="shared" si="15"/>
        <v/>
      </c>
      <c r="H77" s="47" t="str" cm="1">
        <f t="array" ref="H77:J77">IFERROR(CalcUnc(K77,L77,S77,T77,V77,X77,AD77,AE77,N77:R77,Z77,AA77),"")</f>
        <v/>
      </c>
      <c r="I77" s="61" t="str">
        <v/>
      </c>
      <c r="J77" s="110" t="str">
        <v/>
      </c>
      <c r="K77" s="67"/>
      <c r="L77" s="68"/>
      <c r="M77" s="26"/>
      <c r="N77" s="63"/>
      <c r="O77" s="64"/>
      <c r="P77" s="64"/>
      <c r="Q77" s="64"/>
      <c r="R77" s="65"/>
      <c r="S77" s="71"/>
      <c r="T77" s="71"/>
      <c r="U77" s="71"/>
      <c r="V77" s="78"/>
      <c r="W77" s="73"/>
      <c r="X77" s="74"/>
      <c r="Y77" s="94" t="str" cm="1">
        <f t="array" ref="Y77">GetPolarity(X77,AE77)</f>
        <v/>
      </c>
      <c r="Z77" s="75"/>
      <c r="AA77" s="73"/>
      <c r="AB77" s="88" t="str">
        <f t="shared" si="16"/>
        <v/>
      </c>
      <c r="AC77" s="88" t="str">
        <f t="shared" si="17"/>
        <v/>
      </c>
      <c r="AD77" s="75"/>
      <c r="AE77" s="73"/>
      <c r="AF77" s="25" t="str">
        <f t="shared" si="18"/>
        <v/>
      </c>
      <c r="AG77" s="33" t="str" cm="1">
        <f t="array" ref="AG77">FilterSpecialCharacters(X77)</f>
        <v/>
      </c>
      <c r="AH77" s="95" t="str">
        <f t="shared" si="19"/>
        <v xml:space="preserve"> </v>
      </c>
    </row>
    <row r="78" spans="1:34" x14ac:dyDescent="0.25">
      <c r="A78" s="92" t="str" cm="1">
        <f t="array" ref="A78">IfEmpty(TRIM(_xlfn.CONCAT(C78:H78)),"",CRC32HASH(_xlfn.CONCAT(C78:H78)))</f>
        <v/>
      </c>
      <c r="B78" s="11" t="str">
        <f>IFERROR(VLOOKUP(J78,Table1[],2,FALSE),"")</f>
        <v/>
      </c>
      <c r="C78" s="43" t="str" cm="1">
        <f t="array" ref="C78">W78&amp;" "&amp;IfEmpty(U78,X78)</f>
        <v xml:space="preserve"> </v>
      </c>
      <c r="D78" s="52" t="str">
        <f t="shared" si="13"/>
        <v xml:space="preserve">  </v>
      </c>
      <c r="E78" s="69" t="str">
        <f t="shared" si="20"/>
        <v/>
      </c>
      <c r="F78" s="50" t="str">
        <f t="shared" si="14"/>
        <v/>
      </c>
      <c r="G78" s="50" t="str">
        <f t="shared" si="15"/>
        <v/>
      </c>
      <c r="H78" s="44" t="str" cm="1">
        <f t="array" ref="H78:J78">IFERROR(CalcUnc(K78,L78,S78,T78,V78,X78,AD78,AE78,N78:R78,Z78,AA78),"")</f>
        <v/>
      </c>
      <c r="I78" s="61" t="str">
        <v/>
      </c>
      <c r="J78" s="110" t="str">
        <v/>
      </c>
      <c r="K78" s="67"/>
      <c r="L78" s="68"/>
      <c r="M78" s="26"/>
      <c r="N78" s="63"/>
      <c r="O78" s="64"/>
      <c r="P78" s="64"/>
      <c r="Q78" s="64"/>
      <c r="R78" s="65"/>
      <c r="S78" s="71"/>
      <c r="T78" s="71"/>
      <c r="U78" s="71"/>
      <c r="V78" s="78"/>
      <c r="W78" s="73"/>
      <c r="X78" s="74"/>
      <c r="Y78" s="94" t="str" cm="1">
        <f t="array" ref="Y78">GetPolarity(X78,AE78)</f>
        <v/>
      </c>
      <c r="Z78" s="75"/>
      <c r="AA78" s="73"/>
      <c r="AB78" s="88" t="str">
        <f t="shared" si="16"/>
        <v/>
      </c>
      <c r="AC78" s="88" t="str">
        <f t="shared" si="17"/>
        <v/>
      </c>
      <c r="AD78" s="75"/>
      <c r="AE78" s="73"/>
      <c r="AF78" s="25" t="str">
        <f t="shared" si="18"/>
        <v/>
      </c>
      <c r="AG78" s="33" t="str" cm="1">
        <f t="array" ref="AG78">FilterSpecialCharacters(X78)</f>
        <v/>
      </c>
      <c r="AH78" s="95" t="str">
        <f t="shared" si="19"/>
        <v xml:space="preserve"> </v>
      </c>
    </row>
    <row r="79" spans="1:34" x14ac:dyDescent="0.25">
      <c r="A79" s="92" t="str" cm="1">
        <f t="array" ref="A79">IfEmpty(TRIM(_xlfn.CONCAT(C79:H79)),"",CRC32HASH(_xlfn.CONCAT(C79:H79)))</f>
        <v/>
      </c>
      <c r="B79" s="48" t="str">
        <f>IFERROR(VLOOKUP(J79,Table1[],2,FALSE),"")</f>
        <v/>
      </c>
      <c r="C79" s="45" t="str" cm="1">
        <f t="array" ref="C79">W79&amp;" "&amp;IfEmpty(U79,X79)</f>
        <v xml:space="preserve"> </v>
      </c>
      <c r="D79" s="46" t="str">
        <f t="shared" si="13"/>
        <v xml:space="preserve">  </v>
      </c>
      <c r="E79" s="70" t="str">
        <f t="shared" si="20"/>
        <v/>
      </c>
      <c r="F79" s="51" t="str">
        <f t="shared" si="14"/>
        <v/>
      </c>
      <c r="G79" s="51" t="str">
        <f t="shared" si="15"/>
        <v/>
      </c>
      <c r="H79" s="47" t="str" cm="1">
        <f t="array" ref="H79:J79">IFERROR(CalcUnc(K79,L79,S79,T79,V79,X79,AD79,AE79,N79:R79,Z79,AA79),"")</f>
        <v/>
      </c>
      <c r="I79" s="61" t="str">
        <v/>
      </c>
      <c r="J79" s="110" t="str">
        <v/>
      </c>
      <c r="K79" s="67"/>
      <c r="L79" s="68"/>
      <c r="M79" s="26"/>
      <c r="N79" s="63"/>
      <c r="O79" s="64"/>
      <c r="P79" s="64"/>
      <c r="Q79" s="64"/>
      <c r="R79" s="65"/>
      <c r="S79" s="71"/>
      <c r="T79" s="71"/>
      <c r="U79" s="71"/>
      <c r="V79" s="78"/>
      <c r="W79" s="73"/>
      <c r="X79" s="74"/>
      <c r="Y79" s="94" t="str" cm="1">
        <f t="array" ref="Y79">GetPolarity(X79,AE79)</f>
        <v/>
      </c>
      <c r="Z79" s="75"/>
      <c r="AA79" s="73"/>
      <c r="AB79" s="88" t="str">
        <f t="shared" si="16"/>
        <v/>
      </c>
      <c r="AC79" s="88" t="str">
        <f t="shared" si="17"/>
        <v/>
      </c>
      <c r="AD79" s="75"/>
      <c r="AE79" s="73"/>
      <c r="AF79" s="25" t="str">
        <f t="shared" si="18"/>
        <v/>
      </c>
      <c r="AG79" s="33" t="str" cm="1">
        <f t="array" ref="AG79">FilterSpecialCharacters(X79)</f>
        <v/>
      </c>
      <c r="AH79" s="95" t="str">
        <f t="shared" si="19"/>
        <v xml:space="preserve"> </v>
      </c>
    </row>
    <row r="80" spans="1:34" x14ac:dyDescent="0.25">
      <c r="A80" s="92" t="str" cm="1">
        <f t="array" ref="A80">IfEmpty(TRIM(_xlfn.CONCAT(C80:H80)),"",CRC32HASH(_xlfn.CONCAT(C80:H80)))</f>
        <v/>
      </c>
      <c r="B80" s="11" t="str">
        <f>IFERROR(VLOOKUP(J80,Table1[],2,FALSE),"")</f>
        <v/>
      </c>
      <c r="C80" s="43" t="str" cm="1">
        <f t="array" ref="C80">W80&amp;" "&amp;IfEmpty(U80,X80)</f>
        <v xml:space="preserve"> </v>
      </c>
      <c r="D80" s="52" t="str">
        <f t="shared" si="13"/>
        <v xml:space="preserve">  </v>
      </c>
      <c r="E80" s="69" t="str">
        <f t="shared" si="20"/>
        <v/>
      </c>
      <c r="F80" s="50" t="str">
        <f t="shared" si="14"/>
        <v/>
      </c>
      <c r="G80" s="50" t="str">
        <f t="shared" si="15"/>
        <v/>
      </c>
      <c r="H80" s="44" t="str" cm="1">
        <f t="array" ref="H80:J80">IFERROR(CalcUnc(K80,L80,S80,T80,V80,X80,AD80,AE80,N80:R80,Z80,AA80),"")</f>
        <v/>
      </c>
      <c r="I80" s="61" t="str">
        <v/>
      </c>
      <c r="J80" s="110" t="str">
        <v/>
      </c>
      <c r="K80" s="67"/>
      <c r="L80" s="68"/>
      <c r="M80" s="26"/>
      <c r="N80" s="63"/>
      <c r="O80" s="64"/>
      <c r="P80" s="64"/>
      <c r="Q80" s="64"/>
      <c r="R80" s="65"/>
      <c r="S80" s="71"/>
      <c r="T80" s="71"/>
      <c r="U80" s="71"/>
      <c r="V80" s="78"/>
      <c r="W80" s="73"/>
      <c r="X80" s="74"/>
      <c r="Y80" s="94" t="str" cm="1">
        <f t="array" ref="Y80">GetPolarity(X80,AE80)</f>
        <v/>
      </c>
      <c r="Z80" s="75"/>
      <c r="AA80" s="73"/>
      <c r="AB80" s="88" t="str">
        <f t="shared" si="16"/>
        <v/>
      </c>
      <c r="AC80" s="88" t="str">
        <f t="shared" si="17"/>
        <v/>
      </c>
      <c r="AD80" s="75"/>
      <c r="AE80" s="73"/>
      <c r="AF80" s="25" t="str">
        <f t="shared" si="18"/>
        <v/>
      </c>
      <c r="AG80" s="33" t="str" cm="1">
        <f t="array" ref="AG80">FilterSpecialCharacters(X80)</f>
        <v/>
      </c>
      <c r="AH80" s="95" t="str">
        <f t="shared" si="19"/>
        <v xml:space="preserve"> </v>
      </c>
    </row>
    <row r="81" spans="1:34" x14ac:dyDescent="0.25">
      <c r="A81" s="92" t="str" cm="1">
        <f t="array" ref="A81">IfEmpty(TRIM(_xlfn.CONCAT(C81:H81)),"",CRC32HASH(_xlfn.CONCAT(C81:H81)))</f>
        <v/>
      </c>
      <c r="B81" s="48" t="str">
        <f>IFERROR(VLOOKUP(J81,Table1[],2,FALSE),"")</f>
        <v/>
      </c>
      <c r="C81" s="45" t="str" cm="1">
        <f t="array" ref="C81">W81&amp;" "&amp;IfEmpty(U81,X81)</f>
        <v xml:space="preserve"> </v>
      </c>
      <c r="D81" s="46" t="str">
        <f t="shared" si="13"/>
        <v xml:space="preserve">  </v>
      </c>
      <c r="E81" s="70" t="str">
        <f t="shared" si="20"/>
        <v/>
      </c>
      <c r="F81" s="51" t="str">
        <f t="shared" si="14"/>
        <v/>
      </c>
      <c r="G81" s="51" t="str">
        <f t="shared" si="15"/>
        <v/>
      </c>
      <c r="H81" s="47" t="str" cm="1">
        <f t="array" ref="H81:J81">IFERROR(CalcUnc(K81,L81,S81,T81,V81,X81,AD81,AE81,N81:R81,Z81,AA81),"")</f>
        <v/>
      </c>
      <c r="I81" s="61" t="str">
        <v/>
      </c>
      <c r="J81" s="110" t="str">
        <v/>
      </c>
      <c r="K81" s="67"/>
      <c r="L81" s="68"/>
      <c r="M81" s="26"/>
      <c r="N81" s="63"/>
      <c r="O81" s="64"/>
      <c r="P81" s="64"/>
      <c r="Q81" s="64"/>
      <c r="R81" s="65"/>
      <c r="S81" s="71"/>
      <c r="T81" s="71"/>
      <c r="U81" s="71"/>
      <c r="V81" s="78"/>
      <c r="W81" s="73"/>
      <c r="X81" s="74"/>
      <c r="Y81" s="94" t="str" cm="1">
        <f t="array" ref="Y81">GetPolarity(X81,AE81)</f>
        <v/>
      </c>
      <c r="Z81" s="75"/>
      <c r="AA81" s="73"/>
      <c r="AB81" s="88" t="str">
        <f t="shared" si="16"/>
        <v/>
      </c>
      <c r="AC81" s="88" t="str">
        <f t="shared" si="17"/>
        <v/>
      </c>
      <c r="AD81" s="75"/>
      <c r="AE81" s="73"/>
      <c r="AF81" s="25" t="str">
        <f t="shared" si="18"/>
        <v/>
      </c>
      <c r="AG81" s="33" t="str" cm="1">
        <f t="array" ref="AG81">FilterSpecialCharacters(X81)</f>
        <v/>
      </c>
      <c r="AH81" s="95" t="str">
        <f t="shared" si="19"/>
        <v xml:space="preserve"> </v>
      </c>
    </row>
    <row r="82" spans="1:34" x14ac:dyDescent="0.25">
      <c r="A82" s="92" t="str" cm="1">
        <f t="array" ref="A82">IfEmpty(TRIM(_xlfn.CONCAT(C82:H82)),"",CRC32HASH(_xlfn.CONCAT(C82:H82)))</f>
        <v/>
      </c>
      <c r="B82" s="11" t="str">
        <f>IFERROR(VLOOKUP(J82,Table1[],2,FALSE),"")</f>
        <v/>
      </c>
      <c r="C82" s="43" t="str" cm="1">
        <f t="array" ref="C82">W82&amp;" "&amp;IfEmpty(U82,X82)</f>
        <v xml:space="preserve"> </v>
      </c>
      <c r="D82" s="52" t="str">
        <f t="shared" si="13"/>
        <v xml:space="preserve">  </v>
      </c>
      <c r="E82" s="69" t="str">
        <f t="shared" si="20"/>
        <v/>
      </c>
      <c r="F82" s="50" t="str">
        <f t="shared" si="14"/>
        <v/>
      </c>
      <c r="G82" s="50" t="str">
        <f t="shared" si="15"/>
        <v/>
      </c>
      <c r="H82" s="44" t="str" cm="1">
        <f t="array" ref="H82:J82">IFERROR(CalcUnc(K82,L82,S82,T82,V82,X82,AD82,AE82,N82:R82,Z82,AA82),"")</f>
        <v/>
      </c>
      <c r="I82" s="61" t="str">
        <v/>
      </c>
      <c r="J82" s="110" t="str">
        <v/>
      </c>
      <c r="K82" s="67"/>
      <c r="L82" s="68"/>
      <c r="M82" s="26"/>
      <c r="N82" s="63"/>
      <c r="O82" s="64"/>
      <c r="P82" s="64"/>
      <c r="Q82" s="64"/>
      <c r="R82" s="65"/>
      <c r="S82" s="71"/>
      <c r="T82" s="71"/>
      <c r="U82" s="71"/>
      <c r="V82" s="78"/>
      <c r="W82" s="73"/>
      <c r="X82" s="74"/>
      <c r="Y82" s="94" t="str" cm="1">
        <f t="array" ref="Y82">GetPolarity(X82,AE82)</f>
        <v/>
      </c>
      <c r="Z82" s="75"/>
      <c r="AA82" s="73"/>
      <c r="AB82" s="88" t="str">
        <f t="shared" si="16"/>
        <v/>
      </c>
      <c r="AC82" s="88" t="str">
        <f t="shared" si="17"/>
        <v/>
      </c>
      <c r="AD82" s="75"/>
      <c r="AE82" s="73"/>
      <c r="AF82" s="25" t="str">
        <f t="shared" si="18"/>
        <v/>
      </c>
      <c r="AG82" s="33" t="str" cm="1">
        <f t="array" ref="AG82">FilterSpecialCharacters(X82)</f>
        <v/>
      </c>
      <c r="AH82" s="95" t="str">
        <f t="shared" si="19"/>
        <v xml:space="preserve"> </v>
      </c>
    </row>
    <row r="83" spans="1:34" x14ac:dyDescent="0.25">
      <c r="A83" s="92" t="str" cm="1">
        <f t="array" ref="A83">IfEmpty(TRIM(_xlfn.CONCAT(C83:H83)),"",CRC32HASH(_xlfn.CONCAT(C83:H83)))</f>
        <v/>
      </c>
      <c r="B83" s="48" t="str">
        <f>IFERROR(VLOOKUP(J83,Table1[],2,FALSE),"")</f>
        <v/>
      </c>
      <c r="C83" s="45" t="str" cm="1">
        <f t="array" ref="C83">W83&amp;" "&amp;IfEmpty(U83,X83)</f>
        <v xml:space="preserve"> </v>
      </c>
      <c r="D83" s="46" t="str">
        <f t="shared" si="13"/>
        <v xml:space="preserve">  </v>
      </c>
      <c r="E83" s="70" t="str">
        <f t="shared" si="20"/>
        <v/>
      </c>
      <c r="F83" s="51" t="str">
        <f t="shared" si="14"/>
        <v/>
      </c>
      <c r="G83" s="51" t="str">
        <f t="shared" si="15"/>
        <v/>
      </c>
      <c r="H83" s="47" t="str" cm="1">
        <f t="array" ref="H83:J83">IFERROR(CalcUnc(K83,L83,S83,T83,V83,X83,AD83,AE83,N83:R83,Z83,AA83),"")</f>
        <v/>
      </c>
      <c r="I83" s="61" t="str">
        <v/>
      </c>
      <c r="J83" s="110" t="str">
        <v/>
      </c>
      <c r="K83" s="67"/>
      <c r="L83" s="68"/>
      <c r="M83" s="26"/>
      <c r="N83" s="63"/>
      <c r="O83" s="64"/>
      <c r="P83" s="64"/>
      <c r="Q83" s="64"/>
      <c r="R83" s="65"/>
      <c r="S83" s="71"/>
      <c r="T83" s="71"/>
      <c r="U83" s="71"/>
      <c r="V83" s="78"/>
      <c r="W83" s="73"/>
      <c r="X83" s="74"/>
      <c r="Y83" s="94" t="str" cm="1">
        <f t="array" ref="Y83">GetPolarity(X83,AE83)</f>
        <v/>
      </c>
      <c r="Z83" s="75"/>
      <c r="AA83" s="73"/>
      <c r="AB83" s="88" t="str">
        <f t="shared" si="16"/>
        <v/>
      </c>
      <c r="AC83" s="88" t="str">
        <f t="shared" si="17"/>
        <v/>
      </c>
      <c r="AD83" s="75"/>
      <c r="AE83" s="73"/>
      <c r="AF83" s="25" t="str">
        <f t="shared" si="18"/>
        <v/>
      </c>
      <c r="AG83" s="33" t="str" cm="1">
        <f t="array" ref="AG83">FilterSpecialCharacters(X83)</f>
        <v/>
      </c>
      <c r="AH83" s="95" t="str">
        <f t="shared" si="19"/>
        <v xml:space="preserve"> </v>
      </c>
    </row>
    <row r="84" spans="1:34" x14ac:dyDescent="0.25">
      <c r="A84" s="92" t="str" cm="1">
        <f t="array" ref="A84">IfEmpty(TRIM(_xlfn.CONCAT(C84:H84)),"",CRC32HASH(_xlfn.CONCAT(C84:H84)))</f>
        <v/>
      </c>
      <c r="B84" s="11" t="str">
        <f>IFERROR(VLOOKUP(J84,Table1[],2,FALSE),"")</f>
        <v/>
      </c>
      <c r="C84" s="43" t="str" cm="1">
        <f t="array" ref="C84">W84&amp;" "&amp;IfEmpty(U84,X84)</f>
        <v xml:space="preserve"> </v>
      </c>
      <c r="D84" s="52" t="str">
        <f t="shared" si="13"/>
        <v xml:space="preserve">  </v>
      </c>
      <c r="E84" s="69" t="str">
        <f t="shared" si="20"/>
        <v/>
      </c>
      <c r="F84" s="50" t="str">
        <f t="shared" si="14"/>
        <v/>
      </c>
      <c r="G84" s="50" t="str">
        <f t="shared" si="15"/>
        <v/>
      </c>
      <c r="H84" s="44" t="str" cm="1">
        <f t="array" ref="H84:J84">IFERROR(CalcUnc(K84,L84,S84,T84,V84,X84,AD84,AE84,N84:R84,Z84,AA84),"")</f>
        <v/>
      </c>
      <c r="I84" s="61" t="str">
        <v/>
      </c>
      <c r="J84" s="110" t="str">
        <v/>
      </c>
      <c r="K84" s="67"/>
      <c r="L84" s="68"/>
      <c r="M84" s="26"/>
      <c r="N84" s="63"/>
      <c r="O84" s="64"/>
      <c r="P84" s="64"/>
      <c r="Q84" s="64"/>
      <c r="R84" s="65"/>
      <c r="S84" s="71"/>
      <c r="T84" s="71"/>
      <c r="U84" s="71"/>
      <c r="V84" s="78"/>
      <c r="W84" s="73"/>
      <c r="X84" s="74"/>
      <c r="Y84" s="94" t="str" cm="1">
        <f t="array" ref="Y84">GetPolarity(X84,AE84)</f>
        <v/>
      </c>
      <c r="Z84" s="75"/>
      <c r="AA84" s="73"/>
      <c r="AB84" s="88" t="str">
        <f t="shared" si="16"/>
        <v/>
      </c>
      <c r="AC84" s="88" t="str">
        <f t="shared" si="17"/>
        <v/>
      </c>
      <c r="AD84" s="75"/>
      <c r="AE84" s="73"/>
      <c r="AF84" s="25" t="str">
        <f t="shared" si="18"/>
        <v/>
      </c>
      <c r="AG84" s="33" t="str" cm="1">
        <f t="array" ref="AG84">FilterSpecialCharacters(X84)</f>
        <v/>
      </c>
      <c r="AH84" s="95" t="str">
        <f t="shared" si="19"/>
        <v xml:space="preserve"> </v>
      </c>
    </row>
    <row r="85" spans="1:34" x14ac:dyDescent="0.25">
      <c r="A85" s="92" t="str" cm="1">
        <f t="array" ref="A85">IfEmpty(TRIM(_xlfn.CONCAT(C85:H85)),"",CRC32HASH(_xlfn.CONCAT(C85:H85)))</f>
        <v/>
      </c>
      <c r="B85" s="48" t="str">
        <f>IFERROR(VLOOKUP(J85,Table1[],2,FALSE),"")</f>
        <v/>
      </c>
      <c r="C85" s="45" t="str" cm="1">
        <f t="array" ref="C85">W85&amp;" "&amp;IfEmpty(U85,X85)</f>
        <v xml:space="preserve"> </v>
      </c>
      <c r="D85" s="46" t="str">
        <f t="shared" si="13"/>
        <v xml:space="preserve">  </v>
      </c>
      <c r="E85" s="70" t="str">
        <f t="shared" si="20"/>
        <v/>
      </c>
      <c r="F85" s="51" t="str">
        <f t="shared" si="14"/>
        <v/>
      </c>
      <c r="G85" s="51" t="str">
        <f t="shared" si="15"/>
        <v/>
      </c>
      <c r="H85" s="47" t="str" cm="1">
        <f t="array" ref="H85:J85">IFERROR(CalcUnc(K85,L85,S85,T85,V85,X85,AD85,AE85,N85:R85,Z85,AA85),"")</f>
        <v/>
      </c>
      <c r="I85" s="61" t="str">
        <v/>
      </c>
      <c r="J85" s="110" t="str">
        <v/>
      </c>
      <c r="K85" s="67"/>
      <c r="L85" s="68"/>
      <c r="M85" s="26"/>
      <c r="N85" s="63"/>
      <c r="O85" s="64"/>
      <c r="P85" s="64"/>
      <c r="Q85" s="64"/>
      <c r="R85" s="65"/>
      <c r="S85" s="71"/>
      <c r="T85" s="71"/>
      <c r="U85" s="71"/>
      <c r="V85" s="78"/>
      <c r="W85" s="73"/>
      <c r="X85" s="74"/>
      <c r="Y85" s="94" t="str" cm="1">
        <f t="array" ref="Y85">GetPolarity(X85,AE85)</f>
        <v/>
      </c>
      <c r="Z85" s="75"/>
      <c r="AA85" s="73"/>
      <c r="AB85" s="88" t="str">
        <f t="shared" si="16"/>
        <v/>
      </c>
      <c r="AC85" s="88" t="str">
        <f t="shared" si="17"/>
        <v/>
      </c>
      <c r="AD85" s="75"/>
      <c r="AE85" s="73"/>
      <c r="AF85" s="25" t="str">
        <f t="shared" si="18"/>
        <v/>
      </c>
      <c r="AG85" s="33" t="str" cm="1">
        <f t="array" ref="AG85">FilterSpecialCharacters(X85)</f>
        <v/>
      </c>
      <c r="AH85" s="95" t="str">
        <f t="shared" si="19"/>
        <v xml:space="preserve"> </v>
      </c>
    </row>
    <row r="86" spans="1:34" x14ac:dyDescent="0.25">
      <c r="A86" s="92" t="str" cm="1">
        <f t="array" ref="A86">IfEmpty(TRIM(_xlfn.CONCAT(C86:H86)),"",CRC32HASH(_xlfn.CONCAT(C86:H86)))</f>
        <v/>
      </c>
      <c r="B86" s="11" t="str">
        <f>IFERROR(VLOOKUP(J86,Table1[],2,FALSE),"")</f>
        <v/>
      </c>
      <c r="C86" s="43" t="str" cm="1">
        <f t="array" ref="C86">W86&amp;" "&amp;IfEmpty(U86,X86)</f>
        <v xml:space="preserve"> </v>
      </c>
      <c r="D86" s="52" t="str">
        <f t="shared" si="13"/>
        <v xml:space="preserve">  </v>
      </c>
      <c r="E86" s="69" t="str">
        <f t="shared" si="20"/>
        <v/>
      </c>
      <c r="F86" s="50" t="str">
        <f t="shared" si="14"/>
        <v/>
      </c>
      <c r="G86" s="50" t="str">
        <f t="shared" si="15"/>
        <v/>
      </c>
      <c r="H86" s="44" t="str" cm="1">
        <f t="array" ref="H86:J86">IFERROR(CalcUnc(K86,L86,S86,T86,V86,X86,AD86,AE86,N86:R86,Z86,AA86),"")</f>
        <v/>
      </c>
      <c r="I86" s="61" t="str">
        <v/>
      </c>
      <c r="J86" s="110" t="str">
        <v/>
      </c>
      <c r="K86" s="67"/>
      <c r="L86" s="68"/>
      <c r="M86" s="26"/>
      <c r="N86" s="63"/>
      <c r="O86" s="64"/>
      <c r="P86" s="64"/>
      <c r="Q86" s="64"/>
      <c r="R86" s="65"/>
      <c r="S86" s="71"/>
      <c r="T86" s="71"/>
      <c r="U86" s="71"/>
      <c r="V86" s="78"/>
      <c r="W86" s="73"/>
      <c r="X86" s="74"/>
      <c r="Y86" s="94" t="str" cm="1">
        <f t="array" ref="Y86">GetPolarity(X86,AE86)</f>
        <v/>
      </c>
      <c r="Z86" s="75"/>
      <c r="AA86" s="73"/>
      <c r="AB86" s="88" t="str">
        <f t="shared" si="16"/>
        <v/>
      </c>
      <c r="AC86" s="88" t="str">
        <f t="shared" si="17"/>
        <v/>
      </c>
      <c r="AD86" s="75"/>
      <c r="AE86" s="73"/>
      <c r="AF86" s="25" t="str">
        <f t="shared" si="18"/>
        <v/>
      </c>
      <c r="AG86" s="33" t="str" cm="1">
        <f t="array" ref="AG86">FilterSpecialCharacters(X86)</f>
        <v/>
      </c>
      <c r="AH86" s="95" t="str">
        <f t="shared" si="19"/>
        <v xml:space="preserve"> </v>
      </c>
    </row>
    <row r="87" spans="1:34" x14ac:dyDescent="0.25">
      <c r="A87" s="92" t="str" cm="1">
        <f t="array" ref="A87">IfEmpty(TRIM(_xlfn.CONCAT(C87:H87)),"",CRC32HASH(_xlfn.CONCAT(C87:H87)))</f>
        <v/>
      </c>
      <c r="B87" s="48" t="str">
        <f>IFERROR(VLOOKUP(J87,Table1[],2,FALSE),"")</f>
        <v/>
      </c>
      <c r="C87" s="45" t="str" cm="1">
        <f t="array" ref="C87">W87&amp;" "&amp;IfEmpty(U87,X87)</f>
        <v xml:space="preserve"> </v>
      </c>
      <c r="D87" s="46" t="str">
        <f t="shared" si="13"/>
        <v xml:space="preserve">  </v>
      </c>
      <c r="E87" s="70" t="str">
        <f t="shared" si="20"/>
        <v/>
      </c>
      <c r="F87" s="51" t="str">
        <f t="shared" si="14"/>
        <v/>
      </c>
      <c r="G87" s="51" t="str">
        <f t="shared" si="15"/>
        <v/>
      </c>
      <c r="H87" s="47" t="str" cm="1">
        <f t="array" ref="H87:J87">IFERROR(CalcUnc(K87,L87,S87,T87,V87,X87,AD87,AE87,N87:R87,Z87,AA87),"")</f>
        <v/>
      </c>
      <c r="I87" s="61" t="str">
        <v/>
      </c>
      <c r="J87" s="110" t="str">
        <v/>
      </c>
      <c r="K87" s="67"/>
      <c r="L87" s="68"/>
      <c r="M87" s="26"/>
      <c r="N87" s="63"/>
      <c r="O87" s="64"/>
      <c r="P87" s="64"/>
      <c r="Q87" s="64"/>
      <c r="R87" s="65"/>
      <c r="S87" s="71"/>
      <c r="T87" s="71"/>
      <c r="U87" s="71"/>
      <c r="V87" s="78"/>
      <c r="W87" s="73"/>
      <c r="X87" s="74"/>
      <c r="Y87" s="94" t="str" cm="1">
        <f t="array" ref="Y87">GetPolarity(X87,AE87)</f>
        <v/>
      </c>
      <c r="Z87" s="75"/>
      <c r="AA87" s="73"/>
      <c r="AB87" s="88" t="str">
        <f t="shared" si="16"/>
        <v/>
      </c>
      <c r="AC87" s="88" t="str">
        <f t="shared" si="17"/>
        <v/>
      </c>
      <c r="AD87" s="75"/>
      <c r="AE87" s="73"/>
      <c r="AF87" s="25" t="str">
        <f t="shared" si="18"/>
        <v/>
      </c>
      <c r="AG87" s="33" t="str" cm="1">
        <f t="array" ref="AG87">FilterSpecialCharacters(X87)</f>
        <v/>
      </c>
      <c r="AH87" s="95" t="str">
        <f t="shared" si="19"/>
        <v xml:space="preserve"> </v>
      </c>
    </row>
    <row r="88" spans="1:34" x14ac:dyDescent="0.25">
      <c r="A88" s="92" t="str" cm="1">
        <f t="array" ref="A88">IfEmpty(TRIM(_xlfn.CONCAT(C88:H88)),"",CRC32HASH(_xlfn.CONCAT(C88:H88)))</f>
        <v/>
      </c>
      <c r="B88" s="11" t="str">
        <f>IFERROR(VLOOKUP(J88,Table1[],2,FALSE),"")</f>
        <v/>
      </c>
      <c r="C88" s="43" t="str" cm="1">
        <f t="array" ref="C88">W88&amp;" "&amp;IfEmpty(U88,X88)</f>
        <v xml:space="preserve"> </v>
      </c>
      <c r="D88" s="52" t="str">
        <f t="shared" si="13"/>
        <v xml:space="preserve">  </v>
      </c>
      <c r="E88" s="69" t="str">
        <f t="shared" si="20"/>
        <v/>
      </c>
      <c r="F88" s="50" t="str">
        <f t="shared" si="14"/>
        <v/>
      </c>
      <c r="G88" s="50" t="str">
        <f t="shared" si="15"/>
        <v/>
      </c>
      <c r="H88" s="44" t="str" cm="1">
        <f t="array" ref="H88:J88">IFERROR(CalcUnc(K88,L88,S88,T88,V88,X88,AD88,AE88,N88:R88,Z88,AA88),"")</f>
        <v/>
      </c>
      <c r="I88" s="61" t="str">
        <v/>
      </c>
      <c r="J88" s="110" t="str">
        <v/>
      </c>
      <c r="K88" s="67"/>
      <c r="L88" s="68"/>
      <c r="M88" s="26"/>
      <c r="N88" s="63"/>
      <c r="O88" s="64"/>
      <c r="P88" s="64"/>
      <c r="Q88" s="64"/>
      <c r="R88" s="65"/>
      <c r="S88" s="71"/>
      <c r="T88" s="71"/>
      <c r="U88" s="71"/>
      <c r="V88" s="78"/>
      <c r="W88" s="73"/>
      <c r="X88" s="74"/>
      <c r="Y88" s="94" t="str" cm="1">
        <f t="array" ref="Y88">GetPolarity(X88,AE88)</f>
        <v/>
      </c>
      <c r="Z88" s="75"/>
      <c r="AA88" s="73"/>
      <c r="AB88" s="88" t="str">
        <f t="shared" si="16"/>
        <v/>
      </c>
      <c r="AC88" s="88" t="str">
        <f t="shared" si="17"/>
        <v/>
      </c>
      <c r="AD88" s="75"/>
      <c r="AE88" s="73"/>
      <c r="AF88" s="25" t="str">
        <f t="shared" si="18"/>
        <v/>
      </c>
      <c r="AG88" s="33" t="str" cm="1">
        <f t="array" ref="AG88">FilterSpecialCharacters(X88)</f>
        <v/>
      </c>
      <c r="AH88" s="95" t="str">
        <f t="shared" si="19"/>
        <v xml:space="preserve"> </v>
      </c>
    </row>
    <row r="89" spans="1:34" x14ac:dyDescent="0.25">
      <c r="A89" s="92" t="str" cm="1">
        <f t="array" ref="A89">IfEmpty(TRIM(_xlfn.CONCAT(C89:H89)),"",CRC32HASH(_xlfn.CONCAT(C89:H89)))</f>
        <v/>
      </c>
      <c r="B89" s="48" t="str">
        <f>IFERROR(VLOOKUP(J89,Table1[],2,FALSE),"")</f>
        <v/>
      </c>
      <c r="C89" s="45" t="str" cm="1">
        <f t="array" ref="C89">W89&amp;" "&amp;IfEmpty(U89,X89)</f>
        <v xml:space="preserve"> </v>
      </c>
      <c r="D89" s="46" t="str">
        <f t="shared" si="13"/>
        <v xml:space="preserve">  </v>
      </c>
      <c r="E89" s="70" t="str">
        <f t="shared" si="20"/>
        <v/>
      </c>
      <c r="F89" s="51" t="str">
        <f t="shared" si="14"/>
        <v/>
      </c>
      <c r="G89" s="51" t="str">
        <f t="shared" si="15"/>
        <v/>
      </c>
      <c r="H89" s="47" t="str" cm="1">
        <f t="array" ref="H89:J89">IFERROR(CalcUnc(K89,L89,S89,T89,V89,X89,AD89,AE89,N89:R89,Z89,AA89),"")</f>
        <v/>
      </c>
      <c r="I89" s="61" t="str">
        <v/>
      </c>
      <c r="J89" s="110" t="str">
        <v/>
      </c>
      <c r="K89" s="67"/>
      <c r="L89" s="68"/>
      <c r="M89" s="26"/>
      <c r="N89" s="63"/>
      <c r="O89" s="64"/>
      <c r="P89" s="64"/>
      <c r="Q89" s="64"/>
      <c r="R89" s="65"/>
      <c r="S89" s="71"/>
      <c r="T89" s="71"/>
      <c r="U89" s="71"/>
      <c r="V89" s="78"/>
      <c r="W89" s="73"/>
      <c r="X89" s="74"/>
      <c r="Y89" s="94" t="str" cm="1">
        <f t="array" ref="Y89">GetPolarity(X89,AE89)</f>
        <v/>
      </c>
      <c r="Z89" s="75"/>
      <c r="AA89" s="73"/>
      <c r="AB89" s="88" t="str">
        <f t="shared" si="16"/>
        <v/>
      </c>
      <c r="AC89" s="88" t="str">
        <f t="shared" si="17"/>
        <v/>
      </c>
      <c r="AD89" s="75"/>
      <c r="AE89" s="73"/>
      <c r="AF89" s="25" t="str">
        <f t="shared" si="18"/>
        <v/>
      </c>
      <c r="AG89" s="33" t="str" cm="1">
        <f t="array" ref="AG89">FilterSpecialCharacters(X89)</f>
        <v/>
      </c>
      <c r="AH89" s="95" t="str">
        <f t="shared" si="19"/>
        <v xml:space="preserve"> </v>
      </c>
    </row>
    <row r="90" spans="1:34" x14ac:dyDescent="0.25">
      <c r="A90" s="92" t="str" cm="1">
        <f t="array" ref="A90">IfEmpty(TRIM(_xlfn.CONCAT(C90:H90)),"",CRC32HASH(_xlfn.CONCAT(C90:H90)))</f>
        <v/>
      </c>
      <c r="B90" s="11" t="str">
        <f>IFERROR(VLOOKUP(J90,Table1[],2,FALSE),"")</f>
        <v/>
      </c>
      <c r="C90" s="43" t="str" cm="1">
        <f t="array" ref="C90">W90&amp;" "&amp;IfEmpty(U90,X90)</f>
        <v xml:space="preserve"> </v>
      </c>
      <c r="D90" s="52" t="str">
        <f t="shared" si="13"/>
        <v xml:space="preserve">  </v>
      </c>
      <c r="E90" s="69" t="str">
        <f t="shared" si="20"/>
        <v/>
      </c>
      <c r="F90" s="50" t="str">
        <f t="shared" si="14"/>
        <v/>
      </c>
      <c r="G90" s="50" t="str">
        <f t="shared" si="15"/>
        <v/>
      </c>
      <c r="H90" s="44" t="str" cm="1">
        <f t="array" ref="H90:J90">IFERROR(CalcUnc(K90,L90,S90,T90,V90,X90,AD90,AE90,N90:R90,Z90,AA90),"")</f>
        <v/>
      </c>
      <c r="I90" s="61" t="str">
        <v/>
      </c>
      <c r="J90" s="110" t="str">
        <v/>
      </c>
      <c r="K90" s="67"/>
      <c r="L90" s="68"/>
      <c r="M90" s="26"/>
      <c r="N90" s="63"/>
      <c r="O90" s="64"/>
      <c r="P90" s="64"/>
      <c r="Q90" s="64"/>
      <c r="R90" s="65"/>
      <c r="S90" s="71"/>
      <c r="T90" s="71"/>
      <c r="U90" s="71"/>
      <c r="V90" s="78"/>
      <c r="W90" s="73"/>
      <c r="X90" s="74"/>
      <c r="Y90" s="94" t="str" cm="1">
        <f t="array" ref="Y90">GetPolarity(X90,AE90)</f>
        <v/>
      </c>
      <c r="Z90" s="75"/>
      <c r="AA90" s="73"/>
      <c r="AB90" s="88" t="str">
        <f t="shared" si="16"/>
        <v/>
      </c>
      <c r="AC90" s="88" t="str">
        <f t="shared" si="17"/>
        <v/>
      </c>
      <c r="AD90" s="75"/>
      <c r="AE90" s="73"/>
      <c r="AF90" s="25" t="str">
        <f t="shared" si="18"/>
        <v/>
      </c>
      <c r="AG90" s="33" t="str" cm="1">
        <f t="array" ref="AG90">FilterSpecialCharacters(X90)</f>
        <v/>
      </c>
      <c r="AH90" s="95" t="str">
        <f t="shared" si="19"/>
        <v xml:space="preserve"> </v>
      </c>
    </row>
    <row r="91" spans="1:34" x14ac:dyDescent="0.25">
      <c r="A91" s="92" t="str" cm="1">
        <f t="array" ref="A91">IfEmpty(TRIM(_xlfn.CONCAT(C91:H91)),"",CRC32HASH(_xlfn.CONCAT(C91:H91)))</f>
        <v/>
      </c>
      <c r="B91" s="48" t="str">
        <f>IFERROR(VLOOKUP(J91,Table1[],2,FALSE),"")</f>
        <v/>
      </c>
      <c r="C91" s="45" t="str" cm="1">
        <f t="array" ref="C91">W91&amp;" "&amp;IfEmpty(U91,X91)</f>
        <v xml:space="preserve"> </v>
      </c>
      <c r="D91" s="46" t="str">
        <f t="shared" si="13"/>
        <v xml:space="preserve">  </v>
      </c>
      <c r="E91" s="70" t="str">
        <f t="shared" si="20"/>
        <v/>
      </c>
      <c r="F91" s="51" t="str">
        <f t="shared" si="14"/>
        <v/>
      </c>
      <c r="G91" s="51" t="str">
        <f t="shared" si="15"/>
        <v/>
      </c>
      <c r="H91" s="47" t="str" cm="1">
        <f t="array" ref="H91:J91">IFERROR(CalcUnc(K91,L91,S91,T91,V91,X91,AD91,AE91,N91:R91,Z91,AA91),"")</f>
        <v/>
      </c>
      <c r="I91" s="61" t="str">
        <v/>
      </c>
      <c r="J91" s="110" t="str">
        <v/>
      </c>
      <c r="K91" s="67"/>
      <c r="L91" s="68"/>
      <c r="M91" s="26"/>
      <c r="N91" s="63"/>
      <c r="O91" s="64"/>
      <c r="P91" s="64"/>
      <c r="Q91" s="64"/>
      <c r="R91" s="65"/>
      <c r="S91" s="71"/>
      <c r="T91" s="71"/>
      <c r="U91" s="71"/>
      <c r="V91" s="78"/>
      <c r="W91" s="73"/>
      <c r="X91" s="74"/>
      <c r="Y91" s="94" t="str" cm="1">
        <f t="array" ref="Y91">GetPolarity(X91,AE91)</f>
        <v/>
      </c>
      <c r="Z91" s="75"/>
      <c r="AA91" s="73"/>
      <c r="AB91" s="88" t="str">
        <f t="shared" si="16"/>
        <v/>
      </c>
      <c r="AC91" s="88" t="str">
        <f t="shared" si="17"/>
        <v/>
      </c>
      <c r="AD91" s="75"/>
      <c r="AE91" s="73"/>
      <c r="AF91" s="25" t="str">
        <f t="shared" si="18"/>
        <v/>
      </c>
      <c r="AG91" s="33" t="str" cm="1">
        <f t="array" ref="AG91">FilterSpecialCharacters(X91)</f>
        <v/>
      </c>
      <c r="AH91" s="95" t="str">
        <f t="shared" si="19"/>
        <v xml:space="preserve"> </v>
      </c>
    </row>
    <row r="92" spans="1:34" x14ac:dyDescent="0.25">
      <c r="A92" s="92" t="str" cm="1">
        <f t="array" ref="A92">IfEmpty(TRIM(_xlfn.CONCAT(C92:H92)),"",CRC32HASH(_xlfn.CONCAT(C92:H92)))</f>
        <v/>
      </c>
      <c r="B92" s="11" t="str">
        <f>IFERROR(VLOOKUP(J92,Table1[],2,FALSE),"")</f>
        <v/>
      </c>
      <c r="C92" s="43" t="str" cm="1">
        <f t="array" ref="C92">W92&amp;" "&amp;IfEmpty(U92,X92)</f>
        <v xml:space="preserve"> </v>
      </c>
      <c r="D92" s="52" t="str">
        <f t="shared" si="13"/>
        <v xml:space="preserve">  </v>
      </c>
      <c r="E92" s="69" t="str">
        <f t="shared" si="20"/>
        <v/>
      </c>
      <c r="F92" s="50" t="str">
        <f t="shared" si="14"/>
        <v/>
      </c>
      <c r="G92" s="50" t="str">
        <f t="shared" si="15"/>
        <v/>
      </c>
      <c r="H92" s="44" t="str" cm="1">
        <f t="array" ref="H92:J92">IFERROR(CalcUnc(K92,L92,S92,T92,V92,X92,AD92,AE92,N92:R92,Z92,AA92),"")</f>
        <v/>
      </c>
      <c r="I92" s="61" t="str">
        <v/>
      </c>
      <c r="J92" s="110" t="str">
        <v/>
      </c>
      <c r="K92" s="67"/>
      <c r="L92" s="68"/>
      <c r="M92" s="26"/>
      <c r="N92" s="63"/>
      <c r="O92" s="64"/>
      <c r="P92" s="64"/>
      <c r="Q92" s="64"/>
      <c r="R92" s="65"/>
      <c r="S92" s="71"/>
      <c r="T92" s="71"/>
      <c r="U92" s="71"/>
      <c r="V92" s="78"/>
      <c r="W92" s="73"/>
      <c r="X92" s="74"/>
      <c r="Y92" s="94" t="str" cm="1">
        <f t="array" ref="Y92">GetPolarity(X92,AE92)</f>
        <v/>
      </c>
      <c r="Z92" s="75"/>
      <c r="AA92" s="73"/>
      <c r="AB92" s="88" t="str">
        <f t="shared" si="16"/>
        <v/>
      </c>
      <c r="AC92" s="88" t="str">
        <f t="shared" si="17"/>
        <v/>
      </c>
      <c r="AD92" s="75"/>
      <c r="AE92" s="73"/>
      <c r="AF92" s="25" t="str">
        <f t="shared" si="18"/>
        <v/>
      </c>
      <c r="AG92" s="33" t="str" cm="1">
        <f t="array" ref="AG92">FilterSpecialCharacters(X92)</f>
        <v/>
      </c>
      <c r="AH92" s="95" t="str">
        <f t="shared" si="19"/>
        <v xml:space="preserve"> </v>
      </c>
    </row>
    <row r="93" spans="1:34" x14ac:dyDescent="0.25">
      <c r="A93" s="92" t="str" cm="1">
        <f t="array" ref="A93">IfEmpty(TRIM(_xlfn.CONCAT(C93:H93)),"",CRC32HASH(_xlfn.CONCAT(C93:H93)))</f>
        <v/>
      </c>
      <c r="B93" s="48" t="str">
        <f>IFERROR(VLOOKUP(J93,Table1[],2,FALSE),"")</f>
        <v/>
      </c>
      <c r="C93" s="45" t="str" cm="1">
        <f t="array" ref="C93">W93&amp;" "&amp;IfEmpty(U93,X93)</f>
        <v xml:space="preserve"> </v>
      </c>
      <c r="D93" s="46" t="str">
        <f t="shared" si="13"/>
        <v xml:space="preserve">  </v>
      </c>
      <c r="E93" s="70" t="str">
        <f t="shared" si="20"/>
        <v/>
      </c>
      <c r="F93" s="51" t="str">
        <f t="shared" si="14"/>
        <v/>
      </c>
      <c r="G93" s="51" t="str">
        <f t="shared" si="15"/>
        <v/>
      </c>
      <c r="H93" s="47" t="str" cm="1">
        <f t="array" ref="H93:J93">IFERROR(CalcUnc(K93,L93,S93,T93,V93,X93,AD93,AE93,N93:R93,Z93,AA93),"")</f>
        <v/>
      </c>
      <c r="I93" s="61" t="str">
        <v/>
      </c>
      <c r="J93" s="110" t="str">
        <v/>
      </c>
      <c r="K93" s="67"/>
      <c r="L93" s="68"/>
      <c r="M93" s="26"/>
      <c r="N93" s="63"/>
      <c r="O93" s="64"/>
      <c r="P93" s="64"/>
      <c r="Q93" s="64"/>
      <c r="R93" s="65"/>
      <c r="S93" s="71"/>
      <c r="T93" s="71"/>
      <c r="U93" s="71"/>
      <c r="V93" s="78"/>
      <c r="W93" s="73"/>
      <c r="X93" s="74"/>
      <c r="Y93" s="94" t="str" cm="1">
        <f t="array" ref="Y93">GetPolarity(X93,AE93)</f>
        <v/>
      </c>
      <c r="Z93" s="75"/>
      <c r="AA93" s="73"/>
      <c r="AB93" s="88" t="str">
        <f t="shared" si="16"/>
        <v/>
      </c>
      <c r="AC93" s="88" t="str">
        <f t="shared" si="17"/>
        <v/>
      </c>
      <c r="AD93" s="75"/>
      <c r="AE93" s="73"/>
      <c r="AF93" s="25" t="str">
        <f t="shared" si="18"/>
        <v/>
      </c>
      <c r="AG93" s="33" t="str" cm="1">
        <f t="array" ref="AG93">FilterSpecialCharacters(X93)</f>
        <v/>
      </c>
      <c r="AH93" s="95" t="str">
        <f t="shared" si="19"/>
        <v xml:space="preserve"> </v>
      </c>
    </row>
    <row r="94" spans="1:34" x14ac:dyDescent="0.25">
      <c r="A94" s="92" t="str" cm="1">
        <f t="array" ref="A94">IfEmpty(TRIM(_xlfn.CONCAT(C94:H94)),"",CRC32HASH(_xlfn.CONCAT(C94:H94)))</f>
        <v/>
      </c>
      <c r="B94" s="11" t="str">
        <f>IFERROR(VLOOKUP(J94,Table1[],2,FALSE),"")</f>
        <v/>
      </c>
      <c r="C94" s="43" t="str" cm="1">
        <f t="array" ref="C94">W94&amp;" "&amp;IfEmpty(U94,X94)</f>
        <v xml:space="preserve"> </v>
      </c>
      <c r="D94" s="52" t="str">
        <f t="shared" si="13"/>
        <v xml:space="preserve">  </v>
      </c>
      <c r="E94" s="69" t="str">
        <f t="shared" si="20"/>
        <v/>
      </c>
      <c r="F94" s="50" t="str">
        <f t="shared" si="14"/>
        <v/>
      </c>
      <c r="G94" s="50" t="str">
        <f t="shared" si="15"/>
        <v/>
      </c>
      <c r="H94" s="44" t="str" cm="1">
        <f t="array" ref="H94:J94">IFERROR(CalcUnc(K94,L94,S94,T94,V94,X94,AD94,AE94,N94:R94,Z94,AA94),"")</f>
        <v/>
      </c>
      <c r="I94" s="61" t="str">
        <v/>
      </c>
      <c r="J94" s="110" t="str">
        <v/>
      </c>
      <c r="K94" s="67"/>
      <c r="L94" s="68"/>
      <c r="M94" s="26"/>
      <c r="N94" s="63"/>
      <c r="O94" s="64"/>
      <c r="P94" s="64"/>
      <c r="Q94" s="64"/>
      <c r="R94" s="65"/>
      <c r="S94" s="71"/>
      <c r="T94" s="71"/>
      <c r="U94" s="71"/>
      <c r="V94" s="78"/>
      <c r="W94" s="73"/>
      <c r="X94" s="74"/>
      <c r="Y94" s="94" t="str" cm="1">
        <f t="array" ref="Y94">GetPolarity(X94,AE94)</f>
        <v/>
      </c>
      <c r="Z94" s="75"/>
      <c r="AA94" s="73"/>
      <c r="AB94" s="88" t="str">
        <f t="shared" si="16"/>
        <v/>
      </c>
      <c r="AC94" s="88" t="str">
        <f t="shared" si="17"/>
        <v/>
      </c>
      <c r="AD94" s="75"/>
      <c r="AE94" s="73"/>
      <c r="AF94" s="25" t="str">
        <f t="shared" si="18"/>
        <v/>
      </c>
      <c r="AG94" s="33" t="str" cm="1">
        <f t="array" ref="AG94">FilterSpecialCharacters(X94)</f>
        <v/>
      </c>
      <c r="AH94" s="95" t="str">
        <f t="shared" si="19"/>
        <v xml:space="preserve"> </v>
      </c>
    </row>
    <row r="95" spans="1:34" x14ac:dyDescent="0.25">
      <c r="A95" s="92" t="str" cm="1">
        <f t="array" ref="A95">IfEmpty(TRIM(_xlfn.CONCAT(C95:H95)),"",CRC32HASH(_xlfn.CONCAT(C95:H95)))</f>
        <v/>
      </c>
      <c r="B95" s="48" t="str">
        <f>IFERROR(VLOOKUP(J95,Table1[],2,FALSE),"")</f>
        <v/>
      </c>
      <c r="C95" s="45" t="str" cm="1">
        <f t="array" ref="C95">W95&amp;" "&amp;IfEmpty(U95,X95)</f>
        <v xml:space="preserve"> </v>
      </c>
      <c r="D95" s="46" t="str">
        <f t="shared" si="13"/>
        <v xml:space="preserve">  </v>
      </c>
      <c r="E95" s="70" t="str">
        <f t="shared" si="20"/>
        <v/>
      </c>
      <c r="F95" s="51" t="str">
        <f t="shared" si="14"/>
        <v/>
      </c>
      <c r="G95" s="51" t="str">
        <f t="shared" si="15"/>
        <v/>
      </c>
      <c r="H95" s="47" t="str" cm="1">
        <f t="array" ref="H95:J95">IFERROR(CalcUnc(K95,L95,S95,T95,V95,X95,AD95,AE95,N95:R95,Z95,AA95),"")</f>
        <v/>
      </c>
      <c r="I95" s="61" t="str">
        <v/>
      </c>
      <c r="J95" s="110" t="str">
        <v/>
      </c>
      <c r="K95" s="67"/>
      <c r="L95" s="68"/>
      <c r="M95" s="26"/>
      <c r="N95" s="63"/>
      <c r="O95" s="64"/>
      <c r="P95" s="64"/>
      <c r="Q95" s="64"/>
      <c r="R95" s="65"/>
      <c r="S95" s="71"/>
      <c r="T95" s="71"/>
      <c r="U95" s="71"/>
      <c r="V95" s="78"/>
      <c r="W95" s="73"/>
      <c r="X95" s="74"/>
      <c r="Y95" s="94" t="str" cm="1">
        <f t="array" ref="Y95">GetPolarity(X95,AE95)</f>
        <v/>
      </c>
      <c r="Z95" s="75"/>
      <c r="AA95" s="73"/>
      <c r="AB95" s="88" t="str">
        <f t="shared" si="16"/>
        <v/>
      </c>
      <c r="AC95" s="88" t="str">
        <f t="shared" si="17"/>
        <v/>
      </c>
      <c r="AD95" s="75"/>
      <c r="AE95" s="73"/>
      <c r="AF95" s="25" t="str">
        <f t="shared" si="18"/>
        <v/>
      </c>
      <c r="AG95" s="33" t="str" cm="1">
        <f t="array" ref="AG95">FilterSpecialCharacters(X95)</f>
        <v/>
      </c>
      <c r="AH95" s="95" t="str">
        <f t="shared" si="19"/>
        <v xml:space="preserve"> </v>
      </c>
    </row>
    <row r="96" spans="1:34" x14ac:dyDescent="0.25">
      <c r="A96" s="92" t="str" cm="1">
        <f t="array" ref="A96">IfEmpty(TRIM(_xlfn.CONCAT(C96:H96)),"",CRC32HASH(_xlfn.CONCAT(C96:H96)))</f>
        <v/>
      </c>
      <c r="B96" s="11" t="str">
        <f>IFERROR(VLOOKUP(J96,Table1[],2,FALSE),"")</f>
        <v/>
      </c>
      <c r="C96" s="43" t="str" cm="1">
        <f t="array" ref="C96">W96&amp;" "&amp;IfEmpty(U96,X96)</f>
        <v xml:space="preserve"> </v>
      </c>
      <c r="D96" s="52" t="str">
        <f t="shared" si="13"/>
        <v xml:space="preserve">  </v>
      </c>
      <c r="E96" s="69" t="str">
        <f t="shared" si="20"/>
        <v/>
      </c>
      <c r="F96" s="50" t="str">
        <f t="shared" si="14"/>
        <v/>
      </c>
      <c r="G96" s="50" t="str">
        <f t="shared" si="15"/>
        <v/>
      </c>
      <c r="H96" s="44" t="str" cm="1">
        <f t="array" ref="H96:J96">IFERROR(CalcUnc(K96,L96,S96,T96,V96,X96,AD96,AE96,N96:R96,Z96,AA96),"")</f>
        <v/>
      </c>
      <c r="I96" s="61" t="str">
        <v/>
      </c>
      <c r="J96" s="110" t="str">
        <v/>
      </c>
      <c r="K96" s="67"/>
      <c r="L96" s="68"/>
      <c r="M96" s="26"/>
      <c r="N96" s="63"/>
      <c r="O96" s="64"/>
      <c r="P96" s="64"/>
      <c r="Q96" s="64"/>
      <c r="R96" s="65"/>
      <c r="S96" s="71"/>
      <c r="T96" s="71"/>
      <c r="U96" s="71"/>
      <c r="V96" s="78"/>
      <c r="W96" s="73"/>
      <c r="X96" s="74"/>
      <c r="Y96" s="94" t="str" cm="1">
        <f t="array" ref="Y96">GetPolarity(X96,AE96)</f>
        <v/>
      </c>
      <c r="Z96" s="75"/>
      <c r="AA96" s="73"/>
      <c r="AB96" s="88" t="str">
        <f t="shared" si="16"/>
        <v/>
      </c>
      <c r="AC96" s="88" t="str">
        <f t="shared" si="17"/>
        <v/>
      </c>
      <c r="AD96" s="75"/>
      <c r="AE96" s="73"/>
      <c r="AF96" s="25" t="str">
        <f t="shared" si="18"/>
        <v/>
      </c>
      <c r="AG96" s="33" t="str" cm="1">
        <f t="array" ref="AG96">FilterSpecialCharacters(X96)</f>
        <v/>
      </c>
      <c r="AH96" s="95" t="str">
        <f t="shared" si="19"/>
        <v xml:space="preserve"> </v>
      </c>
    </row>
    <row r="97" spans="1:34" x14ac:dyDescent="0.25">
      <c r="A97" s="92" t="str" cm="1">
        <f t="array" ref="A97">IfEmpty(TRIM(_xlfn.CONCAT(C97:H97)),"",CRC32HASH(_xlfn.CONCAT(C97:H97)))</f>
        <v/>
      </c>
      <c r="B97" s="48" t="str">
        <f>IFERROR(VLOOKUP(J97,Table1[],2,FALSE),"")</f>
        <v/>
      </c>
      <c r="C97" s="45" t="str" cm="1">
        <f t="array" ref="C97">W97&amp;" "&amp;IfEmpty(U97,X97)</f>
        <v xml:space="preserve"> </v>
      </c>
      <c r="D97" s="46" t="str">
        <f t="shared" si="13"/>
        <v xml:space="preserve">  </v>
      </c>
      <c r="E97" s="70" t="str">
        <f t="shared" si="20"/>
        <v/>
      </c>
      <c r="F97" s="51" t="str">
        <f t="shared" si="14"/>
        <v/>
      </c>
      <c r="G97" s="51" t="str">
        <f t="shared" si="15"/>
        <v/>
      </c>
      <c r="H97" s="47" t="str" cm="1">
        <f t="array" ref="H97:J97">IFERROR(CalcUnc(K97,L97,S97,T97,V97,X97,AD97,AE97,N97:R97,Z97,AA97),"")</f>
        <v/>
      </c>
      <c r="I97" s="61" t="str">
        <v/>
      </c>
      <c r="J97" s="110" t="str">
        <v/>
      </c>
      <c r="K97" s="67"/>
      <c r="L97" s="68"/>
      <c r="M97" s="26"/>
      <c r="N97" s="63"/>
      <c r="O97" s="64"/>
      <c r="P97" s="64"/>
      <c r="Q97" s="64"/>
      <c r="R97" s="65"/>
      <c r="S97" s="71"/>
      <c r="T97" s="71"/>
      <c r="U97" s="71"/>
      <c r="V97" s="78"/>
      <c r="W97" s="73"/>
      <c r="X97" s="74"/>
      <c r="Y97" s="94" t="str" cm="1">
        <f t="array" ref="Y97">GetPolarity(X97,AE97)</f>
        <v/>
      </c>
      <c r="Z97" s="75"/>
      <c r="AA97" s="73"/>
      <c r="AB97" s="88" t="str">
        <f t="shared" si="16"/>
        <v/>
      </c>
      <c r="AC97" s="88" t="str">
        <f t="shared" si="17"/>
        <v/>
      </c>
      <c r="AD97" s="75"/>
      <c r="AE97" s="73"/>
      <c r="AF97" s="25" t="str">
        <f t="shared" si="18"/>
        <v/>
      </c>
      <c r="AG97" s="33" t="str" cm="1">
        <f t="array" ref="AG97">FilterSpecialCharacters(X97)</f>
        <v/>
      </c>
      <c r="AH97" s="95" t="str">
        <f t="shared" si="19"/>
        <v xml:space="preserve"> </v>
      </c>
    </row>
    <row r="98" spans="1:34" x14ac:dyDescent="0.25">
      <c r="A98" s="92" t="str" cm="1">
        <f t="array" ref="A98">IfEmpty(TRIM(_xlfn.CONCAT(C98:H98)),"",CRC32HASH(_xlfn.CONCAT(C98:H98)))</f>
        <v/>
      </c>
      <c r="B98" s="11" t="str">
        <f>IFERROR(VLOOKUP(J98,Table1[],2,FALSE),"")</f>
        <v/>
      </c>
      <c r="C98" s="43" t="str" cm="1">
        <f t="array" ref="C98">W98&amp;" "&amp;IfEmpty(U98,X98)</f>
        <v xml:space="preserve"> </v>
      </c>
      <c r="D98" s="52" t="str">
        <f t="shared" si="13"/>
        <v xml:space="preserve">  </v>
      </c>
      <c r="E98" s="69" t="str">
        <f t="shared" si="20"/>
        <v/>
      </c>
      <c r="F98" s="50" t="str">
        <f t="shared" si="14"/>
        <v/>
      </c>
      <c r="G98" s="50" t="str">
        <f t="shared" si="15"/>
        <v/>
      </c>
      <c r="H98" s="44" t="str" cm="1">
        <f t="array" ref="H98:J98">IFERROR(CalcUnc(K98,L98,S98,T98,V98,X98,AD98,AE98,N98:R98,Z98,AA98),"")</f>
        <v/>
      </c>
      <c r="I98" s="61" t="str">
        <v/>
      </c>
      <c r="J98" s="110" t="str">
        <v/>
      </c>
      <c r="K98" s="67"/>
      <c r="L98" s="68"/>
      <c r="M98" s="26"/>
      <c r="N98" s="63"/>
      <c r="O98" s="64"/>
      <c r="P98" s="64"/>
      <c r="Q98" s="64"/>
      <c r="R98" s="65"/>
      <c r="S98" s="71"/>
      <c r="T98" s="71"/>
      <c r="U98" s="71"/>
      <c r="V98" s="78"/>
      <c r="W98" s="73"/>
      <c r="X98" s="74"/>
      <c r="Y98" s="94" t="str" cm="1">
        <f t="array" ref="Y98">GetPolarity(X98,AE98)</f>
        <v/>
      </c>
      <c r="Z98" s="75"/>
      <c r="AA98" s="73"/>
      <c r="AB98" s="88" t="str">
        <f t="shared" si="16"/>
        <v/>
      </c>
      <c r="AC98" s="88" t="str">
        <f t="shared" si="17"/>
        <v/>
      </c>
      <c r="AD98" s="75"/>
      <c r="AE98" s="73"/>
      <c r="AF98" s="25" t="str">
        <f t="shared" si="18"/>
        <v/>
      </c>
      <c r="AG98" s="33" t="str" cm="1">
        <f t="array" ref="AG98">FilterSpecialCharacters(X98)</f>
        <v/>
      </c>
      <c r="AH98" s="95" t="str">
        <f t="shared" si="19"/>
        <v xml:space="preserve"> </v>
      </c>
    </row>
    <row r="99" spans="1:34" x14ac:dyDescent="0.25">
      <c r="A99" s="92" t="str" cm="1">
        <f t="array" ref="A99">IfEmpty(TRIM(_xlfn.CONCAT(C99:H99)),"",CRC32HASH(_xlfn.CONCAT(C99:H99)))</f>
        <v/>
      </c>
      <c r="B99" s="48" t="str">
        <f>IFERROR(VLOOKUP(J99,Table1[],2,FALSE),"")</f>
        <v/>
      </c>
      <c r="C99" s="45" t="str" cm="1">
        <f t="array" ref="C99">W99&amp;" "&amp;IfEmpty(U99,X99)</f>
        <v xml:space="preserve"> </v>
      </c>
      <c r="D99" s="46" t="str">
        <f t="shared" si="13"/>
        <v xml:space="preserve">  </v>
      </c>
      <c r="E99" s="70" t="str">
        <f t="shared" si="20"/>
        <v/>
      </c>
      <c r="F99" s="51" t="str">
        <f t="shared" si="14"/>
        <v/>
      </c>
      <c r="G99" s="51" t="str">
        <f t="shared" si="15"/>
        <v/>
      </c>
      <c r="H99" s="47" t="str" cm="1">
        <f t="array" ref="H99:J99">IFERROR(CalcUnc(K99,L99,S99,T99,V99,X99,AD99,AE99,N99:R99,Z99,AA99),"")</f>
        <v/>
      </c>
      <c r="I99" s="61" t="str">
        <v/>
      </c>
      <c r="J99" s="110" t="str">
        <v/>
      </c>
      <c r="K99" s="67"/>
      <c r="L99" s="68"/>
      <c r="M99" s="26"/>
      <c r="N99" s="63"/>
      <c r="O99" s="64"/>
      <c r="P99" s="64"/>
      <c r="Q99" s="64"/>
      <c r="R99" s="65"/>
      <c r="S99" s="71"/>
      <c r="T99" s="71"/>
      <c r="U99" s="71"/>
      <c r="V99" s="78"/>
      <c r="W99" s="73"/>
      <c r="X99" s="74"/>
      <c r="Y99" s="94" t="str" cm="1">
        <f t="array" ref="Y99">GetPolarity(X99,AE99)</f>
        <v/>
      </c>
      <c r="Z99" s="75"/>
      <c r="AA99" s="73"/>
      <c r="AB99" s="88" t="str">
        <f t="shared" si="16"/>
        <v/>
      </c>
      <c r="AC99" s="88" t="str">
        <f t="shared" si="17"/>
        <v/>
      </c>
      <c r="AD99" s="75"/>
      <c r="AE99" s="73"/>
      <c r="AF99" s="25" t="str">
        <f t="shared" si="18"/>
        <v/>
      </c>
      <c r="AG99" s="33" t="str" cm="1">
        <f t="array" ref="AG99">FilterSpecialCharacters(X99)</f>
        <v/>
      </c>
      <c r="AH99" s="95" t="str">
        <f t="shared" si="19"/>
        <v xml:space="preserve"> </v>
      </c>
    </row>
    <row r="100" spans="1:34" x14ac:dyDescent="0.25">
      <c r="A100" s="92" t="str" cm="1">
        <f t="array" ref="A100">IfEmpty(TRIM(_xlfn.CONCAT(C100:H100)),"",CRC32HASH(_xlfn.CONCAT(C100:H100)))</f>
        <v/>
      </c>
      <c r="B100" s="11" t="str">
        <f>IFERROR(VLOOKUP(J100,Table1[],2,FALSE),"")</f>
        <v/>
      </c>
      <c r="C100" s="43" t="str" cm="1">
        <f t="array" ref="C100">W100&amp;" "&amp;IfEmpty(U100,X100)</f>
        <v xml:space="preserve"> </v>
      </c>
      <c r="D100" s="52" t="str">
        <f t="shared" si="13"/>
        <v xml:space="preserve">  </v>
      </c>
      <c r="E100" s="69" t="str">
        <f t="shared" si="20"/>
        <v/>
      </c>
      <c r="F100" s="50" t="str">
        <f t="shared" si="14"/>
        <v/>
      </c>
      <c r="G100" s="50" t="str">
        <f t="shared" si="15"/>
        <v/>
      </c>
      <c r="H100" s="44" t="str" cm="1">
        <f t="array" ref="H100:J100">IFERROR(CalcUnc(K100,L100,S100,T100,V100,X100,AD100,AE100,N100:R100,Z100,AA100),"")</f>
        <v/>
      </c>
      <c r="I100" s="61" t="str">
        <v/>
      </c>
      <c r="J100" s="110" t="str">
        <v/>
      </c>
      <c r="K100" s="67"/>
      <c r="L100" s="68"/>
      <c r="M100" s="26"/>
      <c r="N100" s="63"/>
      <c r="O100" s="64"/>
      <c r="P100" s="64"/>
      <c r="Q100" s="64"/>
      <c r="R100" s="65"/>
      <c r="S100" s="71"/>
      <c r="T100" s="71"/>
      <c r="U100" s="71"/>
      <c r="V100" s="78"/>
      <c r="W100" s="73"/>
      <c r="X100" s="74"/>
      <c r="Y100" s="94" t="str" cm="1">
        <f t="array" ref="Y100">GetPolarity(X100,AE100)</f>
        <v/>
      </c>
      <c r="Z100" s="75"/>
      <c r="AA100" s="73"/>
      <c r="AB100" s="88" t="str">
        <f t="shared" si="16"/>
        <v/>
      </c>
      <c r="AC100" s="88" t="str">
        <f t="shared" si="17"/>
        <v/>
      </c>
      <c r="AD100" s="75"/>
      <c r="AE100" s="73"/>
      <c r="AF100" s="25" t="str">
        <f t="shared" si="18"/>
        <v/>
      </c>
      <c r="AG100" s="33" t="str" cm="1">
        <f t="array" ref="AG100">FilterSpecialCharacters(X100)</f>
        <v/>
      </c>
      <c r="AH100" s="95" t="str">
        <f t="shared" si="19"/>
        <v xml:space="preserve"> </v>
      </c>
    </row>
    <row r="101" spans="1:34" x14ac:dyDescent="0.25">
      <c r="A101" s="92" t="str" cm="1">
        <f t="array" ref="A101">IfEmpty(TRIM(_xlfn.CONCAT(C101:H101)),"",CRC32HASH(_xlfn.CONCAT(C101:H101)))</f>
        <v/>
      </c>
      <c r="B101" s="48" t="str">
        <f>IFERROR(VLOOKUP(J101,Table1[],2,FALSE),"")</f>
        <v/>
      </c>
      <c r="C101" s="45" t="str" cm="1">
        <f t="array" ref="C101">W101&amp;" "&amp;IfEmpty(U101,X101)</f>
        <v xml:space="preserve"> </v>
      </c>
      <c r="D101" s="46" t="str">
        <f t="shared" si="13"/>
        <v xml:space="preserve">  </v>
      </c>
      <c r="E101" s="70" t="str">
        <f t="shared" si="20"/>
        <v/>
      </c>
      <c r="F101" s="51" t="str">
        <f t="shared" si="14"/>
        <v/>
      </c>
      <c r="G101" s="51" t="str">
        <f t="shared" si="15"/>
        <v/>
      </c>
      <c r="H101" s="47" t="str" cm="1">
        <f t="array" ref="H101:J101">IFERROR(CalcUnc(K101,L101,S101,T101,V101,X101,AD101,AE101,N101:R101,Z101,AA101),"")</f>
        <v/>
      </c>
      <c r="I101" s="61" t="str">
        <v/>
      </c>
      <c r="J101" s="110" t="str">
        <v/>
      </c>
      <c r="K101" s="67"/>
      <c r="L101" s="68"/>
      <c r="M101" s="26"/>
      <c r="N101" s="63"/>
      <c r="O101" s="64"/>
      <c r="P101" s="64"/>
      <c r="Q101" s="64"/>
      <c r="R101" s="65"/>
      <c r="S101" s="71"/>
      <c r="T101" s="71"/>
      <c r="U101" s="71"/>
      <c r="V101" s="78"/>
      <c r="W101" s="73"/>
      <c r="X101" s="74"/>
      <c r="Y101" s="94" t="str" cm="1">
        <f t="array" ref="Y101">GetPolarity(X101,AE101)</f>
        <v/>
      </c>
      <c r="Z101" s="75"/>
      <c r="AA101" s="73"/>
      <c r="AB101" s="88" t="str">
        <f t="shared" si="16"/>
        <v/>
      </c>
      <c r="AC101" s="88" t="str">
        <f t="shared" si="17"/>
        <v/>
      </c>
      <c r="AD101" s="75"/>
      <c r="AE101" s="73"/>
      <c r="AF101" s="25" t="str">
        <f t="shared" si="18"/>
        <v/>
      </c>
      <c r="AG101" s="33" t="str" cm="1">
        <f t="array" ref="AG101">FilterSpecialCharacters(X101)</f>
        <v/>
      </c>
      <c r="AH101" s="95" t="str">
        <f t="shared" si="19"/>
        <v xml:space="preserve"> </v>
      </c>
    </row>
    <row r="102" spans="1:34" x14ac:dyDescent="0.25">
      <c r="A102" s="92" t="str" cm="1">
        <f t="array" ref="A102">IfEmpty(TRIM(_xlfn.CONCAT(C102:H102)),"",CRC32HASH(_xlfn.CONCAT(C102:H102)))</f>
        <v/>
      </c>
      <c r="B102" s="11" t="str">
        <f>IFERROR(VLOOKUP(J102,Table1[],2,FALSE),"")</f>
        <v/>
      </c>
      <c r="C102" s="43" t="str" cm="1">
        <f t="array" ref="C102">W102&amp;" "&amp;IfEmpty(U102,X102)</f>
        <v xml:space="preserve"> </v>
      </c>
      <c r="D102" s="52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69" t="str">
        <f t="shared" si="20"/>
        <v/>
      </c>
      <c r="F102" s="50" t="str">
        <f t="shared" ref="F102:F110" si="22">IF(AB102="","",AB102&amp;$AH102)</f>
        <v/>
      </c>
      <c r="G102" s="50" t="str">
        <f t="shared" ref="G102:G110" si="23">IF(AC102="","",AC102&amp;$AH102)</f>
        <v/>
      </c>
      <c r="H102" s="44" t="str" cm="1">
        <f t="array" ref="H102:J102">IFERROR(CalcUnc(K102,L102,S102,T102,V102,X102,AD102,AE102,N102:R102,Z102,AA102),"")</f>
        <v/>
      </c>
      <c r="I102" s="61" t="str">
        <v/>
      </c>
      <c r="J102" s="110" t="str">
        <v/>
      </c>
      <c r="K102" s="67"/>
      <c r="L102" s="68"/>
      <c r="M102" s="26"/>
      <c r="N102" s="63"/>
      <c r="O102" s="64"/>
      <c r="P102" s="64"/>
      <c r="Q102" s="64"/>
      <c r="R102" s="65"/>
      <c r="S102" s="71"/>
      <c r="T102" s="71"/>
      <c r="U102" s="71"/>
      <c r="V102" s="78"/>
      <c r="W102" s="73"/>
      <c r="X102" s="74"/>
      <c r="Y102" s="94" t="str" cm="1">
        <f t="array" ref="Y102">GetPolarity(X102,AE102)</f>
        <v/>
      </c>
      <c r="Z102" s="75"/>
      <c r="AA102" s="73"/>
      <c r="AB102" s="88" t="str">
        <f t="shared" ref="AB102:AB110" si="24">IF(V102&lt;&gt;"",ROUND(Z102-AA102,-LOG10(V102)),"")</f>
        <v/>
      </c>
      <c r="AC102" s="88" t="str">
        <f t="shared" ref="AC102:AC110" si="25">IF(V102&lt;&gt;"",ROUND(Z102+AA102,-LOG10(V102)),"")</f>
        <v/>
      </c>
      <c r="AD102" s="75"/>
      <c r="AE102" s="73"/>
      <c r="AF102" s="25" t="str">
        <f t="shared" si="18"/>
        <v/>
      </c>
      <c r="AG102" s="33" t="str" cm="1">
        <f t="array" ref="AG102">FilterSpecialCharacters(X102)</f>
        <v/>
      </c>
      <c r="AH102" s="95" t="str">
        <f t="shared" si="19"/>
        <v xml:space="preserve"> </v>
      </c>
    </row>
    <row r="103" spans="1:34" x14ac:dyDescent="0.25">
      <c r="A103" s="92" t="str" cm="1">
        <f t="array" ref="A103">IfEmpty(TRIM(_xlfn.CONCAT(C103:H103)),"",CRC32HASH(_xlfn.CONCAT(C103:H103)))</f>
        <v/>
      </c>
      <c r="B103" s="48" t="str">
        <f>IFERROR(VLOOKUP(J103,Table1[],2,FALSE),"")</f>
        <v/>
      </c>
      <c r="C103" s="45" t="str" cm="1">
        <f t="array" ref="C103">W103&amp;" "&amp;IfEmpty(U103,X103)</f>
        <v xml:space="preserve"> </v>
      </c>
      <c r="D103" s="46" t="str">
        <f t="shared" si="21"/>
        <v xml:space="preserve">  </v>
      </c>
      <c r="E103" s="70" t="str">
        <f t="shared" si="20"/>
        <v/>
      </c>
      <c r="F103" s="51" t="str">
        <f t="shared" si="22"/>
        <v/>
      </c>
      <c r="G103" s="51" t="str">
        <f t="shared" si="23"/>
        <v/>
      </c>
      <c r="H103" s="47" t="str" cm="1">
        <f t="array" ref="H103:J103">IFERROR(CalcUnc(K103,L103,S103,T103,V103,X103,AD103,AE103,N103:R103,Z103,AA103),"")</f>
        <v/>
      </c>
      <c r="I103" s="61" t="str">
        <v/>
      </c>
      <c r="J103" s="110" t="str">
        <v/>
      </c>
      <c r="K103" s="67"/>
      <c r="L103" s="68"/>
      <c r="M103" s="26"/>
      <c r="N103" s="63"/>
      <c r="O103" s="64"/>
      <c r="P103" s="64"/>
      <c r="Q103" s="64"/>
      <c r="R103" s="65"/>
      <c r="S103" s="71"/>
      <c r="T103" s="71"/>
      <c r="U103" s="71"/>
      <c r="V103" s="78"/>
      <c r="W103" s="73"/>
      <c r="X103" s="74"/>
      <c r="Y103" s="94" t="str" cm="1">
        <f t="array" ref="Y103">GetPolarity(X103,AE103)</f>
        <v/>
      </c>
      <c r="Z103" s="75"/>
      <c r="AA103" s="73"/>
      <c r="AB103" s="88" t="str">
        <f t="shared" si="24"/>
        <v/>
      </c>
      <c r="AC103" s="88" t="str">
        <f t="shared" si="25"/>
        <v/>
      </c>
      <c r="AD103" s="75"/>
      <c r="AE103" s="73"/>
      <c r="AF103" s="25" t="str">
        <f t="shared" si="18"/>
        <v/>
      </c>
      <c r="AG103" s="33" t="str" cm="1">
        <f t="array" ref="AG103">FilterSpecialCharacters(X103)</f>
        <v/>
      </c>
      <c r="AH103" s="95" t="str">
        <f t="shared" si="19"/>
        <v xml:space="preserve"> </v>
      </c>
    </row>
    <row r="104" spans="1:34" x14ac:dyDescent="0.25">
      <c r="A104" s="92" t="str" cm="1">
        <f t="array" ref="A104">IfEmpty(TRIM(_xlfn.CONCAT(C104:H104)),"",CRC32HASH(_xlfn.CONCAT(C104:H104)))</f>
        <v/>
      </c>
      <c r="B104" s="11" t="str">
        <f>IFERROR(VLOOKUP(J104,Table1[],2,FALSE),"")</f>
        <v/>
      </c>
      <c r="C104" s="43" t="str" cm="1">
        <f t="array" ref="C104">W104&amp;" "&amp;IfEmpty(U104,X104)</f>
        <v xml:space="preserve"> </v>
      </c>
      <c r="D104" s="52" t="str">
        <f t="shared" si="21"/>
        <v xml:space="preserve">  </v>
      </c>
      <c r="E104" s="69" t="str">
        <f t="shared" si="20"/>
        <v/>
      </c>
      <c r="F104" s="50" t="str">
        <f t="shared" si="22"/>
        <v/>
      </c>
      <c r="G104" s="50" t="str">
        <f t="shared" si="23"/>
        <v/>
      </c>
      <c r="H104" s="44" t="str" cm="1">
        <f t="array" ref="H104:J104">IFERROR(CalcUnc(K104,L104,S104,T104,V104,X104,AD104,AE104,N104:R104,Z104,AA104),"")</f>
        <v/>
      </c>
      <c r="I104" s="61" t="str">
        <v/>
      </c>
      <c r="J104" s="110" t="str">
        <v/>
      </c>
      <c r="K104" s="67"/>
      <c r="L104" s="68"/>
      <c r="M104" s="26"/>
      <c r="N104" s="63"/>
      <c r="O104" s="64"/>
      <c r="P104" s="64"/>
      <c r="Q104" s="64"/>
      <c r="R104" s="65"/>
      <c r="S104" s="71"/>
      <c r="T104" s="71"/>
      <c r="U104" s="71"/>
      <c r="V104" s="78"/>
      <c r="W104" s="73"/>
      <c r="X104" s="74"/>
      <c r="Y104" s="94" t="str" cm="1">
        <f t="array" ref="Y104">GetPolarity(X104,AE104)</f>
        <v/>
      </c>
      <c r="Z104" s="75"/>
      <c r="AA104" s="73"/>
      <c r="AB104" s="88" t="str">
        <f t="shared" si="24"/>
        <v/>
      </c>
      <c r="AC104" s="88" t="str">
        <f t="shared" si="25"/>
        <v/>
      </c>
      <c r="AD104" s="75"/>
      <c r="AE104" s="73"/>
      <c r="AF104" s="25" t="str">
        <f t="shared" si="18"/>
        <v/>
      </c>
      <c r="AG104" s="33" t="str" cm="1">
        <f t="array" ref="AG104">FilterSpecialCharacters(X104)</f>
        <v/>
      </c>
      <c r="AH104" s="95" t="str">
        <f t="shared" si="19"/>
        <v xml:space="preserve"> </v>
      </c>
    </row>
    <row r="105" spans="1:34" x14ac:dyDescent="0.25">
      <c r="A105" s="92" t="str" cm="1">
        <f t="array" ref="A105">IfEmpty(TRIM(_xlfn.CONCAT(C105:H105)),"",CRC32HASH(_xlfn.CONCAT(C105:H105)))</f>
        <v/>
      </c>
      <c r="B105" s="48" t="str">
        <f>IFERROR(VLOOKUP(J105,Table1[],2,FALSE),"")</f>
        <v/>
      </c>
      <c r="C105" s="45" t="str" cm="1">
        <f t="array" ref="C105">W105&amp;" "&amp;IfEmpty(U105,X105)</f>
        <v xml:space="preserve"> </v>
      </c>
      <c r="D105" s="46" t="str">
        <f t="shared" si="21"/>
        <v xml:space="preserve">  </v>
      </c>
      <c r="E105" s="70" t="str">
        <f t="shared" si="20"/>
        <v/>
      </c>
      <c r="F105" s="51" t="str">
        <f t="shared" si="22"/>
        <v/>
      </c>
      <c r="G105" s="51" t="str">
        <f t="shared" si="23"/>
        <v/>
      </c>
      <c r="H105" s="47" t="str" cm="1">
        <f t="array" ref="H105:J105">IFERROR(CalcUnc(K105,L105,S105,T105,V105,X105,AD105,AE105,N105:R105,Z105,AA105),"")</f>
        <v/>
      </c>
      <c r="I105" s="61" t="str">
        <v/>
      </c>
      <c r="J105" s="110" t="str">
        <v/>
      </c>
      <c r="K105" s="67"/>
      <c r="L105" s="68"/>
      <c r="M105" s="26"/>
      <c r="N105" s="63"/>
      <c r="O105" s="64"/>
      <c r="P105" s="64"/>
      <c r="Q105" s="64"/>
      <c r="R105" s="65"/>
      <c r="S105" s="71"/>
      <c r="T105" s="71"/>
      <c r="U105" s="71"/>
      <c r="V105" s="78"/>
      <c r="W105" s="73"/>
      <c r="X105" s="74"/>
      <c r="Y105" s="94" t="str" cm="1">
        <f t="array" ref="Y105">GetPolarity(X105,AE105)</f>
        <v/>
      </c>
      <c r="Z105" s="75"/>
      <c r="AA105" s="73"/>
      <c r="AB105" s="88" t="str">
        <f t="shared" si="24"/>
        <v/>
      </c>
      <c r="AC105" s="88" t="str">
        <f t="shared" si="25"/>
        <v/>
      </c>
      <c r="AD105" s="75"/>
      <c r="AE105" s="73"/>
      <c r="AF105" s="25" t="str">
        <f t="shared" si="18"/>
        <v/>
      </c>
      <c r="AG105" s="33" t="str" cm="1">
        <f t="array" ref="AG105">FilterSpecialCharacters(X105)</f>
        <v/>
      </c>
      <c r="AH105" s="95" t="str">
        <f t="shared" si="19"/>
        <v xml:space="preserve"> </v>
      </c>
    </row>
    <row r="106" spans="1:34" x14ac:dyDescent="0.25">
      <c r="A106" s="92" t="str" cm="1">
        <f t="array" ref="A106">IfEmpty(TRIM(_xlfn.CONCAT(C106:H106)),"",CRC32HASH(_xlfn.CONCAT(C106:H106)))</f>
        <v/>
      </c>
      <c r="B106" s="11" t="str">
        <f>IFERROR(VLOOKUP(J106,Table1[],2,FALSE),"")</f>
        <v/>
      </c>
      <c r="C106" s="43" t="str" cm="1">
        <f t="array" ref="C106">W106&amp;" "&amp;IfEmpty(U106,X106)</f>
        <v xml:space="preserve"> </v>
      </c>
      <c r="D106" s="52" t="str">
        <f t="shared" si="21"/>
        <v xml:space="preserve">  </v>
      </c>
      <c r="E106" s="69" t="str">
        <f t="shared" si="20"/>
        <v/>
      </c>
      <c r="F106" s="50" t="str">
        <f t="shared" si="22"/>
        <v/>
      </c>
      <c r="G106" s="50" t="str">
        <f t="shared" si="23"/>
        <v/>
      </c>
      <c r="H106" s="44" t="str" cm="1">
        <f t="array" ref="H106:J106">IFERROR(CalcUnc(K106,L106,S106,T106,V106,X106,AD106,AE106,N106:R106,Z106,AA106),"")</f>
        <v/>
      </c>
      <c r="I106" s="61" t="str">
        <v/>
      </c>
      <c r="J106" s="110" t="str">
        <v/>
      </c>
      <c r="K106" s="67"/>
      <c r="L106" s="68"/>
      <c r="M106" s="26"/>
      <c r="N106" s="63"/>
      <c r="O106" s="64"/>
      <c r="P106" s="64"/>
      <c r="Q106" s="64"/>
      <c r="R106" s="65"/>
      <c r="S106" s="71"/>
      <c r="T106" s="71"/>
      <c r="U106" s="71"/>
      <c r="V106" s="78"/>
      <c r="W106" s="73"/>
      <c r="X106" s="74"/>
      <c r="Y106" s="94" t="str" cm="1">
        <f t="array" ref="Y106">GetPolarity(X106,AE106)</f>
        <v/>
      </c>
      <c r="Z106" s="75"/>
      <c r="AA106" s="73"/>
      <c r="AB106" s="88" t="str">
        <f t="shared" si="24"/>
        <v/>
      </c>
      <c r="AC106" s="88" t="str">
        <f t="shared" si="25"/>
        <v/>
      </c>
      <c r="AD106" s="75"/>
      <c r="AE106" s="73"/>
      <c r="AF106" s="25" t="str">
        <f t="shared" si="18"/>
        <v/>
      </c>
      <c r="AG106" s="33" t="str" cm="1">
        <f t="array" ref="AG106">FilterSpecialCharacters(X106)</f>
        <v/>
      </c>
      <c r="AH106" s="95" t="str">
        <f t="shared" si="19"/>
        <v xml:space="preserve"> </v>
      </c>
    </row>
    <row r="107" spans="1:34" x14ac:dyDescent="0.25">
      <c r="A107" s="92" t="str" cm="1">
        <f t="array" ref="A107">IfEmpty(TRIM(_xlfn.CONCAT(C107:H107)),"",CRC32HASH(_xlfn.CONCAT(C107:H107)))</f>
        <v/>
      </c>
      <c r="B107" s="48" t="str">
        <f>IFERROR(VLOOKUP(J107,Table1[],2,FALSE),"")</f>
        <v/>
      </c>
      <c r="C107" s="45" t="str" cm="1">
        <f t="array" ref="C107">W107&amp;" "&amp;IfEmpty(U107,X107)</f>
        <v xml:space="preserve"> </v>
      </c>
      <c r="D107" s="46" t="str">
        <f t="shared" si="21"/>
        <v xml:space="preserve">  </v>
      </c>
      <c r="E107" s="70" t="str">
        <f t="shared" si="20"/>
        <v/>
      </c>
      <c r="F107" s="51" t="str">
        <f t="shared" si="22"/>
        <v/>
      </c>
      <c r="G107" s="51" t="str">
        <f t="shared" si="23"/>
        <v/>
      </c>
      <c r="H107" s="47" t="str" cm="1">
        <f t="array" ref="H107:J107">IFERROR(CalcUnc(K107,L107,S107,T107,V107,X107,AD107,AE107,N107:R107,Z107,AA107),"")</f>
        <v/>
      </c>
      <c r="I107" s="61" t="str">
        <v/>
      </c>
      <c r="J107" s="110" t="str">
        <v/>
      </c>
      <c r="K107" s="67"/>
      <c r="L107" s="68"/>
      <c r="M107" s="26"/>
      <c r="N107" s="63"/>
      <c r="O107" s="64"/>
      <c r="P107" s="64"/>
      <c r="Q107" s="64"/>
      <c r="R107" s="65"/>
      <c r="S107" s="71"/>
      <c r="T107" s="71"/>
      <c r="U107" s="71"/>
      <c r="V107" s="78"/>
      <c r="W107" s="73"/>
      <c r="X107" s="74"/>
      <c r="Y107" s="94" t="str" cm="1">
        <f t="array" ref="Y107">GetPolarity(X107,AE107)</f>
        <v/>
      </c>
      <c r="Z107" s="75"/>
      <c r="AA107" s="73"/>
      <c r="AB107" s="88" t="str">
        <f t="shared" si="24"/>
        <v/>
      </c>
      <c r="AC107" s="88" t="str">
        <f t="shared" si="25"/>
        <v/>
      </c>
      <c r="AD107" s="75"/>
      <c r="AE107" s="73"/>
      <c r="AF107" s="25" t="str">
        <f t="shared" si="18"/>
        <v/>
      </c>
      <c r="AG107" s="33" t="str" cm="1">
        <f t="array" ref="AG107">FilterSpecialCharacters(X107)</f>
        <v/>
      </c>
      <c r="AH107" s="95" t="str">
        <f t="shared" si="19"/>
        <v xml:space="preserve"> </v>
      </c>
    </row>
    <row r="108" spans="1:34" x14ac:dyDescent="0.25">
      <c r="A108" s="92" t="str" cm="1">
        <f t="array" ref="A108">IfEmpty(TRIM(_xlfn.CONCAT(C108:H108)),"",CRC32HASH(_xlfn.CONCAT(C108:H108)))</f>
        <v/>
      </c>
      <c r="B108" s="11" t="str">
        <f>IFERROR(VLOOKUP(J108,Table1[],2,FALSE),"")</f>
        <v/>
      </c>
      <c r="C108" s="43" t="str" cm="1">
        <f t="array" ref="C108">W108&amp;" "&amp;IfEmpty(U108,X108)</f>
        <v xml:space="preserve"> </v>
      </c>
      <c r="D108" s="52" t="str">
        <f t="shared" si="21"/>
        <v xml:space="preserve">  </v>
      </c>
      <c r="E108" s="69" t="str">
        <f t="shared" si="20"/>
        <v/>
      </c>
      <c r="F108" s="50" t="str">
        <f t="shared" si="22"/>
        <v/>
      </c>
      <c r="G108" s="50" t="str">
        <f t="shared" si="23"/>
        <v/>
      </c>
      <c r="H108" s="44" t="str" cm="1">
        <f t="array" ref="H108:J108">IFERROR(CalcUnc(K108,L108,S108,T108,V108,X108,AD108,AE108,N108:R108,Z108,AA108),"")</f>
        <v/>
      </c>
      <c r="I108" s="61" t="str">
        <v/>
      </c>
      <c r="J108" s="110" t="str">
        <v/>
      </c>
      <c r="K108" s="67"/>
      <c r="L108" s="68"/>
      <c r="M108" s="26"/>
      <c r="N108" s="63"/>
      <c r="O108" s="64"/>
      <c r="P108" s="64"/>
      <c r="Q108" s="64"/>
      <c r="R108" s="65"/>
      <c r="S108" s="71"/>
      <c r="T108" s="71"/>
      <c r="U108" s="71"/>
      <c r="V108" s="78"/>
      <c r="W108" s="73"/>
      <c r="X108" s="74"/>
      <c r="Y108" s="94" t="str" cm="1">
        <f t="array" ref="Y108">GetPolarity(X108,AE108)</f>
        <v/>
      </c>
      <c r="Z108" s="75"/>
      <c r="AA108" s="73"/>
      <c r="AB108" s="88" t="str">
        <f t="shared" si="24"/>
        <v/>
      </c>
      <c r="AC108" s="88" t="str">
        <f t="shared" si="25"/>
        <v/>
      </c>
      <c r="AD108" s="75"/>
      <c r="AE108" s="73"/>
      <c r="AF108" s="25" t="str">
        <f t="shared" si="18"/>
        <v/>
      </c>
      <c r="AG108" s="33" t="str" cm="1">
        <f t="array" ref="AG108">FilterSpecialCharacters(X108)</f>
        <v/>
      </c>
      <c r="AH108" s="95" t="str">
        <f t="shared" si="19"/>
        <v xml:space="preserve"> </v>
      </c>
    </row>
    <row r="109" spans="1:34" x14ac:dyDescent="0.25">
      <c r="A109" s="92" t="str" cm="1">
        <f t="array" ref="A109">IfEmpty(TRIM(_xlfn.CONCAT(C109:H109)),"",CRC32HASH(_xlfn.CONCAT(C109:H109)))</f>
        <v/>
      </c>
      <c r="B109" s="48" t="str">
        <f>IFERROR(VLOOKUP(J109,Table1[],2,FALSE),"")</f>
        <v/>
      </c>
      <c r="C109" s="45" t="str" cm="1">
        <f t="array" ref="C109">W109&amp;" "&amp;IfEmpty(U109,X109)</f>
        <v xml:space="preserve"> </v>
      </c>
      <c r="D109" s="46" t="str">
        <f t="shared" si="21"/>
        <v xml:space="preserve">  </v>
      </c>
      <c r="E109" s="70" t="str">
        <f t="shared" si="20"/>
        <v/>
      </c>
      <c r="F109" s="51" t="str">
        <f t="shared" si="22"/>
        <v/>
      </c>
      <c r="G109" s="51" t="str">
        <f t="shared" si="23"/>
        <v/>
      </c>
      <c r="H109" s="47" t="str" cm="1">
        <f t="array" ref="H109:J109">IFERROR(CalcUnc(K109,L109,S109,T109,V109,X109,AD109,AE109,N109:R109,Z109,AA109),"")</f>
        <v/>
      </c>
      <c r="I109" s="61" t="str">
        <v/>
      </c>
      <c r="J109" s="110" t="str">
        <v/>
      </c>
      <c r="K109" s="67"/>
      <c r="L109" s="68"/>
      <c r="M109" s="26"/>
      <c r="N109" s="63"/>
      <c r="O109" s="64"/>
      <c r="P109" s="64"/>
      <c r="Q109" s="64"/>
      <c r="R109" s="65"/>
      <c r="S109" s="71"/>
      <c r="T109" s="71"/>
      <c r="U109" s="71"/>
      <c r="V109" s="78"/>
      <c r="W109" s="73"/>
      <c r="X109" s="74"/>
      <c r="Y109" s="94" t="str" cm="1">
        <f t="array" ref="Y109">GetPolarity(X109,AE109)</f>
        <v/>
      </c>
      <c r="Z109" s="75"/>
      <c r="AA109" s="73"/>
      <c r="AB109" s="88" t="str">
        <f t="shared" si="24"/>
        <v/>
      </c>
      <c r="AC109" s="88" t="str">
        <f t="shared" si="25"/>
        <v/>
      </c>
      <c r="AD109" s="75"/>
      <c r="AE109" s="73"/>
      <c r="AF109" s="25" t="str">
        <f t="shared" si="18"/>
        <v/>
      </c>
      <c r="AG109" s="33" t="str" cm="1">
        <f t="array" ref="AG109">FilterSpecialCharacters(X109)</f>
        <v/>
      </c>
      <c r="AH109" s="95" t="str">
        <f t="shared" si="19"/>
        <v xml:space="preserve"> </v>
      </c>
    </row>
    <row r="110" spans="1:34" x14ac:dyDescent="0.25">
      <c r="A110" s="92" t="str" cm="1">
        <f t="array" ref="A110">IfEmpty(TRIM(_xlfn.CONCAT(C110:H110)),"",CRC32HASH(_xlfn.CONCAT(C110:H110)))</f>
        <v/>
      </c>
      <c r="B110" s="11" t="str">
        <f>IFERROR(VLOOKUP(J110,Table1[],2,FALSE),"")</f>
        <v/>
      </c>
      <c r="C110" s="43" t="str" cm="1">
        <f t="array" ref="C110">W110&amp;" "&amp;IfEmpty(U110,X110)</f>
        <v xml:space="preserve"> </v>
      </c>
      <c r="D110" s="52" t="str">
        <f t="shared" si="21"/>
        <v xml:space="preserve">  </v>
      </c>
      <c r="E110" s="69" t="str">
        <f t="shared" si="20"/>
        <v/>
      </c>
      <c r="F110" s="50" t="str">
        <f t="shared" si="22"/>
        <v/>
      </c>
      <c r="G110" s="50" t="str">
        <f t="shared" si="23"/>
        <v/>
      </c>
      <c r="H110" s="44" t="str" cm="1">
        <f t="array" ref="H110:J110">IFERROR(CalcUnc(K110,L110,S110,T110,V110,X110,AD110,AE110,N110:R110,Z110,AA110),"")</f>
        <v/>
      </c>
      <c r="I110" s="61" t="str">
        <v/>
      </c>
      <c r="J110" s="110" t="str">
        <v/>
      </c>
      <c r="K110" s="67"/>
      <c r="L110" s="68"/>
      <c r="M110" s="83"/>
      <c r="N110" s="84"/>
      <c r="O110" s="85"/>
      <c r="P110" s="85"/>
      <c r="Q110" s="85"/>
      <c r="R110" s="86"/>
      <c r="S110" s="71"/>
      <c r="T110" s="71"/>
      <c r="U110" s="71"/>
      <c r="V110" s="78"/>
      <c r="W110" s="73"/>
      <c r="X110" s="74"/>
      <c r="Y110" s="94" t="str" cm="1">
        <f t="array" ref="Y110">GetPolarity(X110,AE110)</f>
        <v/>
      </c>
      <c r="Z110" s="75"/>
      <c r="AA110" s="73"/>
      <c r="AB110" s="88" t="str">
        <f t="shared" si="24"/>
        <v/>
      </c>
      <c r="AC110" s="88" t="str">
        <f t="shared" si="25"/>
        <v/>
      </c>
      <c r="AD110" s="75"/>
      <c r="AE110" s="73"/>
      <c r="AF110" s="25" t="str">
        <f t="shared" si="18"/>
        <v/>
      </c>
      <c r="AG110" s="33" t="str" cm="1">
        <f t="array" ref="AG110">FilterSpecialCharacters(X110)</f>
        <v/>
      </c>
      <c r="AH110" s="95" t="str">
        <f t="shared" si="19"/>
        <v xml:space="preserve"> </v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10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CCFC-B60F-48F9-825C-1C09B6BB5B8C}">
  <sheetPr codeName="Sheet7"/>
  <dimension ref="A1:H43"/>
  <sheetViews>
    <sheetView workbookViewId="0">
      <selection sqref="A1:H43"/>
    </sheetView>
  </sheetViews>
  <sheetFormatPr defaultRowHeight="15" x14ac:dyDescent="0.25"/>
  <sheetData>
    <row r="1" spans="1:8" x14ac:dyDescent="0.25">
      <c r="A1" s="137" t="s">
        <v>0</v>
      </c>
      <c r="B1" s="137" t="s">
        <v>29</v>
      </c>
      <c r="C1" s="137" t="s">
        <v>149</v>
      </c>
      <c r="D1" s="137" t="s">
        <v>150</v>
      </c>
      <c r="E1" s="137" t="s">
        <v>151</v>
      </c>
      <c r="F1" s="137" t="s">
        <v>168</v>
      </c>
      <c r="G1" s="137" t="s">
        <v>169</v>
      </c>
      <c r="H1" s="137" t="s">
        <v>1960</v>
      </c>
    </row>
    <row r="2" spans="1:8" x14ac:dyDescent="0.25">
      <c r="A2" s="137" t="s">
        <v>3</v>
      </c>
      <c r="B2" s="137" t="s">
        <v>102</v>
      </c>
      <c r="C2" s="137"/>
      <c r="D2" s="137"/>
      <c r="E2" s="137"/>
      <c r="F2" s="137" t="s">
        <v>6</v>
      </c>
      <c r="G2" s="137"/>
      <c r="H2" s="137" t="s">
        <v>2838</v>
      </c>
    </row>
    <row r="3" spans="1:8" x14ac:dyDescent="0.25">
      <c r="A3" s="137" t="s">
        <v>43</v>
      </c>
      <c r="B3" s="137" t="s">
        <v>104</v>
      </c>
      <c r="C3" s="137"/>
      <c r="D3" s="137"/>
      <c r="E3" s="137"/>
      <c r="F3" s="137" t="s">
        <v>13</v>
      </c>
      <c r="G3" s="137"/>
      <c r="H3" s="137" t="s">
        <v>2838</v>
      </c>
    </row>
    <row r="4" spans="1:8" x14ac:dyDescent="0.25">
      <c r="A4" s="137" t="s">
        <v>55</v>
      </c>
      <c r="B4" s="137" t="s">
        <v>104</v>
      </c>
      <c r="C4" s="137"/>
      <c r="D4" s="137" t="s">
        <v>152</v>
      </c>
      <c r="E4" s="137"/>
      <c r="F4" s="137" t="s">
        <v>13</v>
      </c>
      <c r="G4" s="137"/>
      <c r="H4" s="137" t="s">
        <v>2838</v>
      </c>
    </row>
    <row r="5" spans="1:8" x14ac:dyDescent="0.25">
      <c r="A5" s="137" t="s">
        <v>56</v>
      </c>
      <c r="B5" s="137" t="s">
        <v>104</v>
      </c>
      <c r="C5" s="137"/>
      <c r="D5" s="137" t="s">
        <v>153</v>
      </c>
      <c r="E5" s="137"/>
      <c r="F5" s="137" t="s">
        <v>13</v>
      </c>
      <c r="G5" s="137"/>
      <c r="H5" s="137" t="s">
        <v>2838</v>
      </c>
    </row>
    <row r="6" spans="1:8" x14ac:dyDescent="0.25">
      <c r="A6" s="137" t="s">
        <v>57</v>
      </c>
      <c r="B6" s="137" t="s">
        <v>104</v>
      </c>
      <c r="C6" s="137"/>
      <c r="D6" s="137" t="s">
        <v>154</v>
      </c>
      <c r="E6" s="137"/>
      <c r="F6" s="137" t="s">
        <v>13</v>
      </c>
      <c r="G6" s="137"/>
      <c r="H6" s="137" t="s">
        <v>2838</v>
      </c>
    </row>
    <row r="7" spans="1:8" x14ac:dyDescent="0.25">
      <c r="A7" s="137" t="s">
        <v>7</v>
      </c>
      <c r="B7" s="137" t="s">
        <v>7</v>
      </c>
      <c r="C7" s="137"/>
      <c r="D7" s="137"/>
      <c r="E7" s="137"/>
      <c r="F7" s="137" t="s">
        <v>99</v>
      </c>
      <c r="G7" s="137"/>
      <c r="H7" s="137" t="s">
        <v>1962</v>
      </c>
    </row>
    <row r="8" spans="1:8" x14ac:dyDescent="0.25">
      <c r="A8" s="137" t="s">
        <v>8</v>
      </c>
      <c r="B8" s="137" t="s">
        <v>101</v>
      </c>
      <c r="C8" s="137"/>
      <c r="D8" s="137"/>
      <c r="E8" s="137"/>
      <c r="F8" s="137" t="s">
        <v>6</v>
      </c>
      <c r="G8" s="137" t="s">
        <v>10</v>
      </c>
      <c r="H8" s="137" t="s">
        <v>2839</v>
      </c>
    </row>
    <row r="9" spans="1:8" x14ac:dyDescent="0.25">
      <c r="A9" s="137" t="s">
        <v>17</v>
      </c>
      <c r="B9" s="137" t="s">
        <v>17</v>
      </c>
      <c r="C9" s="137"/>
      <c r="D9" s="137"/>
      <c r="E9" s="137"/>
      <c r="F9" s="137" t="s">
        <v>9</v>
      </c>
      <c r="G9" s="137"/>
      <c r="H9" s="137" t="s">
        <v>1962</v>
      </c>
    </row>
    <row r="10" spans="1:8" x14ac:dyDescent="0.25">
      <c r="A10" s="137" t="s">
        <v>44</v>
      </c>
      <c r="B10" s="137" t="s">
        <v>103</v>
      </c>
      <c r="C10" s="137"/>
      <c r="D10" s="137"/>
      <c r="E10" s="137"/>
      <c r="F10" s="137" t="s">
        <v>13</v>
      </c>
      <c r="G10" s="137" t="s">
        <v>10</v>
      </c>
      <c r="H10" s="137" t="s">
        <v>2839</v>
      </c>
    </row>
    <row r="11" spans="1:8" x14ac:dyDescent="0.25">
      <c r="A11" s="137" t="s">
        <v>58</v>
      </c>
      <c r="B11" s="137" t="s">
        <v>103</v>
      </c>
      <c r="C11" s="137"/>
      <c r="D11" s="137" t="s">
        <v>152</v>
      </c>
      <c r="E11" s="137"/>
      <c r="F11" s="137" t="s">
        <v>13</v>
      </c>
      <c r="G11" s="137" t="s">
        <v>10</v>
      </c>
      <c r="H11" s="137" t="s">
        <v>2839</v>
      </c>
    </row>
    <row r="12" spans="1:8" x14ac:dyDescent="0.25">
      <c r="A12" s="137" t="s">
        <v>59</v>
      </c>
      <c r="B12" s="137" t="s">
        <v>103</v>
      </c>
      <c r="C12" s="137"/>
      <c r="D12" s="137" t="s">
        <v>153</v>
      </c>
      <c r="E12" s="137"/>
      <c r="F12" s="137" t="s">
        <v>13</v>
      </c>
      <c r="G12" s="137" t="s">
        <v>10</v>
      </c>
      <c r="H12" s="137" t="s">
        <v>2839</v>
      </c>
    </row>
    <row r="13" spans="1:8" x14ac:dyDescent="0.25">
      <c r="A13" s="137" t="s">
        <v>60</v>
      </c>
      <c r="B13" s="137" t="s">
        <v>103</v>
      </c>
      <c r="C13" s="137"/>
      <c r="D13" s="137" t="s">
        <v>154</v>
      </c>
      <c r="E13" s="137"/>
      <c r="F13" s="137" t="s">
        <v>13</v>
      </c>
      <c r="G13" s="137" t="s">
        <v>10</v>
      </c>
      <c r="H13" s="137" t="s">
        <v>2839</v>
      </c>
    </row>
    <row r="14" spans="1:8" x14ac:dyDescent="0.25">
      <c r="A14" s="137" t="s">
        <v>14</v>
      </c>
      <c r="B14" s="137" t="s">
        <v>14</v>
      </c>
      <c r="C14" s="137"/>
      <c r="D14" s="137"/>
      <c r="E14" s="137"/>
      <c r="F14" s="137" t="s">
        <v>135</v>
      </c>
      <c r="G14" s="137"/>
      <c r="H14" s="137" t="s">
        <v>1962</v>
      </c>
    </row>
    <row r="15" spans="1:8" x14ac:dyDescent="0.25">
      <c r="A15" s="137" t="s">
        <v>88</v>
      </c>
      <c r="B15" s="137" t="s">
        <v>105</v>
      </c>
      <c r="C15" s="137"/>
      <c r="D15" s="137"/>
      <c r="E15" s="137" t="s">
        <v>155</v>
      </c>
      <c r="F15" s="137" t="s">
        <v>23</v>
      </c>
      <c r="G15" s="137"/>
      <c r="H15" s="137" t="s">
        <v>1962</v>
      </c>
    </row>
    <row r="16" spans="1:8" x14ac:dyDescent="0.25">
      <c r="A16" s="137" t="s">
        <v>87</v>
      </c>
      <c r="B16" s="137" t="s">
        <v>105</v>
      </c>
      <c r="C16" s="137"/>
      <c r="D16" s="137"/>
      <c r="E16" s="137" t="s">
        <v>156</v>
      </c>
      <c r="F16" s="137" t="s">
        <v>23</v>
      </c>
      <c r="G16" s="137"/>
      <c r="H16" s="137" t="s">
        <v>1962</v>
      </c>
    </row>
    <row r="17" spans="1:8" x14ac:dyDescent="0.25">
      <c r="A17" s="137" t="s">
        <v>86</v>
      </c>
      <c r="B17" s="137" t="s">
        <v>105</v>
      </c>
      <c r="C17" s="137"/>
      <c r="D17" s="137"/>
      <c r="E17" s="137" t="s">
        <v>106</v>
      </c>
      <c r="F17" s="137" t="s">
        <v>23</v>
      </c>
      <c r="G17" s="137"/>
      <c r="H17" s="137" t="s">
        <v>1962</v>
      </c>
    </row>
    <row r="18" spans="1:8" x14ac:dyDescent="0.25">
      <c r="A18" s="137" t="s">
        <v>89</v>
      </c>
      <c r="B18" s="137" t="s">
        <v>105</v>
      </c>
      <c r="C18" s="137"/>
      <c r="D18" s="137"/>
      <c r="E18" s="137" t="s">
        <v>157</v>
      </c>
      <c r="F18" s="137" t="s">
        <v>23</v>
      </c>
      <c r="G18" s="137"/>
      <c r="H18" s="137" t="s">
        <v>1962</v>
      </c>
    </row>
    <row r="19" spans="1:8" x14ac:dyDescent="0.25">
      <c r="A19" s="137" t="s">
        <v>90</v>
      </c>
      <c r="B19" s="137" t="s">
        <v>105</v>
      </c>
      <c r="C19" s="137"/>
      <c r="D19" s="137"/>
      <c r="E19" s="137" t="s">
        <v>158</v>
      </c>
      <c r="F19" s="137" t="s">
        <v>23</v>
      </c>
      <c r="G19" s="137"/>
      <c r="H19" s="137" t="s">
        <v>1962</v>
      </c>
    </row>
    <row r="20" spans="1:8" x14ac:dyDescent="0.25">
      <c r="A20" s="137" t="s">
        <v>91</v>
      </c>
      <c r="B20" s="137" t="s">
        <v>105</v>
      </c>
      <c r="C20" s="137"/>
      <c r="D20" s="137"/>
      <c r="E20" s="137" t="s">
        <v>159</v>
      </c>
      <c r="F20" s="137" t="s">
        <v>23</v>
      </c>
      <c r="G20" s="137"/>
      <c r="H20" s="137" t="s">
        <v>1962</v>
      </c>
    </row>
    <row r="21" spans="1:8" x14ac:dyDescent="0.25">
      <c r="A21" s="137" t="s">
        <v>92</v>
      </c>
      <c r="B21" s="137" t="s">
        <v>105</v>
      </c>
      <c r="C21" s="137"/>
      <c r="D21" s="137"/>
      <c r="E21" s="137" t="s">
        <v>160</v>
      </c>
      <c r="F21" s="137" t="s">
        <v>23</v>
      </c>
      <c r="G21" s="137"/>
      <c r="H21" s="137" t="s">
        <v>1962</v>
      </c>
    </row>
    <row r="22" spans="1:8" x14ac:dyDescent="0.25">
      <c r="A22" s="137" t="s">
        <v>93</v>
      </c>
      <c r="B22" s="137" t="s">
        <v>105</v>
      </c>
      <c r="C22" s="137"/>
      <c r="D22" s="137"/>
      <c r="E22" s="137" t="s">
        <v>161</v>
      </c>
      <c r="F22" s="137" t="s">
        <v>23</v>
      </c>
      <c r="G22" s="137"/>
      <c r="H22" s="137" t="s">
        <v>1962</v>
      </c>
    </row>
    <row r="23" spans="1:8" x14ac:dyDescent="0.25">
      <c r="A23" s="137" t="s">
        <v>94</v>
      </c>
      <c r="B23" s="137" t="s">
        <v>105</v>
      </c>
      <c r="C23" s="137"/>
      <c r="D23" s="137"/>
      <c r="E23" s="137" t="s">
        <v>162</v>
      </c>
      <c r="F23" s="137" t="s">
        <v>23</v>
      </c>
      <c r="G23" s="137"/>
      <c r="H23" s="137" t="s">
        <v>1962</v>
      </c>
    </row>
    <row r="24" spans="1:8" x14ac:dyDescent="0.25">
      <c r="A24" s="137" t="s">
        <v>77</v>
      </c>
      <c r="B24" s="137" t="s">
        <v>105</v>
      </c>
      <c r="C24" s="137"/>
      <c r="D24" s="137"/>
      <c r="E24" s="137" t="s">
        <v>155</v>
      </c>
      <c r="F24" s="137" t="s">
        <v>26</v>
      </c>
      <c r="G24" s="137"/>
      <c r="H24" s="137" t="s">
        <v>1962</v>
      </c>
    </row>
    <row r="25" spans="1:8" x14ac:dyDescent="0.25">
      <c r="A25" s="137" t="s">
        <v>78</v>
      </c>
      <c r="B25" s="137" t="s">
        <v>105</v>
      </c>
      <c r="C25" s="137"/>
      <c r="D25" s="137"/>
      <c r="E25" s="137" t="s">
        <v>156</v>
      </c>
      <c r="F25" s="137" t="s">
        <v>26</v>
      </c>
      <c r="G25" s="137"/>
      <c r="H25" s="137" t="s">
        <v>1962</v>
      </c>
    </row>
    <row r="26" spans="1:8" x14ac:dyDescent="0.25">
      <c r="A26" s="137" t="s">
        <v>79</v>
      </c>
      <c r="B26" s="137" t="s">
        <v>105</v>
      </c>
      <c r="C26" s="137"/>
      <c r="D26" s="137"/>
      <c r="E26" s="137" t="s">
        <v>106</v>
      </c>
      <c r="F26" s="137" t="s">
        <v>26</v>
      </c>
      <c r="G26" s="137"/>
      <c r="H26" s="137" t="s">
        <v>1962</v>
      </c>
    </row>
    <row r="27" spans="1:8" x14ac:dyDescent="0.25">
      <c r="A27" s="137" t="s">
        <v>80</v>
      </c>
      <c r="B27" s="137" t="s">
        <v>105</v>
      </c>
      <c r="C27" s="137"/>
      <c r="D27" s="137"/>
      <c r="E27" s="137" t="s">
        <v>157</v>
      </c>
      <c r="F27" s="137" t="s">
        <v>26</v>
      </c>
      <c r="G27" s="137"/>
      <c r="H27" s="137" t="s">
        <v>1962</v>
      </c>
    </row>
    <row r="28" spans="1:8" x14ac:dyDescent="0.25">
      <c r="A28" s="137" t="s">
        <v>81</v>
      </c>
      <c r="B28" s="137" t="s">
        <v>105</v>
      </c>
      <c r="C28" s="137"/>
      <c r="D28" s="137"/>
      <c r="E28" s="137" t="s">
        <v>158</v>
      </c>
      <c r="F28" s="137" t="s">
        <v>26</v>
      </c>
      <c r="G28" s="137"/>
      <c r="H28" s="137" t="s">
        <v>1962</v>
      </c>
    </row>
    <row r="29" spans="1:8" x14ac:dyDescent="0.25">
      <c r="A29" s="137" t="s">
        <v>82</v>
      </c>
      <c r="B29" s="137" t="s">
        <v>105</v>
      </c>
      <c r="C29" s="137"/>
      <c r="D29" s="137"/>
      <c r="E29" s="137" t="s">
        <v>159</v>
      </c>
      <c r="F29" s="137" t="s">
        <v>26</v>
      </c>
      <c r="G29" s="137"/>
      <c r="H29" s="137" t="s">
        <v>1962</v>
      </c>
    </row>
    <row r="30" spans="1:8" x14ac:dyDescent="0.25">
      <c r="A30" s="137" t="s">
        <v>83</v>
      </c>
      <c r="B30" s="137" t="s">
        <v>105</v>
      </c>
      <c r="C30" s="137"/>
      <c r="D30" s="137"/>
      <c r="E30" s="137" t="s">
        <v>160</v>
      </c>
      <c r="F30" s="137" t="s">
        <v>26</v>
      </c>
      <c r="G30" s="137"/>
      <c r="H30" s="137" t="s">
        <v>1962</v>
      </c>
    </row>
    <row r="31" spans="1:8" x14ac:dyDescent="0.25">
      <c r="A31" s="137" t="s">
        <v>84</v>
      </c>
      <c r="B31" s="137" t="s">
        <v>105</v>
      </c>
      <c r="C31" s="137"/>
      <c r="D31" s="137"/>
      <c r="E31" s="137" t="s">
        <v>161</v>
      </c>
      <c r="F31" s="137" t="s">
        <v>26</v>
      </c>
      <c r="G31" s="137"/>
      <c r="H31" s="137" t="s">
        <v>1962</v>
      </c>
    </row>
    <row r="32" spans="1:8" x14ac:dyDescent="0.25">
      <c r="A32" s="137" t="s">
        <v>85</v>
      </c>
      <c r="B32" s="137" t="s">
        <v>105</v>
      </c>
      <c r="C32" s="137"/>
      <c r="D32" s="137"/>
      <c r="E32" s="137" t="s">
        <v>162</v>
      </c>
      <c r="F32" s="137" t="s">
        <v>26</v>
      </c>
      <c r="G32" s="137"/>
      <c r="H32" s="137" t="s">
        <v>1962</v>
      </c>
    </row>
    <row r="33" spans="1:8" x14ac:dyDescent="0.25">
      <c r="A33" s="137" t="s">
        <v>95</v>
      </c>
      <c r="B33" s="137" t="s">
        <v>2659</v>
      </c>
      <c r="C33" s="137"/>
      <c r="D33" s="137"/>
      <c r="E33" s="137"/>
      <c r="F33" s="137" t="s">
        <v>147</v>
      </c>
      <c r="G33" s="137"/>
      <c r="H33" s="137" t="s">
        <v>2838</v>
      </c>
    </row>
    <row r="34" spans="1:8" x14ac:dyDescent="0.25">
      <c r="A34" s="137" t="s">
        <v>96</v>
      </c>
      <c r="B34" s="137" t="s">
        <v>2660</v>
      </c>
      <c r="C34" s="137"/>
      <c r="D34" s="137"/>
      <c r="E34" s="137"/>
      <c r="F34" s="137" t="s">
        <v>97</v>
      </c>
      <c r="G34" s="137"/>
      <c r="H34" s="137" t="s">
        <v>2839</v>
      </c>
    </row>
    <row r="35" spans="1:8" x14ac:dyDescent="0.25">
      <c r="A35" s="137" t="s">
        <v>66</v>
      </c>
      <c r="B35" s="137" t="s">
        <v>2662</v>
      </c>
      <c r="C35" s="137" t="s">
        <v>163</v>
      </c>
      <c r="D35" s="137"/>
      <c r="E35" s="137"/>
      <c r="F35" s="137" t="s">
        <v>6</v>
      </c>
      <c r="G35" s="137"/>
      <c r="H35" s="137" t="s">
        <v>2838</v>
      </c>
    </row>
    <row r="36" spans="1:8" x14ac:dyDescent="0.25">
      <c r="A36" s="137" t="s">
        <v>69</v>
      </c>
      <c r="B36" s="137" t="s">
        <v>148</v>
      </c>
      <c r="C36" s="137" t="s">
        <v>148</v>
      </c>
      <c r="D36" s="137"/>
      <c r="E36" s="137"/>
      <c r="F36" s="137" t="s">
        <v>6</v>
      </c>
      <c r="G36" s="137"/>
      <c r="H36" s="137" t="s">
        <v>2838</v>
      </c>
    </row>
    <row r="37" spans="1:8" x14ac:dyDescent="0.25">
      <c r="A37" s="137" t="s">
        <v>70</v>
      </c>
      <c r="B37" s="137" t="s">
        <v>2661</v>
      </c>
      <c r="C37" s="137" t="s">
        <v>148</v>
      </c>
      <c r="D37" s="137"/>
      <c r="E37" s="137"/>
      <c r="F37" s="137" t="s">
        <v>99</v>
      </c>
      <c r="G37" s="137"/>
      <c r="H37" s="137" t="s">
        <v>1962</v>
      </c>
    </row>
    <row r="38" spans="1:8" x14ac:dyDescent="0.25">
      <c r="A38" s="137" t="s">
        <v>71</v>
      </c>
      <c r="B38" s="137" t="s">
        <v>2663</v>
      </c>
      <c r="C38" s="137" t="s">
        <v>164</v>
      </c>
      <c r="D38" s="137"/>
      <c r="E38" s="137" t="s">
        <v>156</v>
      </c>
      <c r="F38" s="137"/>
      <c r="G38" s="137"/>
      <c r="H38" s="137" t="s">
        <v>1962</v>
      </c>
    </row>
    <row r="39" spans="1:8" x14ac:dyDescent="0.25">
      <c r="A39" s="137" t="s">
        <v>72</v>
      </c>
      <c r="B39" s="137" t="s">
        <v>2663</v>
      </c>
      <c r="C39" s="137" t="s">
        <v>164</v>
      </c>
      <c r="D39" s="137"/>
      <c r="E39" s="137" t="s">
        <v>106</v>
      </c>
      <c r="F39" s="137"/>
      <c r="G39" s="137"/>
      <c r="H39" s="137" t="s">
        <v>1962</v>
      </c>
    </row>
    <row r="40" spans="1:8" x14ac:dyDescent="0.25">
      <c r="A40" s="137" t="s">
        <v>73</v>
      </c>
      <c r="B40" s="137" t="s">
        <v>2663</v>
      </c>
      <c r="C40" s="137" t="s">
        <v>164</v>
      </c>
      <c r="D40" s="137"/>
      <c r="E40" s="137" t="s">
        <v>157</v>
      </c>
      <c r="F40" s="137"/>
      <c r="G40" s="137"/>
      <c r="H40" s="137" t="s">
        <v>1962</v>
      </c>
    </row>
    <row r="41" spans="1:8" x14ac:dyDescent="0.25">
      <c r="A41" s="137" t="s">
        <v>74</v>
      </c>
      <c r="B41" s="137" t="s">
        <v>2663</v>
      </c>
      <c r="C41" s="137" t="s">
        <v>164</v>
      </c>
      <c r="D41" s="137"/>
      <c r="E41" s="137" t="s">
        <v>158</v>
      </c>
      <c r="F41" s="137"/>
      <c r="G41" s="137"/>
      <c r="H41" s="137" t="s">
        <v>1962</v>
      </c>
    </row>
    <row r="42" spans="1:8" x14ac:dyDescent="0.25">
      <c r="A42" s="137" t="s">
        <v>75</v>
      </c>
      <c r="B42" s="137" t="s">
        <v>2663</v>
      </c>
      <c r="C42" s="137" t="s">
        <v>164</v>
      </c>
      <c r="D42" s="137"/>
      <c r="E42" s="137" t="s">
        <v>159</v>
      </c>
      <c r="F42" s="137"/>
      <c r="G42" s="137"/>
      <c r="H42" s="137" t="s">
        <v>1962</v>
      </c>
    </row>
    <row r="43" spans="1:8" x14ac:dyDescent="0.25">
      <c r="A43" s="137" t="s">
        <v>76</v>
      </c>
      <c r="B43" s="137" t="s">
        <v>2663</v>
      </c>
      <c r="C43" s="137" t="s">
        <v>164</v>
      </c>
      <c r="D43" s="137"/>
      <c r="E43" s="137" t="s">
        <v>160</v>
      </c>
      <c r="F43" s="137"/>
      <c r="G43" s="137"/>
      <c r="H43" s="137" t="s">
        <v>1962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workbookViewId="0">
      <selection activeCell="H20" sqref="H20"/>
    </sheetView>
  </sheetViews>
  <sheetFormatPr defaultRowHeight="15" x14ac:dyDescent="0.25"/>
  <sheetData>
    <row r="1" spans="1:6" x14ac:dyDescent="0.25">
      <c r="A1" t="s">
        <v>167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166</v>
      </c>
      <c r="B2">
        <f ca="1">$A2*(RAND()+99.5)/100</f>
        <v>67.233027696026525</v>
      </c>
      <c r="C2">
        <f t="shared" ref="C2:F16" ca="1" si="0">$A2*(RAND()+99.5)/100</f>
        <v>66.769566507555581</v>
      </c>
      <c r="D2">
        <f t="shared" ca="1" si="0"/>
        <v>67.187183256181029</v>
      </c>
      <c r="E2">
        <f t="shared" ca="1" si="0"/>
        <v>67.151699395511471</v>
      </c>
      <c r="F2">
        <f t="shared" ca="1" si="0"/>
        <v>66.951963450572862</v>
      </c>
    </row>
    <row r="3" spans="1:6" x14ac:dyDescent="0.25">
      <c r="A3" t="s">
        <v>108</v>
      </c>
      <c r="B3">
        <f t="shared" ref="B3:B16" ca="1" si="1">$A3*(RAND()+99.5)/100</f>
        <v>5.0018535551995411</v>
      </c>
      <c r="C3">
        <f t="shared" ca="1" si="0"/>
        <v>5.0196037745935111</v>
      </c>
      <c r="D3">
        <f t="shared" ca="1" si="0"/>
        <v>4.9740840602777521</v>
      </c>
      <c r="E3">
        <f t="shared" ca="1" si="0"/>
        <v>4.9738923037558935</v>
      </c>
      <c r="F3">
        <f t="shared" ca="1" si="0"/>
        <v>4.9885381228655552</v>
      </c>
    </row>
    <row r="4" spans="1:6" x14ac:dyDescent="0.25">
      <c r="A4" t="s">
        <v>109</v>
      </c>
      <c r="B4">
        <f t="shared" ca="1" si="1"/>
        <v>4.9436785080187233</v>
      </c>
      <c r="C4">
        <f t="shared" ca="1" si="0"/>
        <v>4.9513059959075481</v>
      </c>
      <c r="D4">
        <f t="shared" ca="1" si="0"/>
        <v>4.9349321599350251</v>
      </c>
      <c r="E4">
        <f t="shared" ca="1" si="0"/>
        <v>4.951290580276952</v>
      </c>
      <c r="F4">
        <f t="shared" ca="1" si="0"/>
        <v>4.9617087616284898</v>
      </c>
    </row>
    <row r="5" spans="1:6" x14ac:dyDescent="0.25">
      <c r="A5" t="s">
        <v>110</v>
      </c>
      <c r="B5">
        <f t="shared" ca="1" si="1"/>
        <v>49.904798249584999</v>
      </c>
      <c r="C5">
        <f t="shared" ca="1" si="0"/>
        <v>49.988077745017229</v>
      </c>
      <c r="D5">
        <f t="shared" ca="1" si="0"/>
        <v>49.901707978175494</v>
      </c>
      <c r="E5">
        <f t="shared" ca="1" si="0"/>
        <v>50.029944517958413</v>
      </c>
      <c r="F5">
        <f t="shared" ca="1" si="0"/>
        <v>49.953003880443248</v>
      </c>
    </row>
    <row r="6" spans="1:6" x14ac:dyDescent="0.25">
      <c r="A6" t="s">
        <v>111</v>
      </c>
      <c r="B6">
        <f t="shared" ca="1" si="1"/>
        <v>50.27029348761392</v>
      </c>
      <c r="C6">
        <f t="shared" ca="1" si="0"/>
        <v>50.339832555516956</v>
      </c>
      <c r="D6">
        <f t="shared" ca="1" si="0"/>
        <v>50.059601184286045</v>
      </c>
      <c r="E6">
        <f t="shared" ca="1" si="0"/>
        <v>49.915870821736924</v>
      </c>
      <c r="F6">
        <f t="shared" ca="1" si="0"/>
        <v>50.110701491307076</v>
      </c>
    </row>
    <row r="7" spans="1:6" x14ac:dyDescent="0.25">
      <c r="A7" t="s">
        <v>107</v>
      </c>
      <c r="B7">
        <f t="shared" ca="1" si="1"/>
        <v>301.48546181981465</v>
      </c>
      <c r="C7">
        <f t="shared" ca="1" si="0"/>
        <v>298.99801141778295</v>
      </c>
      <c r="D7">
        <f t="shared" ca="1" si="0"/>
        <v>299.45674252359885</v>
      </c>
      <c r="E7">
        <f t="shared" ca="1" si="0"/>
        <v>300.98321765232043</v>
      </c>
      <c r="F7">
        <f t="shared" ca="1" si="0"/>
        <v>301.40163986913632</v>
      </c>
    </row>
    <row r="8" spans="1:6" x14ac:dyDescent="0.25">
      <c r="A8" t="s">
        <v>112</v>
      </c>
      <c r="B8">
        <f t="shared" ca="1" si="1"/>
        <v>500.69796581414283</v>
      </c>
      <c r="C8">
        <f t="shared" ca="1" si="0"/>
        <v>498.82177864606763</v>
      </c>
      <c r="D8">
        <f t="shared" ca="1" si="0"/>
        <v>501.35629386303094</v>
      </c>
      <c r="E8">
        <f t="shared" ca="1" si="0"/>
        <v>502.49309658904343</v>
      </c>
      <c r="F8">
        <f t="shared" ca="1" si="0"/>
        <v>501.696184081936</v>
      </c>
    </row>
    <row r="9" spans="1:6" x14ac:dyDescent="0.25">
      <c r="A9" t="s">
        <v>112</v>
      </c>
      <c r="B9">
        <f t="shared" ca="1" si="1"/>
        <v>499.39423110839033</v>
      </c>
      <c r="C9">
        <f t="shared" ca="1" si="0"/>
        <v>502.3601132493493</v>
      </c>
      <c r="D9">
        <f t="shared" ca="1" si="0"/>
        <v>500.53741897386834</v>
      </c>
      <c r="E9">
        <f t="shared" ca="1" si="0"/>
        <v>501.51523295049481</v>
      </c>
      <c r="F9">
        <f t="shared" ca="1" si="0"/>
        <v>501.71887569208877</v>
      </c>
    </row>
    <row r="10" spans="1:6" x14ac:dyDescent="0.25">
      <c r="A10" t="s">
        <v>113</v>
      </c>
      <c r="B10">
        <f t="shared" ca="1" si="1"/>
        <v>1002.793653739824</v>
      </c>
      <c r="C10">
        <f t="shared" ca="1" si="0"/>
        <v>1001.8915238504981</v>
      </c>
      <c r="D10">
        <f t="shared" ca="1" si="0"/>
        <v>1001.909547261109</v>
      </c>
      <c r="E10">
        <f t="shared" ca="1" si="0"/>
        <v>999.00751746953767</v>
      </c>
      <c r="F10">
        <f t="shared" ca="1" si="0"/>
        <v>1004.6517799676188</v>
      </c>
    </row>
    <row r="13" spans="1:6" x14ac:dyDescent="0.25">
      <c r="A13" t="s">
        <v>114</v>
      </c>
      <c r="B13">
        <f t="shared" ca="1" si="1"/>
        <v>4.9967450941235629</v>
      </c>
      <c r="C13">
        <f t="shared" ca="1" si="0"/>
        <v>5.0044224763857459</v>
      </c>
      <c r="D13">
        <f t="shared" ca="1" si="0"/>
        <v>5.0038630877870443</v>
      </c>
      <c r="E13">
        <f t="shared" ca="1" si="0"/>
        <v>4.987315970432685</v>
      </c>
      <c r="F13">
        <f t="shared" ca="1" si="0"/>
        <v>4.9983948576996013</v>
      </c>
    </row>
    <row r="14" spans="1:6" x14ac:dyDescent="0.25">
      <c r="A14" t="s">
        <v>115</v>
      </c>
      <c r="B14">
        <f t="shared" ca="1" si="1"/>
        <v>300.00353183367429</v>
      </c>
      <c r="C14">
        <f t="shared" ca="1" si="0"/>
        <v>301.0401544847515</v>
      </c>
      <c r="D14">
        <f t="shared" ca="1" si="0"/>
        <v>299.10668459223149</v>
      </c>
      <c r="E14">
        <f t="shared" ca="1" si="0"/>
        <v>300.65187834323001</v>
      </c>
      <c r="F14">
        <f t="shared" ca="1" si="0"/>
        <v>298.67372211448782</v>
      </c>
    </row>
    <row r="15" spans="1:6" x14ac:dyDescent="0.25">
      <c r="A15" t="s">
        <v>116</v>
      </c>
      <c r="B15">
        <f t="shared" ca="1" si="1"/>
        <v>999.99562822553344</v>
      </c>
      <c r="C15">
        <f t="shared" ca="1" si="0"/>
        <v>1001.7661066494447</v>
      </c>
      <c r="D15">
        <f t="shared" ca="1" si="0"/>
        <v>996.00838112394081</v>
      </c>
      <c r="E15">
        <f t="shared" ca="1" si="0"/>
        <v>1000.122368669342</v>
      </c>
      <c r="F15">
        <f t="shared" ca="1" si="0"/>
        <v>1003.2239266511631</v>
      </c>
    </row>
    <row r="16" spans="1:6" x14ac:dyDescent="0.25">
      <c r="A16" t="s">
        <v>117</v>
      </c>
      <c r="B16">
        <f t="shared" ca="1" si="1"/>
        <v>-1003.9978877455902</v>
      </c>
      <c r="C16">
        <f t="shared" ca="1" si="0"/>
        <v>-1000.4385203146594</v>
      </c>
      <c r="D16">
        <f t="shared" ca="1" si="0"/>
        <v>-1001.7460257122749</v>
      </c>
      <c r="E16">
        <f t="shared" ca="1" si="0"/>
        <v>-1003.9689533179051</v>
      </c>
      <c r="F16">
        <f t="shared" ca="1" si="0"/>
        <v>-996.33830675765319</v>
      </c>
    </row>
    <row r="19" spans="1:6" x14ac:dyDescent="0.25">
      <c r="A19" t="s">
        <v>118</v>
      </c>
      <c r="B19">
        <f t="shared" ref="B19:F40" ca="1" si="2">$A19*(RAND()+99.5)/100</f>
        <v>29.904955589932779</v>
      </c>
      <c r="C19">
        <f t="shared" ca="1" si="2"/>
        <v>30.117249847862194</v>
      </c>
      <c r="D19">
        <f t="shared" ca="1" si="2"/>
        <v>29.99426869892012</v>
      </c>
      <c r="E19">
        <f t="shared" ca="1" si="2"/>
        <v>30.086058204773462</v>
      </c>
      <c r="F19">
        <f t="shared" ca="1" si="2"/>
        <v>29.895315297603151</v>
      </c>
    </row>
    <row r="20" spans="1:6" x14ac:dyDescent="0.25">
      <c r="A20" t="s">
        <v>119</v>
      </c>
      <c r="B20">
        <f t="shared" ca="1" si="2"/>
        <v>-300.28980018500408</v>
      </c>
      <c r="C20">
        <f t="shared" ca="1" si="2"/>
        <v>-299.948793474083</v>
      </c>
      <c r="D20">
        <f t="shared" ca="1" si="2"/>
        <v>-300.30936208015316</v>
      </c>
      <c r="E20">
        <f t="shared" ca="1" si="2"/>
        <v>-300.2771756141284</v>
      </c>
      <c r="F20">
        <f t="shared" ca="1" si="2"/>
        <v>-299.75242703207829</v>
      </c>
    </row>
    <row r="21" spans="1:6" x14ac:dyDescent="0.25">
      <c r="A21" t="s">
        <v>120</v>
      </c>
      <c r="B21">
        <f t="shared" ca="1" si="2"/>
        <v>600.69353412789906</v>
      </c>
      <c r="C21">
        <f t="shared" ca="1" si="2"/>
        <v>599.86015614743008</v>
      </c>
      <c r="D21">
        <f t="shared" ca="1" si="2"/>
        <v>600.4583255764278</v>
      </c>
      <c r="E21">
        <f t="shared" ca="1" si="2"/>
        <v>601.7651374311049</v>
      </c>
      <c r="F21">
        <f t="shared" ca="1" si="2"/>
        <v>602.02954870168298</v>
      </c>
    </row>
    <row r="22" spans="1:6" x14ac:dyDescent="0.25">
      <c r="A22" t="s">
        <v>121</v>
      </c>
      <c r="B22">
        <f t="shared" ca="1" si="2"/>
        <v>499.31722811802814</v>
      </c>
      <c r="C22">
        <f t="shared" ca="1" si="2"/>
        <v>501.44679818004215</v>
      </c>
      <c r="D22">
        <f t="shared" ca="1" si="2"/>
        <v>501.86626675898259</v>
      </c>
      <c r="E22">
        <f t="shared" ca="1" si="2"/>
        <v>501.86714332710335</v>
      </c>
      <c r="F22">
        <f t="shared" ca="1" si="2"/>
        <v>501.03072951351839</v>
      </c>
    </row>
    <row r="23" spans="1:6" x14ac:dyDescent="0.25">
      <c r="A23" t="s">
        <v>122</v>
      </c>
      <c r="B23">
        <f t="shared" ca="1" si="2"/>
        <v>18.977341628055182</v>
      </c>
      <c r="C23">
        <f t="shared" ca="1" si="2"/>
        <v>19.04329121624248</v>
      </c>
      <c r="D23">
        <f t="shared" ca="1" si="2"/>
        <v>19.027456480223631</v>
      </c>
      <c r="E23">
        <f t="shared" ca="1" si="2"/>
        <v>19.00878087858802</v>
      </c>
      <c r="F23">
        <f t="shared" ca="1" si="2"/>
        <v>18.953003174919161</v>
      </c>
    </row>
    <row r="24" spans="1:6" x14ac:dyDescent="0.25">
      <c r="A24" t="s">
        <v>123</v>
      </c>
      <c r="B24">
        <f t="shared" ca="1" si="2"/>
        <v>898.63763658083246</v>
      </c>
      <c r="C24">
        <f t="shared" ca="1" si="2"/>
        <v>895.7256440642501</v>
      </c>
      <c r="D24">
        <f t="shared" ca="1" si="2"/>
        <v>901.26482100269322</v>
      </c>
      <c r="E24">
        <f t="shared" ca="1" si="2"/>
        <v>904.39487683910261</v>
      </c>
      <c r="F24">
        <f t="shared" ca="1" si="2"/>
        <v>899.88357298379162</v>
      </c>
    </row>
    <row r="27" spans="1:6" x14ac:dyDescent="0.25">
      <c r="A27" t="s">
        <v>124</v>
      </c>
      <c r="B27">
        <f t="shared" ca="1" si="2"/>
        <v>1.9943484049730298</v>
      </c>
      <c r="C27">
        <f t="shared" ca="1" si="2"/>
        <v>2.0004867681978804</v>
      </c>
      <c r="D27">
        <f t="shared" ca="1" si="2"/>
        <v>1.9956182402593274</v>
      </c>
      <c r="E27">
        <f t="shared" ca="1" si="2"/>
        <v>1.9943535501204515</v>
      </c>
      <c r="F27">
        <f t="shared" ca="1" si="2"/>
        <v>1.9951761172087421</v>
      </c>
    </row>
    <row r="28" spans="1:6" x14ac:dyDescent="0.25">
      <c r="A28" t="s">
        <v>125</v>
      </c>
      <c r="B28">
        <f t="shared" ca="1" si="2"/>
        <v>2.9929831916383933</v>
      </c>
      <c r="C28">
        <f t="shared" ca="1" si="2"/>
        <v>3.0133555264632825</v>
      </c>
      <c r="D28">
        <f t="shared" ca="1" si="2"/>
        <v>2.9864483792038614</v>
      </c>
      <c r="E28">
        <f t="shared" ca="1" si="2"/>
        <v>2.9900312387895052</v>
      </c>
      <c r="F28">
        <f t="shared" ca="1" si="2"/>
        <v>2.9864314877036797</v>
      </c>
    </row>
    <row r="29" spans="1:6" x14ac:dyDescent="0.25">
      <c r="A29" t="s">
        <v>126</v>
      </c>
      <c r="B29">
        <f t="shared" ca="1" si="2"/>
        <v>49.860083465269518</v>
      </c>
      <c r="C29">
        <f t="shared" ca="1" si="2"/>
        <v>49.992432835328927</v>
      </c>
      <c r="D29">
        <f t="shared" ca="1" si="2"/>
        <v>49.957882411485741</v>
      </c>
      <c r="E29">
        <f t="shared" ca="1" si="2"/>
        <v>50.076668180788502</v>
      </c>
      <c r="F29">
        <f t="shared" ca="1" si="2"/>
        <v>49.79538932893697</v>
      </c>
    </row>
    <row r="30" spans="1:6" x14ac:dyDescent="0.25">
      <c r="A30" t="s">
        <v>127</v>
      </c>
      <c r="B30">
        <f t="shared" ca="1" si="2"/>
        <v>399.1664446709047</v>
      </c>
      <c r="C30">
        <f t="shared" ca="1" si="2"/>
        <v>399.3020602965662</v>
      </c>
      <c r="D30">
        <f t="shared" ca="1" si="2"/>
        <v>399.5504041276314</v>
      </c>
      <c r="E30">
        <f t="shared" ca="1" si="2"/>
        <v>399.98709410385936</v>
      </c>
      <c r="F30">
        <f t="shared" ca="1" si="2"/>
        <v>398.76780893431197</v>
      </c>
    </row>
    <row r="31" spans="1:6" x14ac:dyDescent="0.25">
      <c r="A31" t="s">
        <v>128</v>
      </c>
      <c r="B31">
        <f t="shared" ca="1" si="2"/>
        <v>4.0025574794363612</v>
      </c>
      <c r="C31">
        <f t="shared" ca="1" si="2"/>
        <v>3.9903364639447743</v>
      </c>
      <c r="D31">
        <f t="shared" ca="1" si="2"/>
        <v>3.9961579126644198</v>
      </c>
      <c r="E31">
        <f t="shared" ca="1" si="2"/>
        <v>4.0018555905616493</v>
      </c>
      <c r="F31">
        <f t="shared" ca="1" si="2"/>
        <v>3.982222169578908</v>
      </c>
    </row>
    <row r="32" spans="1:6" x14ac:dyDescent="0.25">
      <c r="A32" t="s">
        <v>129</v>
      </c>
      <c r="B32">
        <f t="shared" ca="1" si="2"/>
        <v>9.0064461580164288</v>
      </c>
      <c r="C32">
        <f t="shared" ca="1" si="2"/>
        <v>9.0440426563029011</v>
      </c>
      <c r="D32">
        <f t="shared" ca="1" si="2"/>
        <v>8.9893463435872167</v>
      </c>
      <c r="E32">
        <f t="shared" ca="1" si="2"/>
        <v>9.0197570528518387</v>
      </c>
      <c r="F32">
        <f t="shared" ca="1" si="2"/>
        <v>8.9830345885758511</v>
      </c>
    </row>
    <row r="33" spans="1:6" x14ac:dyDescent="0.25">
      <c r="A33" t="s">
        <v>125</v>
      </c>
      <c r="B33">
        <f t="shared" ca="1" si="2"/>
        <v>3.0073727205824916</v>
      </c>
      <c r="C33">
        <f t="shared" ca="1" si="2"/>
        <v>2.9895395402811915</v>
      </c>
      <c r="D33">
        <f t="shared" ca="1" si="2"/>
        <v>2.9962185817062617</v>
      </c>
      <c r="E33">
        <f t="shared" ca="1" si="2"/>
        <v>2.9872681745295244</v>
      </c>
      <c r="F33">
        <f t="shared" ca="1" si="2"/>
        <v>3.0148544300847546</v>
      </c>
    </row>
    <row r="34" spans="1:6" x14ac:dyDescent="0.25">
      <c r="A34" t="s">
        <v>110</v>
      </c>
      <c r="B34">
        <f t="shared" ca="1" si="2"/>
        <v>49.998601628940904</v>
      </c>
      <c r="C34">
        <f t="shared" ca="1" si="2"/>
        <v>49.956104303077744</v>
      </c>
      <c r="D34">
        <f t="shared" ca="1" si="2"/>
        <v>49.899767202627928</v>
      </c>
      <c r="E34">
        <f t="shared" ca="1" si="2"/>
        <v>50.060008319690887</v>
      </c>
      <c r="F34">
        <f t="shared" ca="1" si="2"/>
        <v>49.836522791504962</v>
      </c>
    </row>
    <row r="35" spans="1:6" x14ac:dyDescent="0.25">
      <c r="A35" t="s">
        <v>130</v>
      </c>
      <c r="B35">
        <f t="shared" ca="1" si="2"/>
        <v>-398.99612737209856</v>
      </c>
      <c r="C35">
        <f t="shared" ca="1" si="2"/>
        <v>-399.45181338426437</v>
      </c>
      <c r="D35">
        <f t="shared" ca="1" si="2"/>
        <v>-398.84490788169467</v>
      </c>
      <c r="E35">
        <f t="shared" ca="1" si="2"/>
        <v>-398.74951196430413</v>
      </c>
      <c r="F35">
        <f t="shared" ca="1" si="2"/>
        <v>-398.99786086873479</v>
      </c>
    </row>
    <row r="36" spans="1:6" x14ac:dyDescent="0.25">
      <c r="A36" t="s">
        <v>128</v>
      </c>
      <c r="B36">
        <f t="shared" ca="1" si="2"/>
        <v>4.000364841292968</v>
      </c>
      <c r="C36">
        <f t="shared" ca="1" si="2"/>
        <v>4.0121088555981679</v>
      </c>
      <c r="D36">
        <f t="shared" ca="1" si="2"/>
        <v>3.9837635165889393</v>
      </c>
      <c r="E36">
        <f t="shared" ca="1" si="2"/>
        <v>3.9924938473753735</v>
      </c>
      <c r="F36">
        <f t="shared" ca="1" si="2"/>
        <v>4.0006855679393185</v>
      </c>
    </row>
    <row r="37" spans="1:6" x14ac:dyDescent="0.25">
      <c r="A37" t="s">
        <v>131</v>
      </c>
      <c r="B37">
        <f t="shared" ca="1" si="2"/>
        <v>-8.9902455911259693</v>
      </c>
      <c r="C37">
        <f t="shared" ca="1" si="2"/>
        <v>-9.0062962020542017</v>
      </c>
      <c r="D37">
        <f t="shared" ca="1" si="2"/>
        <v>-8.9947064591029786</v>
      </c>
      <c r="E37">
        <f t="shared" ca="1" si="2"/>
        <v>-9.033187032645511</v>
      </c>
      <c r="F37">
        <f t="shared" ca="1" si="2"/>
        <v>-9.0261479621784311</v>
      </c>
    </row>
    <row r="38" spans="1:6" x14ac:dyDescent="0.25">
      <c r="A38" t="s">
        <v>132</v>
      </c>
      <c r="B38">
        <f t="shared" ca="1" si="2"/>
        <v>0.19976085551085349</v>
      </c>
      <c r="C38">
        <f t="shared" ca="1" si="2"/>
        <v>0.1990352772379913</v>
      </c>
      <c r="D38">
        <f t="shared" ca="1" si="2"/>
        <v>0.19975109667681074</v>
      </c>
      <c r="E38">
        <f t="shared" ca="1" si="2"/>
        <v>0.20012935472609847</v>
      </c>
      <c r="F38">
        <f t="shared" ca="1" si="2"/>
        <v>0.1991392712533844</v>
      </c>
    </row>
    <row r="39" spans="1:6" x14ac:dyDescent="0.25">
      <c r="A39" t="s">
        <v>133</v>
      </c>
      <c r="B39">
        <f t="shared" ca="1" si="2"/>
        <v>-39.789775381383791</v>
      </c>
      <c r="C39">
        <f t="shared" ca="1" si="2"/>
        <v>-39.948645648659209</v>
      </c>
      <c r="D39">
        <f t="shared" ca="1" si="2"/>
        <v>-39.83184500727986</v>
      </c>
      <c r="E39">
        <f t="shared" ca="1" si="2"/>
        <v>-39.879489539780678</v>
      </c>
      <c r="F39">
        <f t="shared" ca="1" si="2"/>
        <v>-39.781814577665997</v>
      </c>
    </row>
    <row r="40" spans="1:6" x14ac:dyDescent="0.25">
      <c r="A40" t="s">
        <v>134</v>
      </c>
      <c r="B40">
        <f t="shared" ca="1" si="2"/>
        <v>400.82613376752778</v>
      </c>
      <c r="C40">
        <f t="shared" ca="1" si="2"/>
        <v>400.79578898158206</v>
      </c>
      <c r="D40">
        <f t="shared" ca="1" si="2"/>
        <v>398.71629225318094</v>
      </c>
      <c r="E40">
        <f t="shared" ca="1" si="2"/>
        <v>399.18067313419647</v>
      </c>
      <c r="F40">
        <f t="shared" ca="1" si="2"/>
        <v>398.36799736819086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5"/>
  <dimension ref="A1:O2653"/>
  <sheetViews>
    <sheetView workbookViewId="0">
      <selection activeCell="I22" sqref="I22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171</v>
      </c>
      <c r="B1" t="s">
        <v>54</v>
      </c>
      <c r="C1" t="s">
        <v>0</v>
      </c>
      <c r="D1" t="s">
        <v>136</v>
      </c>
      <c r="E1" t="s">
        <v>137</v>
      </c>
      <c r="F1" t="s">
        <v>1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19</v>
      </c>
      <c r="M1" t="s">
        <v>2</v>
      </c>
      <c r="N1" t="s">
        <v>143</v>
      </c>
      <c r="O1" t="s">
        <v>144</v>
      </c>
    </row>
    <row r="2" spans="1:15" x14ac:dyDescent="0.25">
      <c r="A2" s="129" t="s">
        <v>172</v>
      </c>
      <c r="B2" s="129" t="s">
        <v>53</v>
      </c>
      <c r="C2" s="129" t="s">
        <v>66</v>
      </c>
      <c r="D2">
        <v>0</v>
      </c>
      <c r="E2">
        <v>1E-3</v>
      </c>
      <c r="F2">
        <v>1E-8</v>
      </c>
      <c r="G2" s="129" t="s">
        <v>6</v>
      </c>
      <c r="H2" s="129" t="s">
        <v>5</v>
      </c>
      <c r="I2">
        <v>0</v>
      </c>
      <c r="J2">
        <v>0</v>
      </c>
      <c r="K2" s="129" t="s">
        <v>1962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s="129" t="s">
        <v>178</v>
      </c>
      <c r="B3" s="129" t="s">
        <v>53</v>
      </c>
      <c r="C3" s="129" t="s">
        <v>66</v>
      </c>
      <c r="D3">
        <v>1E-3</v>
      </c>
      <c r="E3">
        <v>0.01</v>
      </c>
      <c r="F3">
        <v>1E-8</v>
      </c>
      <c r="G3" s="129" t="s">
        <v>6</v>
      </c>
      <c r="H3" s="129" t="s">
        <v>5</v>
      </c>
      <c r="I3">
        <v>0</v>
      </c>
      <c r="J3">
        <v>0</v>
      </c>
      <c r="K3" s="129" t="s">
        <v>1962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s="129" t="s">
        <v>173</v>
      </c>
      <c r="B4" s="129" t="s">
        <v>53</v>
      </c>
      <c r="C4" s="129" t="s">
        <v>66</v>
      </c>
      <c r="D4">
        <v>0</v>
      </c>
      <c r="E4">
        <v>1E-3</v>
      </c>
      <c r="F4">
        <v>9.9999999999999995E-8</v>
      </c>
      <c r="G4" s="129" t="s">
        <v>6</v>
      </c>
      <c r="H4" s="129" t="s">
        <v>5</v>
      </c>
      <c r="I4">
        <v>0</v>
      </c>
      <c r="J4">
        <v>0</v>
      </c>
      <c r="K4" s="129" t="s">
        <v>1962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s="129" t="s">
        <v>179</v>
      </c>
      <c r="B5" s="129" t="s">
        <v>53</v>
      </c>
      <c r="C5" s="129" t="s">
        <v>66</v>
      </c>
      <c r="D5">
        <v>1E-3</v>
      </c>
      <c r="E5">
        <v>0.01</v>
      </c>
      <c r="F5">
        <v>9.9999999999999995E-8</v>
      </c>
      <c r="G5" s="129" t="s">
        <v>6</v>
      </c>
      <c r="H5" s="129" t="s">
        <v>5</v>
      </c>
      <c r="I5">
        <v>0</v>
      </c>
      <c r="J5">
        <v>0</v>
      </c>
      <c r="K5" s="129" t="s">
        <v>1962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s="129" t="s">
        <v>183</v>
      </c>
      <c r="B6" s="129" t="s">
        <v>53</v>
      </c>
      <c r="C6" s="129" t="s">
        <v>66</v>
      </c>
      <c r="D6">
        <v>0.01</v>
      </c>
      <c r="E6">
        <v>0.1</v>
      </c>
      <c r="F6">
        <v>9.9999999999999995E-8</v>
      </c>
      <c r="G6" s="129" t="s">
        <v>6</v>
      </c>
      <c r="H6" s="129" t="s">
        <v>5</v>
      </c>
      <c r="I6">
        <v>0</v>
      </c>
      <c r="J6">
        <v>0</v>
      </c>
      <c r="K6" s="129" t="s">
        <v>1962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s="129" t="s">
        <v>174</v>
      </c>
      <c r="B7" s="129" t="s">
        <v>53</v>
      </c>
      <c r="C7" s="129" t="s">
        <v>66</v>
      </c>
      <c r="D7">
        <v>0</v>
      </c>
      <c r="E7">
        <v>1E-3</v>
      </c>
      <c r="F7">
        <v>9.9999999999999995E-7</v>
      </c>
      <c r="G7" s="129" t="s">
        <v>6</v>
      </c>
      <c r="H7" s="129" t="s">
        <v>5</v>
      </c>
      <c r="I7">
        <v>0</v>
      </c>
      <c r="J7">
        <v>0</v>
      </c>
      <c r="K7" s="129" t="s">
        <v>1962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s="129" t="s">
        <v>2494</v>
      </c>
      <c r="B8" s="129" t="s">
        <v>53</v>
      </c>
      <c r="C8" s="129" t="s">
        <v>66</v>
      </c>
      <c r="D8">
        <v>1E-3</v>
      </c>
      <c r="E8">
        <v>0.01</v>
      </c>
      <c r="F8">
        <v>9.9999999999999995E-7</v>
      </c>
      <c r="G8" s="129" t="s">
        <v>6</v>
      </c>
      <c r="H8" s="129" t="s">
        <v>5</v>
      </c>
      <c r="I8">
        <v>0</v>
      </c>
      <c r="J8">
        <v>0</v>
      </c>
      <c r="K8" s="129" t="s">
        <v>1962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s="129" t="s">
        <v>184</v>
      </c>
      <c r="B9" s="129" t="s">
        <v>53</v>
      </c>
      <c r="C9" s="129" t="s">
        <v>66</v>
      </c>
      <c r="D9">
        <v>0.01</v>
      </c>
      <c r="E9">
        <v>0.1</v>
      </c>
      <c r="F9">
        <v>9.9999999999999995E-7</v>
      </c>
      <c r="G9" s="129" t="s">
        <v>6</v>
      </c>
      <c r="H9" s="129" t="s">
        <v>5</v>
      </c>
      <c r="I9">
        <v>0</v>
      </c>
      <c r="J9">
        <v>0</v>
      </c>
      <c r="K9" s="129" t="s">
        <v>1962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s="129" t="s">
        <v>188</v>
      </c>
      <c r="B10" s="129" t="s">
        <v>53</v>
      </c>
      <c r="C10" s="129" t="s">
        <v>66</v>
      </c>
      <c r="D10">
        <v>0.1</v>
      </c>
      <c r="E10">
        <v>1</v>
      </c>
      <c r="F10">
        <v>9.9999999999999995E-7</v>
      </c>
      <c r="G10" s="129" t="s">
        <v>6</v>
      </c>
      <c r="H10" s="129" t="s">
        <v>5</v>
      </c>
      <c r="I10">
        <v>0</v>
      </c>
      <c r="J10">
        <v>0</v>
      </c>
      <c r="K10" s="129" t="s">
        <v>1962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s="129" t="s">
        <v>175</v>
      </c>
      <c r="B11" s="129" t="s">
        <v>53</v>
      </c>
      <c r="C11" s="129" t="s">
        <v>66</v>
      </c>
      <c r="D11">
        <v>0</v>
      </c>
      <c r="E11">
        <v>1E-3</v>
      </c>
      <c r="F11">
        <v>1.0000000000000001E-5</v>
      </c>
      <c r="G11" s="129" t="s">
        <v>6</v>
      </c>
      <c r="H11" s="129" t="s">
        <v>5</v>
      </c>
      <c r="I11">
        <v>0</v>
      </c>
      <c r="J11">
        <v>0</v>
      </c>
      <c r="K11" s="129" t="s">
        <v>1962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s="129" t="s">
        <v>180</v>
      </c>
      <c r="B12" s="129" t="s">
        <v>53</v>
      </c>
      <c r="C12" s="129" t="s">
        <v>66</v>
      </c>
      <c r="D12">
        <v>1E-3</v>
      </c>
      <c r="E12">
        <v>0.01</v>
      </c>
      <c r="F12">
        <v>1.0000000000000001E-5</v>
      </c>
      <c r="G12" s="129" t="s">
        <v>6</v>
      </c>
      <c r="H12" s="129" t="s">
        <v>5</v>
      </c>
      <c r="I12">
        <v>0</v>
      </c>
      <c r="J12">
        <v>0</v>
      </c>
      <c r="K12" s="129" t="s">
        <v>1962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s="129" t="s">
        <v>185</v>
      </c>
      <c r="B13" s="129" t="s">
        <v>53</v>
      </c>
      <c r="C13" s="129" t="s">
        <v>66</v>
      </c>
      <c r="D13">
        <v>0.01</v>
      </c>
      <c r="E13">
        <v>0.1</v>
      </c>
      <c r="F13">
        <v>1.0000000000000001E-5</v>
      </c>
      <c r="G13" s="129" t="s">
        <v>6</v>
      </c>
      <c r="H13" s="129" t="s">
        <v>5</v>
      </c>
      <c r="I13">
        <v>0</v>
      </c>
      <c r="J13">
        <v>0</v>
      </c>
      <c r="K13" s="129" t="s">
        <v>1962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s="129" t="s">
        <v>189</v>
      </c>
      <c r="B14" s="129" t="s">
        <v>53</v>
      </c>
      <c r="C14" s="129" t="s">
        <v>66</v>
      </c>
      <c r="D14">
        <v>0.1</v>
      </c>
      <c r="E14">
        <v>1</v>
      </c>
      <c r="F14">
        <v>1.0000000000000001E-5</v>
      </c>
      <c r="G14" s="129" t="s">
        <v>6</v>
      </c>
      <c r="H14" s="129" t="s">
        <v>5</v>
      </c>
      <c r="I14">
        <v>0</v>
      </c>
      <c r="J14">
        <v>0</v>
      </c>
      <c r="K14" s="129" t="s">
        <v>1962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s="129" t="s">
        <v>193</v>
      </c>
      <c r="B15" s="129" t="s">
        <v>53</v>
      </c>
      <c r="C15" s="129" t="s">
        <v>66</v>
      </c>
      <c r="D15">
        <v>1</v>
      </c>
      <c r="E15">
        <v>10</v>
      </c>
      <c r="F15">
        <v>1.0000000000000001E-5</v>
      </c>
      <c r="G15" s="129" t="s">
        <v>6</v>
      </c>
      <c r="H15" s="129" t="s">
        <v>5</v>
      </c>
      <c r="I15">
        <v>0</v>
      </c>
      <c r="J15">
        <v>0</v>
      </c>
      <c r="K15" s="129" t="s">
        <v>1962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s="129" t="s">
        <v>176</v>
      </c>
      <c r="B16" s="129" t="s">
        <v>53</v>
      </c>
      <c r="C16" s="129" t="s">
        <v>66</v>
      </c>
      <c r="D16">
        <v>0</v>
      </c>
      <c r="E16">
        <v>1E-3</v>
      </c>
      <c r="F16">
        <v>1E-4</v>
      </c>
      <c r="G16" s="129" t="s">
        <v>6</v>
      </c>
      <c r="H16" s="129" t="s">
        <v>5</v>
      </c>
      <c r="I16">
        <v>0</v>
      </c>
      <c r="J16">
        <v>0</v>
      </c>
      <c r="K16" s="129" t="s">
        <v>1962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s="129" t="s">
        <v>181</v>
      </c>
      <c r="B17" s="129" t="s">
        <v>53</v>
      </c>
      <c r="C17" s="129" t="s">
        <v>66</v>
      </c>
      <c r="D17">
        <v>1E-3</v>
      </c>
      <c r="E17">
        <v>0.01</v>
      </c>
      <c r="F17">
        <v>1E-4</v>
      </c>
      <c r="G17" s="129" t="s">
        <v>6</v>
      </c>
      <c r="H17" s="129" t="s">
        <v>5</v>
      </c>
      <c r="I17">
        <v>0</v>
      </c>
      <c r="J17">
        <v>0</v>
      </c>
      <c r="K17" s="129" t="s">
        <v>1962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s="129" t="s">
        <v>186</v>
      </c>
      <c r="B18" s="129" t="s">
        <v>53</v>
      </c>
      <c r="C18" s="129" t="s">
        <v>66</v>
      </c>
      <c r="D18">
        <v>0.01</v>
      </c>
      <c r="E18">
        <v>0.1</v>
      </c>
      <c r="F18">
        <v>1E-4</v>
      </c>
      <c r="G18" s="129" t="s">
        <v>6</v>
      </c>
      <c r="H18" s="129" t="s">
        <v>5</v>
      </c>
      <c r="I18">
        <v>0</v>
      </c>
      <c r="J18">
        <v>0</v>
      </c>
      <c r="K18" s="129" t="s">
        <v>1962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s="129" t="s">
        <v>190</v>
      </c>
      <c r="B19" s="129" t="s">
        <v>53</v>
      </c>
      <c r="C19" s="129" t="s">
        <v>66</v>
      </c>
      <c r="D19">
        <v>0.1</v>
      </c>
      <c r="E19">
        <v>1</v>
      </c>
      <c r="F19">
        <v>1E-4</v>
      </c>
      <c r="G19" s="129" t="s">
        <v>6</v>
      </c>
      <c r="H19" s="129" t="s">
        <v>5</v>
      </c>
      <c r="I19">
        <v>0</v>
      </c>
      <c r="J19">
        <v>0</v>
      </c>
      <c r="K19" s="129" t="s">
        <v>1962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s="129" t="s">
        <v>194</v>
      </c>
      <c r="B20" s="129" t="s">
        <v>53</v>
      </c>
      <c r="C20" s="129" t="s">
        <v>66</v>
      </c>
      <c r="D20">
        <v>1</v>
      </c>
      <c r="E20">
        <v>10</v>
      </c>
      <c r="F20">
        <v>1E-4</v>
      </c>
      <c r="G20" s="129" t="s">
        <v>6</v>
      </c>
      <c r="H20" s="129" t="s">
        <v>5</v>
      </c>
      <c r="I20">
        <v>0</v>
      </c>
      <c r="J20">
        <v>0</v>
      </c>
      <c r="K20" s="129" t="s">
        <v>1962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s="129" t="s">
        <v>199</v>
      </c>
      <c r="B21" s="129" t="s">
        <v>53</v>
      </c>
      <c r="C21" s="129" t="s">
        <v>66</v>
      </c>
      <c r="D21">
        <v>10</v>
      </c>
      <c r="E21">
        <v>100</v>
      </c>
      <c r="F21">
        <v>1E-4</v>
      </c>
      <c r="G21" s="129" t="s">
        <v>6</v>
      </c>
      <c r="H21" s="129" t="s">
        <v>4</v>
      </c>
      <c r="I21">
        <v>0</v>
      </c>
      <c r="J21">
        <v>0</v>
      </c>
      <c r="K21" s="129" t="s">
        <v>1962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s="129" t="s">
        <v>177</v>
      </c>
      <c r="B22" s="129" t="s">
        <v>53</v>
      </c>
      <c r="C22" s="129" t="s">
        <v>66</v>
      </c>
      <c r="D22">
        <v>0</v>
      </c>
      <c r="E22">
        <v>1E-3</v>
      </c>
      <c r="F22">
        <v>1E-3</v>
      </c>
      <c r="G22" s="129" t="s">
        <v>6</v>
      </c>
      <c r="H22" s="129" t="s">
        <v>5</v>
      </c>
      <c r="I22">
        <v>0</v>
      </c>
      <c r="J22">
        <v>0</v>
      </c>
      <c r="K22" s="129" t="s">
        <v>1962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s="129" t="s">
        <v>182</v>
      </c>
      <c r="B23" s="129" t="s">
        <v>53</v>
      </c>
      <c r="C23" s="129" t="s">
        <v>66</v>
      </c>
      <c r="D23">
        <v>1E-3</v>
      </c>
      <c r="E23">
        <v>0.01</v>
      </c>
      <c r="F23">
        <v>1E-3</v>
      </c>
      <c r="G23" s="129" t="s">
        <v>6</v>
      </c>
      <c r="H23" s="129" t="s">
        <v>5</v>
      </c>
      <c r="I23">
        <v>0</v>
      </c>
      <c r="J23">
        <v>0</v>
      </c>
      <c r="K23" s="129" t="s">
        <v>1962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s="129" t="s">
        <v>2495</v>
      </c>
      <c r="B24" s="129" t="s">
        <v>53</v>
      </c>
      <c r="C24" s="129" t="s">
        <v>66</v>
      </c>
      <c r="D24">
        <v>0.01</v>
      </c>
      <c r="E24">
        <v>0.1</v>
      </c>
      <c r="F24">
        <v>1E-3</v>
      </c>
      <c r="G24" s="129" t="s">
        <v>6</v>
      </c>
      <c r="H24" s="129" t="s">
        <v>5</v>
      </c>
      <c r="I24">
        <v>0</v>
      </c>
      <c r="J24">
        <v>0</v>
      </c>
      <c r="K24" s="129" t="s">
        <v>1962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s="129" t="s">
        <v>191</v>
      </c>
      <c r="B25" s="129" t="s">
        <v>53</v>
      </c>
      <c r="C25" s="129" t="s">
        <v>66</v>
      </c>
      <c r="D25">
        <v>0.1</v>
      </c>
      <c r="E25">
        <v>1</v>
      </c>
      <c r="F25">
        <v>1E-3</v>
      </c>
      <c r="G25" s="129" t="s">
        <v>6</v>
      </c>
      <c r="H25" s="129" t="s">
        <v>5</v>
      </c>
      <c r="I25">
        <v>0</v>
      </c>
      <c r="J25">
        <v>0</v>
      </c>
      <c r="K25" s="129" t="s">
        <v>1962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s="129" t="s">
        <v>195</v>
      </c>
      <c r="B26" s="129" t="s">
        <v>53</v>
      </c>
      <c r="C26" s="129" t="s">
        <v>66</v>
      </c>
      <c r="D26">
        <v>1</v>
      </c>
      <c r="E26">
        <v>10</v>
      </c>
      <c r="F26">
        <v>1E-3</v>
      </c>
      <c r="G26" s="129" t="s">
        <v>6</v>
      </c>
      <c r="H26" s="129" t="s">
        <v>5</v>
      </c>
      <c r="I26">
        <v>0</v>
      </c>
      <c r="J26">
        <v>0</v>
      </c>
      <c r="K26" s="129" t="s">
        <v>1962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s="129" t="s">
        <v>200</v>
      </c>
      <c r="B27" s="129" t="s">
        <v>53</v>
      </c>
      <c r="C27" s="129" t="s">
        <v>66</v>
      </c>
      <c r="D27">
        <v>10</v>
      </c>
      <c r="E27">
        <v>100</v>
      </c>
      <c r="F27">
        <v>1E-3</v>
      </c>
      <c r="G27" s="129" t="s">
        <v>6</v>
      </c>
      <c r="H27" s="129" t="s">
        <v>4</v>
      </c>
      <c r="I27">
        <v>0</v>
      </c>
      <c r="J27">
        <v>0</v>
      </c>
      <c r="K27" s="129" t="s">
        <v>1962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s="129" t="s">
        <v>187</v>
      </c>
      <c r="B28" s="129" t="s">
        <v>53</v>
      </c>
      <c r="C28" s="129" t="s">
        <v>66</v>
      </c>
      <c r="D28">
        <v>0.01</v>
      </c>
      <c r="E28">
        <v>0.1</v>
      </c>
      <c r="F28">
        <v>0.01</v>
      </c>
      <c r="G28" s="129" t="s">
        <v>6</v>
      </c>
      <c r="H28" s="129" t="s">
        <v>5</v>
      </c>
      <c r="I28">
        <v>0</v>
      </c>
      <c r="J28">
        <v>0</v>
      </c>
      <c r="K28" s="129" t="s">
        <v>1962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s="129" t="s">
        <v>2496</v>
      </c>
      <c r="B29" s="129" t="s">
        <v>53</v>
      </c>
      <c r="C29" s="129" t="s">
        <v>66</v>
      </c>
      <c r="D29">
        <v>0.1</v>
      </c>
      <c r="E29">
        <v>1</v>
      </c>
      <c r="F29">
        <v>0.01</v>
      </c>
      <c r="G29" s="129" t="s">
        <v>6</v>
      </c>
      <c r="H29" s="129" t="s">
        <v>5</v>
      </c>
      <c r="I29">
        <v>0</v>
      </c>
      <c r="J29">
        <v>0</v>
      </c>
      <c r="K29" s="129" t="s">
        <v>1962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s="129" t="s">
        <v>196</v>
      </c>
      <c r="B30" s="129" t="s">
        <v>53</v>
      </c>
      <c r="C30" s="129" t="s">
        <v>66</v>
      </c>
      <c r="D30">
        <v>1</v>
      </c>
      <c r="E30">
        <v>10</v>
      </c>
      <c r="F30">
        <v>0.01</v>
      </c>
      <c r="G30" s="129" t="s">
        <v>6</v>
      </c>
      <c r="H30" s="129" t="s">
        <v>5</v>
      </c>
      <c r="I30">
        <v>0</v>
      </c>
      <c r="J30">
        <v>0</v>
      </c>
      <c r="K30" s="129" t="s">
        <v>1962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s="129" t="s">
        <v>201</v>
      </c>
      <c r="B31" s="129" t="s">
        <v>53</v>
      </c>
      <c r="C31" s="129" t="s">
        <v>66</v>
      </c>
      <c r="D31">
        <v>10</v>
      </c>
      <c r="E31">
        <v>100</v>
      </c>
      <c r="F31">
        <v>0.01</v>
      </c>
      <c r="G31" s="129" t="s">
        <v>6</v>
      </c>
      <c r="H31" s="129" t="s">
        <v>4</v>
      </c>
      <c r="I31">
        <v>0</v>
      </c>
      <c r="J31">
        <v>0</v>
      </c>
      <c r="K31" s="129" t="s">
        <v>1962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s="129" t="s">
        <v>192</v>
      </c>
      <c r="B32" s="129" t="s">
        <v>53</v>
      </c>
      <c r="C32" s="129" t="s">
        <v>66</v>
      </c>
      <c r="D32">
        <v>0.1</v>
      </c>
      <c r="E32">
        <v>1</v>
      </c>
      <c r="F32">
        <v>0.1</v>
      </c>
      <c r="G32" s="129" t="s">
        <v>6</v>
      </c>
      <c r="H32" s="129" t="s">
        <v>5</v>
      </c>
      <c r="I32">
        <v>0</v>
      </c>
      <c r="J32">
        <v>0</v>
      </c>
      <c r="K32" s="129" t="s">
        <v>1962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s="129" t="s">
        <v>197</v>
      </c>
      <c r="B33" s="129" t="s">
        <v>53</v>
      </c>
      <c r="C33" s="129" t="s">
        <v>66</v>
      </c>
      <c r="D33">
        <v>1</v>
      </c>
      <c r="E33">
        <v>10</v>
      </c>
      <c r="F33">
        <v>0.1</v>
      </c>
      <c r="G33" s="129" t="s">
        <v>6</v>
      </c>
      <c r="H33" s="129" t="s">
        <v>5</v>
      </c>
      <c r="I33">
        <v>0</v>
      </c>
      <c r="J33">
        <v>0</v>
      </c>
      <c r="K33" s="129" t="s">
        <v>1962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s="129" t="s">
        <v>202</v>
      </c>
      <c r="B34" s="129" t="s">
        <v>53</v>
      </c>
      <c r="C34" s="129" t="s">
        <v>66</v>
      </c>
      <c r="D34">
        <v>10</v>
      </c>
      <c r="E34">
        <v>100</v>
      </c>
      <c r="F34">
        <v>0.1</v>
      </c>
      <c r="G34" s="129" t="s">
        <v>6</v>
      </c>
      <c r="H34" s="129" t="s">
        <v>4</v>
      </c>
      <c r="I34">
        <v>0</v>
      </c>
      <c r="J34">
        <v>0</v>
      </c>
      <c r="K34" s="129" t="s">
        <v>1962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s="129" t="s">
        <v>198</v>
      </c>
      <c r="B35" s="129" t="s">
        <v>53</v>
      </c>
      <c r="C35" s="129" t="s">
        <v>66</v>
      </c>
      <c r="D35">
        <v>1</v>
      </c>
      <c r="E35">
        <v>10</v>
      </c>
      <c r="F35">
        <v>1</v>
      </c>
      <c r="G35" s="129" t="s">
        <v>6</v>
      </c>
      <c r="H35" s="129" t="s">
        <v>5</v>
      </c>
      <c r="I35">
        <v>0</v>
      </c>
      <c r="J35">
        <v>0</v>
      </c>
      <c r="K35" s="129" t="s">
        <v>1962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s="129" t="s">
        <v>2497</v>
      </c>
      <c r="B36" s="129" t="s">
        <v>53</v>
      </c>
      <c r="C36" s="129" t="s">
        <v>66</v>
      </c>
      <c r="D36">
        <v>10</v>
      </c>
      <c r="E36">
        <v>100</v>
      </c>
      <c r="F36">
        <v>1</v>
      </c>
      <c r="G36" s="129" t="s">
        <v>6</v>
      </c>
      <c r="H36" s="129" t="s">
        <v>4</v>
      </c>
      <c r="I36">
        <v>0</v>
      </c>
      <c r="J36">
        <v>0</v>
      </c>
      <c r="K36" s="129" t="s">
        <v>1962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s="129" t="s">
        <v>2664</v>
      </c>
      <c r="B37" s="129" t="s">
        <v>53</v>
      </c>
      <c r="C37" s="129" t="s">
        <v>7</v>
      </c>
      <c r="D37">
        <v>0</v>
      </c>
      <c r="E37">
        <v>1000</v>
      </c>
      <c r="F37">
        <v>9.9999999999999995E-7</v>
      </c>
      <c r="G37" s="129" t="s">
        <v>46</v>
      </c>
      <c r="H37" s="129" t="s">
        <v>68</v>
      </c>
      <c r="I37">
        <v>0</v>
      </c>
      <c r="J37">
        <v>0</v>
      </c>
      <c r="K37" s="129" t="s">
        <v>1962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s="129" t="s">
        <v>2665</v>
      </c>
      <c r="B38" s="129" t="s">
        <v>53</v>
      </c>
      <c r="C38" s="129" t="s">
        <v>7</v>
      </c>
      <c r="D38">
        <v>0</v>
      </c>
      <c r="E38">
        <v>1000</v>
      </c>
      <c r="F38">
        <v>1.0000000000000001E-5</v>
      </c>
      <c r="G38" s="129" t="s">
        <v>46</v>
      </c>
      <c r="H38" s="129" t="s">
        <v>68</v>
      </c>
      <c r="I38">
        <v>0</v>
      </c>
      <c r="J38">
        <v>0</v>
      </c>
      <c r="K38" s="129" t="s">
        <v>1962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s="129" t="s">
        <v>2666</v>
      </c>
      <c r="B39" s="129" t="s">
        <v>53</v>
      </c>
      <c r="C39" s="129" t="s">
        <v>7</v>
      </c>
      <c r="D39">
        <v>1000</v>
      </c>
      <c r="E39">
        <v>10000</v>
      </c>
      <c r="F39">
        <v>1.0000000000000001E-5</v>
      </c>
      <c r="G39" s="129" t="s">
        <v>46</v>
      </c>
      <c r="H39" s="129" t="s">
        <v>68</v>
      </c>
      <c r="I39">
        <v>0</v>
      </c>
      <c r="J39">
        <v>0</v>
      </c>
      <c r="K39" s="129" t="s">
        <v>1962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s="129" t="s">
        <v>2667</v>
      </c>
      <c r="B40" s="129" t="s">
        <v>53</v>
      </c>
      <c r="C40" s="129" t="s">
        <v>7</v>
      </c>
      <c r="D40">
        <v>0</v>
      </c>
      <c r="E40">
        <v>1000</v>
      </c>
      <c r="F40">
        <v>1E-4</v>
      </c>
      <c r="G40" s="129" t="s">
        <v>46</v>
      </c>
      <c r="H40" s="129" t="s">
        <v>68</v>
      </c>
      <c r="I40">
        <v>0</v>
      </c>
      <c r="J40">
        <v>0</v>
      </c>
      <c r="K40" s="129" t="s">
        <v>1962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s="129" t="s">
        <v>2668</v>
      </c>
      <c r="B41" s="129" t="s">
        <v>53</v>
      </c>
      <c r="C41" s="129" t="s">
        <v>7</v>
      </c>
      <c r="D41">
        <v>1000</v>
      </c>
      <c r="E41">
        <v>10000</v>
      </c>
      <c r="F41">
        <v>1E-4</v>
      </c>
      <c r="G41" s="129" t="s">
        <v>46</v>
      </c>
      <c r="H41" s="129" t="s">
        <v>68</v>
      </c>
      <c r="I41">
        <v>0</v>
      </c>
      <c r="J41">
        <v>0</v>
      </c>
      <c r="K41" s="129" t="s">
        <v>1962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s="129" t="s">
        <v>2669</v>
      </c>
      <c r="B42" s="129" t="s">
        <v>53</v>
      </c>
      <c r="C42" s="129" t="s">
        <v>7</v>
      </c>
      <c r="D42">
        <v>10000</v>
      </c>
      <c r="E42">
        <v>100000</v>
      </c>
      <c r="F42">
        <v>1E-4</v>
      </c>
      <c r="G42" s="129" t="s">
        <v>46</v>
      </c>
      <c r="H42" s="129" t="s">
        <v>45</v>
      </c>
      <c r="I42">
        <v>0</v>
      </c>
      <c r="J42">
        <v>0</v>
      </c>
      <c r="K42" s="129" t="s">
        <v>1962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s="129" t="s">
        <v>2670</v>
      </c>
      <c r="B43" s="129" t="s">
        <v>53</v>
      </c>
      <c r="C43" s="129" t="s">
        <v>7</v>
      </c>
      <c r="D43">
        <v>0</v>
      </c>
      <c r="E43">
        <v>1000</v>
      </c>
      <c r="F43">
        <v>1E-3</v>
      </c>
      <c r="G43" s="129" t="s">
        <v>46</v>
      </c>
      <c r="H43" s="129" t="s">
        <v>68</v>
      </c>
      <c r="I43">
        <v>0</v>
      </c>
      <c r="J43">
        <v>0</v>
      </c>
      <c r="K43" s="129" t="s">
        <v>1962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s="129" t="s">
        <v>2671</v>
      </c>
      <c r="B44" s="129" t="s">
        <v>53</v>
      </c>
      <c r="C44" s="129" t="s">
        <v>7</v>
      </c>
      <c r="D44">
        <v>1000</v>
      </c>
      <c r="E44">
        <v>10000</v>
      </c>
      <c r="F44">
        <v>1E-3</v>
      </c>
      <c r="G44" s="129" t="s">
        <v>46</v>
      </c>
      <c r="H44" s="129" t="s">
        <v>68</v>
      </c>
      <c r="I44">
        <v>0</v>
      </c>
      <c r="J44">
        <v>0</v>
      </c>
      <c r="K44" s="129" t="s">
        <v>1962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s="129" t="s">
        <v>2672</v>
      </c>
      <c r="B45" s="129" t="s">
        <v>53</v>
      </c>
      <c r="C45" s="129" t="s">
        <v>7</v>
      </c>
      <c r="D45">
        <v>10000</v>
      </c>
      <c r="E45">
        <v>100000</v>
      </c>
      <c r="F45">
        <v>1E-3</v>
      </c>
      <c r="G45" s="129" t="s">
        <v>46</v>
      </c>
      <c r="H45" s="129" t="s">
        <v>45</v>
      </c>
      <c r="I45">
        <v>0</v>
      </c>
      <c r="J45">
        <v>0</v>
      </c>
      <c r="K45" s="129" t="s">
        <v>1962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s="129" t="s">
        <v>2673</v>
      </c>
      <c r="B46" s="129" t="s">
        <v>53</v>
      </c>
      <c r="C46" s="129" t="s">
        <v>7</v>
      </c>
      <c r="D46">
        <v>0</v>
      </c>
      <c r="E46">
        <v>1000</v>
      </c>
      <c r="F46">
        <v>0.01</v>
      </c>
      <c r="G46" s="129" t="s">
        <v>46</v>
      </c>
      <c r="H46" s="129" t="s">
        <v>45</v>
      </c>
      <c r="I46">
        <v>0</v>
      </c>
      <c r="J46">
        <v>0</v>
      </c>
      <c r="K46" s="129" t="s">
        <v>1962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s="129" t="s">
        <v>2674</v>
      </c>
      <c r="B47" s="129" t="s">
        <v>53</v>
      </c>
      <c r="C47" s="129" t="s">
        <v>7</v>
      </c>
      <c r="D47">
        <v>1000</v>
      </c>
      <c r="E47">
        <v>10000</v>
      </c>
      <c r="F47">
        <v>0.01</v>
      </c>
      <c r="G47" s="129" t="s">
        <v>46</v>
      </c>
      <c r="H47" s="129" t="s">
        <v>45</v>
      </c>
      <c r="I47">
        <v>0</v>
      </c>
      <c r="J47">
        <v>0</v>
      </c>
      <c r="K47" s="129" t="s">
        <v>1962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s="129" t="s">
        <v>2675</v>
      </c>
      <c r="B48" s="129" t="s">
        <v>53</v>
      </c>
      <c r="C48" s="129" t="s">
        <v>7</v>
      </c>
      <c r="D48">
        <v>10000</v>
      </c>
      <c r="E48">
        <v>100000</v>
      </c>
      <c r="F48">
        <v>0.01</v>
      </c>
      <c r="G48" s="129" t="s">
        <v>46</v>
      </c>
      <c r="H48" s="129" t="s">
        <v>45</v>
      </c>
      <c r="I48">
        <v>0</v>
      </c>
      <c r="J48">
        <v>0</v>
      </c>
      <c r="K48" s="129" t="s">
        <v>1962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s="129" t="s">
        <v>2676</v>
      </c>
      <c r="B49" s="129" t="s">
        <v>53</v>
      </c>
      <c r="C49" s="129" t="s">
        <v>7</v>
      </c>
      <c r="D49">
        <v>1000</v>
      </c>
      <c r="E49">
        <v>10000</v>
      </c>
      <c r="F49">
        <v>0.1</v>
      </c>
      <c r="G49" s="129" t="s">
        <v>46</v>
      </c>
      <c r="H49" s="129" t="s">
        <v>45</v>
      </c>
      <c r="I49">
        <v>0</v>
      </c>
      <c r="J49">
        <v>0</v>
      </c>
      <c r="K49" s="129" t="s">
        <v>1962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s="129" t="s">
        <v>2677</v>
      </c>
      <c r="B50" s="129" t="s">
        <v>53</v>
      </c>
      <c r="C50" s="129" t="s">
        <v>7</v>
      </c>
      <c r="D50">
        <v>10000</v>
      </c>
      <c r="E50">
        <v>100000</v>
      </c>
      <c r="F50">
        <v>0.1</v>
      </c>
      <c r="G50" s="129" t="s">
        <v>46</v>
      </c>
      <c r="H50" s="129" t="s">
        <v>45</v>
      </c>
      <c r="I50">
        <v>0</v>
      </c>
      <c r="J50">
        <v>0</v>
      </c>
      <c r="K50" s="129" t="s">
        <v>1962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s="129" t="s">
        <v>2678</v>
      </c>
      <c r="B51" s="129" t="s">
        <v>53</v>
      </c>
      <c r="C51" s="129" t="s">
        <v>7</v>
      </c>
      <c r="D51">
        <v>10000</v>
      </c>
      <c r="E51">
        <v>100000</v>
      </c>
      <c r="F51">
        <v>1</v>
      </c>
      <c r="G51" s="129" t="s">
        <v>46</v>
      </c>
      <c r="H51" s="129" t="s">
        <v>45</v>
      </c>
      <c r="I51">
        <v>0</v>
      </c>
      <c r="J51">
        <v>0</v>
      </c>
      <c r="K51" s="129" t="s">
        <v>1962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s="129" t="s">
        <v>2679</v>
      </c>
      <c r="B52" s="129" t="s">
        <v>53</v>
      </c>
      <c r="C52" s="129" t="s">
        <v>7</v>
      </c>
      <c r="D52">
        <v>100000</v>
      </c>
      <c r="E52">
        <v>1000</v>
      </c>
      <c r="F52">
        <v>1</v>
      </c>
      <c r="G52" s="129" t="s">
        <v>46</v>
      </c>
      <c r="H52" s="129" t="s">
        <v>45</v>
      </c>
      <c r="I52">
        <v>0</v>
      </c>
      <c r="J52">
        <v>0</v>
      </c>
      <c r="K52" s="129" t="s">
        <v>1962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s="129" t="s">
        <v>2680</v>
      </c>
      <c r="B53" s="129" t="s">
        <v>53</v>
      </c>
      <c r="C53" s="129" t="s">
        <v>7</v>
      </c>
      <c r="D53">
        <v>1000</v>
      </c>
      <c r="E53">
        <v>10000</v>
      </c>
      <c r="F53">
        <v>10</v>
      </c>
      <c r="G53" s="129" t="s">
        <v>46</v>
      </c>
      <c r="H53" s="129" t="s">
        <v>45</v>
      </c>
      <c r="I53">
        <v>0</v>
      </c>
      <c r="J53">
        <v>0</v>
      </c>
      <c r="K53" s="129" t="s">
        <v>1962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s="129" t="s">
        <v>2681</v>
      </c>
      <c r="B54" s="129" t="s">
        <v>53</v>
      </c>
      <c r="C54" s="129" t="s">
        <v>7</v>
      </c>
      <c r="D54">
        <v>100000</v>
      </c>
      <c r="E54">
        <v>1000</v>
      </c>
      <c r="F54">
        <v>10</v>
      </c>
      <c r="G54" s="129" t="s">
        <v>46</v>
      </c>
      <c r="H54" s="129" t="s">
        <v>45</v>
      </c>
      <c r="I54">
        <v>0</v>
      </c>
      <c r="J54">
        <v>0</v>
      </c>
      <c r="K54" s="129" t="s">
        <v>1962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s="129" t="s">
        <v>2682</v>
      </c>
      <c r="B55" s="129" t="s">
        <v>53</v>
      </c>
      <c r="C55" s="129" t="s">
        <v>7</v>
      </c>
      <c r="D55">
        <v>1000</v>
      </c>
      <c r="E55">
        <v>10000</v>
      </c>
      <c r="F55">
        <v>100</v>
      </c>
      <c r="G55" s="129" t="s">
        <v>46</v>
      </c>
      <c r="H55" s="129" t="s">
        <v>45</v>
      </c>
      <c r="I55">
        <v>0</v>
      </c>
      <c r="J55">
        <v>0</v>
      </c>
      <c r="K55" s="129" t="s">
        <v>1962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s="129" t="s">
        <v>2683</v>
      </c>
      <c r="B56" s="129" t="s">
        <v>53</v>
      </c>
      <c r="C56" s="129" t="s">
        <v>7</v>
      </c>
      <c r="D56">
        <v>10000</v>
      </c>
      <c r="E56">
        <v>100000</v>
      </c>
      <c r="F56">
        <v>100</v>
      </c>
      <c r="G56" s="129" t="s">
        <v>46</v>
      </c>
      <c r="H56" s="129" t="s">
        <v>46</v>
      </c>
      <c r="I56">
        <v>0</v>
      </c>
      <c r="J56">
        <v>0</v>
      </c>
      <c r="K56" s="129" t="s">
        <v>1962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s="129" t="s">
        <v>2684</v>
      </c>
      <c r="B57" s="129" t="s">
        <v>53</v>
      </c>
      <c r="C57" s="129" t="s">
        <v>7</v>
      </c>
      <c r="D57">
        <v>100000</v>
      </c>
      <c r="E57">
        <v>1000</v>
      </c>
      <c r="F57">
        <v>100</v>
      </c>
      <c r="G57" s="129" t="s">
        <v>46</v>
      </c>
      <c r="H57" s="129" t="s">
        <v>45</v>
      </c>
      <c r="I57">
        <v>0</v>
      </c>
      <c r="J57">
        <v>0</v>
      </c>
      <c r="K57" s="129" t="s">
        <v>1962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s="129" t="s">
        <v>2685</v>
      </c>
      <c r="B58" s="129" t="s">
        <v>53</v>
      </c>
      <c r="C58" s="129" t="s">
        <v>7</v>
      </c>
      <c r="D58">
        <v>1000</v>
      </c>
      <c r="E58">
        <v>10000</v>
      </c>
      <c r="F58">
        <v>1000</v>
      </c>
      <c r="G58" s="129" t="s">
        <v>46</v>
      </c>
      <c r="H58" s="129" t="s">
        <v>45</v>
      </c>
      <c r="I58">
        <v>0</v>
      </c>
      <c r="J58">
        <v>0</v>
      </c>
      <c r="K58" s="129" t="s">
        <v>1962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s="129" t="s">
        <v>2686</v>
      </c>
      <c r="B59" s="129" t="s">
        <v>53</v>
      </c>
      <c r="C59" s="129" t="s">
        <v>7</v>
      </c>
      <c r="D59">
        <v>10000</v>
      </c>
      <c r="E59">
        <v>100000</v>
      </c>
      <c r="F59">
        <v>1000</v>
      </c>
      <c r="G59" s="129" t="s">
        <v>46</v>
      </c>
      <c r="H59" s="129" t="s">
        <v>46</v>
      </c>
      <c r="I59">
        <v>0</v>
      </c>
      <c r="J59">
        <v>0</v>
      </c>
      <c r="K59" s="129" t="s">
        <v>1962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s="129" t="s">
        <v>2687</v>
      </c>
      <c r="B60" s="129" t="s">
        <v>53</v>
      </c>
      <c r="C60" s="129" t="s">
        <v>7</v>
      </c>
      <c r="D60">
        <v>100000</v>
      </c>
      <c r="E60">
        <v>1000</v>
      </c>
      <c r="F60">
        <v>1000</v>
      </c>
      <c r="G60" s="129" t="s">
        <v>46</v>
      </c>
      <c r="H60" s="129" t="s">
        <v>45</v>
      </c>
      <c r="I60">
        <v>0</v>
      </c>
      <c r="J60">
        <v>0</v>
      </c>
      <c r="K60" s="129" t="s">
        <v>1962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s="129" t="s">
        <v>2688</v>
      </c>
      <c r="B61" s="129" t="s">
        <v>53</v>
      </c>
      <c r="C61" s="129" t="s">
        <v>7</v>
      </c>
      <c r="D61">
        <v>1000</v>
      </c>
      <c r="E61">
        <v>10000</v>
      </c>
      <c r="F61">
        <v>10000</v>
      </c>
      <c r="G61" s="129" t="s">
        <v>46</v>
      </c>
      <c r="H61" s="129" t="s">
        <v>46</v>
      </c>
      <c r="I61">
        <v>0</v>
      </c>
      <c r="J61">
        <v>0</v>
      </c>
      <c r="K61" s="129" t="s">
        <v>1962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s="129" t="s">
        <v>2689</v>
      </c>
      <c r="B62" s="129" t="s">
        <v>53</v>
      </c>
      <c r="C62" s="129" t="s">
        <v>7</v>
      </c>
      <c r="D62">
        <v>10000</v>
      </c>
      <c r="E62">
        <v>100000</v>
      </c>
      <c r="F62">
        <v>10000</v>
      </c>
      <c r="G62" s="129" t="s">
        <v>46</v>
      </c>
      <c r="H62" s="129" t="s">
        <v>46</v>
      </c>
      <c r="I62">
        <v>0</v>
      </c>
      <c r="J62">
        <v>0</v>
      </c>
      <c r="K62" s="129" t="s">
        <v>1962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s="129" t="s">
        <v>2690</v>
      </c>
      <c r="B63" s="129" t="s">
        <v>53</v>
      </c>
      <c r="C63" s="129" t="s">
        <v>7</v>
      </c>
      <c r="D63">
        <v>100000</v>
      </c>
      <c r="E63">
        <v>1000</v>
      </c>
      <c r="F63">
        <v>10000</v>
      </c>
      <c r="G63" s="129" t="s">
        <v>46</v>
      </c>
      <c r="H63" s="129" t="s">
        <v>46</v>
      </c>
      <c r="I63">
        <v>0</v>
      </c>
      <c r="J63">
        <v>0</v>
      </c>
      <c r="K63" s="129" t="s">
        <v>1962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s="129" t="s">
        <v>2691</v>
      </c>
      <c r="B64" s="129" t="s">
        <v>53</v>
      </c>
      <c r="C64" s="129" t="s">
        <v>7</v>
      </c>
      <c r="D64">
        <v>1000</v>
      </c>
      <c r="E64">
        <v>10000</v>
      </c>
      <c r="F64">
        <v>100000</v>
      </c>
      <c r="G64" s="129" t="s">
        <v>46</v>
      </c>
      <c r="H64" s="129" t="s">
        <v>46</v>
      </c>
      <c r="I64">
        <v>0</v>
      </c>
      <c r="J64">
        <v>0</v>
      </c>
      <c r="K64" s="129" t="s">
        <v>1962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s="129" t="s">
        <v>2692</v>
      </c>
      <c r="B65" s="129" t="s">
        <v>53</v>
      </c>
      <c r="C65" s="129" t="s">
        <v>7</v>
      </c>
      <c r="D65">
        <v>10000</v>
      </c>
      <c r="E65">
        <v>100000</v>
      </c>
      <c r="F65">
        <v>100000</v>
      </c>
      <c r="G65" s="129" t="s">
        <v>46</v>
      </c>
      <c r="H65" s="129" t="s">
        <v>46</v>
      </c>
      <c r="I65">
        <v>0</v>
      </c>
      <c r="J65">
        <v>0</v>
      </c>
      <c r="K65" s="129" t="s">
        <v>1962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s="129" t="s">
        <v>2693</v>
      </c>
      <c r="B66" s="129" t="s">
        <v>53</v>
      </c>
      <c r="C66" s="129" t="s">
        <v>7</v>
      </c>
      <c r="D66">
        <v>10000</v>
      </c>
      <c r="E66">
        <v>100000</v>
      </c>
      <c r="F66">
        <v>1000000</v>
      </c>
      <c r="G66" s="129" t="s">
        <v>46</v>
      </c>
      <c r="H66" s="129" t="s">
        <v>46</v>
      </c>
      <c r="I66">
        <v>0</v>
      </c>
      <c r="J66">
        <v>0</v>
      </c>
      <c r="K66" s="129" t="s">
        <v>1962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s="129" t="s">
        <v>2694</v>
      </c>
      <c r="B67" s="129" t="s">
        <v>53</v>
      </c>
      <c r="C67" s="129" t="s">
        <v>7</v>
      </c>
      <c r="D67">
        <v>100000</v>
      </c>
      <c r="E67">
        <v>1000</v>
      </c>
      <c r="F67">
        <v>1000000</v>
      </c>
      <c r="G67" s="129" t="s">
        <v>46</v>
      </c>
      <c r="H67" s="129" t="s">
        <v>46</v>
      </c>
      <c r="I67">
        <v>0</v>
      </c>
      <c r="J67">
        <v>0</v>
      </c>
      <c r="K67" s="129" t="s">
        <v>1962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s="129" t="s">
        <v>2695</v>
      </c>
      <c r="B68" s="129" t="s">
        <v>53</v>
      </c>
      <c r="C68" s="129" t="s">
        <v>7</v>
      </c>
      <c r="D68">
        <v>100000</v>
      </c>
      <c r="E68">
        <v>1000</v>
      </c>
      <c r="F68">
        <v>10000000</v>
      </c>
      <c r="G68" s="129" t="s">
        <v>46</v>
      </c>
      <c r="H68" s="129" t="s">
        <v>46</v>
      </c>
      <c r="I68">
        <v>0</v>
      </c>
      <c r="J68">
        <v>0</v>
      </c>
      <c r="K68" s="129" t="s">
        <v>1962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s="129" t="s">
        <v>2696</v>
      </c>
      <c r="B69" s="129" t="s">
        <v>53</v>
      </c>
      <c r="C69" s="129" t="s">
        <v>7</v>
      </c>
      <c r="D69">
        <v>100000</v>
      </c>
      <c r="E69">
        <v>1000</v>
      </c>
      <c r="F69">
        <v>100000000</v>
      </c>
      <c r="G69" s="129" t="s">
        <v>46</v>
      </c>
      <c r="H69" s="129" t="s">
        <v>46</v>
      </c>
      <c r="I69">
        <v>0</v>
      </c>
      <c r="J69">
        <v>0</v>
      </c>
      <c r="K69" s="129" t="s">
        <v>1962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s="129" t="s">
        <v>2697</v>
      </c>
      <c r="B70" s="129" t="s">
        <v>53</v>
      </c>
      <c r="C70" s="129" t="s">
        <v>7</v>
      </c>
      <c r="D70">
        <v>100000</v>
      </c>
      <c r="E70">
        <v>1000</v>
      </c>
      <c r="F70">
        <v>1000000000</v>
      </c>
      <c r="G70" s="129" t="s">
        <v>46</v>
      </c>
      <c r="H70" s="129" t="s">
        <v>46</v>
      </c>
      <c r="I70">
        <v>0</v>
      </c>
      <c r="J70">
        <v>0</v>
      </c>
      <c r="K70" s="129" t="s">
        <v>1962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s="129" t="s">
        <v>2698</v>
      </c>
      <c r="B71" s="129" t="s">
        <v>53</v>
      </c>
      <c r="C71" s="129" t="s">
        <v>7</v>
      </c>
      <c r="D71">
        <v>100000</v>
      </c>
      <c r="E71">
        <v>1000</v>
      </c>
      <c r="F71">
        <v>10000000000</v>
      </c>
      <c r="G71" s="129" t="s">
        <v>46</v>
      </c>
      <c r="H71" s="129" t="s">
        <v>47</v>
      </c>
      <c r="I71">
        <v>0</v>
      </c>
      <c r="J71">
        <v>0</v>
      </c>
      <c r="K71" s="129" t="s">
        <v>1962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s="129" t="s">
        <v>2416</v>
      </c>
      <c r="B72" s="129" t="s">
        <v>52</v>
      </c>
      <c r="C72" s="129" t="s">
        <v>44</v>
      </c>
      <c r="D72">
        <v>0</v>
      </c>
      <c r="E72">
        <v>1E-4</v>
      </c>
      <c r="F72">
        <v>1E-10</v>
      </c>
      <c r="G72" s="129" t="s">
        <v>13</v>
      </c>
      <c r="H72" s="129" t="s">
        <v>11</v>
      </c>
      <c r="I72">
        <v>1E-3</v>
      </c>
      <c r="J72">
        <v>0.02</v>
      </c>
      <c r="K72" s="129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s="129" t="s">
        <v>1264</v>
      </c>
      <c r="B73" s="129" t="s">
        <v>52</v>
      </c>
      <c r="C73" s="129" t="s">
        <v>44</v>
      </c>
      <c r="D73">
        <v>0</v>
      </c>
      <c r="E73">
        <v>1E-4</v>
      </c>
      <c r="F73">
        <v>1E-10</v>
      </c>
      <c r="G73" s="129" t="s">
        <v>13</v>
      </c>
      <c r="H73" s="129" t="s">
        <v>11</v>
      </c>
      <c r="I73">
        <v>0.02</v>
      </c>
      <c r="J73">
        <v>4.4999999999999998E-2</v>
      </c>
      <c r="K73" s="129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s="129" t="s">
        <v>1265</v>
      </c>
      <c r="B74" s="129" t="s">
        <v>52</v>
      </c>
      <c r="C74" s="129" t="s">
        <v>44</v>
      </c>
      <c r="D74">
        <v>0</v>
      </c>
      <c r="E74">
        <v>1E-4</v>
      </c>
      <c r="F74">
        <v>1E-10</v>
      </c>
      <c r="G74" s="129" t="s">
        <v>13</v>
      </c>
      <c r="H74" s="129" t="s">
        <v>11</v>
      </c>
      <c r="I74">
        <v>4.4999999999999998E-2</v>
      </c>
      <c r="J74">
        <v>5</v>
      </c>
      <c r="K74" s="129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s="129" t="s">
        <v>1290</v>
      </c>
      <c r="B75" s="129" t="s">
        <v>52</v>
      </c>
      <c r="C75" s="129" t="s">
        <v>44</v>
      </c>
      <c r="D75">
        <v>1E-4</v>
      </c>
      <c r="E75">
        <v>1E-3</v>
      </c>
      <c r="F75">
        <v>1E-10</v>
      </c>
      <c r="G75" s="129" t="s">
        <v>13</v>
      </c>
      <c r="H75" s="129" t="s">
        <v>11</v>
      </c>
      <c r="I75">
        <v>1E-3</v>
      </c>
      <c r="J75">
        <v>0.02</v>
      </c>
      <c r="K75" s="129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s="129" t="s">
        <v>1291</v>
      </c>
      <c r="B76" s="129" t="s">
        <v>52</v>
      </c>
      <c r="C76" s="129" t="s">
        <v>44</v>
      </c>
      <c r="D76">
        <v>1E-4</v>
      </c>
      <c r="E76">
        <v>1E-3</v>
      </c>
      <c r="F76">
        <v>1E-10</v>
      </c>
      <c r="G76" s="129" t="s">
        <v>13</v>
      </c>
      <c r="H76" s="129" t="s">
        <v>11</v>
      </c>
      <c r="I76">
        <v>0.02</v>
      </c>
      <c r="J76">
        <v>4.4999999999999998E-2</v>
      </c>
      <c r="K76" s="129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s="129" t="s">
        <v>1293</v>
      </c>
      <c r="B77" s="129" t="s">
        <v>52</v>
      </c>
      <c r="C77" s="129" t="s">
        <v>44</v>
      </c>
      <c r="D77">
        <v>1E-4</v>
      </c>
      <c r="E77">
        <v>1E-3</v>
      </c>
      <c r="F77">
        <v>1E-10</v>
      </c>
      <c r="G77" s="129" t="s">
        <v>13</v>
      </c>
      <c r="H77" s="129" t="s">
        <v>11</v>
      </c>
      <c r="I77">
        <v>4.4999999999999998E-2</v>
      </c>
      <c r="J77">
        <v>0.1</v>
      </c>
      <c r="K77" s="129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s="129" t="s">
        <v>1288</v>
      </c>
      <c r="B78" s="129" t="s">
        <v>52</v>
      </c>
      <c r="C78" s="129" t="s">
        <v>44</v>
      </c>
      <c r="D78">
        <v>1E-4</v>
      </c>
      <c r="E78">
        <v>1E-3</v>
      </c>
      <c r="F78">
        <v>1E-10</v>
      </c>
      <c r="G78" s="129" t="s">
        <v>13</v>
      </c>
      <c r="H78" s="129" t="s">
        <v>11</v>
      </c>
      <c r="I78">
        <v>0.1</v>
      </c>
      <c r="J78">
        <v>5</v>
      </c>
      <c r="K78" s="129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s="129" t="s">
        <v>1289</v>
      </c>
      <c r="B79" s="129" t="s">
        <v>52</v>
      </c>
      <c r="C79" s="129" t="s">
        <v>44</v>
      </c>
      <c r="D79">
        <v>1E-4</v>
      </c>
      <c r="E79">
        <v>1E-3</v>
      </c>
      <c r="F79">
        <v>1E-10</v>
      </c>
      <c r="G79" s="129" t="s">
        <v>13</v>
      </c>
      <c r="H79" s="129" t="s">
        <v>11</v>
      </c>
      <c r="I79">
        <v>5</v>
      </c>
      <c r="J79">
        <v>20</v>
      </c>
      <c r="K79" s="12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s="129" t="s">
        <v>1292</v>
      </c>
      <c r="B80" s="129" t="s">
        <v>52</v>
      </c>
      <c r="C80" s="129" t="s">
        <v>44</v>
      </c>
      <c r="D80">
        <v>1E-4</v>
      </c>
      <c r="E80">
        <v>1E-3</v>
      </c>
      <c r="F80">
        <v>1E-10</v>
      </c>
      <c r="G80" s="129" t="s">
        <v>13</v>
      </c>
      <c r="H80" s="129" t="s">
        <v>11</v>
      </c>
      <c r="I80">
        <v>20</v>
      </c>
      <c r="J80">
        <v>50</v>
      </c>
      <c r="K80" s="129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s="129" t="s">
        <v>2426</v>
      </c>
      <c r="B81" s="129" t="s">
        <v>52</v>
      </c>
      <c r="C81" s="129" t="s">
        <v>44</v>
      </c>
      <c r="D81">
        <v>1E-4</v>
      </c>
      <c r="E81">
        <v>1E-3</v>
      </c>
      <c r="F81">
        <v>1E-10</v>
      </c>
      <c r="G81" s="129" t="s">
        <v>13</v>
      </c>
      <c r="H81" s="129" t="s">
        <v>11</v>
      </c>
      <c r="I81">
        <v>50</v>
      </c>
      <c r="J81">
        <v>100</v>
      </c>
      <c r="K81" s="129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s="129" t="s">
        <v>1268</v>
      </c>
      <c r="B82" s="129" t="s">
        <v>52</v>
      </c>
      <c r="C82" s="129" t="s">
        <v>44</v>
      </c>
      <c r="D82">
        <v>0</v>
      </c>
      <c r="E82">
        <v>1E-4</v>
      </c>
      <c r="F82">
        <v>1.0000000000000001E-9</v>
      </c>
      <c r="G82" s="129" t="s">
        <v>13</v>
      </c>
      <c r="H82" s="129" t="s">
        <v>11</v>
      </c>
      <c r="I82">
        <v>1E-3</v>
      </c>
      <c r="J82">
        <v>0.02</v>
      </c>
      <c r="K82" s="129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s="129" t="s">
        <v>1267</v>
      </c>
      <c r="B83" s="129" t="s">
        <v>52</v>
      </c>
      <c r="C83" s="129" t="s">
        <v>44</v>
      </c>
      <c r="D83">
        <v>0</v>
      </c>
      <c r="E83">
        <v>1E-4</v>
      </c>
      <c r="F83">
        <v>1.0000000000000001E-9</v>
      </c>
      <c r="G83" s="129" t="s">
        <v>13</v>
      </c>
      <c r="H83" s="129" t="s">
        <v>11</v>
      </c>
      <c r="I83">
        <v>0.02</v>
      </c>
      <c r="J83">
        <v>4.4999999999999998E-2</v>
      </c>
      <c r="K83" s="129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s="129" t="s">
        <v>1266</v>
      </c>
      <c r="B84" s="129" t="s">
        <v>52</v>
      </c>
      <c r="C84" s="129" t="s">
        <v>44</v>
      </c>
      <c r="D84">
        <v>0</v>
      </c>
      <c r="E84">
        <v>1E-4</v>
      </c>
      <c r="F84">
        <v>1.0000000000000001E-9</v>
      </c>
      <c r="G84" s="129" t="s">
        <v>13</v>
      </c>
      <c r="H84" s="129" t="s">
        <v>11</v>
      </c>
      <c r="I84">
        <v>4.4999999999999998E-2</v>
      </c>
      <c r="J84">
        <v>5</v>
      </c>
      <c r="K84" s="129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s="129" t="s">
        <v>1299</v>
      </c>
      <c r="B85" s="129" t="s">
        <v>52</v>
      </c>
      <c r="C85" s="129" t="s">
        <v>44</v>
      </c>
      <c r="D85">
        <v>1E-4</v>
      </c>
      <c r="E85">
        <v>1E-3</v>
      </c>
      <c r="F85">
        <v>1.0000000000000001E-9</v>
      </c>
      <c r="G85" s="129" t="s">
        <v>13</v>
      </c>
      <c r="H85" s="129" t="s">
        <v>11</v>
      </c>
      <c r="I85">
        <v>1E-3</v>
      </c>
      <c r="J85">
        <v>0.02</v>
      </c>
      <c r="K85" s="129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s="129" t="s">
        <v>1298</v>
      </c>
      <c r="B86" s="129" t="s">
        <v>52</v>
      </c>
      <c r="C86" s="129" t="s">
        <v>44</v>
      </c>
      <c r="D86">
        <v>1E-4</v>
      </c>
      <c r="E86">
        <v>1E-3</v>
      </c>
      <c r="F86">
        <v>1.0000000000000001E-9</v>
      </c>
      <c r="G86" s="129" t="s">
        <v>13</v>
      </c>
      <c r="H86" s="129" t="s">
        <v>11</v>
      </c>
      <c r="I86">
        <v>0.02</v>
      </c>
      <c r="J86">
        <v>4.4999999999999998E-2</v>
      </c>
      <c r="K86" s="129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s="129" t="s">
        <v>2425</v>
      </c>
      <c r="B87" s="129" t="s">
        <v>52</v>
      </c>
      <c r="C87" s="129" t="s">
        <v>44</v>
      </c>
      <c r="D87">
        <v>1E-4</v>
      </c>
      <c r="E87">
        <v>1E-3</v>
      </c>
      <c r="F87">
        <v>1.0000000000000001E-9</v>
      </c>
      <c r="G87" s="129" t="s">
        <v>13</v>
      </c>
      <c r="H87" s="129" t="s">
        <v>11</v>
      </c>
      <c r="I87">
        <v>4.4999999999999998E-2</v>
      </c>
      <c r="J87">
        <v>0.1</v>
      </c>
      <c r="K87" s="129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s="129" t="s">
        <v>1294</v>
      </c>
      <c r="B88" s="129" t="s">
        <v>52</v>
      </c>
      <c r="C88" s="129" t="s">
        <v>44</v>
      </c>
      <c r="D88">
        <v>1E-4</v>
      </c>
      <c r="E88">
        <v>1E-3</v>
      </c>
      <c r="F88">
        <v>1.0000000000000001E-9</v>
      </c>
      <c r="G88" s="129" t="s">
        <v>13</v>
      </c>
      <c r="H88" s="129" t="s">
        <v>11</v>
      </c>
      <c r="I88">
        <v>0.1</v>
      </c>
      <c r="J88">
        <v>5</v>
      </c>
      <c r="K88" s="129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s="129" t="s">
        <v>1296</v>
      </c>
      <c r="B89" s="129" t="s">
        <v>52</v>
      </c>
      <c r="C89" s="129" t="s">
        <v>44</v>
      </c>
      <c r="D89">
        <v>1E-4</v>
      </c>
      <c r="E89">
        <v>1E-3</v>
      </c>
      <c r="F89">
        <v>1.0000000000000001E-9</v>
      </c>
      <c r="G89" s="129" t="s">
        <v>13</v>
      </c>
      <c r="H89" s="129" t="s">
        <v>11</v>
      </c>
      <c r="I89">
        <v>5</v>
      </c>
      <c r="J89">
        <v>20</v>
      </c>
      <c r="K89" s="12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s="129" t="s">
        <v>1297</v>
      </c>
      <c r="B90" s="129" t="s">
        <v>52</v>
      </c>
      <c r="C90" s="129" t="s">
        <v>44</v>
      </c>
      <c r="D90">
        <v>1E-4</v>
      </c>
      <c r="E90">
        <v>1E-3</v>
      </c>
      <c r="F90">
        <v>1.0000000000000001E-9</v>
      </c>
      <c r="G90" s="129" t="s">
        <v>13</v>
      </c>
      <c r="H90" s="129" t="s">
        <v>11</v>
      </c>
      <c r="I90">
        <v>20</v>
      </c>
      <c r="J90">
        <v>50</v>
      </c>
      <c r="K90" s="129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s="129" t="s">
        <v>1295</v>
      </c>
      <c r="B91" s="129" t="s">
        <v>52</v>
      </c>
      <c r="C91" s="129" t="s">
        <v>44</v>
      </c>
      <c r="D91">
        <v>1E-4</v>
      </c>
      <c r="E91">
        <v>1E-3</v>
      </c>
      <c r="F91">
        <v>1.0000000000000001E-9</v>
      </c>
      <c r="G91" s="129" t="s">
        <v>13</v>
      </c>
      <c r="H91" s="129" t="s">
        <v>11</v>
      </c>
      <c r="I91">
        <v>50</v>
      </c>
      <c r="J91">
        <v>100</v>
      </c>
      <c r="K91" s="129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s="129" t="s">
        <v>1269</v>
      </c>
      <c r="B92" s="129" t="s">
        <v>52</v>
      </c>
      <c r="C92" s="129" t="s">
        <v>44</v>
      </c>
      <c r="D92">
        <v>0</v>
      </c>
      <c r="E92">
        <v>1E-4</v>
      </c>
      <c r="F92">
        <v>1E-8</v>
      </c>
      <c r="G92" s="129" t="s">
        <v>13</v>
      </c>
      <c r="H92" s="129" t="s">
        <v>11</v>
      </c>
      <c r="I92">
        <v>1E-3</v>
      </c>
      <c r="J92">
        <v>0.02</v>
      </c>
      <c r="K92" s="129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s="129" t="s">
        <v>2420</v>
      </c>
      <c r="B93" s="129" t="s">
        <v>52</v>
      </c>
      <c r="C93" s="129" t="s">
        <v>44</v>
      </c>
      <c r="D93">
        <v>0</v>
      </c>
      <c r="E93">
        <v>1E-4</v>
      </c>
      <c r="F93">
        <v>1E-8</v>
      </c>
      <c r="G93" s="129" t="s">
        <v>13</v>
      </c>
      <c r="H93" s="129" t="s">
        <v>11</v>
      </c>
      <c r="I93">
        <v>0.02</v>
      </c>
      <c r="J93">
        <v>4.4999999999999998E-2</v>
      </c>
      <c r="K93" s="129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s="129" t="s">
        <v>1270</v>
      </c>
      <c r="B94" s="129" t="s">
        <v>52</v>
      </c>
      <c r="C94" s="129" t="s">
        <v>44</v>
      </c>
      <c r="D94">
        <v>0</v>
      </c>
      <c r="E94">
        <v>1E-4</v>
      </c>
      <c r="F94">
        <v>1E-8</v>
      </c>
      <c r="G94" s="129" t="s">
        <v>13</v>
      </c>
      <c r="H94" s="129" t="s">
        <v>11</v>
      </c>
      <c r="I94">
        <v>4.4999999999999998E-2</v>
      </c>
      <c r="J94">
        <v>5</v>
      </c>
      <c r="K94" s="129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s="129" t="s">
        <v>1304</v>
      </c>
      <c r="B95" s="129" t="s">
        <v>52</v>
      </c>
      <c r="C95" s="129" t="s">
        <v>44</v>
      </c>
      <c r="D95">
        <v>1E-4</v>
      </c>
      <c r="E95">
        <v>1E-3</v>
      </c>
      <c r="F95">
        <v>1E-8</v>
      </c>
      <c r="G95" s="129" t="s">
        <v>13</v>
      </c>
      <c r="H95" s="129" t="s">
        <v>11</v>
      </c>
      <c r="I95">
        <v>1E-3</v>
      </c>
      <c r="J95">
        <v>0.02</v>
      </c>
      <c r="K95" s="129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s="129" t="s">
        <v>1305</v>
      </c>
      <c r="B96" s="129" t="s">
        <v>52</v>
      </c>
      <c r="C96" s="129" t="s">
        <v>44</v>
      </c>
      <c r="D96">
        <v>1E-4</v>
      </c>
      <c r="E96">
        <v>1E-3</v>
      </c>
      <c r="F96">
        <v>1E-8</v>
      </c>
      <c r="G96" s="129" t="s">
        <v>13</v>
      </c>
      <c r="H96" s="129" t="s">
        <v>11</v>
      </c>
      <c r="I96">
        <v>0.02</v>
      </c>
      <c r="J96">
        <v>4.4999999999999998E-2</v>
      </c>
      <c r="K96" s="129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s="129" t="s">
        <v>1301</v>
      </c>
      <c r="B97" s="129" t="s">
        <v>52</v>
      </c>
      <c r="C97" s="129" t="s">
        <v>44</v>
      </c>
      <c r="D97">
        <v>1E-4</v>
      </c>
      <c r="E97">
        <v>1E-3</v>
      </c>
      <c r="F97">
        <v>1E-8</v>
      </c>
      <c r="G97" s="129" t="s">
        <v>13</v>
      </c>
      <c r="H97" s="129" t="s">
        <v>11</v>
      </c>
      <c r="I97">
        <v>4.4999999999999998E-2</v>
      </c>
      <c r="J97">
        <v>0.1</v>
      </c>
      <c r="K97" s="129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s="129" t="s">
        <v>1302</v>
      </c>
      <c r="B98" s="129" t="s">
        <v>52</v>
      </c>
      <c r="C98" s="129" t="s">
        <v>44</v>
      </c>
      <c r="D98">
        <v>1E-4</v>
      </c>
      <c r="E98">
        <v>1E-3</v>
      </c>
      <c r="F98">
        <v>1E-8</v>
      </c>
      <c r="G98" s="129" t="s">
        <v>13</v>
      </c>
      <c r="H98" s="129" t="s">
        <v>11</v>
      </c>
      <c r="I98">
        <v>0.1</v>
      </c>
      <c r="J98">
        <v>5</v>
      </c>
      <c r="K98" s="129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s="129" t="s">
        <v>1306</v>
      </c>
      <c r="B99" s="129" t="s">
        <v>52</v>
      </c>
      <c r="C99" s="129" t="s">
        <v>44</v>
      </c>
      <c r="D99">
        <v>1E-4</v>
      </c>
      <c r="E99">
        <v>1E-3</v>
      </c>
      <c r="F99">
        <v>1E-8</v>
      </c>
      <c r="G99" s="129" t="s">
        <v>13</v>
      </c>
      <c r="H99" s="129" t="s">
        <v>11</v>
      </c>
      <c r="I99">
        <v>5</v>
      </c>
      <c r="J99">
        <v>20</v>
      </c>
      <c r="K99" s="12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s="129" t="s">
        <v>1300</v>
      </c>
      <c r="B100" s="129" t="s">
        <v>52</v>
      </c>
      <c r="C100" s="129" t="s">
        <v>44</v>
      </c>
      <c r="D100">
        <v>1E-4</v>
      </c>
      <c r="E100">
        <v>1E-3</v>
      </c>
      <c r="F100">
        <v>1E-8</v>
      </c>
      <c r="G100" s="129" t="s">
        <v>13</v>
      </c>
      <c r="H100" s="129" t="s">
        <v>11</v>
      </c>
      <c r="I100">
        <v>20</v>
      </c>
      <c r="J100">
        <v>50</v>
      </c>
      <c r="K100" s="129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s="129" t="s">
        <v>1303</v>
      </c>
      <c r="B101" s="129" t="s">
        <v>52</v>
      </c>
      <c r="C101" s="129" t="s">
        <v>44</v>
      </c>
      <c r="D101">
        <v>1E-4</v>
      </c>
      <c r="E101">
        <v>1E-3</v>
      </c>
      <c r="F101">
        <v>1E-8</v>
      </c>
      <c r="G101" s="129" t="s">
        <v>13</v>
      </c>
      <c r="H101" s="129" t="s">
        <v>11</v>
      </c>
      <c r="I101">
        <v>50</v>
      </c>
      <c r="J101">
        <v>100</v>
      </c>
      <c r="K101" s="129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s="129" t="s">
        <v>1322</v>
      </c>
      <c r="B102" s="129" t="s">
        <v>52</v>
      </c>
      <c r="C102" s="129" t="s">
        <v>44</v>
      </c>
      <c r="D102">
        <v>1E-3</v>
      </c>
      <c r="E102">
        <v>0.01</v>
      </c>
      <c r="F102">
        <v>1E-8</v>
      </c>
      <c r="G102" s="129" t="s">
        <v>13</v>
      </c>
      <c r="H102" s="129" t="s">
        <v>11</v>
      </c>
      <c r="I102">
        <v>1E-3</v>
      </c>
      <c r="J102">
        <v>0.02</v>
      </c>
      <c r="K102" s="129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s="129" t="s">
        <v>1325</v>
      </c>
      <c r="B103" s="129" t="s">
        <v>52</v>
      </c>
      <c r="C103" s="129" t="s">
        <v>44</v>
      </c>
      <c r="D103">
        <v>1E-3</v>
      </c>
      <c r="E103">
        <v>0.01</v>
      </c>
      <c r="F103">
        <v>1E-8</v>
      </c>
      <c r="G103" s="129" t="s">
        <v>13</v>
      </c>
      <c r="H103" s="129" t="s">
        <v>11</v>
      </c>
      <c r="I103">
        <v>0.02</v>
      </c>
      <c r="J103">
        <v>4.4999999999999998E-2</v>
      </c>
      <c r="K103" s="129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s="129" t="s">
        <v>2431</v>
      </c>
      <c r="B104" s="129" t="s">
        <v>52</v>
      </c>
      <c r="C104" s="129" t="s">
        <v>44</v>
      </c>
      <c r="D104">
        <v>1E-3</v>
      </c>
      <c r="E104">
        <v>0.01</v>
      </c>
      <c r="F104">
        <v>1E-8</v>
      </c>
      <c r="G104" s="129" t="s">
        <v>13</v>
      </c>
      <c r="H104" s="129" t="s">
        <v>11</v>
      </c>
      <c r="I104">
        <v>4.4999999999999998E-2</v>
      </c>
      <c r="J104">
        <v>0.1</v>
      </c>
      <c r="K104" s="129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s="129" t="s">
        <v>1321</v>
      </c>
      <c r="B105" s="129" t="s">
        <v>52</v>
      </c>
      <c r="C105" s="129" t="s">
        <v>44</v>
      </c>
      <c r="D105">
        <v>1E-3</v>
      </c>
      <c r="E105">
        <v>0.01</v>
      </c>
      <c r="F105">
        <v>1E-8</v>
      </c>
      <c r="G105" s="129" t="s">
        <v>13</v>
      </c>
      <c r="H105" s="129" t="s">
        <v>11</v>
      </c>
      <c r="I105">
        <v>0.1</v>
      </c>
      <c r="J105">
        <v>5</v>
      </c>
      <c r="K105" s="129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s="129" t="s">
        <v>1323</v>
      </c>
      <c r="B106" s="129" t="s">
        <v>52</v>
      </c>
      <c r="C106" s="129" t="s">
        <v>44</v>
      </c>
      <c r="D106">
        <v>1E-3</v>
      </c>
      <c r="E106">
        <v>0.01</v>
      </c>
      <c r="F106">
        <v>1E-8</v>
      </c>
      <c r="G106" s="129" t="s">
        <v>13</v>
      </c>
      <c r="H106" s="129" t="s">
        <v>11</v>
      </c>
      <c r="I106">
        <v>5</v>
      </c>
      <c r="J106">
        <v>20</v>
      </c>
      <c r="K106" s="129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s="129" t="s">
        <v>1324</v>
      </c>
      <c r="B107" s="129" t="s">
        <v>52</v>
      </c>
      <c r="C107" s="129" t="s">
        <v>44</v>
      </c>
      <c r="D107">
        <v>1E-3</v>
      </c>
      <c r="E107">
        <v>0.01</v>
      </c>
      <c r="F107">
        <v>1E-8</v>
      </c>
      <c r="G107" s="129" t="s">
        <v>13</v>
      </c>
      <c r="H107" s="129" t="s">
        <v>11</v>
      </c>
      <c r="I107">
        <v>20</v>
      </c>
      <c r="J107">
        <v>50</v>
      </c>
      <c r="K107" s="129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s="129" t="s">
        <v>1326</v>
      </c>
      <c r="B108" s="129" t="s">
        <v>52</v>
      </c>
      <c r="C108" s="129" t="s">
        <v>44</v>
      </c>
      <c r="D108">
        <v>1E-3</v>
      </c>
      <c r="E108">
        <v>0.01</v>
      </c>
      <c r="F108">
        <v>1E-8</v>
      </c>
      <c r="G108" s="129" t="s">
        <v>13</v>
      </c>
      <c r="H108" s="129" t="s">
        <v>11</v>
      </c>
      <c r="I108">
        <v>50</v>
      </c>
      <c r="J108">
        <v>100</v>
      </c>
      <c r="K108" s="129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s="129" t="s">
        <v>2417</v>
      </c>
      <c r="B109" s="129" t="s">
        <v>52</v>
      </c>
      <c r="C109" s="129" t="s">
        <v>44</v>
      </c>
      <c r="D109">
        <v>0</v>
      </c>
      <c r="E109">
        <v>1E-4</v>
      </c>
      <c r="F109">
        <v>9.9999999999999995E-8</v>
      </c>
      <c r="G109" s="129" t="s">
        <v>13</v>
      </c>
      <c r="H109" s="129" t="s">
        <v>11</v>
      </c>
      <c r="I109">
        <v>1E-3</v>
      </c>
      <c r="J109">
        <v>0.02</v>
      </c>
      <c r="K109" s="12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s="129" t="s">
        <v>1272</v>
      </c>
      <c r="B110" s="129" t="s">
        <v>52</v>
      </c>
      <c r="C110" s="129" t="s">
        <v>44</v>
      </c>
      <c r="D110">
        <v>0</v>
      </c>
      <c r="E110">
        <v>1E-4</v>
      </c>
      <c r="F110">
        <v>9.9999999999999995E-8</v>
      </c>
      <c r="G110" s="129" t="s">
        <v>13</v>
      </c>
      <c r="H110" s="129" t="s">
        <v>11</v>
      </c>
      <c r="I110">
        <v>0.02</v>
      </c>
      <c r="J110">
        <v>4.4999999999999998E-2</v>
      </c>
      <c r="K110" s="129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s="129" t="s">
        <v>1271</v>
      </c>
      <c r="B111" s="129" t="s">
        <v>52</v>
      </c>
      <c r="C111" s="129" t="s">
        <v>44</v>
      </c>
      <c r="D111">
        <v>0</v>
      </c>
      <c r="E111">
        <v>1E-4</v>
      </c>
      <c r="F111">
        <v>9.9999999999999995E-8</v>
      </c>
      <c r="G111" s="129" t="s">
        <v>13</v>
      </c>
      <c r="H111" s="129" t="s">
        <v>11</v>
      </c>
      <c r="I111">
        <v>4.4999999999999998E-2</v>
      </c>
      <c r="J111">
        <v>5</v>
      </c>
      <c r="K111" s="129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s="129" t="s">
        <v>1310</v>
      </c>
      <c r="B112" s="129" t="s">
        <v>52</v>
      </c>
      <c r="C112" s="129" t="s">
        <v>44</v>
      </c>
      <c r="D112">
        <v>1E-4</v>
      </c>
      <c r="E112">
        <v>1E-3</v>
      </c>
      <c r="F112">
        <v>9.9999999999999995E-8</v>
      </c>
      <c r="G112" s="129" t="s">
        <v>13</v>
      </c>
      <c r="H112" s="129" t="s">
        <v>11</v>
      </c>
      <c r="I112">
        <v>1E-3</v>
      </c>
      <c r="J112">
        <v>0.02</v>
      </c>
      <c r="K112" s="129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s="129" t="s">
        <v>1307</v>
      </c>
      <c r="B113" s="129" t="s">
        <v>52</v>
      </c>
      <c r="C113" s="129" t="s">
        <v>44</v>
      </c>
      <c r="D113">
        <v>1E-4</v>
      </c>
      <c r="E113">
        <v>1E-3</v>
      </c>
      <c r="F113">
        <v>9.9999999999999995E-8</v>
      </c>
      <c r="G113" s="129" t="s">
        <v>13</v>
      </c>
      <c r="H113" s="129" t="s">
        <v>11</v>
      </c>
      <c r="I113">
        <v>0.02</v>
      </c>
      <c r="J113">
        <v>4.4999999999999998E-2</v>
      </c>
      <c r="K113" s="129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s="129" t="s">
        <v>1312</v>
      </c>
      <c r="B114" s="129" t="s">
        <v>52</v>
      </c>
      <c r="C114" s="129" t="s">
        <v>44</v>
      </c>
      <c r="D114">
        <v>1E-4</v>
      </c>
      <c r="E114">
        <v>1E-3</v>
      </c>
      <c r="F114">
        <v>9.9999999999999995E-8</v>
      </c>
      <c r="G114" s="129" t="s">
        <v>13</v>
      </c>
      <c r="H114" s="129" t="s">
        <v>11</v>
      </c>
      <c r="I114">
        <v>4.4999999999999998E-2</v>
      </c>
      <c r="J114">
        <v>0.1</v>
      </c>
      <c r="K114" s="129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s="129" t="s">
        <v>1309</v>
      </c>
      <c r="B115" s="129" t="s">
        <v>52</v>
      </c>
      <c r="C115" s="129" t="s">
        <v>44</v>
      </c>
      <c r="D115">
        <v>1E-4</v>
      </c>
      <c r="E115">
        <v>1E-3</v>
      </c>
      <c r="F115">
        <v>9.9999999999999995E-8</v>
      </c>
      <c r="G115" s="129" t="s">
        <v>13</v>
      </c>
      <c r="H115" s="129" t="s">
        <v>11</v>
      </c>
      <c r="I115">
        <v>0.1</v>
      </c>
      <c r="J115">
        <v>5</v>
      </c>
      <c r="K115" s="129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s="129" t="s">
        <v>1313</v>
      </c>
      <c r="B116" s="129" t="s">
        <v>52</v>
      </c>
      <c r="C116" s="129" t="s">
        <v>44</v>
      </c>
      <c r="D116">
        <v>1E-4</v>
      </c>
      <c r="E116">
        <v>1E-3</v>
      </c>
      <c r="F116">
        <v>9.9999999999999995E-8</v>
      </c>
      <c r="G116" s="129" t="s">
        <v>13</v>
      </c>
      <c r="H116" s="129" t="s">
        <v>11</v>
      </c>
      <c r="I116">
        <v>5</v>
      </c>
      <c r="J116">
        <v>20</v>
      </c>
      <c r="K116" s="129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s="129" t="s">
        <v>1311</v>
      </c>
      <c r="B117" s="129" t="s">
        <v>52</v>
      </c>
      <c r="C117" s="129" t="s">
        <v>44</v>
      </c>
      <c r="D117">
        <v>1E-4</v>
      </c>
      <c r="E117">
        <v>1E-3</v>
      </c>
      <c r="F117">
        <v>9.9999999999999995E-8</v>
      </c>
      <c r="G117" s="129" t="s">
        <v>13</v>
      </c>
      <c r="H117" s="129" t="s">
        <v>11</v>
      </c>
      <c r="I117">
        <v>20</v>
      </c>
      <c r="J117">
        <v>50</v>
      </c>
      <c r="K117" s="129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s="129" t="s">
        <v>1308</v>
      </c>
      <c r="B118" s="129" t="s">
        <v>52</v>
      </c>
      <c r="C118" s="129" t="s">
        <v>44</v>
      </c>
      <c r="D118">
        <v>1E-4</v>
      </c>
      <c r="E118">
        <v>1E-3</v>
      </c>
      <c r="F118">
        <v>9.9999999999999995E-8</v>
      </c>
      <c r="G118" s="129" t="s">
        <v>13</v>
      </c>
      <c r="H118" s="129" t="s">
        <v>11</v>
      </c>
      <c r="I118">
        <v>50</v>
      </c>
      <c r="J118">
        <v>100</v>
      </c>
      <c r="K118" s="129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s="129" t="s">
        <v>1330</v>
      </c>
      <c r="B119" s="129" t="s">
        <v>52</v>
      </c>
      <c r="C119" s="129" t="s">
        <v>44</v>
      </c>
      <c r="D119">
        <v>1E-3</v>
      </c>
      <c r="E119">
        <v>0.01</v>
      </c>
      <c r="F119">
        <v>9.9999999999999995E-8</v>
      </c>
      <c r="G119" s="129" t="s">
        <v>13</v>
      </c>
      <c r="H119" s="129" t="s">
        <v>11</v>
      </c>
      <c r="I119">
        <v>1E-3</v>
      </c>
      <c r="J119">
        <v>0.02</v>
      </c>
      <c r="K119" s="12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s="129" t="s">
        <v>2429</v>
      </c>
      <c r="B120" s="129" t="s">
        <v>52</v>
      </c>
      <c r="C120" s="129" t="s">
        <v>44</v>
      </c>
      <c r="D120">
        <v>1E-3</v>
      </c>
      <c r="E120">
        <v>0.01</v>
      </c>
      <c r="F120">
        <v>9.9999999999999995E-8</v>
      </c>
      <c r="G120" s="129" t="s">
        <v>13</v>
      </c>
      <c r="H120" s="129" t="s">
        <v>11</v>
      </c>
      <c r="I120">
        <v>0.02</v>
      </c>
      <c r="J120">
        <v>4.4999999999999998E-2</v>
      </c>
      <c r="K120" s="129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s="129" t="s">
        <v>1331</v>
      </c>
      <c r="B121" s="129" t="s">
        <v>52</v>
      </c>
      <c r="C121" s="129" t="s">
        <v>44</v>
      </c>
      <c r="D121">
        <v>1E-3</v>
      </c>
      <c r="E121">
        <v>0.01</v>
      </c>
      <c r="F121">
        <v>9.9999999999999995E-8</v>
      </c>
      <c r="G121" s="129" t="s">
        <v>13</v>
      </c>
      <c r="H121" s="129" t="s">
        <v>11</v>
      </c>
      <c r="I121">
        <v>4.4999999999999998E-2</v>
      </c>
      <c r="J121">
        <v>0.1</v>
      </c>
      <c r="K121" s="129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s="129" t="s">
        <v>1327</v>
      </c>
      <c r="B122" s="129" t="s">
        <v>52</v>
      </c>
      <c r="C122" s="129" t="s">
        <v>44</v>
      </c>
      <c r="D122">
        <v>1E-3</v>
      </c>
      <c r="E122">
        <v>0.01</v>
      </c>
      <c r="F122">
        <v>9.9999999999999995E-8</v>
      </c>
      <c r="G122" s="129" t="s">
        <v>13</v>
      </c>
      <c r="H122" s="129" t="s">
        <v>11</v>
      </c>
      <c r="I122">
        <v>0.1</v>
      </c>
      <c r="J122">
        <v>5</v>
      </c>
      <c r="K122" s="129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s="129" t="s">
        <v>1332</v>
      </c>
      <c r="B123" s="129" t="s">
        <v>52</v>
      </c>
      <c r="C123" s="129" t="s">
        <v>44</v>
      </c>
      <c r="D123">
        <v>1E-3</v>
      </c>
      <c r="E123">
        <v>0.01</v>
      </c>
      <c r="F123">
        <v>9.9999999999999995E-8</v>
      </c>
      <c r="G123" s="129" t="s">
        <v>13</v>
      </c>
      <c r="H123" s="129" t="s">
        <v>11</v>
      </c>
      <c r="I123">
        <v>5</v>
      </c>
      <c r="J123">
        <v>20</v>
      </c>
      <c r="K123" s="129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s="129" t="s">
        <v>1328</v>
      </c>
      <c r="B124" s="129" t="s">
        <v>52</v>
      </c>
      <c r="C124" s="129" t="s">
        <v>44</v>
      </c>
      <c r="D124">
        <v>1E-3</v>
      </c>
      <c r="E124">
        <v>0.01</v>
      </c>
      <c r="F124">
        <v>9.9999999999999995E-8</v>
      </c>
      <c r="G124" s="129" t="s">
        <v>13</v>
      </c>
      <c r="H124" s="129" t="s">
        <v>11</v>
      </c>
      <c r="I124">
        <v>20</v>
      </c>
      <c r="J124">
        <v>50</v>
      </c>
      <c r="K124" s="129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s="129" t="s">
        <v>1329</v>
      </c>
      <c r="B125" s="129" t="s">
        <v>52</v>
      </c>
      <c r="C125" s="129" t="s">
        <v>44</v>
      </c>
      <c r="D125">
        <v>1E-3</v>
      </c>
      <c r="E125">
        <v>0.01</v>
      </c>
      <c r="F125">
        <v>9.9999999999999995E-8</v>
      </c>
      <c r="G125" s="129" t="s">
        <v>13</v>
      </c>
      <c r="H125" s="129" t="s">
        <v>11</v>
      </c>
      <c r="I125">
        <v>50</v>
      </c>
      <c r="J125">
        <v>100</v>
      </c>
      <c r="K125" s="129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s="129" t="s">
        <v>1354</v>
      </c>
      <c r="B126" s="129" t="s">
        <v>52</v>
      </c>
      <c r="C126" s="129" t="s">
        <v>44</v>
      </c>
      <c r="D126">
        <v>0.01</v>
      </c>
      <c r="E126">
        <v>0.1</v>
      </c>
      <c r="F126">
        <v>9.9999999999999995E-8</v>
      </c>
      <c r="G126" s="129" t="s">
        <v>13</v>
      </c>
      <c r="H126" s="129" t="s">
        <v>11</v>
      </c>
      <c r="I126">
        <v>1E-3</v>
      </c>
      <c r="J126">
        <v>0.02</v>
      </c>
      <c r="K126" s="129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s="129" t="s">
        <v>1353</v>
      </c>
      <c r="B127" s="129" t="s">
        <v>52</v>
      </c>
      <c r="C127" s="129" t="s">
        <v>44</v>
      </c>
      <c r="D127">
        <v>0.01</v>
      </c>
      <c r="E127">
        <v>0.1</v>
      </c>
      <c r="F127">
        <v>9.9999999999999995E-8</v>
      </c>
      <c r="G127" s="129" t="s">
        <v>13</v>
      </c>
      <c r="H127" s="129" t="s">
        <v>11</v>
      </c>
      <c r="I127">
        <v>0.02</v>
      </c>
      <c r="J127">
        <v>4.4999999999999998E-2</v>
      </c>
      <c r="K127" s="129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s="129" t="s">
        <v>1352</v>
      </c>
      <c r="B128" s="129" t="s">
        <v>52</v>
      </c>
      <c r="C128" s="129" t="s">
        <v>44</v>
      </c>
      <c r="D128">
        <v>0.01</v>
      </c>
      <c r="E128">
        <v>0.1</v>
      </c>
      <c r="F128">
        <v>9.9999999999999995E-8</v>
      </c>
      <c r="G128" s="129" t="s">
        <v>13</v>
      </c>
      <c r="H128" s="129" t="s">
        <v>11</v>
      </c>
      <c r="I128">
        <v>4.4999999999999998E-2</v>
      </c>
      <c r="J128">
        <v>0.1</v>
      </c>
      <c r="K128" s="129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s="129" t="s">
        <v>1350</v>
      </c>
      <c r="B129" s="129" t="s">
        <v>52</v>
      </c>
      <c r="C129" s="129" t="s">
        <v>44</v>
      </c>
      <c r="D129">
        <v>0.01</v>
      </c>
      <c r="E129">
        <v>0.1</v>
      </c>
      <c r="F129">
        <v>9.9999999999999995E-8</v>
      </c>
      <c r="G129" s="129" t="s">
        <v>13</v>
      </c>
      <c r="H129" s="129" t="s">
        <v>11</v>
      </c>
      <c r="I129">
        <v>0.1</v>
      </c>
      <c r="J129">
        <v>5</v>
      </c>
      <c r="K129" s="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s="129" t="s">
        <v>1351</v>
      </c>
      <c r="B130" s="129" t="s">
        <v>52</v>
      </c>
      <c r="C130" s="129" t="s">
        <v>44</v>
      </c>
      <c r="D130">
        <v>0.01</v>
      </c>
      <c r="E130">
        <v>0.1</v>
      </c>
      <c r="F130">
        <v>9.9999999999999995E-8</v>
      </c>
      <c r="G130" s="129" t="s">
        <v>13</v>
      </c>
      <c r="H130" s="129" t="s">
        <v>11</v>
      </c>
      <c r="I130">
        <v>5</v>
      </c>
      <c r="J130">
        <v>20</v>
      </c>
      <c r="K130" s="129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s="129" t="s">
        <v>1355</v>
      </c>
      <c r="B131" s="129" t="s">
        <v>52</v>
      </c>
      <c r="C131" s="129" t="s">
        <v>44</v>
      </c>
      <c r="D131">
        <v>0.01</v>
      </c>
      <c r="E131">
        <v>0.1</v>
      </c>
      <c r="F131">
        <v>9.9999999999999995E-8</v>
      </c>
      <c r="G131" s="129" t="s">
        <v>13</v>
      </c>
      <c r="H131" s="129" t="s">
        <v>11</v>
      </c>
      <c r="I131">
        <v>20</v>
      </c>
      <c r="J131">
        <v>50</v>
      </c>
      <c r="K131" s="129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s="129" t="s">
        <v>1349</v>
      </c>
      <c r="B132" s="129" t="s">
        <v>52</v>
      </c>
      <c r="C132" s="129" t="s">
        <v>44</v>
      </c>
      <c r="D132">
        <v>0.01</v>
      </c>
      <c r="E132">
        <v>0.1</v>
      </c>
      <c r="F132">
        <v>9.9999999999999995E-8</v>
      </c>
      <c r="G132" s="129" t="s">
        <v>13</v>
      </c>
      <c r="H132" s="129" t="s">
        <v>11</v>
      </c>
      <c r="I132">
        <v>50</v>
      </c>
      <c r="J132">
        <v>100</v>
      </c>
      <c r="K132" s="129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s="129" t="s">
        <v>2418</v>
      </c>
      <c r="B133" s="129" t="s">
        <v>52</v>
      </c>
      <c r="C133" s="129" t="s">
        <v>44</v>
      </c>
      <c r="D133">
        <v>0</v>
      </c>
      <c r="E133">
        <v>1E-4</v>
      </c>
      <c r="F133">
        <v>9.9999999999999995E-7</v>
      </c>
      <c r="G133" s="129" t="s">
        <v>13</v>
      </c>
      <c r="H133" s="129" t="s">
        <v>11</v>
      </c>
      <c r="I133">
        <v>1E-3</v>
      </c>
      <c r="J133">
        <v>0.02</v>
      </c>
      <c r="K133" s="129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s="129" t="s">
        <v>1273</v>
      </c>
      <c r="B134" s="129" t="s">
        <v>52</v>
      </c>
      <c r="C134" s="129" t="s">
        <v>44</v>
      </c>
      <c r="D134">
        <v>0</v>
      </c>
      <c r="E134">
        <v>1E-4</v>
      </c>
      <c r="F134">
        <v>9.9999999999999995E-7</v>
      </c>
      <c r="G134" s="129" t="s">
        <v>13</v>
      </c>
      <c r="H134" s="129" t="s">
        <v>11</v>
      </c>
      <c r="I134">
        <v>0.02</v>
      </c>
      <c r="J134">
        <v>4.4999999999999998E-2</v>
      </c>
      <c r="K134" s="129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s="129" t="s">
        <v>1274</v>
      </c>
      <c r="B135" s="129" t="s">
        <v>52</v>
      </c>
      <c r="C135" s="129" t="s">
        <v>44</v>
      </c>
      <c r="D135">
        <v>0</v>
      </c>
      <c r="E135">
        <v>1E-4</v>
      </c>
      <c r="F135">
        <v>9.9999999999999995E-7</v>
      </c>
      <c r="G135" s="129" t="s">
        <v>13</v>
      </c>
      <c r="H135" s="129" t="s">
        <v>11</v>
      </c>
      <c r="I135">
        <v>4.4999999999999998E-2</v>
      </c>
      <c r="J135">
        <v>5</v>
      </c>
      <c r="K135" s="129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s="129" t="s">
        <v>1315</v>
      </c>
      <c r="B136" s="129" t="s">
        <v>52</v>
      </c>
      <c r="C136" s="129" t="s">
        <v>44</v>
      </c>
      <c r="D136">
        <v>1E-4</v>
      </c>
      <c r="E136">
        <v>1E-3</v>
      </c>
      <c r="F136">
        <v>9.9999999999999995E-7</v>
      </c>
      <c r="G136" s="129" t="s">
        <v>13</v>
      </c>
      <c r="H136" s="129" t="s">
        <v>11</v>
      </c>
      <c r="I136">
        <v>1E-3</v>
      </c>
      <c r="J136">
        <v>0.02</v>
      </c>
      <c r="K136" s="129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s="129" t="s">
        <v>1319</v>
      </c>
      <c r="B137" s="129" t="s">
        <v>52</v>
      </c>
      <c r="C137" s="129" t="s">
        <v>44</v>
      </c>
      <c r="D137">
        <v>1E-4</v>
      </c>
      <c r="E137">
        <v>1E-3</v>
      </c>
      <c r="F137">
        <v>9.9999999999999995E-7</v>
      </c>
      <c r="G137" s="129" t="s">
        <v>13</v>
      </c>
      <c r="H137" s="129" t="s">
        <v>11</v>
      </c>
      <c r="I137">
        <v>0.02</v>
      </c>
      <c r="J137">
        <v>4.4999999999999998E-2</v>
      </c>
      <c r="K137" s="129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s="129" t="s">
        <v>1318</v>
      </c>
      <c r="B138" s="129" t="s">
        <v>52</v>
      </c>
      <c r="C138" s="129" t="s">
        <v>44</v>
      </c>
      <c r="D138">
        <v>1E-4</v>
      </c>
      <c r="E138">
        <v>1E-3</v>
      </c>
      <c r="F138">
        <v>9.9999999999999995E-7</v>
      </c>
      <c r="G138" s="129" t="s">
        <v>13</v>
      </c>
      <c r="H138" s="129" t="s">
        <v>11</v>
      </c>
      <c r="I138">
        <v>4.4999999999999998E-2</v>
      </c>
      <c r="J138">
        <v>0.1</v>
      </c>
      <c r="K138" s="129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s="129" t="s">
        <v>1320</v>
      </c>
      <c r="B139" s="129" t="s">
        <v>52</v>
      </c>
      <c r="C139" s="129" t="s">
        <v>44</v>
      </c>
      <c r="D139">
        <v>1E-4</v>
      </c>
      <c r="E139">
        <v>1E-3</v>
      </c>
      <c r="F139">
        <v>9.9999999999999995E-7</v>
      </c>
      <c r="G139" s="129" t="s">
        <v>13</v>
      </c>
      <c r="H139" s="129" t="s">
        <v>11</v>
      </c>
      <c r="I139">
        <v>0.1</v>
      </c>
      <c r="J139">
        <v>5</v>
      </c>
      <c r="K139" s="12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s="129" t="s">
        <v>1314</v>
      </c>
      <c r="B140" s="129" t="s">
        <v>52</v>
      </c>
      <c r="C140" s="129" t="s">
        <v>44</v>
      </c>
      <c r="D140">
        <v>1E-4</v>
      </c>
      <c r="E140">
        <v>1E-3</v>
      </c>
      <c r="F140">
        <v>9.9999999999999995E-7</v>
      </c>
      <c r="G140" s="129" t="s">
        <v>13</v>
      </c>
      <c r="H140" s="129" t="s">
        <v>11</v>
      </c>
      <c r="I140">
        <v>5</v>
      </c>
      <c r="J140">
        <v>20</v>
      </c>
      <c r="K140" s="129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s="129" t="s">
        <v>1316</v>
      </c>
      <c r="B141" s="129" t="s">
        <v>52</v>
      </c>
      <c r="C141" s="129" t="s">
        <v>44</v>
      </c>
      <c r="D141">
        <v>1E-4</v>
      </c>
      <c r="E141">
        <v>1E-3</v>
      </c>
      <c r="F141">
        <v>9.9999999999999995E-7</v>
      </c>
      <c r="G141" s="129" t="s">
        <v>13</v>
      </c>
      <c r="H141" s="129" t="s">
        <v>11</v>
      </c>
      <c r="I141">
        <v>20</v>
      </c>
      <c r="J141">
        <v>50</v>
      </c>
      <c r="K141" s="129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s="129" t="s">
        <v>1317</v>
      </c>
      <c r="B142" s="129" t="s">
        <v>52</v>
      </c>
      <c r="C142" s="129" t="s">
        <v>44</v>
      </c>
      <c r="D142">
        <v>1E-4</v>
      </c>
      <c r="E142">
        <v>1E-3</v>
      </c>
      <c r="F142">
        <v>9.9999999999999995E-7</v>
      </c>
      <c r="G142" s="129" t="s">
        <v>13</v>
      </c>
      <c r="H142" s="129" t="s">
        <v>11</v>
      </c>
      <c r="I142">
        <v>50</v>
      </c>
      <c r="J142">
        <v>100</v>
      </c>
      <c r="K142" s="129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s="129" t="s">
        <v>2427</v>
      </c>
      <c r="B143" s="129" t="s">
        <v>52</v>
      </c>
      <c r="C143" s="129" t="s">
        <v>44</v>
      </c>
      <c r="D143">
        <v>1E-3</v>
      </c>
      <c r="E143">
        <v>0.01</v>
      </c>
      <c r="F143">
        <v>9.9999999999999995E-7</v>
      </c>
      <c r="G143" s="129" t="s">
        <v>13</v>
      </c>
      <c r="H143" s="129" t="s">
        <v>11</v>
      </c>
      <c r="I143">
        <v>1E-3</v>
      </c>
      <c r="J143">
        <v>0.02</v>
      </c>
      <c r="K143" s="129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s="129" t="s">
        <v>2430</v>
      </c>
      <c r="B144" s="129" t="s">
        <v>52</v>
      </c>
      <c r="C144" s="129" t="s">
        <v>44</v>
      </c>
      <c r="D144">
        <v>1E-3</v>
      </c>
      <c r="E144">
        <v>0.01</v>
      </c>
      <c r="F144">
        <v>9.9999999999999995E-7</v>
      </c>
      <c r="G144" s="129" t="s">
        <v>13</v>
      </c>
      <c r="H144" s="129" t="s">
        <v>11</v>
      </c>
      <c r="I144">
        <v>0.02</v>
      </c>
      <c r="J144">
        <v>4.4999999999999998E-2</v>
      </c>
      <c r="K144" s="129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s="129" t="s">
        <v>2432</v>
      </c>
      <c r="B145" s="129" t="s">
        <v>52</v>
      </c>
      <c r="C145" s="129" t="s">
        <v>44</v>
      </c>
      <c r="D145">
        <v>1E-3</v>
      </c>
      <c r="E145">
        <v>0.01</v>
      </c>
      <c r="F145">
        <v>9.9999999999999995E-7</v>
      </c>
      <c r="G145" s="129" t="s">
        <v>13</v>
      </c>
      <c r="H145" s="129" t="s">
        <v>11</v>
      </c>
      <c r="I145">
        <v>4.4999999999999998E-2</v>
      </c>
      <c r="J145">
        <v>0.1</v>
      </c>
      <c r="K145" s="129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s="129" t="s">
        <v>1335</v>
      </c>
      <c r="B146" s="129" t="s">
        <v>52</v>
      </c>
      <c r="C146" s="129" t="s">
        <v>44</v>
      </c>
      <c r="D146">
        <v>1E-3</v>
      </c>
      <c r="E146">
        <v>0.01</v>
      </c>
      <c r="F146">
        <v>9.9999999999999995E-7</v>
      </c>
      <c r="G146" s="129" t="s">
        <v>13</v>
      </c>
      <c r="H146" s="129" t="s">
        <v>11</v>
      </c>
      <c r="I146">
        <v>0.1</v>
      </c>
      <c r="J146">
        <v>5</v>
      </c>
      <c r="K146" s="129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s="129" t="s">
        <v>1333</v>
      </c>
      <c r="B147" s="129" t="s">
        <v>52</v>
      </c>
      <c r="C147" s="129" t="s">
        <v>44</v>
      </c>
      <c r="D147">
        <v>1E-3</v>
      </c>
      <c r="E147">
        <v>0.01</v>
      </c>
      <c r="F147">
        <v>9.9999999999999995E-7</v>
      </c>
      <c r="G147" s="129" t="s">
        <v>13</v>
      </c>
      <c r="H147" s="129" t="s">
        <v>11</v>
      </c>
      <c r="I147">
        <v>5</v>
      </c>
      <c r="J147">
        <v>20</v>
      </c>
      <c r="K147" s="129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s="129" t="s">
        <v>2433</v>
      </c>
      <c r="B148" s="129" t="s">
        <v>52</v>
      </c>
      <c r="C148" s="129" t="s">
        <v>44</v>
      </c>
      <c r="D148">
        <v>1E-3</v>
      </c>
      <c r="E148">
        <v>0.01</v>
      </c>
      <c r="F148">
        <v>9.9999999999999995E-7</v>
      </c>
      <c r="G148" s="129" t="s">
        <v>13</v>
      </c>
      <c r="H148" s="129" t="s">
        <v>11</v>
      </c>
      <c r="I148">
        <v>20</v>
      </c>
      <c r="J148">
        <v>50</v>
      </c>
      <c r="K148" s="129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s="129" t="s">
        <v>1334</v>
      </c>
      <c r="B149" s="129" t="s">
        <v>52</v>
      </c>
      <c r="C149" s="129" t="s">
        <v>44</v>
      </c>
      <c r="D149">
        <v>1E-3</v>
      </c>
      <c r="E149">
        <v>0.01</v>
      </c>
      <c r="F149">
        <v>9.9999999999999995E-7</v>
      </c>
      <c r="G149" s="129" t="s">
        <v>13</v>
      </c>
      <c r="H149" s="129" t="s">
        <v>11</v>
      </c>
      <c r="I149">
        <v>50</v>
      </c>
      <c r="J149">
        <v>100</v>
      </c>
      <c r="K149" s="12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s="129" t="s">
        <v>2434</v>
      </c>
      <c r="B150" s="129" t="s">
        <v>52</v>
      </c>
      <c r="C150" s="129" t="s">
        <v>44</v>
      </c>
      <c r="D150">
        <v>0.01</v>
      </c>
      <c r="E150">
        <v>0.1</v>
      </c>
      <c r="F150">
        <v>9.9999999999999995E-7</v>
      </c>
      <c r="G150" s="129" t="s">
        <v>13</v>
      </c>
      <c r="H150" s="129" t="s">
        <v>11</v>
      </c>
      <c r="I150">
        <v>1E-3</v>
      </c>
      <c r="J150">
        <v>0.02</v>
      </c>
      <c r="K150" s="129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s="129" t="s">
        <v>1356</v>
      </c>
      <c r="B151" s="129" t="s">
        <v>52</v>
      </c>
      <c r="C151" s="129" t="s">
        <v>44</v>
      </c>
      <c r="D151">
        <v>0.01</v>
      </c>
      <c r="E151">
        <v>0.1</v>
      </c>
      <c r="F151">
        <v>9.9999999999999995E-7</v>
      </c>
      <c r="G151" s="129" t="s">
        <v>13</v>
      </c>
      <c r="H151" s="129" t="s">
        <v>11</v>
      </c>
      <c r="I151">
        <v>0.02</v>
      </c>
      <c r="J151">
        <v>4.4999999999999998E-2</v>
      </c>
      <c r="K151" s="129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s="129" t="s">
        <v>1359</v>
      </c>
      <c r="B152" s="129" t="s">
        <v>52</v>
      </c>
      <c r="C152" s="129" t="s">
        <v>44</v>
      </c>
      <c r="D152">
        <v>0.01</v>
      </c>
      <c r="E152">
        <v>0.1</v>
      </c>
      <c r="F152">
        <v>9.9999999999999995E-7</v>
      </c>
      <c r="G152" s="129" t="s">
        <v>13</v>
      </c>
      <c r="H152" s="129" t="s">
        <v>11</v>
      </c>
      <c r="I152">
        <v>4.4999999999999998E-2</v>
      </c>
      <c r="J152">
        <v>0.1</v>
      </c>
      <c r="K152" s="129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s="129" t="s">
        <v>2438</v>
      </c>
      <c r="B153" s="129" t="s">
        <v>52</v>
      </c>
      <c r="C153" s="129" t="s">
        <v>44</v>
      </c>
      <c r="D153">
        <v>0.01</v>
      </c>
      <c r="E153">
        <v>0.1</v>
      </c>
      <c r="F153">
        <v>9.9999999999999995E-7</v>
      </c>
      <c r="G153" s="129" t="s">
        <v>13</v>
      </c>
      <c r="H153" s="129" t="s">
        <v>11</v>
      </c>
      <c r="I153">
        <v>0.1</v>
      </c>
      <c r="J153">
        <v>5</v>
      </c>
      <c r="K153" s="129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s="129" t="s">
        <v>1358</v>
      </c>
      <c r="B154" s="129" t="s">
        <v>52</v>
      </c>
      <c r="C154" s="129" t="s">
        <v>44</v>
      </c>
      <c r="D154">
        <v>0.01</v>
      </c>
      <c r="E154">
        <v>0.1</v>
      </c>
      <c r="F154">
        <v>9.9999999999999995E-7</v>
      </c>
      <c r="G154" s="129" t="s">
        <v>13</v>
      </c>
      <c r="H154" s="129" t="s">
        <v>11</v>
      </c>
      <c r="I154">
        <v>5</v>
      </c>
      <c r="J154">
        <v>20</v>
      </c>
      <c r="K154" s="129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s="129" t="s">
        <v>1357</v>
      </c>
      <c r="B155" s="129" t="s">
        <v>52</v>
      </c>
      <c r="C155" s="129" t="s">
        <v>44</v>
      </c>
      <c r="D155">
        <v>0.01</v>
      </c>
      <c r="E155">
        <v>0.1</v>
      </c>
      <c r="F155">
        <v>9.9999999999999995E-7</v>
      </c>
      <c r="G155" s="129" t="s">
        <v>13</v>
      </c>
      <c r="H155" s="129" t="s">
        <v>11</v>
      </c>
      <c r="I155">
        <v>20</v>
      </c>
      <c r="J155">
        <v>50</v>
      </c>
      <c r="K155" s="129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s="129" t="s">
        <v>1360</v>
      </c>
      <c r="B156" s="129" t="s">
        <v>52</v>
      </c>
      <c r="C156" s="129" t="s">
        <v>44</v>
      </c>
      <c r="D156">
        <v>0.01</v>
      </c>
      <c r="E156">
        <v>0.1</v>
      </c>
      <c r="F156">
        <v>9.9999999999999995E-7</v>
      </c>
      <c r="G156" s="129" t="s">
        <v>13</v>
      </c>
      <c r="H156" s="129" t="s">
        <v>11</v>
      </c>
      <c r="I156">
        <v>50</v>
      </c>
      <c r="J156">
        <v>100</v>
      </c>
      <c r="K156" s="129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s="129" t="s">
        <v>1377</v>
      </c>
      <c r="B157" s="129" t="s">
        <v>52</v>
      </c>
      <c r="C157" s="129" t="s">
        <v>44</v>
      </c>
      <c r="D157">
        <v>0.1</v>
      </c>
      <c r="E157">
        <v>1</v>
      </c>
      <c r="F157">
        <v>9.9999999999999995E-7</v>
      </c>
      <c r="G157" s="129" t="s">
        <v>13</v>
      </c>
      <c r="H157" s="129" t="s">
        <v>12</v>
      </c>
      <c r="I157">
        <v>1E-3</v>
      </c>
      <c r="J157">
        <v>0.02</v>
      </c>
      <c r="K157" s="129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s="129" t="s">
        <v>1380</v>
      </c>
      <c r="B158" s="129" t="s">
        <v>52</v>
      </c>
      <c r="C158" s="129" t="s">
        <v>44</v>
      </c>
      <c r="D158">
        <v>0.1</v>
      </c>
      <c r="E158">
        <v>1</v>
      </c>
      <c r="F158">
        <v>9.9999999999999995E-7</v>
      </c>
      <c r="G158" s="129" t="s">
        <v>13</v>
      </c>
      <c r="H158" s="129" t="s">
        <v>12</v>
      </c>
      <c r="I158">
        <v>0.02</v>
      </c>
      <c r="J158">
        <v>4.4999999999999998E-2</v>
      </c>
      <c r="K158" s="129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s="129" t="s">
        <v>1378</v>
      </c>
      <c r="B159" s="129" t="s">
        <v>52</v>
      </c>
      <c r="C159" s="129" t="s">
        <v>44</v>
      </c>
      <c r="D159">
        <v>0.1</v>
      </c>
      <c r="E159">
        <v>1</v>
      </c>
      <c r="F159">
        <v>9.9999999999999995E-7</v>
      </c>
      <c r="G159" s="129" t="s">
        <v>13</v>
      </c>
      <c r="H159" s="129" t="s">
        <v>12</v>
      </c>
      <c r="I159">
        <v>4.4999999999999998E-2</v>
      </c>
      <c r="J159">
        <v>0.1</v>
      </c>
      <c r="K159" s="12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s="129" t="s">
        <v>1381</v>
      </c>
      <c r="B160" s="129" t="s">
        <v>52</v>
      </c>
      <c r="C160" s="129" t="s">
        <v>44</v>
      </c>
      <c r="D160">
        <v>0.1</v>
      </c>
      <c r="E160">
        <v>1</v>
      </c>
      <c r="F160">
        <v>9.9999999999999995E-7</v>
      </c>
      <c r="G160" s="129" t="s">
        <v>13</v>
      </c>
      <c r="H160" s="129" t="s">
        <v>12</v>
      </c>
      <c r="I160">
        <v>0.1</v>
      </c>
      <c r="J160">
        <v>5</v>
      </c>
      <c r="K160" s="129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s="129" t="s">
        <v>1379</v>
      </c>
      <c r="B161" s="129" t="s">
        <v>52</v>
      </c>
      <c r="C161" s="129" t="s">
        <v>44</v>
      </c>
      <c r="D161">
        <v>0.1</v>
      </c>
      <c r="E161">
        <v>1</v>
      </c>
      <c r="F161">
        <v>9.9999999999999995E-7</v>
      </c>
      <c r="G161" s="129" t="s">
        <v>13</v>
      </c>
      <c r="H161" s="129" t="s">
        <v>12</v>
      </c>
      <c r="I161">
        <v>5</v>
      </c>
      <c r="J161">
        <v>20</v>
      </c>
      <c r="K161" s="129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s="129" t="s">
        <v>1382</v>
      </c>
      <c r="B162" s="129" t="s">
        <v>52</v>
      </c>
      <c r="C162" s="129" t="s">
        <v>44</v>
      </c>
      <c r="D162">
        <v>0.1</v>
      </c>
      <c r="E162">
        <v>1</v>
      </c>
      <c r="F162">
        <v>9.9999999999999995E-7</v>
      </c>
      <c r="G162" s="129" t="s">
        <v>13</v>
      </c>
      <c r="H162" s="129" t="s">
        <v>12</v>
      </c>
      <c r="I162">
        <v>20</v>
      </c>
      <c r="J162">
        <v>50</v>
      </c>
      <c r="K162" s="129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s="129" t="s">
        <v>1275</v>
      </c>
      <c r="B163" s="129" t="s">
        <v>52</v>
      </c>
      <c r="C163" s="129" t="s">
        <v>44</v>
      </c>
      <c r="D163">
        <v>0</v>
      </c>
      <c r="E163">
        <v>1E-4</v>
      </c>
      <c r="F163">
        <v>1.0000000000000001E-5</v>
      </c>
      <c r="G163" s="129" t="s">
        <v>13</v>
      </c>
      <c r="H163" s="129" t="s">
        <v>11</v>
      </c>
      <c r="I163">
        <v>1E-3</v>
      </c>
      <c r="J163">
        <v>0.02</v>
      </c>
      <c r="K163" s="129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s="129" t="s">
        <v>2421</v>
      </c>
      <c r="B164" s="129" t="s">
        <v>52</v>
      </c>
      <c r="C164" s="129" t="s">
        <v>44</v>
      </c>
      <c r="D164">
        <v>0</v>
      </c>
      <c r="E164">
        <v>1E-4</v>
      </c>
      <c r="F164">
        <v>1.0000000000000001E-5</v>
      </c>
      <c r="G164" s="129" t="s">
        <v>13</v>
      </c>
      <c r="H164" s="129" t="s">
        <v>11</v>
      </c>
      <c r="I164">
        <v>0.02</v>
      </c>
      <c r="J164">
        <v>4.4999999999999998E-2</v>
      </c>
      <c r="K164" s="129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s="129" t="s">
        <v>2423</v>
      </c>
      <c r="B165" s="129" t="s">
        <v>52</v>
      </c>
      <c r="C165" s="129" t="s">
        <v>44</v>
      </c>
      <c r="D165">
        <v>0</v>
      </c>
      <c r="E165">
        <v>1E-4</v>
      </c>
      <c r="F165">
        <v>1.0000000000000001E-5</v>
      </c>
      <c r="G165" s="129" t="s">
        <v>13</v>
      </c>
      <c r="H165" s="129" t="s">
        <v>11</v>
      </c>
      <c r="I165">
        <v>4.4999999999999998E-2</v>
      </c>
      <c r="J165">
        <v>5</v>
      </c>
      <c r="K165" s="129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s="129" t="s">
        <v>1336</v>
      </c>
      <c r="B166" s="129" t="s">
        <v>52</v>
      </c>
      <c r="C166" s="129" t="s">
        <v>44</v>
      </c>
      <c r="D166">
        <v>1E-3</v>
      </c>
      <c r="E166">
        <v>0.01</v>
      </c>
      <c r="F166">
        <v>1.0000000000000001E-5</v>
      </c>
      <c r="G166" s="129" t="s">
        <v>13</v>
      </c>
      <c r="H166" s="129" t="s">
        <v>11</v>
      </c>
      <c r="I166">
        <v>1E-3</v>
      </c>
      <c r="J166">
        <v>0.02</v>
      </c>
      <c r="K166" s="129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s="129" t="s">
        <v>1341</v>
      </c>
      <c r="B167" s="129" t="s">
        <v>52</v>
      </c>
      <c r="C167" s="129" t="s">
        <v>44</v>
      </c>
      <c r="D167">
        <v>1E-3</v>
      </c>
      <c r="E167">
        <v>0.01</v>
      </c>
      <c r="F167">
        <v>1.0000000000000001E-5</v>
      </c>
      <c r="G167" s="129" t="s">
        <v>13</v>
      </c>
      <c r="H167" s="129" t="s">
        <v>11</v>
      </c>
      <c r="I167">
        <v>0.02</v>
      </c>
      <c r="J167">
        <v>4.4999999999999998E-2</v>
      </c>
      <c r="K167" s="129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s="129" t="s">
        <v>1339</v>
      </c>
      <c r="B168" s="129" t="s">
        <v>52</v>
      </c>
      <c r="C168" s="129" t="s">
        <v>44</v>
      </c>
      <c r="D168">
        <v>1E-3</v>
      </c>
      <c r="E168">
        <v>0.01</v>
      </c>
      <c r="F168">
        <v>1.0000000000000001E-5</v>
      </c>
      <c r="G168" s="129" t="s">
        <v>13</v>
      </c>
      <c r="H168" s="129" t="s">
        <v>11</v>
      </c>
      <c r="I168">
        <v>4.4999999999999998E-2</v>
      </c>
      <c r="J168">
        <v>0.1</v>
      </c>
      <c r="K168" s="129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s="129" t="s">
        <v>1340</v>
      </c>
      <c r="B169" s="129" t="s">
        <v>52</v>
      </c>
      <c r="C169" s="129" t="s">
        <v>44</v>
      </c>
      <c r="D169">
        <v>1E-3</v>
      </c>
      <c r="E169">
        <v>0.01</v>
      </c>
      <c r="F169">
        <v>1.0000000000000001E-5</v>
      </c>
      <c r="G169" s="129" t="s">
        <v>13</v>
      </c>
      <c r="H169" s="129" t="s">
        <v>11</v>
      </c>
      <c r="I169">
        <v>0.1</v>
      </c>
      <c r="J169">
        <v>5</v>
      </c>
      <c r="K169" s="12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s="129" t="s">
        <v>1342</v>
      </c>
      <c r="B170" s="129" t="s">
        <v>52</v>
      </c>
      <c r="C170" s="129" t="s">
        <v>44</v>
      </c>
      <c r="D170">
        <v>1E-3</v>
      </c>
      <c r="E170">
        <v>0.01</v>
      </c>
      <c r="F170">
        <v>1.0000000000000001E-5</v>
      </c>
      <c r="G170" s="129" t="s">
        <v>13</v>
      </c>
      <c r="H170" s="129" t="s">
        <v>11</v>
      </c>
      <c r="I170">
        <v>5</v>
      </c>
      <c r="J170">
        <v>20</v>
      </c>
      <c r="K170" s="129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s="129" t="s">
        <v>1337</v>
      </c>
      <c r="B171" s="129" t="s">
        <v>52</v>
      </c>
      <c r="C171" s="129" t="s">
        <v>44</v>
      </c>
      <c r="D171">
        <v>1E-3</v>
      </c>
      <c r="E171">
        <v>0.01</v>
      </c>
      <c r="F171">
        <v>1.0000000000000001E-5</v>
      </c>
      <c r="G171" s="129" t="s">
        <v>13</v>
      </c>
      <c r="H171" s="129" t="s">
        <v>11</v>
      </c>
      <c r="I171">
        <v>20</v>
      </c>
      <c r="J171">
        <v>50</v>
      </c>
      <c r="K171" s="129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s="129" t="s">
        <v>1338</v>
      </c>
      <c r="B172" s="129" t="s">
        <v>52</v>
      </c>
      <c r="C172" s="129" t="s">
        <v>44</v>
      </c>
      <c r="D172">
        <v>1E-3</v>
      </c>
      <c r="E172">
        <v>0.01</v>
      </c>
      <c r="F172">
        <v>1.0000000000000001E-5</v>
      </c>
      <c r="G172" s="129" t="s">
        <v>13</v>
      </c>
      <c r="H172" s="129" t="s">
        <v>11</v>
      </c>
      <c r="I172">
        <v>50</v>
      </c>
      <c r="J172">
        <v>100</v>
      </c>
      <c r="K172" s="129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s="129" t="s">
        <v>2435</v>
      </c>
      <c r="B173" s="129" t="s">
        <v>52</v>
      </c>
      <c r="C173" s="129" t="s">
        <v>44</v>
      </c>
      <c r="D173">
        <v>0.01</v>
      </c>
      <c r="E173">
        <v>0.1</v>
      </c>
      <c r="F173">
        <v>1.0000000000000001E-5</v>
      </c>
      <c r="G173" s="129" t="s">
        <v>13</v>
      </c>
      <c r="H173" s="129" t="s">
        <v>11</v>
      </c>
      <c r="I173">
        <v>1E-3</v>
      </c>
      <c r="J173">
        <v>0.02</v>
      </c>
      <c r="K173" s="129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s="129" t="s">
        <v>1361</v>
      </c>
      <c r="B174" s="129" t="s">
        <v>52</v>
      </c>
      <c r="C174" s="129" t="s">
        <v>44</v>
      </c>
      <c r="D174">
        <v>0.01</v>
      </c>
      <c r="E174">
        <v>0.1</v>
      </c>
      <c r="F174">
        <v>1.0000000000000001E-5</v>
      </c>
      <c r="G174" s="129" t="s">
        <v>13</v>
      </c>
      <c r="H174" s="129" t="s">
        <v>11</v>
      </c>
      <c r="I174">
        <v>0.02</v>
      </c>
      <c r="J174">
        <v>4.4999999999999998E-2</v>
      </c>
      <c r="K174" s="129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s="129" t="s">
        <v>1365</v>
      </c>
      <c r="B175" s="129" t="s">
        <v>52</v>
      </c>
      <c r="C175" s="129" t="s">
        <v>44</v>
      </c>
      <c r="D175">
        <v>0.01</v>
      </c>
      <c r="E175">
        <v>0.1</v>
      </c>
      <c r="F175">
        <v>1.0000000000000001E-5</v>
      </c>
      <c r="G175" s="129" t="s">
        <v>13</v>
      </c>
      <c r="H175" s="129" t="s">
        <v>11</v>
      </c>
      <c r="I175">
        <v>4.4999999999999998E-2</v>
      </c>
      <c r="J175">
        <v>0.1</v>
      </c>
      <c r="K175" s="129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s="129" t="s">
        <v>1364</v>
      </c>
      <c r="B176" s="129" t="s">
        <v>52</v>
      </c>
      <c r="C176" s="129" t="s">
        <v>44</v>
      </c>
      <c r="D176">
        <v>0.01</v>
      </c>
      <c r="E176">
        <v>0.1</v>
      </c>
      <c r="F176">
        <v>1.0000000000000001E-5</v>
      </c>
      <c r="G176" s="129" t="s">
        <v>13</v>
      </c>
      <c r="H176" s="129" t="s">
        <v>11</v>
      </c>
      <c r="I176">
        <v>0.1</v>
      </c>
      <c r="J176">
        <v>5</v>
      </c>
      <c r="K176" s="129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s="129" t="s">
        <v>2439</v>
      </c>
      <c r="B177" s="129" t="s">
        <v>52</v>
      </c>
      <c r="C177" s="129" t="s">
        <v>44</v>
      </c>
      <c r="D177">
        <v>0.01</v>
      </c>
      <c r="E177">
        <v>0.1</v>
      </c>
      <c r="F177">
        <v>1.0000000000000001E-5</v>
      </c>
      <c r="G177" s="129" t="s">
        <v>13</v>
      </c>
      <c r="H177" s="129" t="s">
        <v>11</v>
      </c>
      <c r="I177">
        <v>5</v>
      </c>
      <c r="J177">
        <v>20</v>
      </c>
      <c r="K177" s="129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s="129" t="s">
        <v>1363</v>
      </c>
      <c r="B178" s="129" t="s">
        <v>52</v>
      </c>
      <c r="C178" s="129" t="s">
        <v>44</v>
      </c>
      <c r="D178">
        <v>0.01</v>
      </c>
      <c r="E178">
        <v>0.1</v>
      </c>
      <c r="F178">
        <v>1.0000000000000001E-5</v>
      </c>
      <c r="G178" s="129" t="s">
        <v>13</v>
      </c>
      <c r="H178" s="129" t="s">
        <v>11</v>
      </c>
      <c r="I178">
        <v>20</v>
      </c>
      <c r="J178">
        <v>50</v>
      </c>
      <c r="K178" s="129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s="129" t="s">
        <v>1362</v>
      </c>
      <c r="B179" s="129" t="s">
        <v>52</v>
      </c>
      <c r="C179" s="129" t="s">
        <v>44</v>
      </c>
      <c r="D179">
        <v>0.01</v>
      </c>
      <c r="E179">
        <v>0.1</v>
      </c>
      <c r="F179">
        <v>1.0000000000000001E-5</v>
      </c>
      <c r="G179" s="129" t="s">
        <v>13</v>
      </c>
      <c r="H179" s="129" t="s">
        <v>11</v>
      </c>
      <c r="I179">
        <v>50</v>
      </c>
      <c r="J179">
        <v>100</v>
      </c>
      <c r="K179" s="12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s="129" t="s">
        <v>1385</v>
      </c>
      <c r="B180" s="129" t="s">
        <v>52</v>
      </c>
      <c r="C180" s="129" t="s">
        <v>44</v>
      </c>
      <c r="D180">
        <v>0.1</v>
      </c>
      <c r="E180">
        <v>1</v>
      </c>
      <c r="F180">
        <v>1.0000000000000001E-5</v>
      </c>
      <c r="G180" s="129" t="s">
        <v>13</v>
      </c>
      <c r="H180" s="129" t="s">
        <v>12</v>
      </c>
      <c r="I180">
        <v>1E-3</v>
      </c>
      <c r="J180">
        <v>0.02</v>
      </c>
      <c r="K180" s="129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s="129" t="s">
        <v>1384</v>
      </c>
      <c r="B181" s="129" t="s">
        <v>52</v>
      </c>
      <c r="C181" s="129" t="s">
        <v>44</v>
      </c>
      <c r="D181">
        <v>0.1</v>
      </c>
      <c r="E181">
        <v>1</v>
      </c>
      <c r="F181">
        <v>1.0000000000000001E-5</v>
      </c>
      <c r="G181" s="129" t="s">
        <v>13</v>
      </c>
      <c r="H181" s="129" t="s">
        <v>12</v>
      </c>
      <c r="I181">
        <v>0.02</v>
      </c>
      <c r="J181">
        <v>4.4999999999999998E-2</v>
      </c>
      <c r="K181" s="129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s="129" t="s">
        <v>1383</v>
      </c>
      <c r="B182" s="129" t="s">
        <v>52</v>
      </c>
      <c r="C182" s="129" t="s">
        <v>44</v>
      </c>
      <c r="D182">
        <v>0.1</v>
      </c>
      <c r="E182">
        <v>1</v>
      </c>
      <c r="F182">
        <v>1.0000000000000001E-5</v>
      </c>
      <c r="G182" s="129" t="s">
        <v>13</v>
      </c>
      <c r="H182" s="129" t="s">
        <v>12</v>
      </c>
      <c r="I182">
        <v>4.4999999999999998E-2</v>
      </c>
      <c r="J182">
        <v>0.1</v>
      </c>
      <c r="K182" s="129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s="129" t="s">
        <v>2444</v>
      </c>
      <c r="B183" s="129" t="s">
        <v>52</v>
      </c>
      <c r="C183" s="129" t="s">
        <v>44</v>
      </c>
      <c r="D183">
        <v>0.1</v>
      </c>
      <c r="E183">
        <v>1</v>
      </c>
      <c r="F183">
        <v>1.0000000000000001E-5</v>
      </c>
      <c r="G183" s="129" t="s">
        <v>13</v>
      </c>
      <c r="H183" s="129" t="s">
        <v>12</v>
      </c>
      <c r="I183">
        <v>0.1</v>
      </c>
      <c r="J183">
        <v>5</v>
      </c>
      <c r="K183" s="129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s="129" t="s">
        <v>1386</v>
      </c>
      <c r="B184" s="129" t="s">
        <v>52</v>
      </c>
      <c r="C184" s="129" t="s">
        <v>44</v>
      </c>
      <c r="D184">
        <v>0.1</v>
      </c>
      <c r="E184">
        <v>1</v>
      </c>
      <c r="F184">
        <v>1.0000000000000001E-5</v>
      </c>
      <c r="G184" s="129" t="s">
        <v>13</v>
      </c>
      <c r="H184" s="129" t="s">
        <v>12</v>
      </c>
      <c r="I184">
        <v>5</v>
      </c>
      <c r="J184">
        <v>20</v>
      </c>
      <c r="K184" s="129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s="129" t="s">
        <v>1387</v>
      </c>
      <c r="B185" s="129" t="s">
        <v>52</v>
      </c>
      <c r="C185" s="129" t="s">
        <v>44</v>
      </c>
      <c r="D185">
        <v>0.1</v>
      </c>
      <c r="E185">
        <v>1</v>
      </c>
      <c r="F185">
        <v>1.0000000000000001E-5</v>
      </c>
      <c r="G185" s="129" t="s">
        <v>13</v>
      </c>
      <c r="H185" s="129" t="s">
        <v>12</v>
      </c>
      <c r="I185">
        <v>20</v>
      </c>
      <c r="J185">
        <v>50</v>
      </c>
      <c r="K185" s="129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s="129" t="s">
        <v>2447</v>
      </c>
      <c r="B186" s="129" t="s">
        <v>52</v>
      </c>
      <c r="C186" s="129" t="s">
        <v>44</v>
      </c>
      <c r="D186">
        <v>1</v>
      </c>
      <c r="E186">
        <v>10</v>
      </c>
      <c r="F186">
        <v>1.0000000000000001E-5</v>
      </c>
      <c r="G186" s="129" t="s">
        <v>13</v>
      </c>
      <c r="H186" s="129" t="s">
        <v>12</v>
      </c>
      <c r="I186">
        <v>1E-3</v>
      </c>
      <c r="J186">
        <v>0.05</v>
      </c>
      <c r="K186" s="129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s="129" t="s">
        <v>1402</v>
      </c>
      <c r="B187" s="129" t="s">
        <v>52</v>
      </c>
      <c r="C187" s="129" t="s">
        <v>44</v>
      </c>
      <c r="D187">
        <v>1</v>
      </c>
      <c r="E187">
        <v>10</v>
      </c>
      <c r="F187">
        <v>1.0000000000000001E-5</v>
      </c>
      <c r="G187" s="129" t="s">
        <v>13</v>
      </c>
      <c r="H187" s="129" t="s">
        <v>12</v>
      </c>
      <c r="I187">
        <v>0.05</v>
      </c>
      <c r="J187">
        <v>1</v>
      </c>
      <c r="K187" s="129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s="129" t="s">
        <v>1401</v>
      </c>
      <c r="B188" s="129" t="s">
        <v>52</v>
      </c>
      <c r="C188" s="129" t="s">
        <v>44</v>
      </c>
      <c r="D188">
        <v>1</v>
      </c>
      <c r="E188">
        <v>10</v>
      </c>
      <c r="F188">
        <v>1.0000000000000001E-5</v>
      </c>
      <c r="G188" s="129" t="s">
        <v>13</v>
      </c>
      <c r="H188" s="129" t="s">
        <v>12</v>
      </c>
      <c r="I188">
        <v>1</v>
      </c>
      <c r="J188">
        <v>5</v>
      </c>
      <c r="K188" s="129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s="129" t="s">
        <v>1412</v>
      </c>
      <c r="B189" s="129" t="s">
        <v>52</v>
      </c>
      <c r="C189" s="129" t="s">
        <v>44</v>
      </c>
      <c r="D189">
        <v>10</v>
      </c>
      <c r="E189">
        <v>20</v>
      </c>
      <c r="F189">
        <v>1.0000000000000001E-5</v>
      </c>
      <c r="G189" s="129" t="s">
        <v>13</v>
      </c>
      <c r="H189" s="129" t="s">
        <v>12</v>
      </c>
      <c r="I189">
        <v>1E-3</v>
      </c>
      <c r="J189">
        <v>0.05</v>
      </c>
      <c r="K189" s="12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s="129" t="s">
        <v>1413</v>
      </c>
      <c r="B190" s="129" t="s">
        <v>52</v>
      </c>
      <c r="C190" s="129" t="s">
        <v>44</v>
      </c>
      <c r="D190">
        <v>10</v>
      </c>
      <c r="E190">
        <v>20</v>
      </c>
      <c r="F190">
        <v>1.0000000000000001E-5</v>
      </c>
      <c r="G190" s="129" t="s">
        <v>13</v>
      </c>
      <c r="H190" s="129" t="s">
        <v>12</v>
      </c>
      <c r="I190">
        <v>0.05</v>
      </c>
      <c r="J190">
        <v>1</v>
      </c>
      <c r="K190" s="129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s="129" t="s">
        <v>1414</v>
      </c>
      <c r="B191" s="129" t="s">
        <v>52</v>
      </c>
      <c r="C191" s="129" t="s">
        <v>44</v>
      </c>
      <c r="D191">
        <v>10</v>
      </c>
      <c r="E191">
        <v>20</v>
      </c>
      <c r="F191">
        <v>1.0000000000000001E-5</v>
      </c>
      <c r="G191" s="129" t="s">
        <v>13</v>
      </c>
      <c r="H191" s="129" t="s">
        <v>12</v>
      </c>
      <c r="I191">
        <v>1</v>
      </c>
      <c r="J191">
        <v>5</v>
      </c>
      <c r="K191" s="129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s="129" t="s">
        <v>1276</v>
      </c>
      <c r="B192" s="129" t="s">
        <v>52</v>
      </c>
      <c r="C192" s="129" t="s">
        <v>44</v>
      </c>
      <c r="D192">
        <v>0</v>
      </c>
      <c r="E192">
        <v>1E-4</v>
      </c>
      <c r="F192">
        <v>1E-4</v>
      </c>
      <c r="G192" s="129" t="s">
        <v>13</v>
      </c>
      <c r="H192" s="129" t="s">
        <v>11</v>
      </c>
      <c r="I192">
        <v>1E-3</v>
      </c>
      <c r="J192">
        <v>0.02</v>
      </c>
      <c r="K192" s="129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s="129" t="s">
        <v>2422</v>
      </c>
      <c r="B193" s="129" t="s">
        <v>52</v>
      </c>
      <c r="C193" s="129" t="s">
        <v>44</v>
      </c>
      <c r="D193">
        <v>0</v>
      </c>
      <c r="E193">
        <v>1E-4</v>
      </c>
      <c r="F193">
        <v>1E-4</v>
      </c>
      <c r="G193" s="129" t="s">
        <v>13</v>
      </c>
      <c r="H193" s="129" t="s">
        <v>11</v>
      </c>
      <c r="I193">
        <v>0.02</v>
      </c>
      <c r="J193">
        <v>4.4999999999999998E-2</v>
      </c>
      <c r="K193" s="129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s="129" t="s">
        <v>1277</v>
      </c>
      <c r="B194" s="129" t="s">
        <v>52</v>
      </c>
      <c r="C194" s="129" t="s">
        <v>44</v>
      </c>
      <c r="D194">
        <v>0</v>
      </c>
      <c r="E194">
        <v>1E-4</v>
      </c>
      <c r="F194">
        <v>1E-4</v>
      </c>
      <c r="G194" s="129" t="s">
        <v>13</v>
      </c>
      <c r="H194" s="129" t="s">
        <v>11</v>
      </c>
      <c r="I194">
        <v>4.4999999999999998E-2</v>
      </c>
      <c r="J194">
        <v>5</v>
      </c>
      <c r="K194" s="129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s="129" t="s">
        <v>2428</v>
      </c>
      <c r="B195" s="129" t="s">
        <v>52</v>
      </c>
      <c r="C195" s="129" t="s">
        <v>44</v>
      </c>
      <c r="D195">
        <v>1E-3</v>
      </c>
      <c r="E195">
        <v>0.01</v>
      </c>
      <c r="F195">
        <v>1E-4</v>
      </c>
      <c r="G195" s="129" t="s">
        <v>13</v>
      </c>
      <c r="H195" s="129" t="s">
        <v>11</v>
      </c>
      <c r="I195">
        <v>1E-3</v>
      </c>
      <c r="J195">
        <v>0.02</v>
      </c>
      <c r="K195" s="129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s="129" t="s">
        <v>1345</v>
      </c>
      <c r="B196" s="129" t="s">
        <v>52</v>
      </c>
      <c r="C196" s="129" t="s">
        <v>44</v>
      </c>
      <c r="D196">
        <v>1E-3</v>
      </c>
      <c r="E196">
        <v>0.01</v>
      </c>
      <c r="F196">
        <v>1E-4</v>
      </c>
      <c r="G196" s="129" t="s">
        <v>13</v>
      </c>
      <c r="H196" s="129" t="s">
        <v>11</v>
      </c>
      <c r="I196">
        <v>0.02</v>
      </c>
      <c r="J196">
        <v>4.4999999999999998E-2</v>
      </c>
      <c r="K196" s="129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s="129" t="s">
        <v>1344</v>
      </c>
      <c r="B197" s="129" t="s">
        <v>52</v>
      </c>
      <c r="C197" s="129" t="s">
        <v>44</v>
      </c>
      <c r="D197">
        <v>1E-3</v>
      </c>
      <c r="E197">
        <v>0.01</v>
      </c>
      <c r="F197">
        <v>1E-4</v>
      </c>
      <c r="G197" s="129" t="s">
        <v>13</v>
      </c>
      <c r="H197" s="129" t="s">
        <v>11</v>
      </c>
      <c r="I197">
        <v>4.4999999999999998E-2</v>
      </c>
      <c r="J197">
        <v>0.1</v>
      </c>
      <c r="K197" s="129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s="129" t="s">
        <v>1346</v>
      </c>
      <c r="B198" s="129" t="s">
        <v>52</v>
      </c>
      <c r="C198" s="129" t="s">
        <v>44</v>
      </c>
      <c r="D198">
        <v>1E-3</v>
      </c>
      <c r="E198">
        <v>0.01</v>
      </c>
      <c r="F198">
        <v>1E-4</v>
      </c>
      <c r="G198" s="129" t="s">
        <v>13</v>
      </c>
      <c r="H198" s="129" t="s">
        <v>11</v>
      </c>
      <c r="I198">
        <v>0.1</v>
      </c>
      <c r="J198">
        <v>5</v>
      </c>
      <c r="K198" s="129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s="129" t="s">
        <v>1343</v>
      </c>
      <c r="B199" s="129" t="s">
        <v>52</v>
      </c>
      <c r="C199" s="129" t="s">
        <v>44</v>
      </c>
      <c r="D199">
        <v>1E-3</v>
      </c>
      <c r="E199">
        <v>0.01</v>
      </c>
      <c r="F199">
        <v>1E-4</v>
      </c>
      <c r="G199" s="129" t="s">
        <v>13</v>
      </c>
      <c r="H199" s="129" t="s">
        <v>11</v>
      </c>
      <c r="I199">
        <v>5</v>
      </c>
      <c r="J199">
        <v>20</v>
      </c>
      <c r="K199" s="12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s="129" t="s">
        <v>1348</v>
      </c>
      <c r="B200" s="129" t="s">
        <v>52</v>
      </c>
      <c r="C200" s="129" t="s">
        <v>44</v>
      </c>
      <c r="D200">
        <v>1E-3</v>
      </c>
      <c r="E200">
        <v>0.01</v>
      </c>
      <c r="F200">
        <v>1E-4</v>
      </c>
      <c r="G200" s="129" t="s">
        <v>13</v>
      </c>
      <c r="H200" s="129" t="s">
        <v>11</v>
      </c>
      <c r="I200">
        <v>20</v>
      </c>
      <c r="J200">
        <v>50</v>
      </c>
      <c r="K200" s="129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s="129" t="s">
        <v>1347</v>
      </c>
      <c r="B201" s="129" t="s">
        <v>52</v>
      </c>
      <c r="C201" s="129" t="s">
        <v>44</v>
      </c>
      <c r="D201">
        <v>1E-3</v>
      </c>
      <c r="E201">
        <v>0.01</v>
      </c>
      <c r="F201">
        <v>1E-4</v>
      </c>
      <c r="G201" s="129" t="s">
        <v>13</v>
      </c>
      <c r="H201" s="129" t="s">
        <v>11</v>
      </c>
      <c r="I201">
        <v>50</v>
      </c>
      <c r="J201">
        <v>100</v>
      </c>
      <c r="K201" s="129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s="129" t="s">
        <v>1369</v>
      </c>
      <c r="B202" s="129" t="s">
        <v>52</v>
      </c>
      <c r="C202" s="129" t="s">
        <v>44</v>
      </c>
      <c r="D202">
        <v>0.01</v>
      </c>
      <c r="E202">
        <v>0.1</v>
      </c>
      <c r="F202">
        <v>1E-4</v>
      </c>
      <c r="G202" s="129" t="s">
        <v>13</v>
      </c>
      <c r="H202" s="129" t="s">
        <v>11</v>
      </c>
      <c r="I202">
        <v>1E-3</v>
      </c>
      <c r="J202">
        <v>0.02</v>
      </c>
      <c r="K202" s="129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s="129" t="s">
        <v>2436</v>
      </c>
      <c r="B203" s="129" t="s">
        <v>52</v>
      </c>
      <c r="C203" s="129" t="s">
        <v>44</v>
      </c>
      <c r="D203">
        <v>0.01</v>
      </c>
      <c r="E203">
        <v>0.1</v>
      </c>
      <c r="F203">
        <v>1E-4</v>
      </c>
      <c r="G203" s="129" t="s">
        <v>13</v>
      </c>
      <c r="H203" s="129" t="s">
        <v>11</v>
      </c>
      <c r="I203">
        <v>0.02</v>
      </c>
      <c r="J203">
        <v>4.4999999999999998E-2</v>
      </c>
      <c r="K203" s="129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s="129" t="s">
        <v>2437</v>
      </c>
      <c r="B204" s="129" t="s">
        <v>52</v>
      </c>
      <c r="C204" s="129" t="s">
        <v>44</v>
      </c>
      <c r="D204">
        <v>0.01</v>
      </c>
      <c r="E204">
        <v>0.1</v>
      </c>
      <c r="F204">
        <v>1E-4</v>
      </c>
      <c r="G204" s="129" t="s">
        <v>13</v>
      </c>
      <c r="H204" s="129" t="s">
        <v>11</v>
      </c>
      <c r="I204">
        <v>4.4999999999999998E-2</v>
      </c>
      <c r="J204">
        <v>0.1</v>
      </c>
      <c r="K204" s="129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s="129" t="s">
        <v>1368</v>
      </c>
      <c r="B205" s="129" t="s">
        <v>52</v>
      </c>
      <c r="C205" s="129" t="s">
        <v>44</v>
      </c>
      <c r="D205">
        <v>0.01</v>
      </c>
      <c r="E205">
        <v>0.1</v>
      </c>
      <c r="F205">
        <v>1E-4</v>
      </c>
      <c r="G205" s="129" t="s">
        <v>13</v>
      </c>
      <c r="H205" s="129" t="s">
        <v>11</v>
      </c>
      <c r="I205">
        <v>0.1</v>
      </c>
      <c r="J205">
        <v>5</v>
      </c>
      <c r="K205" s="129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s="129" t="s">
        <v>1366</v>
      </c>
      <c r="B206" s="129" t="s">
        <v>52</v>
      </c>
      <c r="C206" s="129" t="s">
        <v>44</v>
      </c>
      <c r="D206">
        <v>0.01</v>
      </c>
      <c r="E206">
        <v>0.1</v>
      </c>
      <c r="F206">
        <v>1E-4</v>
      </c>
      <c r="G206" s="129" t="s">
        <v>13</v>
      </c>
      <c r="H206" s="129" t="s">
        <v>11</v>
      </c>
      <c r="I206">
        <v>5</v>
      </c>
      <c r="J206">
        <v>20</v>
      </c>
      <c r="K206" s="129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s="129" t="s">
        <v>2440</v>
      </c>
      <c r="B207" s="129" t="s">
        <v>52</v>
      </c>
      <c r="C207" s="129" t="s">
        <v>44</v>
      </c>
      <c r="D207">
        <v>0.01</v>
      </c>
      <c r="E207">
        <v>0.1</v>
      </c>
      <c r="F207">
        <v>1E-4</v>
      </c>
      <c r="G207" s="129" t="s">
        <v>13</v>
      </c>
      <c r="H207" s="129" t="s">
        <v>11</v>
      </c>
      <c r="I207">
        <v>20</v>
      </c>
      <c r="J207">
        <v>50</v>
      </c>
      <c r="K207" s="129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s="129" t="s">
        <v>1367</v>
      </c>
      <c r="B208" s="129" t="s">
        <v>52</v>
      </c>
      <c r="C208" s="129" t="s">
        <v>44</v>
      </c>
      <c r="D208">
        <v>0.01</v>
      </c>
      <c r="E208">
        <v>0.1</v>
      </c>
      <c r="F208">
        <v>1E-4</v>
      </c>
      <c r="G208" s="129" t="s">
        <v>13</v>
      </c>
      <c r="H208" s="129" t="s">
        <v>11</v>
      </c>
      <c r="I208">
        <v>50</v>
      </c>
      <c r="J208">
        <v>100</v>
      </c>
      <c r="K208" s="129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s="129" t="s">
        <v>2441</v>
      </c>
      <c r="B209" s="129" t="s">
        <v>52</v>
      </c>
      <c r="C209" s="129" t="s">
        <v>44</v>
      </c>
      <c r="D209">
        <v>0.1</v>
      </c>
      <c r="E209">
        <v>1</v>
      </c>
      <c r="F209">
        <v>1E-4</v>
      </c>
      <c r="G209" s="129" t="s">
        <v>13</v>
      </c>
      <c r="H209" s="129" t="s">
        <v>12</v>
      </c>
      <c r="I209">
        <v>1E-3</v>
      </c>
      <c r="J209">
        <v>0.02</v>
      </c>
      <c r="K209" s="12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s="129" t="s">
        <v>1392</v>
      </c>
      <c r="B210" s="129" t="s">
        <v>52</v>
      </c>
      <c r="C210" s="129" t="s">
        <v>44</v>
      </c>
      <c r="D210">
        <v>0.1</v>
      </c>
      <c r="E210">
        <v>1</v>
      </c>
      <c r="F210">
        <v>1E-4</v>
      </c>
      <c r="G210" s="129" t="s">
        <v>13</v>
      </c>
      <c r="H210" s="129" t="s">
        <v>12</v>
      </c>
      <c r="I210">
        <v>0.02</v>
      </c>
      <c r="J210">
        <v>4.4999999999999998E-2</v>
      </c>
      <c r="K210" s="129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s="129" t="s">
        <v>1389</v>
      </c>
      <c r="B211" s="129" t="s">
        <v>52</v>
      </c>
      <c r="C211" s="129" t="s">
        <v>44</v>
      </c>
      <c r="D211">
        <v>0.1</v>
      </c>
      <c r="E211">
        <v>1</v>
      </c>
      <c r="F211">
        <v>1E-4</v>
      </c>
      <c r="G211" s="129" t="s">
        <v>13</v>
      </c>
      <c r="H211" s="129" t="s">
        <v>12</v>
      </c>
      <c r="I211">
        <v>4.4999999999999998E-2</v>
      </c>
      <c r="J211">
        <v>0.1</v>
      </c>
      <c r="K211" s="129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s="129" t="s">
        <v>1390</v>
      </c>
      <c r="B212" s="129" t="s">
        <v>52</v>
      </c>
      <c r="C212" s="129" t="s">
        <v>44</v>
      </c>
      <c r="D212">
        <v>0.1</v>
      </c>
      <c r="E212">
        <v>1</v>
      </c>
      <c r="F212">
        <v>1E-4</v>
      </c>
      <c r="G212" s="129" t="s">
        <v>13</v>
      </c>
      <c r="H212" s="129" t="s">
        <v>12</v>
      </c>
      <c r="I212">
        <v>0.1</v>
      </c>
      <c r="J212">
        <v>5</v>
      </c>
      <c r="K212" s="129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s="129" t="s">
        <v>1388</v>
      </c>
      <c r="B213" s="129" t="s">
        <v>52</v>
      </c>
      <c r="C213" s="129" t="s">
        <v>44</v>
      </c>
      <c r="D213">
        <v>0.1</v>
      </c>
      <c r="E213">
        <v>1</v>
      </c>
      <c r="F213">
        <v>1E-4</v>
      </c>
      <c r="G213" s="129" t="s">
        <v>13</v>
      </c>
      <c r="H213" s="129" t="s">
        <v>12</v>
      </c>
      <c r="I213">
        <v>5</v>
      </c>
      <c r="J213">
        <v>20</v>
      </c>
      <c r="K213" s="129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s="129" t="s">
        <v>1391</v>
      </c>
      <c r="B214" s="129" t="s">
        <v>52</v>
      </c>
      <c r="C214" s="129" t="s">
        <v>44</v>
      </c>
      <c r="D214">
        <v>0.1</v>
      </c>
      <c r="E214">
        <v>1</v>
      </c>
      <c r="F214">
        <v>1E-4</v>
      </c>
      <c r="G214" s="129" t="s">
        <v>13</v>
      </c>
      <c r="H214" s="129" t="s">
        <v>12</v>
      </c>
      <c r="I214">
        <v>20</v>
      </c>
      <c r="J214">
        <v>50</v>
      </c>
      <c r="K214" s="129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s="129" t="s">
        <v>1405</v>
      </c>
      <c r="B215" s="129" t="s">
        <v>52</v>
      </c>
      <c r="C215" s="129" t="s">
        <v>44</v>
      </c>
      <c r="D215">
        <v>1</v>
      </c>
      <c r="E215">
        <v>10</v>
      </c>
      <c r="F215">
        <v>1E-4</v>
      </c>
      <c r="G215" s="129" t="s">
        <v>13</v>
      </c>
      <c r="H215" s="129" t="s">
        <v>12</v>
      </c>
      <c r="I215">
        <v>1E-3</v>
      </c>
      <c r="J215">
        <v>0.05</v>
      </c>
      <c r="K215" s="129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s="129" t="s">
        <v>1404</v>
      </c>
      <c r="B216" s="129" t="s">
        <v>52</v>
      </c>
      <c r="C216" s="129" t="s">
        <v>44</v>
      </c>
      <c r="D216">
        <v>1</v>
      </c>
      <c r="E216">
        <v>10</v>
      </c>
      <c r="F216">
        <v>1E-4</v>
      </c>
      <c r="G216" s="129" t="s">
        <v>13</v>
      </c>
      <c r="H216" s="129" t="s">
        <v>12</v>
      </c>
      <c r="I216">
        <v>0.05</v>
      </c>
      <c r="J216">
        <v>1</v>
      </c>
      <c r="K216" s="129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s="129" t="s">
        <v>1403</v>
      </c>
      <c r="B217" s="129" t="s">
        <v>52</v>
      </c>
      <c r="C217" s="129" t="s">
        <v>44</v>
      </c>
      <c r="D217">
        <v>1</v>
      </c>
      <c r="E217">
        <v>10</v>
      </c>
      <c r="F217">
        <v>1E-4</v>
      </c>
      <c r="G217" s="129" t="s">
        <v>13</v>
      </c>
      <c r="H217" s="129" t="s">
        <v>12</v>
      </c>
      <c r="I217">
        <v>1</v>
      </c>
      <c r="J217">
        <v>5</v>
      </c>
      <c r="K217" s="129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s="129" t="s">
        <v>1417</v>
      </c>
      <c r="B218" s="129" t="s">
        <v>52</v>
      </c>
      <c r="C218" s="129" t="s">
        <v>44</v>
      </c>
      <c r="D218">
        <v>10</v>
      </c>
      <c r="E218">
        <v>20</v>
      </c>
      <c r="F218">
        <v>1E-4</v>
      </c>
      <c r="G218" s="129" t="s">
        <v>13</v>
      </c>
      <c r="H218" s="129" t="s">
        <v>12</v>
      </c>
      <c r="I218">
        <v>1E-3</v>
      </c>
      <c r="J218">
        <v>0.05</v>
      </c>
      <c r="K218" s="129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s="129" t="s">
        <v>1415</v>
      </c>
      <c r="B219" s="129" t="s">
        <v>52</v>
      </c>
      <c r="C219" s="129" t="s">
        <v>44</v>
      </c>
      <c r="D219">
        <v>10</v>
      </c>
      <c r="E219">
        <v>20</v>
      </c>
      <c r="F219">
        <v>1E-4</v>
      </c>
      <c r="G219" s="129" t="s">
        <v>13</v>
      </c>
      <c r="H219" s="129" t="s">
        <v>12</v>
      </c>
      <c r="I219">
        <v>0.05</v>
      </c>
      <c r="J219">
        <v>1</v>
      </c>
      <c r="K219" s="12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s="129" t="s">
        <v>1416</v>
      </c>
      <c r="B220" s="129" t="s">
        <v>52</v>
      </c>
      <c r="C220" s="129" t="s">
        <v>44</v>
      </c>
      <c r="D220">
        <v>10</v>
      </c>
      <c r="E220">
        <v>20</v>
      </c>
      <c r="F220">
        <v>1E-4</v>
      </c>
      <c r="G220" s="129" t="s">
        <v>13</v>
      </c>
      <c r="H220" s="129" t="s">
        <v>12</v>
      </c>
      <c r="I220">
        <v>1</v>
      </c>
      <c r="J220">
        <v>5</v>
      </c>
      <c r="K220" s="129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s="129" t="s">
        <v>2419</v>
      </c>
      <c r="B221" s="129" t="s">
        <v>52</v>
      </c>
      <c r="C221" s="129" t="s">
        <v>44</v>
      </c>
      <c r="D221">
        <v>0</v>
      </c>
      <c r="E221">
        <v>1E-4</v>
      </c>
      <c r="F221">
        <v>1E-3</v>
      </c>
      <c r="G221" s="129" t="s">
        <v>13</v>
      </c>
      <c r="H221" s="129" t="s">
        <v>11</v>
      </c>
      <c r="I221">
        <v>1E-3</v>
      </c>
      <c r="J221">
        <v>0.02</v>
      </c>
      <c r="K221" s="129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s="129" t="s">
        <v>1279</v>
      </c>
      <c r="B222" s="129" t="s">
        <v>52</v>
      </c>
      <c r="C222" s="129" t="s">
        <v>44</v>
      </c>
      <c r="D222">
        <v>0</v>
      </c>
      <c r="E222">
        <v>1E-4</v>
      </c>
      <c r="F222">
        <v>1E-3</v>
      </c>
      <c r="G222" s="129" t="s">
        <v>13</v>
      </c>
      <c r="H222" s="129" t="s">
        <v>11</v>
      </c>
      <c r="I222">
        <v>0.02</v>
      </c>
      <c r="J222">
        <v>4.4999999999999998E-2</v>
      </c>
      <c r="K222" s="129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s="129" t="s">
        <v>1278</v>
      </c>
      <c r="B223" s="129" t="s">
        <v>52</v>
      </c>
      <c r="C223" s="129" t="s">
        <v>44</v>
      </c>
      <c r="D223">
        <v>0</v>
      </c>
      <c r="E223">
        <v>1E-4</v>
      </c>
      <c r="F223">
        <v>1E-3</v>
      </c>
      <c r="G223" s="129" t="s">
        <v>13</v>
      </c>
      <c r="H223" s="129" t="s">
        <v>11</v>
      </c>
      <c r="I223">
        <v>4.4999999999999998E-2</v>
      </c>
      <c r="J223">
        <v>5</v>
      </c>
      <c r="K223" s="129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s="129" t="s">
        <v>1375</v>
      </c>
      <c r="B224" s="129" t="s">
        <v>52</v>
      </c>
      <c r="C224" s="129" t="s">
        <v>44</v>
      </c>
      <c r="D224">
        <v>0.01</v>
      </c>
      <c r="E224">
        <v>0.1</v>
      </c>
      <c r="F224">
        <v>1E-3</v>
      </c>
      <c r="G224" s="129" t="s">
        <v>13</v>
      </c>
      <c r="H224" s="129" t="s">
        <v>11</v>
      </c>
      <c r="I224">
        <v>1E-3</v>
      </c>
      <c r="J224">
        <v>0.02</v>
      </c>
      <c r="K224" s="129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s="129" t="s">
        <v>1374</v>
      </c>
      <c r="B225" s="129" t="s">
        <v>52</v>
      </c>
      <c r="C225" s="129" t="s">
        <v>44</v>
      </c>
      <c r="D225">
        <v>0.01</v>
      </c>
      <c r="E225">
        <v>0.1</v>
      </c>
      <c r="F225">
        <v>1E-3</v>
      </c>
      <c r="G225" s="129" t="s">
        <v>13</v>
      </c>
      <c r="H225" s="129" t="s">
        <v>11</v>
      </c>
      <c r="I225">
        <v>0.02</v>
      </c>
      <c r="J225">
        <v>4.4999999999999998E-2</v>
      </c>
      <c r="K225" s="129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s="129" t="s">
        <v>1371</v>
      </c>
      <c r="B226" s="129" t="s">
        <v>52</v>
      </c>
      <c r="C226" s="129" t="s">
        <v>44</v>
      </c>
      <c r="D226">
        <v>0.01</v>
      </c>
      <c r="E226">
        <v>0.1</v>
      </c>
      <c r="F226">
        <v>1E-3</v>
      </c>
      <c r="G226" s="129" t="s">
        <v>13</v>
      </c>
      <c r="H226" s="129" t="s">
        <v>11</v>
      </c>
      <c r="I226">
        <v>4.4999999999999998E-2</v>
      </c>
      <c r="J226">
        <v>0.1</v>
      </c>
      <c r="K226" s="129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s="129" t="s">
        <v>1376</v>
      </c>
      <c r="B227" s="129" t="s">
        <v>52</v>
      </c>
      <c r="C227" s="129" t="s">
        <v>44</v>
      </c>
      <c r="D227">
        <v>0.01</v>
      </c>
      <c r="E227">
        <v>0.1</v>
      </c>
      <c r="F227">
        <v>1E-3</v>
      </c>
      <c r="G227" s="129" t="s">
        <v>13</v>
      </c>
      <c r="H227" s="129" t="s">
        <v>11</v>
      </c>
      <c r="I227">
        <v>0.1</v>
      </c>
      <c r="J227">
        <v>5</v>
      </c>
      <c r="K227" s="129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s="129" t="s">
        <v>1370</v>
      </c>
      <c r="B228" s="129" t="s">
        <v>52</v>
      </c>
      <c r="C228" s="129" t="s">
        <v>44</v>
      </c>
      <c r="D228">
        <v>0.01</v>
      </c>
      <c r="E228">
        <v>0.1</v>
      </c>
      <c r="F228">
        <v>1E-3</v>
      </c>
      <c r="G228" s="129" t="s">
        <v>13</v>
      </c>
      <c r="H228" s="129" t="s">
        <v>11</v>
      </c>
      <c r="I228">
        <v>5</v>
      </c>
      <c r="J228">
        <v>20</v>
      </c>
      <c r="K228" s="129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s="129" t="s">
        <v>1372</v>
      </c>
      <c r="B229" s="129" t="s">
        <v>52</v>
      </c>
      <c r="C229" s="129" t="s">
        <v>44</v>
      </c>
      <c r="D229">
        <v>0.01</v>
      </c>
      <c r="E229">
        <v>0.1</v>
      </c>
      <c r="F229">
        <v>1E-3</v>
      </c>
      <c r="G229" s="129" t="s">
        <v>13</v>
      </c>
      <c r="H229" s="129" t="s">
        <v>11</v>
      </c>
      <c r="I229">
        <v>20</v>
      </c>
      <c r="J229">
        <v>50</v>
      </c>
      <c r="K229" s="1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s="129" t="s">
        <v>1373</v>
      </c>
      <c r="B230" s="129" t="s">
        <v>52</v>
      </c>
      <c r="C230" s="129" t="s">
        <v>44</v>
      </c>
      <c r="D230">
        <v>0.01</v>
      </c>
      <c r="E230">
        <v>0.1</v>
      </c>
      <c r="F230">
        <v>1E-3</v>
      </c>
      <c r="G230" s="129" t="s">
        <v>13</v>
      </c>
      <c r="H230" s="129" t="s">
        <v>11</v>
      </c>
      <c r="I230">
        <v>50</v>
      </c>
      <c r="J230">
        <v>100</v>
      </c>
      <c r="K230" s="129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s="129" t="s">
        <v>2442</v>
      </c>
      <c r="B231" s="129" t="s">
        <v>52</v>
      </c>
      <c r="C231" s="129" t="s">
        <v>44</v>
      </c>
      <c r="D231">
        <v>0.1</v>
      </c>
      <c r="E231">
        <v>1</v>
      </c>
      <c r="F231">
        <v>1E-3</v>
      </c>
      <c r="G231" s="129" t="s">
        <v>13</v>
      </c>
      <c r="H231" s="129" t="s">
        <v>12</v>
      </c>
      <c r="I231">
        <v>1E-3</v>
      </c>
      <c r="J231">
        <v>0.02</v>
      </c>
      <c r="K231" s="129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s="129" t="s">
        <v>1393</v>
      </c>
      <c r="B232" s="129" t="s">
        <v>52</v>
      </c>
      <c r="C232" s="129" t="s">
        <v>44</v>
      </c>
      <c r="D232">
        <v>0.1</v>
      </c>
      <c r="E232">
        <v>1</v>
      </c>
      <c r="F232">
        <v>1E-3</v>
      </c>
      <c r="G232" s="129" t="s">
        <v>13</v>
      </c>
      <c r="H232" s="129" t="s">
        <v>12</v>
      </c>
      <c r="I232">
        <v>0.02</v>
      </c>
      <c r="J232">
        <v>4.4999999999999998E-2</v>
      </c>
      <c r="K232" s="129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s="129" t="s">
        <v>1396</v>
      </c>
      <c r="B233" s="129" t="s">
        <v>52</v>
      </c>
      <c r="C233" s="129" t="s">
        <v>44</v>
      </c>
      <c r="D233">
        <v>0.1</v>
      </c>
      <c r="E233">
        <v>1</v>
      </c>
      <c r="F233">
        <v>1E-3</v>
      </c>
      <c r="G233" s="129" t="s">
        <v>13</v>
      </c>
      <c r="H233" s="129" t="s">
        <v>12</v>
      </c>
      <c r="I233">
        <v>4.4999999999999998E-2</v>
      </c>
      <c r="J233">
        <v>0.1</v>
      </c>
      <c r="K233" s="129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s="129" t="s">
        <v>1395</v>
      </c>
      <c r="B234" s="129" t="s">
        <v>52</v>
      </c>
      <c r="C234" s="129" t="s">
        <v>44</v>
      </c>
      <c r="D234">
        <v>0.1</v>
      </c>
      <c r="E234">
        <v>1</v>
      </c>
      <c r="F234">
        <v>1E-3</v>
      </c>
      <c r="G234" s="129" t="s">
        <v>13</v>
      </c>
      <c r="H234" s="129" t="s">
        <v>12</v>
      </c>
      <c r="I234">
        <v>0.1</v>
      </c>
      <c r="J234">
        <v>5</v>
      </c>
      <c r="K234" s="129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s="129" t="s">
        <v>2445</v>
      </c>
      <c r="B235" s="129" t="s">
        <v>52</v>
      </c>
      <c r="C235" s="129" t="s">
        <v>44</v>
      </c>
      <c r="D235">
        <v>0.1</v>
      </c>
      <c r="E235">
        <v>1</v>
      </c>
      <c r="F235">
        <v>1E-3</v>
      </c>
      <c r="G235" s="129" t="s">
        <v>13</v>
      </c>
      <c r="H235" s="129" t="s">
        <v>12</v>
      </c>
      <c r="I235">
        <v>5</v>
      </c>
      <c r="J235">
        <v>20</v>
      </c>
      <c r="K235" s="129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s="129" t="s">
        <v>1394</v>
      </c>
      <c r="B236" s="129" t="s">
        <v>52</v>
      </c>
      <c r="C236" s="129" t="s">
        <v>44</v>
      </c>
      <c r="D236">
        <v>0.1</v>
      </c>
      <c r="E236">
        <v>1</v>
      </c>
      <c r="F236">
        <v>1E-3</v>
      </c>
      <c r="G236" s="129" t="s">
        <v>13</v>
      </c>
      <c r="H236" s="129" t="s">
        <v>12</v>
      </c>
      <c r="I236">
        <v>20</v>
      </c>
      <c r="J236">
        <v>50</v>
      </c>
      <c r="K236" s="129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s="129" t="s">
        <v>2448</v>
      </c>
      <c r="B237" s="129" t="s">
        <v>52</v>
      </c>
      <c r="C237" s="129" t="s">
        <v>44</v>
      </c>
      <c r="D237">
        <v>1</v>
      </c>
      <c r="E237">
        <v>10</v>
      </c>
      <c r="F237">
        <v>1E-3</v>
      </c>
      <c r="G237" s="129" t="s">
        <v>13</v>
      </c>
      <c r="H237" s="129" t="s">
        <v>12</v>
      </c>
      <c r="I237">
        <v>1E-3</v>
      </c>
      <c r="J237">
        <v>0.05</v>
      </c>
      <c r="K237" s="129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s="129" t="s">
        <v>2450</v>
      </c>
      <c r="B238" s="129" t="s">
        <v>52</v>
      </c>
      <c r="C238" s="129" t="s">
        <v>44</v>
      </c>
      <c r="D238">
        <v>1</v>
      </c>
      <c r="E238">
        <v>10</v>
      </c>
      <c r="F238">
        <v>1E-3</v>
      </c>
      <c r="G238" s="129" t="s">
        <v>13</v>
      </c>
      <c r="H238" s="129" t="s">
        <v>12</v>
      </c>
      <c r="I238">
        <v>0.05</v>
      </c>
      <c r="J238">
        <v>1</v>
      </c>
      <c r="K238" s="129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s="129" t="s">
        <v>1406</v>
      </c>
      <c r="B239" s="129" t="s">
        <v>52</v>
      </c>
      <c r="C239" s="129" t="s">
        <v>44</v>
      </c>
      <c r="D239">
        <v>1</v>
      </c>
      <c r="E239">
        <v>10</v>
      </c>
      <c r="F239">
        <v>1E-3</v>
      </c>
      <c r="G239" s="129" t="s">
        <v>13</v>
      </c>
      <c r="H239" s="129" t="s">
        <v>12</v>
      </c>
      <c r="I239">
        <v>1</v>
      </c>
      <c r="J239">
        <v>5</v>
      </c>
      <c r="K239" s="12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s="129" t="s">
        <v>1419</v>
      </c>
      <c r="B240" s="129" t="s">
        <v>52</v>
      </c>
      <c r="C240" s="129" t="s">
        <v>44</v>
      </c>
      <c r="D240">
        <v>10</v>
      </c>
      <c r="E240">
        <v>20</v>
      </c>
      <c r="F240">
        <v>1E-3</v>
      </c>
      <c r="G240" s="129" t="s">
        <v>13</v>
      </c>
      <c r="H240" s="129" t="s">
        <v>12</v>
      </c>
      <c r="I240">
        <v>1E-3</v>
      </c>
      <c r="J240">
        <v>0.05</v>
      </c>
      <c r="K240" s="129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s="129" t="s">
        <v>1418</v>
      </c>
      <c r="B241" s="129" t="s">
        <v>52</v>
      </c>
      <c r="C241" s="129" t="s">
        <v>44</v>
      </c>
      <c r="D241">
        <v>10</v>
      </c>
      <c r="E241">
        <v>20</v>
      </c>
      <c r="F241">
        <v>1E-3</v>
      </c>
      <c r="G241" s="129" t="s">
        <v>13</v>
      </c>
      <c r="H241" s="129" t="s">
        <v>12</v>
      </c>
      <c r="I241">
        <v>0.05</v>
      </c>
      <c r="J241">
        <v>1</v>
      </c>
      <c r="K241" s="129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s="129" t="s">
        <v>1420</v>
      </c>
      <c r="B242" s="129" t="s">
        <v>52</v>
      </c>
      <c r="C242" s="129" t="s">
        <v>44</v>
      </c>
      <c r="D242">
        <v>10</v>
      </c>
      <c r="E242">
        <v>20</v>
      </c>
      <c r="F242">
        <v>1E-3</v>
      </c>
      <c r="G242" s="129" t="s">
        <v>13</v>
      </c>
      <c r="H242" s="129" t="s">
        <v>12</v>
      </c>
      <c r="I242">
        <v>1</v>
      </c>
      <c r="J242">
        <v>5</v>
      </c>
      <c r="K242" s="129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s="129" t="s">
        <v>1282</v>
      </c>
      <c r="B243" s="129" t="s">
        <v>52</v>
      </c>
      <c r="C243" s="129" t="s">
        <v>44</v>
      </c>
      <c r="D243">
        <v>0</v>
      </c>
      <c r="E243">
        <v>1E-4</v>
      </c>
      <c r="F243">
        <v>0.01</v>
      </c>
      <c r="G243" s="129" t="s">
        <v>13</v>
      </c>
      <c r="H243" s="129" t="s">
        <v>11</v>
      </c>
      <c r="I243">
        <v>1E-3</v>
      </c>
      <c r="J243">
        <v>0.02</v>
      </c>
      <c r="K243" s="129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s="129" t="s">
        <v>1280</v>
      </c>
      <c r="B244" s="129" t="s">
        <v>52</v>
      </c>
      <c r="C244" s="129" t="s">
        <v>44</v>
      </c>
      <c r="D244">
        <v>0</v>
      </c>
      <c r="E244">
        <v>1E-4</v>
      </c>
      <c r="F244">
        <v>0.01</v>
      </c>
      <c r="G244" s="129" t="s">
        <v>13</v>
      </c>
      <c r="H244" s="129" t="s">
        <v>11</v>
      </c>
      <c r="I244">
        <v>0.02</v>
      </c>
      <c r="J244">
        <v>4.4999999999999998E-2</v>
      </c>
      <c r="K244" s="129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s="129" t="s">
        <v>1281</v>
      </c>
      <c r="B245" s="129" t="s">
        <v>52</v>
      </c>
      <c r="C245" s="129" t="s">
        <v>44</v>
      </c>
      <c r="D245">
        <v>0</v>
      </c>
      <c r="E245">
        <v>1E-4</v>
      </c>
      <c r="F245">
        <v>0.01</v>
      </c>
      <c r="G245" s="129" t="s">
        <v>13</v>
      </c>
      <c r="H245" s="129" t="s">
        <v>11</v>
      </c>
      <c r="I245">
        <v>4.4999999999999998E-2</v>
      </c>
      <c r="J245">
        <v>5</v>
      </c>
      <c r="K245" s="129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s="129" t="s">
        <v>2443</v>
      </c>
      <c r="B246" s="129" t="s">
        <v>52</v>
      </c>
      <c r="C246" s="129" t="s">
        <v>44</v>
      </c>
      <c r="D246">
        <v>0.1</v>
      </c>
      <c r="E246">
        <v>1</v>
      </c>
      <c r="F246">
        <v>0.01</v>
      </c>
      <c r="G246" s="129" t="s">
        <v>13</v>
      </c>
      <c r="H246" s="129" t="s">
        <v>12</v>
      </c>
      <c r="I246">
        <v>1E-3</v>
      </c>
      <c r="J246">
        <v>0.02</v>
      </c>
      <c r="K246" s="129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s="129" t="s">
        <v>1399</v>
      </c>
      <c r="B247" s="129" t="s">
        <v>52</v>
      </c>
      <c r="C247" s="129" t="s">
        <v>44</v>
      </c>
      <c r="D247">
        <v>0.1</v>
      </c>
      <c r="E247">
        <v>1</v>
      </c>
      <c r="F247">
        <v>0.01</v>
      </c>
      <c r="G247" s="129" t="s">
        <v>13</v>
      </c>
      <c r="H247" s="129" t="s">
        <v>12</v>
      </c>
      <c r="I247">
        <v>0.02</v>
      </c>
      <c r="J247">
        <v>4.4999999999999998E-2</v>
      </c>
      <c r="K247" s="129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s="129" t="s">
        <v>1398</v>
      </c>
      <c r="B248" s="129" t="s">
        <v>52</v>
      </c>
      <c r="C248" s="129" t="s">
        <v>44</v>
      </c>
      <c r="D248">
        <v>0.1</v>
      </c>
      <c r="E248">
        <v>1</v>
      </c>
      <c r="F248">
        <v>0.01</v>
      </c>
      <c r="G248" s="129" t="s">
        <v>13</v>
      </c>
      <c r="H248" s="129" t="s">
        <v>12</v>
      </c>
      <c r="I248">
        <v>4.4999999999999998E-2</v>
      </c>
      <c r="J248">
        <v>0.1</v>
      </c>
      <c r="K248" s="129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s="129" t="s">
        <v>1397</v>
      </c>
      <c r="B249" s="129" t="s">
        <v>52</v>
      </c>
      <c r="C249" s="129" t="s">
        <v>44</v>
      </c>
      <c r="D249">
        <v>0.1</v>
      </c>
      <c r="E249">
        <v>1</v>
      </c>
      <c r="F249">
        <v>0.01</v>
      </c>
      <c r="G249" s="129" t="s">
        <v>13</v>
      </c>
      <c r="H249" s="129" t="s">
        <v>12</v>
      </c>
      <c r="I249">
        <v>0.1</v>
      </c>
      <c r="J249">
        <v>5</v>
      </c>
      <c r="K249" s="12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s="129" t="s">
        <v>2446</v>
      </c>
      <c r="B250" s="129" t="s">
        <v>52</v>
      </c>
      <c r="C250" s="129" t="s">
        <v>44</v>
      </c>
      <c r="D250">
        <v>0.1</v>
      </c>
      <c r="E250">
        <v>1</v>
      </c>
      <c r="F250">
        <v>0.01</v>
      </c>
      <c r="G250" s="129" t="s">
        <v>13</v>
      </c>
      <c r="H250" s="129" t="s">
        <v>12</v>
      </c>
      <c r="I250">
        <v>5</v>
      </c>
      <c r="J250">
        <v>20</v>
      </c>
      <c r="K250" s="129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s="129" t="s">
        <v>1400</v>
      </c>
      <c r="B251" s="129" t="s">
        <v>52</v>
      </c>
      <c r="C251" s="129" t="s">
        <v>44</v>
      </c>
      <c r="D251">
        <v>0.1</v>
      </c>
      <c r="E251">
        <v>1</v>
      </c>
      <c r="F251">
        <v>0.01</v>
      </c>
      <c r="G251" s="129" t="s">
        <v>13</v>
      </c>
      <c r="H251" s="129" t="s">
        <v>12</v>
      </c>
      <c r="I251">
        <v>20</v>
      </c>
      <c r="J251">
        <v>50</v>
      </c>
      <c r="K251" s="129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s="129" t="s">
        <v>1407</v>
      </c>
      <c r="B252" s="129" t="s">
        <v>52</v>
      </c>
      <c r="C252" s="129" t="s">
        <v>44</v>
      </c>
      <c r="D252">
        <v>1</v>
      </c>
      <c r="E252">
        <v>10</v>
      </c>
      <c r="F252">
        <v>0.01</v>
      </c>
      <c r="G252" s="129" t="s">
        <v>13</v>
      </c>
      <c r="H252" s="129" t="s">
        <v>12</v>
      </c>
      <c r="I252">
        <v>1E-3</v>
      </c>
      <c r="J252">
        <v>0.05</v>
      </c>
      <c r="K252" s="129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s="129" t="s">
        <v>1409</v>
      </c>
      <c r="B253" s="129" t="s">
        <v>52</v>
      </c>
      <c r="C253" s="129" t="s">
        <v>44</v>
      </c>
      <c r="D253">
        <v>1</v>
      </c>
      <c r="E253">
        <v>10</v>
      </c>
      <c r="F253">
        <v>0.01</v>
      </c>
      <c r="G253" s="129" t="s">
        <v>13</v>
      </c>
      <c r="H253" s="129" t="s">
        <v>12</v>
      </c>
      <c r="I253">
        <v>0.05</v>
      </c>
      <c r="J253">
        <v>1</v>
      </c>
      <c r="K253" s="129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s="129" t="s">
        <v>1408</v>
      </c>
      <c r="B254" s="129" t="s">
        <v>52</v>
      </c>
      <c r="C254" s="129" t="s">
        <v>44</v>
      </c>
      <c r="D254">
        <v>1</v>
      </c>
      <c r="E254">
        <v>10</v>
      </c>
      <c r="F254">
        <v>0.01</v>
      </c>
      <c r="G254" s="129" t="s">
        <v>13</v>
      </c>
      <c r="H254" s="129" t="s">
        <v>12</v>
      </c>
      <c r="I254">
        <v>1</v>
      </c>
      <c r="J254">
        <v>5</v>
      </c>
      <c r="K254" s="129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s="129" t="s">
        <v>1422</v>
      </c>
      <c r="B255" s="129" t="s">
        <v>52</v>
      </c>
      <c r="C255" s="129" t="s">
        <v>44</v>
      </c>
      <c r="D255">
        <v>10</v>
      </c>
      <c r="E255">
        <v>20</v>
      </c>
      <c r="F255">
        <v>0.01</v>
      </c>
      <c r="G255" s="129" t="s">
        <v>13</v>
      </c>
      <c r="H255" s="129" t="s">
        <v>12</v>
      </c>
      <c r="I255">
        <v>1E-3</v>
      </c>
      <c r="J255">
        <v>0.05</v>
      </c>
      <c r="K255" s="129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s="129" t="s">
        <v>2451</v>
      </c>
      <c r="B256" s="129" t="s">
        <v>52</v>
      </c>
      <c r="C256" s="129" t="s">
        <v>44</v>
      </c>
      <c r="D256">
        <v>10</v>
      </c>
      <c r="E256">
        <v>20</v>
      </c>
      <c r="F256">
        <v>0.01</v>
      </c>
      <c r="G256" s="129" t="s">
        <v>13</v>
      </c>
      <c r="H256" s="129" t="s">
        <v>12</v>
      </c>
      <c r="I256">
        <v>0.05</v>
      </c>
      <c r="J256">
        <v>1</v>
      </c>
      <c r="K256" s="129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s="129" t="s">
        <v>1421</v>
      </c>
      <c r="B257" s="129" t="s">
        <v>52</v>
      </c>
      <c r="C257" s="129" t="s">
        <v>44</v>
      </c>
      <c r="D257">
        <v>10</v>
      </c>
      <c r="E257">
        <v>20</v>
      </c>
      <c r="F257">
        <v>0.01</v>
      </c>
      <c r="G257" s="129" t="s">
        <v>13</v>
      </c>
      <c r="H257" s="129" t="s">
        <v>12</v>
      </c>
      <c r="I257">
        <v>1</v>
      </c>
      <c r="J257">
        <v>5</v>
      </c>
      <c r="K257" s="129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s="129" t="s">
        <v>1283</v>
      </c>
      <c r="B258" s="129" t="s">
        <v>52</v>
      </c>
      <c r="C258" s="129" t="s">
        <v>44</v>
      </c>
      <c r="D258">
        <v>0</v>
      </c>
      <c r="E258">
        <v>1E-4</v>
      </c>
      <c r="F258">
        <v>0.1</v>
      </c>
      <c r="G258" s="129" t="s">
        <v>13</v>
      </c>
      <c r="H258" s="129" t="s">
        <v>11</v>
      </c>
      <c r="I258">
        <v>1E-3</v>
      </c>
      <c r="J258">
        <v>0.02</v>
      </c>
      <c r="K258" s="129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s="129" t="s">
        <v>1284</v>
      </c>
      <c r="B259" s="129" t="s">
        <v>52</v>
      </c>
      <c r="C259" s="129" t="s">
        <v>44</v>
      </c>
      <c r="D259">
        <v>0</v>
      </c>
      <c r="E259">
        <v>1E-4</v>
      </c>
      <c r="F259">
        <v>0.1</v>
      </c>
      <c r="G259" s="129" t="s">
        <v>13</v>
      </c>
      <c r="H259" s="129" t="s">
        <v>11</v>
      </c>
      <c r="I259">
        <v>0.02</v>
      </c>
      <c r="J259">
        <v>4.4999999999999998E-2</v>
      </c>
      <c r="K259" s="12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s="129" t="s">
        <v>2424</v>
      </c>
      <c r="B260" s="129" t="s">
        <v>52</v>
      </c>
      <c r="C260" s="129" t="s">
        <v>44</v>
      </c>
      <c r="D260">
        <v>0</v>
      </c>
      <c r="E260">
        <v>1E-4</v>
      </c>
      <c r="F260">
        <v>0.1</v>
      </c>
      <c r="G260" s="129" t="s">
        <v>13</v>
      </c>
      <c r="H260" s="129" t="s">
        <v>11</v>
      </c>
      <c r="I260">
        <v>4.4999999999999998E-2</v>
      </c>
      <c r="J260">
        <v>5</v>
      </c>
      <c r="K260" s="129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s="129" t="s">
        <v>2449</v>
      </c>
      <c r="B261" s="129" t="s">
        <v>52</v>
      </c>
      <c r="C261" s="129" t="s">
        <v>44</v>
      </c>
      <c r="D261">
        <v>1</v>
      </c>
      <c r="E261">
        <v>10</v>
      </c>
      <c r="F261">
        <v>0.1</v>
      </c>
      <c r="G261" s="129" t="s">
        <v>13</v>
      </c>
      <c r="H261" s="129" t="s">
        <v>12</v>
      </c>
      <c r="I261">
        <v>1E-3</v>
      </c>
      <c r="J261">
        <v>0.05</v>
      </c>
      <c r="K261" s="129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s="129" t="s">
        <v>1410</v>
      </c>
      <c r="B262" s="129" t="s">
        <v>52</v>
      </c>
      <c r="C262" s="129" t="s">
        <v>44</v>
      </c>
      <c r="D262">
        <v>1</v>
      </c>
      <c r="E262">
        <v>10</v>
      </c>
      <c r="F262">
        <v>0.1</v>
      </c>
      <c r="G262" s="129" t="s">
        <v>13</v>
      </c>
      <c r="H262" s="129" t="s">
        <v>12</v>
      </c>
      <c r="I262">
        <v>0.05</v>
      </c>
      <c r="J262">
        <v>1</v>
      </c>
      <c r="K262" s="129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s="129" t="s">
        <v>1411</v>
      </c>
      <c r="B263" s="129" t="s">
        <v>52</v>
      </c>
      <c r="C263" s="129" t="s">
        <v>44</v>
      </c>
      <c r="D263">
        <v>1</v>
      </c>
      <c r="E263">
        <v>10</v>
      </c>
      <c r="F263">
        <v>0.1</v>
      </c>
      <c r="G263" s="129" t="s">
        <v>13</v>
      </c>
      <c r="H263" s="129" t="s">
        <v>12</v>
      </c>
      <c r="I263">
        <v>1</v>
      </c>
      <c r="J263">
        <v>5</v>
      </c>
      <c r="K263" s="129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s="129" t="s">
        <v>1423</v>
      </c>
      <c r="B264" s="129" t="s">
        <v>52</v>
      </c>
      <c r="C264" s="129" t="s">
        <v>44</v>
      </c>
      <c r="D264">
        <v>10</v>
      </c>
      <c r="E264">
        <v>20</v>
      </c>
      <c r="F264">
        <v>0.1</v>
      </c>
      <c r="G264" s="129" t="s">
        <v>13</v>
      </c>
      <c r="H264" s="129" t="s">
        <v>12</v>
      </c>
      <c r="I264">
        <v>1E-3</v>
      </c>
      <c r="J264">
        <v>0.05</v>
      </c>
      <c r="K264" s="129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s="129" t="s">
        <v>1425</v>
      </c>
      <c r="B265" s="129" t="s">
        <v>52</v>
      </c>
      <c r="C265" s="129" t="s">
        <v>44</v>
      </c>
      <c r="D265">
        <v>10</v>
      </c>
      <c r="E265">
        <v>20</v>
      </c>
      <c r="F265">
        <v>0.1</v>
      </c>
      <c r="G265" s="129" t="s">
        <v>13</v>
      </c>
      <c r="H265" s="129" t="s">
        <v>12</v>
      </c>
      <c r="I265">
        <v>0.05</v>
      </c>
      <c r="J265">
        <v>1</v>
      </c>
      <c r="K265" s="129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s="129" t="s">
        <v>1424</v>
      </c>
      <c r="B266" s="129" t="s">
        <v>52</v>
      </c>
      <c r="C266" s="129" t="s">
        <v>44</v>
      </c>
      <c r="D266">
        <v>10</v>
      </c>
      <c r="E266">
        <v>20</v>
      </c>
      <c r="F266">
        <v>0.1</v>
      </c>
      <c r="G266" s="129" t="s">
        <v>13</v>
      </c>
      <c r="H266" s="129" t="s">
        <v>12</v>
      </c>
      <c r="I266">
        <v>1</v>
      </c>
      <c r="J266">
        <v>5</v>
      </c>
      <c r="K266" s="129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s="129" t="s">
        <v>1285</v>
      </c>
      <c r="B267" s="129" t="s">
        <v>52</v>
      </c>
      <c r="C267" s="129" t="s">
        <v>44</v>
      </c>
      <c r="D267">
        <v>0</v>
      </c>
      <c r="E267">
        <v>1E-4</v>
      </c>
      <c r="F267">
        <v>1</v>
      </c>
      <c r="G267" s="129" t="s">
        <v>13</v>
      </c>
      <c r="H267" s="129" t="s">
        <v>11</v>
      </c>
      <c r="I267">
        <v>1E-3</v>
      </c>
      <c r="J267">
        <v>0.02</v>
      </c>
      <c r="K267" s="129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s="129" t="s">
        <v>1287</v>
      </c>
      <c r="B268" s="129" t="s">
        <v>52</v>
      </c>
      <c r="C268" s="129" t="s">
        <v>44</v>
      </c>
      <c r="D268">
        <v>0</v>
      </c>
      <c r="E268">
        <v>1E-4</v>
      </c>
      <c r="F268">
        <v>1</v>
      </c>
      <c r="G268" s="129" t="s">
        <v>13</v>
      </c>
      <c r="H268" s="129" t="s">
        <v>11</v>
      </c>
      <c r="I268">
        <v>0.02</v>
      </c>
      <c r="J268">
        <v>4.4999999999999998E-2</v>
      </c>
      <c r="K268" s="129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s="129" t="s">
        <v>1286</v>
      </c>
      <c r="B269" s="129" t="s">
        <v>52</v>
      </c>
      <c r="C269" s="129" t="s">
        <v>44</v>
      </c>
      <c r="D269">
        <v>0</v>
      </c>
      <c r="E269">
        <v>1E-4</v>
      </c>
      <c r="F269">
        <v>1</v>
      </c>
      <c r="G269" s="129" t="s">
        <v>13</v>
      </c>
      <c r="H269" s="129" t="s">
        <v>11</v>
      </c>
      <c r="I269">
        <v>4.4999999999999998E-2</v>
      </c>
      <c r="J269">
        <v>5</v>
      </c>
      <c r="K269" s="12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s="129" t="s">
        <v>971</v>
      </c>
      <c r="B270" s="129" t="s">
        <v>52</v>
      </c>
      <c r="C270" s="129" t="s">
        <v>8</v>
      </c>
      <c r="D270">
        <v>0</v>
      </c>
      <c r="E270">
        <v>0.01</v>
      </c>
      <c r="F270">
        <v>1E-8</v>
      </c>
      <c r="G270" s="129" t="s">
        <v>6</v>
      </c>
      <c r="H270" s="129" t="s">
        <v>5</v>
      </c>
      <c r="I270">
        <v>1E-3</v>
      </c>
      <c r="J270">
        <v>0.04</v>
      </c>
      <c r="K270" s="129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s="129" t="s">
        <v>973</v>
      </c>
      <c r="B271" s="129" t="s">
        <v>52</v>
      </c>
      <c r="C271" s="129" t="s">
        <v>8</v>
      </c>
      <c r="D271">
        <v>0</v>
      </c>
      <c r="E271">
        <v>0.01</v>
      </c>
      <c r="F271">
        <v>1E-8</v>
      </c>
      <c r="G271" s="129" t="s">
        <v>6</v>
      </c>
      <c r="H271" s="129" t="s">
        <v>5</v>
      </c>
      <c r="I271">
        <v>0.04</v>
      </c>
      <c r="J271">
        <v>1</v>
      </c>
      <c r="K271" s="129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s="129" t="s">
        <v>2344</v>
      </c>
      <c r="B272" s="129" t="s">
        <v>52</v>
      </c>
      <c r="C272" s="129" t="s">
        <v>8</v>
      </c>
      <c r="D272">
        <v>0</v>
      </c>
      <c r="E272">
        <v>0.01</v>
      </c>
      <c r="F272">
        <v>1E-8</v>
      </c>
      <c r="G272" s="129" t="s">
        <v>6</v>
      </c>
      <c r="H272" s="129" t="s">
        <v>5</v>
      </c>
      <c r="I272">
        <v>1</v>
      </c>
      <c r="J272">
        <v>20</v>
      </c>
      <c r="K272" s="129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s="129" t="s">
        <v>974</v>
      </c>
      <c r="B273" s="129" t="s">
        <v>52</v>
      </c>
      <c r="C273" s="129" t="s">
        <v>8</v>
      </c>
      <c r="D273">
        <v>0</v>
      </c>
      <c r="E273">
        <v>0.01</v>
      </c>
      <c r="F273">
        <v>1E-8</v>
      </c>
      <c r="G273" s="129" t="s">
        <v>6</v>
      </c>
      <c r="H273" s="129" t="s">
        <v>5</v>
      </c>
      <c r="I273">
        <v>20</v>
      </c>
      <c r="J273">
        <v>50</v>
      </c>
      <c r="K273" s="129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s="129" t="s">
        <v>972</v>
      </c>
      <c r="B274" s="129" t="s">
        <v>52</v>
      </c>
      <c r="C274" s="129" t="s">
        <v>8</v>
      </c>
      <c r="D274">
        <v>0</v>
      </c>
      <c r="E274">
        <v>0.01</v>
      </c>
      <c r="F274">
        <v>1E-8</v>
      </c>
      <c r="G274" s="129" t="s">
        <v>6</v>
      </c>
      <c r="H274" s="129" t="s">
        <v>5</v>
      </c>
      <c r="I274">
        <v>50</v>
      </c>
      <c r="J274">
        <v>100</v>
      </c>
      <c r="K274" s="129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s="129" t="s">
        <v>2347</v>
      </c>
      <c r="B275" s="129" t="s">
        <v>52</v>
      </c>
      <c r="C275" s="129" t="s">
        <v>8</v>
      </c>
      <c r="D275">
        <v>0</v>
      </c>
      <c r="E275">
        <v>0.01</v>
      </c>
      <c r="F275">
        <v>1E-8</v>
      </c>
      <c r="G275" s="129" t="s">
        <v>6</v>
      </c>
      <c r="H275" s="129" t="s">
        <v>5</v>
      </c>
      <c r="I275">
        <v>100</v>
      </c>
      <c r="J275">
        <v>300</v>
      </c>
      <c r="K275" s="129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s="129" t="s">
        <v>969</v>
      </c>
      <c r="B276" s="129" t="s">
        <v>52</v>
      </c>
      <c r="C276" s="129" t="s">
        <v>8</v>
      </c>
      <c r="D276">
        <v>0</v>
      </c>
      <c r="E276">
        <v>0.01</v>
      </c>
      <c r="F276">
        <v>1E-8</v>
      </c>
      <c r="G276" s="129" t="s">
        <v>6</v>
      </c>
      <c r="H276" s="129" t="s">
        <v>5</v>
      </c>
      <c r="I276">
        <v>300</v>
      </c>
      <c r="J276">
        <v>1000</v>
      </c>
      <c r="K276" s="129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s="129" t="s">
        <v>968</v>
      </c>
      <c r="B277" s="129" t="s">
        <v>52</v>
      </c>
      <c r="C277" s="129" t="s">
        <v>8</v>
      </c>
      <c r="D277">
        <v>0</v>
      </c>
      <c r="E277">
        <v>0.01</v>
      </c>
      <c r="F277">
        <v>1E-8</v>
      </c>
      <c r="G277" s="129" t="s">
        <v>6</v>
      </c>
      <c r="H277" s="129" t="s">
        <v>5</v>
      </c>
      <c r="I277">
        <v>1000</v>
      </c>
      <c r="J277">
        <v>4000</v>
      </c>
      <c r="K277" s="129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s="129" t="s">
        <v>970</v>
      </c>
      <c r="B278" s="129" t="s">
        <v>52</v>
      </c>
      <c r="C278" s="129" t="s">
        <v>8</v>
      </c>
      <c r="D278">
        <v>0</v>
      </c>
      <c r="E278">
        <v>0.01</v>
      </c>
      <c r="F278">
        <v>1E-8</v>
      </c>
      <c r="G278" s="129" t="s">
        <v>6</v>
      </c>
      <c r="H278" s="129" t="s">
        <v>5</v>
      </c>
      <c r="I278">
        <v>4000</v>
      </c>
      <c r="J278">
        <v>8000</v>
      </c>
      <c r="K278" s="129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s="129" t="s">
        <v>1017</v>
      </c>
      <c r="B279" s="129" t="s">
        <v>52</v>
      </c>
      <c r="C279" s="129" t="s">
        <v>8</v>
      </c>
      <c r="D279">
        <v>0.01</v>
      </c>
      <c r="E279">
        <v>0.1</v>
      </c>
      <c r="F279">
        <v>1E-8</v>
      </c>
      <c r="G279" s="129" t="s">
        <v>6</v>
      </c>
      <c r="H279" s="129" t="s">
        <v>5</v>
      </c>
      <c r="I279">
        <v>1E-3</v>
      </c>
      <c r="J279">
        <v>0.04</v>
      </c>
      <c r="K279" s="12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s="129" t="s">
        <v>2351</v>
      </c>
      <c r="B280" s="129" t="s">
        <v>52</v>
      </c>
      <c r="C280" s="129" t="s">
        <v>8</v>
      </c>
      <c r="D280">
        <v>0.01</v>
      </c>
      <c r="E280">
        <v>0.1</v>
      </c>
      <c r="F280">
        <v>1E-8</v>
      </c>
      <c r="G280" s="129" t="s">
        <v>6</v>
      </c>
      <c r="H280" s="129" t="s">
        <v>5</v>
      </c>
      <c r="I280">
        <v>0.04</v>
      </c>
      <c r="J280">
        <v>1</v>
      </c>
      <c r="K280" s="129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s="129" t="s">
        <v>2355</v>
      </c>
      <c r="B281" s="129" t="s">
        <v>52</v>
      </c>
      <c r="C281" s="129" t="s">
        <v>8</v>
      </c>
      <c r="D281">
        <v>0.01</v>
      </c>
      <c r="E281">
        <v>0.1</v>
      </c>
      <c r="F281">
        <v>1E-8</v>
      </c>
      <c r="G281" s="129" t="s">
        <v>6</v>
      </c>
      <c r="H281" s="129" t="s">
        <v>5</v>
      </c>
      <c r="I281">
        <v>1</v>
      </c>
      <c r="J281">
        <v>20</v>
      </c>
      <c r="K281" s="129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s="129" t="s">
        <v>1022</v>
      </c>
      <c r="B282" s="129" t="s">
        <v>52</v>
      </c>
      <c r="C282" s="129" t="s">
        <v>8</v>
      </c>
      <c r="D282">
        <v>0.01</v>
      </c>
      <c r="E282">
        <v>0.1</v>
      </c>
      <c r="F282">
        <v>1E-8</v>
      </c>
      <c r="G282" s="129" t="s">
        <v>6</v>
      </c>
      <c r="H282" s="129" t="s">
        <v>5</v>
      </c>
      <c r="I282">
        <v>20</v>
      </c>
      <c r="J282">
        <v>50</v>
      </c>
      <c r="K282" s="129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s="129" t="s">
        <v>1019</v>
      </c>
      <c r="B283" s="129" t="s">
        <v>52</v>
      </c>
      <c r="C283" s="129" t="s">
        <v>8</v>
      </c>
      <c r="D283">
        <v>0.01</v>
      </c>
      <c r="E283">
        <v>0.1</v>
      </c>
      <c r="F283">
        <v>1E-8</v>
      </c>
      <c r="G283" s="129" t="s">
        <v>6</v>
      </c>
      <c r="H283" s="129" t="s">
        <v>5</v>
      </c>
      <c r="I283">
        <v>50</v>
      </c>
      <c r="J283">
        <v>100</v>
      </c>
      <c r="K283" s="129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s="129" t="s">
        <v>2359</v>
      </c>
      <c r="B284" s="129" t="s">
        <v>52</v>
      </c>
      <c r="C284" s="129" t="s">
        <v>8</v>
      </c>
      <c r="D284">
        <v>0.01</v>
      </c>
      <c r="E284">
        <v>0.1</v>
      </c>
      <c r="F284">
        <v>1E-8</v>
      </c>
      <c r="G284" s="129" t="s">
        <v>6</v>
      </c>
      <c r="H284" s="129" t="s">
        <v>5</v>
      </c>
      <c r="I284">
        <v>100</v>
      </c>
      <c r="J284">
        <v>300</v>
      </c>
      <c r="K284" s="129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s="129" t="s">
        <v>1020</v>
      </c>
      <c r="B285" s="129" t="s">
        <v>52</v>
      </c>
      <c r="C285" s="129" t="s">
        <v>8</v>
      </c>
      <c r="D285">
        <v>0.01</v>
      </c>
      <c r="E285">
        <v>0.1</v>
      </c>
      <c r="F285">
        <v>1E-8</v>
      </c>
      <c r="G285" s="129" t="s">
        <v>6</v>
      </c>
      <c r="H285" s="129" t="s">
        <v>5</v>
      </c>
      <c r="I285">
        <v>300</v>
      </c>
      <c r="J285">
        <v>1000</v>
      </c>
      <c r="K285" s="129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s="129" t="s">
        <v>1021</v>
      </c>
      <c r="B286" s="129" t="s">
        <v>52</v>
      </c>
      <c r="C286" s="129" t="s">
        <v>8</v>
      </c>
      <c r="D286">
        <v>0.01</v>
      </c>
      <c r="E286">
        <v>0.1</v>
      </c>
      <c r="F286">
        <v>1E-8</v>
      </c>
      <c r="G286" s="129" t="s">
        <v>6</v>
      </c>
      <c r="H286" s="129" t="s">
        <v>5</v>
      </c>
      <c r="I286">
        <v>1000</v>
      </c>
      <c r="J286">
        <v>2000</v>
      </c>
      <c r="K286" s="129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s="129" t="s">
        <v>1016</v>
      </c>
      <c r="B287" s="129" t="s">
        <v>52</v>
      </c>
      <c r="C287" s="129" t="s">
        <v>8</v>
      </c>
      <c r="D287">
        <v>0.01</v>
      </c>
      <c r="E287">
        <v>0.1</v>
      </c>
      <c r="F287">
        <v>1E-8</v>
      </c>
      <c r="G287" s="129" t="s">
        <v>6</v>
      </c>
      <c r="H287" s="129" t="s">
        <v>5</v>
      </c>
      <c r="I287">
        <v>2000</v>
      </c>
      <c r="J287">
        <v>4000</v>
      </c>
      <c r="K287" s="129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s="129" t="s">
        <v>1015</v>
      </c>
      <c r="B288" s="129" t="s">
        <v>52</v>
      </c>
      <c r="C288" s="129" t="s">
        <v>8</v>
      </c>
      <c r="D288">
        <v>0.01</v>
      </c>
      <c r="E288">
        <v>0.1</v>
      </c>
      <c r="F288">
        <v>1E-8</v>
      </c>
      <c r="G288" s="129" t="s">
        <v>6</v>
      </c>
      <c r="H288" s="129" t="s">
        <v>5</v>
      </c>
      <c r="I288">
        <v>4000</v>
      </c>
      <c r="J288">
        <v>8000</v>
      </c>
      <c r="K288" s="129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s="129" t="s">
        <v>1018</v>
      </c>
      <c r="B289" s="129" t="s">
        <v>52</v>
      </c>
      <c r="C289" s="129" t="s">
        <v>8</v>
      </c>
      <c r="D289">
        <v>0.01</v>
      </c>
      <c r="E289">
        <v>0.1</v>
      </c>
      <c r="F289">
        <v>1E-8</v>
      </c>
      <c r="G289" s="129" t="s">
        <v>6</v>
      </c>
      <c r="H289" s="129" t="s">
        <v>5</v>
      </c>
      <c r="I289">
        <v>8000</v>
      </c>
      <c r="J289">
        <v>10000</v>
      </c>
      <c r="K289" s="12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s="129" t="s">
        <v>977</v>
      </c>
      <c r="B290" s="129" t="s">
        <v>52</v>
      </c>
      <c r="C290" s="129" t="s">
        <v>8</v>
      </c>
      <c r="D290">
        <v>0</v>
      </c>
      <c r="E290">
        <v>0.01</v>
      </c>
      <c r="F290">
        <v>9.9999999999999995E-8</v>
      </c>
      <c r="G290" s="129" t="s">
        <v>6</v>
      </c>
      <c r="H290" s="129" t="s">
        <v>5</v>
      </c>
      <c r="I290">
        <v>1E-3</v>
      </c>
      <c r="J290">
        <v>0.04</v>
      </c>
      <c r="K290" s="129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s="129" t="s">
        <v>982</v>
      </c>
      <c r="B291" s="129" t="s">
        <v>52</v>
      </c>
      <c r="C291" s="129" t="s">
        <v>8</v>
      </c>
      <c r="D291">
        <v>0</v>
      </c>
      <c r="E291">
        <v>0.01</v>
      </c>
      <c r="F291">
        <v>9.9999999999999995E-8</v>
      </c>
      <c r="G291" s="129" t="s">
        <v>6</v>
      </c>
      <c r="H291" s="129" t="s">
        <v>5</v>
      </c>
      <c r="I291">
        <v>0.04</v>
      </c>
      <c r="J291">
        <v>1</v>
      </c>
      <c r="K291" s="129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s="129" t="s">
        <v>979</v>
      </c>
      <c r="B292" s="129" t="s">
        <v>52</v>
      </c>
      <c r="C292" s="129" t="s">
        <v>8</v>
      </c>
      <c r="D292">
        <v>0</v>
      </c>
      <c r="E292">
        <v>0.01</v>
      </c>
      <c r="F292">
        <v>9.9999999999999995E-8</v>
      </c>
      <c r="G292" s="129" t="s">
        <v>6</v>
      </c>
      <c r="H292" s="129" t="s">
        <v>5</v>
      </c>
      <c r="I292">
        <v>1</v>
      </c>
      <c r="J292">
        <v>20</v>
      </c>
      <c r="K292" s="129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s="129" t="s">
        <v>981</v>
      </c>
      <c r="B293" s="129" t="s">
        <v>52</v>
      </c>
      <c r="C293" s="129" t="s">
        <v>8</v>
      </c>
      <c r="D293">
        <v>0</v>
      </c>
      <c r="E293">
        <v>0.01</v>
      </c>
      <c r="F293">
        <v>9.9999999999999995E-8</v>
      </c>
      <c r="G293" s="129" t="s">
        <v>6</v>
      </c>
      <c r="H293" s="129" t="s">
        <v>5</v>
      </c>
      <c r="I293">
        <v>20</v>
      </c>
      <c r="J293">
        <v>50</v>
      </c>
      <c r="K293" s="129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s="129" t="s">
        <v>980</v>
      </c>
      <c r="B294" s="129" t="s">
        <v>52</v>
      </c>
      <c r="C294" s="129" t="s">
        <v>8</v>
      </c>
      <c r="D294">
        <v>0</v>
      </c>
      <c r="E294">
        <v>0.01</v>
      </c>
      <c r="F294">
        <v>9.9999999999999995E-8</v>
      </c>
      <c r="G294" s="129" t="s">
        <v>6</v>
      </c>
      <c r="H294" s="129" t="s">
        <v>5</v>
      </c>
      <c r="I294">
        <v>50</v>
      </c>
      <c r="J294">
        <v>100</v>
      </c>
      <c r="K294" s="129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s="129" t="s">
        <v>975</v>
      </c>
      <c r="B295" s="129" t="s">
        <v>52</v>
      </c>
      <c r="C295" s="129" t="s">
        <v>8</v>
      </c>
      <c r="D295">
        <v>0</v>
      </c>
      <c r="E295">
        <v>0.01</v>
      </c>
      <c r="F295">
        <v>9.9999999999999995E-8</v>
      </c>
      <c r="G295" s="129" t="s">
        <v>6</v>
      </c>
      <c r="H295" s="129" t="s">
        <v>5</v>
      </c>
      <c r="I295">
        <v>100</v>
      </c>
      <c r="J295">
        <v>300</v>
      </c>
      <c r="K295" s="129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s="129" t="s">
        <v>978</v>
      </c>
      <c r="B296" s="129" t="s">
        <v>52</v>
      </c>
      <c r="C296" s="129" t="s">
        <v>8</v>
      </c>
      <c r="D296">
        <v>0</v>
      </c>
      <c r="E296">
        <v>0.01</v>
      </c>
      <c r="F296">
        <v>9.9999999999999995E-8</v>
      </c>
      <c r="G296" s="129" t="s">
        <v>6</v>
      </c>
      <c r="H296" s="129" t="s">
        <v>5</v>
      </c>
      <c r="I296">
        <v>300</v>
      </c>
      <c r="J296">
        <v>1000</v>
      </c>
      <c r="K296" s="129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s="129" t="s">
        <v>983</v>
      </c>
      <c r="B297" s="129" t="s">
        <v>52</v>
      </c>
      <c r="C297" s="129" t="s">
        <v>8</v>
      </c>
      <c r="D297">
        <v>0</v>
      </c>
      <c r="E297">
        <v>0.01</v>
      </c>
      <c r="F297">
        <v>9.9999999999999995E-8</v>
      </c>
      <c r="G297" s="129" t="s">
        <v>6</v>
      </c>
      <c r="H297" s="129" t="s">
        <v>5</v>
      </c>
      <c r="I297">
        <v>1000</v>
      </c>
      <c r="J297">
        <v>4000</v>
      </c>
      <c r="K297" s="129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s="129" t="s">
        <v>976</v>
      </c>
      <c r="B298" s="129" t="s">
        <v>52</v>
      </c>
      <c r="C298" s="129" t="s">
        <v>8</v>
      </c>
      <c r="D298">
        <v>0</v>
      </c>
      <c r="E298">
        <v>0.01</v>
      </c>
      <c r="F298">
        <v>9.9999999999999995E-8</v>
      </c>
      <c r="G298" s="129" t="s">
        <v>6</v>
      </c>
      <c r="H298" s="129" t="s">
        <v>5</v>
      </c>
      <c r="I298">
        <v>4000</v>
      </c>
      <c r="J298">
        <v>8000</v>
      </c>
      <c r="K298" s="129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s="129" t="s">
        <v>1023</v>
      </c>
      <c r="B299" s="129" t="s">
        <v>52</v>
      </c>
      <c r="C299" s="129" t="s">
        <v>8</v>
      </c>
      <c r="D299">
        <v>0.01</v>
      </c>
      <c r="E299">
        <v>0.1</v>
      </c>
      <c r="F299">
        <v>9.9999999999999995E-8</v>
      </c>
      <c r="G299" s="129" t="s">
        <v>6</v>
      </c>
      <c r="H299" s="129" t="s">
        <v>5</v>
      </c>
      <c r="I299">
        <v>1E-3</v>
      </c>
      <c r="J299">
        <v>0.04</v>
      </c>
      <c r="K299" s="12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s="129" t="s">
        <v>1025</v>
      </c>
      <c r="B300" s="129" t="s">
        <v>52</v>
      </c>
      <c r="C300" s="129" t="s">
        <v>8</v>
      </c>
      <c r="D300">
        <v>0.01</v>
      </c>
      <c r="E300">
        <v>0.1</v>
      </c>
      <c r="F300">
        <v>9.9999999999999995E-8</v>
      </c>
      <c r="G300" s="129" t="s">
        <v>6</v>
      </c>
      <c r="H300" s="129" t="s">
        <v>5</v>
      </c>
      <c r="I300">
        <v>0.04</v>
      </c>
      <c r="J300">
        <v>1</v>
      </c>
      <c r="K300" s="129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s="129" t="s">
        <v>1027</v>
      </c>
      <c r="B301" s="129" t="s">
        <v>52</v>
      </c>
      <c r="C301" s="129" t="s">
        <v>8</v>
      </c>
      <c r="D301">
        <v>0.01</v>
      </c>
      <c r="E301">
        <v>0.1</v>
      </c>
      <c r="F301">
        <v>9.9999999999999995E-8</v>
      </c>
      <c r="G301" s="129" t="s">
        <v>6</v>
      </c>
      <c r="H301" s="129" t="s">
        <v>5</v>
      </c>
      <c r="I301">
        <v>1</v>
      </c>
      <c r="J301">
        <v>20</v>
      </c>
      <c r="K301" s="129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s="129" t="s">
        <v>1024</v>
      </c>
      <c r="B302" s="129" t="s">
        <v>52</v>
      </c>
      <c r="C302" s="129" t="s">
        <v>8</v>
      </c>
      <c r="D302">
        <v>0.01</v>
      </c>
      <c r="E302">
        <v>0.1</v>
      </c>
      <c r="F302">
        <v>9.9999999999999995E-8</v>
      </c>
      <c r="G302" s="129" t="s">
        <v>6</v>
      </c>
      <c r="H302" s="129" t="s">
        <v>5</v>
      </c>
      <c r="I302">
        <v>20</v>
      </c>
      <c r="J302">
        <v>50</v>
      </c>
      <c r="K302" s="129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s="129" t="s">
        <v>1029</v>
      </c>
      <c r="B303" s="129" t="s">
        <v>52</v>
      </c>
      <c r="C303" s="129" t="s">
        <v>8</v>
      </c>
      <c r="D303">
        <v>0.01</v>
      </c>
      <c r="E303">
        <v>0.1</v>
      </c>
      <c r="F303">
        <v>9.9999999999999995E-8</v>
      </c>
      <c r="G303" s="129" t="s">
        <v>6</v>
      </c>
      <c r="H303" s="129" t="s">
        <v>5</v>
      </c>
      <c r="I303">
        <v>50</v>
      </c>
      <c r="J303">
        <v>100</v>
      </c>
      <c r="K303" s="129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s="129" t="s">
        <v>2360</v>
      </c>
      <c r="B304" s="129" t="s">
        <v>52</v>
      </c>
      <c r="C304" s="129" t="s">
        <v>8</v>
      </c>
      <c r="D304">
        <v>0.01</v>
      </c>
      <c r="E304">
        <v>0.1</v>
      </c>
      <c r="F304">
        <v>9.9999999999999995E-8</v>
      </c>
      <c r="G304" s="129" t="s">
        <v>6</v>
      </c>
      <c r="H304" s="129" t="s">
        <v>5</v>
      </c>
      <c r="I304">
        <v>100</v>
      </c>
      <c r="J304">
        <v>300</v>
      </c>
      <c r="K304" s="129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s="129" t="s">
        <v>1030</v>
      </c>
      <c r="B305" s="129" t="s">
        <v>52</v>
      </c>
      <c r="C305" s="129" t="s">
        <v>8</v>
      </c>
      <c r="D305">
        <v>0.01</v>
      </c>
      <c r="E305">
        <v>0.1</v>
      </c>
      <c r="F305">
        <v>9.9999999999999995E-8</v>
      </c>
      <c r="G305" s="129" t="s">
        <v>6</v>
      </c>
      <c r="H305" s="129" t="s">
        <v>5</v>
      </c>
      <c r="I305">
        <v>300</v>
      </c>
      <c r="J305">
        <v>1000</v>
      </c>
      <c r="K305" s="129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s="129" t="s">
        <v>1032</v>
      </c>
      <c r="B306" s="129" t="s">
        <v>52</v>
      </c>
      <c r="C306" s="129" t="s">
        <v>8</v>
      </c>
      <c r="D306">
        <v>0.01</v>
      </c>
      <c r="E306">
        <v>0.1</v>
      </c>
      <c r="F306">
        <v>9.9999999999999995E-8</v>
      </c>
      <c r="G306" s="129" t="s">
        <v>6</v>
      </c>
      <c r="H306" s="129" t="s">
        <v>5</v>
      </c>
      <c r="I306">
        <v>1000</v>
      </c>
      <c r="J306">
        <v>2000</v>
      </c>
      <c r="K306" s="129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s="129" t="s">
        <v>1026</v>
      </c>
      <c r="B307" s="129" t="s">
        <v>52</v>
      </c>
      <c r="C307" s="129" t="s">
        <v>8</v>
      </c>
      <c r="D307">
        <v>0.01</v>
      </c>
      <c r="E307">
        <v>0.1</v>
      </c>
      <c r="F307">
        <v>9.9999999999999995E-8</v>
      </c>
      <c r="G307" s="129" t="s">
        <v>6</v>
      </c>
      <c r="H307" s="129" t="s">
        <v>5</v>
      </c>
      <c r="I307">
        <v>2000</v>
      </c>
      <c r="J307">
        <v>4000</v>
      </c>
      <c r="K307" s="129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s="129" t="s">
        <v>1031</v>
      </c>
      <c r="B308" s="129" t="s">
        <v>52</v>
      </c>
      <c r="C308" s="129" t="s">
        <v>8</v>
      </c>
      <c r="D308">
        <v>0.01</v>
      </c>
      <c r="E308">
        <v>0.1</v>
      </c>
      <c r="F308">
        <v>9.9999999999999995E-8</v>
      </c>
      <c r="G308" s="129" t="s">
        <v>6</v>
      </c>
      <c r="H308" s="129" t="s">
        <v>5</v>
      </c>
      <c r="I308">
        <v>4000</v>
      </c>
      <c r="J308">
        <v>8000</v>
      </c>
      <c r="K308" s="129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s="129" t="s">
        <v>1028</v>
      </c>
      <c r="B309" s="129" t="s">
        <v>52</v>
      </c>
      <c r="C309" s="129" t="s">
        <v>8</v>
      </c>
      <c r="D309">
        <v>0.01</v>
      </c>
      <c r="E309">
        <v>0.1</v>
      </c>
      <c r="F309">
        <v>9.9999999999999995E-8</v>
      </c>
      <c r="G309" s="129" t="s">
        <v>6</v>
      </c>
      <c r="H309" s="129" t="s">
        <v>5</v>
      </c>
      <c r="I309">
        <v>8000</v>
      </c>
      <c r="J309">
        <v>10000</v>
      </c>
      <c r="K309" s="12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s="129" t="s">
        <v>2362</v>
      </c>
      <c r="B310" s="129" t="s">
        <v>52</v>
      </c>
      <c r="C310" s="129" t="s">
        <v>8</v>
      </c>
      <c r="D310">
        <v>0.1</v>
      </c>
      <c r="E310">
        <v>1</v>
      </c>
      <c r="F310">
        <v>9.9999999999999995E-8</v>
      </c>
      <c r="G310" s="129" t="s">
        <v>6</v>
      </c>
      <c r="H310" s="129" t="s">
        <v>5</v>
      </c>
      <c r="I310">
        <v>1E-3</v>
      </c>
      <c r="J310">
        <v>0.04</v>
      </c>
      <c r="K310" s="129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s="129" t="s">
        <v>1071</v>
      </c>
      <c r="B311" s="129" t="s">
        <v>52</v>
      </c>
      <c r="C311" s="129" t="s">
        <v>8</v>
      </c>
      <c r="D311">
        <v>0.1</v>
      </c>
      <c r="E311">
        <v>1</v>
      </c>
      <c r="F311">
        <v>9.9999999999999995E-8</v>
      </c>
      <c r="G311" s="129" t="s">
        <v>6</v>
      </c>
      <c r="H311" s="129" t="s">
        <v>5</v>
      </c>
      <c r="I311">
        <v>0.04</v>
      </c>
      <c r="J311">
        <v>1</v>
      </c>
      <c r="K311" s="129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s="129" t="s">
        <v>1065</v>
      </c>
      <c r="B312" s="129" t="s">
        <v>52</v>
      </c>
      <c r="C312" s="129" t="s">
        <v>8</v>
      </c>
      <c r="D312">
        <v>0.1</v>
      </c>
      <c r="E312">
        <v>1</v>
      </c>
      <c r="F312">
        <v>9.9999999999999995E-8</v>
      </c>
      <c r="G312" s="129" t="s">
        <v>6</v>
      </c>
      <c r="H312" s="129" t="s">
        <v>5</v>
      </c>
      <c r="I312">
        <v>1</v>
      </c>
      <c r="J312">
        <v>20</v>
      </c>
      <c r="K312" s="129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s="129" t="s">
        <v>1067</v>
      </c>
      <c r="B313" s="129" t="s">
        <v>52</v>
      </c>
      <c r="C313" s="129" t="s">
        <v>8</v>
      </c>
      <c r="D313">
        <v>0.1</v>
      </c>
      <c r="E313">
        <v>1</v>
      </c>
      <c r="F313">
        <v>9.9999999999999995E-8</v>
      </c>
      <c r="G313" s="129" t="s">
        <v>6</v>
      </c>
      <c r="H313" s="129" t="s">
        <v>5</v>
      </c>
      <c r="I313">
        <v>20</v>
      </c>
      <c r="J313">
        <v>50</v>
      </c>
      <c r="K313" s="129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s="129" t="s">
        <v>2366</v>
      </c>
      <c r="B314" s="129" t="s">
        <v>52</v>
      </c>
      <c r="C314" s="129" t="s">
        <v>8</v>
      </c>
      <c r="D314">
        <v>0.1</v>
      </c>
      <c r="E314">
        <v>1</v>
      </c>
      <c r="F314">
        <v>9.9999999999999995E-8</v>
      </c>
      <c r="G314" s="129" t="s">
        <v>6</v>
      </c>
      <c r="H314" s="129" t="s">
        <v>5</v>
      </c>
      <c r="I314">
        <v>50</v>
      </c>
      <c r="J314">
        <v>100</v>
      </c>
      <c r="K314" s="129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s="129" t="s">
        <v>1068</v>
      </c>
      <c r="B315" s="129" t="s">
        <v>52</v>
      </c>
      <c r="C315" s="129" t="s">
        <v>8</v>
      </c>
      <c r="D315">
        <v>0.1</v>
      </c>
      <c r="E315">
        <v>1</v>
      </c>
      <c r="F315">
        <v>9.9999999999999995E-8</v>
      </c>
      <c r="G315" s="129" t="s">
        <v>6</v>
      </c>
      <c r="H315" s="129" t="s">
        <v>5</v>
      </c>
      <c r="I315">
        <v>100</v>
      </c>
      <c r="J315">
        <v>300</v>
      </c>
      <c r="K315" s="129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s="129" t="s">
        <v>1064</v>
      </c>
      <c r="B316" s="129" t="s">
        <v>52</v>
      </c>
      <c r="C316" s="129" t="s">
        <v>8</v>
      </c>
      <c r="D316">
        <v>0.1</v>
      </c>
      <c r="E316">
        <v>1</v>
      </c>
      <c r="F316">
        <v>9.9999999999999995E-8</v>
      </c>
      <c r="G316" s="129" t="s">
        <v>6</v>
      </c>
      <c r="H316" s="129" t="s">
        <v>5</v>
      </c>
      <c r="I316">
        <v>1000</v>
      </c>
      <c r="J316">
        <v>2000</v>
      </c>
      <c r="K316" s="129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s="129" t="s">
        <v>1070</v>
      </c>
      <c r="B317" s="129" t="s">
        <v>52</v>
      </c>
      <c r="C317" s="129" t="s">
        <v>8</v>
      </c>
      <c r="D317">
        <v>0.1</v>
      </c>
      <c r="E317">
        <v>1</v>
      </c>
      <c r="F317">
        <v>9.9999999999999995E-8</v>
      </c>
      <c r="G317" s="129" t="s">
        <v>6</v>
      </c>
      <c r="H317" s="129" t="s">
        <v>4</v>
      </c>
      <c r="I317">
        <v>2000</v>
      </c>
      <c r="J317">
        <v>4000</v>
      </c>
      <c r="K317" s="129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s="129" t="s">
        <v>1066</v>
      </c>
      <c r="B318" s="129" t="s">
        <v>52</v>
      </c>
      <c r="C318" s="129" t="s">
        <v>8</v>
      </c>
      <c r="D318">
        <v>0.1</v>
      </c>
      <c r="E318">
        <v>1</v>
      </c>
      <c r="F318">
        <v>9.9999999999999995E-8</v>
      </c>
      <c r="G318" s="129" t="s">
        <v>6</v>
      </c>
      <c r="H318" s="129" t="s">
        <v>4</v>
      </c>
      <c r="I318">
        <v>4000</v>
      </c>
      <c r="J318">
        <v>8000</v>
      </c>
      <c r="K318" s="129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s="129" t="s">
        <v>1069</v>
      </c>
      <c r="B319" s="129" t="s">
        <v>52</v>
      </c>
      <c r="C319" s="129" t="s">
        <v>8</v>
      </c>
      <c r="D319">
        <v>0.1</v>
      </c>
      <c r="E319">
        <v>1</v>
      </c>
      <c r="F319">
        <v>9.9999999999999995E-8</v>
      </c>
      <c r="G319" s="129" t="s">
        <v>6</v>
      </c>
      <c r="H319" s="129" t="s">
        <v>4</v>
      </c>
      <c r="I319">
        <v>8000</v>
      </c>
      <c r="J319">
        <v>10000</v>
      </c>
      <c r="K319" s="12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s="129" t="s">
        <v>987</v>
      </c>
      <c r="B320" s="129" t="s">
        <v>52</v>
      </c>
      <c r="C320" s="129" t="s">
        <v>8</v>
      </c>
      <c r="D320">
        <v>0</v>
      </c>
      <c r="E320">
        <v>0.01</v>
      </c>
      <c r="F320">
        <v>9.9999999999999995E-7</v>
      </c>
      <c r="G320" s="129" t="s">
        <v>6</v>
      </c>
      <c r="H320" s="129" t="s">
        <v>5</v>
      </c>
      <c r="I320">
        <v>1E-3</v>
      </c>
      <c r="J320">
        <v>0.04</v>
      </c>
      <c r="K320" s="129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s="129" t="s">
        <v>2343</v>
      </c>
      <c r="B321" s="129" t="s">
        <v>52</v>
      </c>
      <c r="C321" s="129" t="s">
        <v>8</v>
      </c>
      <c r="D321">
        <v>0</v>
      </c>
      <c r="E321">
        <v>0.01</v>
      </c>
      <c r="F321">
        <v>9.9999999999999995E-7</v>
      </c>
      <c r="G321" s="129" t="s">
        <v>6</v>
      </c>
      <c r="H321" s="129" t="s">
        <v>5</v>
      </c>
      <c r="I321">
        <v>0.04</v>
      </c>
      <c r="J321">
        <v>1</v>
      </c>
      <c r="K321" s="129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s="129" t="s">
        <v>985</v>
      </c>
      <c r="B322" s="129" t="s">
        <v>52</v>
      </c>
      <c r="C322" s="129" t="s">
        <v>8</v>
      </c>
      <c r="D322">
        <v>0</v>
      </c>
      <c r="E322">
        <v>0.01</v>
      </c>
      <c r="F322">
        <v>9.9999999999999995E-7</v>
      </c>
      <c r="G322" s="129" t="s">
        <v>6</v>
      </c>
      <c r="H322" s="129" t="s">
        <v>5</v>
      </c>
      <c r="I322">
        <v>1</v>
      </c>
      <c r="J322">
        <v>20</v>
      </c>
      <c r="K322" s="129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s="129" t="s">
        <v>988</v>
      </c>
      <c r="B323" s="129" t="s">
        <v>52</v>
      </c>
      <c r="C323" s="129" t="s">
        <v>8</v>
      </c>
      <c r="D323">
        <v>0</v>
      </c>
      <c r="E323">
        <v>0.01</v>
      </c>
      <c r="F323">
        <v>9.9999999999999995E-7</v>
      </c>
      <c r="G323" s="129" t="s">
        <v>6</v>
      </c>
      <c r="H323" s="129" t="s">
        <v>5</v>
      </c>
      <c r="I323">
        <v>20</v>
      </c>
      <c r="J323">
        <v>50</v>
      </c>
      <c r="K323" s="129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s="129" t="s">
        <v>2346</v>
      </c>
      <c r="B324" s="129" t="s">
        <v>52</v>
      </c>
      <c r="C324" s="129" t="s">
        <v>8</v>
      </c>
      <c r="D324">
        <v>0</v>
      </c>
      <c r="E324">
        <v>0.01</v>
      </c>
      <c r="F324">
        <v>9.9999999999999995E-7</v>
      </c>
      <c r="G324" s="129" t="s">
        <v>6</v>
      </c>
      <c r="H324" s="129" t="s">
        <v>5</v>
      </c>
      <c r="I324">
        <v>50</v>
      </c>
      <c r="J324">
        <v>100</v>
      </c>
      <c r="K324" s="129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s="129" t="s">
        <v>986</v>
      </c>
      <c r="B325" s="129" t="s">
        <v>52</v>
      </c>
      <c r="C325" s="129" t="s">
        <v>8</v>
      </c>
      <c r="D325">
        <v>0</v>
      </c>
      <c r="E325">
        <v>0.01</v>
      </c>
      <c r="F325">
        <v>9.9999999999999995E-7</v>
      </c>
      <c r="G325" s="129" t="s">
        <v>6</v>
      </c>
      <c r="H325" s="129" t="s">
        <v>5</v>
      </c>
      <c r="I325">
        <v>100</v>
      </c>
      <c r="J325">
        <v>300</v>
      </c>
      <c r="K325" s="129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s="129" t="s">
        <v>984</v>
      </c>
      <c r="B326" s="129" t="s">
        <v>52</v>
      </c>
      <c r="C326" s="129" t="s">
        <v>8</v>
      </c>
      <c r="D326">
        <v>0</v>
      </c>
      <c r="E326">
        <v>0.01</v>
      </c>
      <c r="F326">
        <v>9.9999999999999995E-7</v>
      </c>
      <c r="G326" s="129" t="s">
        <v>6</v>
      </c>
      <c r="H326" s="129" t="s">
        <v>5</v>
      </c>
      <c r="I326">
        <v>300</v>
      </c>
      <c r="J326">
        <v>1000</v>
      </c>
      <c r="K326" s="129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s="129" t="s">
        <v>989</v>
      </c>
      <c r="B327" s="129" t="s">
        <v>52</v>
      </c>
      <c r="C327" s="129" t="s">
        <v>8</v>
      </c>
      <c r="D327">
        <v>0</v>
      </c>
      <c r="E327">
        <v>0.01</v>
      </c>
      <c r="F327">
        <v>9.9999999999999995E-7</v>
      </c>
      <c r="G327" s="129" t="s">
        <v>6</v>
      </c>
      <c r="H327" s="129" t="s">
        <v>5</v>
      </c>
      <c r="I327">
        <v>1000</v>
      </c>
      <c r="J327">
        <v>4000</v>
      </c>
      <c r="K327" s="129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s="129" t="s">
        <v>2317</v>
      </c>
      <c r="B328" s="129" t="s">
        <v>52</v>
      </c>
      <c r="C328" s="129" t="s">
        <v>8</v>
      </c>
      <c r="D328">
        <v>0</v>
      </c>
      <c r="E328">
        <v>0.01</v>
      </c>
      <c r="F328">
        <v>9.9999999999999995E-7</v>
      </c>
      <c r="G328" s="129" t="s">
        <v>6</v>
      </c>
      <c r="H328" s="129" t="s">
        <v>5</v>
      </c>
      <c r="I328">
        <v>4000</v>
      </c>
      <c r="J328">
        <v>8000</v>
      </c>
      <c r="K328" s="129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s="129" t="s">
        <v>1034</v>
      </c>
      <c r="B329" s="129" t="s">
        <v>52</v>
      </c>
      <c r="C329" s="129" t="s">
        <v>8</v>
      </c>
      <c r="D329">
        <v>0.01</v>
      </c>
      <c r="E329">
        <v>0.1</v>
      </c>
      <c r="F329">
        <v>9.9999999999999995E-7</v>
      </c>
      <c r="G329" s="129" t="s">
        <v>6</v>
      </c>
      <c r="H329" s="129" t="s">
        <v>5</v>
      </c>
      <c r="I329">
        <v>1E-3</v>
      </c>
      <c r="J329">
        <v>0.04</v>
      </c>
      <c r="K329" s="1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s="129" t="s">
        <v>1039</v>
      </c>
      <c r="B330" s="129" t="s">
        <v>52</v>
      </c>
      <c r="C330" s="129" t="s">
        <v>8</v>
      </c>
      <c r="D330">
        <v>0.01</v>
      </c>
      <c r="E330">
        <v>0.1</v>
      </c>
      <c r="F330">
        <v>9.9999999999999995E-7</v>
      </c>
      <c r="G330" s="129" t="s">
        <v>6</v>
      </c>
      <c r="H330" s="129" t="s">
        <v>5</v>
      </c>
      <c r="I330">
        <v>0.04</v>
      </c>
      <c r="J330">
        <v>1</v>
      </c>
      <c r="K330" s="129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s="129" t="s">
        <v>2356</v>
      </c>
      <c r="B331" s="129" t="s">
        <v>52</v>
      </c>
      <c r="C331" s="129" t="s">
        <v>8</v>
      </c>
      <c r="D331">
        <v>0.01</v>
      </c>
      <c r="E331">
        <v>0.1</v>
      </c>
      <c r="F331">
        <v>9.9999999999999995E-7</v>
      </c>
      <c r="G331" s="129" t="s">
        <v>6</v>
      </c>
      <c r="H331" s="129" t="s">
        <v>5</v>
      </c>
      <c r="I331">
        <v>1</v>
      </c>
      <c r="J331">
        <v>20</v>
      </c>
      <c r="K331" s="129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s="129" t="s">
        <v>1040</v>
      </c>
      <c r="B332" s="129" t="s">
        <v>52</v>
      </c>
      <c r="C332" s="129" t="s">
        <v>8</v>
      </c>
      <c r="D332">
        <v>0.01</v>
      </c>
      <c r="E332">
        <v>0.1</v>
      </c>
      <c r="F332">
        <v>9.9999999999999995E-7</v>
      </c>
      <c r="G332" s="129" t="s">
        <v>6</v>
      </c>
      <c r="H332" s="129" t="s">
        <v>5</v>
      </c>
      <c r="I332">
        <v>20</v>
      </c>
      <c r="J332">
        <v>50</v>
      </c>
      <c r="K332" s="129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s="129" t="s">
        <v>2358</v>
      </c>
      <c r="B333" s="129" t="s">
        <v>52</v>
      </c>
      <c r="C333" s="129" t="s">
        <v>8</v>
      </c>
      <c r="D333">
        <v>0.01</v>
      </c>
      <c r="E333">
        <v>0.1</v>
      </c>
      <c r="F333">
        <v>9.9999999999999995E-7</v>
      </c>
      <c r="G333" s="129" t="s">
        <v>6</v>
      </c>
      <c r="H333" s="129" t="s">
        <v>5</v>
      </c>
      <c r="I333">
        <v>50</v>
      </c>
      <c r="J333">
        <v>100</v>
      </c>
      <c r="K333" s="129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s="129" t="s">
        <v>1033</v>
      </c>
      <c r="B334" s="129" t="s">
        <v>52</v>
      </c>
      <c r="C334" s="129" t="s">
        <v>8</v>
      </c>
      <c r="D334">
        <v>0.01</v>
      </c>
      <c r="E334">
        <v>0.1</v>
      </c>
      <c r="F334">
        <v>9.9999999999999995E-7</v>
      </c>
      <c r="G334" s="129" t="s">
        <v>6</v>
      </c>
      <c r="H334" s="129" t="s">
        <v>5</v>
      </c>
      <c r="I334">
        <v>100</v>
      </c>
      <c r="J334">
        <v>300</v>
      </c>
      <c r="K334" s="129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s="129" t="s">
        <v>1037</v>
      </c>
      <c r="B335" s="129" t="s">
        <v>52</v>
      </c>
      <c r="C335" s="129" t="s">
        <v>8</v>
      </c>
      <c r="D335">
        <v>0.01</v>
      </c>
      <c r="E335">
        <v>0.1</v>
      </c>
      <c r="F335">
        <v>9.9999999999999995E-7</v>
      </c>
      <c r="G335" s="129" t="s">
        <v>6</v>
      </c>
      <c r="H335" s="129" t="s">
        <v>5</v>
      </c>
      <c r="I335">
        <v>300</v>
      </c>
      <c r="J335">
        <v>1000</v>
      </c>
      <c r="K335" s="129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s="129" t="s">
        <v>1035</v>
      </c>
      <c r="B336" s="129" t="s">
        <v>52</v>
      </c>
      <c r="C336" s="129" t="s">
        <v>8</v>
      </c>
      <c r="D336">
        <v>0.01</v>
      </c>
      <c r="E336">
        <v>0.1</v>
      </c>
      <c r="F336">
        <v>9.9999999999999995E-7</v>
      </c>
      <c r="G336" s="129" t="s">
        <v>6</v>
      </c>
      <c r="H336" s="129" t="s">
        <v>5</v>
      </c>
      <c r="I336">
        <v>1000</v>
      </c>
      <c r="J336">
        <v>2000</v>
      </c>
      <c r="K336" s="129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s="129" t="s">
        <v>1038</v>
      </c>
      <c r="B337" s="129" t="s">
        <v>52</v>
      </c>
      <c r="C337" s="129" t="s">
        <v>8</v>
      </c>
      <c r="D337">
        <v>0.01</v>
      </c>
      <c r="E337">
        <v>0.1</v>
      </c>
      <c r="F337">
        <v>9.9999999999999995E-7</v>
      </c>
      <c r="G337" s="129" t="s">
        <v>6</v>
      </c>
      <c r="H337" s="129" t="s">
        <v>5</v>
      </c>
      <c r="I337">
        <v>2000</v>
      </c>
      <c r="J337">
        <v>4000</v>
      </c>
      <c r="K337" s="129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s="129" t="s">
        <v>2322</v>
      </c>
      <c r="B338" s="129" t="s">
        <v>52</v>
      </c>
      <c r="C338" s="129" t="s">
        <v>8</v>
      </c>
      <c r="D338">
        <v>0.01</v>
      </c>
      <c r="E338">
        <v>0.1</v>
      </c>
      <c r="F338">
        <v>9.9999999999999995E-7</v>
      </c>
      <c r="G338" s="129" t="s">
        <v>6</v>
      </c>
      <c r="H338" s="129" t="s">
        <v>5</v>
      </c>
      <c r="I338">
        <v>4000</v>
      </c>
      <c r="J338">
        <v>8000</v>
      </c>
      <c r="K338" s="129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s="129" t="s">
        <v>1036</v>
      </c>
      <c r="B339" s="129" t="s">
        <v>52</v>
      </c>
      <c r="C339" s="129" t="s">
        <v>8</v>
      </c>
      <c r="D339">
        <v>0.01</v>
      </c>
      <c r="E339">
        <v>0.1</v>
      </c>
      <c r="F339">
        <v>9.9999999999999995E-7</v>
      </c>
      <c r="G339" s="129" t="s">
        <v>6</v>
      </c>
      <c r="H339" s="129" t="s">
        <v>5</v>
      </c>
      <c r="I339">
        <v>8000</v>
      </c>
      <c r="J339">
        <v>10000</v>
      </c>
      <c r="K339" s="12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s="129" t="s">
        <v>1076</v>
      </c>
      <c r="B340" s="129" t="s">
        <v>52</v>
      </c>
      <c r="C340" s="129" t="s">
        <v>8</v>
      </c>
      <c r="D340">
        <v>0.1</v>
      </c>
      <c r="E340">
        <v>1</v>
      </c>
      <c r="F340">
        <v>9.9999999999999995E-7</v>
      </c>
      <c r="G340" s="129" t="s">
        <v>6</v>
      </c>
      <c r="H340" s="129" t="s">
        <v>5</v>
      </c>
      <c r="I340">
        <v>1E-3</v>
      </c>
      <c r="J340">
        <v>0.04</v>
      </c>
      <c r="K340" s="129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s="129" t="s">
        <v>1079</v>
      </c>
      <c r="B341" s="129" t="s">
        <v>52</v>
      </c>
      <c r="C341" s="129" t="s">
        <v>8</v>
      </c>
      <c r="D341">
        <v>0.1</v>
      </c>
      <c r="E341">
        <v>1</v>
      </c>
      <c r="F341">
        <v>9.9999999999999995E-7</v>
      </c>
      <c r="G341" s="129" t="s">
        <v>6</v>
      </c>
      <c r="H341" s="129" t="s">
        <v>5</v>
      </c>
      <c r="I341">
        <v>0.04</v>
      </c>
      <c r="J341">
        <v>1</v>
      </c>
      <c r="K341" s="129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s="129" t="s">
        <v>1078</v>
      </c>
      <c r="B342" s="129" t="s">
        <v>52</v>
      </c>
      <c r="C342" s="129" t="s">
        <v>8</v>
      </c>
      <c r="D342">
        <v>0.1</v>
      </c>
      <c r="E342">
        <v>1</v>
      </c>
      <c r="F342">
        <v>9.9999999999999995E-7</v>
      </c>
      <c r="G342" s="129" t="s">
        <v>6</v>
      </c>
      <c r="H342" s="129" t="s">
        <v>5</v>
      </c>
      <c r="I342">
        <v>1</v>
      </c>
      <c r="J342">
        <v>20</v>
      </c>
      <c r="K342" s="129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s="129" t="s">
        <v>1080</v>
      </c>
      <c r="B343" s="129" t="s">
        <v>52</v>
      </c>
      <c r="C343" s="129" t="s">
        <v>8</v>
      </c>
      <c r="D343">
        <v>0.1</v>
      </c>
      <c r="E343">
        <v>1</v>
      </c>
      <c r="F343">
        <v>9.9999999999999995E-7</v>
      </c>
      <c r="G343" s="129" t="s">
        <v>6</v>
      </c>
      <c r="H343" s="129" t="s">
        <v>5</v>
      </c>
      <c r="I343">
        <v>20</v>
      </c>
      <c r="J343">
        <v>50</v>
      </c>
      <c r="K343" s="129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s="129" t="s">
        <v>1075</v>
      </c>
      <c r="B344" s="129" t="s">
        <v>52</v>
      </c>
      <c r="C344" s="129" t="s">
        <v>8</v>
      </c>
      <c r="D344">
        <v>0.1</v>
      </c>
      <c r="E344">
        <v>1</v>
      </c>
      <c r="F344">
        <v>9.9999999999999995E-7</v>
      </c>
      <c r="G344" s="129" t="s">
        <v>6</v>
      </c>
      <c r="H344" s="129" t="s">
        <v>5</v>
      </c>
      <c r="I344">
        <v>50</v>
      </c>
      <c r="J344">
        <v>100</v>
      </c>
      <c r="K344" s="129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s="129" t="s">
        <v>1077</v>
      </c>
      <c r="B345" s="129" t="s">
        <v>52</v>
      </c>
      <c r="C345" s="129" t="s">
        <v>8</v>
      </c>
      <c r="D345">
        <v>0.1</v>
      </c>
      <c r="E345">
        <v>1</v>
      </c>
      <c r="F345">
        <v>9.9999999999999995E-7</v>
      </c>
      <c r="G345" s="129" t="s">
        <v>6</v>
      </c>
      <c r="H345" s="129" t="s">
        <v>5</v>
      </c>
      <c r="I345">
        <v>100</v>
      </c>
      <c r="J345">
        <v>300</v>
      </c>
      <c r="K345" s="129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s="129" t="s">
        <v>2074</v>
      </c>
      <c r="B346" s="129" t="s">
        <v>52</v>
      </c>
      <c r="C346" s="129" t="s">
        <v>8</v>
      </c>
      <c r="D346">
        <v>0.1</v>
      </c>
      <c r="E346">
        <v>1</v>
      </c>
      <c r="F346">
        <v>9.9999999999999995E-7</v>
      </c>
      <c r="G346" s="129" t="s">
        <v>6</v>
      </c>
      <c r="H346" s="129" t="s">
        <v>5</v>
      </c>
      <c r="I346">
        <v>300</v>
      </c>
      <c r="J346">
        <v>1000</v>
      </c>
      <c r="K346" s="129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s="129" t="s">
        <v>2324</v>
      </c>
      <c r="B347" s="129" t="s">
        <v>52</v>
      </c>
      <c r="C347" s="129" t="s">
        <v>8</v>
      </c>
      <c r="D347">
        <v>0.1</v>
      </c>
      <c r="E347">
        <v>1</v>
      </c>
      <c r="F347">
        <v>9.9999999999999995E-7</v>
      </c>
      <c r="G347" s="129" t="s">
        <v>6</v>
      </c>
      <c r="H347" s="129" t="s">
        <v>5</v>
      </c>
      <c r="I347">
        <v>1000</v>
      </c>
      <c r="J347">
        <v>2000</v>
      </c>
      <c r="K347" s="129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s="129" t="s">
        <v>1072</v>
      </c>
      <c r="B348" s="129" t="s">
        <v>52</v>
      </c>
      <c r="C348" s="129" t="s">
        <v>8</v>
      </c>
      <c r="D348">
        <v>0.1</v>
      </c>
      <c r="E348">
        <v>1</v>
      </c>
      <c r="F348">
        <v>9.9999999999999995E-7</v>
      </c>
      <c r="G348" s="129" t="s">
        <v>6</v>
      </c>
      <c r="H348" s="129" t="s">
        <v>4</v>
      </c>
      <c r="I348">
        <v>2000</v>
      </c>
      <c r="J348">
        <v>4000</v>
      </c>
      <c r="K348" s="129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s="129" t="s">
        <v>1074</v>
      </c>
      <c r="B349" s="129" t="s">
        <v>52</v>
      </c>
      <c r="C349" s="129" t="s">
        <v>8</v>
      </c>
      <c r="D349">
        <v>0.1</v>
      </c>
      <c r="E349">
        <v>1</v>
      </c>
      <c r="F349">
        <v>9.9999999999999995E-7</v>
      </c>
      <c r="G349" s="129" t="s">
        <v>6</v>
      </c>
      <c r="H349" s="129" t="s">
        <v>4</v>
      </c>
      <c r="I349">
        <v>4000</v>
      </c>
      <c r="J349">
        <v>8000</v>
      </c>
      <c r="K349" s="12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s="129" t="s">
        <v>1073</v>
      </c>
      <c r="B350" s="129" t="s">
        <v>52</v>
      </c>
      <c r="C350" s="129" t="s">
        <v>8</v>
      </c>
      <c r="D350">
        <v>0.1</v>
      </c>
      <c r="E350">
        <v>1</v>
      </c>
      <c r="F350">
        <v>9.9999999999999995E-7</v>
      </c>
      <c r="G350" s="129" t="s">
        <v>6</v>
      </c>
      <c r="H350" s="129" t="s">
        <v>4</v>
      </c>
      <c r="I350">
        <v>8000</v>
      </c>
      <c r="J350">
        <v>10000</v>
      </c>
      <c r="K350" s="129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s="129" t="s">
        <v>2370</v>
      </c>
      <c r="B351" s="129" t="s">
        <v>52</v>
      </c>
      <c r="C351" s="129" t="s">
        <v>8</v>
      </c>
      <c r="D351">
        <v>1</v>
      </c>
      <c r="E351">
        <v>10</v>
      </c>
      <c r="F351">
        <v>9.9999999999999995E-7</v>
      </c>
      <c r="G351" s="129" t="s">
        <v>6</v>
      </c>
      <c r="H351" s="129" t="s">
        <v>4</v>
      </c>
      <c r="I351">
        <v>1E-3</v>
      </c>
      <c r="J351">
        <v>0.04</v>
      </c>
      <c r="K351" s="129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s="129" t="s">
        <v>1117</v>
      </c>
      <c r="B352" s="129" t="s">
        <v>52</v>
      </c>
      <c r="C352" s="129" t="s">
        <v>8</v>
      </c>
      <c r="D352">
        <v>1</v>
      </c>
      <c r="E352">
        <v>10</v>
      </c>
      <c r="F352">
        <v>9.9999999999999995E-7</v>
      </c>
      <c r="G352" s="129" t="s">
        <v>6</v>
      </c>
      <c r="H352" s="129" t="s">
        <v>4</v>
      </c>
      <c r="I352">
        <v>0.04</v>
      </c>
      <c r="J352">
        <v>1</v>
      </c>
      <c r="K352" s="129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s="129" t="s">
        <v>2376</v>
      </c>
      <c r="B353" s="129" t="s">
        <v>52</v>
      </c>
      <c r="C353" s="129" t="s">
        <v>8</v>
      </c>
      <c r="D353">
        <v>1</v>
      </c>
      <c r="E353">
        <v>10</v>
      </c>
      <c r="F353">
        <v>9.9999999999999995E-7</v>
      </c>
      <c r="G353" s="129" t="s">
        <v>6</v>
      </c>
      <c r="H353" s="129" t="s">
        <v>4</v>
      </c>
      <c r="I353">
        <v>1</v>
      </c>
      <c r="J353">
        <v>20</v>
      </c>
      <c r="K353" s="129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s="129" t="s">
        <v>2378</v>
      </c>
      <c r="B354" s="129" t="s">
        <v>52</v>
      </c>
      <c r="C354" s="129" t="s">
        <v>8</v>
      </c>
      <c r="D354">
        <v>1</v>
      </c>
      <c r="E354">
        <v>10</v>
      </c>
      <c r="F354">
        <v>9.9999999999999995E-7</v>
      </c>
      <c r="G354" s="129" t="s">
        <v>6</v>
      </c>
      <c r="H354" s="129" t="s">
        <v>4</v>
      </c>
      <c r="I354">
        <v>20</v>
      </c>
      <c r="J354">
        <v>50</v>
      </c>
      <c r="K354" s="129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s="129" t="s">
        <v>1118</v>
      </c>
      <c r="B355" s="129" t="s">
        <v>52</v>
      </c>
      <c r="C355" s="129" t="s">
        <v>8</v>
      </c>
      <c r="D355">
        <v>1</v>
      </c>
      <c r="E355">
        <v>10</v>
      </c>
      <c r="F355">
        <v>9.9999999999999995E-7</v>
      </c>
      <c r="G355" s="129" t="s">
        <v>6</v>
      </c>
      <c r="H355" s="129" t="s">
        <v>4</v>
      </c>
      <c r="I355">
        <v>50</v>
      </c>
      <c r="J355">
        <v>100</v>
      </c>
      <c r="K355" s="129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s="129" t="s">
        <v>1121</v>
      </c>
      <c r="B356" s="129" t="s">
        <v>52</v>
      </c>
      <c r="C356" s="129" t="s">
        <v>8</v>
      </c>
      <c r="D356">
        <v>1</v>
      </c>
      <c r="E356">
        <v>10</v>
      </c>
      <c r="F356">
        <v>9.9999999999999995E-7</v>
      </c>
      <c r="G356" s="129" t="s">
        <v>6</v>
      </c>
      <c r="H356" s="129" t="s">
        <v>4</v>
      </c>
      <c r="I356">
        <v>100</v>
      </c>
      <c r="J356">
        <v>300</v>
      </c>
      <c r="K356" s="129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s="129" t="s">
        <v>2384</v>
      </c>
      <c r="B357" s="129" t="s">
        <v>52</v>
      </c>
      <c r="C357" s="129" t="s">
        <v>8</v>
      </c>
      <c r="D357">
        <v>1</v>
      </c>
      <c r="E357">
        <v>10</v>
      </c>
      <c r="F357">
        <v>9.9999999999999995E-7</v>
      </c>
      <c r="G357" s="129" t="s">
        <v>6</v>
      </c>
      <c r="H357" s="129" t="s">
        <v>4</v>
      </c>
      <c r="I357">
        <v>300</v>
      </c>
      <c r="J357">
        <v>1000</v>
      </c>
      <c r="K357" s="129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s="129" t="s">
        <v>1120</v>
      </c>
      <c r="B358" s="129" t="s">
        <v>52</v>
      </c>
      <c r="C358" s="129" t="s">
        <v>8</v>
      </c>
      <c r="D358">
        <v>1</v>
      </c>
      <c r="E358">
        <v>10</v>
      </c>
      <c r="F358">
        <v>9.9999999999999995E-7</v>
      </c>
      <c r="G358" s="129" t="s">
        <v>6</v>
      </c>
      <c r="H358" s="129" t="s">
        <v>4</v>
      </c>
      <c r="I358">
        <v>1000</v>
      </c>
      <c r="J358">
        <v>2000</v>
      </c>
      <c r="K358" s="129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s="129" t="s">
        <v>1123</v>
      </c>
      <c r="B359" s="129" t="s">
        <v>52</v>
      </c>
      <c r="C359" s="129" t="s">
        <v>8</v>
      </c>
      <c r="D359">
        <v>1</v>
      </c>
      <c r="E359">
        <v>10</v>
      </c>
      <c r="F359">
        <v>9.9999999999999995E-7</v>
      </c>
      <c r="G359" s="129" t="s">
        <v>6</v>
      </c>
      <c r="H359" s="129" t="s">
        <v>4</v>
      </c>
      <c r="I359">
        <v>2000</v>
      </c>
      <c r="J359">
        <v>4000</v>
      </c>
      <c r="K359" s="12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s="129" t="s">
        <v>1119</v>
      </c>
      <c r="B360" s="129" t="s">
        <v>52</v>
      </c>
      <c r="C360" s="129" t="s">
        <v>8</v>
      </c>
      <c r="D360">
        <v>1</v>
      </c>
      <c r="E360">
        <v>10</v>
      </c>
      <c r="F360">
        <v>9.9999999999999995E-7</v>
      </c>
      <c r="G360" s="129" t="s">
        <v>6</v>
      </c>
      <c r="H360" s="129" t="s">
        <v>4</v>
      </c>
      <c r="I360">
        <v>4000</v>
      </c>
      <c r="J360">
        <v>8000</v>
      </c>
      <c r="K360" s="129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s="129" t="s">
        <v>1122</v>
      </c>
      <c r="B361" s="129" t="s">
        <v>52</v>
      </c>
      <c r="C361" s="129" t="s">
        <v>8</v>
      </c>
      <c r="D361">
        <v>1</v>
      </c>
      <c r="E361">
        <v>10</v>
      </c>
      <c r="F361">
        <v>9.9999999999999995E-7</v>
      </c>
      <c r="G361" s="129" t="s">
        <v>6</v>
      </c>
      <c r="H361" s="129" t="s">
        <v>4</v>
      </c>
      <c r="I361">
        <v>8000</v>
      </c>
      <c r="J361">
        <v>10000</v>
      </c>
      <c r="K361" s="129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s="129" t="s">
        <v>2340</v>
      </c>
      <c r="B362" s="129" t="s">
        <v>52</v>
      </c>
      <c r="C362" s="129" t="s">
        <v>8</v>
      </c>
      <c r="D362">
        <v>0</v>
      </c>
      <c r="E362">
        <v>0.01</v>
      </c>
      <c r="F362">
        <v>1.0000000000000001E-5</v>
      </c>
      <c r="G362" s="129" t="s">
        <v>6</v>
      </c>
      <c r="H362" s="129" t="s">
        <v>5</v>
      </c>
      <c r="I362">
        <v>1E-3</v>
      </c>
      <c r="J362">
        <v>0.04</v>
      </c>
      <c r="K362" s="129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s="129" t="s">
        <v>993</v>
      </c>
      <c r="B363" s="129" t="s">
        <v>52</v>
      </c>
      <c r="C363" s="129" t="s">
        <v>8</v>
      </c>
      <c r="D363">
        <v>0</v>
      </c>
      <c r="E363">
        <v>0.01</v>
      </c>
      <c r="F363">
        <v>1.0000000000000001E-5</v>
      </c>
      <c r="G363" s="129" t="s">
        <v>6</v>
      </c>
      <c r="H363" s="129" t="s">
        <v>5</v>
      </c>
      <c r="I363">
        <v>0.04</v>
      </c>
      <c r="J363">
        <v>1</v>
      </c>
      <c r="K363" s="129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s="129" t="s">
        <v>2345</v>
      </c>
      <c r="B364" s="129" t="s">
        <v>52</v>
      </c>
      <c r="C364" s="129" t="s">
        <v>8</v>
      </c>
      <c r="D364">
        <v>0</v>
      </c>
      <c r="E364">
        <v>0.01</v>
      </c>
      <c r="F364">
        <v>1.0000000000000001E-5</v>
      </c>
      <c r="G364" s="129" t="s">
        <v>6</v>
      </c>
      <c r="H364" s="129" t="s">
        <v>5</v>
      </c>
      <c r="I364">
        <v>1</v>
      </c>
      <c r="J364">
        <v>20</v>
      </c>
      <c r="K364" s="129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s="129" t="s">
        <v>992</v>
      </c>
      <c r="B365" s="129" t="s">
        <v>52</v>
      </c>
      <c r="C365" s="129" t="s">
        <v>8</v>
      </c>
      <c r="D365">
        <v>0</v>
      </c>
      <c r="E365">
        <v>0.01</v>
      </c>
      <c r="F365">
        <v>1.0000000000000001E-5</v>
      </c>
      <c r="G365" s="129" t="s">
        <v>6</v>
      </c>
      <c r="H365" s="129" t="s">
        <v>5</v>
      </c>
      <c r="I365">
        <v>20</v>
      </c>
      <c r="J365">
        <v>50</v>
      </c>
      <c r="K365" s="129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s="129" t="s">
        <v>990</v>
      </c>
      <c r="B366" s="129" t="s">
        <v>52</v>
      </c>
      <c r="C366" s="129" t="s">
        <v>8</v>
      </c>
      <c r="D366">
        <v>0</v>
      </c>
      <c r="E366">
        <v>0.01</v>
      </c>
      <c r="F366">
        <v>1.0000000000000001E-5</v>
      </c>
      <c r="G366" s="129" t="s">
        <v>6</v>
      </c>
      <c r="H366" s="129" t="s">
        <v>5</v>
      </c>
      <c r="I366">
        <v>50</v>
      </c>
      <c r="J366">
        <v>100</v>
      </c>
      <c r="K366" s="129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s="129" t="s">
        <v>991</v>
      </c>
      <c r="B367" s="129" t="s">
        <v>52</v>
      </c>
      <c r="C367" s="129" t="s">
        <v>8</v>
      </c>
      <c r="D367">
        <v>0</v>
      </c>
      <c r="E367">
        <v>0.01</v>
      </c>
      <c r="F367">
        <v>1.0000000000000001E-5</v>
      </c>
      <c r="G367" s="129" t="s">
        <v>6</v>
      </c>
      <c r="H367" s="129" t="s">
        <v>5</v>
      </c>
      <c r="I367">
        <v>100</v>
      </c>
      <c r="J367">
        <v>300</v>
      </c>
      <c r="K367" s="129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s="129" t="s">
        <v>995</v>
      </c>
      <c r="B368" s="129" t="s">
        <v>52</v>
      </c>
      <c r="C368" s="129" t="s">
        <v>8</v>
      </c>
      <c r="D368">
        <v>0</v>
      </c>
      <c r="E368">
        <v>0.01</v>
      </c>
      <c r="F368">
        <v>1.0000000000000001E-5</v>
      </c>
      <c r="G368" s="129" t="s">
        <v>6</v>
      </c>
      <c r="H368" s="129" t="s">
        <v>5</v>
      </c>
      <c r="I368">
        <v>300</v>
      </c>
      <c r="J368">
        <v>1000</v>
      </c>
      <c r="K368" s="129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s="129" t="s">
        <v>2316</v>
      </c>
      <c r="B369" s="129" t="s">
        <v>52</v>
      </c>
      <c r="C369" s="129" t="s">
        <v>8</v>
      </c>
      <c r="D369">
        <v>0</v>
      </c>
      <c r="E369">
        <v>0.01</v>
      </c>
      <c r="F369">
        <v>1.0000000000000001E-5</v>
      </c>
      <c r="G369" s="129" t="s">
        <v>6</v>
      </c>
      <c r="H369" s="129" t="s">
        <v>5</v>
      </c>
      <c r="I369">
        <v>1000</v>
      </c>
      <c r="J369">
        <v>4000</v>
      </c>
      <c r="K369" s="12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s="129" t="s">
        <v>994</v>
      </c>
      <c r="B370" s="129" t="s">
        <v>52</v>
      </c>
      <c r="C370" s="129" t="s">
        <v>8</v>
      </c>
      <c r="D370">
        <v>0</v>
      </c>
      <c r="E370">
        <v>0.01</v>
      </c>
      <c r="F370">
        <v>1.0000000000000001E-5</v>
      </c>
      <c r="G370" s="129" t="s">
        <v>6</v>
      </c>
      <c r="H370" s="129" t="s">
        <v>5</v>
      </c>
      <c r="I370">
        <v>4000</v>
      </c>
      <c r="J370">
        <v>8000</v>
      </c>
      <c r="K370" s="129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s="129" t="s">
        <v>1044</v>
      </c>
      <c r="B371" s="129" t="s">
        <v>52</v>
      </c>
      <c r="C371" s="129" t="s">
        <v>8</v>
      </c>
      <c r="D371">
        <v>0.01</v>
      </c>
      <c r="E371">
        <v>0.1</v>
      </c>
      <c r="F371">
        <v>1.0000000000000001E-5</v>
      </c>
      <c r="G371" s="129" t="s">
        <v>6</v>
      </c>
      <c r="H371" s="129" t="s">
        <v>5</v>
      </c>
      <c r="I371">
        <v>1E-3</v>
      </c>
      <c r="J371">
        <v>0.04</v>
      </c>
      <c r="K371" s="129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s="129" t="s">
        <v>2352</v>
      </c>
      <c r="B372" s="129" t="s">
        <v>52</v>
      </c>
      <c r="C372" s="129" t="s">
        <v>8</v>
      </c>
      <c r="D372">
        <v>0.01</v>
      </c>
      <c r="E372">
        <v>0.1</v>
      </c>
      <c r="F372">
        <v>1.0000000000000001E-5</v>
      </c>
      <c r="G372" s="129" t="s">
        <v>6</v>
      </c>
      <c r="H372" s="129" t="s">
        <v>5</v>
      </c>
      <c r="I372">
        <v>0.04</v>
      </c>
      <c r="J372">
        <v>1</v>
      </c>
      <c r="K372" s="129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s="129" t="s">
        <v>1042</v>
      </c>
      <c r="B373" s="129" t="s">
        <v>52</v>
      </c>
      <c r="C373" s="129" t="s">
        <v>8</v>
      </c>
      <c r="D373">
        <v>0.01</v>
      </c>
      <c r="E373">
        <v>0.1</v>
      </c>
      <c r="F373">
        <v>1.0000000000000001E-5</v>
      </c>
      <c r="G373" s="129" t="s">
        <v>6</v>
      </c>
      <c r="H373" s="129" t="s">
        <v>5</v>
      </c>
      <c r="I373">
        <v>1</v>
      </c>
      <c r="J373">
        <v>20</v>
      </c>
      <c r="K373" s="129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s="129" t="s">
        <v>1046</v>
      </c>
      <c r="B374" s="129" t="s">
        <v>52</v>
      </c>
      <c r="C374" s="129" t="s">
        <v>8</v>
      </c>
      <c r="D374">
        <v>0.01</v>
      </c>
      <c r="E374">
        <v>0.1</v>
      </c>
      <c r="F374">
        <v>1.0000000000000001E-5</v>
      </c>
      <c r="G374" s="129" t="s">
        <v>6</v>
      </c>
      <c r="H374" s="129" t="s">
        <v>5</v>
      </c>
      <c r="I374">
        <v>20</v>
      </c>
      <c r="J374">
        <v>50</v>
      </c>
      <c r="K374" s="129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s="129" t="s">
        <v>1048</v>
      </c>
      <c r="B375" s="129" t="s">
        <v>52</v>
      </c>
      <c r="C375" s="129" t="s">
        <v>8</v>
      </c>
      <c r="D375">
        <v>0.01</v>
      </c>
      <c r="E375">
        <v>0.1</v>
      </c>
      <c r="F375">
        <v>1.0000000000000001E-5</v>
      </c>
      <c r="G375" s="129" t="s">
        <v>6</v>
      </c>
      <c r="H375" s="129" t="s">
        <v>5</v>
      </c>
      <c r="I375">
        <v>50</v>
      </c>
      <c r="J375">
        <v>100</v>
      </c>
      <c r="K375" s="129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s="129" t="s">
        <v>1045</v>
      </c>
      <c r="B376" s="129" t="s">
        <v>52</v>
      </c>
      <c r="C376" s="129" t="s">
        <v>8</v>
      </c>
      <c r="D376">
        <v>0.01</v>
      </c>
      <c r="E376">
        <v>0.1</v>
      </c>
      <c r="F376">
        <v>1.0000000000000001E-5</v>
      </c>
      <c r="G376" s="129" t="s">
        <v>6</v>
      </c>
      <c r="H376" s="129" t="s">
        <v>5</v>
      </c>
      <c r="I376">
        <v>100</v>
      </c>
      <c r="J376">
        <v>300</v>
      </c>
      <c r="K376" s="129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s="129" t="s">
        <v>1041</v>
      </c>
      <c r="B377" s="129" t="s">
        <v>52</v>
      </c>
      <c r="C377" s="129" t="s">
        <v>8</v>
      </c>
      <c r="D377">
        <v>0.01</v>
      </c>
      <c r="E377">
        <v>0.1</v>
      </c>
      <c r="F377">
        <v>1.0000000000000001E-5</v>
      </c>
      <c r="G377" s="129" t="s">
        <v>6</v>
      </c>
      <c r="H377" s="129" t="s">
        <v>5</v>
      </c>
      <c r="I377">
        <v>300</v>
      </c>
      <c r="J377">
        <v>1000</v>
      </c>
      <c r="K377" s="129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s="129" t="s">
        <v>1043</v>
      </c>
      <c r="B378" s="129" t="s">
        <v>52</v>
      </c>
      <c r="C378" s="129" t="s">
        <v>8</v>
      </c>
      <c r="D378">
        <v>0.01</v>
      </c>
      <c r="E378">
        <v>0.1</v>
      </c>
      <c r="F378">
        <v>1.0000000000000001E-5</v>
      </c>
      <c r="G378" s="129" t="s">
        <v>6</v>
      </c>
      <c r="H378" s="129" t="s">
        <v>5</v>
      </c>
      <c r="I378">
        <v>1000</v>
      </c>
      <c r="J378">
        <v>2000</v>
      </c>
      <c r="K378" s="129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s="129" t="s">
        <v>1047</v>
      </c>
      <c r="B379" s="129" t="s">
        <v>52</v>
      </c>
      <c r="C379" s="129" t="s">
        <v>8</v>
      </c>
      <c r="D379">
        <v>0.01</v>
      </c>
      <c r="E379">
        <v>0.1</v>
      </c>
      <c r="F379">
        <v>1.0000000000000001E-5</v>
      </c>
      <c r="G379" s="129" t="s">
        <v>6</v>
      </c>
      <c r="H379" s="129" t="s">
        <v>5</v>
      </c>
      <c r="I379">
        <v>2000</v>
      </c>
      <c r="J379">
        <v>4000</v>
      </c>
      <c r="K379" s="12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s="129" t="s">
        <v>2323</v>
      </c>
      <c r="B380" s="129" t="s">
        <v>52</v>
      </c>
      <c r="C380" s="129" t="s">
        <v>8</v>
      </c>
      <c r="D380">
        <v>0.01</v>
      </c>
      <c r="E380">
        <v>0.1</v>
      </c>
      <c r="F380">
        <v>1.0000000000000001E-5</v>
      </c>
      <c r="G380" s="129" t="s">
        <v>6</v>
      </c>
      <c r="H380" s="129" t="s">
        <v>5</v>
      </c>
      <c r="I380">
        <v>4000</v>
      </c>
      <c r="J380">
        <v>8000</v>
      </c>
      <c r="K380" s="129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s="129" t="s">
        <v>1049</v>
      </c>
      <c r="B381" s="129" t="s">
        <v>52</v>
      </c>
      <c r="C381" s="129" t="s">
        <v>8</v>
      </c>
      <c r="D381">
        <v>0.01</v>
      </c>
      <c r="E381">
        <v>0.1</v>
      </c>
      <c r="F381">
        <v>1.0000000000000001E-5</v>
      </c>
      <c r="G381" s="129" t="s">
        <v>6</v>
      </c>
      <c r="H381" s="129" t="s">
        <v>5</v>
      </c>
      <c r="I381">
        <v>8000</v>
      </c>
      <c r="J381">
        <v>10000</v>
      </c>
      <c r="K381" s="129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s="129" t="s">
        <v>1081</v>
      </c>
      <c r="B382" s="129" t="s">
        <v>52</v>
      </c>
      <c r="C382" s="129" t="s">
        <v>8</v>
      </c>
      <c r="D382">
        <v>0.1</v>
      </c>
      <c r="E382">
        <v>1</v>
      </c>
      <c r="F382">
        <v>1.0000000000000001E-5</v>
      </c>
      <c r="G382" s="129" t="s">
        <v>6</v>
      </c>
      <c r="H382" s="129" t="s">
        <v>5</v>
      </c>
      <c r="I382">
        <v>1E-3</v>
      </c>
      <c r="J382">
        <v>0.04</v>
      </c>
      <c r="K382" s="129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s="129" t="s">
        <v>2363</v>
      </c>
      <c r="B383" s="129" t="s">
        <v>52</v>
      </c>
      <c r="C383" s="129" t="s">
        <v>8</v>
      </c>
      <c r="D383">
        <v>0.1</v>
      </c>
      <c r="E383">
        <v>1</v>
      </c>
      <c r="F383">
        <v>1.0000000000000001E-5</v>
      </c>
      <c r="G383" s="129" t="s">
        <v>6</v>
      </c>
      <c r="H383" s="129" t="s">
        <v>5</v>
      </c>
      <c r="I383">
        <v>0.04</v>
      </c>
      <c r="J383">
        <v>1</v>
      </c>
      <c r="K383" s="129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s="129" t="s">
        <v>1083</v>
      </c>
      <c r="B384" s="129" t="s">
        <v>52</v>
      </c>
      <c r="C384" s="129" t="s">
        <v>8</v>
      </c>
      <c r="D384">
        <v>0.1</v>
      </c>
      <c r="E384">
        <v>1</v>
      </c>
      <c r="F384">
        <v>1.0000000000000001E-5</v>
      </c>
      <c r="G384" s="129" t="s">
        <v>6</v>
      </c>
      <c r="H384" s="129" t="s">
        <v>5</v>
      </c>
      <c r="I384">
        <v>1</v>
      </c>
      <c r="J384">
        <v>20</v>
      </c>
      <c r="K384" s="129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s="129" t="s">
        <v>1085</v>
      </c>
      <c r="B385" s="129" t="s">
        <v>52</v>
      </c>
      <c r="C385" s="129" t="s">
        <v>8</v>
      </c>
      <c r="D385">
        <v>0.1</v>
      </c>
      <c r="E385">
        <v>1</v>
      </c>
      <c r="F385">
        <v>1.0000000000000001E-5</v>
      </c>
      <c r="G385" s="129" t="s">
        <v>6</v>
      </c>
      <c r="H385" s="129" t="s">
        <v>5</v>
      </c>
      <c r="I385">
        <v>20</v>
      </c>
      <c r="J385">
        <v>50</v>
      </c>
      <c r="K385" s="129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s="129" t="s">
        <v>1087</v>
      </c>
      <c r="B386" s="129" t="s">
        <v>52</v>
      </c>
      <c r="C386" s="129" t="s">
        <v>8</v>
      </c>
      <c r="D386">
        <v>0.1</v>
      </c>
      <c r="E386">
        <v>1</v>
      </c>
      <c r="F386">
        <v>1.0000000000000001E-5</v>
      </c>
      <c r="G386" s="129" t="s">
        <v>6</v>
      </c>
      <c r="H386" s="129" t="s">
        <v>5</v>
      </c>
      <c r="I386">
        <v>50</v>
      </c>
      <c r="J386">
        <v>100</v>
      </c>
      <c r="K386" s="129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s="129" t="s">
        <v>2367</v>
      </c>
      <c r="B387" s="129" t="s">
        <v>52</v>
      </c>
      <c r="C387" s="129" t="s">
        <v>8</v>
      </c>
      <c r="D387">
        <v>0.1</v>
      </c>
      <c r="E387">
        <v>1</v>
      </c>
      <c r="F387">
        <v>1.0000000000000001E-5</v>
      </c>
      <c r="G387" s="129" t="s">
        <v>6</v>
      </c>
      <c r="H387" s="129" t="s">
        <v>5</v>
      </c>
      <c r="I387">
        <v>100</v>
      </c>
      <c r="J387">
        <v>300</v>
      </c>
      <c r="K387" s="129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s="129" t="s">
        <v>1086</v>
      </c>
      <c r="B388" s="129" t="s">
        <v>52</v>
      </c>
      <c r="C388" s="129" t="s">
        <v>8</v>
      </c>
      <c r="D388">
        <v>0.1</v>
      </c>
      <c r="E388">
        <v>1</v>
      </c>
      <c r="F388">
        <v>1.0000000000000001E-5</v>
      </c>
      <c r="G388" s="129" t="s">
        <v>6</v>
      </c>
      <c r="H388" s="129" t="s">
        <v>5</v>
      </c>
      <c r="I388">
        <v>300</v>
      </c>
      <c r="J388">
        <v>1000</v>
      </c>
      <c r="K388" s="129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s="129" t="s">
        <v>1084</v>
      </c>
      <c r="B389" s="129" t="s">
        <v>52</v>
      </c>
      <c r="C389" s="129" t="s">
        <v>8</v>
      </c>
      <c r="D389">
        <v>0.1</v>
      </c>
      <c r="E389">
        <v>1</v>
      </c>
      <c r="F389">
        <v>1.0000000000000001E-5</v>
      </c>
      <c r="G389" s="129" t="s">
        <v>6</v>
      </c>
      <c r="H389" s="129" t="s">
        <v>5</v>
      </c>
      <c r="I389">
        <v>1000</v>
      </c>
      <c r="J389">
        <v>2000</v>
      </c>
      <c r="K389" s="12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s="129" t="s">
        <v>1088</v>
      </c>
      <c r="B390" s="129" t="s">
        <v>52</v>
      </c>
      <c r="C390" s="129" t="s">
        <v>8</v>
      </c>
      <c r="D390">
        <v>0.1</v>
      </c>
      <c r="E390">
        <v>1</v>
      </c>
      <c r="F390">
        <v>1.0000000000000001E-5</v>
      </c>
      <c r="G390" s="129" t="s">
        <v>6</v>
      </c>
      <c r="H390" s="129" t="s">
        <v>4</v>
      </c>
      <c r="I390">
        <v>2000</v>
      </c>
      <c r="J390">
        <v>4000</v>
      </c>
      <c r="K390" s="129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s="129" t="s">
        <v>1082</v>
      </c>
      <c r="B391" s="129" t="s">
        <v>52</v>
      </c>
      <c r="C391" s="129" t="s">
        <v>8</v>
      </c>
      <c r="D391">
        <v>0.1</v>
      </c>
      <c r="E391">
        <v>1</v>
      </c>
      <c r="F391">
        <v>1.0000000000000001E-5</v>
      </c>
      <c r="G391" s="129" t="s">
        <v>6</v>
      </c>
      <c r="H391" s="129" t="s">
        <v>4</v>
      </c>
      <c r="I391">
        <v>4000</v>
      </c>
      <c r="J391">
        <v>8000</v>
      </c>
      <c r="K391" s="129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s="129" t="s">
        <v>2327</v>
      </c>
      <c r="B392" s="129" t="s">
        <v>52</v>
      </c>
      <c r="C392" s="129" t="s">
        <v>8</v>
      </c>
      <c r="D392">
        <v>0.1</v>
      </c>
      <c r="E392">
        <v>1</v>
      </c>
      <c r="F392">
        <v>1.0000000000000001E-5</v>
      </c>
      <c r="G392" s="129" t="s">
        <v>6</v>
      </c>
      <c r="H392" s="129" t="s">
        <v>4</v>
      </c>
      <c r="I392">
        <v>8000</v>
      </c>
      <c r="J392">
        <v>10000</v>
      </c>
      <c r="K392" s="129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s="129" t="s">
        <v>1126</v>
      </c>
      <c r="B393" s="129" t="s">
        <v>52</v>
      </c>
      <c r="C393" s="129" t="s">
        <v>8</v>
      </c>
      <c r="D393">
        <v>1</v>
      </c>
      <c r="E393">
        <v>10</v>
      </c>
      <c r="F393">
        <v>1.0000000000000001E-5</v>
      </c>
      <c r="G393" s="129" t="s">
        <v>6</v>
      </c>
      <c r="H393" s="129" t="s">
        <v>4</v>
      </c>
      <c r="I393">
        <v>1E-3</v>
      </c>
      <c r="J393">
        <v>0.04</v>
      </c>
      <c r="K393" s="129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s="129" t="s">
        <v>1125</v>
      </c>
      <c r="B394" s="129" t="s">
        <v>52</v>
      </c>
      <c r="C394" s="129" t="s">
        <v>8</v>
      </c>
      <c r="D394">
        <v>1</v>
      </c>
      <c r="E394">
        <v>10</v>
      </c>
      <c r="F394">
        <v>1.0000000000000001E-5</v>
      </c>
      <c r="G394" s="129" t="s">
        <v>6</v>
      </c>
      <c r="H394" s="129" t="s">
        <v>4</v>
      </c>
      <c r="I394">
        <v>0.04</v>
      </c>
      <c r="J394">
        <v>1</v>
      </c>
      <c r="K394" s="129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s="129" t="s">
        <v>1127</v>
      </c>
      <c r="B395" s="129" t="s">
        <v>52</v>
      </c>
      <c r="C395" s="129" t="s">
        <v>8</v>
      </c>
      <c r="D395">
        <v>1</v>
      </c>
      <c r="E395">
        <v>10</v>
      </c>
      <c r="F395">
        <v>1.0000000000000001E-5</v>
      </c>
      <c r="G395" s="129" t="s">
        <v>6</v>
      </c>
      <c r="H395" s="129" t="s">
        <v>4</v>
      </c>
      <c r="I395">
        <v>1</v>
      </c>
      <c r="J395">
        <v>20</v>
      </c>
      <c r="K395" s="129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s="129" t="s">
        <v>1132</v>
      </c>
      <c r="B396" s="129" t="s">
        <v>52</v>
      </c>
      <c r="C396" s="129" t="s">
        <v>8</v>
      </c>
      <c r="D396">
        <v>1</v>
      </c>
      <c r="E396">
        <v>10</v>
      </c>
      <c r="F396">
        <v>1.0000000000000001E-5</v>
      </c>
      <c r="G396" s="129" t="s">
        <v>6</v>
      </c>
      <c r="H396" s="129" t="s">
        <v>4</v>
      </c>
      <c r="I396">
        <v>20</v>
      </c>
      <c r="J396">
        <v>50</v>
      </c>
      <c r="K396" s="129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s="129" t="s">
        <v>1124</v>
      </c>
      <c r="B397" s="129" t="s">
        <v>52</v>
      </c>
      <c r="C397" s="129" t="s">
        <v>8</v>
      </c>
      <c r="D397">
        <v>1</v>
      </c>
      <c r="E397">
        <v>10</v>
      </c>
      <c r="F397">
        <v>1.0000000000000001E-5</v>
      </c>
      <c r="G397" s="129" t="s">
        <v>6</v>
      </c>
      <c r="H397" s="129" t="s">
        <v>4</v>
      </c>
      <c r="I397">
        <v>50</v>
      </c>
      <c r="J397">
        <v>100</v>
      </c>
      <c r="K397" s="129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s="129" t="s">
        <v>1128</v>
      </c>
      <c r="B398" s="129" t="s">
        <v>52</v>
      </c>
      <c r="C398" s="129" t="s">
        <v>8</v>
      </c>
      <c r="D398">
        <v>1</v>
      </c>
      <c r="E398">
        <v>10</v>
      </c>
      <c r="F398">
        <v>1.0000000000000001E-5</v>
      </c>
      <c r="G398" s="129" t="s">
        <v>6</v>
      </c>
      <c r="H398" s="129" t="s">
        <v>4</v>
      </c>
      <c r="I398">
        <v>100</v>
      </c>
      <c r="J398">
        <v>300</v>
      </c>
      <c r="K398" s="129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s="129" t="s">
        <v>1131</v>
      </c>
      <c r="B399" s="129" t="s">
        <v>52</v>
      </c>
      <c r="C399" s="129" t="s">
        <v>8</v>
      </c>
      <c r="D399">
        <v>1</v>
      </c>
      <c r="E399">
        <v>10</v>
      </c>
      <c r="F399">
        <v>1.0000000000000001E-5</v>
      </c>
      <c r="G399" s="129" t="s">
        <v>6</v>
      </c>
      <c r="H399" s="129" t="s">
        <v>4</v>
      </c>
      <c r="I399">
        <v>300</v>
      </c>
      <c r="J399">
        <v>1000</v>
      </c>
      <c r="K399" s="12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s="129" t="s">
        <v>1133</v>
      </c>
      <c r="B400" s="129" t="s">
        <v>52</v>
      </c>
      <c r="C400" s="129" t="s">
        <v>8</v>
      </c>
      <c r="D400">
        <v>1</v>
      </c>
      <c r="E400">
        <v>10</v>
      </c>
      <c r="F400">
        <v>1.0000000000000001E-5</v>
      </c>
      <c r="G400" s="129" t="s">
        <v>6</v>
      </c>
      <c r="H400" s="129" t="s">
        <v>4</v>
      </c>
      <c r="I400">
        <v>1000</v>
      </c>
      <c r="J400">
        <v>2000</v>
      </c>
      <c r="K400" s="129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s="129" t="s">
        <v>1129</v>
      </c>
      <c r="B401" s="129" t="s">
        <v>52</v>
      </c>
      <c r="C401" s="129" t="s">
        <v>8</v>
      </c>
      <c r="D401">
        <v>1</v>
      </c>
      <c r="E401">
        <v>10</v>
      </c>
      <c r="F401">
        <v>1.0000000000000001E-5</v>
      </c>
      <c r="G401" s="129" t="s">
        <v>6</v>
      </c>
      <c r="H401" s="129" t="s">
        <v>4</v>
      </c>
      <c r="I401">
        <v>2000</v>
      </c>
      <c r="J401">
        <v>4000</v>
      </c>
      <c r="K401" s="129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s="129" t="s">
        <v>1130</v>
      </c>
      <c r="B402" s="129" t="s">
        <v>52</v>
      </c>
      <c r="C402" s="129" t="s">
        <v>8</v>
      </c>
      <c r="D402">
        <v>1</v>
      </c>
      <c r="E402">
        <v>10</v>
      </c>
      <c r="F402">
        <v>1.0000000000000001E-5</v>
      </c>
      <c r="G402" s="129" t="s">
        <v>6</v>
      </c>
      <c r="H402" s="129" t="s">
        <v>4</v>
      </c>
      <c r="I402">
        <v>4000</v>
      </c>
      <c r="J402">
        <v>8000</v>
      </c>
      <c r="K402" s="129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s="129" t="s">
        <v>2330</v>
      </c>
      <c r="B403" s="129" t="s">
        <v>52</v>
      </c>
      <c r="C403" s="129" t="s">
        <v>8</v>
      </c>
      <c r="D403">
        <v>1</v>
      </c>
      <c r="E403">
        <v>10</v>
      </c>
      <c r="F403">
        <v>1.0000000000000001E-5</v>
      </c>
      <c r="G403" s="129" t="s">
        <v>6</v>
      </c>
      <c r="H403" s="129" t="s">
        <v>4</v>
      </c>
      <c r="I403">
        <v>8000</v>
      </c>
      <c r="J403">
        <v>10000</v>
      </c>
      <c r="K403" s="129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s="129" t="s">
        <v>1170</v>
      </c>
      <c r="B404" s="129" t="s">
        <v>52</v>
      </c>
      <c r="C404" s="129" t="s">
        <v>8</v>
      </c>
      <c r="D404">
        <v>10</v>
      </c>
      <c r="E404">
        <v>20</v>
      </c>
      <c r="F404">
        <v>1.0000000000000001E-5</v>
      </c>
      <c r="G404" s="129" t="s">
        <v>6</v>
      </c>
      <c r="H404" s="129" t="s">
        <v>4</v>
      </c>
      <c r="I404">
        <v>1E-3</v>
      </c>
      <c r="J404">
        <v>0.04</v>
      </c>
      <c r="K404" s="129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s="129" t="s">
        <v>1171</v>
      </c>
      <c r="B405" s="129" t="s">
        <v>52</v>
      </c>
      <c r="C405" s="129" t="s">
        <v>8</v>
      </c>
      <c r="D405">
        <v>10</v>
      </c>
      <c r="E405">
        <v>20</v>
      </c>
      <c r="F405">
        <v>1.0000000000000001E-5</v>
      </c>
      <c r="G405" s="129" t="s">
        <v>6</v>
      </c>
      <c r="H405" s="129" t="s">
        <v>4</v>
      </c>
      <c r="I405">
        <v>0.04</v>
      </c>
      <c r="J405">
        <v>1</v>
      </c>
      <c r="K405" s="129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s="129" t="s">
        <v>1166</v>
      </c>
      <c r="B406" s="129" t="s">
        <v>52</v>
      </c>
      <c r="C406" s="129" t="s">
        <v>8</v>
      </c>
      <c r="D406">
        <v>10</v>
      </c>
      <c r="E406">
        <v>20</v>
      </c>
      <c r="F406">
        <v>1.0000000000000001E-5</v>
      </c>
      <c r="G406" s="129" t="s">
        <v>6</v>
      </c>
      <c r="H406" s="129" t="s">
        <v>4</v>
      </c>
      <c r="I406">
        <v>1</v>
      </c>
      <c r="J406">
        <v>20</v>
      </c>
      <c r="K406" s="129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s="129" t="s">
        <v>2391</v>
      </c>
      <c r="B407" s="129" t="s">
        <v>52</v>
      </c>
      <c r="C407" s="129" t="s">
        <v>8</v>
      </c>
      <c r="D407">
        <v>10</v>
      </c>
      <c r="E407">
        <v>20</v>
      </c>
      <c r="F407">
        <v>1.0000000000000001E-5</v>
      </c>
      <c r="G407" s="129" t="s">
        <v>6</v>
      </c>
      <c r="H407" s="129" t="s">
        <v>4</v>
      </c>
      <c r="I407">
        <v>20</v>
      </c>
      <c r="J407">
        <v>50</v>
      </c>
      <c r="K407" s="129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s="129" t="s">
        <v>1168</v>
      </c>
      <c r="B408" s="129" t="s">
        <v>52</v>
      </c>
      <c r="C408" s="129" t="s">
        <v>8</v>
      </c>
      <c r="D408">
        <v>10</v>
      </c>
      <c r="E408">
        <v>20</v>
      </c>
      <c r="F408">
        <v>1.0000000000000001E-5</v>
      </c>
      <c r="G408" s="129" t="s">
        <v>6</v>
      </c>
      <c r="H408" s="129" t="s">
        <v>4</v>
      </c>
      <c r="I408">
        <v>50</v>
      </c>
      <c r="J408">
        <v>100</v>
      </c>
      <c r="K408" s="129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s="129" t="s">
        <v>1165</v>
      </c>
      <c r="B409" s="129" t="s">
        <v>52</v>
      </c>
      <c r="C409" s="129" t="s">
        <v>8</v>
      </c>
      <c r="D409">
        <v>10</v>
      </c>
      <c r="E409">
        <v>100</v>
      </c>
      <c r="F409">
        <v>1.0000000000000001E-5</v>
      </c>
      <c r="G409" s="129" t="s">
        <v>6</v>
      </c>
      <c r="H409" s="129" t="s">
        <v>4</v>
      </c>
      <c r="I409">
        <v>100</v>
      </c>
      <c r="J409">
        <v>300</v>
      </c>
      <c r="K409" s="12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s="129" t="s">
        <v>1172</v>
      </c>
      <c r="B410" s="129" t="s">
        <v>52</v>
      </c>
      <c r="C410" s="129" t="s">
        <v>8</v>
      </c>
      <c r="D410">
        <v>10</v>
      </c>
      <c r="E410">
        <v>20</v>
      </c>
      <c r="F410">
        <v>1.0000000000000001E-5</v>
      </c>
      <c r="G410" s="129" t="s">
        <v>6</v>
      </c>
      <c r="H410" s="129" t="s">
        <v>4</v>
      </c>
      <c r="I410">
        <v>100</v>
      </c>
      <c r="J410">
        <v>300</v>
      </c>
      <c r="K410" s="129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s="129" t="s">
        <v>1169</v>
      </c>
      <c r="B411" s="129" t="s">
        <v>52</v>
      </c>
      <c r="C411" s="129" t="s">
        <v>8</v>
      </c>
      <c r="D411">
        <v>10</v>
      </c>
      <c r="E411">
        <v>20</v>
      </c>
      <c r="F411">
        <v>1.0000000000000001E-5</v>
      </c>
      <c r="G411" s="129" t="s">
        <v>6</v>
      </c>
      <c r="H411" s="129" t="s">
        <v>4</v>
      </c>
      <c r="I411">
        <v>300</v>
      </c>
      <c r="J411">
        <v>1000</v>
      </c>
      <c r="K411" s="129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s="129" t="s">
        <v>1167</v>
      </c>
      <c r="B412" s="129" t="s">
        <v>52</v>
      </c>
      <c r="C412" s="129" t="s">
        <v>8</v>
      </c>
      <c r="D412">
        <v>10</v>
      </c>
      <c r="E412">
        <v>100</v>
      </c>
      <c r="F412">
        <v>1.0000000000000001E-5</v>
      </c>
      <c r="G412" s="129" t="s">
        <v>6</v>
      </c>
      <c r="H412" s="129" t="s">
        <v>4</v>
      </c>
      <c r="I412">
        <v>300</v>
      </c>
      <c r="J412">
        <v>1000</v>
      </c>
      <c r="K412" s="129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s="129" t="s">
        <v>1201</v>
      </c>
      <c r="B413" s="129" t="s">
        <v>52</v>
      </c>
      <c r="C413" s="129" t="s">
        <v>8</v>
      </c>
      <c r="D413">
        <v>20</v>
      </c>
      <c r="E413">
        <v>100</v>
      </c>
      <c r="F413">
        <v>1.0000000000000001E-5</v>
      </c>
      <c r="G413" s="129" t="s">
        <v>6</v>
      </c>
      <c r="H413" s="129" t="s">
        <v>4</v>
      </c>
      <c r="I413">
        <v>1E-3</v>
      </c>
      <c r="J413">
        <v>0.04</v>
      </c>
      <c r="K413" s="129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s="129" t="s">
        <v>2402</v>
      </c>
      <c r="B414" s="129" t="s">
        <v>52</v>
      </c>
      <c r="C414" s="129" t="s">
        <v>8</v>
      </c>
      <c r="D414">
        <v>20</v>
      </c>
      <c r="E414">
        <v>100</v>
      </c>
      <c r="F414">
        <v>1.0000000000000001E-5</v>
      </c>
      <c r="G414" s="129" t="s">
        <v>6</v>
      </c>
      <c r="H414" s="129" t="s">
        <v>4</v>
      </c>
      <c r="I414">
        <v>0.04</v>
      </c>
      <c r="J414">
        <v>1</v>
      </c>
      <c r="K414" s="129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s="129" t="s">
        <v>1200</v>
      </c>
      <c r="B415" s="129" t="s">
        <v>52</v>
      </c>
      <c r="C415" s="129" t="s">
        <v>8</v>
      </c>
      <c r="D415">
        <v>20</v>
      </c>
      <c r="E415">
        <v>100</v>
      </c>
      <c r="F415">
        <v>1.0000000000000001E-5</v>
      </c>
      <c r="G415" s="129" t="s">
        <v>6</v>
      </c>
      <c r="H415" s="129" t="s">
        <v>4</v>
      </c>
      <c r="I415">
        <v>1</v>
      </c>
      <c r="J415">
        <v>20</v>
      </c>
      <c r="K415" s="129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s="129" t="s">
        <v>2404</v>
      </c>
      <c r="B416" s="129" t="s">
        <v>52</v>
      </c>
      <c r="C416" s="129" t="s">
        <v>8</v>
      </c>
      <c r="D416">
        <v>20</v>
      </c>
      <c r="E416">
        <v>100</v>
      </c>
      <c r="F416">
        <v>1.0000000000000001E-5</v>
      </c>
      <c r="G416" s="129" t="s">
        <v>6</v>
      </c>
      <c r="H416" s="129" t="s">
        <v>4</v>
      </c>
      <c r="I416">
        <v>20</v>
      </c>
      <c r="J416">
        <v>50</v>
      </c>
      <c r="K416" s="129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s="129" t="s">
        <v>1202</v>
      </c>
      <c r="B417" s="129" t="s">
        <v>52</v>
      </c>
      <c r="C417" s="129" t="s">
        <v>8</v>
      </c>
      <c r="D417">
        <v>20</v>
      </c>
      <c r="E417">
        <v>100</v>
      </c>
      <c r="F417">
        <v>1.0000000000000001E-5</v>
      </c>
      <c r="G417" s="129" t="s">
        <v>6</v>
      </c>
      <c r="H417" s="129" t="s">
        <v>4</v>
      </c>
      <c r="I417">
        <v>50</v>
      </c>
      <c r="J417">
        <v>100</v>
      </c>
      <c r="K417" s="129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s="129" t="s">
        <v>2341</v>
      </c>
      <c r="B418" s="129" t="s">
        <v>52</v>
      </c>
      <c r="C418" s="129" t="s">
        <v>8</v>
      </c>
      <c r="D418">
        <v>0</v>
      </c>
      <c r="E418">
        <v>0.01</v>
      </c>
      <c r="F418">
        <v>1E-4</v>
      </c>
      <c r="G418" s="129" t="s">
        <v>6</v>
      </c>
      <c r="H418" s="129" t="s">
        <v>5</v>
      </c>
      <c r="I418">
        <v>1E-3</v>
      </c>
      <c r="J418">
        <v>0.04</v>
      </c>
      <c r="K418" s="129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s="129" t="s">
        <v>997</v>
      </c>
      <c r="B419" s="129" t="s">
        <v>52</v>
      </c>
      <c r="C419" s="129" t="s">
        <v>8</v>
      </c>
      <c r="D419">
        <v>0</v>
      </c>
      <c r="E419">
        <v>0.01</v>
      </c>
      <c r="F419">
        <v>1E-4</v>
      </c>
      <c r="G419" s="129" t="s">
        <v>6</v>
      </c>
      <c r="H419" s="129" t="s">
        <v>5</v>
      </c>
      <c r="I419">
        <v>0.04</v>
      </c>
      <c r="J419">
        <v>1</v>
      </c>
      <c r="K419" s="12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s="129" t="s">
        <v>1001</v>
      </c>
      <c r="B420" s="129" t="s">
        <v>52</v>
      </c>
      <c r="C420" s="129" t="s">
        <v>8</v>
      </c>
      <c r="D420">
        <v>0</v>
      </c>
      <c r="E420">
        <v>0.01</v>
      </c>
      <c r="F420">
        <v>1E-4</v>
      </c>
      <c r="G420" s="129" t="s">
        <v>6</v>
      </c>
      <c r="H420" s="129" t="s">
        <v>5</v>
      </c>
      <c r="I420">
        <v>1</v>
      </c>
      <c r="J420">
        <v>20</v>
      </c>
      <c r="K420" s="129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s="129" t="s">
        <v>998</v>
      </c>
      <c r="B421" s="129" t="s">
        <v>52</v>
      </c>
      <c r="C421" s="129" t="s">
        <v>8</v>
      </c>
      <c r="D421">
        <v>0</v>
      </c>
      <c r="E421">
        <v>0.01</v>
      </c>
      <c r="F421">
        <v>1E-4</v>
      </c>
      <c r="G421" s="129" t="s">
        <v>6</v>
      </c>
      <c r="H421" s="129" t="s">
        <v>5</v>
      </c>
      <c r="I421">
        <v>20</v>
      </c>
      <c r="J421">
        <v>50</v>
      </c>
      <c r="K421" s="129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s="129" t="s">
        <v>996</v>
      </c>
      <c r="B422" s="129" t="s">
        <v>52</v>
      </c>
      <c r="C422" s="129" t="s">
        <v>8</v>
      </c>
      <c r="D422">
        <v>0</v>
      </c>
      <c r="E422">
        <v>0.01</v>
      </c>
      <c r="F422">
        <v>1E-4</v>
      </c>
      <c r="G422" s="129" t="s">
        <v>6</v>
      </c>
      <c r="H422" s="129" t="s">
        <v>5</v>
      </c>
      <c r="I422">
        <v>50</v>
      </c>
      <c r="J422">
        <v>100</v>
      </c>
      <c r="K422" s="129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s="129" t="s">
        <v>2348</v>
      </c>
      <c r="B423" s="129" t="s">
        <v>52</v>
      </c>
      <c r="C423" s="129" t="s">
        <v>8</v>
      </c>
      <c r="D423">
        <v>0</v>
      </c>
      <c r="E423">
        <v>0.01</v>
      </c>
      <c r="F423">
        <v>1E-4</v>
      </c>
      <c r="G423" s="129" t="s">
        <v>6</v>
      </c>
      <c r="H423" s="129" t="s">
        <v>5</v>
      </c>
      <c r="I423">
        <v>100</v>
      </c>
      <c r="J423">
        <v>300</v>
      </c>
      <c r="K423" s="129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s="129" t="s">
        <v>1000</v>
      </c>
      <c r="B424" s="129" t="s">
        <v>52</v>
      </c>
      <c r="C424" s="129" t="s">
        <v>8</v>
      </c>
      <c r="D424">
        <v>0</v>
      </c>
      <c r="E424">
        <v>0.01</v>
      </c>
      <c r="F424">
        <v>1E-4</v>
      </c>
      <c r="G424" s="129" t="s">
        <v>6</v>
      </c>
      <c r="H424" s="129" t="s">
        <v>5</v>
      </c>
      <c r="I424">
        <v>300</v>
      </c>
      <c r="J424">
        <v>1000</v>
      </c>
      <c r="K424" s="129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s="129" t="s">
        <v>999</v>
      </c>
      <c r="B425" s="129" t="s">
        <v>52</v>
      </c>
      <c r="C425" s="129" t="s">
        <v>8</v>
      </c>
      <c r="D425">
        <v>0</v>
      </c>
      <c r="E425">
        <v>0.01</v>
      </c>
      <c r="F425">
        <v>1E-4</v>
      </c>
      <c r="G425" s="129" t="s">
        <v>6</v>
      </c>
      <c r="H425" s="129" t="s">
        <v>5</v>
      </c>
      <c r="I425">
        <v>1000</v>
      </c>
      <c r="J425">
        <v>4000</v>
      </c>
      <c r="K425" s="129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s="129" t="s">
        <v>2318</v>
      </c>
      <c r="B426" s="129" t="s">
        <v>52</v>
      </c>
      <c r="C426" s="129" t="s">
        <v>8</v>
      </c>
      <c r="D426">
        <v>0</v>
      </c>
      <c r="E426">
        <v>0.01</v>
      </c>
      <c r="F426">
        <v>1E-4</v>
      </c>
      <c r="G426" s="129" t="s">
        <v>6</v>
      </c>
      <c r="H426" s="129" t="s">
        <v>5</v>
      </c>
      <c r="I426">
        <v>4000</v>
      </c>
      <c r="J426">
        <v>8000</v>
      </c>
      <c r="K426" s="129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s="129" t="s">
        <v>2349</v>
      </c>
      <c r="B427" s="129" t="s">
        <v>52</v>
      </c>
      <c r="C427" s="129" t="s">
        <v>8</v>
      </c>
      <c r="D427">
        <v>0.01</v>
      </c>
      <c r="E427">
        <v>0.1</v>
      </c>
      <c r="F427">
        <v>1E-4</v>
      </c>
      <c r="G427" s="129" t="s">
        <v>6</v>
      </c>
      <c r="H427" s="129" t="s">
        <v>5</v>
      </c>
      <c r="I427">
        <v>1E-3</v>
      </c>
      <c r="J427">
        <v>0.04</v>
      </c>
      <c r="K427" s="129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s="129" t="s">
        <v>2353</v>
      </c>
      <c r="B428" s="129" t="s">
        <v>52</v>
      </c>
      <c r="C428" s="129" t="s">
        <v>8</v>
      </c>
      <c r="D428">
        <v>0.01</v>
      </c>
      <c r="E428">
        <v>0.1</v>
      </c>
      <c r="F428">
        <v>1E-4</v>
      </c>
      <c r="G428" s="129" t="s">
        <v>6</v>
      </c>
      <c r="H428" s="129" t="s">
        <v>5</v>
      </c>
      <c r="I428">
        <v>0.04</v>
      </c>
      <c r="J428">
        <v>1</v>
      </c>
      <c r="K428" s="129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s="129" t="s">
        <v>1052</v>
      </c>
      <c r="B429" s="129" t="s">
        <v>52</v>
      </c>
      <c r="C429" s="129" t="s">
        <v>8</v>
      </c>
      <c r="D429">
        <v>0.01</v>
      </c>
      <c r="E429">
        <v>0.1</v>
      </c>
      <c r="F429">
        <v>1E-4</v>
      </c>
      <c r="G429" s="129" t="s">
        <v>6</v>
      </c>
      <c r="H429" s="129" t="s">
        <v>5</v>
      </c>
      <c r="I429">
        <v>1</v>
      </c>
      <c r="J429">
        <v>20</v>
      </c>
      <c r="K429" s="1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s="129" t="s">
        <v>1053</v>
      </c>
      <c r="B430" s="129" t="s">
        <v>52</v>
      </c>
      <c r="C430" s="129" t="s">
        <v>8</v>
      </c>
      <c r="D430">
        <v>0.01</v>
      </c>
      <c r="E430">
        <v>0.1</v>
      </c>
      <c r="F430">
        <v>1E-4</v>
      </c>
      <c r="G430" s="129" t="s">
        <v>6</v>
      </c>
      <c r="H430" s="129" t="s">
        <v>5</v>
      </c>
      <c r="I430">
        <v>20</v>
      </c>
      <c r="J430">
        <v>50</v>
      </c>
      <c r="K430" s="129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s="129" t="s">
        <v>1055</v>
      </c>
      <c r="B431" s="129" t="s">
        <v>52</v>
      </c>
      <c r="C431" s="129" t="s">
        <v>8</v>
      </c>
      <c r="D431">
        <v>0.01</v>
      </c>
      <c r="E431">
        <v>0.1</v>
      </c>
      <c r="F431">
        <v>1E-4</v>
      </c>
      <c r="G431" s="129" t="s">
        <v>6</v>
      </c>
      <c r="H431" s="129" t="s">
        <v>5</v>
      </c>
      <c r="I431">
        <v>50</v>
      </c>
      <c r="J431">
        <v>100</v>
      </c>
      <c r="K431" s="129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s="129" t="s">
        <v>2361</v>
      </c>
      <c r="B432" s="129" t="s">
        <v>52</v>
      </c>
      <c r="C432" s="129" t="s">
        <v>8</v>
      </c>
      <c r="D432">
        <v>0.01</v>
      </c>
      <c r="E432">
        <v>0.1</v>
      </c>
      <c r="F432">
        <v>1E-4</v>
      </c>
      <c r="G432" s="129" t="s">
        <v>6</v>
      </c>
      <c r="H432" s="129" t="s">
        <v>5</v>
      </c>
      <c r="I432">
        <v>100</v>
      </c>
      <c r="J432">
        <v>300</v>
      </c>
      <c r="K432" s="129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s="129" t="s">
        <v>1056</v>
      </c>
      <c r="B433" s="129" t="s">
        <v>52</v>
      </c>
      <c r="C433" s="129" t="s">
        <v>8</v>
      </c>
      <c r="D433">
        <v>0.01</v>
      </c>
      <c r="E433">
        <v>0.1</v>
      </c>
      <c r="F433">
        <v>1E-4</v>
      </c>
      <c r="G433" s="129" t="s">
        <v>6</v>
      </c>
      <c r="H433" s="129" t="s">
        <v>5</v>
      </c>
      <c r="I433">
        <v>300</v>
      </c>
      <c r="J433">
        <v>1000</v>
      </c>
      <c r="K433" s="129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s="129" t="s">
        <v>2320</v>
      </c>
      <c r="B434" s="129" t="s">
        <v>52</v>
      </c>
      <c r="C434" s="129" t="s">
        <v>8</v>
      </c>
      <c r="D434">
        <v>0.01</v>
      </c>
      <c r="E434">
        <v>0.1</v>
      </c>
      <c r="F434">
        <v>1E-4</v>
      </c>
      <c r="G434" s="129" t="s">
        <v>6</v>
      </c>
      <c r="H434" s="129" t="s">
        <v>5</v>
      </c>
      <c r="I434">
        <v>1000</v>
      </c>
      <c r="J434">
        <v>2000</v>
      </c>
      <c r="K434" s="129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s="129" t="s">
        <v>1050</v>
      </c>
      <c r="B435" s="129" t="s">
        <v>52</v>
      </c>
      <c r="C435" s="129" t="s">
        <v>8</v>
      </c>
      <c r="D435">
        <v>0.01</v>
      </c>
      <c r="E435">
        <v>0.1</v>
      </c>
      <c r="F435">
        <v>1E-4</v>
      </c>
      <c r="G435" s="129" t="s">
        <v>6</v>
      </c>
      <c r="H435" s="129" t="s">
        <v>5</v>
      </c>
      <c r="I435">
        <v>2000</v>
      </c>
      <c r="J435">
        <v>4000</v>
      </c>
      <c r="K435" s="129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s="129" t="s">
        <v>1054</v>
      </c>
      <c r="B436" s="129" t="s">
        <v>52</v>
      </c>
      <c r="C436" s="129" t="s">
        <v>8</v>
      </c>
      <c r="D436">
        <v>0.01</v>
      </c>
      <c r="E436">
        <v>0.1</v>
      </c>
      <c r="F436">
        <v>1E-4</v>
      </c>
      <c r="G436" s="129" t="s">
        <v>6</v>
      </c>
      <c r="H436" s="129" t="s">
        <v>5</v>
      </c>
      <c r="I436">
        <v>4000</v>
      </c>
      <c r="J436">
        <v>8000</v>
      </c>
      <c r="K436" s="129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s="129" t="s">
        <v>1051</v>
      </c>
      <c r="B437" s="129" t="s">
        <v>52</v>
      </c>
      <c r="C437" s="129" t="s">
        <v>8</v>
      </c>
      <c r="D437">
        <v>0.01</v>
      </c>
      <c r="E437">
        <v>0.1</v>
      </c>
      <c r="F437">
        <v>1E-4</v>
      </c>
      <c r="G437" s="129" t="s">
        <v>6</v>
      </c>
      <c r="H437" s="129" t="s">
        <v>5</v>
      </c>
      <c r="I437">
        <v>8000</v>
      </c>
      <c r="J437">
        <v>10000</v>
      </c>
      <c r="K437" s="129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s="129" t="s">
        <v>1089</v>
      </c>
      <c r="B438" s="129" t="s">
        <v>52</v>
      </c>
      <c r="C438" s="129" t="s">
        <v>8</v>
      </c>
      <c r="D438">
        <v>0.1</v>
      </c>
      <c r="E438">
        <v>1</v>
      </c>
      <c r="F438">
        <v>1E-4</v>
      </c>
      <c r="G438" s="129" t="s">
        <v>6</v>
      </c>
      <c r="H438" s="129" t="s">
        <v>5</v>
      </c>
      <c r="I438">
        <v>1E-3</v>
      </c>
      <c r="J438">
        <v>0.04</v>
      </c>
      <c r="K438" s="129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s="129" t="s">
        <v>2364</v>
      </c>
      <c r="B439" s="129" t="s">
        <v>52</v>
      </c>
      <c r="C439" s="129" t="s">
        <v>8</v>
      </c>
      <c r="D439">
        <v>0.1</v>
      </c>
      <c r="E439">
        <v>1</v>
      </c>
      <c r="F439">
        <v>1E-4</v>
      </c>
      <c r="G439" s="129" t="s">
        <v>6</v>
      </c>
      <c r="H439" s="129" t="s">
        <v>5</v>
      </c>
      <c r="I439">
        <v>0.04</v>
      </c>
      <c r="J439">
        <v>1</v>
      </c>
      <c r="K439" s="12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s="129" t="s">
        <v>2365</v>
      </c>
      <c r="B440" s="129" t="s">
        <v>52</v>
      </c>
      <c r="C440" s="129" t="s">
        <v>8</v>
      </c>
      <c r="D440">
        <v>0.1</v>
      </c>
      <c r="E440">
        <v>1</v>
      </c>
      <c r="F440">
        <v>1E-4</v>
      </c>
      <c r="G440" s="129" t="s">
        <v>6</v>
      </c>
      <c r="H440" s="129" t="s">
        <v>5</v>
      </c>
      <c r="I440">
        <v>1</v>
      </c>
      <c r="J440">
        <v>20</v>
      </c>
      <c r="K440" s="129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s="129" t="s">
        <v>1096</v>
      </c>
      <c r="B441" s="129" t="s">
        <v>52</v>
      </c>
      <c r="C441" s="129" t="s">
        <v>8</v>
      </c>
      <c r="D441">
        <v>0.1</v>
      </c>
      <c r="E441">
        <v>1</v>
      </c>
      <c r="F441">
        <v>1E-4</v>
      </c>
      <c r="G441" s="129" t="s">
        <v>6</v>
      </c>
      <c r="H441" s="129" t="s">
        <v>5</v>
      </c>
      <c r="I441">
        <v>20</v>
      </c>
      <c r="J441">
        <v>50</v>
      </c>
      <c r="K441" s="129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s="129" t="s">
        <v>1092</v>
      </c>
      <c r="B442" s="129" t="s">
        <v>52</v>
      </c>
      <c r="C442" s="129" t="s">
        <v>8</v>
      </c>
      <c r="D442">
        <v>0.1</v>
      </c>
      <c r="E442">
        <v>1</v>
      </c>
      <c r="F442">
        <v>1E-4</v>
      </c>
      <c r="G442" s="129" t="s">
        <v>6</v>
      </c>
      <c r="H442" s="129" t="s">
        <v>5</v>
      </c>
      <c r="I442">
        <v>50</v>
      </c>
      <c r="J442">
        <v>100</v>
      </c>
      <c r="K442" s="129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s="129" t="s">
        <v>1090</v>
      </c>
      <c r="B443" s="129" t="s">
        <v>52</v>
      </c>
      <c r="C443" s="129" t="s">
        <v>8</v>
      </c>
      <c r="D443">
        <v>0.1</v>
      </c>
      <c r="E443">
        <v>1</v>
      </c>
      <c r="F443">
        <v>1E-4</v>
      </c>
      <c r="G443" s="129" t="s">
        <v>6</v>
      </c>
      <c r="H443" s="129" t="s">
        <v>5</v>
      </c>
      <c r="I443">
        <v>100</v>
      </c>
      <c r="J443">
        <v>300</v>
      </c>
      <c r="K443" s="129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s="129" t="s">
        <v>1091</v>
      </c>
      <c r="B444" s="129" t="s">
        <v>52</v>
      </c>
      <c r="C444" s="129" t="s">
        <v>8</v>
      </c>
      <c r="D444">
        <v>0.1</v>
      </c>
      <c r="E444">
        <v>1</v>
      </c>
      <c r="F444">
        <v>1E-4</v>
      </c>
      <c r="G444" s="129" t="s">
        <v>6</v>
      </c>
      <c r="H444" s="129" t="s">
        <v>5</v>
      </c>
      <c r="I444">
        <v>300</v>
      </c>
      <c r="J444">
        <v>1000</v>
      </c>
      <c r="K444" s="129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s="129" t="s">
        <v>2325</v>
      </c>
      <c r="B445" s="129" t="s">
        <v>52</v>
      </c>
      <c r="C445" s="129" t="s">
        <v>8</v>
      </c>
      <c r="D445">
        <v>0.1</v>
      </c>
      <c r="E445">
        <v>1</v>
      </c>
      <c r="F445">
        <v>1E-4</v>
      </c>
      <c r="G445" s="129" t="s">
        <v>6</v>
      </c>
      <c r="H445" s="129" t="s">
        <v>5</v>
      </c>
      <c r="I445">
        <v>1000</v>
      </c>
      <c r="J445">
        <v>2000</v>
      </c>
      <c r="K445" s="129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s="129" t="s">
        <v>1095</v>
      </c>
      <c r="B446" s="129" t="s">
        <v>52</v>
      </c>
      <c r="C446" s="129" t="s">
        <v>8</v>
      </c>
      <c r="D446">
        <v>0.1</v>
      </c>
      <c r="E446">
        <v>1</v>
      </c>
      <c r="F446">
        <v>1E-4</v>
      </c>
      <c r="G446" s="129" t="s">
        <v>6</v>
      </c>
      <c r="H446" s="129" t="s">
        <v>4</v>
      </c>
      <c r="I446">
        <v>2000</v>
      </c>
      <c r="J446">
        <v>4000</v>
      </c>
      <c r="K446" s="129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s="129" t="s">
        <v>1093</v>
      </c>
      <c r="B447" s="129" t="s">
        <v>52</v>
      </c>
      <c r="C447" s="129" t="s">
        <v>8</v>
      </c>
      <c r="D447">
        <v>0.1</v>
      </c>
      <c r="E447">
        <v>1</v>
      </c>
      <c r="F447">
        <v>1E-4</v>
      </c>
      <c r="G447" s="129" t="s">
        <v>6</v>
      </c>
      <c r="H447" s="129" t="s">
        <v>4</v>
      </c>
      <c r="I447">
        <v>4000</v>
      </c>
      <c r="J447">
        <v>8000</v>
      </c>
      <c r="K447" s="129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s="129" t="s">
        <v>1094</v>
      </c>
      <c r="B448" s="129" t="s">
        <v>52</v>
      </c>
      <c r="C448" s="129" t="s">
        <v>8</v>
      </c>
      <c r="D448">
        <v>0.1</v>
      </c>
      <c r="E448">
        <v>1</v>
      </c>
      <c r="F448">
        <v>1E-4</v>
      </c>
      <c r="G448" s="129" t="s">
        <v>6</v>
      </c>
      <c r="H448" s="129" t="s">
        <v>4</v>
      </c>
      <c r="I448">
        <v>8000</v>
      </c>
      <c r="J448">
        <v>10000</v>
      </c>
      <c r="K448" s="129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s="129" t="s">
        <v>1137</v>
      </c>
      <c r="B449" s="129" t="s">
        <v>52</v>
      </c>
      <c r="C449" s="129" t="s">
        <v>8</v>
      </c>
      <c r="D449">
        <v>1</v>
      </c>
      <c r="E449">
        <v>10</v>
      </c>
      <c r="F449">
        <v>1E-4</v>
      </c>
      <c r="G449" s="129" t="s">
        <v>6</v>
      </c>
      <c r="H449" s="129" t="s">
        <v>4</v>
      </c>
      <c r="I449">
        <v>1E-3</v>
      </c>
      <c r="J449">
        <v>0.04</v>
      </c>
      <c r="K449" s="12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s="129" t="s">
        <v>2373</v>
      </c>
      <c r="B450" s="129" t="s">
        <v>52</v>
      </c>
      <c r="C450" s="129" t="s">
        <v>8</v>
      </c>
      <c r="D450">
        <v>1</v>
      </c>
      <c r="E450">
        <v>10</v>
      </c>
      <c r="F450">
        <v>1E-4</v>
      </c>
      <c r="G450" s="129" t="s">
        <v>6</v>
      </c>
      <c r="H450" s="129" t="s">
        <v>4</v>
      </c>
      <c r="I450">
        <v>0.04</v>
      </c>
      <c r="J450">
        <v>1</v>
      </c>
      <c r="K450" s="129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s="129" t="s">
        <v>1138</v>
      </c>
      <c r="B451" s="129" t="s">
        <v>52</v>
      </c>
      <c r="C451" s="129" t="s">
        <v>8</v>
      </c>
      <c r="D451">
        <v>1</v>
      </c>
      <c r="E451">
        <v>10</v>
      </c>
      <c r="F451">
        <v>1E-4</v>
      </c>
      <c r="G451" s="129" t="s">
        <v>6</v>
      </c>
      <c r="H451" s="129" t="s">
        <v>4</v>
      </c>
      <c r="I451">
        <v>1</v>
      </c>
      <c r="J451">
        <v>20</v>
      </c>
      <c r="K451" s="129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s="129" t="s">
        <v>1141</v>
      </c>
      <c r="B452" s="129" t="s">
        <v>52</v>
      </c>
      <c r="C452" s="129" t="s">
        <v>8</v>
      </c>
      <c r="D452">
        <v>1</v>
      </c>
      <c r="E452">
        <v>10</v>
      </c>
      <c r="F452">
        <v>1E-4</v>
      </c>
      <c r="G452" s="129" t="s">
        <v>6</v>
      </c>
      <c r="H452" s="129" t="s">
        <v>4</v>
      </c>
      <c r="I452">
        <v>20</v>
      </c>
      <c r="J452">
        <v>50</v>
      </c>
      <c r="K452" s="129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s="129" t="s">
        <v>2380</v>
      </c>
      <c r="B453" s="129" t="s">
        <v>52</v>
      </c>
      <c r="C453" s="129" t="s">
        <v>8</v>
      </c>
      <c r="D453">
        <v>1</v>
      </c>
      <c r="E453">
        <v>10</v>
      </c>
      <c r="F453">
        <v>1E-4</v>
      </c>
      <c r="G453" s="129" t="s">
        <v>6</v>
      </c>
      <c r="H453" s="129" t="s">
        <v>4</v>
      </c>
      <c r="I453">
        <v>50</v>
      </c>
      <c r="J453">
        <v>100</v>
      </c>
      <c r="K453" s="129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s="129" t="s">
        <v>1140</v>
      </c>
      <c r="B454" s="129" t="s">
        <v>52</v>
      </c>
      <c r="C454" s="129" t="s">
        <v>8</v>
      </c>
      <c r="D454">
        <v>1</v>
      </c>
      <c r="E454">
        <v>10</v>
      </c>
      <c r="F454">
        <v>1E-4</v>
      </c>
      <c r="G454" s="129" t="s">
        <v>6</v>
      </c>
      <c r="H454" s="129" t="s">
        <v>4</v>
      </c>
      <c r="I454">
        <v>100</v>
      </c>
      <c r="J454">
        <v>300</v>
      </c>
      <c r="K454" s="129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s="129" t="s">
        <v>1134</v>
      </c>
      <c r="B455" s="129" t="s">
        <v>52</v>
      </c>
      <c r="C455" s="129" t="s">
        <v>8</v>
      </c>
      <c r="D455">
        <v>1</v>
      </c>
      <c r="E455">
        <v>10</v>
      </c>
      <c r="F455">
        <v>1E-4</v>
      </c>
      <c r="G455" s="129" t="s">
        <v>6</v>
      </c>
      <c r="H455" s="129" t="s">
        <v>4</v>
      </c>
      <c r="I455">
        <v>300</v>
      </c>
      <c r="J455">
        <v>1000</v>
      </c>
      <c r="K455" s="129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s="129" t="s">
        <v>1136</v>
      </c>
      <c r="B456" s="129" t="s">
        <v>52</v>
      </c>
      <c r="C456" s="129" t="s">
        <v>8</v>
      </c>
      <c r="D456">
        <v>1</v>
      </c>
      <c r="E456">
        <v>10</v>
      </c>
      <c r="F456">
        <v>1E-4</v>
      </c>
      <c r="G456" s="129" t="s">
        <v>6</v>
      </c>
      <c r="H456" s="129" t="s">
        <v>4</v>
      </c>
      <c r="I456">
        <v>1000</v>
      </c>
      <c r="J456">
        <v>2000</v>
      </c>
      <c r="K456" s="129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s="129" t="s">
        <v>1135</v>
      </c>
      <c r="B457" s="129" t="s">
        <v>52</v>
      </c>
      <c r="C457" s="129" t="s">
        <v>8</v>
      </c>
      <c r="D457">
        <v>1</v>
      </c>
      <c r="E457">
        <v>10</v>
      </c>
      <c r="F457">
        <v>1E-4</v>
      </c>
      <c r="G457" s="129" t="s">
        <v>6</v>
      </c>
      <c r="H457" s="129" t="s">
        <v>4</v>
      </c>
      <c r="I457">
        <v>2000</v>
      </c>
      <c r="J457">
        <v>4000</v>
      </c>
      <c r="K457" s="129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s="129" t="s">
        <v>2329</v>
      </c>
      <c r="B458" s="129" t="s">
        <v>52</v>
      </c>
      <c r="C458" s="129" t="s">
        <v>8</v>
      </c>
      <c r="D458">
        <v>1</v>
      </c>
      <c r="E458">
        <v>10</v>
      </c>
      <c r="F458">
        <v>1E-4</v>
      </c>
      <c r="G458" s="129" t="s">
        <v>6</v>
      </c>
      <c r="H458" s="129" t="s">
        <v>4</v>
      </c>
      <c r="I458">
        <v>4000</v>
      </c>
      <c r="J458">
        <v>8000</v>
      </c>
      <c r="K458" s="129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s="129" t="s">
        <v>1139</v>
      </c>
      <c r="B459" s="129" t="s">
        <v>52</v>
      </c>
      <c r="C459" s="129" t="s">
        <v>8</v>
      </c>
      <c r="D459">
        <v>1</v>
      </c>
      <c r="E459">
        <v>10</v>
      </c>
      <c r="F459">
        <v>1E-4</v>
      </c>
      <c r="G459" s="129" t="s">
        <v>6</v>
      </c>
      <c r="H459" s="129" t="s">
        <v>4</v>
      </c>
      <c r="I459">
        <v>8000</v>
      </c>
      <c r="J459">
        <v>10000</v>
      </c>
      <c r="K459" s="12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s="129" t="s">
        <v>2385</v>
      </c>
      <c r="B460" s="129" t="s">
        <v>52</v>
      </c>
      <c r="C460" s="129" t="s">
        <v>8</v>
      </c>
      <c r="D460">
        <v>10</v>
      </c>
      <c r="E460">
        <v>20</v>
      </c>
      <c r="F460">
        <v>1E-4</v>
      </c>
      <c r="G460" s="129" t="s">
        <v>6</v>
      </c>
      <c r="H460" s="129" t="s">
        <v>4</v>
      </c>
      <c r="I460">
        <v>1E-3</v>
      </c>
      <c r="J460">
        <v>0.04</v>
      </c>
      <c r="K460" s="129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s="129" t="s">
        <v>1173</v>
      </c>
      <c r="B461" s="129" t="s">
        <v>52</v>
      </c>
      <c r="C461" s="129" t="s">
        <v>8</v>
      </c>
      <c r="D461">
        <v>10</v>
      </c>
      <c r="E461">
        <v>20</v>
      </c>
      <c r="F461">
        <v>1E-4</v>
      </c>
      <c r="G461" s="129" t="s">
        <v>6</v>
      </c>
      <c r="H461" s="129" t="s">
        <v>4</v>
      </c>
      <c r="I461">
        <v>0.04</v>
      </c>
      <c r="J461">
        <v>1</v>
      </c>
      <c r="K461" s="129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s="129" t="s">
        <v>2388</v>
      </c>
      <c r="B462" s="129" t="s">
        <v>52</v>
      </c>
      <c r="C462" s="129" t="s">
        <v>8</v>
      </c>
      <c r="D462">
        <v>10</v>
      </c>
      <c r="E462">
        <v>20</v>
      </c>
      <c r="F462">
        <v>1E-4</v>
      </c>
      <c r="G462" s="129" t="s">
        <v>6</v>
      </c>
      <c r="H462" s="129" t="s">
        <v>4</v>
      </c>
      <c r="I462">
        <v>1</v>
      </c>
      <c r="J462">
        <v>20</v>
      </c>
      <c r="K462" s="129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s="129" t="s">
        <v>2392</v>
      </c>
      <c r="B463" s="129" t="s">
        <v>52</v>
      </c>
      <c r="C463" s="129" t="s">
        <v>8</v>
      </c>
      <c r="D463">
        <v>10</v>
      </c>
      <c r="E463">
        <v>20</v>
      </c>
      <c r="F463">
        <v>1E-4</v>
      </c>
      <c r="G463" s="129" t="s">
        <v>6</v>
      </c>
      <c r="H463" s="129" t="s">
        <v>4</v>
      </c>
      <c r="I463">
        <v>20</v>
      </c>
      <c r="J463">
        <v>50</v>
      </c>
      <c r="K463" s="129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s="129" t="s">
        <v>2393</v>
      </c>
      <c r="B464" s="129" t="s">
        <v>52</v>
      </c>
      <c r="C464" s="129" t="s">
        <v>8</v>
      </c>
      <c r="D464">
        <v>10</v>
      </c>
      <c r="E464">
        <v>20</v>
      </c>
      <c r="F464">
        <v>1E-4</v>
      </c>
      <c r="G464" s="129" t="s">
        <v>6</v>
      </c>
      <c r="H464" s="129" t="s">
        <v>4</v>
      </c>
      <c r="I464">
        <v>50</v>
      </c>
      <c r="J464">
        <v>100</v>
      </c>
      <c r="K464" s="129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s="129" t="s">
        <v>1175</v>
      </c>
      <c r="B465" s="129" t="s">
        <v>52</v>
      </c>
      <c r="C465" s="129" t="s">
        <v>8</v>
      </c>
      <c r="D465">
        <v>10</v>
      </c>
      <c r="E465">
        <v>100</v>
      </c>
      <c r="F465">
        <v>1E-4</v>
      </c>
      <c r="G465" s="129" t="s">
        <v>6</v>
      </c>
      <c r="H465" s="129" t="s">
        <v>4</v>
      </c>
      <c r="I465">
        <v>100</v>
      </c>
      <c r="J465">
        <v>300</v>
      </c>
      <c r="K465" s="129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s="129" t="s">
        <v>2394</v>
      </c>
      <c r="B466" s="129" t="s">
        <v>52</v>
      </c>
      <c r="C466" s="129" t="s">
        <v>8</v>
      </c>
      <c r="D466">
        <v>10</v>
      </c>
      <c r="E466">
        <v>20</v>
      </c>
      <c r="F466">
        <v>1E-4</v>
      </c>
      <c r="G466" s="129" t="s">
        <v>6</v>
      </c>
      <c r="H466" s="129" t="s">
        <v>4</v>
      </c>
      <c r="I466">
        <v>100</v>
      </c>
      <c r="J466">
        <v>300</v>
      </c>
      <c r="K466" s="129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s="129" t="s">
        <v>1174</v>
      </c>
      <c r="B467" s="129" t="s">
        <v>52</v>
      </c>
      <c r="C467" s="129" t="s">
        <v>8</v>
      </c>
      <c r="D467">
        <v>10</v>
      </c>
      <c r="E467">
        <v>100</v>
      </c>
      <c r="F467">
        <v>1E-4</v>
      </c>
      <c r="G467" s="129" t="s">
        <v>6</v>
      </c>
      <c r="H467" s="129" t="s">
        <v>4</v>
      </c>
      <c r="I467">
        <v>300</v>
      </c>
      <c r="J467">
        <v>1000</v>
      </c>
      <c r="K467" s="129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s="129" t="s">
        <v>2398</v>
      </c>
      <c r="B468" s="129" t="s">
        <v>52</v>
      </c>
      <c r="C468" s="129" t="s">
        <v>8</v>
      </c>
      <c r="D468">
        <v>10</v>
      </c>
      <c r="E468">
        <v>20</v>
      </c>
      <c r="F468">
        <v>1E-4</v>
      </c>
      <c r="G468" s="129" t="s">
        <v>6</v>
      </c>
      <c r="H468" s="129" t="s">
        <v>4</v>
      </c>
      <c r="I468">
        <v>300</v>
      </c>
      <c r="J468">
        <v>1000</v>
      </c>
      <c r="K468" s="129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s="129" t="s">
        <v>1205</v>
      </c>
      <c r="B469" s="129" t="s">
        <v>52</v>
      </c>
      <c r="C469" s="129" t="s">
        <v>8</v>
      </c>
      <c r="D469">
        <v>20</v>
      </c>
      <c r="E469">
        <v>100</v>
      </c>
      <c r="F469">
        <v>1E-4</v>
      </c>
      <c r="G469" s="129" t="s">
        <v>6</v>
      </c>
      <c r="H469" s="129" t="s">
        <v>4</v>
      </c>
      <c r="I469">
        <v>1E-3</v>
      </c>
      <c r="J469">
        <v>0.04</v>
      </c>
      <c r="K469" s="12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s="129" t="s">
        <v>1203</v>
      </c>
      <c r="B470" s="129" t="s">
        <v>52</v>
      </c>
      <c r="C470" s="129" t="s">
        <v>8</v>
      </c>
      <c r="D470">
        <v>20</v>
      </c>
      <c r="E470">
        <v>100</v>
      </c>
      <c r="F470">
        <v>1E-4</v>
      </c>
      <c r="G470" s="129" t="s">
        <v>6</v>
      </c>
      <c r="H470" s="129" t="s">
        <v>4</v>
      </c>
      <c r="I470">
        <v>0.04</v>
      </c>
      <c r="J470">
        <v>1</v>
      </c>
      <c r="K470" s="129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s="129" t="s">
        <v>1206</v>
      </c>
      <c r="B471" s="129" t="s">
        <v>52</v>
      </c>
      <c r="C471" s="129" t="s">
        <v>8</v>
      </c>
      <c r="D471">
        <v>20</v>
      </c>
      <c r="E471">
        <v>100</v>
      </c>
      <c r="F471">
        <v>1E-4</v>
      </c>
      <c r="G471" s="129" t="s">
        <v>6</v>
      </c>
      <c r="H471" s="129" t="s">
        <v>4</v>
      </c>
      <c r="I471">
        <v>1</v>
      </c>
      <c r="J471">
        <v>20</v>
      </c>
      <c r="K471" s="129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s="129" t="s">
        <v>2405</v>
      </c>
      <c r="B472" s="129" t="s">
        <v>52</v>
      </c>
      <c r="C472" s="129" t="s">
        <v>8</v>
      </c>
      <c r="D472">
        <v>20</v>
      </c>
      <c r="E472">
        <v>100</v>
      </c>
      <c r="F472">
        <v>1E-4</v>
      </c>
      <c r="G472" s="129" t="s">
        <v>6</v>
      </c>
      <c r="H472" s="129" t="s">
        <v>4</v>
      </c>
      <c r="I472">
        <v>20</v>
      </c>
      <c r="J472">
        <v>50</v>
      </c>
      <c r="K472" s="129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s="129" t="s">
        <v>1204</v>
      </c>
      <c r="B473" s="129" t="s">
        <v>52</v>
      </c>
      <c r="C473" s="129" t="s">
        <v>8</v>
      </c>
      <c r="D473">
        <v>20</v>
      </c>
      <c r="E473">
        <v>100</v>
      </c>
      <c r="F473">
        <v>1E-4</v>
      </c>
      <c r="G473" s="129" t="s">
        <v>6</v>
      </c>
      <c r="H473" s="129" t="s">
        <v>4</v>
      </c>
      <c r="I473">
        <v>50</v>
      </c>
      <c r="J473">
        <v>100</v>
      </c>
      <c r="K473" s="129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s="129" t="s">
        <v>1227</v>
      </c>
      <c r="B474" s="129" t="s">
        <v>52</v>
      </c>
      <c r="C474" s="129" t="s">
        <v>8</v>
      </c>
      <c r="D474">
        <v>100</v>
      </c>
      <c r="E474">
        <v>330</v>
      </c>
      <c r="F474">
        <v>1E-4</v>
      </c>
      <c r="G474" s="129" t="s">
        <v>6</v>
      </c>
      <c r="H474" s="129" t="s">
        <v>4</v>
      </c>
      <c r="I474">
        <v>1E-3</v>
      </c>
      <c r="J474">
        <v>0.04</v>
      </c>
      <c r="K474" s="129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s="129" t="s">
        <v>2408</v>
      </c>
      <c r="B475" s="129" t="s">
        <v>52</v>
      </c>
      <c r="C475" s="129" t="s">
        <v>8</v>
      </c>
      <c r="D475">
        <v>100</v>
      </c>
      <c r="E475">
        <v>330</v>
      </c>
      <c r="F475">
        <v>1E-4</v>
      </c>
      <c r="G475" s="129" t="s">
        <v>6</v>
      </c>
      <c r="H475" s="129" t="s">
        <v>4</v>
      </c>
      <c r="I475">
        <v>0.04</v>
      </c>
      <c r="J475">
        <v>1</v>
      </c>
      <c r="K475" s="129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s="129" t="s">
        <v>1223</v>
      </c>
      <c r="B476" s="129" t="s">
        <v>52</v>
      </c>
      <c r="C476" s="129" t="s">
        <v>8</v>
      </c>
      <c r="D476">
        <v>100</v>
      </c>
      <c r="E476">
        <v>330</v>
      </c>
      <c r="F476">
        <v>1E-4</v>
      </c>
      <c r="G476" s="129" t="s">
        <v>6</v>
      </c>
      <c r="H476" s="129" t="s">
        <v>4</v>
      </c>
      <c r="I476">
        <v>1</v>
      </c>
      <c r="J476">
        <v>20</v>
      </c>
      <c r="K476" s="129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s="129" t="s">
        <v>1226</v>
      </c>
      <c r="B477" s="129" t="s">
        <v>52</v>
      </c>
      <c r="C477" s="129" t="s">
        <v>8</v>
      </c>
      <c r="D477">
        <v>100</v>
      </c>
      <c r="E477">
        <v>1000</v>
      </c>
      <c r="F477">
        <v>1E-4</v>
      </c>
      <c r="G477" s="129" t="s">
        <v>6</v>
      </c>
      <c r="H477" s="129" t="s">
        <v>4</v>
      </c>
      <c r="I477">
        <v>1</v>
      </c>
      <c r="J477">
        <v>20</v>
      </c>
      <c r="K477" s="129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s="129" t="s">
        <v>2336</v>
      </c>
      <c r="B478" s="129" t="s">
        <v>52</v>
      </c>
      <c r="C478" s="129" t="s">
        <v>8</v>
      </c>
      <c r="D478">
        <v>100</v>
      </c>
      <c r="E478">
        <v>1000</v>
      </c>
      <c r="F478">
        <v>1E-4</v>
      </c>
      <c r="G478" s="129" t="s">
        <v>6</v>
      </c>
      <c r="H478" s="129" t="s">
        <v>4</v>
      </c>
      <c r="I478">
        <v>20</v>
      </c>
      <c r="J478">
        <v>50</v>
      </c>
      <c r="K478" s="129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s="129" t="s">
        <v>1224</v>
      </c>
      <c r="B479" s="129" t="s">
        <v>52</v>
      </c>
      <c r="C479" s="129" t="s">
        <v>8</v>
      </c>
      <c r="D479">
        <v>100</v>
      </c>
      <c r="E479">
        <v>330</v>
      </c>
      <c r="F479">
        <v>1E-4</v>
      </c>
      <c r="G479" s="129" t="s">
        <v>6</v>
      </c>
      <c r="H479" s="129" t="s">
        <v>4</v>
      </c>
      <c r="I479">
        <v>20</v>
      </c>
      <c r="J479">
        <v>50</v>
      </c>
      <c r="K479" s="12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s="129" t="s">
        <v>2412</v>
      </c>
      <c r="B480" s="129" t="s">
        <v>52</v>
      </c>
      <c r="C480" s="129" t="s">
        <v>8</v>
      </c>
      <c r="D480">
        <v>100</v>
      </c>
      <c r="E480">
        <v>330</v>
      </c>
      <c r="F480">
        <v>1E-4</v>
      </c>
      <c r="G480" s="129" t="s">
        <v>6</v>
      </c>
      <c r="H480" s="129" t="s">
        <v>4</v>
      </c>
      <c r="I480">
        <v>50</v>
      </c>
      <c r="J480">
        <v>100</v>
      </c>
      <c r="K480" s="129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s="129" t="s">
        <v>1225</v>
      </c>
      <c r="B481" s="129" t="s">
        <v>52</v>
      </c>
      <c r="C481" s="129" t="s">
        <v>8</v>
      </c>
      <c r="D481">
        <v>100</v>
      </c>
      <c r="E481">
        <v>1000</v>
      </c>
      <c r="F481">
        <v>1E-4</v>
      </c>
      <c r="G481" s="129" t="s">
        <v>6</v>
      </c>
      <c r="H481" s="129" t="s">
        <v>4</v>
      </c>
      <c r="I481">
        <v>50</v>
      </c>
      <c r="J481">
        <v>100</v>
      </c>
      <c r="K481" s="129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s="129" t="s">
        <v>1253</v>
      </c>
      <c r="B482" s="129" t="s">
        <v>52</v>
      </c>
      <c r="C482" s="129" t="s">
        <v>8</v>
      </c>
      <c r="D482">
        <v>330</v>
      </c>
      <c r="E482">
        <v>1000</v>
      </c>
      <c r="F482">
        <v>1E-4</v>
      </c>
      <c r="G482" s="129" t="s">
        <v>6</v>
      </c>
      <c r="H482" s="129" t="s">
        <v>4</v>
      </c>
      <c r="I482">
        <v>1E-3</v>
      </c>
      <c r="J482">
        <v>0.04</v>
      </c>
      <c r="K482" s="129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s="129" t="s">
        <v>1254</v>
      </c>
      <c r="B483" s="129" t="s">
        <v>52</v>
      </c>
      <c r="C483" s="129" t="s">
        <v>8</v>
      </c>
      <c r="D483">
        <v>330</v>
      </c>
      <c r="E483">
        <v>1000</v>
      </c>
      <c r="F483">
        <v>1E-4</v>
      </c>
      <c r="G483" s="129" t="s">
        <v>6</v>
      </c>
      <c r="H483" s="129" t="s">
        <v>4</v>
      </c>
      <c r="I483">
        <v>0.04</v>
      </c>
      <c r="J483">
        <v>1</v>
      </c>
      <c r="K483" s="129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s="129" t="s">
        <v>1252</v>
      </c>
      <c r="B484" s="129" t="s">
        <v>52</v>
      </c>
      <c r="C484" s="129" t="s">
        <v>8</v>
      </c>
      <c r="D484">
        <v>330</v>
      </c>
      <c r="E484">
        <v>1000</v>
      </c>
      <c r="F484">
        <v>1E-4</v>
      </c>
      <c r="G484" s="129" t="s">
        <v>6</v>
      </c>
      <c r="H484" s="129" t="s">
        <v>4</v>
      </c>
      <c r="I484">
        <v>1</v>
      </c>
      <c r="J484">
        <v>10</v>
      </c>
      <c r="K484" s="129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s="129" t="s">
        <v>2342</v>
      </c>
      <c r="B485" s="129" t="s">
        <v>52</v>
      </c>
      <c r="C485" s="129" t="s">
        <v>8</v>
      </c>
      <c r="D485">
        <v>0</v>
      </c>
      <c r="E485">
        <v>0.01</v>
      </c>
      <c r="F485">
        <v>1E-3</v>
      </c>
      <c r="G485" s="129" t="s">
        <v>6</v>
      </c>
      <c r="H485" s="129" t="s">
        <v>5</v>
      </c>
      <c r="I485">
        <v>1E-3</v>
      </c>
      <c r="J485">
        <v>0.04</v>
      </c>
      <c r="K485" s="129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s="129" t="s">
        <v>1002</v>
      </c>
      <c r="B486" s="129" t="s">
        <v>52</v>
      </c>
      <c r="C486" s="129" t="s">
        <v>8</v>
      </c>
      <c r="D486">
        <v>0</v>
      </c>
      <c r="E486">
        <v>0.01</v>
      </c>
      <c r="F486">
        <v>1E-3</v>
      </c>
      <c r="G486" s="129" t="s">
        <v>6</v>
      </c>
      <c r="H486" s="129" t="s">
        <v>5</v>
      </c>
      <c r="I486">
        <v>0.04</v>
      </c>
      <c r="J486">
        <v>1</v>
      </c>
      <c r="K486" s="129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s="129" t="s">
        <v>1006</v>
      </c>
      <c r="B487" s="129" t="s">
        <v>52</v>
      </c>
      <c r="C487" s="129" t="s">
        <v>8</v>
      </c>
      <c r="D487">
        <v>0</v>
      </c>
      <c r="E487">
        <v>0.01</v>
      </c>
      <c r="F487">
        <v>1E-3</v>
      </c>
      <c r="G487" s="129" t="s">
        <v>6</v>
      </c>
      <c r="H487" s="129" t="s">
        <v>5</v>
      </c>
      <c r="I487">
        <v>1</v>
      </c>
      <c r="J487">
        <v>20</v>
      </c>
      <c r="K487" s="129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s="129" t="s">
        <v>1007</v>
      </c>
      <c r="B488" s="129" t="s">
        <v>52</v>
      </c>
      <c r="C488" s="129" t="s">
        <v>8</v>
      </c>
      <c r="D488">
        <v>0</v>
      </c>
      <c r="E488">
        <v>0.01</v>
      </c>
      <c r="F488">
        <v>1E-3</v>
      </c>
      <c r="G488" s="129" t="s">
        <v>6</v>
      </c>
      <c r="H488" s="129" t="s">
        <v>5</v>
      </c>
      <c r="I488">
        <v>20</v>
      </c>
      <c r="J488">
        <v>50</v>
      </c>
      <c r="K488" s="129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s="129" t="s">
        <v>1008</v>
      </c>
      <c r="B489" s="129" t="s">
        <v>52</v>
      </c>
      <c r="C489" s="129" t="s">
        <v>8</v>
      </c>
      <c r="D489">
        <v>0</v>
      </c>
      <c r="E489">
        <v>0.01</v>
      </c>
      <c r="F489">
        <v>1E-3</v>
      </c>
      <c r="G489" s="129" t="s">
        <v>6</v>
      </c>
      <c r="H489" s="129" t="s">
        <v>5</v>
      </c>
      <c r="I489">
        <v>50</v>
      </c>
      <c r="J489">
        <v>100</v>
      </c>
      <c r="K489" s="12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s="129" t="s">
        <v>1005</v>
      </c>
      <c r="B490" s="129" t="s">
        <v>52</v>
      </c>
      <c r="C490" s="129" t="s">
        <v>8</v>
      </c>
      <c r="D490">
        <v>0</v>
      </c>
      <c r="E490">
        <v>0.01</v>
      </c>
      <c r="F490">
        <v>1E-3</v>
      </c>
      <c r="G490" s="129" t="s">
        <v>6</v>
      </c>
      <c r="H490" s="129" t="s">
        <v>5</v>
      </c>
      <c r="I490">
        <v>100</v>
      </c>
      <c r="J490">
        <v>300</v>
      </c>
      <c r="K490" s="129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s="129" t="s">
        <v>1009</v>
      </c>
      <c r="B491" s="129" t="s">
        <v>52</v>
      </c>
      <c r="C491" s="129" t="s">
        <v>8</v>
      </c>
      <c r="D491">
        <v>0</v>
      </c>
      <c r="E491">
        <v>0.01</v>
      </c>
      <c r="F491">
        <v>1E-3</v>
      </c>
      <c r="G491" s="129" t="s">
        <v>6</v>
      </c>
      <c r="H491" s="129" t="s">
        <v>5</v>
      </c>
      <c r="I491">
        <v>300</v>
      </c>
      <c r="J491">
        <v>1000</v>
      </c>
      <c r="K491" s="129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s="129" t="s">
        <v>1004</v>
      </c>
      <c r="B492" s="129" t="s">
        <v>52</v>
      </c>
      <c r="C492" s="129" t="s">
        <v>8</v>
      </c>
      <c r="D492">
        <v>0</v>
      </c>
      <c r="E492">
        <v>0.01</v>
      </c>
      <c r="F492">
        <v>1E-3</v>
      </c>
      <c r="G492" s="129" t="s">
        <v>6</v>
      </c>
      <c r="H492" s="129" t="s">
        <v>5</v>
      </c>
      <c r="I492">
        <v>1000</v>
      </c>
      <c r="J492">
        <v>4000</v>
      </c>
      <c r="K492" s="129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s="129" t="s">
        <v>1003</v>
      </c>
      <c r="B493" s="129" t="s">
        <v>52</v>
      </c>
      <c r="C493" s="129" t="s">
        <v>8</v>
      </c>
      <c r="D493">
        <v>0</v>
      </c>
      <c r="E493">
        <v>0.01</v>
      </c>
      <c r="F493">
        <v>1E-3</v>
      </c>
      <c r="G493" s="129" t="s">
        <v>6</v>
      </c>
      <c r="H493" s="129" t="s">
        <v>5</v>
      </c>
      <c r="I493">
        <v>4000</v>
      </c>
      <c r="J493">
        <v>8000</v>
      </c>
      <c r="K493" s="129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s="129" t="s">
        <v>2350</v>
      </c>
      <c r="B494" s="129" t="s">
        <v>52</v>
      </c>
      <c r="C494" s="129" t="s">
        <v>8</v>
      </c>
      <c r="D494">
        <v>0.01</v>
      </c>
      <c r="E494">
        <v>0.1</v>
      </c>
      <c r="F494">
        <v>1E-3</v>
      </c>
      <c r="G494" s="129" t="s">
        <v>6</v>
      </c>
      <c r="H494" s="129" t="s">
        <v>5</v>
      </c>
      <c r="I494">
        <v>1E-3</v>
      </c>
      <c r="J494">
        <v>0.04</v>
      </c>
      <c r="K494" s="129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s="129" t="s">
        <v>2354</v>
      </c>
      <c r="B495" s="129" t="s">
        <v>52</v>
      </c>
      <c r="C495" s="129" t="s">
        <v>8</v>
      </c>
      <c r="D495">
        <v>0.01</v>
      </c>
      <c r="E495">
        <v>0.1</v>
      </c>
      <c r="F495">
        <v>1E-3</v>
      </c>
      <c r="G495" s="129" t="s">
        <v>6</v>
      </c>
      <c r="H495" s="129" t="s">
        <v>5</v>
      </c>
      <c r="I495">
        <v>0.04</v>
      </c>
      <c r="J495">
        <v>1</v>
      </c>
      <c r="K495" s="129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s="129" t="s">
        <v>2357</v>
      </c>
      <c r="B496" s="129" t="s">
        <v>52</v>
      </c>
      <c r="C496" s="129" t="s">
        <v>8</v>
      </c>
      <c r="D496">
        <v>0.01</v>
      </c>
      <c r="E496">
        <v>0.1</v>
      </c>
      <c r="F496">
        <v>1E-3</v>
      </c>
      <c r="G496" s="129" t="s">
        <v>6</v>
      </c>
      <c r="H496" s="129" t="s">
        <v>5</v>
      </c>
      <c r="I496">
        <v>1</v>
      </c>
      <c r="J496">
        <v>20</v>
      </c>
      <c r="K496" s="129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s="129" t="s">
        <v>1061</v>
      </c>
      <c r="B497" s="129" t="s">
        <v>52</v>
      </c>
      <c r="C497" s="129" t="s">
        <v>8</v>
      </c>
      <c r="D497">
        <v>0.01</v>
      </c>
      <c r="E497">
        <v>0.1</v>
      </c>
      <c r="F497">
        <v>1E-3</v>
      </c>
      <c r="G497" s="129" t="s">
        <v>6</v>
      </c>
      <c r="H497" s="129" t="s">
        <v>5</v>
      </c>
      <c r="I497">
        <v>20</v>
      </c>
      <c r="J497">
        <v>50</v>
      </c>
      <c r="K497" s="129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s="129" t="s">
        <v>1062</v>
      </c>
      <c r="B498" s="129" t="s">
        <v>52</v>
      </c>
      <c r="C498" s="129" t="s">
        <v>8</v>
      </c>
      <c r="D498">
        <v>0.01</v>
      </c>
      <c r="E498">
        <v>0.1</v>
      </c>
      <c r="F498">
        <v>1E-3</v>
      </c>
      <c r="G498" s="129" t="s">
        <v>6</v>
      </c>
      <c r="H498" s="129" t="s">
        <v>5</v>
      </c>
      <c r="I498">
        <v>50</v>
      </c>
      <c r="J498">
        <v>100</v>
      </c>
      <c r="K498" s="129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s="129" t="s">
        <v>1057</v>
      </c>
      <c r="B499" s="129" t="s">
        <v>52</v>
      </c>
      <c r="C499" s="129" t="s">
        <v>8</v>
      </c>
      <c r="D499">
        <v>0.01</v>
      </c>
      <c r="E499">
        <v>0.1</v>
      </c>
      <c r="F499">
        <v>1E-3</v>
      </c>
      <c r="G499" s="129" t="s">
        <v>6</v>
      </c>
      <c r="H499" s="129" t="s">
        <v>5</v>
      </c>
      <c r="I499">
        <v>100</v>
      </c>
      <c r="J499">
        <v>300</v>
      </c>
      <c r="K499" s="12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s="129" t="s">
        <v>1063</v>
      </c>
      <c r="B500" s="129" t="s">
        <v>52</v>
      </c>
      <c r="C500" s="129" t="s">
        <v>8</v>
      </c>
      <c r="D500">
        <v>0.01</v>
      </c>
      <c r="E500">
        <v>0.1</v>
      </c>
      <c r="F500">
        <v>1E-3</v>
      </c>
      <c r="G500" s="129" t="s">
        <v>6</v>
      </c>
      <c r="H500" s="129" t="s">
        <v>5</v>
      </c>
      <c r="I500">
        <v>300</v>
      </c>
      <c r="J500">
        <v>1000</v>
      </c>
      <c r="K500" s="129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s="129" t="s">
        <v>2321</v>
      </c>
      <c r="B501" s="129" t="s">
        <v>52</v>
      </c>
      <c r="C501" s="129" t="s">
        <v>8</v>
      </c>
      <c r="D501">
        <v>0.01</v>
      </c>
      <c r="E501">
        <v>0.1</v>
      </c>
      <c r="F501">
        <v>1E-3</v>
      </c>
      <c r="G501" s="129" t="s">
        <v>6</v>
      </c>
      <c r="H501" s="129" t="s">
        <v>5</v>
      </c>
      <c r="I501">
        <v>1000</v>
      </c>
      <c r="J501">
        <v>2000</v>
      </c>
      <c r="K501" s="129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s="129" t="s">
        <v>1059</v>
      </c>
      <c r="B502" s="129" t="s">
        <v>52</v>
      </c>
      <c r="C502" s="129" t="s">
        <v>8</v>
      </c>
      <c r="D502">
        <v>0.01</v>
      </c>
      <c r="E502">
        <v>0.1</v>
      </c>
      <c r="F502">
        <v>1E-3</v>
      </c>
      <c r="G502" s="129" t="s">
        <v>6</v>
      </c>
      <c r="H502" s="129" t="s">
        <v>5</v>
      </c>
      <c r="I502">
        <v>2000</v>
      </c>
      <c r="J502">
        <v>4000</v>
      </c>
      <c r="K502" s="129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s="129" t="s">
        <v>1060</v>
      </c>
      <c r="B503" s="129" t="s">
        <v>52</v>
      </c>
      <c r="C503" s="129" t="s">
        <v>8</v>
      </c>
      <c r="D503">
        <v>0.01</v>
      </c>
      <c r="E503">
        <v>0.1</v>
      </c>
      <c r="F503">
        <v>1E-3</v>
      </c>
      <c r="G503" s="129" t="s">
        <v>6</v>
      </c>
      <c r="H503" s="129" t="s">
        <v>5</v>
      </c>
      <c r="I503">
        <v>4000</v>
      </c>
      <c r="J503">
        <v>8000</v>
      </c>
      <c r="K503" s="129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s="129" t="s">
        <v>1058</v>
      </c>
      <c r="B504" s="129" t="s">
        <v>52</v>
      </c>
      <c r="C504" s="129" t="s">
        <v>8</v>
      </c>
      <c r="D504">
        <v>0.01</v>
      </c>
      <c r="E504">
        <v>0.1</v>
      </c>
      <c r="F504">
        <v>1E-3</v>
      </c>
      <c r="G504" s="129" t="s">
        <v>6</v>
      </c>
      <c r="H504" s="129" t="s">
        <v>5</v>
      </c>
      <c r="I504">
        <v>8000</v>
      </c>
      <c r="J504">
        <v>10000</v>
      </c>
      <c r="K504" s="129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s="129" t="s">
        <v>1102</v>
      </c>
      <c r="B505" s="129" t="s">
        <v>52</v>
      </c>
      <c r="C505" s="129" t="s">
        <v>8</v>
      </c>
      <c r="D505">
        <v>0.1</v>
      </c>
      <c r="E505">
        <v>1</v>
      </c>
      <c r="F505">
        <v>1E-3</v>
      </c>
      <c r="G505" s="129" t="s">
        <v>6</v>
      </c>
      <c r="H505" s="129" t="s">
        <v>5</v>
      </c>
      <c r="I505">
        <v>1E-3</v>
      </c>
      <c r="J505">
        <v>0.04</v>
      </c>
      <c r="K505" s="129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s="129" t="s">
        <v>1098</v>
      </c>
      <c r="B506" s="129" t="s">
        <v>52</v>
      </c>
      <c r="C506" s="129" t="s">
        <v>8</v>
      </c>
      <c r="D506">
        <v>0.1</v>
      </c>
      <c r="E506">
        <v>1</v>
      </c>
      <c r="F506">
        <v>1E-3</v>
      </c>
      <c r="G506" s="129" t="s">
        <v>6</v>
      </c>
      <c r="H506" s="129" t="s">
        <v>5</v>
      </c>
      <c r="I506">
        <v>0.04</v>
      </c>
      <c r="J506">
        <v>1</v>
      </c>
      <c r="K506" s="129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s="129" t="s">
        <v>1097</v>
      </c>
      <c r="B507" s="129" t="s">
        <v>52</v>
      </c>
      <c r="C507" s="129" t="s">
        <v>8</v>
      </c>
      <c r="D507">
        <v>0.1</v>
      </c>
      <c r="E507">
        <v>1</v>
      </c>
      <c r="F507">
        <v>1E-3</v>
      </c>
      <c r="G507" s="129" t="s">
        <v>6</v>
      </c>
      <c r="H507" s="129" t="s">
        <v>5</v>
      </c>
      <c r="I507">
        <v>1</v>
      </c>
      <c r="J507">
        <v>20</v>
      </c>
      <c r="K507" s="129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s="129" t="s">
        <v>1101</v>
      </c>
      <c r="B508" s="129" t="s">
        <v>52</v>
      </c>
      <c r="C508" s="129" t="s">
        <v>8</v>
      </c>
      <c r="D508">
        <v>0.1</v>
      </c>
      <c r="E508">
        <v>1</v>
      </c>
      <c r="F508">
        <v>1E-3</v>
      </c>
      <c r="G508" s="129" t="s">
        <v>6</v>
      </c>
      <c r="H508" s="129" t="s">
        <v>5</v>
      </c>
      <c r="I508">
        <v>20</v>
      </c>
      <c r="J508">
        <v>50</v>
      </c>
      <c r="K508" s="129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s="129" t="s">
        <v>1104</v>
      </c>
      <c r="B509" s="129" t="s">
        <v>52</v>
      </c>
      <c r="C509" s="129" t="s">
        <v>8</v>
      </c>
      <c r="D509">
        <v>0.1</v>
      </c>
      <c r="E509">
        <v>1</v>
      </c>
      <c r="F509">
        <v>1E-3</v>
      </c>
      <c r="G509" s="129" t="s">
        <v>6</v>
      </c>
      <c r="H509" s="129" t="s">
        <v>5</v>
      </c>
      <c r="I509">
        <v>50</v>
      </c>
      <c r="J509">
        <v>100</v>
      </c>
      <c r="K509" s="12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s="129" t="s">
        <v>2368</v>
      </c>
      <c r="B510" s="129" t="s">
        <v>52</v>
      </c>
      <c r="C510" s="129" t="s">
        <v>8</v>
      </c>
      <c r="D510">
        <v>0.1</v>
      </c>
      <c r="E510">
        <v>1</v>
      </c>
      <c r="F510">
        <v>1E-3</v>
      </c>
      <c r="G510" s="129" t="s">
        <v>6</v>
      </c>
      <c r="H510" s="129" t="s">
        <v>5</v>
      </c>
      <c r="I510">
        <v>100</v>
      </c>
      <c r="J510">
        <v>300</v>
      </c>
      <c r="K510" s="129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s="129" t="s">
        <v>1099</v>
      </c>
      <c r="B511" s="129" t="s">
        <v>52</v>
      </c>
      <c r="C511" s="129" t="s">
        <v>8</v>
      </c>
      <c r="D511">
        <v>0.1</v>
      </c>
      <c r="E511">
        <v>1</v>
      </c>
      <c r="F511">
        <v>1E-3</v>
      </c>
      <c r="G511" s="129" t="s">
        <v>6</v>
      </c>
      <c r="H511" s="129" t="s">
        <v>5</v>
      </c>
      <c r="I511">
        <v>300</v>
      </c>
      <c r="J511">
        <v>1000</v>
      </c>
      <c r="K511" s="129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s="129" t="s">
        <v>1103</v>
      </c>
      <c r="B512" s="129" t="s">
        <v>52</v>
      </c>
      <c r="C512" s="129" t="s">
        <v>8</v>
      </c>
      <c r="D512">
        <v>0.1</v>
      </c>
      <c r="E512">
        <v>1</v>
      </c>
      <c r="F512">
        <v>1E-3</v>
      </c>
      <c r="G512" s="129" t="s">
        <v>6</v>
      </c>
      <c r="H512" s="129" t="s">
        <v>5</v>
      </c>
      <c r="I512">
        <v>1000</v>
      </c>
      <c r="J512">
        <v>2000</v>
      </c>
      <c r="K512" s="129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s="129" t="s">
        <v>1100</v>
      </c>
      <c r="B513" s="129" t="s">
        <v>52</v>
      </c>
      <c r="C513" s="129" t="s">
        <v>8</v>
      </c>
      <c r="D513">
        <v>0.1</v>
      </c>
      <c r="E513">
        <v>1</v>
      </c>
      <c r="F513">
        <v>1E-3</v>
      </c>
      <c r="G513" s="129" t="s">
        <v>6</v>
      </c>
      <c r="H513" s="129" t="s">
        <v>4</v>
      </c>
      <c r="I513">
        <v>2000</v>
      </c>
      <c r="J513">
        <v>4000</v>
      </c>
      <c r="K513" s="129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s="129" t="s">
        <v>2326</v>
      </c>
      <c r="B514" s="129" t="s">
        <v>52</v>
      </c>
      <c r="C514" s="129" t="s">
        <v>8</v>
      </c>
      <c r="D514">
        <v>0.1</v>
      </c>
      <c r="E514">
        <v>1</v>
      </c>
      <c r="F514">
        <v>1E-3</v>
      </c>
      <c r="G514" s="129" t="s">
        <v>6</v>
      </c>
      <c r="H514" s="129" t="s">
        <v>4</v>
      </c>
      <c r="I514">
        <v>4000</v>
      </c>
      <c r="J514">
        <v>8000</v>
      </c>
      <c r="K514" s="129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s="129" t="s">
        <v>1105</v>
      </c>
      <c r="B515" s="129" t="s">
        <v>52</v>
      </c>
      <c r="C515" s="129" t="s">
        <v>8</v>
      </c>
      <c r="D515">
        <v>0.1</v>
      </c>
      <c r="E515">
        <v>1</v>
      </c>
      <c r="F515">
        <v>1E-3</v>
      </c>
      <c r="G515" s="129" t="s">
        <v>6</v>
      </c>
      <c r="H515" s="129" t="s">
        <v>4</v>
      </c>
      <c r="I515">
        <v>8000</v>
      </c>
      <c r="J515">
        <v>10000</v>
      </c>
      <c r="K515" s="129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s="129" t="s">
        <v>2371</v>
      </c>
      <c r="B516" s="129" t="s">
        <v>52</v>
      </c>
      <c r="C516" s="129" t="s">
        <v>8</v>
      </c>
      <c r="D516">
        <v>1</v>
      </c>
      <c r="E516">
        <v>10</v>
      </c>
      <c r="F516">
        <v>1E-3</v>
      </c>
      <c r="G516" s="129" t="s">
        <v>6</v>
      </c>
      <c r="H516" s="129" t="s">
        <v>4</v>
      </c>
      <c r="I516">
        <v>1E-3</v>
      </c>
      <c r="J516">
        <v>0.04</v>
      </c>
      <c r="K516" s="129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s="129" t="s">
        <v>1145</v>
      </c>
      <c r="B517" s="129" t="s">
        <v>52</v>
      </c>
      <c r="C517" s="129" t="s">
        <v>8</v>
      </c>
      <c r="D517">
        <v>1</v>
      </c>
      <c r="E517">
        <v>10</v>
      </c>
      <c r="F517">
        <v>1E-3</v>
      </c>
      <c r="G517" s="129" t="s">
        <v>6</v>
      </c>
      <c r="H517" s="129" t="s">
        <v>4</v>
      </c>
      <c r="I517">
        <v>0.04</v>
      </c>
      <c r="J517">
        <v>1</v>
      </c>
      <c r="K517" s="129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s="129" t="s">
        <v>1149</v>
      </c>
      <c r="B518" s="129" t="s">
        <v>52</v>
      </c>
      <c r="C518" s="129" t="s">
        <v>8</v>
      </c>
      <c r="D518">
        <v>1</v>
      </c>
      <c r="E518">
        <v>10</v>
      </c>
      <c r="F518">
        <v>1E-3</v>
      </c>
      <c r="G518" s="129" t="s">
        <v>6</v>
      </c>
      <c r="H518" s="129" t="s">
        <v>4</v>
      </c>
      <c r="I518">
        <v>1</v>
      </c>
      <c r="J518">
        <v>20</v>
      </c>
      <c r="K518" s="129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s="129" t="s">
        <v>2379</v>
      </c>
      <c r="B519" s="129" t="s">
        <v>52</v>
      </c>
      <c r="C519" s="129" t="s">
        <v>8</v>
      </c>
      <c r="D519">
        <v>1</v>
      </c>
      <c r="E519">
        <v>10</v>
      </c>
      <c r="F519">
        <v>1E-3</v>
      </c>
      <c r="G519" s="129" t="s">
        <v>6</v>
      </c>
      <c r="H519" s="129" t="s">
        <v>4</v>
      </c>
      <c r="I519">
        <v>20</v>
      </c>
      <c r="J519">
        <v>50</v>
      </c>
      <c r="K519" s="12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s="129" t="s">
        <v>1143</v>
      </c>
      <c r="B520" s="129" t="s">
        <v>52</v>
      </c>
      <c r="C520" s="129" t="s">
        <v>8</v>
      </c>
      <c r="D520">
        <v>1</v>
      </c>
      <c r="E520">
        <v>10</v>
      </c>
      <c r="F520">
        <v>1E-3</v>
      </c>
      <c r="G520" s="129" t="s">
        <v>6</v>
      </c>
      <c r="H520" s="129" t="s">
        <v>4</v>
      </c>
      <c r="I520">
        <v>50</v>
      </c>
      <c r="J520">
        <v>100</v>
      </c>
      <c r="K520" s="129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s="129" t="s">
        <v>2382</v>
      </c>
      <c r="B521" s="129" t="s">
        <v>52</v>
      </c>
      <c r="C521" s="129" t="s">
        <v>8</v>
      </c>
      <c r="D521">
        <v>1</v>
      </c>
      <c r="E521">
        <v>10</v>
      </c>
      <c r="F521">
        <v>1E-3</v>
      </c>
      <c r="G521" s="129" t="s">
        <v>6</v>
      </c>
      <c r="H521" s="129" t="s">
        <v>4</v>
      </c>
      <c r="I521">
        <v>100</v>
      </c>
      <c r="J521">
        <v>300</v>
      </c>
      <c r="K521" s="129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s="129" t="s">
        <v>1146</v>
      </c>
      <c r="B522" s="129" t="s">
        <v>52</v>
      </c>
      <c r="C522" s="129" t="s">
        <v>8</v>
      </c>
      <c r="D522">
        <v>1</v>
      </c>
      <c r="E522">
        <v>10</v>
      </c>
      <c r="F522">
        <v>1E-3</v>
      </c>
      <c r="G522" s="129" t="s">
        <v>6</v>
      </c>
      <c r="H522" s="129" t="s">
        <v>4</v>
      </c>
      <c r="I522">
        <v>300</v>
      </c>
      <c r="J522">
        <v>1000</v>
      </c>
      <c r="K522" s="129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s="129" t="s">
        <v>1148</v>
      </c>
      <c r="B523" s="129" t="s">
        <v>52</v>
      </c>
      <c r="C523" s="129" t="s">
        <v>8</v>
      </c>
      <c r="D523">
        <v>1</v>
      </c>
      <c r="E523">
        <v>10</v>
      </c>
      <c r="F523">
        <v>1E-3</v>
      </c>
      <c r="G523" s="129" t="s">
        <v>6</v>
      </c>
      <c r="H523" s="129" t="s">
        <v>4</v>
      </c>
      <c r="I523">
        <v>1000</v>
      </c>
      <c r="J523">
        <v>2000</v>
      </c>
      <c r="K523" s="129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s="129" t="s">
        <v>1147</v>
      </c>
      <c r="B524" s="129" t="s">
        <v>52</v>
      </c>
      <c r="C524" s="129" t="s">
        <v>8</v>
      </c>
      <c r="D524">
        <v>1</v>
      </c>
      <c r="E524">
        <v>10</v>
      </c>
      <c r="F524">
        <v>1E-3</v>
      </c>
      <c r="G524" s="129" t="s">
        <v>6</v>
      </c>
      <c r="H524" s="129" t="s">
        <v>4</v>
      </c>
      <c r="I524">
        <v>2000</v>
      </c>
      <c r="J524">
        <v>4000</v>
      </c>
      <c r="K524" s="129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s="129" t="s">
        <v>1142</v>
      </c>
      <c r="B525" s="129" t="s">
        <v>52</v>
      </c>
      <c r="C525" s="129" t="s">
        <v>8</v>
      </c>
      <c r="D525">
        <v>1</v>
      </c>
      <c r="E525">
        <v>10</v>
      </c>
      <c r="F525">
        <v>1E-3</v>
      </c>
      <c r="G525" s="129" t="s">
        <v>6</v>
      </c>
      <c r="H525" s="129" t="s">
        <v>4</v>
      </c>
      <c r="I525">
        <v>4000</v>
      </c>
      <c r="J525">
        <v>8000</v>
      </c>
      <c r="K525" s="129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s="129" t="s">
        <v>1144</v>
      </c>
      <c r="B526" s="129" t="s">
        <v>52</v>
      </c>
      <c r="C526" s="129" t="s">
        <v>8</v>
      </c>
      <c r="D526">
        <v>1</v>
      </c>
      <c r="E526">
        <v>10</v>
      </c>
      <c r="F526">
        <v>1E-3</v>
      </c>
      <c r="G526" s="129" t="s">
        <v>6</v>
      </c>
      <c r="H526" s="129" t="s">
        <v>4</v>
      </c>
      <c r="I526">
        <v>8000</v>
      </c>
      <c r="J526">
        <v>10000</v>
      </c>
      <c r="K526" s="129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s="129" t="s">
        <v>1176</v>
      </c>
      <c r="B527" s="129" t="s">
        <v>52</v>
      </c>
      <c r="C527" s="129" t="s">
        <v>8</v>
      </c>
      <c r="D527">
        <v>10</v>
      </c>
      <c r="E527">
        <v>20</v>
      </c>
      <c r="F527">
        <v>1E-3</v>
      </c>
      <c r="G527" s="129" t="s">
        <v>6</v>
      </c>
      <c r="H527" s="129" t="s">
        <v>4</v>
      </c>
      <c r="I527">
        <v>1E-3</v>
      </c>
      <c r="J527">
        <v>0.04</v>
      </c>
      <c r="K527" s="129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s="129" t="s">
        <v>2387</v>
      </c>
      <c r="B528" s="129" t="s">
        <v>52</v>
      </c>
      <c r="C528" s="129" t="s">
        <v>8</v>
      </c>
      <c r="D528">
        <v>10</v>
      </c>
      <c r="E528">
        <v>20</v>
      </c>
      <c r="F528">
        <v>1E-3</v>
      </c>
      <c r="G528" s="129" t="s">
        <v>6</v>
      </c>
      <c r="H528" s="129" t="s">
        <v>4</v>
      </c>
      <c r="I528">
        <v>0.04</v>
      </c>
      <c r="J528">
        <v>1</v>
      </c>
      <c r="K528" s="129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s="129" t="s">
        <v>2389</v>
      </c>
      <c r="B529" s="129" t="s">
        <v>52</v>
      </c>
      <c r="C529" s="129" t="s">
        <v>8</v>
      </c>
      <c r="D529">
        <v>10</v>
      </c>
      <c r="E529">
        <v>20</v>
      </c>
      <c r="F529">
        <v>1E-3</v>
      </c>
      <c r="G529" s="129" t="s">
        <v>6</v>
      </c>
      <c r="H529" s="129" t="s">
        <v>4</v>
      </c>
      <c r="I529">
        <v>1</v>
      </c>
      <c r="J529">
        <v>20</v>
      </c>
      <c r="K529" s="1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s="129" t="s">
        <v>1181</v>
      </c>
      <c r="B530" s="129" t="s">
        <v>52</v>
      </c>
      <c r="C530" s="129" t="s">
        <v>8</v>
      </c>
      <c r="D530">
        <v>10</v>
      </c>
      <c r="E530">
        <v>20</v>
      </c>
      <c r="F530">
        <v>1E-3</v>
      </c>
      <c r="G530" s="129" t="s">
        <v>6</v>
      </c>
      <c r="H530" s="129" t="s">
        <v>4</v>
      </c>
      <c r="I530">
        <v>20</v>
      </c>
      <c r="J530">
        <v>50</v>
      </c>
      <c r="K530" s="129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s="129" t="s">
        <v>1178</v>
      </c>
      <c r="B531" s="129" t="s">
        <v>52</v>
      </c>
      <c r="C531" s="129" t="s">
        <v>8</v>
      </c>
      <c r="D531">
        <v>10</v>
      </c>
      <c r="E531">
        <v>20</v>
      </c>
      <c r="F531">
        <v>1E-3</v>
      </c>
      <c r="G531" s="129" t="s">
        <v>6</v>
      </c>
      <c r="H531" s="129" t="s">
        <v>4</v>
      </c>
      <c r="I531">
        <v>50</v>
      </c>
      <c r="J531">
        <v>100</v>
      </c>
      <c r="K531" s="129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s="129" t="s">
        <v>1177</v>
      </c>
      <c r="B532" s="129" t="s">
        <v>52</v>
      </c>
      <c r="C532" s="129" t="s">
        <v>8</v>
      </c>
      <c r="D532">
        <v>10</v>
      </c>
      <c r="E532">
        <v>100</v>
      </c>
      <c r="F532">
        <v>1E-3</v>
      </c>
      <c r="G532" s="129" t="s">
        <v>6</v>
      </c>
      <c r="H532" s="129" t="s">
        <v>4</v>
      </c>
      <c r="I532">
        <v>100</v>
      </c>
      <c r="J532">
        <v>300</v>
      </c>
      <c r="K532" s="129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s="129" t="s">
        <v>2395</v>
      </c>
      <c r="B533" s="129" t="s">
        <v>52</v>
      </c>
      <c r="C533" s="129" t="s">
        <v>8</v>
      </c>
      <c r="D533">
        <v>10</v>
      </c>
      <c r="E533">
        <v>20</v>
      </c>
      <c r="F533">
        <v>1E-3</v>
      </c>
      <c r="G533" s="129" t="s">
        <v>6</v>
      </c>
      <c r="H533" s="129" t="s">
        <v>4</v>
      </c>
      <c r="I533">
        <v>100</v>
      </c>
      <c r="J533">
        <v>300</v>
      </c>
      <c r="K533" s="129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s="129" t="s">
        <v>1180</v>
      </c>
      <c r="B534" s="129" t="s">
        <v>52</v>
      </c>
      <c r="C534" s="129" t="s">
        <v>8</v>
      </c>
      <c r="D534">
        <v>10</v>
      </c>
      <c r="E534">
        <v>100</v>
      </c>
      <c r="F534">
        <v>1E-3</v>
      </c>
      <c r="G534" s="129" t="s">
        <v>6</v>
      </c>
      <c r="H534" s="129" t="s">
        <v>4</v>
      </c>
      <c r="I534">
        <v>300</v>
      </c>
      <c r="J534">
        <v>1000</v>
      </c>
      <c r="K534" s="129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s="129" t="s">
        <v>1179</v>
      </c>
      <c r="B535" s="129" t="s">
        <v>52</v>
      </c>
      <c r="C535" s="129" t="s">
        <v>8</v>
      </c>
      <c r="D535">
        <v>10</v>
      </c>
      <c r="E535">
        <v>20</v>
      </c>
      <c r="F535">
        <v>1E-3</v>
      </c>
      <c r="G535" s="129" t="s">
        <v>6</v>
      </c>
      <c r="H535" s="129" t="s">
        <v>4</v>
      </c>
      <c r="I535">
        <v>300</v>
      </c>
      <c r="J535">
        <v>1000</v>
      </c>
      <c r="K535" s="129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s="129" t="s">
        <v>1207</v>
      </c>
      <c r="B536" s="129" t="s">
        <v>52</v>
      </c>
      <c r="C536" s="129" t="s">
        <v>8</v>
      </c>
      <c r="D536">
        <v>20</v>
      </c>
      <c r="E536">
        <v>100</v>
      </c>
      <c r="F536">
        <v>1E-3</v>
      </c>
      <c r="G536" s="129" t="s">
        <v>6</v>
      </c>
      <c r="H536" s="129" t="s">
        <v>4</v>
      </c>
      <c r="I536">
        <v>1E-3</v>
      </c>
      <c r="J536">
        <v>0.04</v>
      </c>
      <c r="K536" s="129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s="129" t="s">
        <v>1208</v>
      </c>
      <c r="B537" s="129" t="s">
        <v>52</v>
      </c>
      <c r="C537" s="129" t="s">
        <v>8</v>
      </c>
      <c r="D537">
        <v>20</v>
      </c>
      <c r="E537">
        <v>100</v>
      </c>
      <c r="F537">
        <v>1E-3</v>
      </c>
      <c r="G537" s="129" t="s">
        <v>6</v>
      </c>
      <c r="H537" s="129" t="s">
        <v>4</v>
      </c>
      <c r="I537">
        <v>0.04</v>
      </c>
      <c r="J537">
        <v>1</v>
      </c>
      <c r="K537" s="129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s="129" t="s">
        <v>1210</v>
      </c>
      <c r="B538" s="129" t="s">
        <v>52</v>
      </c>
      <c r="C538" s="129" t="s">
        <v>8</v>
      </c>
      <c r="D538">
        <v>20</v>
      </c>
      <c r="E538">
        <v>100</v>
      </c>
      <c r="F538">
        <v>1E-3</v>
      </c>
      <c r="G538" s="129" t="s">
        <v>6</v>
      </c>
      <c r="H538" s="129" t="s">
        <v>4</v>
      </c>
      <c r="I538">
        <v>1</v>
      </c>
      <c r="J538">
        <v>20</v>
      </c>
      <c r="K538" s="129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s="129" t="s">
        <v>2406</v>
      </c>
      <c r="B539" s="129" t="s">
        <v>52</v>
      </c>
      <c r="C539" s="129" t="s">
        <v>8</v>
      </c>
      <c r="D539">
        <v>20</v>
      </c>
      <c r="E539">
        <v>100</v>
      </c>
      <c r="F539">
        <v>1E-3</v>
      </c>
      <c r="G539" s="129" t="s">
        <v>6</v>
      </c>
      <c r="H539" s="129" t="s">
        <v>4</v>
      </c>
      <c r="I539">
        <v>20</v>
      </c>
      <c r="J539">
        <v>50</v>
      </c>
      <c r="K539" s="12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s="129" t="s">
        <v>1209</v>
      </c>
      <c r="B540" s="129" t="s">
        <v>52</v>
      </c>
      <c r="C540" s="129" t="s">
        <v>8</v>
      </c>
      <c r="D540">
        <v>20</v>
      </c>
      <c r="E540">
        <v>100</v>
      </c>
      <c r="F540">
        <v>1E-3</v>
      </c>
      <c r="G540" s="129" t="s">
        <v>6</v>
      </c>
      <c r="H540" s="129" t="s">
        <v>4</v>
      </c>
      <c r="I540">
        <v>50</v>
      </c>
      <c r="J540">
        <v>100</v>
      </c>
      <c r="K540" s="129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s="129" t="s">
        <v>1233</v>
      </c>
      <c r="B541" s="129" t="s">
        <v>52</v>
      </c>
      <c r="C541" s="129" t="s">
        <v>8</v>
      </c>
      <c r="D541">
        <v>100</v>
      </c>
      <c r="E541">
        <v>330</v>
      </c>
      <c r="F541">
        <v>1E-3</v>
      </c>
      <c r="G541" s="129" t="s">
        <v>6</v>
      </c>
      <c r="H541" s="129" t="s">
        <v>4</v>
      </c>
      <c r="I541">
        <v>1E-3</v>
      </c>
      <c r="J541">
        <v>0.04</v>
      </c>
      <c r="K541" s="129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s="129" t="s">
        <v>1234</v>
      </c>
      <c r="B542" s="129" t="s">
        <v>52</v>
      </c>
      <c r="C542" s="129" t="s">
        <v>8</v>
      </c>
      <c r="D542">
        <v>100</v>
      </c>
      <c r="E542">
        <v>330</v>
      </c>
      <c r="F542">
        <v>1E-3</v>
      </c>
      <c r="G542" s="129" t="s">
        <v>6</v>
      </c>
      <c r="H542" s="129" t="s">
        <v>4</v>
      </c>
      <c r="I542">
        <v>0.04</v>
      </c>
      <c r="J542">
        <v>1</v>
      </c>
      <c r="K542" s="129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s="129" t="s">
        <v>1228</v>
      </c>
      <c r="B543" s="129" t="s">
        <v>52</v>
      </c>
      <c r="C543" s="129" t="s">
        <v>8</v>
      </c>
      <c r="D543">
        <v>100</v>
      </c>
      <c r="E543">
        <v>330</v>
      </c>
      <c r="F543">
        <v>1E-3</v>
      </c>
      <c r="G543" s="129" t="s">
        <v>6</v>
      </c>
      <c r="H543" s="129" t="s">
        <v>4</v>
      </c>
      <c r="I543">
        <v>1</v>
      </c>
      <c r="J543">
        <v>20</v>
      </c>
      <c r="K543" s="129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s="129" t="s">
        <v>2334</v>
      </c>
      <c r="B544" s="129" t="s">
        <v>52</v>
      </c>
      <c r="C544" s="129" t="s">
        <v>8</v>
      </c>
      <c r="D544">
        <v>100</v>
      </c>
      <c r="E544">
        <v>1000</v>
      </c>
      <c r="F544">
        <v>1E-3</v>
      </c>
      <c r="G544" s="129" t="s">
        <v>6</v>
      </c>
      <c r="H544" s="129" t="s">
        <v>4</v>
      </c>
      <c r="I544">
        <v>1</v>
      </c>
      <c r="J544">
        <v>20</v>
      </c>
      <c r="K544" s="129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s="129" t="s">
        <v>1229</v>
      </c>
      <c r="B545" s="129" t="s">
        <v>52</v>
      </c>
      <c r="C545" s="129" t="s">
        <v>8</v>
      </c>
      <c r="D545">
        <v>100</v>
      </c>
      <c r="E545">
        <v>330</v>
      </c>
      <c r="F545">
        <v>1E-3</v>
      </c>
      <c r="G545" s="129" t="s">
        <v>6</v>
      </c>
      <c r="H545" s="129" t="s">
        <v>4</v>
      </c>
      <c r="I545">
        <v>20</v>
      </c>
      <c r="J545">
        <v>50</v>
      </c>
      <c r="K545" s="129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s="129" t="s">
        <v>1230</v>
      </c>
      <c r="B546" s="129" t="s">
        <v>52</v>
      </c>
      <c r="C546" s="129" t="s">
        <v>8</v>
      </c>
      <c r="D546">
        <v>100</v>
      </c>
      <c r="E546">
        <v>1000</v>
      </c>
      <c r="F546">
        <v>1E-3</v>
      </c>
      <c r="G546" s="129" t="s">
        <v>6</v>
      </c>
      <c r="H546" s="129" t="s">
        <v>4</v>
      </c>
      <c r="I546">
        <v>20</v>
      </c>
      <c r="J546">
        <v>50</v>
      </c>
      <c r="K546" s="129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s="129" t="s">
        <v>1231</v>
      </c>
      <c r="B547" s="129" t="s">
        <v>52</v>
      </c>
      <c r="C547" s="129" t="s">
        <v>8</v>
      </c>
      <c r="D547">
        <v>100</v>
      </c>
      <c r="E547">
        <v>1000</v>
      </c>
      <c r="F547">
        <v>1E-3</v>
      </c>
      <c r="G547" s="129" t="s">
        <v>6</v>
      </c>
      <c r="H547" s="129" t="s">
        <v>4</v>
      </c>
      <c r="I547">
        <v>50</v>
      </c>
      <c r="J547">
        <v>100</v>
      </c>
      <c r="K547" s="129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s="129" t="s">
        <v>1232</v>
      </c>
      <c r="B548" s="129" t="s">
        <v>52</v>
      </c>
      <c r="C548" s="129" t="s">
        <v>8</v>
      </c>
      <c r="D548">
        <v>100</v>
      </c>
      <c r="E548">
        <v>330</v>
      </c>
      <c r="F548">
        <v>1E-3</v>
      </c>
      <c r="G548" s="129" t="s">
        <v>6</v>
      </c>
      <c r="H548" s="129" t="s">
        <v>4</v>
      </c>
      <c r="I548">
        <v>50</v>
      </c>
      <c r="J548">
        <v>100</v>
      </c>
      <c r="K548" s="129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s="129" t="s">
        <v>1256</v>
      </c>
      <c r="B549" s="129" t="s">
        <v>52</v>
      </c>
      <c r="C549" s="129" t="s">
        <v>8</v>
      </c>
      <c r="D549">
        <v>330</v>
      </c>
      <c r="E549">
        <v>1000</v>
      </c>
      <c r="F549">
        <v>1E-3</v>
      </c>
      <c r="G549" s="129" t="s">
        <v>6</v>
      </c>
      <c r="H549" s="129" t="s">
        <v>4</v>
      </c>
      <c r="I549">
        <v>1E-3</v>
      </c>
      <c r="J549">
        <v>0.04</v>
      </c>
      <c r="K549" s="12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s="129" t="s">
        <v>1255</v>
      </c>
      <c r="B550" s="129" t="s">
        <v>52</v>
      </c>
      <c r="C550" s="129" t="s">
        <v>8</v>
      </c>
      <c r="D550">
        <v>330</v>
      </c>
      <c r="E550">
        <v>1000</v>
      </c>
      <c r="F550">
        <v>1E-3</v>
      </c>
      <c r="G550" s="129" t="s">
        <v>6</v>
      </c>
      <c r="H550" s="129" t="s">
        <v>4</v>
      </c>
      <c r="I550">
        <v>0.04</v>
      </c>
      <c r="J550">
        <v>1</v>
      </c>
      <c r="K550" s="129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s="129" t="s">
        <v>2415</v>
      </c>
      <c r="B551" s="129" t="s">
        <v>52</v>
      </c>
      <c r="C551" s="129" t="s">
        <v>8</v>
      </c>
      <c r="D551">
        <v>330</v>
      </c>
      <c r="E551">
        <v>1000</v>
      </c>
      <c r="F551">
        <v>1E-3</v>
      </c>
      <c r="G551" s="129" t="s">
        <v>6</v>
      </c>
      <c r="H551" s="129" t="s">
        <v>4</v>
      </c>
      <c r="I551">
        <v>1</v>
      </c>
      <c r="J551">
        <v>10</v>
      </c>
      <c r="K551" s="129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s="129" t="s">
        <v>1011</v>
      </c>
      <c r="B552" s="129" t="s">
        <v>52</v>
      </c>
      <c r="C552" s="129" t="s">
        <v>8</v>
      </c>
      <c r="D552">
        <v>0</v>
      </c>
      <c r="E552">
        <v>0.01</v>
      </c>
      <c r="F552">
        <v>0.01</v>
      </c>
      <c r="G552" s="129" t="s">
        <v>6</v>
      </c>
      <c r="H552" s="129" t="s">
        <v>5</v>
      </c>
      <c r="I552">
        <v>1000</v>
      </c>
      <c r="J552">
        <v>4000</v>
      </c>
      <c r="K552" s="129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s="129" t="s">
        <v>1010</v>
      </c>
      <c r="B553" s="129" t="s">
        <v>52</v>
      </c>
      <c r="C553" s="129" t="s">
        <v>8</v>
      </c>
      <c r="D553">
        <v>0</v>
      </c>
      <c r="E553">
        <v>0.01</v>
      </c>
      <c r="F553">
        <v>0.01</v>
      </c>
      <c r="G553" s="129" t="s">
        <v>6</v>
      </c>
      <c r="H553" s="129" t="s">
        <v>5</v>
      </c>
      <c r="I553">
        <v>4000</v>
      </c>
      <c r="J553">
        <v>8000</v>
      </c>
      <c r="K553" s="129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s="129" t="s">
        <v>1114</v>
      </c>
      <c r="B554" s="129" t="s">
        <v>52</v>
      </c>
      <c r="C554" s="129" t="s">
        <v>8</v>
      </c>
      <c r="D554">
        <v>0.1</v>
      </c>
      <c r="E554">
        <v>1</v>
      </c>
      <c r="F554">
        <v>0.01</v>
      </c>
      <c r="G554" s="129" t="s">
        <v>6</v>
      </c>
      <c r="H554" s="129" t="s">
        <v>5</v>
      </c>
      <c r="I554">
        <v>1E-3</v>
      </c>
      <c r="J554">
        <v>0.04</v>
      </c>
      <c r="K554" s="129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s="129" t="s">
        <v>1107</v>
      </c>
      <c r="B555" s="129" t="s">
        <v>52</v>
      </c>
      <c r="C555" s="129" t="s">
        <v>8</v>
      </c>
      <c r="D555">
        <v>0.1</v>
      </c>
      <c r="E555">
        <v>1</v>
      </c>
      <c r="F555">
        <v>0.01</v>
      </c>
      <c r="G555" s="129" t="s">
        <v>6</v>
      </c>
      <c r="H555" s="129" t="s">
        <v>5</v>
      </c>
      <c r="I555">
        <v>0.04</v>
      </c>
      <c r="J555">
        <v>1</v>
      </c>
      <c r="K555" s="129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s="129" t="s">
        <v>1113</v>
      </c>
      <c r="B556" s="129" t="s">
        <v>52</v>
      </c>
      <c r="C556" s="129" t="s">
        <v>8</v>
      </c>
      <c r="D556">
        <v>0.1</v>
      </c>
      <c r="E556">
        <v>1</v>
      </c>
      <c r="F556">
        <v>0.01</v>
      </c>
      <c r="G556" s="129" t="s">
        <v>6</v>
      </c>
      <c r="H556" s="129" t="s">
        <v>5</v>
      </c>
      <c r="I556">
        <v>1</v>
      </c>
      <c r="J556">
        <v>20</v>
      </c>
      <c r="K556" s="129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s="129" t="s">
        <v>1111</v>
      </c>
      <c r="B557" s="129" t="s">
        <v>52</v>
      </c>
      <c r="C557" s="129" t="s">
        <v>8</v>
      </c>
      <c r="D557">
        <v>0.1</v>
      </c>
      <c r="E557">
        <v>1</v>
      </c>
      <c r="F557">
        <v>0.01</v>
      </c>
      <c r="G557" s="129" t="s">
        <v>6</v>
      </c>
      <c r="H557" s="129" t="s">
        <v>5</v>
      </c>
      <c r="I557">
        <v>20</v>
      </c>
      <c r="J557">
        <v>50</v>
      </c>
      <c r="K557" s="129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s="129" t="s">
        <v>1109</v>
      </c>
      <c r="B558" s="129" t="s">
        <v>52</v>
      </c>
      <c r="C558" s="129" t="s">
        <v>8</v>
      </c>
      <c r="D558">
        <v>0.1</v>
      </c>
      <c r="E558">
        <v>1</v>
      </c>
      <c r="F558">
        <v>0.01</v>
      </c>
      <c r="G558" s="129" t="s">
        <v>6</v>
      </c>
      <c r="H558" s="129" t="s">
        <v>5</v>
      </c>
      <c r="I558">
        <v>50</v>
      </c>
      <c r="J558">
        <v>100</v>
      </c>
      <c r="K558" s="129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s="129" t="s">
        <v>1115</v>
      </c>
      <c r="B559" s="129" t="s">
        <v>52</v>
      </c>
      <c r="C559" s="129" t="s">
        <v>8</v>
      </c>
      <c r="D559">
        <v>0.1</v>
      </c>
      <c r="E559">
        <v>1</v>
      </c>
      <c r="F559">
        <v>0.01</v>
      </c>
      <c r="G559" s="129" t="s">
        <v>6</v>
      </c>
      <c r="H559" s="129" t="s">
        <v>5</v>
      </c>
      <c r="I559">
        <v>100</v>
      </c>
      <c r="J559">
        <v>300</v>
      </c>
      <c r="K559" s="12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s="129" t="s">
        <v>1116</v>
      </c>
      <c r="B560" s="129" t="s">
        <v>52</v>
      </c>
      <c r="C560" s="129" t="s">
        <v>8</v>
      </c>
      <c r="D560">
        <v>0.1</v>
      </c>
      <c r="E560">
        <v>1</v>
      </c>
      <c r="F560">
        <v>0.01</v>
      </c>
      <c r="G560" s="129" t="s">
        <v>6</v>
      </c>
      <c r="H560" s="129" t="s">
        <v>5</v>
      </c>
      <c r="I560">
        <v>300</v>
      </c>
      <c r="J560">
        <v>1000</v>
      </c>
      <c r="K560" s="129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s="129" t="s">
        <v>1106</v>
      </c>
      <c r="B561" s="129" t="s">
        <v>52</v>
      </c>
      <c r="C561" s="129" t="s">
        <v>8</v>
      </c>
      <c r="D561">
        <v>0.1</v>
      </c>
      <c r="E561">
        <v>1</v>
      </c>
      <c r="F561">
        <v>0.01</v>
      </c>
      <c r="G561" s="129" t="s">
        <v>6</v>
      </c>
      <c r="H561" s="129" t="s">
        <v>5</v>
      </c>
      <c r="I561">
        <v>1000</v>
      </c>
      <c r="J561">
        <v>2000</v>
      </c>
      <c r="K561" s="129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s="129" t="s">
        <v>1110</v>
      </c>
      <c r="B562" s="129" t="s">
        <v>52</v>
      </c>
      <c r="C562" s="129" t="s">
        <v>8</v>
      </c>
      <c r="D562">
        <v>0.1</v>
      </c>
      <c r="E562">
        <v>1</v>
      </c>
      <c r="F562">
        <v>0.01</v>
      </c>
      <c r="G562" s="129" t="s">
        <v>6</v>
      </c>
      <c r="H562" s="129" t="s">
        <v>4</v>
      </c>
      <c r="I562">
        <v>2000</v>
      </c>
      <c r="J562">
        <v>4000</v>
      </c>
      <c r="K562" s="129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s="129" t="s">
        <v>1112</v>
      </c>
      <c r="B563" s="129" t="s">
        <v>52</v>
      </c>
      <c r="C563" s="129" t="s">
        <v>8</v>
      </c>
      <c r="D563">
        <v>0.1</v>
      </c>
      <c r="E563">
        <v>1</v>
      </c>
      <c r="F563">
        <v>0.01</v>
      </c>
      <c r="G563" s="129" t="s">
        <v>6</v>
      </c>
      <c r="H563" s="129" t="s">
        <v>4</v>
      </c>
      <c r="I563">
        <v>4000</v>
      </c>
      <c r="J563">
        <v>8000</v>
      </c>
      <c r="K563" s="129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s="129" t="s">
        <v>1108</v>
      </c>
      <c r="B564" s="129" t="s">
        <v>52</v>
      </c>
      <c r="C564" s="129" t="s">
        <v>8</v>
      </c>
      <c r="D564">
        <v>0.1</v>
      </c>
      <c r="E564">
        <v>1</v>
      </c>
      <c r="F564">
        <v>0.01</v>
      </c>
      <c r="G564" s="129" t="s">
        <v>6</v>
      </c>
      <c r="H564" s="129" t="s">
        <v>4</v>
      </c>
      <c r="I564">
        <v>8000</v>
      </c>
      <c r="J564">
        <v>10000</v>
      </c>
      <c r="K564" s="129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s="129" t="s">
        <v>1153</v>
      </c>
      <c r="B565" s="129" t="s">
        <v>52</v>
      </c>
      <c r="C565" s="129" t="s">
        <v>8</v>
      </c>
      <c r="D565">
        <v>1</v>
      </c>
      <c r="E565">
        <v>10</v>
      </c>
      <c r="F565">
        <v>0.01</v>
      </c>
      <c r="G565" s="129" t="s">
        <v>6</v>
      </c>
      <c r="H565" s="129" t="s">
        <v>4</v>
      </c>
      <c r="I565">
        <v>1E-3</v>
      </c>
      <c r="J565">
        <v>0.04</v>
      </c>
      <c r="K565" s="129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s="129" t="s">
        <v>2374</v>
      </c>
      <c r="B566" s="129" t="s">
        <v>52</v>
      </c>
      <c r="C566" s="129" t="s">
        <v>8</v>
      </c>
      <c r="D566">
        <v>1</v>
      </c>
      <c r="E566">
        <v>10</v>
      </c>
      <c r="F566">
        <v>0.01</v>
      </c>
      <c r="G566" s="129" t="s">
        <v>6</v>
      </c>
      <c r="H566" s="129" t="s">
        <v>4</v>
      </c>
      <c r="I566">
        <v>0.04</v>
      </c>
      <c r="J566">
        <v>1</v>
      </c>
      <c r="K566" s="129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s="129" t="s">
        <v>1155</v>
      </c>
      <c r="B567" s="129" t="s">
        <v>52</v>
      </c>
      <c r="C567" s="129" t="s">
        <v>8</v>
      </c>
      <c r="D567">
        <v>1</v>
      </c>
      <c r="E567">
        <v>10</v>
      </c>
      <c r="F567">
        <v>0.01</v>
      </c>
      <c r="G567" s="129" t="s">
        <v>6</v>
      </c>
      <c r="H567" s="129" t="s">
        <v>4</v>
      </c>
      <c r="I567">
        <v>1</v>
      </c>
      <c r="J567">
        <v>20</v>
      </c>
      <c r="K567" s="129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s="129" t="s">
        <v>1152</v>
      </c>
      <c r="B568" s="129" t="s">
        <v>52</v>
      </c>
      <c r="C568" s="129" t="s">
        <v>8</v>
      </c>
      <c r="D568">
        <v>1</v>
      </c>
      <c r="E568">
        <v>10</v>
      </c>
      <c r="F568">
        <v>0.01</v>
      </c>
      <c r="G568" s="129" t="s">
        <v>6</v>
      </c>
      <c r="H568" s="129" t="s">
        <v>4</v>
      </c>
      <c r="I568">
        <v>20</v>
      </c>
      <c r="J568">
        <v>50</v>
      </c>
      <c r="K568" s="129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s="129" t="s">
        <v>1156</v>
      </c>
      <c r="B569" s="129" t="s">
        <v>52</v>
      </c>
      <c r="C569" s="129" t="s">
        <v>8</v>
      </c>
      <c r="D569">
        <v>1</v>
      </c>
      <c r="E569">
        <v>10</v>
      </c>
      <c r="F569">
        <v>0.01</v>
      </c>
      <c r="G569" s="129" t="s">
        <v>6</v>
      </c>
      <c r="H569" s="129" t="s">
        <v>4</v>
      </c>
      <c r="I569">
        <v>50</v>
      </c>
      <c r="J569">
        <v>100</v>
      </c>
      <c r="K569" s="12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s="129" t="s">
        <v>1157</v>
      </c>
      <c r="B570" s="129" t="s">
        <v>52</v>
      </c>
      <c r="C570" s="129" t="s">
        <v>8</v>
      </c>
      <c r="D570">
        <v>1</v>
      </c>
      <c r="E570">
        <v>10</v>
      </c>
      <c r="F570">
        <v>0.01</v>
      </c>
      <c r="G570" s="129" t="s">
        <v>6</v>
      </c>
      <c r="H570" s="129" t="s">
        <v>4</v>
      </c>
      <c r="I570">
        <v>100</v>
      </c>
      <c r="J570">
        <v>300</v>
      </c>
      <c r="K570" s="129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s="129" t="s">
        <v>1158</v>
      </c>
      <c r="B571" s="129" t="s">
        <v>52</v>
      </c>
      <c r="C571" s="129" t="s">
        <v>8</v>
      </c>
      <c r="D571">
        <v>1</v>
      </c>
      <c r="E571">
        <v>10</v>
      </c>
      <c r="F571">
        <v>0.01</v>
      </c>
      <c r="G571" s="129" t="s">
        <v>6</v>
      </c>
      <c r="H571" s="129" t="s">
        <v>4</v>
      </c>
      <c r="I571">
        <v>300</v>
      </c>
      <c r="J571">
        <v>1000</v>
      </c>
      <c r="K571" s="129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s="129" t="s">
        <v>1154</v>
      </c>
      <c r="B572" s="129" t="s">
        <v>52</v>
      </c>
      <c r="C572" s="129" t="s">
        <v>8</v>
      </c>
      <c r="D572">
        <v>1</v>
      </c>
      <c r="E572">
        <v>10</v>
      </c>
      <c r="F572">
        <v>0.01</v>
      </c>
      <c r="G572" s="129" t="s">
        <v>6</v>
      </c>
      <c r="H572" s="129" t="s">
        <v>4</v>
      </c>
      <c r="I572">
        <v>1000</v>
      </c>
      <c r="J572">
        <v>2000</v>
      </c>
      <c r="K572" s="129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s="129" t="s">
        <v>1151</v>
      </c>
      <c r="B573" s="129" t="s">
        <v>52</v>
      </c>
      <c r="C573" s="129" t="s">
        <v>8</v>
      </c>
      <c r="D573">
        <v>1</v>
      </c>
      <c r="E573">
        <v>10</v>
      </c>
      <c r="F573">
        <v>0.01</v>
      </c>
      <c r="G573" s="129" t="s">
        <v>6</v>
      </c>
      <c r="H573" s="129" t="s">
        <v>4</v>
      </c>
      <c r="I573">
        <v>2000</v>
      </c>
      <c r="J573">
        <v>4000</v>
      </c>
      <c r="K573" s="129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s="129" t="s">
        <v>1159</v>
      </c>
      <c r="B574" s="129" t="s">
        <v>52</v>
      </c>
      <c r="C574" s="129" t="s">
        <v>8</v>
      </c>
      <c r="D574">
        <v>1</v>
      </c>
      <c r="E574">
        <v>10</v>
      </c>
      <c r="F574">
        <v>0.01</v>
      </c>
      <c r="G574" s="129" t="s">
        <v>6</v>
      </c>
      <c r="H574" s="129" t="s">
        <v>4</v>
      </c>
      <c r="I574">
        <v>4000</v>
      </c>
      <c r="J574">
        <v>8000</v>
      </c>
      <c r="K574" s="129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s="129" t="s">
        <v>1150</v>
      </c>
      <c r="B575" s="129" t="s">
        <v>52</v>
      </c>
      <c r="C575" s="129" t="s">
        <v>8</v>
      </c>
      <c r="D575">
        <v>1</v>
      </c>
      <c r="E575">
        <v>10</v>
      </c>
      <c r="F575">
        <v>0.01</v>
      </c>
      <c r="G575" s="129" t="s">
        <v>6</v>
      </c>
      <c r="H575" s="129" t="s">
        <v>4</v>
      </c>
      <c r="I575">
        <v>8000</v>
      </c>
      <c r="J575">
        <v>10000</v>
      </c>
      <c r="K575" s="129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s="129" t="s">
        <v>1183</v>
      </c>
      <c r="B576" s="129" t="s">
        <v>52</v>
      </c>
      <c r="C576" s="129" t="s">
        <v>8</v>
      </c>
      <c r="D576">
        <v>10</v>
      </c>
      <c r="E576">
        <v>20</v>
      </c>
      <c r="F576">
        <v>0.01</v>
      </c>
      <c r="G576" s="129" t="s">
        <v>6</v>
      </c>
      <c r="H576" s="129" t="s">
        <v>4</v>
      </c>
      <c r="I576">
        <v>1E-3</v>
      </c>
      <c r="J576">
        <v>0.04</v>
      </c>
      <c r="K576" s="129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s="129" t="s">
        <v>1182</v>
      </c>
      <c r="B577" s="129" t="s">
        <v>52</v>
      </c>
      <c r="C577" s="129" t="s">
        <v>8</v>
      </c>
      <c r="D577">
        <v>10</v>
      </c>
      <c r="E577">
        <v>20</v>
      </c>
      <c r="F577">
        <v>0.01</v>
      </c>
      <c r="G577" s="129" t="s">
        <v>6</v>
      </c>
      <c r="H577" s="129" t="s">
        <v>4</v>
      </c>
      <c r="I577">
        <v>0.04</v>
      </c>
      <c r="J577">
        <v>1</v>
      </c>
      <c r="K577" s="129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s="129" t="s">
        <v>1188</v>
      </c>
      <c r="B578" s="129" t="s">
        <v>52</v>
      </c>
      <c r="C578" s="129" t="s">
        <v>8</v>
      </c>
      <c r="D578">
        <v>10</v>
      </c>
      <c r="E578">
        <v>20</v>
      </c>
      <c r="F578">
        <v>0.01</v>
      </c>
      <c r="G578" s="129" t="s">
        <v>6</v>
      </c>
      <c r="H578" s="129" t="s">
        <v>4</v>
      </c>
      <c r="I578">
        <v>1</v>
      </c>
      <c r="J578">
        <v>20</v>
      </c>
      <c r="K578" s="129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s="129" t="s">
        <v>1187</v>
      </c>
      <c r="B579" s="129" t="s">
        <v>52</v>
      </c>
      <c r="C579" s="129" t="s">
        <v>8</v>
      </c>
      <c r="D579">
        <v>10</v>
      </c>
      <c r="E579">
        <v>20</v>
      </c>
      <c r="F579">
        <v>0.01</v>
      </c>
      <c r="G579" s="129" t="s">
        <v>6</v>
      </c>
      <c r="H579" s="129" t="s">
        <v>4</v>
      </c>
      <c r="I579">
        <v>20</v>
      </c>
      <c r="J579">
        <v>50</v>
      </c>
      <c r="K579" s="12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s="129" t="s">
        <v>1186</v>
      </c>
      <c r="B580" s="129" t="s">
        <v>52</v>
      </c>
      <c r="C580" s="129" t="s">
        <v>8</v>
      </c>
      <c r="D580">
        <v>10</v>
      </c>
      <c r="E580">
        <v>20</v>
      </c>
      <c r="F580">
        <v>0.01</v>
      </c>
      <c r="G580" s="129" t="s">
        <v>6</v>
      </c>
      <c r="H580" s="129" t="s">
        <v>4</v>
      </c>
      <c r="I580">
        <v>50</v>
      </c>
      <c r="J580">
        <v>100</v>
      </c>
      <c r="K580" s="129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s="129" t="s">
        <v>2331</v>
      </c>
      <c r="B581" s="129" t="s">
        <v>52</v>
      </c>
      <c r="C581" s="129" t="s">
        <v>8</v>
      </c>
      <c r="D581">
        <v>10</v>
      </c>
      <c r="E581">
        <v>100</v>
      </c>
      <c r="F581">
        <v>0.01</v>
      </c>
      <c r="G581" s="129" t="s">
        <v>6</v>
      </c>
      <c r="H581" s="129" t="s">
        <v>4</v>
      </c>
      <c r="I581">
        <v>100</v>
      </c>
      <c r="J581">
        <v>300</v>
      </c>
      <c r="K581" s="129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s="129" t="s">
        <v>2396</v>
      </c>
      <c r="B582" s="129" t="s">
        <v>52</v>
      </c>
      <c r="C582" s="129" t="s">
        <v>8</v>
      </c>
      <c r="D582">
        <v>10</v>
      </c>
      <c r="E582">
        <v>20</v>
      </c>
      <c r="F582">
        <v>0.01</v>
      </c>
      <c r="G582" s="129" t="s">
        <v>6</v>
      </c>
      <c r="H582" s="129" t="s">
        <v>4</v>
      </c>
      <c r="I582">
        <v>100</v>
      </c>
      <c r="J582">
        <v>300</v>
      </c>
      <c r="K582" s="129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s="129" t="s">
        <v>1185</v>
      </c>
      <c r="B583" s="129" t="s">
        <v>52</v>
      </c>
      <c r="C583" s="129" t="s">
        <v>8</v>
      </c>
      <c r="D583">
        <v>10</v>
      </c>
      <c r="E583">
        <v>100</v>
      </c>
      <c r="F583">
        <v>0.01</v>
      </c>
      <c r="G583" s="129" t="s">
        <v>6</v>
      </c>
      <c r="H583" s="129" t="s">
        <v>4</v>
      </c>
      <c r="I583">
        <v>300</v>
      </c>
      <c r="J583">
        <v>1000</v>
      </c>
      <c r="K583" s="129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s="129" t="s">
        <v>1184</v>
      </c>
      <c r="B584" s="129" t="s">
        <v>52</v>
      </c>
      <c r="C584" s="129" t="s">
        <v>8</v>
      </c>
      <c r="D584">
        <v>10</v>
      </c>
      <c r="E584">
        <v>20</v>
      </c>
      <c r="F584">
        <v>0.01</v>
      </c>
      <c r="G584" s="129" t="s">
        <v>6</v>
      </c>
      <c r="H584" s="129" t="s">
        <v>4</v>
      </c>
      <c r="I584">
        <v>300</v>
      </c>
      <c r="J584">
        <v>1000</v>
      </c>
      <c r="K584" s="129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s="129" t="s">
        <v>1211</v>
      </c>
      <c r="B585" s="129" t="s">
        <v>52</v>
      </c>
      <c r="C585" s="129" t="s">
        <v>8</v>
      </c>
      <c r="D585">
        <v>20</v>
      </c>
      <c r="E585">
        <v>100</v>
      </c>
      <c r="F585">
        <v>0.01</v>
      </c>
      <c r="G585" s="129" t="s">
        <v>6</v>
      </c>
      <c r="H585" s="129" t="s">
        <v>4</v>
      </c>
      <c r="I585">
        <v>1E-3</v>
      </c>
      <c r="J585">
        <v>0.04</v>
      </c>
      <c r="K585" s="129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s="129" t="s">
        <v>1213</v>
      </c>
      <c r="B586" s="129" t="s">
        <v>52</v>
      </c>
      <c r="C586" s="129" t="s">
        <v>8</v>
      </c>
      <c r="D586">
        <v>20</v>
      </c>
      <c r="E586">
        <v>100</v>
      </c>
      <c r="F586">
        <v>0.01</v>
      </c>
      <c r="G586" s="129" t="s">
        <v>6</v>
      </c>
      <c r="H586" s="129" t="s">
        <v>4</v>
      </c>
      <c r="I586">
        <v>0.04</v>
      </c>
      <c r="J586">
        <v>1</v>
      </c>
      <c r="K586" s="129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s="129" t="s">
        <v>1214</v>
      </c>
      <c r="B587" s="129" t="s">
        <v>52</v>
      </c>
      <c r="C587" s="129" t="s">
        <v>8</v>
      </c>
      <c r="D587">
        <v>20</v>
      </c>
      <c r="E587">
        <v>100</v>
      </c>
      <c r="F587">
        <v>0.01</v>
      </c>
      <c r="G587" s="129" t="s">
        <v>6</v>
      </c>
      <c r="H587" s="129" t="s">
        <v>4</v>
      </c>
      <c r="I587">
        <v>1</v>
      </c>
      <c r="J587">
        <v>20</v>
      </c>
      <c r="K587" s="129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s="129" t="s">
        <v>1215</v>
      </c>
      <c r="B588" s="129" t="s">
        <v>52</v>
      </c>
      <c r="C588" s="129" t="s">
        <v>8</v>
      </c>
      <c r="D588">
        <v>20</v>
      </c>
      <c r="E588">
        <v>100</v>
      </c>
      <c r="F588">
        <v>0.01</v>
      </c>
      <c r="G588" s="129" t="s">
        <v>6</v>
      </c>
      <c r="H588" s="129" t="s">
        <v>4</v>
      </c>
      <c r="I588">
        <v>20</v>
      </c>
      <c r="J588">
        <v>50</v>
      </c>
      <c r="K588" s="129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s="129" t="s">
        <v>1212</v>
      </c>
      <c r="B589" s="129" t="s">
        <v>52</v>
      </c>
      <c r="C589" s="129" t="s">
        <v>8</v>
      </c>
      <c r="D589">
        <v>20</v>
      </c>
      <c r="E589">
        <v>100</v>
      </c>
      <c r="F589">
        <v>0.01</v>
      </c>
      <c r="G589" s="129" t="s">
        <v>6</v>
      </c>
      <c r="H589" s="129" t="s">
        <v>4</v>
      </c>
      <c r="I589">
        <v>50</v>
      </c>
      <c r="J589">
        <v>100</v>
      </c>
      <c r="K589" s="12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s="129" t="s">
        <v>1238</v>
      </c>
      <c r="B590" s="129" t="s">
        <v>52</v>
      </c>
      <c r="C590" s="129" t="s">
        <v>8</v>
      </c>
      <c r="D590">
        <v>100</v>
      </c>
      <c r="E590">
        <v>330</v>
      </c>
      <c r="F590">
        <v>0.01</v>
      </c>
      <c r="G590" s="129" t="s">
        <v>6</v>
      </c>
      <c r="H590" s="129" t="s">
        <v>4</v>
      </c>
      <c r="I590">
        <v>1E-3</v>
      </c>
      <c r="J590">
        <v>0.04</v>
      </c>
      <c r="K590" s="129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s="129" t="s">
        <v>2409</v>
      </c>
      <c r="B591" s="129" t="s">
        <v>52</v>
      </c>
      <c r="C591" s="129" t="s">
        <v>8</v>
      </c>
      <c r="D591">
        <v>100</v>
      </c>
      <c r="E591">
        <v>330</v>
      </c>
      <c r="F591">
        <v>0.01</v>
      </c>
      <c r="G591" s="129" t="s">
        <v>6</v>
      </c>
      <c r="H591" s="129" t="s">
        <v>4</v>
      </c>
      <c r="I591">
        <v>0.04</v>
      </c>
      <c r="J591">
        <v>1</v>
      </c>
      <c r="K591" s="129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s="129" t="s">
        <v>1237</v>
      </c>
      <c r="B592" s="129" t="s">
        <v>52</v>
      </c>
      <c r="C592" s="129" t="s">
        <v>8</v>
      </c>
      <c r="D592">
        <v>100</v>
      </c>
      <c r="E592">
        <v>330</v>
      </c>
      <c r="F592">
        <v>0.01</v>
      </c>
      <c r="G592" s="129" t="s">
        <v>6</v>
      </c>
      <c r="H592" s="129" t="s">
        <v>4</v>
      </c>
      <c r="I592">
        <v>1</v>
      </c>
      <c r="J592">
        <v>20</v>
      </c>
      <c r="K592" s="129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s="129" t="s">
        <v>2335</v>
      </c>
      <c r="B593" s="129" t="s">
        <v>52</v>
      </c>
      <c r="C593" s="129" t="s">
        <v>8</v>
      </c>
      <c r="D593">
        <v>100</v>
      </c>
      <c r="E593">
        <v>1000</v>
      </c>
      <c r="F593">
        <v>0.01</v>
      </c>
      <c r="G593" s="129" t="s">
        <v>6</v>
      </c>
      <c r="H593" s="129" t="s">
        <v>4</v>
      </c>
      <c r="I593">
        <v>1</v>
      </c>
      <c r="J593">
        <v>20</v>
      </c>
      <c r="K593" s="129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s="129" t="s">
        <v>1235</v>
      </c>
      <c r="B594" s="129" t="s">
        <v>52</v>
      </c>
      <c r="C594" s="129" t="s">
        <v>8</v>
      </c>
      <c r="D594">
        <v>100</v>
      </c>
      <c r="E594">
        <v>1000</v>
      </c>
      <c r="F594">
        <v>0.01</v>
      </c>
      <c r="G594" s="129" t="s">
        <v>6</v>
      </c>
      <c r="H594" s="129" t="s">
        <v>4</v>
      </c>
      <c r="I594">
        <v>20</v>
      </c>
      <c r="J594">
        <v>50</v>
      </c>
      <c r="K594" s="129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s="129" t="s">
        <v>1239</v>
      </c>
      <c r="B595" s="129" t="s">
        <v>52</v>
      </c>
      <c r="C595" s="129" t="s">
        <v>8</v>
      </c>
      <c r="D595">
        <v>100</v>
      </c>
      <c r="E595">
        <v>330</v>
      </c>
      <c r="F595">
        <v>0.01</v>
      </c>
      <c r="G595" s="129" t="s">
        <v>6</v>
      </c>
      <c r="H595" s="129" t="s">
        <v>4</v>
      </c>
      <c r="I595">
        <v>20</v>
      </c>
      <c r="J595">
        <v>50</v>
      </c>
      <c r="K595" s="129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s="129" t="s">
        <v>2337</v>
      </c>
      <c r="B596" s="129" t="s">
        <v>52</v>
      </c>
      <c r="C596" s="129" t="s">
        <v>8</v>
      </c>
      <c r="D596">
        <v>100</v>
      </c>
      <c r="E596">
        <v>1000</v>
      </c>
      <c r="F596">
        <v>0.01</v>
      </c>
      <c r="G596" s="129" t="s">
        <v>6</v>
      </c>
      <c r="H596" s="129" t="s">
        <v>4</v>
      </c>
      <c r="I596">
        <v>50</v>
      </c>
      <c r="J596">
        <v>100</v>
      </c>
      <c r="K596" s="129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s="129" t="s">
        <v>1236</v>
      </c>
      <c r="B597" s="129" t="s">
        <v>52</v>
      </c>
      <c r="C597" s="129" t="s">
        <v>8</v>
      </c>
      <c r="D597">
        <v>100</v>
      </c>
      <c r="E597">
        <v>330</v>
      </c>
      <c r="F597">
        <v>0.01</v>
      </c>
      <c r="G597" s="129" t="s">
        <v>6</v>
      </c>
      <c r="H597" s="129" t="s">
        <v>4</v>
      </c>
      <c r="I597">
        <v>50</v>
      </c>
      <c r="J597">
        <v>100</v>
      </c>
      <c r="K597" s="129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s="129" t="s">
        <v>2413</v>
      </c>
      <c r="B598" s="129" t="s">
        <v>52</v>
      </c>
      <c r="C598" s="129" t="s">
        <v>8</v>
      </c>
      <c r="D598">
        <v>330</v>
      </c>
      <c r="E598">
        <v>1000</v>
      </c>
      <c r="F598">
        <v>0.01</v>
      </c>
      <c r="G598" s="129" t="s">
        <v>6</v>
      </c>
      <c r="H598" s="129" t="s">
        <v>4</v>
      </c>
      <c r="I598">
        <v>1E-3</v>
      </c>
      <c r="J598">
        <v>0.04</v>
      </c>
      <c r="K598" s="129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s="129" t="s">
        <v>1257</v>
      </c>
      <c r="B599" s="129" t="s">
        <v>52</v>
      </c>
      <c r="C599" s="129" t="s">
        <v>8</v>
      </c>
      <c r="D599">
        <v>330</v>
      </c>
      <c r="E599">
        <v>1000</v>
      </c>
      <c r="F599">
        <v>0.01</v>
      </c>
      <c r="G599" s="129" t="s">
        <v>6</v>
      </c>
      <c r="H599" s="129" t="s">
        <v>4</v>
      </c>
      <c r="I599">
        <v>0.04</v>
      </c>
      <c r="J599">
        <v>1</v>
      </c>
      <c r="K599" s="12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s="129" t="s">
        <v>1258</v>
      </c>
      <c r="B600" s="129" t="s">
        <v>52</v>
      </c>
      <c r="C600" s="129" t="s">
        <v>8</v>
      </c>
      <c r="D600">
        <v>330</v>
      </c>
      <c r="E600">
        <v>1000</v>
      </c>
      <c r="F600">
        <v>0.01</v>
      </c>
      <c r="G600" s="129" t="s">
        <v>6</v>
      </c>
      <c r="H600" s="129" t="s">
        <v>4</v>
      </c>
      <c r="I600">
        <v>1</v>
      </c>
      <c r="J600">
        <v>10</v>
      </c>
      <c r="K600" s="129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s="129" t="s">
        <v>1012</v>
      </c>
      <c r="B601" s="129" t="s">
        <v>52</v>
      </c>
      <c r="C601" s="129" t="s">
        <v>8</v>
      </c>
      <c r="D601">
        <v>0</v>
      </c>
      <c r="E601">
        <v>0.01</v>
      </c>
      <c r="F601">
        <v>0.1</v>
      </c>
      <c r="G601" s="129" t="s">
        <v>6</v>
      </c>
      <c r="H601" s="129" t="s">
        <v>5</v>
      </c>
      <c r="I601">
        <v>1000</v>
      </c>
      <c r="J601">
        <v>4000</v>
      </c>
      <c r="K601" s="129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s="129" t="s">
        <v>2319</v>
      </c>
      <c r="B602" s="129" t="s">
        <v>52</v>
      </c>
      <c r="C602" s="129" t="s">
        <v>8</v>
      </c>
      <c r="D602">
        <v>0</v>
      </c>
      <c r="E602">
        <v>0.01</v>
      </c>
      <c r="F602">
        <v>0.1</v>
      </c>
      <c r="G602" s="129" t="s">
        <v>6</v>
      </c>
      <c r="H602" s="129" t="s">
        <v>5</v>
      </c>
      <c r="I602">
        <v>4000</v>
      </c>
      <c r="J602">
        <v>8000</v>
      </c>
      <c r="K602" s="129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s="129" t="s">
        <v>2372</v>
      </c>
      <c r="B603" s="129" t="s">
        <v>52</v>
      </c>
      <c r="C603" s="129" t="s">
        <v>8</v>
      </c>
      <c r="D603">
        <v>1</v>
      </c>
      <c r="E603">
        <v>10</v>
      </c>
      <c r="F603">
        <v>0.1</v>
      </c>
      <c r="G603" s="129" t="s">
        <v>6</v>
      </c>
      <c r="H603" s="129" t="s">
        <v>4</v>
      </c>
      <c r="I603">
        <v>1E-3</v>
      </c>
      <c r="J603">
        <v>0.04</v>
      </c>
      <c r="K603" s="129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s="129" t="s">
        <v>2375</v>
      </c>
      <c r="B604" s="129" t="s">
        <v>52</v>
      </c>
      <c r="C604" s="129" t="s">
        <v>8</v>
      </c>
      <c r="D604">
        <v>1</v>
      </c>
      <c r="E604">
        <v>10</v>
      </c>
      <c r="F604">
        <v>0.1</v>
      </c>
      <c r="G604" s="129" t="s">
        <v>6</v>
      </c>
      <c r="H604" s="129" t="s">
        <v>4</v>
      </c>
      <c r="I604">
        <v>0.04</v>
      </c>
      <c r="J604">
        <v>1</v>
      </c>
      <c r="K604" s="129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s="129" t="s">
        <v>2377</v>
      </c>
      <c r="B605" s="129" t="s">
        <v>52</v>
      </c>
      <c r="C605" s="129" t="s">
        <v>8</v>
      </c>
      <c r="D605">
        <v>1</v>
      </c>
      <c r="E605">
        <v>10</v>
      </c>
      <c r="F605">
        <v>0.1</v>
      </c>
      <c r="G605" s="129" t="s">
        <v>6</v>
      </c>
      <c r="H605" s="129" t="s">
        <v>4</v>
      </c>
      <c r="I605">
        <v>1</v>
      </c>
      <c r="J605">
        <v>20</v>
      </c>
      <c r="K605" s="129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s="129" t="s">
        <v>1160</v>
      </c>
      <c r="B606" s="129" t="s">
        <v>52</v>
      </c>
      <c r="C606" s="129" t="s">
        <v>8</v>
      </c>
      <c r="D606">
        <v>1</v>
      </c>
      <c r="E606">
        <v>10</v>
      </c>
      <c r="F606">
        <v>0.1</v>
      </c>
      <c r="G606" s="129" t="s">
        <v>6</v>
      </c>
      <c r="H606" s="129" t="s">
        <v>4</v>
      </c>
      <c r="I606">
        <v>20</v>
      </c>
      <c r="J606">
        <v>50</v>
      </c>
      <c r="K606" s="129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s="129" t="s">
        <v>2381</v>
      </c>
      <c r="B607" s="129" t="s">
        <v>52</v>
      </c>
      <c r="C607" s="129" t="s">
        <v>8</v>
      </c>
      <c r="D607">
        <v>1</v>
      </c>
      <c r="E607">
        <v>10</v>
      </c>
      <c r="F607">
        <v>0.1</v>
      </c>
      <c r="G607" s="129" t="s">
        <v>6</v>
      </c>
      <c r="H607" s="129" t="s">
        <v>4</v>
      </c>
      <c r="I607">
        <v>50</v>
      </c>
      <c r="J607">
        <v>100</v>
      </c>
      <c r="K607" s="129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s="129" t="s">
        <v>2383</v>
      </c>
      <c r="B608" s="129" t="s">
        <v>52</v>
      </c>
      <c r="C608" s="129" t="s">
        <v>8</v>
      </c>
      <c r="D608">
        <v>1</v>
      </c>
      <c r="E608">
        <v>10</v>
      </c>
      <c r="F608">
        <v>0.1</v>
      </c>
      <c r="G608" s="129" t="s">
        <v>6</v>
      </c>
      <c r="H608" s="129" t="s">
        <v>4</v>
      </c>
      <c r="I608">
        <v>100</v>
      </c>
      <c r="J608">
        <v>300</v>
      </c>
      <c r="K608" s="129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s="129" t="s">
        <v>1162</v>
      </c>
      <c r="B609" s="129" t="s">
        <v>52</v>
      </c>
      <c r="C609" s="129" t="s">
        <v>8</v>
      </c>
      <c r="D609">
        <v>1</v>
      </c>
      <c r="E609">
        <v>10</v>
      </c>
      <c r="F609">
        <v>0.1</v>
      </c>
      <c r="G609" s="129" t="s">
        <v>6</v>
      </c>
      <c r="H609" s="129" t="s">
        <v>4</v>
      </c>
      <c r="I609">
        <v>300</v>
      </c>
      <c r="J609">
        <v>1000</v>
      </c>
      <c r="K609" s="12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s="129" t="s">
        <v>2328</v>
      </c>
      <c r="B610" s="129" t="s">
        <v>52</v>
      </c>
      <c r="C610" s="129" t="s">
        <v>8</v>
      </c>
      <c r="D610">
        <v>1</v>
      </c>
      <c r="E610">
        <v>10</v>
      </c>
      <c r="F610">
        <v>0.1</v>
      </c>
      <c r="G610" s="129" t="s">
        <v>6</v>
      </c>
      <c r="H610" s="129" t="s">
        <v>4</v>
      </c>
      <c r="I610">
        <v>1000</v>
      </c>
      <c r="J610">
        <v>2000</v>
      </c>
      <c r="K610" s="129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s="129" t="s">
        <v>1163</v>
      </c>
      <c r="B611" s="129" t="s">
        <v>52</v>
      </c>
      <c r="C611" s="129" t="s">
        <v>8</v>
      </c>
      <c r="D611">
        <v>1</v>
      </c>
      <c r="E611">
        <v>10</v>
      </c>
      <c r="F611">
        <v>0.1</v>
      </c>
      <c r="G611" s="129" t="s">
        <v>6</v>
      </c>
      <c r="H611" s="129" t="s">
        <v>4</v>
      </c>
      <c r="I611">
        <v>2000</v>
      </c>
      <c r="J611">
        <v>4000</v>
      </c>
      <c r="K611" s="129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s="129" t="s">
        <v>1161</v>
      </c>
      <c r="B612" s="129" t="s">
        <v>52</v>
      </c>
      <c r="C612" s="129" t="s">
        <v>8</v>
      </c>
      <c r="D612">
        <v>1</v>
      </c>
      <c r="E612">
        <v>10</v>
      </c>
      <c r="F612">
        <v>0.1</v>
      </c>
      <c r="G612" s="129" t="s">
        <v>6</v>
      </c>
      <c r="H612" s="129" t="s">
        <v>4</v>
      </c>
      <c r="I612">
        <v>4000</v>
      </c>
      <c r="J612">
        <v>8000</v>
      </c>
      <c r="K612" s="129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s="129" t="s">
        <v>1164</v>
      </c>
      <c r="B613" s="129" t="s">
        <v>52</v>
      </c>
      <c r="C613" s="129" t="s">
        <v>8</v>
      </c>
      <c r="D613">
        <v>1</v>
      </c>
      <c r="E613">
        <v>10</v>
      </c>
      <c r="F613">
        <v>0.1</v>
      </c>
      <c r="G613" s="129" t="s">
        <v>6</v>
      </c>
      <c r="H613" s="129" t="s">
        <v>4</v>
      </c>
      <c r="I613">
        <v>8000</v>
      </c>
      <c r="J613">
        <v>10000</v>
      </c>
      <c r="K613" s="129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s="129" t="s">
        <v>2386</v>
      </c>
      <c r="B614" s="129" t="s">
        <v>52</v>
      </c>
      <c r="C614" s="129" t="s">
        <v>8</v>
      </c>
      <c r="D614">
        <v>10</v>
      </c>
      <c r="E614">
        <v>20</v>
      </c>
      <c r="F614">
        <v>0.1</v>
      </c>
      <c r="G614" s="129" t="s">
        <v>6</v>
      </c>
      <c r="H614" s="129" t="s">
        <v>4</v>
      </c>
      <c r="I614">
        <v>1E-3</v>
      </c>
      <c r="J614">
        <v>0.04</v>
      </c>
      <c r="K614" s="129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s="129" t="s">
        <v>1190</v>
      </c>
      <c r="B615" s="129" t="s">
        <v>52</v>
      </c>
      <c r="C615" s="129" t="s">
        <v>8</v>
      </c>
      <c r="D615">
        <v>10</v>
      </c>
      <c r="E615">
        <v>20</v>
      </c>
      <c r="F615">
        <v>0.1</v>
      </c>
      <c r="G615" s="129" t="s">
        <v>6</v>
      </c>
      <c r="H615" s="129" t="s">
        <v>4</v>
      </c>
      <c r="I615">
        <v>0.04</v>
      </c>
      <c r="J615">
        <v>1</v>
      </c>
      <c r="K615" s="129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s="129" t="s">
        <v>2390</v>
      </c>
      <c r="B616" s="129" t="s">
        <v>52</v>
      </c>
      <c r="C616" s="129" t="s">
        <v>8</v>
      </c>
      <c r="D616">
        <v>10</v>
      </c>
      <c r="E616">
        <v>20</v>
      </c>
      <c r="F616">
        <v>0.1</v>
      </c>
      <c r="G616" s="129" t="s">
        <v>6</v>
      </c>
      <c r="H616" s="129" t="s">
        <v>4</v>
      </c>
      <c r="I616">
        <v>1</v>
      </c>
      <c r="J616">
        <v>20</v>
      </c>
      <c r="K616" s="129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s="129" t="s">
        <v>1189</v>
      </c>
      <c r="B617" s="129" t="s">
        <v>52</v>
      </c>
      <c r="C617" s="129" t="s">
        <v>8</v>
      </c>
      <c r="D617">
        <v>10</v>
      </c>
      <c r="E617">
        <v>20</v>
      </c>
      <c r="F617">
        <v>0.1</v>
      </c>
      <c r="G617" s="129" t="s">
        <v>6</v>
      </c>
      <c r="H617" s="129" t="s">
        <v>4</v>
      </c>
      <c r="I617">
        <v>20</v>
      </c>
      <c r="J617">
        <v>50</v>
      </c>
      <c r="K617" s="129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s="129" t="s">
        <v>1191</v>
      </c>
      <c r="B618" s="129" t="s">
        <v>52</v>
      </c>
      <c r="C618" s="129" t="s">
        <v>8</v>
      </c>
      <c r="D618">
        <v>10</v>
      </c>
      <c r="E618">
        <v>20</v>
      </c>
      <c r="F618">
        <v>0.1</v>
      </c>
      <c r="G618" s="129" t="s">
        <v>6</v>
      </c>
      <c r="H618" s="129" t="s">
        <v>4</v>
      </c>
      <c r="I618">
        <v>50</v>
      </c>
      <c r="J618">
        <v>100</v>
      </c>
      <c r="K618" s="129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s="129" t="s">
        <v>2397</v>
      </c>
      <c r="B619" s="129" t="s">
        <v>52</v>
      </c>
      <c r="C619" s="129" t="s">
        <v>8</v>
      </c>
      <c r="D619">
        <v>10</v>
      </c>
      <c r="E619">
        <v>20</v>
      </c>
      <c r="F619">
        <v>0.1</v>
      </c>
      <c r="G619" s="129" t="s">
        <v>6</v>
      </c>
      <c r="H619" s="129" t="s">
        <v>4</v>
      </c>
      <c r="I619">
        <v>100</v>
      </c>
      <c r="J619">
        <v>300</v>
      </c>
      <c r="K619" s="12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s="129" t="s">
        <v>1192</v>
      </c>
      <c r="B620" s="129" t="s">
        <v>52</v>
      </c>
      <c r="C620" s="129" t="s">
        <v>8</v>
      </c>
      <c r="D620">
        <v>10</v>
      </c>
      <c r="E620">
        <v>100</v>
      </c>
      <c r="F620">
        <v>0.1</v>
      </c>
      <c r="G620" s="129" t="s">
        <v>6</v>
      </c>
      <c r="H620" s="129" t="s">
        <v>4</v>
      </c>
      <c r="I620">
        <v>100</v>
      </c>
      <c r="J620">
        <v>300</v>
      </c>
      <c r="K620" s="129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s="129" t="s">
        <v>2333</v>
      </c>
      <c r="B621" s="129" t="s">
        <v>52</v>
      </c>
      <c r="C621" s="129" t="s">
        <v>8</v>
      </c>
      <c r="D621">
        <v>10</v>
      </c>
      <c r="E621">
        <v>100</v>
      </c>
      <c r="F621">
        <v>0.1</v>
      </c>
      <c r="G621" s="129" t="s">
        <v>6</v>
      </c>
      <c r="H621" s="129" t="s">
        <v>4</v>
      </c>
      <c r="I621">
        <v>300</v>
      </c>
      <c r="J621">
        <v>1000</v>
      </c>
      <c r="K621" s="129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s="129" t="s">
        <v>2399</v>
      </c>
      <c r="B622" s="129" t="s">
        <v>52</v>
      </c>
      <c r="C622" s="129" t="s">
        <v>8</v>
      </c>
      <c r="D622">
        <v>10</v>
      </c>
      <c r="E622">
        <v>20</v>
      </c>
      <c r="F622">
        <v>0.1</v>
      </c>
      <c r="G622" s="129" t="s">
        <v>6</v>
      </c>
      <c r="H622" s="129" t="s">
        <v>4</v>
      </c>
      <c r="I622">
        <v>300</v>
      </c>
      <c r="J622">
        <v>1000</v>
      </c>
      <c r="K622" s="129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s="129" t="s">
        <v>2401</v>
      </c>
      <c r="B623" s="129" t="s">
        <v>52</v>
      </c>
      <c r="C623" s="129" t="s">
        <v>8</v>
      </c>
      <c r="D623">
        <v>20</v>
      </c>
      <c r="E623">
        <v>100</v>
      </c>
      <c r="F623">
        <v>0.1</v>
      </c>
      <c r="G623" s="129" t="s">
        <v>6</v>
      </c>
      <c r="H623" s="129" t="s">
        <v>4</v>
      </c>
      <c r="I623">
        <v>1E-3</v>
      </c>
      <c r="J623">
        <v>0.04</v>
      </c>
      <c r="K623" s="129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s="129" t="s">
        <v>1216</v>
      </c>
      <c r="B624" s="129" t="s">
        <v>52</v>
      </c>
      <c r="C624" s="129" t="s">
        <v>8</v>
      </c>
      <c r="D624">
        <v>20</v>
      </c>
      <c r="E624">
        <v>100</v>
      </c>
      <c r="F624">
        <v>0.1</v>
      </c>
      <c r="G624" s="129" t="s">
        <v>6</v>
      </c>
      <c r="H624" s="129" t="s">
        <v>4</v>
      </c>
      <c r="I624">
        <v>0.04</v>
      </c>
      <c r="J624">
        <v>1</v>
      </c>
      <c r="K624" s="129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s="129" t="s">
        <v>1218</v>
      </c>
      <c r="B625" s="129" t="s">
        <v>52</v>
      </c>
      <c r="C625" s="129" t="s">
        <v>8</v>
      </c>
      <c r="D625">
        <v>20</v>
      </c>
      <c r="E625">
        <v>100</v>
      </c>
      <c r="F625">
        <v>0.1</v>
      </c>
      <c r="G625" s="129" t="s">
        <v>6</v>
      </c>
      <c r="H625" s="129" t="s">
        <v>4</v>
      </c>
      <c r="I625">
        <v>1</v>
      </c>
      <c r="J625">
        <v>20</v>
      </c>
      <c r="K625" s="129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s="129" t="s">
        <v>1217</v>
      </c>
      <c r="B626" s="129" t="s">
        <v>52</v>
      </c>
      <c r="C626" s="129" t="s">
        <v>8</v>
      </c>
      <c r="D626">
        <v>20</v>
      </c>
      <c r="E626">
        <v>100</v>
      </c>
      <c r="F626">
        <v>0.1</v>
      </c>
      <c r="G626" s="129" t="s">
        <v>6</v>
      </c>
      <c r="H626" s="129" t="s">
        <v>4</v>
      </c>
      <c r="I626">
        <v>20</v>
      </c>
      <c r="J626">
        <v>50</v>
      </c>
      <c r="K626" s="129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s="129" t="s">
        <v>1219</v>
      </c>
      <c r="B627" s="129" t="s">
        <v>52</v>
      </c>
      <c r="C627" s="129" t="s">
        <v>8</v>
      </c>
      <c r="D627">
        <v>20</v>
      </c>
      <c r="E627">
        <v>100</v>
      </c>
      <c r="F627">
        <v>0.1</v>
      </c>
      <c r="G627" s="129" t="s">
        <v>6</v>
      </c>
      <c r="H627" s="129" t="s">
        <v>4</v>
      </c>
      <c r="I627">
        <v>50</v>
      </c>
      <c r="J627">
        <v>100</v>
      </c>
      <c r="K627" s="129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s="129" t="s">
        <v>1244</v>
      </c>
      <c r="B628" s="129" t="s">
        <v>52</v>
      </c>
      <c r="C628" s="129" t="s">
        <v>8</v>
      </c>
      <c r="D628">
        <v>100</v>
      </c>
      <c r="E628">
        <v>330</v>
      </c>
      <c r="F628">
        <v>0.1</v>
      </c>
      <c r="G628" s="129" t="s">
        <v>6</v>
      </c>
      <c r="H628" s="129" t="s">
        <v>4</v>
      </c>
      <c r="I628">
        <v>1E-3</v>
      </c>
      <c r="J628">
        <v>0.04</v>
      </c>
      <c r="K628" s="129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s="129" t="s">
        <v>1245</v>
      </c>
      <c r="B629" s="129" t="s">
        <v>52</v>
      </c>
      <c r="C629" s="129" t="s">
        <v>8</v>
      </c>
      <c r="D629">
        <v>100</v>
      </c>
      <c r="E629">
        <v>330</v>
      </c>
      <c r="F629">
        <v>0.1</v>
      </c>
      <c r="G629" s="129" t="s">
        <v>6</v>
      </c>
      <c r="H629" s="129" t="s">
        <v>4</v>
      </c>
      <c r="I629">
        <v>0.04</v>
      </c>
      <c r="J629">
        <v>1</v>
      </c>
      <c r="K629" s="1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s="129" t="s">
        <v>1242</v>
      </c>
      <c r="B630" s="129" t="s">
        <v>52</v>
      </c>
      <c r="C630" s="129" t="s">
        <v>8</v>
      </c>
      <c r="D630">
        <v>100</v>
      </c>
      <c r="E630">
        <v>330</v>
      </c>
      <c r="F630">
        <v>0.1</v>
      </c>
      <c r="G630" s="129" t="s">
        <v>6</v>
      </c>
      <c r="H630" s="129" t="s">
        <v>4</v>
      </c>
      <c r="I630">
        <v>1</v>
      </c>
      <c r="J630">
        <v>20</v>
      </c>
      <c r="K630" s="129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s="129" t="s">
        <v>1240</v>
      </c>
      <c r="B631" s="129" t="s">
        <v>52</v>
      </c>
      <c r="C631" s="129" t="s">
        <v>8</v>
      </c>
      <c r="D631">
        <v>100</v>
      </c>
      <c r="E631">
        <v>1000</v>
      </c>
      <c r="F631">
        <v>0.1</v>
      </c>
      <c r="G631" s="129" t="s">
        <v>6</v>
      </c>
      <c r="H631" s="129" t="s">
        <v>4</v>
      </c>
      <c r="I631">
        <v>1</v>
      </c>
      <c r="J631">
        <v>20</v>
      </c>
      <c r="K631" s="129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s="129" t="s">
        <v>1246</v>
      </c>
      <c r="B632" s="129" t="s">
        <v>52</v>
      </c>
      <c r="C632" s="129" t="s">
        <v>8</v>
      </c>
      <c r="D632">
        <v>100</v>
      </c>
      <c r="E632">
        <v>330</v>
      </c>
      <c r="F632">
        <v>0.1</v>
      </c>
      <c r="G632" s="129" t="s">
        <v>6</v>
      </c>
      <c r="H632" s="129" t="s">
        <v>4</v>
      </c>
      <c r="I632">
        <v>20</v>
      </c>
      <c r="J632">
        <v>50</v>
      </c>
      <c r="K632" s="129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s="129" t="s">
        <v>1243</v>
      </c>
      <c r="B633" s="129" t="s">
        <v>52</v>
      </c>
      <c r="C633" s="129" t="s">
        <v>8</v>
      </c>
      <c r="D633">
        <v>100</v>
      </c>
      <c r="E633">
        <v>1000</v>
      </c>
      <c r="F633">
        <v>0.1</v>
      </c>
      <c r="G633" s="129" t="s">
        <v>6</v>
      </c>
      <c r="H633" s="129" t="s">
        <v>4</v>
      </c>
      <c r="I633">
        <v>20</v>
      </c>
      <c r="J633">
        <v>50</v>
      </c>
      <c r="K633" s="129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s="129" t="s">
        <v>2338</v>
      </c>
      <c r="B634" s="129" t="s">
        <v>52</v>
      </c>
      <c r="C634" s="129" t="s">
        <v>8</v>
      </c>
      <c r="D634">
        <v>100</v>
      </c>
      <c r="E634">
        <v>1000</v>
      </c>
      <c r="F634">
        <v>0.1</v>
      </c>
      <c r="G634" s="129" t="s">
        <v>6</v>
      </c>
      <c r="H634" s="129" t="s">
        <v>4</v>
      </c>
      <c r="I634">
        <v>50</v>
      </c>
      <c r="J634">
        <v>100</v>
      </c>
      <c r="K634" s="129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s="129" t="s">
        <v>1241</v>
      </c>
      <c r="B635" s="129" t="s">
        <v>52</v>
      </c>
      <c r="C635" s="129" t="s">
        <v>8</v>
      </c>
      <c r="D635">
        <v>100</v>
      </c>
      <c r="E635">
        <v>330</v>
      </c>
      <c r="F635">
        <v>0.1</v>
      </c>
      <c r="G635" s="129" t="s">
        <v>6</v>
      </c>
      <c r="H635" s="129" t="s">
        <v>4</v>
      </c>
      <c r="I635">
        <v>50</v>
      </c>
      <c r="J635">
        <v>100</v>
      </c>
      <c r="K635" s="129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s="129" t="s">
        <v>1260</v>
      </c>
      <c r="B636" s="129" t="s">
        <v>52</v>
      </c>
      <c r="C636" s="129" t="s">
        <v>8</v>
      </c>
      <c r="D636">
        <v>330</v>
      </c>
      <c r="E636">
        <v>1000</v>
      </c>
      <c r="F636">
        <v>0.1</v>
      </c>
      <c r="G636" s="129" t="s">
        <v>6</v>
      </c>
      <c r="H636" s="129" t="s">
        <v>4</v>
      </c>
      <c r="I636">
        <v>1E-3</v>
      </c>
      <c r="J636">
        <v>0.04</v>
      </c>
      <c r="K636" s="129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s="129" t="s">
        <v>1261</v>
      </c>
      <c r="B637" s="129" t="s">
        <v>52</v>
      </c>
      <c r="C637" s="129" t="s">
        <v>8</v>
      </c>
      <c r="D637">
        <v>330</v>
      </c>
      <c r="E637">
        <v>1000</v>
      </c>
      <c r="F637">
        <v>0.1</v>
      </c>
      <c r="G637" s="129" t="s">
        <v>6</v>
      </c>
      <c r="H637" s="129" t="s">
        <v>4</v>
      </c>
      <c r="I637">
        <v>0.04</v>
      </c>
      <c r="J637">
        <v>1</v>
      </c>
      <c r="K637" s="129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s="129" t="s">
        <v>1259</v>
      </c>
      <c r="B638" s="129" t="s">
        <v>52</v>
      </c>
      <c r="C638" s="129" t="s">
        <v>8</v>
      </c>
      <c r="D638">
        <v>330</v>
      </c>
      <c r="E638">
        <v>1000</v>
      </c>
      <c r="F638">
        <v>0.1</v>
      </c>
      <c r="G638" s="129" t="s">
        <v>6</v>
      </c>
      <c r="H638" s="129" t="s">
        <v>4</v>
      </c>
      <c r="I638">
        <v>1</v>
      </c>
      <c r="J638">
        <v>10</v>
      </c>
      <c r="K638" s="129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s="129" t="s">
        <v>1013</v>
      </c>
      <c r="B639" s="129" t="s">
        <v>52</v>
      </c>
      <c r="C639" s="129" t="s">
        <v>8</v>
      </c>
      <c r="D639">
        <v>0</v>
      </c>
      <c r="E639">
        <v>0.01</v>
      </c>
      <c r="F639">
        <v>1</v>
      </c>
      <c r="G639" s="129" t="s">
        <v>6</v>
      </c>
      <c r="H639" s="129" t="s">
        <v>5</v>
      </c>
      <c r="I639">
        <v>1000</v>
      </c>
      <c r="J639">
        <v>4000</v>
      </c>
      <c r="K639" s="12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s="129" t="s">
        <v>1014</v>
      </c>
      <c r="B640" s="129" t="s">
        <v>52</v>
      </c>
      <c r="C640" s="129" t="s">
        <v>8</v>
      </c>
      <c r="D640">
        <v>0</v>
      </c>
      <c r="E640">
        <v>0.01</v>
      </c>
      <c r="F640">
        <v>1</v>
      </c>
      <c r="G640" s="129" t="s">
        <v>6</v>
      </c>
      <c r="H640" s="129" t="s">
        <v>5</v>
      </c>
      <c r="I640">
        <v>4000</v>
      </c>
      <c r="J640">
        <v>8000</v>
      </c>
      <c r="K640" s="129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s="129" t="s">
        <v>1196</v>
      </c>
      <c r="B641" s="129" t="s">
        <v>52</v>
      </c>
      <c r="C641" s="129" t="s">
        <v>8</v>
      </c>
      <c r="D641">
        <v>10</v>
      </c>
      <c r="E641">
        <v>20</v>
      </c>
      <c r="F641">
        <v>1</v>
      </c>
      <c r="G641" s="129" t="s">
        <v>6</v>
      </c>
      <c r="H641" s="129" t="s">
        <v>4</v>
      </c>
      <c r="I641">
        <v>1E-3</v>
      </c>
      <c r="J641">
        <v>0.04</v>
      </c>
      <c r="K641" s="129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s="129" t="s">
        <v>1199</v>
      </c>
      <c r="B642" s="129" t="s">
        <v>52</v>
      </c>
      <c r="C642" s="129" t="s">
        <v>8</v>
      </c>
      <c r="D642">
        <v>10</v>
      </c>
      <c r="E642">
        <v>20</v>
      </c>
      <c r="F642">
        <v>1</v>
      </c>
      <c r="G642" s="129" t="s">
        <v>6</v>
      </c>
      <c r="H642" s="129" t="s">
        <v>4</v>
      </c>
      <c r="I642">
        <v>0.04</v>
      </c>
      <c r="J642">
        <v>1</v>
      </c>
      <c r="K642" s="129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s="129" t="s">
        <v>1194</v>
      </c>
      <c r="B643" s="129" t="s">
        <v>52</v>
      </c>
      <c r="C643" s="129" t="s">
        <v>8</v>
      </c>
      <c r="D643">
        <v>10</v>
      </c>
      <c r="E643">
        <v>20</v>
      </c>
      <c r="F643">
        <v>1</v>
      </c>
      <c r="G643" s="129" t="s">
        <v>6</v>
      </c>
      <c r="H643" s="129" t="s">
        <v>4</v>
      </c>
      <c r="I643">
        <v>1</v>
      </c>
      <c r="J643">
        <v>20</v>
      </c>
      <c r="K643" s="129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s="129" t="s">
        <v>1197</v>
      </c>
      <c r="B644" s="129" t="s">
        <v>52</v>
      </c>
      <c r="C644" s="129" t="s">
        <v>8</v>
      </c>
      <c r="D644">
        <v>10</v>
      </c>
      <c r="E644">
        <v>20</v>
      </c>
      <c r="F644">
        <v>1</v>
      </c>
      <c r="G644" s="129" t="s">
        <v>6</v>
      </c>
      <c r="H644" s="129" t="s">
        <v>4</v>
      </c>
      <c r="I644">
        <v>20</v>
      </c>
      <c r="J644">
        <v>50</v>
      </c>
      <c r="K644" s="129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s="129" t="s">
        <v>1198</v>
      </c>
      <c r="B645" s="129" t="s">
        <v>52</v>
      </c>
      <c r="C645" s="129" t="s">
        <v>8</v>
      </c>
      <c r="D645">
        <v>10</v>
      </c>
      <c r="E645">
        <v>20</v>
      </c>
      <c r="F645">
        <v>1</v>
      </c>
      <c r="G645" s="129" t="s">
        <v>6</v>
      </c>
      <c r="H645" s="129" t="s">
        <v>4</v>
      </c>
      <c r="I645">
        <v>50</v>
      </c>
      <c r="J645">
        <v>100</v>
      </c>
      <c r="K645" s="129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s="129" t="s">
        <v>2332</v>
      </c>
      <c r="B646" s="129" t="s">
        <v>52</v>
      </c>
      <c r="C646" s="129" t="s">
        <v>8</v>
      </c>
      <c r="D646">
        <v>10</v>
      </c>
      <c r="E646">
        <v>100</v>
      </c>
      <c r="F646">
        <v>1</v>
      </c>
      <c r="G646" s="129" t="s">
        <v>6</v>
      </c>
      <c r="H646" s="129" t="s">
        <v>4</v>
      </c>
      <c r="I646">
        <v>100</v>
      </c>
      <c r="J646">
        <v>300</v>
      </c>
      <c r="K646" s="129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s="129" t="s">
        <v>1195</v>
      </c>
      <c r="B647" s="129" t="s">
        <v>52</v>
      </c>
      <c r="C647" s="129" t="s">
        <v>8</v>
      </c>
      <c r="D647">
        <v>10</v>
      </c>
      <c r="E647">
        <v>20</v>
      </c>
      <c r="F647">
        <v>1</v>
      </c>
      <c r="G647" s="129" t="s">
        <v>6</v>
      </c>
      <c r="H647" s="129" t="s">
        <v>4</v>
      </c>
      <c r="I647">
        <v>100</v>
      </c>
      <c r="J647">
        <v>300</v>
      </c>
      <c r="K647" s="129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s="129" t="s">
        <v>2400</v>
      </c>
      <c r="B648" s="129" t="s">
        <v>52</v>
      </c>
      <c r="C648" s="129" t="s">
        <v>8</v>
      </c>
      <c r="D648">
        <v>10</v>
      </c>
      <c r="E648">
        <v>20</v>
      </c>
      <c r="F648">
        <v>1</v>
      </c>
      <c r="G648" s="129" t="s">
        <v>6</v>
      </c>
      <c r="H648" s="129" t="s">
        <v>4</v>
      </c>
      <c r="I648">
        <v>300</v>
      </c>
      <c r="J648">
        <v>1000</v>
      </c>
      <c r="K648" s="129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s="129" t="s">
        <v>1193</v>
      </c>
      <c r="B649" s="129" t="s">
        <v>52</v>
      </c>
      <c r="C649" s="129" t="s">
        <v>8</v>
      </c>
      <c r="D649">
        <v>10</v>
      </c>
      <c r="E649">
        <v>100</v>
      </c>
      <c r="F649">
        <v>1</v>
      </c>
      <c r="G649" s="129" t="s">
        <v>6</v>
      </c>
      <c r="H649" s="129" t="s">
        <v>4</v>
      </c>
      <c r="I649">
        <v>300</v>
      </c>
      <c r="J649">
        <v>1000</v>
      </c>
      <c r="K649" s="12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s="129" t="s">
        <v>1222</v>
      </c>
      <c r="B650" s="129" t="s">
        <v>52</v>
      </c>
      <c r="C650" s="129" t="s">
        <v>8</v>
      </c>
      <c r="D650">
        <v>20</v>
      </c>
      <c r="E650">
        <v>100</v>
      </c>
      <c r="F650">
        <v>1</v>
      </c>
      <c r="G650" s="129" t="s">
        <v>6</v>
      </c>
      <c r="H650" s="129" t="s">
        <v>4</v>
      </c>
      <c r="I650">
        <v>1E-3</v>
      </c>
      <c r="J650">
        <v>0.04</v>
      </c>
      <c r="K650" s="129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s="129" t="s">
        <v>2403</v>
      </c>
      <c r="B651" s="129" t="s">
        <v>52</v>
      </c>
      <c r="C651" s="129" t="s">
        <v>8</v>
      </c>
      <c r="D651">
        <v>20</v>
      </c>
      <c r="E651">
        <v>100</v>
      </c>
      <c r="F651">
        <v>1</v>
      </c>
      <c r="G651" s="129" t="s">
        <v>6</v>
      </c>
      <c r="H651" s="129" t="s">
        <v>4</v>
      </c>
      <c r="I651">
        <v>0.04</v>
      </c>
      <c r="J651">
        <v>1</v>
      </c>
      <c r="K651" s="129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s="129" t="s">
        <v>1221</v>
      </c>
      <c r="B652" s="129" t="s">
        <v>52</v>
      </c>
      <c r="C652" s="129" t="s">
        <v>8</v>
      </c>
      <c r="D652">
        <v>20</v>
      </c>
      <c r="E652">
        <v>100</v>
      </c>
      <c r="F652">
        <v>1</v>
      </c>
      <c r="G652" s="129" t="s">
        <v>6</v>
      </c>
      <c r="H652" s="129" t="s">
        <v>4</v>
      </c>
      <c r="I652">
        <v>1</v>
      </c>
      <c r="J652">
        <v>20</v>
      </c>
      <c r="K652" s="129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s="129" t="s">
        <v>1220</v>
      </c>
      <c r="B653" s="129" t="s">
        <v>52</v>
      </c>
      <c r="C653" s="129" t="s">
        <v>8</v>
      </c>
      <c r="D653">
        <v>20</v>
      </c>
      <c r="E653">
        <v>100</v>
      </c>
      <c r="F653">
        <v>1</v>
      </c>
      <c r="G653" s="129" t="s">
        <v>6</v>
      </c>
      <c r="H653" s="129" t="s">
        <v>4</v>
      </c>
      <c r="I653">
        <v>20</v>
      </c>
      <c r="J653">
        <v>50</v>
      </c>
      <c r="K653" s="129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s="129" t="s">
        <v>2407</v>
      </c>
      <c r="B654" s="129" t="s">
        <v>52</v>
      </c>
      <c r="C654" s="129" t="s">
        <v>8</v>
      </c>
      <c r="D654">
        <v>20</v>
      </c>
      <c r="E654">
        <v>100</v>
      </c>
      <c r="F654">
        <v>1</v>
      </c>
      <c r="G654" s="129" t="s">
        <v>6</v>
      </c>
      <c r="H654" s="129" t="s">
        <v>4</v>
      </c>
      <c r="I654">
        <v>50</v>
      </c>
      <c r="J654">
        <v>100</v>
      </c>
      <c r="K654" s="129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s="129" t="s">
        <v>1251</v>
      </c>
      <c r="B655" s="129" t="s">
        <v>52</v>
      </c>
      <c r="C655" s="129" t="s">
        <v>8</v>
      </c>
      <c r="D655">
        <v>100</v>
      </c>
      <c r="E655">
        <v>330</v>
      </c>
      <c r="F655">
        <v>1</v>
      </c>
      <c r="G655" s="129" t="s">
        <v>6</v>
      </c>
      <c r="H655" s="129" t="s">
        <v>4</v>
      </c>
      <c r="I655">
        <v>1E-3</v>
      </c>
      <c r="J655">
        <v>0.04</v>
      </c>
      <c r="K655" s="129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s="129" t="s">
        <v>2410</v>
      </c>
      <c r="B656" s="129" t="s">
        <v>52</v>
      </c>
      <c r="C656" s="129" t="s">
        <v>8</v>
      </c>
      <c r="D656">
        <v>100</v>
      </c>
      <c r="E656">
        <v>330</v>
      </c>
      <c r="F656">
        <v>1</v>
      </c>
      <c r="G656" s="129" t="s">
        <v>6</v>
      </c>
      <c r="H656" s="129" t="s">
        <v>4</v>
      </c>
      <c r="I656">
        <v>0.04</v>
      </c>
      <c r="J656">
        <v>1</v>
      </c>
      <c r="K656" s="129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s="129" t="s">
        <v>1250</v>
      </c>
      <c r="B657" s="129" t="s">
        <v>52</v>
      </c>
      <c r="C657" s="129" t="s">
        <v>8</v>
      </c>
      <c r="D657">
        <v>100</v>
      </c>
      <c r="E657">
        <v>330</v>
      </c>
      <c r="F657">
        <v>1</v>
      </c>
      <c r="G657" s="129" t="s">
        <v>6</v>
      </c>
      <c r="H657" s="129" t="s">
        <v>4</v>
      </c>
      <c r="I657">
        <v>1</v>
      </c>
      <c r="J657">
        <v>20</v>
      </c>
      <c r="K657" s="129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s="129" t="s">
        <v>1249</v>
      </c>
      <c r="B658" s="129" t="s">
        <v>52</v>
      </c>
      <c r="C658" s="129" t="s">
        <v>8</v>
      </c>
      <c r="D658">
        <v>100</v>
      </c>
      <c r="E658">
        <v>1000</v>
      </c>
      <c r="F658">
        <v>1</v>
      </c>
      <c r="G658" s="129" t="s">
        <v>6</v>
      </c>
      <c r="H658" s="129" t="s">
        <v>4</v>
      </c>
      <c r="I658">
        <v>1</v>
      </c>
      <c r="J658">
        <v>20</v>
      </c>
      <c r="K658" s="129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s="129" t="s">
        <v>1248</v>
      </c>
      <c r="B659" s="129" t="s">
        <v>52</v>
      </c>
      <c r="C659" s="129" t="s">
        <v>8</v>
      </c>
      <c r="D659">
        <v>100</v>
      </c>
      <c r="E659">
        <v>1000</v>
      </c>
      <c r="F659">
        <v>1</v>
      </c>
      <c r="G659" s="129" t="s">
        <v>6</v>
      </c>
      <c r="H659" s="129" t="s">
        <v>4</v>
      </c>
      <c r="I659">
        <v>20</v>
      </c>
      <c r="J659">
        <v>50</v>
      </c>
      <c r="K659" s="12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s="129" t="s">
        <v>2411</v>
      </c>
      <c r="B660" s="129" t="s">
        <v>52</v>
      </c>
      <c r="C660" s="129" t="s">
        <v>8</v>
      </c>
      <c r="D660">
        <v>100</v>
      </c>
      <c r="E660">
        <v>330</v>
      </c>
      <c r="F660">
        <v>1</v>
      </c>
      <c r="G660" s="129" t="s">
        <v>6</v>
      </c>
      <c r="H660" s="129" t="s">
        <v>4</v>
      </c>
      <c r="I660">
        <v>20</v>
      </c>
      <c r="J660">
        <v>50</v>
      </c>
      <c r="K660" s="129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s="129" t="s">
        <v>2339</v>
      </c>
      <c r="B661" s="129" t="s">
        <v>52</v>
      </c>
      <c r="C661" s="129" t="s">
        <v>8</v>
      </c>
      <c r="D661">
        <v>100</v>
      </c>
      <c r="E661">
        <v>1000</v>
      </c>
      <c r="F661">
        <v>1</v>
      </c>
      <c r="G661" s="129" t="s">
        <v>6</v>
      </c>
      <c r="H661" s="129" t="s">
        <v>4</v>
      </c>
      <c r="I661">
        <v>50</v>
      </c>
      <c r="J661">
        <v>100</v>
      </c>
      <c r="K661" s="129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s="129" t="s">
        <v>1247</v>
      </c>
      <c r="B662" s="129" t="s">
        <v>52</v>
      </c>
      <c r="C662" s="129" t="s">
        <v>8</v>
      </c>
      <c r="D662">
        <v>100</v>
      </c>
      <c r="E662">
        <v>330</v>
      </c>
      <c r="F662">
        <v>1</v>
      </c>
      <c r="G662" s="129" t="s">
        <v>6</v>
      </c>
      <c r="H662" s="129" t="s">
        <v>4</v>
      </c>
      <c r="I662">
        <v>50</v>
      </c>
      <c r="J662">
        <v>100</v>
      </c>
      <c r="K662" s="129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s="129" t="s">
        <v>2414</v>
      </c>
      <c r="B663" s="129" t="s">
        <v>52</v>
      </c>
      <c r="C663" s="129" t="s">
        <v>8</v>
      </c>
      <c r="D663">
        <v>330</v>
      </c>
      <c r="E663">
        <v>1000</v>
      </c>
      <c r="F663">
        <v>1</v>
      </c>
      <c r="G663" s="129" t="s">
        <v>6</v>
      </c>
      <c r="H663" s="129" t="s">
        <v>4</v>
      </c>
      <c r="I663">
        <v>1E-3</v>
      </c>
      <c r="J663">
        <v>0.04</v>
      </c>
      <c r="K663" s="129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s="129" t="s">
        <v>1263</v>
      </c>
      <c r="B664" s="129" t="s">
        <v>52</v>
      </c>
      <c r="C664" s="129" t="s">
        <v>8</v>
      </c>
      <c r="D664">
        <v>330</v>
      </c>
      <c r="E664">
        <v>1000</v>
      </c>
      <c r="F664">
        <v>1</v>
      </c>
      <c r="G664" s="129" t="s">
        <v>6</v>
      </c>
      <c r="H664" s="129" t="s">
        <v>4</v>
      </c>
      <c r="I664">
        <v>0.04</v>
      </c>
      <c r="J664">
        <v>1</v>
      </c>
      <c r="K664" s="129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s="129" t="s">
        <v>1262</v>
      </c>
      <c r="B665" s="129" t="s">
        <v>52</v>
      </c>
      <c r="C665" s="129" t="s">
        <v>8</v>
      </c>
      <c r="D665">
        <v>330</v>
      </c>
      <c r="E665">
        <v>1000</v>
      </c>
      <c r="F665">
        <v>1</v>
      </c>
      <c r="G665" s="129" t="s">
        <v>6</v>
      </c>
      <c r="H665" s="129" t="s">
        <v>4</v>
      </c>
      <c r="I665">
        <v>1</v>
      </c>
      <c r="J665">
        <v>10</v>
      </c>
      <c r="K665" s="129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s="129" t="s">
        <v>440</v>
      </c>
      <c r="B666" s="129" t="s">
        <v>52</v>
      </c>
      <c r="C666" s="129" t="s">
        <v>88</v>
      </c>
      <c r="D666">
        <v>-270</v>
      </c>
      <c r="E666">
        <v>149</v>
      </c>
      <c r="F666">
        <v>0.1</v>
      </c>
      <c r="G666" s="129" t="s">
        <v>23</v>
      </c>
      <c r="H666" s="129" t="s">
        <v>23</v>
      </c>
      <c r="I666">
        <v>0</v>
      </c>
      <c r="J666">
        <v>0</v>
      </c>
      <c r="K666" s="129" t="s">
        <v>1962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s="129" t="s">
        <v>442</v>
      </c>
      <c r="B667" s="129" t="s">
        <v>52</v>
      </c>
      <c r="C667" s="129" t="s">
        <v>88</v>
      </c>
      <c r="D667">
        <v>149.001</v>
      </c>
      <c r="E667">
        <v>593</v>
      </c>
      <c r="F667">
        <v>0.1</v>
      </c>
      <c r="G667" s="129" t="s">
        <v>23</v>
      </c>
      <c r="H667" s="129" t="s">
        <v>23</v>
      </c>
      <c r="I667">
        <v>0</v>
      </c>
      <c r="J667">
        <v>0</v>
      </c>
      <c r="K667" s="129" t="s">
        <v>1962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s="129" t="s">
        <v>443</v>
      </c>
      <c r="B668" s="129" t="s">
        <v>52</v>
      </c>
      <c r="C668" s="129" t="s">
        <v>88</v>
      </c>
      <c r="D668">
        <v>593.00099999999998</v>
      </c>
      <c r="E668">
        <v>1000</v>
      </c>
      <c r="F668">
        <v>0.1</v>
      </c>
      <c r="G668" s="129" t="s">
        <v>23</v>
      </c>
      <c r="H668" s="129" t="s">
        <v>23</v>
      </c>
      <c r="I668">
        <v>0</v>
      </c>
      <c r="J668">
        <v>0</v>
      </c>
      <c r="K668" s="129" t="s">
        <v>1962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s="129" t="s">
        <v>441</v>
      </c>
      <c r="B669" s="129" t="s">
        <v>52</v>
      </c>
      <c r="C669" s="129" t="s">
        <v>88</v>
      </c>
      <c r="D669">
        <v>-270</v>
      </c>
      <c r="E669">
        <v>149</v>
      </c>
      <c r="F669">
        <v>1</v>
      </c>
      <c r="G669" s="129" t="s">
        <v>23</v>
      </c>
      <c r="H669" s="129" t="s">
        <v>23</v>
      </c>
      <c r="I669">
        <v>0</v>
      </c>
      <c r="J669">
        <v>0</v>
      </c>
      <c r="K669" s="129" t="s">
        <v>1962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s="129" t="s">
        <v>2460</v>
      </c>
      <c r="B670" s="129" t="s">
        <v>52</v>
      </c>
      <c r="C670" s="129" t="s">
        <v>88</v>
      </c>
      <c r="D670">
        <v>149.001</v>
      </c>
      <c r="E670">
        <v>593</v>
      </c>
      <c r="F670">
        <v>1</v>
      </c>
      <c r="G670" s="129" t="s">
        <v>23</v>
      </c>
      <c r="H670" s="129" t="s">
        <v>23</v>
      </c>
      <c r="I670">
        <v>0</v>
      </c>
      <c r="J670">
        <v>0</v>
      </c>
      <c r="K670" s="129" t="s">
        <v>1962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s="129" t="s">
        <v>2461</v>
      </c>
      <c r="B671" s="129" t="s">
        <v>52</v>
      </c>
      <c r="C671" s="129" t="s">
        <v>88</v>
      </c>
      <c r="D671">
        <v>593.00099999999998</v>
      </c>
      <c r="E671">
        <v>1000</v>
      </c>
      <c r="F671">
        <v>1</v>
      </c>
      <c r="G671" s="129" t="s">
        <v>23</v>
      </c>
      <c r="H671" s="129" t="s">
        <v>23</v>
      </c>
      <c r="I671">
        <v>0</v>
      </c>
      <c r="J671">
        <v>0</v>
      </c>
      <c r="K671" s="129" t="s">
        <v>1962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s="129" t="s">
        <v>436</v>
      </c>
      <c r="B672" s="129" t="s">
        <v>52</v>
      </c>
      <c r="C672" s="129" t="s">
        <v>87</v>
      </c>
      <c r="D672">
        <v>-210</v>
      </c>
      <c r="E672">
        <v>259.99900000000002</v>
      </c>
      <c r="F672">
        <v>0.1</v>
      </c>
      <c r="G672" s="129" t="s">
        <v>23</v>
      </c>
      <c r="H672" s="129" t="s">
        <v>23</v>
      </c>
      <c r="I672">
        <v>0</v>
      </c>
      <c r="J672">
        <v>0</v>
      </c>
      <c r="K672" s="129" t="s">
        <v>1962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s="129" t="s">
        <v>2462</v>
      </c>
      <c r="B673" s="129" t="s">
        <v>52</v>
      </c>
      <c r="C673" s="129" t="s">
        <v>87</v>
      </c>
      <c r="D673">
        <v>260</v>
      </c>
      <c r="E673">
        <v>732</v>
      </c>
      <c r="F673">
        <v>0.1</v>
      </c>
      <c r="G673" s="129" t="s">
        <v>23</v>
      </c>
      <c r="H673" s="129" t="s">
        <v>23</v>
      </c>
      <c r="I673">
        <v>0</v>
      </c>
      <c r="J673">
        <v>0</v>
      </c>
      <c r="K673" s="129" t="s">
        <v>1962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s="129" t="s">
        <v>439</v>
      </c>
      <c r="B674" s="129" t="s">
        <v>52</v>
      </c>
      <c r="C674" s="129" t="s">
        <v>87</v>
      </c>
      <c r="D674">
        <v>732.00099999999998</v>
      </c>
      <c r="E674">
        <v>1200</v>
      </c>
      <c r="F674">
        <v>0.1</v>
      </c>
      <c r="G674" s="129" t="s">
        <v>23</v>
      </c>
      <c r="H674" s="129" t="s">
        <v>23</v>
      </c>
      <c r="I674">
        <v>0</v>
      </c>
      <c r="J674">
        <v>0</v>
      </c>
      <c r="K674" s="129" t="s">
        <v>1962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s="129" t="s">
        <v>437</v>
      </c>
      <c r="B675" s="129" t="s">
        <v>52</v>
      </c>
      <c r="C675" s="129" t="s">
        <v>87</v>
      </c>
      <c r="D675">
        <v>-210</v>
      </c>
      <c r="E675">
        <v>259.99900000000002</v>
      </c>
      <c r="F675">
        <v>1</v>
      </c>
      <c r="G675" s="129" t="s">
        <v>23</v>
      </c>
      <c r="H675" s="129" t="s">
        <v>23</v>
      </c>
      <c r="I675">
        <v>0</v>
      </c>
      <c r="J675">
        <v>0</v>
      </c>
      <c r="K675" s="129" t="s">
        <v>1962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s="129" t="s">
        <v>438</v>
      </c>
      <c r="B676" s="129" t="s">
        <v>52</v>
      </c>
      <c r="C676" s="129" t="s">
        <v>87</v>
      </c>
      <c r="D676">
        <v>260</v>
      </c>
      <c r="E676">
        <v>732</v>
      </c>
      <c r="F676">
        <v>1</v>
      </c>
      <c r="G676" s="129" t="s">
        <v>23</v>
      </c>
      <c r="H676" s="129" t="s">
        <v>23</v>
      </c>
      <c r="I676">
        <v>0</v>
      </c>
      <c r="J676">
        <v>0</v>
      </c>
      <c r="K676" s="129" t="s">
        <v>1962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s="129" t="s">
        <v>2463</v>
      </c>
      <c r="B677" s="129" t="s">
        <v>52</v>
      </c>
      <c r="C677" s="129" t="s">
        <v>87</v>
      </c>
      <c r="D677">
        <v>732.00099999999998</v>
      </c>
      <c r="E677">
        <v>1200</v>
      </c>
      <c r="F677">
        <v>1</v>
      </c>
      <c r="G677" s="129" t="s">
        <v>23</v>
      </c>
      <c r="H677" s="129" t="s">
        <v>23</v>
      </c>
      <c r="I677">
        <v>0</v>
      </c>
      <c r="J677">
        <v>0</v>
      </c>
      <c r="K677" s="129" t="s">
        <v>1962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s="129" t="s">
        <v>430</v>
      </c>
      <c r="B678" s="129" t="s">
        <v>52</v>
      </c>
      <c r="C678" s="129" t="s">
        <v>86</v>
      </c>
      <c r="D678">
        <v>-270</v>
      </c>
      <c r="E678">
        <v>-240.001</v>
      </c>
      <c r="F678">
        <v>0.1</v>
      </c>
      <c r="G678" s="129" t="s">
        <v>23</v>
      </c>
      <c r="H678" s="129" t="s">
        <v>23</v>
      </c>
      <c r="I678">
        <v>0</v>
      </c>
      <c r="J678">
        <v>0</v>
      </c>
      <c r="K678" s="129" t="s">
        <v>1962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s="129" t="s">
        <v>432</v>
      </c>
      <c r="B679" s="129" t="s">
        <v>52</v>
      </c>
      <c r="C679" s="129" t="s">
        <v>86</v>
      </c>
      <c r="D679">
        <v>-240</v>
      </c>
      <c r="E679">
        <v>259.99900000000002</v>
      </c>
      <c r="F679">
        <v>0.1</v>
      </c>
      <c r="G679" s="129" t="s">
        <v>23</v>
      </c>
      <c r="H679" s="129" t="s">
        <v>23</v>
      </c>
      <c r="I679">
        <v>0</v>
      </c>
      <c r="J679">
        <v>0</v>
      </c>
      <c r="K679" s="129" t="s">
        <v>1962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s="129" t="s">
        <v>2464</v>
      </c>
      <c r="B680" s="129" t="s">
        <v>52</v>
      </c>
      <c r="C680" s="129" t="s">
        <v>86</v>
      </c>
      <c r="D680">
        <v>260</v>
      </c>
      <c r="E680">
        <v>816</v>
      </c>
      <c r="F680">
        <v>0.1</v>
      </c>
      <c r="G680" s="129" t="s">
        <v>23</v>
      </c>
      <c r="H680" s="129" t="s">
        <v>23</v>
      </c>
      <c r="I680">
        <v>0</v>
      </c>
      <c r="J680">
        <v>0</v>
      </c>
      <c r="K680" s="129" t="s">
        <v>1962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s="129" t="s">
        <v>434</v>
      </c>
      <c r="B681" s="129" t="s">
        <v>52</v>
      </c>
      <c r="C681" s="129" t="s">
        <v>86</v>
      </c>
      <c r="D681">
        <v>816.00099999999998</v>
      </c>
      <c r="E681">
        <v>1371</v>
      </c>
      <c r="F681">
        <v>0.1</v>
      </c>
      <c r="G681" s="129" t="s">
        <v>23</v>
      </c>
      <c r="H681" s="129" t="s">
        <v>23</v>
      </c>
      <c r="I681">
        <v>0</v>
      </c>
      <c r="J681">
        <v>0</v>
      </c>
      <c r="K681" s="129" t="s">
        <v>1962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s="129" t="s">
        <v>431</v>
      </c>
      <c r="B682" s="129" t="s">
        <v>52</v>
      </c>
      <c r="C682" s="129" t="s">
        <v>86</v>
      </c>
      <c r="D682">
        <v>-270</v>
      </c>
      <c r="E682">
        <v>-240.001</v>
      </c>
      <c r="F682">
        <v>1</v>
      </c>
      <c r="G682" s="129" t="s">
        <v>23</v>
      </c>
      <c r="H682" s="129" t="s">
        <v>23</v>
      </c>
      <c r="I682">
        <v>0</v>
      </c>
      <c r="J682">
        <v>0</v>
      </c>
      <c r="K682" s="129" t="s">
        <v>1962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s="129" t="s">
        <v>433</v>
      </c>
      <c r="B683" s="129" t="s">
        <v>52</v>
      </c>
      <c r="C683" s="129" t="s">
        <v>86</v>
      </c>
      <c r="D683">
        <v>-240</v>
      </c>
      <c r="E683">
        <v>259.99900000000002</v>
      </c>
      <c r="F683">
        <v>1</v>
      </c>
      <c r="G683" s="129" t="s">
        <v>23</v>
      </c>
      <c r="H683" s="129" t="s">
        <v>23</v>
      </c>
      <c r="I683">
        <v>0</v>
      </c>
      <c r="J683">
        <v>0</v>
      </c>
      <c r="K683" s="129" t="s">
        <v>1962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s="129" t="s">
        <v>2465</v>
      </c>
      <c r="B684" s="129" t="s">
        <v>52</v>
      </c>
      <c r="C684" s="129" t="s">
        <v>86</v>
      </c>
      <c r="D684">
        <v>260</v>
      </c>
      <c r="E684">
        <v>816</v>
      </c>
      <c r="F684">
        <v>1</v>
      </c>
      <c r="G684" s="129" t="s">
        <v>23</v>
      </c>
      <c r="H684" s="129" t="s">
        <v>23</v>
      </c>
      <c r="I684">
        <v>0</v>
      </c>
      <c r="J684">
        <v>0</v>
      </c>
      <c r="K684" s="129" t="s">
        <v>1962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s="129" t="s">
        <v>435</v>
      </c>
      <c r="B685" s="129" t="s">
        <v>52</v>
      </c>
      <c r="C685" s="129" t="s">
        <v>86</v>
      </c>
      <c r="D685">
        <v>816.00099999999998</v>
      </c>
      <c r="E685">
        <v>1371</v>
      </c>
      <c r="F685">
        <v>1</v>
      </c>
      <c r="G685" s="129" t="s">
        <v>23</v>
      </c>
      <c r="H685" s="129" t="s">
        <v>23</v>
      </c>
      <c r="I685">
        <v>0</v>
      </c>
      <c r="J685">
        <v>0</v>
      </c>
      <c r="K685" s="129" t="s">
        <v>1962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s="129" t="s">
        <v>2466</v>
      </c>
      <c r="B686" s="129" t="s">
        <v>52</v>
      </c>
      <c r="C686" s="129" t="s">
        <v>89</v>
      </c>
      <c r="D686">
        <v>-270</v>
      </c>
      <c r="E686">
        <v>-240.001</v>
      </c>
      <c r="F686">
        <v>0.1</v>
      </c>
      <c r="G686" s="129" t="s">
        <v>23</v>
      </c>
      <c r="H686" s="129" t="s">
        <v>23</v>
      </c>
      <c r="I686">
        <v>0</v>
      </c>
      <c r="J686">
        <v>0</v>
      </c>
      <c r="K686" s="129" t="s">
        <v>1962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s="129" t="s">
        <v>422</v>
      </c>
      <c r="B687" s="129" t="s">
        <v>52</v>
      </c>
      <c r="C687" s="129" t="s">
        <v>89</v>
      </c>
      <c r="D687">
        <v>-240</v>
      </c>
      <c r="E687">
        <v>-101.001</v>
      </c>
      <c r="F687">
        <v>0.1</v>
      </c>
      <c r="G687" s="129" t="s">
        <v>23</v>
      </c>
      <c r="H687" s="129" t="s">
        <v>23</v>
      </c>
      <c r="I687">
        <v>0</v>
      </c>
      <c r="J687">
        <v>0</v>
      </c>
      <c r="K687" s="129" t="s">
        <v>1962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s="129" t="s">
        <v>424</v>
      </c>
      <c r="B688" s="129" t="s">
        <v>52</v>
      </c>
      <c r="C688" s="129" t="s">
        <v>89</v>
      </c>
      <c r="D688">
        <v>-101</v>
      </c>
      <c r="E688">
        <v>371</v>
      </c>
      <c r="F688">
        <v>0.1</v>
      </c>
      <c r="G688" s="129" t="s">
        <v>23</v>
      </c>
      <c r="H688" s="129" t="s">
        <v>23</v>
      </c>
      <c r="I688">
        <v>0</v>
      </c>
      <c r="J688">
        <v>0</v>
      </c>
      <c r="K688" s="129" t="s">
        <v>1962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s="129" t="s">
        <v>426</v>
      </c>
      <c r="B689" s="129" t="s">
        <v>52</v>
      </c>
      <c r="C689" s="129" t="s">
        <v>89</v>
      </c>
      <c r="D689">
        <v>371.00099999999998</v>
      </c>
      <c r="E689">
        <v>816</v>
      </c>
      <c r="F689">
        <v>0.1</v>
      </c>
      <c r="G689" s="129" t="s">
        <v>23</v>
      </c>
      <c r="H689" s="129" t="s">
        <v>23</v>
      </c>
      <c r="I689">
        <v>0</v>
      </c>
      <c r="J689">
        <v>0</v>
      </c>
      <c r="K689" s="129" t="s">
        <v>1962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s="129" t="s">
        <v>428</v>
      </c>
      <c r="B690" s="129" t="s">
        <v>52</v>
      </c>
      <c r="C690" s="129" t="s">
        <v>89</v>
      </c>
      <c r="D690">
        <v>816.00099999999998</v>
      </c>
      <c r="E690">
        <v>1300</v>
      </c>
      <c r="F690">
        <v>0.1</v>
      </c>
      <c r="G690" s="129" t="s">
        <v>23</v>
      </c>
      <c r="H690" s="129" t="s">
        <v>23</v>
      </c>
      <c r="I690">
        <v>0</v>
      </c>
      <c r="J690">
        <v>0</v>
      </c>
      <c r="K690" s="129" t="s">
        <v>1962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s="129" t="s">
        <v>421</v>
      </c>
      <c r="B691" s="129" t="s">
        <v>52</v>
      </c>
      <c r="C691" s="129" t="s">
        <v>89</v>
      </c>
      <c r="D691">
        <v>-270</v>
      </c>
      <c r="E691">
        <v>-240.001</v>
      </c>
      <c r="F691">
        <v>1</v>
      </c>
      <c r="G691" s="129" t="s">
        <v>23</v>
      </c>
      <c r="H691" s="129" t="s">
        <v>23</v>
      </c>
      <c r="I691">
        <v>0</v>
      </c>
      <c r="J691">
        <v>0</v>
      </c>
      <c r="K691" s="129" t="s">
        <v>1962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s="129" t="s">
        <v>423</v>
      </c>
      <c r="B692" s="129" t="s">
        <v>52</v>
      </c>
      <c r="C692" s="129" t="s">
        <v>89</v>
      </c>
      <c r="D692">
        <v>-240</v>
      </c>
      <c r="E692">
        <v>-101.001</v>
      </c>
      <c r="F692">
        <v>1</v>
      </c>
      <c r="G692" s="129" t="s">
        <v>23</v>
      </c>
      <c r="H692" s="129" t="s">
        <v>23</v>
      </c>
      <c r="I692">
        <v>0</v>
      </c>
      <c r="J692">
        <v>0</v>
      </c>
      <c r="K692" s="129" t="s">
        <v>1962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s="129" t="s">
        <v>425</v>
      </c>
      <c r="B693" s="129" t="s">
        <v>52</v>
      </c>
      <c r="C693" s="129" t="s">
        <v>89</v>
      </c>
      <c r="D693">
        <v>-101</v>
      </c>
      <c r="E693">
        <v>371</v>
      </c>
      <c r="F693">
        <v>1</v>
      </c>
      <c r="G693" s="129" t="s">
        <v>23</v>
      </c>
      <c r="H693" s="129" t="s">
        <v>23</v>
      </c>
      <c r="I693">
        <v>0</v>
      </c>
      <c r="J693">
        <v>0</v>
      </c>
      <c r="K693" s="129" t="s">
        <v>1962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s="129" t="s">
        <v>427</v>
      </c>
      <c r="B694" s="129" t="s">
        <v>52</v>
      </c>
      <c r="C694" s="129" t="s">
        <v>89</v>
      </c>
      <c r="D694">
        <v>371.00099999999998</v>
      </c>
      <c r="E694">
        <v>816</v>
      </c>
      <c r="F694">
        <v>1</v>
      </c>
      <c r="G694" s="129" t="s">
        <v>23</v>
      </c>
      <c r="H694" s="129" t="s">
        <v>23</v>
      </c>
      <c r="I694">
        <v>0</v>
      </c>
      <c r="J694">
        <v>0</v>
      </c>
      <c r="K694" s="129" t="s">
        <v>1962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s="129" t="s">
        <v>429</v>
      </c>
      <c r="B695" s="129" t="s">
        <v>52</v>
      </c>
      <c r="C695" s="129" t="s">
        <v>89</v>
      </c>
      <c r="D695">
        <v>816.00099999999998</v>
      </c>
      <c r="E695">
        <v>1300</v>
      </c>
      <c r="F695">
        <v>1</v>
      </c>
      <c r="G695" s="129" t="s">
        <v>23</v>
      </c>
      <c r="H695" s="129" t="s">
        <v>23</v>
      </c>
      <c r="I695">
        <v>0</v>
      </c>
      <c r="J695">
        <v>0</v>
      </c>
      <c r="K695" s="129" t="s">
        <v>1962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s="129" t="s">
        <v>407</v>
      </c>
      <c r="B696" s="129" t="s">
        <v>52</v>
      </c>
      <c r="C696" s="129" t="s">
        <v>93</v>
      </c>
      <c r="D696">
        <v>-195.6</v>
      </c>
      <c r="E696">
        <v>0</v>
      </c>
      <c r="F696">
        <v>0.01</v>
      </c>
      <c r="G696" s="129" t="s">
        <v>23</v>
      </c>
      <c r="H696" s="129" t="s">
        <v>23</v>
      </c>
      <c r="I696">
        <v>0</v>
      </c>
      <c r="J696">
        <v>0</v>
      </c>
      <c r="K696" s="129" t="s">
        <v>1962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s="129" t="s">
        <v>410</v>
      </c>
      <c r="B697" s="129" t="s">
        <v>52</v>
      </c>
      <c r="C697" s="129" t="s">
        <v>93</v>
      </c>
      <c r="D697">
        <v>1E-3</v>
      </c>
      <c r="E697">
        <v>204.44399999999999</v>
      </c>
      <c r="F697">
        <v>0.01</v>
      </c>
      <c r="G697" s="129" t="s">
        <v>23</v>
      </c>
      <c r="H697" s="129" t="s">
        <v>23</v>
      </c>
      <c r="I697">
        <v>0</v>
      </c>
      <c r="J697">
        <v>0</v>
      </c>
      <c r="K697" s="129" t="s">
        <v>1962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s="129" t="s">
        <v>413</v>
      </c>
      <c r="B698" s="129" t="s">
        <v>52</v>
      </c>
      <c r="C698" s="129" t="s">
        <v>93</v>
      </c>
      <c r="D698">
        <v>204.44499999999999</v>
      </c>
      <c r="E698">
        <v>426.66699999999997</v>
      </c>
      <c r="F698">
        <v>0.01</v>
      </c>
      <c r="G698" s="129" t="s">
        <v>23</v>
      </c>
      <c r="H698" s="129" t="s">
        <v>23</v>
      </c>
      <c r="I698">
        <v>0</v>
      </c>
      <c r="J698">
        <v>0</v>
      </c>
      <c r="K698" s="129" t="s">
        <v>1962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s="129" t="s">
        <v>415</v>
      </c>
      <c r="B699" s="129" t="s">
        <v>52</v>
      </c>
      <c r="C699" s="129" t="s">
        <v>93</v>
      </c>
      <c r="D699">
        <v>426.66800000000001</v>
      </c>
      <c r="E699">
        <v>648.88900000000001</v>
      </c>
      <c r="F699">
        <v>0.01</v>
      </c>
      <c r="G699" s="129" t="s">
        <v>23</v>
      </c>
      <c r="H699" s="129" t="s">
        <v>23</v>
      </c>
      <c r="I699">
        <v>0</v>
      </c>
      <c r="J699">
        <v>0</v>
      </c>
      <c r="K699" s="129" t="s">
        <v>1962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s="129" t="s">
        <v>418</v>
      </c>
      <c r="B700" s="129" t="s">
        <v>52</v>
      </c>
      <c r="C700" s="129" t="s">
        <v>93</v>
      </c>
      <c r="D700">
        <v>648.89</v>
      </c>
      <c r="E700">
        <v>850</v>
      </c>
      <c r="F700">
        <v>0.01</v>
      </c>
      <c r="G700" s="129" t="s">
        <v>23</v>
      </c>
      <c r="H700" s="129" t="s">
        <v>23</v>
      </c>
      <c r="I700">
        <v>0</v>
      </c>
      <c r="J700">
        <v>0</v>
      </c>
      <c r="K700" s="129" t="s">
        <v>1962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s="129" t="s">
        <v>408</v>
      </c>
      <c r="B701" s="129" t="s">
        <v>52</v>
      </c>
      <c r="C701" s="129" t="s">
        <v>93</v>
      </c>
      <c r="D701">
        <v>-195.6</v>
      </c>
      <c r="E701">
        <v>0</v>
      </c>
      <c r="F701">
        <v>0.1</v>
      </c>
      <c r="G701" s="129" t="s">
        <v>23</v>
      </c>
      <c r="H701" s="129" t="s">
        <v>23</v>
      </c>
      <c r="I701">
        <v>0</v>
      </c>
      <c r="J701">
        <v>0</v>
      </c>
      <c r="K701" s="129" t="s">
        <v>1962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s="129" t="s">
        <v>411</v>
      </c>
      <c r="B702" s="129" t="s">
        <v>52</v>
      </c>
      <c r="C702" s="129" t="s">
        <v>93</v>
      </c>
      <c r="D702">
        <v>1E-3</v>
      </c>
      <c r="E702">
        <v>204.44399999999999</v>
      </c>
      <c r="F702">
        <v>0.1</v>
      </c>
      <c r="G702" s="129" t="s">
        <v>23</v>
      </c>
      <c r="H702" s="129" t="s">
        <v>23</v>
      </c>
      <c r="I702">
        <v>0</v>
      </c>
      <c r="J702">
        <v>0</v>
      </c>
      <c r="K702" s="129" t="s">
        <v>1962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s="129" t="s">
        <v>414</v>
      </c>
      <c r="B703" s="129" t="s">
        <v>52</v>
      </c>
      <c r="C703" s="129" t="s">
        <v>93</v>
      </c>
      <c r="D703">
        <v>204.44499999999999</v>
      </c>
      <c r="E703">
        <v>426.66699999999997</v>
      </c>
      <c r="F703">
        <v>0.1</v>
      </c>
      <c r="G703" s="129" t="s">
        <v>23</v>
      </c>
      <c r="H703" s="129" t="s">
        <v>23</v>
      </c>
      <c r="I703">
        <v>0</v>
      </c>
      <c r="J703">
        <v>0</v>
      </c>
      <c r="K703" s="129" t="s">
        <v>1962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s="129" t="s">
        <v>416</v>
      </c>
      <c r="B704" s="129" t="s">
        <v>52</v>
      </c>
      <c r="C704" s="129" t="s">
        <v>93</v>
      </c>
      <c r="D704">
        <v>426.66800000000001</v>
      </c>
      <c r="E704">
        <v>648.88900000000001</v>
      </c>
      <c r="F704">
        <v>0.1</v>
      </c>
      <c r="G704" s="129" t="s">
        <v>23</v>
      </c>
      <c r="H704" s="129" t="s">
        <v>23</v>
      </c>
      <c r="I704">
        <v>0</v>
      </c>
      <c r="J704">
        <v>0</v>
      </c>
      <c r="K704" s="129" t="s">
        <v>1962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s="129" t="s">
        <v>419</v>
      </c>
      <c r="B705" s="129" t="s">
        <v>52</v>
      </c>
      <c r="C705" s="129" t="s">
        <v>93</v>
      </c>
      <c r="D705">
        <v>648.89</v>
      </c>
      <c r="E705">
        <v>850</v>
      </c>
      <c r="F705">
        <v>0.1</v>
      </c>
      <c r="G705" s="129" t="s">
        <v>23</v>
      </c>
      <c r="H705" s="129" t="s">
        <v>23</v>
      </c>
      <c r="I705">
        <v>0</v>
      </c>
      <c r="J705">
        <v>0</v>
      </c>
      <c r="K705" s="129" t="s">
        <v>1962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s="129" t="s">
        <v>409</v>
      </c>
      <c r="B706" s="129" t="s">
        <v>52</v>
      </c>
      <c r="C706" s="129" t="s">
        <v>93</v>
      </c>
      <c r="D706">
        <v>-195.6</v>
      </c>
      <c r="E706">
        <v>0</v>
      </c>
      <c r="F706">
        <v>1</v>
      </c>
      <c r="G706" s="129" t="s">
        <v>23</v>
      </c>
      <c r="H706" s="129" t="s">
        <v>23</v>
      </c>
      <c r="I706">
        <v>0</v>
      </c>
      <c r="J706">
        <v>0</v>
      </c>
      <c r="K706" s="129" t="s">
        <v>1962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s="129" t="s">
        <v>412</v>
      </c>
      <c r="B707" s="129" t="s">
        <v>52</v>
      </c>
      <c r="C707" s="129" t="s">
        <v>93</v>
      </c>
      <c r="D707">
        <v>1E-3</v>
      </c>
      <c r="E707">
        <v>204.44399999999999</v>
      </c>
      <c r="F707">
        <v>1</v>
      </c>
      <c r="G707" s="129" t="s">
        <v>23</v>
      </c>
      <c r="H707" s="129" t="s">
        <v>23</v>
      </c>
      <c r="I707">
        <v>0</v>
      </c>
      <c r="J707">
        <v>0</v>
      </c>
      <c r="K707" s="129" t="s">
        <v>1962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s="129" t="s">
        <v>2472</v>
      </c>
      <c r="B708" s="129" t="s">
        <v>52</v>
      </c>
      <c r="C708" s="129" t="s">
        <v>93</v>
      </c>
      <c r="D708">
        <v>204.44499999999999</v>
      </c>
      <c r="E708">
        <v>426.66699999999997</v>
      </c>
      <c r="F708">
        <v>1</v>
      </c>
      <c r="G708" s="129" t="s">
        <v>23</v>
      </c>
      <c r="H708" s="129" t="s">
        <v>23</v>
      </c>
      <c r="I708">
        <v>0</v>
      </c>
      <c r="J708">
        <v>0</v>
      </c>
      <c r="K708" s="129" t="s">
        <v>1962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s="129" t="s">
        <v>417</v>
      </c>
      <c r="B709" s="129" t="s">
        <v>52</v>
      </c>
      <c r="C709" s="129" t="s">
        <v>93</v>
      </c>
      <c r="D709">
        <v>426.66800000000001</v>
      </c>
      <c r="E709">
        <v>648.88900000000001</v>
      </c>
      <c r="F709">
        <v>1</v>
      </c>
      <c r="G709" s="129" t="s">
        <v>23</v>
      </c>
      <c r="H709" s="129" t="s">
        <v>23</v>
      </c>
      <c r="I709">
        <v>0</v>
      </c>
      <c r="J709">
        <v>0</v>
      </c>
      <c r="K709" s="129" t="s">
        <v>1962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s="129" t="s">
        <v>420</v>
      </c>
      <c r="B710" s="129" t="s">
        <v>52</v>
      </c>
      <c r="C710" s="129" t="s">
        <v>93</v>
      </c>
      <c r="D710">
        <v>648.89</v>
      </c>
      <c r="E710">
        <v>850</v>
      </c>
      <c r="F710">
        <v>1</v>
      </c>
      <c r="G710" s="129" t="s">
        <v>23</v>
      </c>
      <c r="H710" s="129" t="s">
        <v>23</v>
      </c>
      <c r="I710">
        <v>0</v>
      </c>
      <c r="J710">
        <v>0</v>
      </c>
      <c r="K710" s="129" t="s">
        <v>1962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s="129" t="s">
        <v>393</v>
      </c>
      <c r="B711" s="129" t="s">
        <v>52</v>
      </c>
      <c r="C711" s="129" t="s">
        <v>94</v>
      </c>
      <c r="D711">
        <v>-195.6</v>
      </c>
      <c r="E711">
        <v>0</v>
      </c>
      <c r="F711">
        <v>0.01</v>
      </c>
      <c r="G711" s="129" t="s">
        <v>23</v>
      </c>
      <c r="H711" s="129" t="s">
        <v>23</v>
      </c>
      <c r="I711">
        <v>0</v>
      </c>
      <c r="J711">
        <v>0</v>
      </c>
      <c r="K711" s="129" t="s">
        <v>1962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s="129" t="s">
        <v>396</v>
      </c>
      <c r="B712" s="129" t="s">
        <v>52</v>
      </c>
      <c r="C712" s="129" t="s">
        <v>94</v>
      </c>
      <c r="D712">
        <v>1E-3</v>
      </c>
      <c r="E712">
        <v>204.44399999999999</v>
      </c>
      <c r="F712">
        <v>0.01</v>
      </c>
      <c r="G712" s="129" t="s">
        <v>23</v>
      </c>
      <c r="H712" s="129" t="s">
        <v>23</v>
      </c>
      <c r="I712">
        <v>0</v>
      </c>
      <c r="J712">
        <v>0</v>
      </c>
      <c r="K712" s="129" t="s">
        <v>1962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s="129" t="s">
        <v>2473</v>
      </c>
      <c r="B713" s="129" t="s">
        <v>52</v>
      </c>
      <c r="C713" s="129" t="s">
        <v>94</v>
      </c>
      <c r="D713">
        <v>204.44499999999999</v>
      </c>
      <c r="E713">
        <v>426.66699999999997</v>
      </c>
      <c r="F713">
        <v>0.01</v>
      </c>
      <c r="G713" s="129" t="s">
        <v>23</v>
      </c>
      <c r="H713" s="129" t="s">
        <v>23</v>
      </c>
      <c r="I713">
        <v>0</v>
      </c>
      <c r="J713">
        <v>0</v>
      </c>
      <c r="K713" s="129" t="s">
        <v>1962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s="129" t="s">
        <v>401</v>
      </c>
      <c r="B714" s="129" t="s">
        <v>52</v>
      </c>
      <c r="C714" s="129" t="s">
        <v>94</v>
      </c>
      <c r="D714">
        <v>426.66800000000001</v>
      </c>
      <c r="E714">
        <v>648.88900000000001</v>
      </c>
      <c r="F714">
        <v>0.01</v>
      </c>
      <c r="G714" s="129" t="s">
        <v>23</v>
      </c>
      <c r="H714" s="129" t="s">
        <v>23</v>
      </c>
      <c r="I714">
        <v>0</v>
      </c>
      <c r="J714">
        <v>0</v>
      </c>
      <c r="K714" s="129" t="s">
        <v>1962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s="129" t="s">
        <v>404</v>
      </c>
      <c r="B715" s="129" t="s">
        <v>52</v>
      </c>
      <c r="C715" s="129" t="s">
        <v>94</v>
      </c>
      <c r="D715">
        <v>648.89</v>
      </c>
      <c r="E715">
        <v>850</v>
      </c>
      <c r="F715">
        <v>0.01</v>
      </c>
      <c r="G715" s="129" t="s">
        <v>23</v>
      </c>
      <c r="H715" s="129" t="s">
        <v>23</v>
      </c>
      <c r="I715">
        <v>0</v>
      </c>
      <c r="J715">
        <v>0</v>
      </c>
      <c r="K715" s="129" t="s">
        <v>1962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s="129" t="s">
        <v>394</v>
      </c>
      <c r="B716" s="129" t="s">
        <v>52</v>
      </c>
      <c r="C716" s="129" t="s">
        <v>94</v>
      </c>
      <c r="D716">
        <v>-195.6</v>
      </c>
      <c r="E716">
        <v>0</v>
      </c>
      <c r="F716">
        <v>0.1</v>
      </c>
      <c r="G716" s="129" t="s">
        <v>23</v>
      </c>
      <c r="H716" s="129" t="s">
        <v>23</v>
      </c>
      <c r="I716">
        <v>0</v>
      </c>
      <c r="J716">
        <v>0</v>
      </c>
      <c r="K716" s="129" t="s">
        <v>1962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s="129" t="s">
        <v>397</v>
      </c>
      <c r="B717" s="129" t="s">
        <v>52</v>
      </c>
      <c r="C717" s="129" t="s">
        <v>94</v>
      </c>
      <c r="D717">
        <v>1E-3</v>
      </c>
      <c r="E717">
        <v>204.44399999999999</v>
      </c>
      <c r="F717">
        <v>0.1</v>
      </c>
      <c r="G717" s="129" t="s">
        <v>23</v>
      </c>
      <c r="H717" s="129" t="s">
        <v>23</v>
      </c>
      <c r="I717">
        <v>0</v>
      </c>
      <c r="J717">
        <v>0</v>
      </c>
      <c r="K717" s="129" t="s">
        <v>1962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s="129" t="s">
        <v>399</v>
      </c>
      <c r="B718" s="129" t="s">
        <v>52</v>
      </c>
      <c r="C718" s="129" t="s">
        <v>94</v>
      </c>
      <c r="D718">
        <v>204.44499999999999</v>
      </c>
      <c r="E718">
        <v>426.66699999999997</v>
      </c>
      <c r="F718">
        <v>0.1</v>
      </c>
      <c r="G718" s="129" t="s">
        <v>23</v>
      </c>
      <c r="H718" s="129" t="s">
        <v>23</v>
      </c>
      <c r="I718">
        <v>0</v>
      </c>
      <c r="J718">
        <v>0</v>
      </c>
      <c r="K718" s="129" t="s">
        <v>1962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s="129" t="s">
        <v>402</v>
      </c>
      <c r="B719" s="129" t="s">
        <v>52</v>
      </c>
      <c r="C719" s="129" t="s">
        <v>94</v>
      </c>
      <c r="D719">
        <v>426.66800000000001</v>
      </c>
      <c r="E719">
        <v>648.88900000000001</v>
      </c>
      <c r="F719">
        <v>0.1</v>
      </c>
      <c r="G719" s="129" t="s">
        <v>23</v>
      </c>
      <c r="H719" s="129" t="s">
        <v>23</v>
      </c>
      <c r="I719">
        <v>0</v>
      </c>
      <c r="J719">
        <v>0</v>
      </c>
      <c r="K719" s="129" t="s">
        <v>1962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s="129" t="s">
        <v>405</v>
      </c>
      <c r="B720" s="129" t="s">
        <v>52</v>
      </c>
      <c r="C720" s="129" t="s">
        <v>94</v>
      </c>
      <c r="D720">
        <v>648.89</v>
      </c>
      <c r="E720">
        <v>850</v>
      </c>
      <c r="F720">
        <v>0.1</v>
      </c>
      <c r="G720" s="129" t="s">
        <v>23</v>
      </c>
      <c r="H720" s="129" t="s">
        <v>23</v>
      </c>
      <c r="I720">
        <v>0</v>
      </c>
      <c r="J720">
        <v>0</v>
      </c>
      <c r="K720" s="129" t="s">
        <v>1962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s="129" t="s">
        <v>395</v>
      </c>
      <c r="B721" s="129" t="s">
        <v>52</v>
      </c>
      <c r="C721" s="129" t="s">
        <v>94</v>
      </c>
      <c r="D721">
        <v>-195.6</v>
      </c>
      <c r="E721">
        <v>0</v>
      </c>
      <c r="F721">
        <v>1</v>
      </c>
      <c r="G721" s="129" t="s">
        <v>23</v>
      </c>
      <c r="H721" s="129" t="s">
        <v>23</v>
      </c>
      <c r="I721">
        <v>0</v>
      </c>
      <c r="J721">
        <v>0</v>
      </c>
      <c r="K721" s="129" t="s">
        <v>1962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s="129" t="s">
        <v>398</v>
      </c>
      <c r="B722" s="129" t="s">
        <v>52</v>
      </c>
      <c r="C722" s="129" t="s">
        <v>94</v>
      </c>
      <c r="D722">
        <v>1E-3</v>
      </c>
      <c r="E722">
        <v>204.44399999999999</v>
      </c>
      <c r="F722">
        <v>1</v>
      </c>
      <c r="G722" s="129" t="s">
        <v>23</v>
      </c>
      <c r="H722" s="129" t="s">
        <v>23</v>
      </c>
      <c r="I722">
        <v>0</v>
      </c>
      <c r="J722">
        <v>0</v>
      </c>
      <c r="K722" s="129" t="s">
        <v>1962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s="129" t="s">
        <v>400</v>
      </c>
      <c r="B723" s="129" t="s">
        <v>52</v>
      </c>
      <c r="C723" s="129" t="s">
        <v>94</v>
      </c>
      <c r="D723">
        <v>204.44499999999999</v>
      </c>
      <c r="E723">
        <v>426.66699999999997</v>
      </c>
      <c r="F723">
        <v>1</v>
      </c>
      <c r="G723" s="129" t="s">
        <v>23</v>
      </c>
      <c r="H723" s="129" t="s">
        <v>23</v>
      </c>
      <c r="I723">
        <v>0</v>
      </c>
      <c r="J723">
        <v>0</v>
      </c>
      <c r="K723" s="129" t="s">
        <v>1962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s="129" t="s">
        <v>403</v>
      </c>
      <c r="B724" s="129" t="s">
        <v>52</v>
      </c>
      <c r="C724" s="129" t="s">
        <v>94</v>
      </c>
      <c r="D724">
        <v>426.66800000000001</v>
      </c>
      <c r="E724">
        <v>648.88900000000001</v>
      </c>
      <c r="F724">
        <v>1</v>
      </c>
      <c r="G724" s="129" t="s">
        <v>23</v>
      </c>
      <c r="H724" s="129" t="s">
        <v>23</v>
      </c>
      <c r="I724">
        <v>0</v>
      </c>
      <c r="J724">
        <v>0</v>
      </c>
      <c r="K724" s="129" t="s">
        <v>1962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s="129" t="s">
        <v>406</v>
      </c>
      <c r="B725" s="129" t="s">
        <v>52</v>
      </c>
      <c r="C725" s="129" t="s">
        <v>94</v>
      </c>
      <c r="D725">
        <v>648.89</v>
      </c>
      <c r="E725">
        <v>850</v>
      </c>
      <c r="F725">
        <v>1</v>
      </c>
      <c r="G725" s="129" t="s">
        <v>23</v>
      </c>
      <c r="H725" s="129" t="s">
        <v>23</v>
      </c>
      <c r="I725">
        <v>0</v>
      </c>
      <c r="J725">
        <v>0</v>
      </c>
      <c r="K725" s="129" t="s">
        <v>1962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s="129" t="s">
        <v>2467</v>
      </c>
      <c r="B726" s="129" t="s">
        <v>52</v>
      </c>
      <c r="C726" s="129" t="s">
        <v>90</v>
      </c>
      <c r="D726">
        <v>-50</v>
      </c>
      <c r="E726">
        <v>-1E-3</v>
      </c>
      <c r="F726">
        <v>0.1</v>
      </c>
      <c r="G726" s="129" t="s">
        <v>23</v>
      </c>
      <c r="H726" s="129" t="s">
        <v>23</v>
      </c>
      <c r="I726">
        <v>0</v>
      </c>
      <c r="J726">
        <v>0</v>
      </c>
      <c r="K726" s="129" t="s">
        <v>1962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s="129" t="s">
        <v>388</v>
      </c>
      <c r="B727" s="129" t="s">
        <v>52</v>
      </c>
      <c r="C727" s="129" t="s">
        <v>90</v>
      </c>
      <c r="D727">
        <v>0</v>
      </c>
      <c r="E727">
        <v>593</v>
      </c>
      <c r="F727">
        <v>0.1</v>
      </c>
      <c r="G727" s="129" t="s">
        <v>23</v>
      </c>
      <c r="H727" s="129" t="s">
        <v>23</v>
      </c>
      <c r="I727">
        <v>0</v>
      </c>
      <c r="J727">
        <v>0</v>
      </c>
      <c r="K727" s="129" t="s">
        <v>1962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s="129" t="s">
        <v>390</v>
      </c>
      <c r="B728" s="129" t="s">
        <v>52</v>
      </c>
      <c r="C728" s="129" t="s">
        <v>90</v>
      </c>
      <c r="D728">
        <v>593.00099999999998</v>
      </c>
      <c r="E728">
        <v>1204</v>
      </c>
      <c r="F728">
        <v>0.1</v>
      </c>
      <c r="G728" s="129" t="s">
        <v>23</v>
      </c>
      <c r="H728" s="129" t="s">
        <v>23</v>
      </c>
      <c r="I728">
        <v>0</v>
      </c>
      <c r="J728">
        <v>0</v>
      </c>
      <c r="K728" s="129" t="s">
        <v>1962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s="129" t="s">
        <v>392</v>
      </c>
      <c r="B729" s="129" t="s">
        <v>52</v>
      </c>
      <c r="C729" s="129" t="s">
        <v>90</v>
      </c>
      <c r="D729">
        <v>1204.001</v>
      </c>
      <c r="E729">
        <v>1768</v>
      </c>
      <c r="F729">
        <v>0.1</v>
      </c>
      <c r="G729" s="129" t="s">
        <v>23</v>
      </c>
      <c r="H729" s="129" t="s">
        <v>23</v>
      </c>
      <c r="I729">
        <v>0</v>
      </c>
      <c r="J729">
        <v>0</v>
      </c>
      <c r="K729" s="129" t="s">
        <v>1962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s="129" t="s">
        <v>387</v>
      </c>
      <c r="B730" s="129" t="s">
        <v>52</v>
      </c>
      <c r="C730" s="129" t="s">
        <v>90</v>
      </c>
      <c r="D730">
        <v>-50</v>
      </c>
      <c r="E730">
        <v>-1E-3</v>
      </c>
      <c r="F730">
        <v>1</v>
      </c>
      <c r="G730" s="129" t="s">
        <v>23</v>
      </c>
      <c r="H730" s="129" t="s">
        <v>23</v>
      </c>
      <c r="I730">
        <v>0</v>
      </c>
      <c r="J730">
        <v>0</v>
      </c>
      <c r="K730" s="129" t="s">
        <v>1962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s="129" t="s">
        <v>389</v>
      </c>
      <c r="B731" s="129" t="s">
        <v>52</v>
      </c>
      <c r="C731" s="129" t="s">
        <v>90</v>
      </c>
      <c r="D731">
        <v>0</v>
      </c>
      <c r="E731">
        <v>593</v>
      </c>
      <c r="F731">
        <v>1</v>
      </c>
      <c r="G731" s="129" t="s">
        <v>23</v>
      </c>
      <c r="H731" s="129" t="s">
        <v>23</v>
      </c>
      <c r="I731">
        <v>0</v>
      </c>
      <c r="J731">
        <v>0</v>
      </c>
      <c r="K731" s="129" t="s">
        <v>1962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s="129" t="s">
        <v>391</v>
      </c>
      <c r="B732" s="129" t="s">
        <v>52</v>
      </c>
      <c r="C732" s="129" t="s">
        <v>90</v>
      </c>
      <c r="D732">
        <v>593.00099999999998</v>
      </c>
      <c r="E732">
        <v>1204</v>
      </c>
      <c r="F732">
        <v>1</v>
      </c>
      <c r="G732" s="129" t="s">
        <v>23</v>
      </c>
      <c r="H732" s="129" t="s">
        <v>23</v>
      </c>
      <c r="I732">
        <v>0</v>
      </c>
      <c r="J732">
        <v>0</v>
      </c>
      <c r="K732" s="129" t="s">
        <v>1962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s="129" t="s">
        <v>2468</v>
      </c>
      <c r="B733" s="129" t="s">
        <v>52</v>
      </c>
      <c r="C733" s="129" t="s">
        <v>90</v>
      </c>
      <c r="D733">
        <v>1204.001</v>
      </c>
      <c r="E733">
        <v>1768</v>
      </c>
      <c r="F733">
        <v>1</v>
      </c>
      <c r="G733" s="129" t="s">
        <v>23</v>
      </c>
      <c r="H733" s="129" t="s">
        <v>23</v>
      </c>
      <c r="I733">
        <v>0</v>
      </c>
      <c r="J733">
        <v>0</v>
      </c>
      <c r="K733" s="129" t="s">
        <v>1962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s="129" t="s">
        <v>379</v>
      </c>
      <c r="B734" s="129" t="s">
        <v>52</v>
      </c>
      <c r="C734" s="129" t="s">
        <v>91</v>
      </c>
      <c r="D734">
        <v>-50</v>
      </c>
      <c r="E734">
        <v>-1E-3</v>
      </c>
      <c r="F734">
        <v>0.1</v>
      </c>
      <c r="G734" s="129" t="s">
        <v>23</v>
      </c>
      <c r="H734" s="129" t="s">
        <v>23</v>
      </c>
      <c r="I734">
        <v>0</v>
      </c>
      <c r="J734">
        <v>0</v>
      </c>
      <c r="K734" s="129" t="s">
        <v>1962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s="129" t="s">
        <v>381</v>
      </c>
      <c r="B735" s="129" t="s">
        <v>52</v>
      </c>
      <c r="C735" s="129" t="s">
        <v>91</v>
      </c>
      <c r="D735">
        <v>0</v>
      </c>
      <c r="E735">
        <v>593</v>
      </c>
      <c r="F735">
        <v>0.1</v>
      </c>
      <c r="G735" s="129" t="s">
        <v>23</v>
      </c>
      <c r="H735" s="129" t="s">
        <v>23</v>
      </c>
      <c r="I735">
        <v>0</v>
      </c>
      <c r="J735">
        <v>0</v>
      </c>
      <c r="K735" s="129" t="s">
        <v>1962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s="129" t="s">
        <v>383</v>
      </c>
      <c r="B736" s="129" t="s">
        <v>52</v>
      </c>
      <c r="C736" s="129" t="s">
        <v>91</v>
      </c>
      <c r="D736">
        <v>593.00099999999998</v>
      </c>
      <c r="E736">
        <v>1204</v>
      </c>
      <c r="F736">
        <v>0.1</v>
      </c>
      <c r="G736" s="129" t="s">
        <v>23</v>
      </c>
      <c r="H736" s="129" t="s">
        <v>23</v>
      </c>
      <c r="I736">
        <v>0</v>
      </c>
      <c r="J736">
        <v>0</v>
      </c>
      <c r="K736" s="129" t="s">
        <v>1962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s="129" t="s">
        <v>385</v>
      </c>
      <c r="B737" s="129" t="s">
        <v>52</v>
      </c>
      <c r="C737" s="129" t="s">
        <v>91</v>
      </c>
      <c r="D737">
        <v>1204.001</v>
      </c>
      <c r="E737">
        <v>1768</v>
      </c>
      <c r="F737">
        <v>0.1</v>
      </c>
      <c r="G737" s="129" t="s">
        <v>23</v>
      </c>
      <c r="H737" s="129" t="s">
        <v>23</v>
      </c>
      <c r="I737">
        <v>0</v>
      </c>
      <c r="J737">
        <v>0</v>
      </c>
      <c r="K737" s="129" t="s">
        <v>1962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s="129" t="s">
        <v>380</v>
      </c>
      <c r="B738" s="129" t="s">
        <v>52</v>
      </c>
      <c r="C738" s="129" t="s">
        <v>91</v>
      </c>
      <c r="D738">
        <v>-50</v>
      </c>
      <c r="E738">
        <v>-1E-3</v>
      </c>
      <c r="F738">
        <v>1</v>
      </c>
      <c r="G738" s="129" t="s">
        <v>23</v>
      </c>
      <c r="H738" s="129" t="s">
        <v>23</v>
      </c>
      <c r="I738">
        <v>0</v>
      </c>
      <c r="J738">
        <v>0</v>
      </c>
      <c r="K738" s="129" t="s">
        <v>1962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s="129" t="s">
        <v>382</v>
      </c>
      <c r="B739" s="129" t="s">
        <v>52</v>
      </c>
      <c r="C739" s="129" t="s">
        <v>91</v>
      </c>
      <c r="D739">
        <v>0</v>
      </c>
      <c r="E739">
        <v>593</v>
      </c>
      <c r="F739">
        <v>1</v>
      </c>
      <c r="G739" s="129" t="s">
        <v>23</v>
      </c>
      <c r="H739" s="129" t="s">
        <v>23</v>
      </c>
      <c r="I739">
        <v>0</v>
      </c>
      <c r="J739">
        <v>0</v>
      </c>
      <c r="K739" s="129" t="s">
        <v>1962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s="129" t="s">
        <v>384</v>
      </c>
      <c r="B740" s="129" t="s">
        <v>52</v>
      </c>
      <c r="C740" s="129" t="s">
        <v>91</v>
      </c>
      <c r="D740">
        <v>593.00099999999998</v>
      </c>
      <c r="E740">
        <v>1204</v>
      </c>
      <c r="F740">
        <v>1</v>
      </c>
      <c r="G740" s="129" t="s">
        <v>23</v>
      </c>
      <c r="H740" s="129" t="s">
        <v>23</v>
      </c>
      <c r="I740">
        <v>0</v>
      </c>
      <c r="J740">
        <v>0</v>
      </c>
      <c r="K740" s="129" t="s">
        <v>1962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s="129" t="s">
        <v>386</v>
      </c>
      <c r="B741" s="129" t="s">
        <v>52</v>
      </c>
      <c r="C741" s="129" t="s">
        <v>91</v>
      </c>
      <c r="D741">
        <v>1204.001</v>
      </c>
      <c r="E741">
        <v>1768</v>
      </c>
      <c r="F741">
        <v>1</v>
      </c>
      <c r="G741" s="129" t="s">
        <v>23</v>
      </c>
      <c r="H741" s="129" t="s">
        <v>23</v>
      </c>
      <c r="I741">
        <v>0</v>
      </c>
      <c r="J741">
        <v>0</v>
      </c>
      <c r="K741" s="129" t="s">
        <v>1962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s="129" t="s">
        <v>376</v>
      </c>
      <c r="B742" s="129" t="s">
        <v>52</v>
      </c>
      <c r="C742" s="129" t="s">
        <v>92</v>
      </c>
      <c r="D742">
        <v>-270</v>
      </c>
      <c r="E742">
        <v>-240.001</v>
      </c>
      <c r="F742">
        <v>0.1</v>
      </c>
      <c r="G742" s="129" t="s">
        <v>23</v>
      </c>
      <c r="H742" s="129" t="s">
        <v>23</v>
      </c>
      <c r="I742">
        <v>0</v>
      </c>
      <c r="J742">
        <v>0</v>
      </c>
      <c r="K742" s="129" t="s">
        <v>1962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s="129" t="s">
        <v>2469</v>
      </c>
      <c r="B743" s="129" t="s">
        <v>52</v>
      </c>
      <c r="C743" s="129" t="s">
        <v>92</v>
      </c>
      <c r="D743">
        <v>-240</v>
      </c>
      <c r="E743">
        <v>92.998999999999995</v>
      </c>
      <c r="F743">
        <v>0.1</v>
      </c>
      <c r="G743" s="129" t="s">
        <v>23</v>
      </c>
      <c r="H743" s="129" t="s">
        <v>23</v>
      </c>
      <c r="I743">
        <v>0</v>
      </c>
      <c r="J743">
        <v>0</v>
      </c>
      <c r="K743" s="129" t="s">
        <v>1962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s="129" t="s">
        <v>378</v>
      </c>
      <c r="B744" s="129" t="s">
        <v>52</v>
      </c>
      <c r="C744" s="129" t="s">
        <v>92</v>
      </c>
      <c r="D744">
        <v>93</v>
      </c>
      <c r="E744">
        <v>400</v>
      </c>
      <c r="F744">
        <v>0.1</v>
      </c>
      <c r="G744" s="129" t="s">
        <v>23</v>
      </c>
      <c r="H744" s="129" t="s">
        <v>23</v>
      </c>
      <c r="I744">
        <v>0</v>
      </c>
      <c r="J744">
        <v>0</v>
      </c>
      <c r="K744" s="129" t="s">
        <v>1962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s="129" t="s">
        <v>2470</v>
      </c>
      <c r="B745" s="129" t="s">
        <v>52</v>
      </c>
      <c r="C745" s="129" t="s">
        <v>92</v>
      </c>
      <c r="D745">
        <v>-270</v>
      </c>
      <c r="E745">
        <v>-240.001</v>
      </c>
      <c r="F745">
        <v>1</v>
      </c>
      <c r="G745" s="129" t="s">
        <v>23</v>
      </c>
      <c r="H745" s="129" t="s">
        <v>23</v>
      </c>
      <c r="I745">
        <v>0</v>
      </c>
      <c r="J745">
        <v>0</v>
      </c>
      <c r="K745" s="129" t="s">
        <v>1962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s="129" t="s">
        <v>377</v>
      </c>
      <c r="B746" s="129" t="s">
        <v>52</v>
      </c>
      <c r="C746" s="129" t="s">
        <v>92</v>
      </c>
      <c r="D746">
        <v>-240</v>
      </c>
      <c r="E746">
        <v>92.998999999999995</v>
      </c>
      <c r="F746">
        <v>1</v>
      </c>
      <c r="G746" s="129" t="s">
        <v>23</v>
      </c>
      <c r="H746" s="129" t="s">
        <v>23</v>
      </c>
      <c r="I746">
        <v>0</v>
      </c>
      <c r="J746">
        <v>0</v>
      </c>
      <c r="K746" s="129" t="s">
        <v>1962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s="129" t="s">
        <v>2471</v>
      </c>
      <c r="B747" s="129" t="s">
        <v>52</v>
      </c>
      <c r="C747" s="129" t="s">
        <v>92</v>
      </c>
      <c r="D747">
        <v>93</v>
      </c>
      <c r="E747">
        <v>400</v>
      </c>
      <c r="F747">
        <v>1</v>
      </c>
      <c r="G747" s="129" t="s">
        <v>23</v>
      </c>
      <c r="H747" s="129" t="s">
        <v>23</v>
      </c>
      <c r="I747">
        <v>0</v>
      </c>
      <c r="J747">
        <v>0</v>
      </c>
      <c r="K747" s="129" t="s">
        <v>1962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s="129" t="s">
        <v>327</v>
      </c>
      <c r="B748" s="129" t="s">
        <v>52</v>
      </c>
      <c r="C748" s="129" t="s">
        <v>43</v>
      </c>
      <c r="D748">
        <v>0</v>
      </c>
      <c r="E748">
        <v>9.9999999999999995E-8</v>
      </c>
      <c r="F748">
        <v>9.9999999999999998E-13</v>
      </c>
      <c r="G748" s="129" t="s">
        <v>13</v>
      </c>
      <c r="H748" s="129" t="s">
        <v>67</v>
      </c>
      <c r="I748">
        <v>0</v>
      </c>
      <c r="J748">
        <v>0</v>
      </c>
      <c r="K748" s="129" t="s">
        <v>1962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s="129" t="s">
        <v>338</v>
      </c>
      <c r="B749" s="129" t="s">
        <v>52</v>
      </c>
      <c r="C749" s="129" t="s">
        <v>43</v>
      </c>
      <c r="D749">
        <v>9.9999999999999995E-8</v>
      </c>
      <c r="E749">
        <v>9.9999999999999995E-7</v>
      </c>
      <c r="F749">
        <v>9.9999999999999998E-13</v>
      </c>
      <c r="G749" s="129" t="s">
        <v>13</v>
      </c>
      <c r="H749" s="129" t="s">
        <v>67</v>
      </c>
      <c r="I749">
        <v>0</v>
      </c>
      <c r="J749">
        <v>0</v>
      </c>
      <c r="K749" s="129" t="s">
        <v>1962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s="129" t="s">
        <v>343</v>
      </c>
      <c r="B750" s="129" t="s">
        <v>52</v>
      </c>
      <c r="C750" s="129" t="s">
        <v>43</v>
      </c>
      <c r="D750">
        <v>9.9999999999999995E-7</v>
      </c>
      <c r="E750">
        <v>1.0000000000000001E-5</v>
      </c>
      <c r="F750">
        <v>9.9999999999999998E-13</v>
      </c>
      <c r="G750" s="129" t="s">
        <v>13</v>
      </c>
      <c r="H750" s="129" t="s">
        <v>67</v>
      </c>
      <c r="I750">
        <v>0</v>
      </c>
      <c r="J750">
        <v>0</v>
      </c>
      <c r="K750" s="129" t="s">
        <v>1962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s="129" t="s">
        <v>2305</v>
      </c>
      <c r="B751" s="129" t="s">
        <v>52</v>
      </c>
      <c r="C751" s="129" t="s">
        <v>43</v>
      </c>
      <c r="D751">
        <v>0</v>
      </c>
      <c r="E751">
        <v>9.9999999999999995E-8</v>
      </c>
      <c r="F751">
        <v>9.9999999999999994E-12</v>
      </c>
      <c r="G751" s="129" t="s">
        <v>13</v>
      </c>
      <c r="H751" s="129" t="s">
        <v>67</v>
      </c>
      <c r="I751">
        <v>0</v>
      </c>
      <c r="J751">
        <v>0</v>
      </c>
      <c r="K751" s="129" t="s">
        <v>1962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s="129" t="s">
        <v>339</v>
      </c>
      <c r="B752" s="129" t="s">
        <v>52</v>
      </c>
      <c r="C752" s="129" t="s">
        <v>43</v>
      </c>
      <c r="D752">
        <v>9.9999999999999995E-8</v>
      </c>
      <c r="E752">
        <v>9.9999999999999995E-7</v>
      </c>
      <c r="F752">
        <v>9.9999999999999994E-12</v>
      </c>
      <c r="G752" s="129" t="s">
        <v>13</v>
      </c>
      <c r="H752" s="129" t="s">
        <v>67</v>
      </c>
      <c r="I752">
        <v>0</v>
      </c>
      <c r="J752">
        <v>0</v>
      </c>
      <c r="K752" s="129" t="s">
        <v>1962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s="129" t="s">
        <v>344</v>
      </c>
      <c r="B753" s="129" t="s">
        <v>52</v>
      </c>
      <c r="C753" s="129" t="s">
        <v>43</v>
      </c>
      <c r="D753">
        <v>9.9999999999999995E-7</v>
      </c>
      <c r="E753">
        <v>1.0000000000000001E-5</v>
      </c>
      <c r="F753">
        <v>9.9999999999999994E-12</v>
      </c>
      <c r="G753" s="129" t="s">
        <v>13</v>
      </c>
      <c r="H753" s="129" t="s">
        <v>67</v>
      </c>
      <c r="I753">
        <v>0</v>
      </c>
      <c r="J753">
        <v>0</v>
      </c>
      <c r="K753" s="129" t="s">
        <v>1962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s="129" t="s">
        <v>348</v>
      </c>
      <c r="B754" s="129" t="s">
        <v>52</v>
      </c>
      <c r="C754" s="129" t="s">
        <v>43</v>
      </c>
      <c r="D754">
        <v>1.0000000000000001E-5</v>
      </c>
      <c r="E754">
        <v>1E-4</v>
      </c>
      <c r="F754">
        <v>9.9999999999999994E-12</v>
      </c>
      <c r="G754" s="129" t="s">
        <v>13</v>
      </c>
      <c r="H754" s="129" t="s">
        <v>67</v>
      </c>
      <c r="I754">
        <v>0</v>
      </c>
      <c r="J754">
        <v>0</v>
      </c>
      <c r="K754" s="129" t="s">
        <v>1962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s="129" t="s">
        <v>328</v>
      </c>
      <c r="B755" s="129" t="s">
        <v>52</v>
      </c>
      <c r="C755" s="129" t="s">
        <v>43</v>
      </c>
      <c r="D755">
        <v>0</v>
      </c>
      <c r="E755">
        <v>9.9999999999999995E-8</v>
      </c>
      <c r="F755">
        <v>1E-10</v>
      </c>
      <c r="G755" s="129" t="s">
        <v>13</v>
      </c>
      <c r="H755" s="129" t="s">
        <v>67</v>
      </c>
      <c r="I755">
        <v>0</v>
      </c>
      <c r="J755">
        <v>0</v>
      </c>
      <c r="K755" s="129" t="s">
        <v>1962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s="129" t="s">
        <v>340</v>
      </c>
      <c r="B756" s="129" t="s">
        <v>52</v>
      </c>
      <c r="C756" s="129" t="s">
        <v>43</v>
      </c>
      <c r="D756">
        <v>9.9999999999999995E-8</v>
      </c>
      <c r="E756">
        <v>9.9999999999999995E-7</v>
      </c>
      <c r="F756">
        <v>1E-10</v>
      </c>
      <c r="G756" s="129" t="s">
        <v>13</v>
      </c>
      <c r="H756" s="129" t="s">
        <v>67</v>
      </c>
      <c r="I756">
        <v>0</v>
      </c>
      <c r="J756">
        <v>0</v>
      </c>
      <c r="K756" s="129" t="s">
        <v>1962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s="129" t="s">
        <v>345</v>
      </c>
      <c r="B757" s="129" t="s">
        <v>52</v>
      </c>
      <c r="C757" s="129" t="s">
        <v>43</v>
      </c>
      <c r="D757">
        <v>9.9999999999999995E-7</v>
      </c>
      <c r="E757">
        <v>1.0000000000000001E-5</v>
      </c>
      <c r="F757">
        <v>1E-10</v>
      </c>
      <c r="G757" s="129" t="s">
        <v>13</v>
      </c>
      <c r="H757" s="129" t="s">
        <v>67</v>
      </c>
      <c r="I757">
        <v>0</v>
      </c>
      <c r="J757">
        <v>0</v>
      </c>
      <c r="K757" s="129" t="s">
        <v>1962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s="129" t="s">
        <v>349</v>
      </c>
      <c r="B758" s="129" t="s">
        <v>52</v>
      </c>
      <c r="C758" s="129" t="s">
        <v>43</v>
      </c>
      <c r="D758">
        <v>1.0000000000000001E-5</v>
      </c>
      <c r="E758">
        <v>1E-4</v>
      </c>
      <c r="F758">
        <v>1E-10</v>
      </c>
      <c r="G758" s="129" t="s">
        <v>13</v>
      </c>
      <c r="H758" s="129" t="s">
        <v>67</v>
      </c>
      <c r="I758">
        <v>0</v>
      </c>
      <c r="J758">
        <v>0</v>
      </c>
      <c r="K758" s="129" t="s">
        <v>1962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s="129" t="s">
        <v>352</v>
      </c>
      <c r="B759" s="129" t="s">
        <v>52</v>
      </c>
      <c r="C759" s="129" t="s">
        <v>43</v>
      </c>
      <c r="D759">
        <v>1E-4</v>
      </c>
      <c r="E759">
        <v>1E-3</v>
      </c>
      <c r="F759">
        <v>1E-10</v>
      </c>
      <c r="G759" s="129" t="s">
        <v>13</v>
      </c>
      <c r="H759" s="129" t="s">
        <v>67</v>
      </c>
      <c r="I759">
        <v>0</v>
      </c>
      <c r="J759">
        <v>0</v>
      </c>
      <c r="K759" s="129" t="s">
        <v>1962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s="129" t="s">
        <v>329</v>
      </c>
      <c r="B760" s="129" t="s">
        <v>52</v>
      </c>
      <c r="C760" s="129" t="s">
        <v>43</v>
      </c>
      <c r="D760">
        <v>0</v>
      </c>
      <c r="E760">
        <v>9.9999999999999995E-8</v>
      </c>
      <c r="F760">
        <v>1.0000000000000001E-9</v>
      </c>
      <c r="G760" s="129" t="s">
        <v>13</v>
      </c>
      <c r="H760" s="129" t="s">
        <v>67</v>
      </c>
      <c r="I760">
        <v>0</v>
      </c>
      <c r="J760">
        <v>0</v>
      </c>
      <c r="K760" s="129" t="s">
        <v>1962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s="129" t="s">
        <v>341</v>
      </c>
      <c r="B761" s="129" t="s">
        <v>52</v>
      </c>
      <c r="C761" s="129" t="s">
        <v>43</v>
      </c>
      <c r="D761">
        <v>9.9999999999999995E-8</v>
      </c>
      <c r="E761">
        <v>9.9999999999999995E-7</v>
      </c>
      <c r="F761">
        <v>1.0000000000000001E-9</v>
      </c>
      <c r="G761" s="129" t="s">
        <v>13</v>
      </c>
      <c r="H761" s="129" t="s">
        <v>67</v>
      </c>
      <c r="I761">
        <v>0</v>
      </c>
      <c r="J761">
        <v>0</v>
      </c>
      <c r="K761" s="129" t="s">
        <v>1962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s="129" t="s">
        <v>2307</v>
      </c>
      <c r="B762" s="129" t="s">
        <v>52</v>
      </c>
      <c r="C762" s="129" t="s">
        <v>43</v>
      </c>
      <c r="D762">
        <v>9.9999999999999995E-7</v>
      </c>
      <c r="E762">
        <v>1.0000000000000001E-5</v>
      </c>
      <c r="F762">
        <v>1.0000000000000001E-9</v>
      </c>
      <c r="G762" s="129" t="s">
        <v>13</v>
      </c>
      <c r="H762" s="129" t="s">
        <v>67</v>
      </c>
      <c r="I762">
        <v>0</v>
      </c>
      <c r="J762">
        <v>0</v>
      </c>
      <c r="K762" s="129" t="s">
        <v>1962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s="129" t="s">
        <v>2308</v>
      </c>
      <c r="B763" s="129" t="s">
        <v>52</v>
      </c>
      <c r="C763" s="129" t="s">
        <v>43</v>
      </c>
      <c r="D763">
        <v>1.0000000000000001E-5</v>
      </c>
      <c r="E763">
        <v>1E-4</v>
      </c>
      <c r="F763">
        <v>1.0000000000000001E-9</v>
      </c>
      <c r="G763" s="129" t="s">
        <v>13</v>
      </c>
      <c r="H763" s="129" t="s">
        <v>67</v>
      </c>
      <c r="I763">
        <v>0</v>
      </c>
      <c r="J763">
        <v>0</v>
      </c>
      <c r="K763" s="129" t="s">
        <v>1962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s="129" t="s">
        <v>353</v>
      </c>
      <c r="B764" s="129" t="s">
        <v>52</v>
      </c>
      <c r="C764" s="129" t="s">
        <v>43</v>
      </c>
      <c r="D764">
        <v>1E-4</v>
      </c>
      <c r="E764">
        <v>1E-3</v>
      </c>
      <c r="F764">
        <v>1.0000000000000001E-9</v>
      </c>
      <c r="G764" s="129" t="s">
        <v>13</v>
      </c>
      <c r="H764" s="129" t="s">
        <v>67</v>
      </c>
      <c r="I764">
        <v>0</v>
      </c>
      <c r="J764">
        <v>0</v>
      </c>
      <c r="K764" s="129" t="s">
        <v>1962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s="129" t="s">
        <v>357</v>
      </c>
      <c r="B765" s="129" t="s">
        <v>52</v>
      </c>
      <c r="C765" s="129" t="s">
        <v>43</v>
      </c>
      <c r="D765">
        <v>1E-3</v>
      </c>
      <c r="E765">
        <v>0.01</v>
      </c>
      <c r="F765">
        <v>1.0000000000000001E-9</v>
      </c>
      <c r="G765" s="129" t="s">
        <v>13</v>
      </c>
      <c r="H765" s="129" t="s">
        <v>11</v>
      </c>
      <c r="I765">
        <v>0</v>
      </c>
      <c r="J765">
        <v>0</v>
      </c>
      <c r="K765" s="129" t="s">
        <v>1962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s="129" t="s">
        <v>330</v>
      </c>
      <c r="B766" s="129" t="s">
        <v>52</v>
      </c>
      <c r="C766" s="129" t="s">
        <v>43</v>
      </c>
      <c r="D766">
        <v>0</v>
      </c>
      <c r="E766">
        <v>9.9999999999999995E-8</v>
      </c>
      <c r="F766">
        <v>1E-8</v>
      </c>
      <c r="G766" s="129" t="s">
        <v>13</v>
      </c>
      <c r="H766" s="129" t="s">
        <v>67</v>
      </c>
      <c r="I766">
        <v>0</v>
      </c>
      <c r="J766">
        <v>0</v>
      </c>
      <c r="K766" s="129" t="s">
        <v>1962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s="129" t="s">
        <v>342</v>
      </c>
      <c r="B767" s="129" t="s">
        <v>52</v>
      </c>
      <c r="C767" s="129" t="s">
        <v>43</v>
      </c>
      <c r="D767">
        <v>9.9999999999999995E-8</v>
      </c>
      <c r="E767">
        <v>9.9999999999999995E-7</v>
      </c>
      <c r="F767">
        <v>1E-8</v>
      </c>
      <c r="G767" s="129" t="s">
        <v>13</v>
      </c>
      <c r="H767" s="129" t="s">
        <v>67</v>
      </c>
      <c r="I767">
        <v>0</v>
      </c>
      <c r="J767">
        <v>0</v>
      </c>
      <c r="K767" s="129" t="s">
        <v>1962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s="129" t="s">
        <v>346</v>
      </c>
      <c r="B768" s="129" t="s">
        <v>52</v>
      </c>
      <c r="C768" s="129" t="s">
        <v>43</v>
      </c>
      <c r="D768">
        <v>9.9999999999999995E-7</v>
      </c>
      <c r="E768">
        <v>1.0000000000000001E-5</v>
      </c>
      <c r="F768">
        <v>1E-8</v>
      </c>
      <c r="G768" s="129" t="s">
        <v>13</v>
      </c>
      <c r="H768" s="129" t="s">
        <v>67</v>
      </c>
      <c r="I768">
        <v>0</v>
      </c>
      <c r="J768">
        <v>0</v>
      </c>
      <c r="K768" s="129" t="s">
        <v>1962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s="129" t="s">
        <v>350</v>
      </c>
      <c r="B769" s="129" t="s">
        <v>52</v>
      </c>
      <c r="C769" s="129" t="s">
        <v>43</v>
      </c>
      <c r="D769">
        <v>1.0000000000000001E-5</v>
      </c>
      <c r="E769">
        <v>1E-4</v>
      </c>
      <c r="F769">
        <v>1E-8</v>
      </c>
      <c r="G769" s="129" t="s">
        <v>13</v>
      </c>
      <c r="H769" s="129" t="s">
        <v>67</v>
      </c>
      <c r="I769">
        <v>0</v>
      </c>
      <c r="J769">
        <v>0</v>
      </c>
      <c r="K769" s="129" t="s">
        <v>1962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s="129" t="s">
        <v>354</v>
      </c>
      <c r="B770" s="129" t="s">
        <v>52</v>
      </c>
      <c r="C770" s="129" t="s">
        <v>43</v>
      </c>
      <c r="D770">
        <v>1E-4</v>
      </c>
      <c r="E770">
        <v>1E-3</v>
      </c>
      <c r="F770">
        <v>1E-8</v>
      </c>
      <c r="G770" s="129" t="s">
        <v>13</v>
      </c>
      <c r="H770" s="129" t="s">
        <v>67</v>
      </c>
      <c r="I770">
        <v>0</v>
      </c>
      <c r="J770">
        <v>0</v>
      </c>
      <c r="K770" s="129" t="s">
        <v>1962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s="129" t="s">
        <v>2311</v>
      </c>
      <c r="B771" s="129" t="s">
        <v>52</v>
      </c>
      <c r="C771" s="129" t="s">
        <v>43</v>
      </c>
      <c r="D771">
        <v>1E-3</v>
      </c>
      <c r="E771">
        <v>0.01</v>
      </c>
      <c r="F771">
        <v>1E-8</v>
      </c>
      <c r="G771" s="129" t="s">
        <v>13</v>
      </c>
      <c r="H771" s="129" t="s">
        <v>11</v>
      </c>
      <c r="I771">
        <v>0</v>
      </c>
      <c r="J771">
        <v>0</v>
      </c>
      <c r="K771" s="129" t="s">
        <v>1962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s="129" t="s">
        <v>362</v>
      </c>
      <c r="B772" s="129" t="s">
        <v>52</v>
      </c>
      <c r="C772" s="129" t="s">
        <v>43</v>
      </c>
      <c r="D772">
        <v>0.01</v>
      </c>
      <c r="E772">
        <v>0.1</v>
      </c>
      <c r="F772">
        <v>1E-8</v>
      </c>
      <c r="G772" s="129" t="s">
        <v>13</v>
      </c>
      <c r="H772" s="129" t="s">
        <v>11</v>
      </c>
      <c r="I772">
        <v>0</v>
      </c>
      <c r="J772">
        <v>0</v>
      </c>
      <c r="K772" s="129" t="s">
        <v>1962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s="129" t="s">
        <v>331</v>
      </c>
      <c r="B773" s="129" t="s">
        <v>52</v>
      </c>
      <c r="C773" s="129" t="s">
        <v>43</v>
      </c>
      <c r="D773">
        <v>0</v>
      </c>
      <c r="E773">
        <v>9.9999999999999995E-8</v>
      </c>
      <c r="F773">
        <v>9.9999999999999995E-8</v>
      </c>
      <c r="G773" s="129" t="s">
        <v>13</v>
      </c>
      <c r="H773" s="129" t="s">
        <v>67</v>
      </c>
      <c r="I773">
        <v>0</v>
      </c>
      <c r="J773">
        <v>0</v>
      </c>
      <c r="K773" s="129" t="s">
        <v>1962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s="129" t="s">
        <v>2306</v>
      </c>
      <c r="B774" s="129" t="s">
        <v>52</v>
      </c>
      <c r="C774" s="129" t="s">
        <v>43</v>
      </c>
      <c r="D774">
        <v>9.9999999999999995E-8</v>
      </c>
      <c r="E774">
        <v>9.9999999999999995E-7</v>
      </c>
      <c r="F774">
        <v>9.9999999999999995E-8</v>
      </c>
      <c r="G774" s="129" t="s">
        <v>13</v>
      </c>
      <c r="H774" s="129" t="s">
        <v>67</v>
      </c>
      <c r="I774">
        <v>0</v>
      </c>
      <c r="J774">
        <v>0</v>
      </c>
      <c r="K774" s="129" t="s">
        <v>1962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s="129" t="s">
        <v>347</v>
      </c>
      <c r="B775" s="129" t="s">
        <v>52</v>
      </c>
      <c r="C775" s="129" t="s">
        <v>43</v>
      </c>
      <c r="D775">
        <v>9.9999999999999995E-7</v>
      </c>
      <c r="E775">
        <v>1.0000000000000001E-5</v>
      </c>
      <c r="F775">
        <v>9.9999999999999995E-8</v>
      </c>
      <c r="G775" s="129" t="s">
        <v>13</v>
      </c>
      <c r="H775" s="129" t="s">
        <v>67</v>
      </c>
      <c r="I775">
        <v>0</v>
      </c>
      <c r="J775">
        <v>0</v>
      </c>
      <c r="K775" s="129" t="s">
        <v>1962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s="129" t="s">
        <v>2309</v>
      </c>
      <c r="B776" s="129" t="s">
        <v>52</v>
      </c>
      <c r="C776" s="129" t="s">
        <v>43</v>
      </c>
      <c r="D776">
        <v>1.0000000000000001E-5</v>
      </c>
      <c r="E776">
        <v>1E-4</v>
      </c>
      <c r="F776">
        <v>9.9999999999999995E-8</v>
      </c>
      <c r="G776" s="129" t="s">
        <v>13</v>
      </c>
      <c r="H776" s="129" t="s">
        <v>67</v>
      </c>
      <c r="I776">
        <v>0</v>
      </c>
      <c r="J776">
        <v>0</v>
      </c>
      <c r="K776" s="129" t="s">
        <v>1962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s="129" t="s">
        <v>355</v>
      </c>
      <c r="B777" s="129" t="s">
        <v>52</v>
      </c>
      <c r="C777" s="129" t="s">
        <v>43</v>
      </c>
      <c r="D777">
        <v>1E-4</v>
      </c>
      <c r="E777">
        <v>1E-3</v>
      </c>
      <c r="F777">
        <v>9.9999999999999995E-8</v>
      </c>
      <c r="G777" s="129" t="s">
        <v>13</v>
      </c>
      <c r="H777" s="129" t="s">
        <v>67</v>
      </c>
      <c r="I777">
        <v>0</v>
      </c>
      <c r="J777">
        <v>0</v>
      </c>
      <c r="K777" s="129" t="s">
        <v>1962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s="129" t="s">
        <v>358</v>
      </c>
      <c r="B778" s="129" t="s">
        <v>52</v>
      </c>
      <c r="C778" s="129" t="s">
        <v>43</v>
      </c>
      <c r="D778">
        <v>1E-3</v>
      </c>
      <c r="E778">
        <v>0.01</v>
      </c>
      <c r="F778">
        <v>9.9999999999999995E-8</v>
      </c>
      <c r="G778" s="129" t="s">
        <v>13</v>
      </c>
      <c r="H778" s="129" t="s">
        <v>11</v>
      </c>
      <c r="I778">
        <v>0</v>
      </c>
      <c r="J778">
        <v>0</v>
      </c>
      <c r="K778" s="129" t="s">
        <v>1962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s="129" t="s">
        <v>363</v>
      </c>
      <c r="B779" s="129" t="s">
        <v>52</v>
      </c>
      <c r="C779" s="129" t="s">
        <v>43</v>
      </c>
      <c r="D779">
        <v>0.01</v>
      </c>
      <c r="E779">
        <v>0.1</v>
      </c>
      <c r="F779">
        <v>9.9999999999999995E-8</v>
      </c>
      <c r="G779" s="129" t="s">
        <v>13</v>
      </c>
      <c r="H779" s="129" t="s">
        <v>11</v>
      </c>
      <c r="I779">
        <v>0</v>
      </c>
      <c r="J779">
        <v>0</v>
      </c>
      <c r="K779" s="129" t="s">
        <v>1962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s="129" t="s">
        <v>368</v>
      </c>
      <c r="B780" s="129" t="s">
        <v>52</v>
      </c>
      <c r="C780" s="129" t="s">
        <v>43</v>
      </c>
      <c r="D780">
        <v>0.1</v>
      </c>
      <c r="E780">
        <v>1</v>
      </c>
      <c r="F780">
        <v>9.9999999999999995E-8</v>
      </c>
      <c r="G780" s="129" t="s">
        <v>13</v>
      </c>
      <c r="H780" s="129" t="s">
        <v>11</v>
      </c>
      <c r="I780">
        <v>0</v>
      </c>
      <c r="J780">
        <v>0</v>
      </c>
      <c r="K780" s="129" t="s">
        <v>1962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s="129" t="s">
        <v>332</v>
      </c>
      <c r="B781" s="129" t="s">
        <v>52</v>
      </c>
      <c r="C781" s="129" t="s">
        <v>43</v>
      </c>
      <c r="D781">
        <v>0</v>
      </c>
      <c r="E781">
        <v>9.9999999999999995E-8</v>
      </c>
      <c r="F781">
        <v>9.9999999999999995E-7</v>
      </c>
      <c r="G781" s="129" t="s">
        <v>13</v>
      </c>
      <c r="H781" s="129" t="s">
        <v>67</v>
      </c>
      <c r="I781">
        <v>0</v>
      </c>
      <c r="J781">
        <v>0</v>
      </c>
      <c r="K781" s="129" t="s">
        <v>1962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s="129" t="s">
        <v>351</v>
      </c>
      <c r="B782" s="129" t="s">
        <v>52</v>
      </c>
      <c r="C782" s="129" t="s">
        <v>43</v>
      </c>
      <c r="D782">
        <v>1.0000000000000001E-5</v>
      </c>
      <c r="E782">
        <v>1E-4</v>
      </c>
      <c r="F782">
        <v>9.9999999999999995E-7</v>
      </c>
      <c r="G782" s="129" t="s">
        <v>13</v>
      </c>
      <c r="H782" s="129" t="s">
        <v>67</v>
      </c>
      <c r="I782">
        <v>0</v>
      </c>
      <c r="J782">
        <v>0</v>
      </c>
      <c r="K782" s="129" t="s">
        <v>1962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s="129" t="s">
        <v>356</v>
      </c>
      <c r="B783" s="129" t="s">
        <v>52</v>
      </c>
      <c r="C783" s="129" t="s">
        <v>43</v>
      </c>
      <c r="D783">
        <v>1E-4</v>
      </c>
      <c r="E783">
        <v>1E-3</v>
      </c>
      <c r="F783">
        <v>9.9999999999999995E-7</v>
      </c>
      <c r="G783" s="129" t="s">
        <v>13</v>
      </c>
      <c r="H783" s="129" t="s">
        <v>67</v>
      </c>
      <c r="I783">
        <v>0</v>
      </c>
      <c r="J783">
        <v>0</v>
      </c>
      <c r="K783" s="129" t="s">
        <v>1962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s="129" t="s">
        <v>359</v>
      </c>
      <c r="B784" s="129" t="s">
        <v>52</v>
      </c>
      <c r="C784" s="129" t="s">
        <v>43</v>
      </c>
      <c r="D784">
        <v>1E-3</v>
      </c>
      <c r="E784">
        <v>0.01</v>
      </c>
      <c r="F784">
        <v>9.9999999999999995E-7</v>
      </c>
      <c r="G784" s="129" t="s">
        <v>13</v>
      </c>
      <c r="H784" s="129" t="s">
        <v>11</v>
      </c>
      <c r="I784">
        <v>0</v>
      </c>
      <c r="J784">
        <v>0</v>
      </c>
      <c r="K784" s="129" t="s">
        <v>1962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s="129" t="s">
        <v>364</v>
      </c>
      <c r="B785" s="129" t="s">
        <v>52</v>
      </c>
      <c r="C785" s="129" t="s">
        <v>43</v>
      </c>
      <c r="D785">
        <v>0.01</v>
      </c>
      <c r="E785">
        <v>0.1</v>
      </c>
      <c r="F785">
        <v>9.9999999999999995E-7</v>
      </c>
      <c r="G785" s="129" t="s">
        <v>13</v>
      </c>
      <c r="H785" s="129" t="s">
        <v>11</v>
      </c>
      <c r="I785">
        <v>0</v>
      </c>
      <c r="J785">
        <v>0</v>
      </c>
      <c r="K785" s="129" t="s">
        <v>1962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s="129" t="s">
        <v>2312</v>
      </c>
      <c r="B786" s="129" t="s">
        <v>52</v>
      </c>
      <c r="C786" s="129" t="s">
        <v>43</v>
      </c>
      <c r="D786">
        <v>0.1</v>
      </c>
      <c r="E786">
        <v>1</v>
      </c>
      <c r="F786">
        <v>9.9999999999999995E-7</v>
      </c>
      <c r="G786" s="129" t="s">
        <v>13</v>
      </c>
      <c r="H786" s="129" t="s">
        <v>11</v>
      </c>
      <c r="I786">
        <v>0</v>
      </c>
      <c r="J786">
        <v>0</v>
      </c>
      <c r="K786" s="129" t="s">
        <v>1962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s="129" t="s">
        <v>371</v>
      </c>
      <c r="B787" s="129" t="s">
        <v>52</v>
      </c>
      <c r="C787" s="129" t="s">
        <v>43</v>
      </c>
      <c r="D787">
        <v>1</v>
      </c>
      <c r="E787">
        <v>20</v>
      </c>
      <c r="F787">
        <v>9.9999999999999995E-7</v>
      </c>
      <c r="G787" s="129" t="s">
        <v>13</v>
      </c>
      <c r="H787" s="129" t="s">
        <v>12</v>
      </c>
      <c r="I787">
        <v>0</v>
      </c>
      <c r="J787">
        <v>0</v>
      </c>
      <c r="K787" s="129" t="s">
        <v>1962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s="129" t="s">
        <v>333</v>
      </c>
      <c r="B788" s="129" t="s">
        <v>52</v>
      </c>
      <c r="C788" s="129" t="s">
        <v>43</v>
      </c>
      <c r="D788">
        <v>0</v>
      </c>
      <c r="E788">
        <v>9.9999999999999995E-8</v>
      </c>
      <c r="F788">
        <v>1.0000000000000001E-5</v>
      </c>
      <c r="G788" s="129" t="s">
        <v>13</v>
      </c>
      <c r="H788" s="129" t="s">
        <v>67</v>
      </c>
      <c r="I788">
        <v>0</v>
      </c>
      <c r="J788">
        <v>0</v>
      </c>
      <c r="K788" s="129" t="s">
        <v>1962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s="129" t="s">
        <v>2310</v>
      </c>
      <c r="B789" s="129" t="s">
        <v>52</v>
      </c>
      <c r="C789" s="129" t="s">
        <v>43</v>
      </c>
      <c r="D789">
        <v>1E-4</v>
      </c>
      <c r="E789">
        <v>1E-3</v>
      </c>
      <c r="F789">
        <v>1.0000000000000001E-5</v>
      </c>
      <c r="G789" s="129" t="s">
        <v>13</v>
      </c>
      <c r="H789" s="129" t="s">
        <v>67</v>
      </c>
      <c r="I789">
        <v>0</v>
      </c>
      <c r="J789">
        <v>0</v>
      </c>
      <c r="K789" s="129" t="s">
        <v>1962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s="129" t="s">
        <v>360</v>
      </c>
      <c r="B790" s="129" t="s">
        <v>52</v>
      </c>
      <c r="C790" s="129" t="s">
        <v>43</v>
      </c>
      <c r="D790">
        <v>1E-3</v>
      </c>
      <c r="E790">
        <v>0.01</v>
      </c>
      <c r="F790">
        <v>1.0000000000000001E-5</v>
      </c>
      <c r="G790" s="129" t="s">
        <v>13</v>
      </c>
      <c r="H790" s="129" t="s">
        <v>11</v>
      </c>
      <c r="I790">
        <v>0</v>
      </c>
      <c r="J790">
        <v>0</v>
      </c>
      <c r="K790" s="129" t="s">
        <v>1962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s="129" t="s">
        <v>365</v>
      </c>
      <c r="B791" s="129" t="s">
        <v>52</v>
      </c>
      <c r="C791" s="129" t="s">
        <v>43</v>
      </c>
      <c r="D791">
        <v>0.01</v>
      </c>
      <c r="E791">
        <v>0.1</v>
      </c>
      <c r="F791">
        <v>1.0000000000000001E-5</v>
      </c>
      <c r="G791" s="129" t="s">
        <v>13</v>
      </c>
      <c r="H791" s="129" t="s">
        <v>11</v>
      </c>
      <c r="I791">
        <v>0</v>
      </c>
      <c r="J791">
        <v>0</v>
      </c>
      <c r="K791" s="129" t="s">
        <v>1962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s="129" t="s">
        <v>369</v>
      </c>
      <c r="B792" s="129" t="s">
        <v>52</v>
      </c>
      <c r="C792" s="129" t="s">
        <v>43</v>
      </c>
      <c r="D792">
        <v>0.1</v>
      </c>
      <c r="E792">
        <v>1</v>
      </c>
      <c r="F792">
        <v>1.0000000000000001E-5</v>
      </c>
      <c r="G792" s="129" t="s">
        <v>13</v>
      </c>
      <c r="H792" s="129" t="s">
        <v>11</v>
      </c>
      <c r="I792">
        <v>0</v>
      </c>
      <c r="J792">
        <v>0</v>
      </c>
      <c r="K792" s="129" t="s">
        <v>1962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s="129" t="s">
        <v>2315</v>
      </c>
      <c r="B793" s="129" t="s">
        <v>52</v>
      </c>
      <c r="C793" s="129" t="s">
        <v>43</v>
      </c>
      <c r="D793">
        <v>1</v>
      </c>
      <c r="E793">
        <v>20</v>
      </c>
      <c r="F793">
        <v>1.0000000000000001E-5</v>
      </c>
      <c r="G793" s="129" t="s">
        <v>13</v>
      </c>
      <c r="H793" s="129" t="s">
        <v>12</v>
      </c>
      <c r="I793">
        <v>0</v>
      </c>
      <c r="J793">
        <v>0</v>
      </c>
      <c r="K793" s="129" t="s">
        <v>1962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s="129" t="s">
        <v>334</v>
      </c>
      <c r="B794" s="129" t="s">
        <v>52</v>
      </c>
      <c r="C794" s="129" t="s">
        <v>43</v>
      </c>
      <c r="D794">
        <v>0</v>
      </c>
      <c r="E794">
        <v>9.9999999999999995E-8</v>
      </c>
      <c r="F794">
        <v>1E-4</v>
      </c>
      <c r="G794" s="129" t="s">
        <v>13</v>
      </c>
      <c r="H794" s="129" t="s">
        <v>67</v>
      </c>
      <c r="I794">
        <v>0</v>
      </c>
      <c r="J794">
        <v>0</v>
      </c>
      <c r="K794" s="129" t="s">
        <v>1962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s="129" t="s">
        <v>361</v>
      </c>
      <c r="B795" s="129" t="s">
        <v>52</v>
      </c>
      <c r="C795" s="129" t="s">
        <v>43</v>
      </c>
      <c r="D795">
        <v>1E-3</v>
      </c>
      <c r="E795">
        <v>0.01</v>
      </c>
      <c r="F795">
        <v>1E-4</v>
      </c>
      <c r="G795" s="129" t="s">
        <v>13</v>
      </c>
      <c r="H795" s="129" t="s">
        <v>11</v>
      </c>
      <c r="I795">
        <v>0</v>
      </c>
      <c r="J795">
        <v>0</v>
      </c>
      <c r="K795" s="129" t="s">
        <v>1962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s="129" t="s">
        <v>366</v>
      </c>
      <c r="B796" s="129" t="s">
        <v>52</v>
      </c>
      <c r="C796" s="129" t="s">
        <v>43</v>
      </c>
      <c r="D796">
        <v>0.01</v>
      </c>
      <c r="E796">
        <v>0.1</v>
      </c>
      <c r="F796">
        <v>1E-4</v>
      </c>
      <c r="G796" s="129" t="s">
        <v>13</v>
      </c>
      <c r="H796" s="129" t="s">
        <v>11</v>
      </c>
      <c r="I796">
        <v>0</v>
      </c>
      <c r="J796">
        <v>0</v>
      </c>
      <c r="K796" s="129" t="s">
        <v>1962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s="129" t="s">
        <v>2313</v>
      </c>
      <c r="B797" s="129" t="s">
        <v>52</v>
      </c>
      <c r="C797" s="129" t="s">
        <v>43</v>
      </c>
      <c r="D797">
        <v>0.1</v>
      </c>
      <c r="E797">
        <v>1</v>
      </c>
      <c r="F797">
        <v>1E-4</v>
      </c>
      <c r="G797" s="129" t="s">
        <v>13</v>
      </c>
      <c r="H797" s="129" t="s">
        <v>11</v>
      </c>
      <c r="I797">
        <v>0</v>
      </c>
      <c r="J797">
        <v>0</v>
      </c>
      <c r="K797" s="129" t="s">
        <v>1962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s="129" t="s">
        <v>372</v>
      </c>
      <c r="B798" s="129" t="s">
        <v>52</v>
      </c>
      <c r="C798" s="129" t="s">
        <v>43</v>
      </c>
      <c r="D798">
        <v>1</v>
      </c>
      <c r="E798">
        <v>20</v>
      </c>
      <c r="F798">
        <v>1E-4</v>
      </c>
      <c r="G798" s="129" t="s">
        <v>13</v>
      </c>
      <c r="H798" s="129" t="s">
        <v>12</v>
      </c>
      <c r="I798">
        <v>0</v>
      </c>
      <c r="J798">
        <v>0</v>
      </c>
      <c r="K798" s="129" t="s">
        <v>1962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s="129" t="s">
        <v>335</v>
      </c>
      <c r="B799" s="129" t="s">
        <v>52</v>
      </c>
      <c r="C799" s="129" t="s">
        <v>43</v>
      </c>
      <c r="D799">
        <v>0</v>
      </c>
      <c r="E799">
        <v>9.9999999999999995E-8</v>
      </c>
      <c r="F799">
        <v>1E-3</v>
      </c>
      <c r="G799" s="129" t="s">
        <v>13</v>
      </c>
      <c r="H799" s="129" t="s">
        <v>67</v>
      </c>
      <c r="I799">
        <v>0</v>
      </c>
      <c r="J799">
        <v>0</v>
      </c>
      <c r="K799" s="129" t="s">
        <v>1962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s="129" t="s">
        <v>367</v>
      </c>
      <c r="B800" s="129" t="s">
        <v>52</v>
      </c>
      <c r="C800" s="129" t="s">
        <v>43</v>
      </c>
      <c r="D800">
        <v>0.01</v>
      </c>
      <c r="E800">
        <v>0.1</v>
      </c>
      <c r="F800">
        <v>1E-3</v>
      </c>
      <c r="G800" s="129" t="s">
        <v>13</v>
      </c>
      <c r="H800" s="129" t="s">
        <v>11</v>
      </c>
      <c r="I800">
        <v>0</v>
      </c>
      <c r="J800">
        <v>0</v>
      </c>
      <c r="K800" s="129" t="s">
        <v>1962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s="129" t="s">
        <v>370</v>
      </c>
      <c r="B801" s="129" t="s">
        <v>52</v>
      </c>
      <c r="C801" s="129" t="s">
        <v>43</v>
      </c>
      <c r="D801">
        <v>0.1</v>
      </c>
      <c r="E801">
        <v>1</v>
      </c>
      <c r="F801">
        <v>1E-3</v>
      </c>
      <c r="G801" s="129" t="s">
        <v>13</v>
      </c>
      <c r="H801" s="129" t="s">
        <v>11</v>
      </c>
      <c r="I801">
        <v>0</v>
      </c>
      <c r="J801">
        <v>0</v>
      </c>
      <c r="K801" s="129" t="s">
        <v>1962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s="129" t="s">
        <v>373</v>
      </c>
      <c r="B802" s="129" t="s">
        <v>52</v>
      </c>
      <c r="C802" s="129" t="s">
        <v>43</v>
      </c>
      <c r="D802">
        <v>1</v>
      </c>
      <c r="E802">
        <v>20</v>
      </c>
      <c r="F802">
        <v>1E-3</v>
      </c>
      <c r="G802" s="129" t="s">
        <v>13</v>
      </c>
      <c r="H802" s="129" t="s">
        <v>12</v>
      </c>
      <c r="I802">
        <v>0</v>
      </c>
      <c r="J802">
        <v>0</v>
      </c>
      <c r="K802" s="129" t="s">
        <v>1962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s="129" t="s">
        <v>336</v>
      </c>
      <c r="B803" s="129" t="s">
        <v>52</v>
      </c>
      <c r="C803" s="129" t="s">
        <v>43</v>
      </c>
      <c r="D803">
        <v>0</v>
      </c>
      <c r="E803">
        <v>9.9999999999999995E-8</v>
      </c>
      <c r="F803">
        <v>0.01</v>
      </c>
      <c r="G803" s="129" t="s">
        <v>13</v>
      </c>
      <c r="H803" s="129" t="s">
        <v>67</v>
      </c>
      <c r="I803">
        <v>0</v>
      </c>
      <c r="J803">
        <v>0</v>
      </c>
      <c r="K803" s="129" t="s">
        <v>1962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s="129" t="s">
        <v>2314</v>
      </c>
      <c r="B804" s="129" t="s">
        <v>52</v>
      </c>
      <c r="C804" s="129" t="s">
        <v>43</v>
      </c>
      <c r="D804">
        <v>0.1</v>
      </c>
      <c r="E804">
        <v>1</v>
      </c>
      <c r="F804">
        <v>0.01</v>
      </c>
      <c r="G804" s="129" t="s">
        <v>13</v>
      </c>
      <c r="H804" s="129" t="s">
        <v>11</v>
      </c>
      <c r="I804">
        <v>0</v>
      </c>
      <c r="J804">
        <v>0</v>
      </c>
      <c r="K804" s="129" t="s">
        <v>1962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s="129" t="s">
        <v>374</v>
      </c>
      <c r="B805" s="129" t="s">
        <v>52</v>
      </c>
      <c r="C805" s="129" t="s">
        <v>43</v>
      </c>
      <c r="D805">
        <v>1</v>
      </c>
      <c r="E805">
        <v>20</v>
      </c>
      <c r="F805">
        <v>0.01</v>
      </c>
      <c r="G805" s="129" t="s">
        <v>13</v>
      </c>
      <c r="H805" s="129" t="s">
        <v>12</v>
      </c>
      <c r="I805">
        <v>0</v>
      </c>
      <c r="J805">
        <v>0</v>
      </c>
      <c r="K805" s="129" t="s">
        <v>1962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s="129" t="s">
        <v>337</v>
      </c>
      <c r="B806" s="129" t="s">
        <v>52</v>
      </c>
      <c r="C806" s="129" t="s">
        <v>43</v>
      </c>
      <c r="D806">
        <v>0</v>
      </c>
      <c r="E806">
        <v>9.9999999999999995E-8</v>
      </c>
      <c r="F806">
        <v>0.1</v>
      </c>
      <c r="G806" s="129" t="s">
        <v>13</v>
      </c>
      <c r="H806" s="129" t="s">
        <v>67</v>
      </c>
      <c r="I806">
        <v>0</v>
      </c>
      <c r="J806">
        <v>0</v>
      </c>
      <c r="K806" s="129" t="s">
        <v>1962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s="129" t="s">
        <v>375</v>
      </c>
      <c r="B807" s="129" t="s">
        <v>52</v>
      </c>
      <c r="C807" s="129" t="s">
        <v>43</v>
      </c>
      <c r="D807">
        <v>1</v>
      </c>
      <c r="E807">
        <v>20</v>
      </c>
      <c r="F807">
        <v>0.1</v>
      </c>
      <c r="G807" s="129" t="s">
        <v>13</v>
      </c>
      <c r="H807" s="129" t="s">
        <v>12</v>
      </c>
      <c r="I807">
        <v>0</v>
      </c>
      <c r="J807">
        <v>0</v>
      </c>
      <c r="K807" s="129" t="s">
        <v>1962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s="129" t="s">
        <v>299</v>
      </c>
      <c r="B808" s="129" t="s">
        <v>52</v>
      </c>
      <c r="C808" s="129" t="s">
        <v>3</v>
      </c>
      <c r="D808">
        <v>0</v>
      </c>
      <c r="E808">
        <v>0.1</v>
      </c>
      <c r="F808">
        <v>1E-8</v>
      </c>
      <c r="G808" s="129" t="s">
        <v>6</v>
      </c>
      <c r="H808" s="129" t="s">
        <v>5</v>
      </c>
      <c r="I808">
        <v>0</v>
      </c>
      <c r="J808">
        <v>0</v>
      </c>
      <c r="K808" s="129" t="s">
        <v>1962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s="129" t="s">
        <v>308</v>
      </c>
      <c r="B809" s="129" t="s">
        <v>52</v>
      </c>
      <c r="C809" s="129" t="s">
        <v>3</v>
      </c>
      <c r="D809">
        <v>0.1</v>
      </c>
      <c r="E809">
        <v>1</v>
      </c>
      <c r="F809">
        <v>1E-8</v>
      </c>
      <c r="G809" s="129" t="s">
        <v>6</v>
      </c>
      <c r="H809" s="129" t="s">
        <v>5</v>
      </c>
      <c r="I809">
        <v>0</v>
      </c>
      <c r="J809">
        <v>0</v>
      </c>
      <c r="K809" s="129" t="s">
        <v>1962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s="129" t="s">
        <v>300</v>
      </c>
      <c r="B810" s="129" t="s">
        <v>52</v>
      </c>
      <c r="C810" s="129" t="s">
        <v>3</v>
      </c>
      <c r="D810">
        <v>0</v>
      </c>
      <c r="E810">
        <v>0.1</v>
      </c>
      <c r="F810">
        <v>9.9999999999999995E-8</v>
      </c>
      <c r="G810" s="129" t="s">
        <v>6</v>
      </c>
      <c r="H810" s="129" t="s">
        <v>5</v>
      </c>
      <c r="I810">
        <v>0</v>
      </c>
      <c r="J810">
        <v>0</v>
      </c>
      <c r="K810" s="129" t="s">
        <v>1962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s="129" t="s">
        <v>309</v>
      </c>
      <c r="B811" s="129" t="s">
        <v>52</v>
      </c>
      <c r="C811" s="129" t="s">
        <v>3</v>
      </c>
      <c r="D811">
        <v>0.1</v>
      </c>
      <c r="E811">
        <v>1</v>
      </c>
      <c r="F811">
        <v>9.9999999999999995E-8</v>
      </c>
      <c r="G811" s="129" t="s">
        <v>6</v>
      </c>
      <c r="H811" s="129" t="s">
        <v>5</v>
      </c>
      <c r="I811">
        <v>0</v>
      </c>
      <c r="J811">
        <v>0</v>
      </c>
      <c r="K811" s="129" t="s">
        <v>1962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s="129" t="s">
        <v>312</v>
      </c>
      <c r="B812" s="129" t="s">
        <v>52</v>
      </c>
      <c r="C812" s="129" t="s">
        <v>3</v>
      </c>
      <c r="D812">
        <v>1</v>
      </c>
      <c r="E812">
        <v>10</v>
      </c>
      <c r="F812">
        <v>9.9999999999999995E-8</v>
      </c>
      <c r="G812" s="129" t="s">
        <v>6</v>
      </c>
      <c r="H812" s="129" t="s">
        <v>5</v>
      </c>
      <c r="I812">
        <v>0</v>
      </c>
      <c r="J812">
        <v>0</v>
      </c>
      <c r="K812" s="129" t="s">
        <v>1962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s="129" t="s">
        <v>301</v>
      </c>
      <c r="B813" s="129" t="s">
        <v>52</v>
      </c>
      <c r="C813" s="129" t="s">
        <v>3</v>
      </c>
      <c r="D813">
        <v>0</v>
      </c>
      <c r="E813">
        <v>0.1</v>
      </c>
      <c r="F813">
        <v>9.9999999999999995E-7</v>
      </c>
      <c r="G813" s="129" t="s">
        <v>6</v>
      </c>
      <c r="H813" s="129" t="s">
        <v>5</v>
      </c>
      <c r="I813">
        <v>0</v>
      </c>
      <c r="J813">
        <v>0</v>
      </c>
      <c r="K813" s="129" t="s">
        <v>1962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s="129" t="s">
        <v>2301</v>
      </c>
      <c r="B814" s="129" t="s">
        <v>52</v>
      </c>
      <c r="C814" s="129" t="s">
        <v>3</v>
      </c>
      <c r="D814">
        <v>0.1</v>
      </c>
      <c r="E814">
        <v>1</v>
      </c>
      <c r="F814">
        <v>9.9999999999999995E-7</v>
      </c>
      <c r="G814" s="129" t="s">
        <v>6</v>
      </c>
      <c r="H814" s="129" t="s">
        <v>5</v>
      </c>
      <c r="I814">
        <v>0</v>
      </c>
      <c r="J814">
        <v>0</v>
      </c>
      <c r="K814" s="129" t="s">
        <v>1962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s="129" t="s">
        <v>313</v>
      </c>
      <c r="B815" s="129" t="s">
        <v>52</v>
      </c>
      <c r="C815" s="129" t="s">
        <v>3</v>
      </c>
      <c r="D815">
        <v>1</v>
      </c>
      <c r="E815">
        <v>10</v>
      </c>
      <c r="F815">
        <v>9.9999999999999995E-7</v>
      </c>
      <c r="G815" s="129" t="s">
        <v>6</v>
      </c>
      <c r="H815" s="129" t="s">
        <v>5</v>
      </c>
      <c r="I815">
        <v>0</v>
      </c>
      <c r="J815">
        <v>0</v>
      </c>
      <c r="K815" s="129" t="s">
        <v>1962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s="129" t="s">
        <v>317</v>
      </c>
      <c r="B816" s="129" t="s">
        <v>52</v>
      </c>
      <c r="C816" s="129" t="s">
        <v>3</v>
      </c>
      <c r="D816">
        <v>10</v>
      </c>
      <c r="E816">
        <v>100</v>
      </c>
      <c r="F816">
        <v>9.9999999999999995E-7</v>
      </c>
      <c r="G816" s="129" t="s">
        <v>6</v>
      </c>
      <c r="H816" s="129" t="s">
        <v>5</v>
      </c>
      <c r="I816">
        <v>0</v>
      </c>
      <c r="J816">
        <v>0</v>
      </c>
      <c r="K816" s="129" t="s">
        <v>1962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s="129" t="s">
        <v>302</v>
      </c>
      <c r="B817" s="129" t="s">
        <v>52</v>
      </c>
      <c r="C817" s="129" t="s">
        <v>3</v>
      </c>
      <c r="D817">
        <v>0</v>
      </c>
      <c r="E817">
        <v>0.1</v>
      </c>
      <c r="F817">
        <v>1.0000000000000001E-5</v>
      </c>
      <c r="G817" s="129" t="s">
        <v>6</v>
      </c>
      <c r="H817" s="129" t="s">
        <v>5</v>
      </c>
      <c r="I817">
        <v>0</v>
      </c>
      <c r="J817">
        <v>0</v>
      </c>
      <c r="K817" s="129" t="s">
        <v>1962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s="129" t="s">
        <v>2302</v>
      </c>
      <c r="B818" s="129" t="s">
        <v>52</v>
      </c>
      <c r="C818" s="129" t="s">
        <v>3</v>
      </c>
      <c r="D818">
        <v>0.1</v>
      </c>
      <c r="E818">
        <v>1</v>
      </c>
      <c r="F818">
        <v>1.0000000000000001E-5</v>
      </c>
      <c r="G818" s="129" t="s">
        <v>6</v>
      </c>
      <c r="H818" s="129" t="s">
        <v>5</v>
      </c>
      <c r="I818">
        <v>0</v>
      </c>
      <c r="J818">
        <v>0</v>
      </c>
      <c r="K818" s="129" t="s">
        <v>1962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s="129" t="s">
        <v>314</v>
      </c>
      <c r="B819" s="129" t="s">
        <v>52</v>
      </c>
      <c r="C819" s="129" t="s">
        <v>3</v>
      </c>
      <c r="D819">
        <v>1</v>
      </c>
      <c r="E819">
        <v>10</v>
      </c>
      <c r="F819">
        <v>1.0000000000000001E-5</v>
      </c>
      <c r="G819" s="129" t="s">
        <v>6</v>
      </c>
      <c r="H819" s="129" t="s">
        <v>5</v>
      </c>
      <c r="I819">
        <v>0</v>
      </c>
      <c r="J819">
        <v>0</v>
      </c>
      <c r="K819" s="129" t="s">
        <v>1962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s="129" t="s">
        <v>318</v>
      </c>
      <c r="B820" s="129" t="s">
        <v>52</v>
      </c>
      <c r="C820" s="129" t="s">
        <v>3</v>
      </c>
      <c r="D820">
        <v>10</v>
      </c>
      <c r="E820">
        <v>100</v>
      </c>
      <c r="F820">
        <v>1.0000000000000001E-5</v>
      </c>
      <c r="G820" s="129" t="s">
        <v>6</v>
      </c>
      <c r="H820" s="129" t="s">
        <v>5</v>
      </c>
      <c r="I820">
        <v>0</v>
      </c>
      <c r="J820">
        <v>0</v>
      </c>
      <c r="K820" s="129" t="s">
        <v>1962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s="129" t="s">
        <v>321</v>
      </c>
      <c r="B821" s="129" t="s">
        <v>52</v>
      </c>
      <c r="C821" s="129" t="s">
        <v>3</v>
      </c>
      <c r="D821">
        <v>100</v>
      </c>
      <c r="E821">
        <v>1000</v>
      </c>
      <c r="F821">
        <v>1.0000000000000001E-5</v>
      </c>
      <c r="G821" s="129" t="s">
        <v>6</v>
      </c>
      <c r="H821" s="129" t="s">
        <v>4</v>
      </c>
      <c r="I821">
        <v>0</v>
      </c>
      <c r="J821">
        <v>0</v>
      </c>
      <c r="K821" s="129" t="s">
        <v>1962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s="129" t="s">
        <v>303</v>
      </c>
      <c r="B822" s="129" t="s">
        <v>52</v>
      </c>
      <c r="C822" s="129" t="s">
        <v>3</v>
      </c>
      <c r="D822">
        <v>0</v>
      </c>
      <c r="E822">
        <v>0.1</v>
      </c>
      <c r="F822">
        <v>1E-4</v>
      </c>
      <c r="G822" s="129" t="s">
        <v>6</v>
      </c>
      <c r="H822" s="129" t="s">
        <v>5</v>
      </c>
      <c r="I822">
        <v>0</v>
      </c>
      <c r="J822">
        <v>0</v>
      </c>
      <c r="K822" s="129" t="s">
        <v>1962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s="129" t="s">
        <v>310</v>
      </c>
      <c r="B823" s="129" t="s">
        <v>52</v>
      </c>
      <c r="C823" s="129" t="s">
        <v>3</v>
      </c>
      <c r="D823">
        <v>0.1</v>
      </c>
      <c r="E823">
        <v>1</v>
      </c>
      <c r="F823">
        <v>1E-4</v>
      </c>
      <c r="G823" s="129" t="s">
        <v>6</v>
      </c>
      <c r="H823" s="129" t="s">
        <v>5</v>
      </c>
      <c r="I823">
        <v>0</v>
      </c>
      <c r="J823">
        <v>0</v>
      </c>
      <c r="K823" s="129" t="s">
        <v>1962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s="129" t="s">
        <v>2303</v>
      </c>
      <c r="B824" s="129" t="s">
        <v>52</v>
      </c>
      <c r="C824" s="129" t="s">
        <v>3</v>
      </c>
      <c r="D824">
        <v>1</v>
      </c>
      <c r="E824">
        <v>10</v>
      </c>
      <c r="F824">
        <v>1E-4</v>
      </c>
      <c r="G824" s="129" t="s">
        <v>6</v>
      </c>
      <c r="H824" s="129" t="s">
        <v>5</v>
      </c>
      <c r="I824">
        <v>0</v>
      </c>
      <c r="J824">
        <v>0</v>
      </c>
      <c r="K824" s="129" t="s">
        <v>1962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s="129" t="s">
        <v>319</v>
      </c>
      <c r="B825" s="129" t="s">
        <v>52</v>
      </c>
      <c r="C825" s="129" t="s">
        <v>3</v>
      </c>
      <c r="D825">
        <v>10</v>
      </c>
      <c r="E825">
        <v>100</v>
      </c>
      <c r="F825">
        <v>1E-4</v>
      </c>
      <c r="G825" s="129" t="s">
        <v>6</v>
      </c>
      <c r="H825" s="129" t="s">
        <v>5</v>
      </c>
      <c r="I825">
        <v>0</v>
      </c>
      <c r="J825">
        <v>0</v>
      </c>
      <c r="K825" s="129" t="s">
        <v>1962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s="129" t="s">
        <v>322</v>
      </c>
      <c r="B826" s="129" t="s">
        <v>52</v>
      </c>
      <c r="C826" s="129" t="s">
        <v>3</v>
      </c>
      <c r="D826">
        <v>100</v>
      </c>
      <c r="E826">
        <v>1000</v>
      </c>
      <c r="F826">
        <v>1E-4</v>
      </c>
      <c r="G826" s="129" t="s">
        <v>6</v>
      </c>
      <c r="H826" s="129" t="s">
        <v>4</v>
      </c>
      <c r="I826">
        <v>0</v>
      </c>
      <c r="J826">
        <v>0</v>
      </c>
      <c r="K826" s="129" t="s">
        <v>1962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s="129" t="s">
        <v>304</v>
      </c>
      <c r="B827" s="129" t="s">
        <v>52</v>
      </c>
      <c r="C827" s="129" t="s">
        <v>3</v>
      </c>
      <c r="D827">
        <v>0</v>
      </c>
      <c r="E827">
        <v>0.1</v>
      </c>
      <c r="F827">
        <v>1E-3</v>
      </c>
      <c r="G827" s="129" t="s">
        <v>6</v>
      </c>
      <c r="H827" s="129" t="s">
        <v>5</v>
      </c>
      <c r="I827">
        <v>0</v>
      </c>
      <c r="J827">
        <v>0</v>
      </c>
      <c r="K827" s="129" t="s">
        <v>1962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s="129" t="s">
        <v>311</v>
      </c>
      <c r="B828" s="129" t="s">
        <v>52</v>
      </c>
      <c r="C828" s="129" t="s">
        <v>3</v>
      </c>
      <c r="D828">
        <v>0.1</v>
      </c>
      <c r="E828">
        <v>1</v>
      </c>
      <c r="F828">
        <v>1E-3</v>
      </c>
      <c r="G828" s="129" t="s">
        <v>6</v>
      </c>
      <c r="H828" s="129" t="s">
        <v>5</v>
      </c>
      <c r="I828">
        <v>0</v>
      </c>
      <c r="J828">
        <v>0</v>
      </c>
      <c r="K828" s="129" t="s">
        <v>1962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s="129" t="s">
        <v>315</v>
      </c>
      <c r="B829" s="129" t="s">
        <v>52</v>
      </c>
      <c r="C829" s="129" t="s">
        <v>3</v>
      </c>
      <c r="D829">
        <v>1</v>
      </c>
      <c r="E829">
        <v>10</v>
      </c>
      <c r="F829">
        <v>1E-3</v>
      </c>
      <c r="G829" s="129" t="s">
        <v>6</v>
      </c>
      <c r="H829" s="129" t="s">
        <v>5</v>
      </c>
      <c r="I829">
        <v>0</v>
      </c>
      <c r="J829">
        <v>0</v>
      </c>
      <c r="K829" s="129" t="s">
        <v>1962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s="129" t="s">
        <v>2304</v>
      </c>
      <c r="B830" s="129" t="s">
        <v>52</v>
      </c>
      <c r="C830" s="129" t="s">
        <v>3</v>
      </c>
      <c r="D830">
        <v>10</v>
      </c>
      <c r="E830">
        <v>100</v>
      </c>
      <c r="F830">
        <v>1E-3</v>
      </c>
      <c r="G830" s="129" t="s">
        <v>6</v>
      </c>
      <c r="H830" s="129" t="s">
        <v>5</v>
      </c>
      <c r="I830">
        <v>0</v>
      </c>
      <c r="J830">
        <v>0</v>
      </c>
      <c r="K830" s="129" t="s">
        <v>1962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s="129" t="s">
        <v>323</v>
      </c>
      <c r="B831" s="129" t="s">
        <v>52</v>
      </c>
      <c r="C831" s="129" t="s">
        <v>3</v>
      </c>
      <c r="D831">
        <v>100</v>
      </c>
      <c r="E831">
        <v>1000</v>
      </c>
      <c r="F831">
        <v>1E-3</v>
      </c>
      <c r="G831" s="129" t="s">
        <v>6</v>
      </c>
      <c r="H831" s="129" t="s">
        <v>4</v>
      </c>
      <c r="I831">
        <v>0</v>
      </c>
      <c r="J831">
        <v>0</v>
      </c>
      <c r="K831" s="129" t="s">
        <v>1962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s="129" t="s">
        <v>305</v>
      </c>
      <c r="B832" s="129" t="s">
        <v>52</v>
      </c>
      <c r="C832" s="129" t="s">
        <v>3</v>
      </c>
      <c r="D832">
        <v>0</v>
      </c>
      <c r="E832">
        <v>0.1</v>
      </c>
      <c r="F832">
        <v>0.01</v>
      </c>
      <c r="G832" s="129" t="s">
        <v>6</v>
      </c>
      <c r="H832" s="129" t="s">
        <v>4</v>
      </c>
      <c r="I832">
        <v>0</v>
      </c>
      <c r="J832">
        <v>0</v>
      </c>
      <c r="K832" s="129" t="s">
        <v>1962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s="129" t="s">
        <v>316</v>
      </c>
      <c r="B833" s="129" t="s">
        <v>52</v>
      </c>
      <c r="C833" s="129" t="s">
        <v>3</v>
      </c>
      <c r="D833">
        <v>1</v>
      </c>
      <c r="E833">
        <v>10</v>
      </c>
      <c r="F833">
        <v>0.01</v>
      </c>
      <c r="G833" s="129" t="s">
        <v>6</v>
      </c>
      <c r="H833" s="129" t="s">
        <v>5</v>
      </c>
      <c r="I833">
        <v>0</v>
      </c>
      <c r="J833">
        <v>0</v>
      </c>
      <c r="K833" s="129" t="s">
        <v>1962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s="129" t="s">
        <v>320</v>
      </c>
      <c r="B834" s="129" t="s">
        <v>52</v>
      </c>
      <c r="C834" s="129" t="s">
        <v>3</v>
      </c>
      <c r="D834">
        <v>10</v>
      </c>
      <c r="E834">
        <v>100</v>
      </c>
      <c r="F834">
        <v>0.01</v>
      </c>
      <c r="G834" s="129" t="s">
        <v>6</v>
      </c>
      <c r="H834" s="129" t="s">
        <v>5</v>
      </c>
      <c r="I834">
        <v>0</v>
      </c>
      <c r="J834">
        <v>0</v>
      </c>
      <c r="K834" s="129" t="s">
        <v>1962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s="129" t="s">
        <v>324</v>
      </c>
      <c r="B835" s="129" t="s">
        <v>52</v>
      </c>
      <c r="C835" s="129" t="s">
        <v>3</v>
      </c>
      <c r="D835">
        <v>100</v>
      </c>
      <c r="E835">
        <v>1000</v>
      </c>
      <c r="F835">
        <v>0.01</v>
      </c>
      <c r="G835" s="129" t="s">
        <v>6</v>
      </c>
      <c r="H835" s="129" t="s">
        <v>4</v>
      </c>
      <c r="I835">
        <v>0</v>
      </c>
      <c r="J835">
        <v>0</v>
      </c>
      <c r="K835" s="129" t="s">
        <v>1962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s="129" t="s">
        <v>306</v>
      </c>
      <c r="B836" s="129" t="s">
        <v>52</v>
      </c>
      <c r="C836" s="129" t="s">
        <v>3</v>
      </c>
      <c r="D836">
        <v>0</v>
      </c>
      <c r="E836">
        <v>0.1</v>
      </c>
      <c r="F836">
        <v>0.1</v>
      </c>
      <c r="G836" s="129" t="s">
        <v>6</v>
      </c>
      <c r="H836" s="129" t="s">
        <v>4</v>
      </c>
      <c r="I836">
        <v>0</v>
      </c>
      <c r="J836">
        <v>0</v>
      </c>
      <c r="K836" s="129" t="s">
        <v>1962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s="129" t="s">
        <v>325</v>
      </c>
      <c r="B837" s="129" t="s">
        <v>52</v>
      </c>
      <c r="C837" s="129" t="s">
        <v>3</v>
      </c>
      <c r="D837">
        <v>100</v>
      </c>
      <c r="E837">
        <v>1000</v>
      </c>
      <c r="F837">
        <v>0.1</v>
      </c>
      <c r="G837" s="129" t="s">
        <v>6</v>
      </c>
      <c r="H837" s="129" t="s">
        <v>4</v>
      </c>
      <c r="I837">
        <v>0</v>
      </c>
      <c r="J837">
        <v>0</v>
      </c>
      <c r="K837" s="129" t="s">
        <v>1962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s="129" t="s">
        <v>307</v>
      </c>
      <c r="B838" s="129" t="s">
        <v>52</v>
      </c>
      <c r="C838" s="129" t="s">
        <v>3</v>
      </c>
      <c r="D838">
        <v>0</v>
      </c>
      <c r="E838">
        <v>0.1</v>
      </c>
      <c r="F838">
        <v>1</v>
      </c>
      <c r="G838" s="129" t="s">
        <v>6</v>
      </c>
      <c r="H838" s="129" t="s">
        <v>4</v>
      </c>
      <c r="I838">
        <v>0</v>
      </c>
      <c r="J838">
        <v>0</v>
      </c>
      <c r="K838" s="129" t="s">
        <v>1962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s="129" t="s">
        <v>326</v>
      </c>
      <c r="B839" s="129" t="s">
        <v>52</v>
      </c>
      <c r="C839" s="129" t="s">
        <v>3</v>
      </c>
      <c r="D839">
        <v>100</v>
      </c>
      <c r="E839">
        <v>1000</v>
      </c>
      <c r="F839">
        <v>1</v>
      </c>
      <c r="G839" s="129" t="s">
        <v>6</v>
      </c>
      <c r="H839" s="129" t="s">
        <v>4</v>
      </c>
      <c r="I839">
        <v>0</v>
      </c>
      <c r="J839">
        <v>0</v>
      </c>
      <c r="K839" s="129" t="s">
        <v>1962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s="129" t="s">
        <v>293</v>
      </c>
      <c r="B840" s="129" t="s">
        <v>52</v>
      </c>
      <c r="C840" s="129" t="s">
        <v>77</v>
      </c>
      <c r="D840">
        <v>-454</v>
      </c>
      <c r="E840">
        <v>300</v>
      </c>
      <c r="F840">
        <v>0.1</v>
      </c>
      <c r="G840" s="129" t="s">
        <v>26</v>
      </c>
      <c r="H840" s="129" t="s">
        <v>26</v>
      </c>
      <c r="I840">
        <v>0</v>
      </c>
      <c r="J840">
        <v>0</v>
      </c>
      <c r="K840" s="129" t="s">
        <v>1962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s="129" t="s">
        <v>295</v>
      </c>
      <c r="B841" s="129" t="s">
        <v>52</v>
      </c>
      <c r="C841" s="129" t="s">
        <v>77</v>
      </c>
      <c r="D841">
        <v>300.00099999999998</v>
      </c>
      <c r="E841">
        <v>1100</v>
      </c>
      <c r="F841">
        <v>0.1</v>
      </c>
      <c r="G841" s="129" t="s">
        <v>26</v>
      </c>
      <c r="H841" s="129" t="s">
        <v>26</v>
      </c>
      <c r="I841">
        <v>0</v>
      </c>
      <c r="J841">
        <v>0</v>
      </c>
      <c r="K841" s="129" t="s">
        <v>1962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s="129" t="s">
        <v>297</v>
      </c>
      <c r="B842" s="129" t="s">
        <v>52</v>
      </c>
      <c r="C842" s="129" t="s">
        <v>77</v>
      </c>
      <c r="D842">
        <v>1100.001</v>
      </c>
      <c r="E842">
        <v>1832</v>
      </c>
      <c r="F842">
        <v>0.1</v>
      </c>
      <c r="G842" s="129" t="s">
        <v>26</v>
      </c>
      <c r="H842" s="129" t="s">
        <v>26</v>
      </c>
      <c r="I842">
        <v>0</v>
      </c>
      <c r="J842">
        <v>0</v>
      </c>
      <c r="K842" s="129" t="s">
        <v>1962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s="129" t="s">
        <v>294</v>
      </c>
      <c r="B843" s="129" t="s">
        <v>52</v>
      </c>
      <c r="C843" s="129" t="s">
        <v>77</v>
      </c>
      <c r="D843">
        <v>-454</v>
      </c>
      <c r="E843">
        <v>300</v>
      </c>
      <c r="F843">
        <v>1</v>
      </c>
      <c r="G843" s="129" t="s">
        <v>26</v>
      </c>
      <c r="H843" s="129" t="s">
        <v>26</v>
      </c>
      <c r="I843">
        <v>0</v>
      </c>
      <c r="J843">
        <v>0</v>
      </c>
      <c r="K843" s="129" t="s">
        <v>1962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s="129" t="s">
        <v>296</v>
      </c>
      <c r="B844" s="129" t="s">
        <v>52</v>
      </c>
      <c r="C844" s="129" t="s">
        <v>77</v>
      </c>
      <c r="D844">
        <v>300.00099999999998</v>
      </c>
      <c r="E844">
        <v>1100</v>
      </c>
      <c r="F844">
        <v>1</v>
      </c>
      <c r="G844" s="129" t="s">
        <v>26</v>
      </c>
      <c r="H844" s="129" t="s">
        <v>26</v>
      </c>
      <c r="I844">
        <v>0</v>
      </c>
      <c r="J844">
        <v>0</v>
      </c>
      <c r="K844" s="129" t="s">
        <v>1962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s="129" t="s">
        <v>298</v>
      </c>
      <c r="B845" s="129" t="s">
        <v>52</v>
      </c>
      <c r="C845" s="129" t="s">
        <v>77</v>
      </c>
      <c r="D845">
        <v>1100.001</v>
      </c>
      <c r="E845">
        <v>1832</v>
      </c>
      <c r="F845">
        <v>1</v>
      </c>
      <c r="G845" s="129" t="s">
        <v>26</v>
      </c>
      <c r="H845" s="129" t="s">
        <v>26</v>
      </c>
      <c r="I845">
        <v>0</v>
      </c>
      <c r="J845">
        <v>0</v>
      </c>
      <c r="K845" s="129" t="s">
        <v>1962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s="129" t="s">
        <v>287</v>
      </c>
      <c r="B846" s="129" t="s">
        <v>52</v>
      </c>
      <c r="C846" s="129" t="s">
        <v>78</v>
      </c>
      <c r="D846">
        <v>-346</v>
      </c>
      <c r="E846">
        <v>499.99900000000002</v>
      </c>
      <c r="F846">
        <v>0.1</v>
      </c>
      <c r="G846" s="129" t="s">
        <v>26</v>
      </c>
      <c r="H846" s="129" t="s">
        <v>26</v>
      </c>
      <c r="I846">
        <v>0</v>
      </c>
      <c r="J846">
        <v>0</v>
      </c>
      <c r="K846" s="129" t="s">
        <v>1962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s="129" t="s">
        <v>289</v>
      </c>
      <c r="B847" s="129" t="s">
        <v>52</v>
      </c>
      <c r="C847" s="129" t="s">
        <v>78</v>
      </c>
      <c r="D847">
        <v>500</v>
      </c>
      <c r="E847">
        <v>1350</v>
      </c>
      <c r="F847">
        <v>0.1</v>
      </c>
      <c r="G847" s="129" t="s">
        <v>26</v>
      </c>
      <c r="H847" s="129" t="s">
        <v>26</v>
      </c>
      <c r="I847">
        <v>0</v>
      </c>
      <c r="J847">
        <v>0</v>
      </c>
      <c r="K847" s="129" t="s">
        <v>1962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s="129" t="s">
        <v>291</v>
      </c>
      <c r="B848" s="129" t="s">
        <v>52</v>
      </c>
      <c r="C848" s="129" t="s">
        <v>78</v>
      </c>
      <c r="D848">
        <v>1350.001</v>
      </c>
      <c r="E848">
        <v>2192</v>
      </c>
      <c r="F848">
        <v>0.1</v>
      </c>
      <c r="G848" s="129" t="s">
        <v>26</v>
      </c>
      <c r="H848" s="129" t="s">
        <v>26</v>
      </c>
      <c r="I848">
        <v>0</v>
      </c>
      <c r="J848">
        <v>0</v>
      </c>
      <c r="K848" s="129" t="s">
        <v>1962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s="129" t="s">
        <v>288</v>
      </c>
      <c r="B849" s="129" t="s">
        <v>52</v>
      </c>
      <c r="C849" s="129" t="s">
        <v>78</v>
      </c>
      <c r="D849">
        <v>-346</v>
      </c>
      <c r="E849">
        <v>499.99900000000002</v>
      </c>
      <c r="F849">
        <v>1</v>
      </c>
      <c r="G849" s="129" t="s">
        <v>26</v>
      </c>
      <c r="H849" s="129" t="s">
        <v>26</v>
      </c>
      <c r="I849">
        <v>0</v>
      </c>
      <c r="J849">
        <v>0</v>
      </c>
      <c r="K849" s="129" t="s">
        <v>1962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s="129" t="s">
        <v>290</v>
      </c>
      <c r="B850" s="129" t="s">
        <v>52</v>
      </c>
      <c r="C850" s="129" t="s">
        <v>78</v>
      </c>
      <c r="D850">
        <v>500</v>
      </c>
      <c r="E850">
        <v>1350</v>
      </c>
      <c r="F850">
        <v>1</v>
      </c>
      <c r="G850" s="129" t="s">
        <v>26</v>
      </c>
      <c r="H850" s="129" t="s">
        <v>26</v>
      </c>
      <c r="I850">
        <v>0</v>
      </c>
      <c r="J850">
        <v>0</v>
      </c>
      <c r="K850" s="129" t="s">
        <v>1962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s="129" t="s">
        <v>292</v>
      </c>
      <c r="B851" s="129" t="s">
        <v>52</v>
      </c>
      <c r="C851" s="129" t="s">
        <v>78</v>
      </c>
      <c r="D851">
        <v>1350.001</v>
      </c>
      <c r="E851">
        <v>2192</v>
      </c>
      <c r="F851">
        <v>1</v>
      </c>
      <c r="G851" s="129" t="s">
        <v>26</v>
      </c>
      <c r="H851" s="129" t="s">
        <v>26</v>
      </c>
      <c r="I851">
        <v>0</v>
      </c>
      <c r="J851">
        <v>0</v>
      </c>
      <c r="K851" s="129" t="s">
        <v>1962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s="129" t="s">
        <v>281</v>
      </c>
      <c r="B852" s="129" t="s">
        <v>52</v>
      </c>
      <c r="C852" s="129" t="s">
        <v>79</v>
      </c>
      <c r="D852">
        <v>-454</v>
      </c>
      <c r="E852">
        <v>-400.00099999999998</v>
      </c>
      <c r="F852">
        <v>0.1</v>
      </c>
      <c r="G852" s="129" t="s">
        <v>26</v>
      </c>
      <c r="H852" s="129" t="s">
        <v>26</v>
      </c>
      <c r="I852">
        <v>0</v>
      </c>
      <c r="J852">
        <v>0</v>
      </c>
      <c r="K852" s="129" t="s">
        <v>1962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s="129" t="s">
        <v>282</v>
      </c>
      <c r="B853" s="129" t="s">
        <v>52</v>
      </c>
      <c r="C853" s="129" t="s">
        <v>79</v>
      </c>
      <c r="D853">
        <v>-400</v>
      </c>
      <c r="E853">
        <v>499.99900000000002</v>
      </c>
      <c r="F853">
        <v>0.1</v>
      </c>
      <c r="G853" s="129" t="s">
        <v>26</v>
      </c>
      <c r="H853" s="129" t="s">
        <v>26</v>
      </c>
      <c r="I853">
        <v>0</v>
      </c>
      <c r="J853">
        <v>0</v>
      </c>
      <c r="K853" s="129" t="s">
        <v>1962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s="129" t="s">
        <v>284</v>
      </c>
      <c r="B854" s="129" t="s">
        <v>52</v>
      </c>
      <c r="C854" s="129" t="s">
        <v>79</v>
      </c>
      <c r="D854">
        <v>500</v>
      </c>
      <c r="E854">
        <v>1500</v>
      </c>
      <c r="F854">
        <v>0.1</v>
      </c>
      <c r="G854" s="129" t="s">
        <v>26</v>
      </c>
      <c r="H854" s="129" t="s">
        <v>26</v>
      </c>
      <c r="I854">
        <v>0</v>
      </c>
      <c r="J854">
        <v>0</v>
      </c>
      <c r="K854" s="129" t="s">
        <v>1962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s="129" t="s">
        <v>286</v>
      </c>
      <c r="B855" s="129" t="s">
        <v>52</v>
      </c>
      <c r="C855" s="129" t="s">
        <v>79</v>
      </c>
      <c r="D855">
        <v>1500.001</v>
      </c>
      <c r="E855">
        <v>2500</v>
      </c>
      <c r="F855">
        <v>0.1</v>
      </c>
      <c r="G855" s="129" t="s">
        <v>26</v>
      </c>
      <c r="H855" s="129" t="s">
        <v>26</v>
      </c>
      <c r="I855">
        <v>0</v>
      </c>
      <c r="J855">
        <v>0</v>
      </c>
      <c r="K855" s="129" t="s">
        <v>1962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s="129" t="s">
        <v>2474</v>
      </c>
      <c r="B856" s="129" t="s">
        <v>52</v>
      </c>
      <c r="C856" s="129" t="s">
        <v>79</v>
      </c>
      <c r="D856">
        <v>-454</v>
      </c>
      <c r="E856">
        <v>-400.00099999999998</v>
      </c>
      <c r="F856">
        <v>1</v>
      </c>
      <c r="G856" s="129" t="s">
        <v>26</v>
      </c>
      <c r="H856" s="129" t="s">
        <v>26</v>
      </c>
      <c r="I856">
        <v>0</v>
      </c>
      <c r="J856">
        <v>0</v>
      </c>
      <c r="K856" s="129" t="s">
        <v>1962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s="129" t="s">
        <v>283</v>
      </c>
      <c r="B857" s="129" t="s">
        <v>52</v>
      </c>
      <c r="C857" s="129" t="s">
        <v>79</v>
      </c>
      <c r="D857">
        <v>-400</v>
      </c>
      <c r="E857">
        <v>499.99900000000002</v>
      </c>
      <c r="F857">
        <v>1</v>
      </c>
      <c r="G857" s="129" t="s">
        <v>26</v>
      </c>
      <c r="H857" s="129" t="s">
        <v>26</v>
      </c>
      <c r="I857">
        <v>0</v>
      </c>
      <c r="J857">
        <v>0</v>
      </c>
      <c r="K857" s="129" t="s">
        <v>1962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s="129" t="s">
        <v>285</v>
      </c>
      <c r="B858" s="129" t="s">
        <v>52</v>
      </c>
      <c r="C858" s="129" t="s">
        <v>79</v>
      </c>
      <c r="D858">
        <v>500</v>
      </c>
      <c r="E858">
        <v>1500</v>
      </c>
      <c r="F858">
        <v>1</v>
      </c>
      <c r="G858" s="129" t="s">
        <v>26</v>
      </c>
      <c r="H858" s="129" t="s">
        <v>26</v>
      </c>
      <c r="I858">
        <v>0</v>
      </c>
      <c r="J858">
        <v>0</v>
      </c>
      <c r="K858" s="129" t="s">
        <v>1962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s="129" t="s">
        <v>2475</v>
      </c>
      <c r="B859" s="129" t="s">
        <v>52</v>
      </c>
      <c r="C859" s="129" t="s">
        <v>79</v>
      </c>
      <c r="D859">
        <v>1500.001</v>
      </c>
      <c r="E859">
        <v>2500</v>
      </c>
      <c r="F859">
        <v>1</v>
      </c>
      <c r="G859" s="129" t="s">
        <v>26</v>
      </c>
      <c r="H859" s="129" t="s">
        <v>26</v>
      </c>
      <c r="I859">
        <v>0</v>
      </c>
      <c r="J859">
        <v>0</v>
      </c>
      <c r="K859" s="129" t="s">
        <v>1962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s="129" t="s">
        <v>273</v>
      </c>
      <c r="B860" s="129" t="s">
        <v>52</v>
      </c>
      <c r="C860" s="129" t="s">
        <v>80</v>
      </c>
      <c r="D860">
        <v>-454</v>
      </c>
      <c r="E860">
        <v>-400.00099999999998</v>
      </c>
      <c r="F860">
        <v>0.1</v>
      </c>
      <c r="G860" s="129" t="s">
        <v>26</v>
      </c>
      <c r="H860" s="129" t="s">
        <v>26</v>
      </c>
      <c r="I860">
        <v>0</v>
      </c>
      <c r="J860">
        <v>0</v>
      </c>
      <c r="K860" s="129" t="s">
        <v>1962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s="129" t="s">
        <v>275</v>
      </c>
      <c r="B861" s="129" t="s">
        <v>52</v>
      </c>
      <c r="C861" s="129" t="s">
        <v>80</v>
      </c>
      <c r="D861">
        <v>-400</v>
      </c>
      <c r="E861">
        <v>-150.001</v>
      </c>
      <c r="F861">
        <v>0.1</v>
      </c>
      <c r="G861" s="129" t="s">
        <v>26</v>
      </c>
      <c r="H861" s="129" t="s">
        <v>26</v>
      </c>
      <c r="I861">
        <v>0</v>
      </c>
      <c r="J861">
        <v>0</v>
      </c>
      <c r="K861" s="129" t="s">
        <v>1962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s="129" t="s">
        <v>276</v>
      </c>
      <c r="B862" s="129" t="s">
        <v>52</v>
      </c>
      <c r="C862" s="129" t="s">
        <v>80</v>
      </c>
      <c r="D862">
        <v>-150</v>
      </c>
      <c r="E862">
        <v>700</v>
      </c>
      <c r="F862">
        <v>0.1</v>
      </c>
      <c r="G862" s="129" t="s">
        <v>26</v>
      </c>
      <c r="H862" s="129" t="s">
        <v>26</v>
      </c>
      <c r="I862">
        <v>0</v>
      </c>
      <c r="J862">
        <v>0</v>
      </c>
      <c r="K862" s="129" t="s">
        <v>1962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s="129" t="s">
        <v>277</v>
      </c>
      <c r="B863" s="129" t="s">
        <v>52</v>
      </c>
      <c r="C863" s="129" t="s">
        <v>80</v>
      </c>
      <c r="D863">
        <v>700.00099999999998</v>
      </c>
      <c r="E863">
        <v>1500</v>
      </c>
      <c r="F863">
        <v>0.1</v>
      </c>
      <c r="G863" s="129" t="s">
        <v>26</v>
      </c>
      <c r="H863" s="129" t="s">
        <v>26</v>
      </c>
      <c r="I863">
        <v>0</v>
      </c>
      <c r="J863">
        <v>0</v>
      </c>
      <c r="K863" s="129" t="s">
        <v>1962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s="129" t="s">
        <v>279</v>
      </c>
      <c r="B864" s="129" t="s">
        <v>52</v>
      </c>
      <c r="C864" s="129" t="s">
        <v>80</v>
      </c>
      <c r="D864">
        <v>1500.001</v>
      </c>
      <c r="E864">
        <v>2372</v>
      </c>
      <c r="F864">
        <v>0.1</v>
      </c>
      <c r="G864" s="129" t="s">
        <v>26</v>
      </c>
      <c r="H864" s="129" t="s">
        <v>26</v>
      </c>
      <c r="I864">
        <v>0</v>
      </c>
      <c r="J864">
        <v>0</v>
      </c>
      <c r="K864" s="129" t="s">
        <v>1962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s="129" t="s">
        <v>274</v>
      </c>
      <c r="B865" s="129" t="s">
        <v>52</v>
      </c>
      <c r="C865" s="129" t="s">
        <v>80</v>
      </c>
      <c r="D865">
        <v>-454</v>
      </c>
      <c r="E865">
        <v>-400.00099999999998</v>
      </c>
      <c r="F865">
        <v>1</v>
      </c>
      <c r="G865" s="129" t="s">
        <v>26</v>
      </c>
      <c r="H865" s="129" t="s">
        <v>26</v>
      </c>
      <c r="I865">
        <v>0</v>
      </c>
      <c r="J865">
        <v>0</v>
      </c>
      <c r="K865" s="129" t="s">
        <v>1962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s="129" t="s">
        <v>2476</v>
      </c>
      <c r="B866" s="129" t="s">
        <v>52</v>
      </c>
      <c r="C866" s="129" t="s">
        <v>80</v>
      </c>
      <c r="D866">
        <v>-400</v>
      </c>
      <c r="E866">
        <v>-150.001</v>
      </c>
      <c r="F866">
        <v>1</v>
      </c>
      <c r="G866" s="129" t="s">
        <v>26</v>
      </c>
      <c r="H866" s="129" t="s">
        <v>26</v>
      </c>
      <c r="I866">
        <v>0</v>
      </c>
      <c r="J866">
        <v>0</v>
      </c>
      <c r="K866" s="129" t="s">
        <v>1962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s="129" t="s">
        <v>2477</v>
      </c>
      <c r="B867" s="129" t="s">
        <v>52</v>
      </c>
      <c r="C867" s="129" t="s">
        <v>80</v>
      </c>
      <c r="D867">
        <v>-150</v>
      </c>
      <c r="E867">
        <v>700</v>
      </c>
      <c r="F867">
        <v>1</v>
      </c>
      <c r="G867" s="129" t="s">
        <v>26</v>
      </c>
      <c r="H867" s="129" t="s">
        <v>26</v>
      </c>
      <c r="I867">
        <v>0</v>
      </c>
      <c r="J867">
        <v>0</v>
      </c>
      <c r="K867" s="129" t="s">
        <v>1962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s="129" t="s">
        <v>278</v>
      </c>
      <c r="B868" s="129" t="s">
        <v>52</v>
      </c>
      <c r="C868" s="129" t="s">
        <v>80</v>
      </c>
      <c r="D868">
        <v>700.00099999999998</v>
      </c>
      <c r="E868">
        <v>1500</v>
      </c>
      <c r="F868">
        <v>1</v>
      </c>
      <c r="G868" s="129" t="s">
        <v>26</v>
      </c>
      <c r="H868" s="129" t="s">
        <v>26</v>
      </c>
      <c r="I868">
        <v>0</v>
      </c>
      <c r="J868">
        <v>0</v>
      </c>
      <c r="K868" s="129" t="s">
        <v>1962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s="129" t="s">
        <v>280</v>
      </c>
      <c r="B869" s="129" t="s">
        <v>52</v>
      </c>
      <c r="C869" s="129" t="s">
        <v>80</v>
      </c>
      <c r="D869">
        <v>1500.001</v>
      </c>
      <c r="E869">
        <v>2372</v>
      </c>
      <c r="F869">
        <v>1</v>
      </c>
      <c r="G869" s="129" t="s">
        <v>26</v>
      </c>
      <c r="H869" s="129" t="s">
        <v>26</v>
      </c>
      <c r="I869">
        <v>0</v>
      </c>
      <c r="J869">
        <v>0</v>
      </c>
      <c r="K869" s="129" t="s">
        <v>1962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s="129" t="s">
        <v>261</v>
      </c>
      <c r="B870" s="129" t="s">
        <v>52</v>
      </c>
      <c r="C870" s="129" t="s">
        <v>84</v>
      </c>
      <c r="D870">
        <v>-320</v>
      </c>
      <c r="E870">
        <v>32</v>
      </c>
      <c r="F870">
        <v>0.01</v>
      </c>
      <c r="G870" s="129" t="s">
        <v>26</v>
      </c>
      <c r="H870" s="129" t="s">
        <v>26</v>
      </c>
      <c r="I870">
        <v>0</v>
      </c>
      <c r="J870">
        <v>0</v>
      </c>
      <c r="K870" s="129" t="s">
        <v>1962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s="129" t="s">
        <v>2483</v>
      </c>
      <c r="B871" s="129" t="s">
        <v>52</v>
      </c>
      <c r="C871" s="129" t="s">
        <v>84</v>
      </c>
      <c r="D871">
        <v>32.000999999999998</v>
      </c>
      <c r="E871">
        <v>400</v>
      </c>
      <c r="F871">
        <v>0.01</v>
      </c>
      <c r="G871" s="129" t="s">
        <v>26</v>
      </c>
      <c r="H871" s="129" t="s">
        <v>26</v>
      </c>
      <c r="I871">
        <v>0</v>
      </c>
      <c r="J871">
        <v>0</v>
      </c>
      <c r="K871" s="129" t="s">
        <v>1962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s="129" t="s">
        <v>264</v>
      </c>
      <c r="B872" s="129" t="s">
        <v>52</v>
      </c>
      <c r="C872" s="129" t="s">
        <v>84</v>
      </c>
      <c r="D872">
        <v>400.00099999999998</v>
      </c>
      <c r="E872">
        <v>800</v>
      </c>
      <c r="F872">
        <v>0.01</v>
      </c>
      <c r="G872" s="129" t="s">
        <v>26</v>
      </c>
      <c r="H872" s="129" t="s">
        <v>26</v>
      </c>
      <c r="I872">
        <v>0</v>
      </c>
      <c r="J872">
        <v>0</v>
      </c>
      <c r="K872" s="129" t="s">
        <v>1962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s="129" t="s">
        <v>267</v>
      </c>
      <c r="B873" s="129" t="s">
        <v>52</v>
      </c>
      <c r="C873" s="129" t="s">
        <v>84</v>
      </c>
      <c r="D873">
        <v>800.00099999999998</v>
      </c>
      <c r="E873">
        <v>1200</v>
      </c>
      <c r="F873">
        <v>0.01</v>
      </c>
      <c r="G873" s="129" t="s">
        <v>26</v>
      </c>
      <c r="H873" s="129" t="s">
        <v>26</v>
      </c>
      <c r="I873">
        <v>0</v>
      </c>
      <c r="J873">
        <v>0</v>
      </c>
      <c r="K873" s="129" t="s">
        <v>1962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s="129" t="s">
        <v>270</v>
      </c>
      <c r="B874" s="129" t="s">
        <v>52</v>
      </c>
      <c r="C874" s="129" t="s">
        <v>84</v>
      </c>
      <c r="D874">
        <v>1200.001</v>
      </c>
      <c r="E874">
        <v>1562</v>
      </c>
      <c r="F874">
        <v>0.01</v>
      </c>
      <c r="G874" s="129" t="s">
        <v>26</v>
      </c>
      <c r="H874" s="129" t="s">
        <v>26</v>
      </c>
      <c r="I874">
        <v>0</v>
      </c>
      <c r="J874">
        <v>0</v>
      </c>
      <c r="K874" s="129" t="s">
        <v>1962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s="129" t="s">
        <v>2484</v>
      </c>
      <c r="B875" s="129" t="s">
        <v>52</v>
      </c>
      <c r="C875" s="129" t="s">
        <v>84</v>
      </c>
      <c r="D875">
        <v>-320</v>
      </c>
      <c r="E875">
        <v>32</v>
      </c>
      <c r="F875">
        <v>0.1</v>
      </c>
      <c r="G875" s="129" t="s">
        <v>26</v>
      </c>
      <c r="H875" s="129" t="s">
        <v>26</v>
      </c>
      <c r="I875">
        <v>0</v>
      </c>
      <c r="J875">
        <v>0</v>
      </c>
      <c r="K875" s="129" t="s">
        <v>1962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s="129" t="s">
        <v>2485</v>
      </c>
      <c r="B876" s="129" t="s">
        <v>52</v>
      </c>
      <c r="C876" s="129" t="s">
        <v>84</v>
      </c>
      <c r="D876">
        <v>32.000999999999998</v>
      </c>
      <c r="E876">
        <v>400</v>
      </c>
      <c r="F876">
        <v>0.1</v>
      </c>
      <c r="G876" s="129" t="s">
        <v>26</v>
      </c>
      <c r="H876" s="129" t="s">
        <v>26</v>
      </c>
      <c r="I876">
        <v>0</v>
      </c>
      <c r="J876">
        <v>0</v>
      </c>
      <c r="K876" s="129" t="s">
        <v>1962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s="129" t="s">
        <v>265</v>
      </c>
      <c r="B877" s="129" t="s">
        <v>52</v>
      </c>
      <c r="C877" s="129" t="s">
        <v>84</v>
      </c>
      <c r="D877">
        <v>400.00099999999998</v>
      </c>
      <c r="E877">
        <v>800</v>
      </c>
      <c r="F877">
        <v>0.1</v>
      </c>
      <c r="G877" s="129" t="s">
        <v>26</v>
      </c>
      <c r="H877" s="129" t="s">
        <v>26</v>
      </c>
      <c r="I877">
        <v>0</v>
      </c>
      <c r="J877">
        <v>0</v>
      </c>
      <c r="K877" s="129" t="s">
        <v>1962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s="129" t="s">
        <v>268</v>
      </c>
      <c r="B878" s="129" t="s">
        <v>52</v>
      </c>
      <c r="C878" s="129" t="s">
        <v>84</v>
      </c>
      <c r="D878">
        <v>800.00099999999998</v>
      </c>
      <c r="E878">
        <v>1200</v>
      </c>
      <c r="F878">
        <v>0.1</v>
      </c>
      <c r="G878" s="129" t="s">
        <v>26</v>
      </c>
      <c r="H878" s="129" t="s">
        <v>26</v>
      </c>
      <c r="I878">
        <v>0</v>
      </c>
      <c r="J878">
        <v>0</v>
      </c>
      <c r="K878" s="129" t="s">
        <v>1962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s="129" t="s">
        <v>271</v>
      </c>
      <c r="B879" s="129" t="s">
        <v>52</v>
      </c>
      <c r="C879" s="129" t="s">
        <v>84</v>
      </c>
      <c r="D879">
        <v>1200.001</v>
      </c>
      <c r="E879">
        <v>1562</v>
      </c>
      <c r="F879">
        <v>0.1</v>
      </c>
      <c r="G879" s="129" t="s">
        <v>26</v>
      </c>
      <c r="H879" s="129" t="s">
        <v>26</v>
      </c>
      <c r="I879">
        <v>0</v>
      </c>
      <c r="J879">
        <v>0</v>
      </c>
      <c r="K879" s="129" t="s">
        <v>1962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s="129" t="s">
        <v>262</v>
      </c>
      <c r="B880" s="129" t="s">
        <v>52</v>
      </c>
      <c r="C880" s="129" t="s">
        <v>84</v>
      </c>
      <c r="D880">
        <v>-320</v>
      </c>
      <c r="E880">
        <v>32</v>
      </c>
      <c r="F880">
        <v>1</v>
      </c>
      <c r="G880" s="129" t="s">
        <v>26</v>
      </c>
      <c r="H880" s="129" t="s">
        <v>26</v>
      </c>
      <c r="I880">
        <v>0</v>
      </c>
      <c r="J880">
        <v>0</v>
      </c>
      <c r="K880" s="129" t="s">
        <v>1962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s="129" t="s">
        <v>263</v>
      </c>
      <c r="B881" s="129" t="s">
        <v>52</v>
      </c>
      <c r="C881" s="129" t="s">
        <v>84</v>
      </c>
      <c r="D881">
        <v>32.000999999999998</v>
      </c>
      <c r="E881">
        <v>400</v>
      </c>
      <c r="F881">
        <v>1</v>
      </c>
      <c r="G881" s="129" t="s">
        <v>26</v>
      </c>
      <c r="H881" s="129" t="s">
        <v>26</v>
      </c>
      <c r="I881">
        <v>0</v>
      </c>
      <c r="J881">
        <v>0</v>
      </c>
      <c r="K881" s="129" t="s">
        <v>1962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s="129" t="s">
        <v>266</v>
      </c>
      <c r="B882" s="129" t="s">
        <v>52</v>
      </c>
      <c r="C882" s="129" t="s">
        <v>84</v>
      </c>
      <c r="D882">
        <v>400.00099999999998</v>
      </c>
      <c r="E882">
        <v>800</v>
      </c>
      <c r="F882">
        <v>1</v>
      </c>
      <c r="G882" s="129" t="s">
        <v>26</v>
      </c>
      <c r="H882" s="129" t="s">
        <v>26</v>
      </c>
      <c r="I882">
        <v>0</v>
      </c>
      <c r="J882">
        <v>0</v>
      </c>
      <c r="K882" s="129" t="s">
        <v>1962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s="129" t="s">
        <v>269</v>
      </c>
      <c r="B883" s="129" t="s">
        <v>52</v>
      </c>
      <c r="C883" s="129" t="s">
        <v>84</v>
      </c>
      <c r="D883">
        <v>800.00099999999998</v>
      </c>
      <c r="E883">
        <v>1200</v>
      </c>
      <c r="F883">
        <v>1</v>
      </c>
      <c r="G883" s="129" t="s">
        <v>26</v>
      </c>
      <c r="H883" s="129" t="s">
        <v>26</v>
      </c>
      <c r="I883">
        <v>0</v>
      </c>
      <c r="J883">
        <v>0</v>
      </c>
      <c r="K883" s="129" t="s">
        <v>1962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s="129" t="s">
        <v>272</v>
      </c>
      <c r="B884" s="129" t="s">
        <v>52</v>
      </c>
      <c r="C884" s="129" t="s">
        <v>84</v>
      </c>
      <c r="D884">
        <v>1200.001</v>
      </c>
      <c r="E884">
        <v>1562</v>
      </c>
      <c r="F884">
        <v>1</v>
      </c>
      <c r="G884" s="129" t="s">
        <v>26</v>
      </c>
      <c r="H884" s="129" t="s">
        <v>26</v>
      </c>
      <c r="I884">
        <v>0</v>
      </c>
      <c r="J884">
        <v>0</v>
      </c>
      <c r="K884" s="129" t="s">
        <v>1962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s="129" t="s">
        <v>2486</v>
      </c>
      <c r="B885" s="129" t="s">
        <v>52</v>
      </c>
      <c r="C885" s="129" t="s">
        <v>85</v>
      </c>
      <c r="D885">
        <v>-320</v>
      </c>
      <c r="E885">
        <v>32</v>
      </c>
      <c r="F885">
        <v>0.01</v>
      </c>
      <c r="G885" s="129" t="s">
        <v>26</v>
      </c>
      <c r="H885" s="129" t="s">
        <v>26</v>
      </c>
      <c r="I885">
        <v>0</v>
      </c>
      <c r="J885">
        <v>0</v>
      </c>
      <c r="K885" s="129" t="s">
        <v>1962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s="129" t="s">
        <v>255</v>
      </c>
      <c r="B886" s="129" t="s">
        <v>52</v>
      </c>
      <c r="C886" s="129" t="s">
        <v>85</v>
      </c>
      <c r="D886">
        <v>32.000999999999998</v>
      </c>
      <c r="E886">
        <v>400</v>
      </c>
      <c r="F886">
        <v>0.01</v>
      </c>
      <c r="G886" s="129" t="s">
        <v>26</v>
      </c>
      <c r="H886" s="129" t="s">
        <v>26</v>
      </c>
      <c r="I886">
        <v>0</v>
      </c>
      <c r="J886">
        <v>0</v>
      </c>
      <c r="K886" s="129" t="s">
        <v>1962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s="129" t="s">
        <v>2487</v>
      </c>
      <c r="B887" s="129" t="s">
        <v>52</v>
      </c>
      <c r="C887" s="129" t="s">
        <v>85</v>
      </c>
      <c r="D887">
        <v>400.00099999999998</v>
      </c>
      <c r="E887">
        <v>800</v>
      </c>
      <c r="F887">
        <v>0.01</v>
      </c>
      <c r="G887" s="129" t="s">
        <v>26</v>
      </c>
      <c r="H887" s="129" t="s">
        <v>26</v>
      </c>
      <c r="I887">
        <v>0</v>
      </c>
      <c r="J887">
        <v>0</v>
      </c>
      <c r="K887" s="129" t="s">
        <v>1962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s="129" t="s">
        <v>258</v>
      </c>
      <c r="B888" s="129" t="s">
        <v>52</v>
      </c>
      <c r="C888" s="129" t="s">
        <v>85</v>
      </c>
      <c r="D888">
        <v>800.00099999999998</v>
      </c>
      <c r="E888">
        <v>1200</v>
      </c>
      <c r="F888">
        <v>0.01</v>
      </c>
      <c r="G888" s="129" t="s">
        <v>26</v>
      </c>
      <c r="H888" s="129" t="s">
        <v>26</v>
      </c>
      <c r="I888">
        <v>0</v>
      </c>
      <c r="J888">
        <v>0</v>
      </c>
      <c r="K888" s="129" t="s">
        <v>1962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s="129" t="s">
        <v>2488</v>
      </c>
      <c r="B889" s="129" t="s">
        <v>52</v>
      </c>
      <c r="C889" s="129" t="s">
        <v>85</v>
      </c>
      <c r="D889">
        <v>1200.001</v>
      </c>
      <c r="E889">
        <v>1562</v>
      </c>
      <c r="F889">
        <v>0.01</v>
      </c>
      <c r="G889" s="129" t="s">
        <v>26</v>
      </c>
      <c r="H889" s="129" t="s">
        <v>26</v>
      </c>
      <c r="I889">
        <v>0</v>
      </c>
      <c r="J889">
        <v>0</v>
      </c>
      <c r="K889" s="129" t="s">
        <v>1962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s="129" t="s">
        <v>2489</v>
      </c>
      <c r="B890" s="129" t="s">
        <v>52</v>
      </c>
      <c r="C890" s="129" t="s">
        <v>85</v>
      </c>
      <c r="D890">
        <v>-320</v>
      </c>
      <c r="E890">
        <v>32</v>
      </c>
      <c r="F890">
        <v>0.1</v>
      </c>
      <c r="G890" s="129" t="s">
        <v>26</v>
      </c>
      <c r="H890" s="129" t="s">
        <v>26</v>
      </c>
      <c r="I890">
        <v>0</v>
      </c>
      <c r="J890">
        <v>0</v>
      </c>
      <c r="K890" s="129" t="s">
        <v>1962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s="129" t="s">
        <v>2490</v>
      </c>
      <c r="B891" s="129" t="s">
        <v>52</v>
      </c>
      <c r="C891" s="129" t="s">
        <v>85</v>
      </c>
      <c r="D891">
        <v>32.000999999999998</v>
      </c>
      <c r="E891">
        <v>400</v>
      </c>
      <c r="F891">
        <v>0.1</v>
      </c>
      <c r="G891" s="129" t="s">
        <v>26</v>
      </c>
      <c r="H891" s="129" t="s">
        <v>26</v>
      </c>
      <c r="I891">
        <v>0</v>
      </c>
      <c r="J891">
        <v>0</v>
      </c>
      <c r="K891" s="129" t="s">
        <v>1962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s="129" t="s">
        <v>257</v>
      </c>
      <c r="B892" s="129" t="s">
        <v>52</v>
      </c>
      <c r="C892" s="129" t="s">
        <v>85</v>
      </c>
      <c r="D892">
        <v>400.00099999999998</v>
      </c>
      <c r="E892">
        <v>800</v>
      </c>
      <c r="F892">
        <v>0.1</v>
      </c>
      <c r="G892" s="129" t="s">
        <v>26</v>
      </c>
      <c r="H892" s="129" t="s">
        <v>26</v>
      </c>
      <c r="I892">
        <v>0</v>
      </c>
      <c r="J892">
        <v>0</v>
      </c>
      <c r="K892" s="129" t="s">
        <v>1962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s="129" t="s">
        <v>259</v>
      </c>
      <c r="B893" s="129" t="s">
        <v>52</v>
      </c>
      <c r="C893" s="129" t="s">
        <v>85</v>
      </c>
      <c r="D893">
        <v>800.00099999999998</v>
      </c>
      <c r="E893">
        <v>1200</v>
      </c>
      <c r="F893">
        <v>0.1</v>
      </c>
      <c r="G893" s="129" t="s">
        <v>26</v>
      </c>
      <c r="H893" s="129" t="s">
        <v>26</v>
      </c>
      <c r="I893">
        <v>0</v>
      </c>
      <c r="J893">
        <v>0</v>
      </c>
      <c r="K893" s="129" t="s">
        <v>1962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s="129" t="s">
        <v>2491</v>
      </c>
      <c r="B894" s="129" t="s">
        <v>52</v>
      </c>
      <c r="C894" s="129" t="s">
        <v>85</v>
      </c>
      <c r="D894">
        <v>1200.001</v>
      </c>
      <c r="E894">
        <v>1562</v>
      </c>
      <c r="F894">
        <v>0.1</v>
      </c>
      <c r="G894" s="129" t="s">
        <v>26</v>
      </c>
      <c r="H894" s="129" t="s">
        <v>26</v>
      </c>
      <c r="I894">
        <v>0</v>
      </c>
      <c r="J894">
        <v>0</v>
      </c>
      <c r="K894" s="129" t="s">
        <v>1962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s="129" t="s">
        <v>254</v>
      </c>
      <c r="B895" s="129" t="s">
        <v>52</v>
      </c>
      <c r="C895" s="129" t="s">
        <v>85</v>
      </c>
      <c r="D895">
        <v>-320</v>
      </c>
      <c r="E895">
        <v>32</v>
      </c>
      <c r="F895">
        <v>1</v>
      </c>
      <c r="G895" s="129" t="s">
        <v>26</v>
      </c>
      <c r="H895" s="129" t="s">
        <v>26</v>
      </c>
      <c r="I895">
        <v>0</v>
      </c>
      <c r="J895">
        <v>0</v>
      </c>
      <c r="K895" s="129" t="s">
        <v>1962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s="129" t="s">
        <v>256</v>
      </c>
      <c r="B896" s="129" t="s">
        <v>52</v>
      </c>
      <c r="C896" s="129" t="s">
        <v>85</v>
      </c>
      <c r="D896">
        <v>32.000999999999998</v>
      </c>
      <c r="E896">
        <v>400</v>
      </c>
      <c r="F896">
        <v>1</v>
      </c>
      <c r="G896" s="129" t="s">
        <v>26</v>
      </c>
      <c r="H896" s="129" t="s">
        <v>26</v>
      </c>
      <c r="I896">
        <v>0</v>
      </c>
      <c r="J896">
        <v>0</v>
      </c>
      <c r="K896" s="129" t="s">
        <v>1962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s="129" t="s">
        <v>2492</v>
      </c>
      <c r="B897" s="129" t="s">
        <v>52</v>
      </c>
      <c r="C897" s="129" t="s">
        <v>85</v>
      </c>
      <c r="D897">
        <v>400.00099999999998</v>
      </c>
      <c r="E897">
        <v>800</v>
      </c>
      <c r="F897">
        <v>1</v>
      </c>
      <c r="G897" s="129" t="s">
        <v>26</v>
      </c>
      <c r="H897" s="129" t="s">
        <v>26</v>
      </c>
      <c r="I897">
        <v>0</v>
      </c>
      <c r="J897">
        <v>0</v>
      </c>
      <c r="K897" s="129" t="s">
        <v>1962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s="129" t="s">
        <v>260</v>
      </c>
      <c r="B898" s="129" t="s">
        <v>52</v>
      </c>
      <c r="C898" s="129" t="s">
        <v>85</v>
      </c>
      <c r="D898">
        <v>800.00099999999998</v>
      </c>
      <c r="E898">
        <v>1200</v>
      </c>
      <c r="F898">
        <v>1</v>
      </c>
      <c r="G898" s="129" t="s">
        <v>26</v>
      </c>
      <c r="H898" s="129" t="s">
        <v>26</v>
      </c>
      <c r="I898">
        <v>0</v>
      </c>
      <c r="J898">
        <v>0</v>
      </c>
      <c r="K898" s="129" t="s">
        <v>1962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s="129" t="s">
        <v>2493</v>
      </c>
      <c r="B899" s="129" t="s">
        <v>52</v>
      </c>
      <c r="C899" s="129" t="s">
        <v>85</v>
      </c>
      <c r="D899">
        <v>1200.001</v>
      </c>
      <c r="E899">
        <v>1562</v>
      </c>
      <c r="F899">
        <v>1</v>
      </c>
      <c r="G899" s="129" t="s">
        <v>26</v>
      </c>
      <c r="H899" s="129" t="s">
        <v>26</v>
      </c>
      <c r="I899">
        <v>0</v>
      </c>
      <c r="J899">
        <v>0</v>
      </c>
      <c r="K899" s="129" t="s">
        <v>1962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s="129" t="s">
        <v>249</v>
      </c>
      <c r="B900" s="129" t="s">
        <v>52</v>
      </c>
      <c r="C900" s="129" t="s">
        <v>81</v>
      </c>
      <c r="D900">
        <v>-58</v>
      </c>
      <c r="E900">
        <v>31.998999999999999</v>
      </c>
      <c r="F900">
        <v>0.1</v>
      </c>
      <c r="G900" s="129" t="s">
        <v>26</v>
      </c>
      <c r="H900" s="129" t="s">
        <v>26</v>
      </c>
      <c r="I900">
        <v>0</v>
      </c>
      <c r="J900">
        <v>0</v>
      </c>
      <c r="K900" s="129" t="s">
        <v>1962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s="129" t="s">
        <v>2478</v>
      </c>
      <c r="B901" s="129" t="s">
        <v>52</v>
      </c>
      <c r="C901" s="129" t="s">
        <v>81</v>
      </c>
      <c r="D901">
        <v>32</v>
      </c>
      <c r="E901">
        <v>1100</v>
      </c>
      <c r="F901">
        <v>0.1</v>
      </c>
      <c r="G901" s="129" t="s">
        <v>26</v>
      </c>
      <c r="H901" s="129" t="s">
        <v>26</v>
      </c>
      <c r="I901">
        <v>0</v>
      </c>
      <c r="J901">
        <v>0</v>
      </c>
      <c r="K901" s="129" t="s">
        <v>1962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s="129" t="s">
        <v>2479</v>
      </c>
      <c r="B902" s="129" t="s">
        <v>52</v>
      </c>
      <c r="C902" s="129" t="s">
        <v>81</v>
      </c>
      <c r="D902">
        <v>1100.001</v>
      </c>
      <c r="E902">
        <v>2200</v>
      </c>
      <c r="F902">
        <v>0.1</v>
      </c>
      <c r="G902" s="129" t="s">
        <v>26</v>
      </c>
      <c r="H902" s="129" t="s">
        <v>26</v>
      </c>
      <c r="I902">
        <v>0</v>
      </c>
      <c r="J902">
        <v>0</v>
      </c>
      <c r="K902" s="129" t="s">
        <v>1962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s="129" t="s">
        <v>252</v>
      </c>
      <c r="B903" s="129" t="s">
        <v>52</v>
      </c>
      <c r="C903" s="129" t="s">
        <v>81</v>
      </c>
      <c r="D903">
        <v>2200.0010000000002</v>
      </c>
      <c r="E903">
        <v>3214</v>
      </c>
      <c r="F903">
        <v>0.1</v>
      </c>
      <c r="G903" s="129" t="s">
        <v>26</v>
      </c>
      <c r="H903" s="129" t="s">
        <v>26</v>
      </c>
      <c r="I903">
        <v>0</v>
      </c>
      <c r="J903">
        <v>0</v>
      </c>
      <c r="K903" s="129" t="s">
        <v>1962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s="129" t="s">
        <v>250</v>
      </c>
      <c r="B904" s="129" t="s">
        <v>52</v>
      </c>
      <c r="C904" s="129" t="s">
        <v>81</v>
      </c>
      <c r="D904">
        <v>-58</v>
      </c>
      <c r="E904">
        <v>31.998999999999999</v>
      </c>
      <c r="F904">
        <v>1</v>
      </c>
      <c r="G904" s="129" t="s">
        <v>26</v>
      </c>
      <c r="H904" s="129" t="s">
        <v>26</v>
      </c>
      <c r="I904">
        <v>0</v>
      </c>
      <c r="J904">
        <v>0</v>
      </c>
      <c r="K904" s="129" t="s">
        <v>1962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s="129" t="s">
        <v>2480</v>
      </c>
      <c r="B905" s="129" t="s">
        <v>52</v>
      </c>
      <c r="C905" s="129" t="s">
        <v>81</v>
      </c>
      <c r="D905">
        <v>32</v>
      </c>
      <c r="E905">
        <v>1100</v>
      </c>
      <c r="F905">
        <v>1</v>
      </c>
      <c r="G905" s="129" t="s">
        <v>26</v>
      </c>
      <c r="H905" s="129" t="s">
        <v>26</v>
      </c>
      <c r="I905">
        <v>0</v>
      </c>
      <c r="J905">
        <v>0</v>
      </c>
      <c r="K905" s="129" t="s">
        <v>1962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s="129" t="s">
        <v>251</v>
      </c>
      <c r="B906" s="129" t="s">
        <v>52</v>
      </c>
      <c r="C906" s="129" t="s">
        <v>81</v>
      </c>
      <c r="D906">
        <v>1100.001</v>
      </c>
      <c r="E906">
        <v>2200</v>
      </c>
      <c r="F906">
        <v>1</v>
      </c>
      <c r="G906" s="129" t="s">
        <v>26</v>
      </c>
      <c r="H906" s="129" t="s">
        <v>26</v>
      </c>
      <c r="I906">
        <v>0</v>
      </c>
      <c r="J906">
        <v>0</v>
      </c>
      <c r="K906" s="129" t="s">
        <v>1962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s="129" t="s">
        <v>253</v>
      </c>
      <c r="B907" s="129" t="s">
        <v>52</v>
      </c>
      <c r="C907" s="129" t="s">
        <v>81</v>
      </c>
      <c r="D907">
        <v>2200.0010000000002</v>
      </c>
      <c r="E907">
        <v>3214</v>
      </c>
      <c r="F907">
        <v>1</v>
      </c>
      <c r="G907" s="129" t="s">
        <v>26</v>
      </c>
      <c r="H907" s="129" t="s">
        <v>26</v>
      </c>
      <c r="I907">
        <v>0</v>
      </c>
      <c r="J907">
        <v>0</v>
      </c>
      <c r="K907" s="129" t="s">
        <v>1962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s="129" t="s">
        <v>243</v>
      </c>
      <c r="B908" s="129" t="s">
        <v>52</v>
      </c>
      <c r="C908" s="129" t="s">
        <v>82</v>
      </c>
      <c r="D908">
        <v>-58</v>
      </c>
      <c r="E908">
        <v>31.998999999999999</v>
      </c>
      <c r="F908">
        <v>0.1</v>
      </c>
      <c r="G908" s="129" t="s">
        <v>26</v>
      </c>
      <c r="H908" s="129" t="s">
        <v>26</v>
      </c>
      <c r="I908">
        <v>0</v>
      </c>
      <c r="J908">
        <v>0</v>
      </c>
      <c r="K908" s="129" t="s">
        <v>1962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s="129" t="s">
        <v>245</v>
      </c>
      <c r="B909" s="129" t="s">
        <v>52</v>
      </c>
      <c r="C909" s="129" t="s">
        <v>82</v>
      </c>
      <c r="D909">
        <v>32</v>
      </c>
      <c r="E909">
        <v>1100</v>
      </c>
      <c r="F909">
        <v>0.1</v>
      </c>
      <c r="G909" s="129" t="s">
        <v>26</v>
      </c>
      <c r="H909" s="129" t="s">
        <v>26</v>
      </c>
      <c r="I909">
        <v>0</v>
      </c>
      <c r="J909">
        <v>0</v>
      </c>
      <c r="K909" s="129" t="s">
        <v>1962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s="129" t="s">
        <v>2481</v>
      </c>
      <c r="B910" s="129" t="s">
        <v>52</v>
      </c>
      <c r="C910" s="129" t="s">
        <v>82</v>
      </c>
      <c r="D910">
        <v>1100.001</v>
      </c>
      <c r="E910">
        <v>2200</v>
      </c>
      <c r="F910">
        <v>0.1</v>
      </c>
      <c r="G910" s="129" t="s">
        <v>26</v>
      </c>
      <c r="H910" s="129" t="s">
        <v>26</v>
      </c>
      <c r="I910">
        <v>0</v>
      </c>
      <c r="J910">
        <v>0</v>
      </c>
      <c r="K910" s="129" t="s">
        <v>1962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s="129" t="s">
        <v>2482</v>
      </c>
      <c r="B911" s="129" t="s">
        <v>52</v>
      </c>
      <c r="C911" s="129" t="s">
        <v>82</v>
      </c>
      <c r="D911">
        <v>2200.0010000000002</v>
      </c>
      <c r="E911">
        <v>3214</v>
      </c>
      <c r="F911">
        <v>0.1</v>
      </c>
      <c r="G911" s="129" t="s">
        <v>26</v>
      </c>
      <c r="H911" s="129" t="s">
        <v>26</v>
      </c>
      <c r="I911">
        <v>0</v>
      </c>
      <c r="J911">
        <v>0</v>
      </c>
      <c r="K911" s="129" t="s">
        <v>1962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s="129" t="s">
        <v>244</v>
      </c>
      <c r="B912" s="129" t="s">
        <v>52</v>
      </c>
      <c r="C912" s="129" t="s">
        <v>82</v>
      </c>
      <c r="D912">
        <v>-58</v>
      </c>
      <c r="E912">
        <v>31.998999999999999</v>
      </c>
      <c r="F912">
        <v>1</v>
      </c>
      <c r="G912" s="129" t="s">
        <v>26</v>
      </c>
      <c r="H912" s="129" t="s">
        <v>26</v>
      </c>
      <c r="I912">
        <v>0</v>
      </c>
      <c r="J912">
        <v>0</v>
      </c>
      <c r="K912" s="129" t="s">
        <v>1962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s="129" t="s">
        <v>246</v>
      </c>
      <c r="B913" s="129" t="s">
        <v>52</v>
      </c>
      <c r="C913" s="129" t="s">
        <v>82</v>
      </c>
      <c r="D913">
        <v>32</v>
      </c>
      <c r="E913">
        <v>1100</v>
      </c>
      <c r="F913">
        <v>1</v>
      </c>
      <c r="G913" s="129" t="s">
        <v>26</v>
      </c>
      <c r="H913" s="129" t="s">
        <v>26</v>
      </c>
      <c r="I913">
        <v>0</v>
      </c>
      <c r="J913">
        <v>0</v>
      </c>
      <c r="K913" s="129" t="s">
        <v>1962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s="129" t="s">
        <v>247</v>
      </c>
      <c r="B914" s="129" t="s">
        <v>52</v>
      </c>
      <c r="C914" s="129" t="s">
        <v>82</v>
      </c>
      <c r="D914">
        <v>1100.001</v>
      </c>
      <c r="E914">
        <v>2200</v>
      </c>
      <c r="F914">
        <v>1</v>
      </c>
      <c r="G914" s="129" t="s">
        <v>26</v>
      </c>
      <c r="H914" s="129" t="s">
        <v>26</v>
      </c>
      <c r="I914">
        <v>0</v>
      </c>
      <c r="J914">
        <v>0</v>
      </c>
      <c r="K914" s="129" t="s">
        <v>1962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s="129" t="s">
        <v>248</v>
      </c>
      <c r="B915" s="129" t="s">
        <v>52</v>
      </c>
      <c r="C915" s="129" t="s">
        <v>82</v>
      </c>
      <c r="D915">
        <v>2200.0010000000002</v>
      </c>
      <c r="E915">
        <v>3214</v>
      </c>
      <c r="F915">
        <v>1</v>
      </c>
      <c r="G915" s="129" t="s">
        <v>26</v>
      </c>
      <c r="H915" s="129" t="s">
        <v>26</v>
      </c>
      <c r="I915">
        <v>0</v>
      </c>
      <c r="J915">
        <v>0</v>
      </c>
      <c r="K915" s="129" t="s">
        <v>1962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s="129" t="s">
        <v>237</v>
      </c>
      <c r="B916" s="129" t="s">
        <v>52</v>
      </c>
      <c r="C916" s="129" t="s">
        <v>83</v>
      </c>
      <c r="D916">
        <v>-454</v>
      </c>
      <c r="E916">
        <v>-400.00099999999998</v>
      </c>
      <c r="F916">
        <v>0.1</v>
      </c>
      <c r="G916" s="129" t="s">
        <v>26</v>
      </c>
      <c r="H916" s="129" t="s">
        <v>26</v>
      </c>
      <c r="I916">
        <v>0</v>
      </c>
      <c r="J916">
        <v>0</v>
      </c>
      <c r="K916" s="129" t="s">
        <v>1962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s="129" t="s">
        <v>239</v>
      </c>
      <c r="B917" s="129" t="s">
        <v>52</v>
      </c>
      <c r="C917" s="129" t="s">
        <v>83</v>
      </c>
      <c r="D917">
        <v>-400</v>
      </c>
      <c r="E917">
        <v>199.999</v>
      </c>
      <c r="F917">
        <v>0.1</v>
      </c>
      <c r="G917" s="129" t="s">
        <v>26</v>
      </c>
      <c r="H917" s="129" t="s">
        <v>26</v>
      </c>
      <c r="I917">
        <v>0</v>
      </c>
      <c r="J917">
        <v>0</v>
      </c>
      <c r="K917" s="129" t="s">
        <v>1962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s="129" t="s">
        <v>241</v>
      </c>
      <c r="B918" s="129" t="s">
        <v>52</v>
      </c>
      <c r="C918" s="129" t="s">
        <v>83</v>
      </c>
      <c r="D918">
        <v>200</v>
      </c>
      <c r="E918">
        <v>752</v>
      </c>
      <c r="F918">
        <v>0.1</v>
      </c>
      <c r="G918" s="129" t="s">
        <v>26</v>
      </c>
      <c r="H918" s="129" t="s">
        <v>26</v>
      </c>
      <c r="I918">
        <v>0</v>
      </c>
      <c r="J918">
        <v>0</v>
      </c>
      <c r="K918" s="129" t="s">
        <v>1962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s="129" t="s">
        <v>238</v>
      </c>
      <c r="B919" s="129" t="s">
        <v>52</v>
      </c>
      <c r="C919" s="129" t="s">
        <v>83</v>
      </c>
      <c r="D919">
        <v>-454</v>
      </c>
      <c r="E919">
        <v>-400.00099999999998</v>
      </c>
      <c r="F919">
        <v>1</v>
      </c>
      <c r="G919" s="129" t="s">
        <v>26</v>
      </c>
      <c r="H919" s="129" t="s">
        <v>26</v>
      </c>
      <c r="I919">
        <v>0</v>
      </c>
      <c r="J919">
        <v>0</v>
      </c>
      <c r="K919" s="129" t="s">
        <v>1962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s="129" t="s">
        <v>240</v>
      </c>
      <c r="B920" s="129" t="s">
        <v>52</v>
      </c>
      <c r="C920" s="129" t="s">
        <v>83</v>
      </c>
      <c r="D920">
        <v>-400</v>
      </c>
      <c r="E920">
        <v>199.999</v>
      </c>
      <c r="F920">
        <v>1</v>
      </c>
      <c r="G920" s="129" t="s">
        <v>26</v>
      </c>
      <c r="H920" s="129" t="s">
        <v>26</v>
      </c>
      <c r="I920">
        <v>0</v>
      </c>
      <c r="J920">
        <v>0</v>
      </c>
      <c r="K920" s="129" t="s">
        <v>1962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s="129" t="s">
        <v>242</v>
      </c>
      <c r="B921" s="129" t="s">
        <v>52</v>
      </c>
      <c r="C921" s="129" t="s">
        <v>83</v>
      </c>
      <c r="D921">
        <v>200</v>
      </c>
      <c r="E921">
        <v>752</v>
      </c>
      <c r="F921">
        <v>1</v>
      </c>
      <c r="G921" s="129" t="s">
        <v>26</v>
      </c>
      <c r="H921" s="129" t="s">
        <v>26</v>
      </c>
      <c r="I921">
        <v>0</v>
      </c>
      <c r="J921">
        <v>0</v>
      </c>
      <c r="K921" s="129" t="s">
        <v>1962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s="129" t="s">
        <v>2452</v>
      </c>
      <c r="B922" s="129" t="s">
        <v>52</v>
      </c>
      <c r="C922" s="129" t="s">
        <v>17</v>
      </c>
      <c r="D922">
        <v>0</v>
      </c>
      <c r="E922">
        <v>40</v>
      </c>
      <c r="F922">
        <v>9.9999999999999995E-7</v>
      </c>
      <c r="G922" s="129" t="s">
        <v>9</v>
      </c>
      <c r="H922" s="129" t="s">
        <v>9</v>
      </c>
      <c r="I922">
        <v>0</v>
      </c>
      <c r="J922">
        <v>0</v>
      </c>
      <c r="K922" s="129" t="s">
        <v>1962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s="129" t="s">
        <v>203</v>
      </c>
      <c r="B923" s="129" t="s">
        <v>52</v>
      </c>
      <c r="C923" s="129" t="s">
        <v>17</v>
      </c>
      <c r="D923">
        <v>0</v>
      </c>
      <c r="E923">
        <v>40</v>
      </c>
      <c r="F923">
        <v>1.0000000000000001E-5</v>
      </c>
      <c r="G923" s="129" t="s">
        <v>9</v>
      </c>
      <c r="H923" s="129" t="s">
        <v>9</v>
      </c>
      <c r="I923">
        <v>0</v>
      </c>
      <c r="J923">
        <v>0</v>
      </c>
      <c r="K923" s="129" t="s">
        <v>1962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s="129" t="s">
        <v>2453</v>
      </c>
      <c r="B924" s="129" t="s">
        <v>52</v>
      </c>
      <c r="C924" s="129" t="s">
        <v>17</v>
      </c>
      <c r="D924">
        <v>0</v>
      </c>
      <c r="E924">
        <v>40</v>
      </c>
      <c r="F924">
        <v>1E-4</v>
      </c>
      <c r="G924" s="129" t="s">
        <v>9</v>
      </c>
      <c r="H924" s="129" t="s">
        <v>9</v>
      </c>
      <c r="I924">
        <v>0</v>
      </c>
      <c r="J924">
        <v>0</v>
      </c>
      <c r="K924" s="129" t="s">
        <v>1962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s="129" t="s">
        <v>210</v>
      </c>
      <c r="B925" s="129" t="s">
        <v>52</v>
      </c>
      <c r="C925" s="129" t="s">
        <v>17</v>
      </c>
      <c r="D925">
        <v>40</v>
      </c>
      <c r="E925">
        <v>1000</v>
      </c>
      <c r="F925">
        <v>1E-4</v>
      </c>
      <c r="G925" s="129" t="s">
        <v>9</v>
      </c>
      <c r="H925" s="129" t="s">
        <v>9</v>
      </c>
      <c r="I925">
        <v>0</v>
      </c>
      <c r="J925">
        <v>0</v>
      </c>
      <c r="K925" s="129" t="s">
        <v>1962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s="129" t="s">
        <v>2454</v>
      </c>
      <c r="B926" s="129" t="s">
        <v>52</v>
      </c>
      <c r="C926" s="129" t="s">
        <v>17</v>
      </c>
      <c r="D926">
        <v>0</v>
      </c>
      <c r="E926">
        <v>40</v>
      </c>
      <c r="F926">
        <v>1E-3</v>
      </c>
      <c r="G926" s="129" t="s">
        <v>9</v>
      </c>
      <c r="H926" s="129" t="s">
        <v>9</v>
      </c>
      <c r="I926">
        <v>0</v>
      </c>
      <c r="J926">
        <v>0</v>
      </c>
      <c r="K926" s="129" t="s">
        <v>1962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s="129" t="s">
        <v>211</v>
      </c>
      <c r="B927" s="129" t="s">
        <v>52</v>
      </c>
      <c r="C927" s="129" t="s">
        <v>17</v>
      </c>
      <c r="D927">
        <v>40</v>
      </c>
      <c r="E927">
        <v>1000</v>
      </c>
      <c r="F927">
        <v>1E-3</v>
      </c>
      <c r="G927" s="129" t="s">
        <v>9</v>
      </c>
      <c r="H927" s="129" t="s">
        <v>9</v>
      </c>
      <c r="I927">
        <v>0</v>
      </c>
      <c r="J927">
        <v>0</v>
      </c>
      <c r="K927" s="129" t="s">
        <v>1962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s="129" t="s">
        <v>214</v>
      </c>
      <c r="B928" s="129" t="s">
        <v>52</v>
      </c>
      <c r="C928" s="129" t="s">
        <v>17</v>
      </c>
      <c r="D928">
        <v>1000</v>
      </c>
      <c r="E928">
        <v>10000</v>
      </c>
      <c r="F928">
        <v>1E-3</v>
      </c>
      <c r="G928" s="129" t="s">
        <v>9</v>
      </c>
      <c r="H928" s="129" t="s">
        <v>9</v>
      </c>
      <c r="I928">
        <v>0</v>
      </c>
      <c r="J928">
        <v>0</v>
      </c>
      <c r="K928" s="129" t="s">
        <v>1962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s="129" t="s">
        <v>204</v>
      </c>
      <c r="B929" s="129" t="s">
        <v>52</v>
      </c>
      <c r="C929" s="129" t="s">
        <v>17</v>
      </c>
      <c r="D929">
        <v>0</v>
      </c>
      <c r="E929">
        <v>40</v>
      </c>
      <c r="F929">
        <v>0.01</v>
      </c>
      <c r="G929" s="129" t="s">
        <v>9</v>
      </c>
      <c r="H929" s="129" t="s">
        <v>9</v>
      </c>
      <c r="I929">
        <v>0</v>
      </c>
      <c r="J929">
        <v>0</v>
      </c>
      <c r="K929" s="129" t="s">
        <v>1962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s="129" t="s">
        <v>212</v>
      </c>
      <c r="B930" s="129" t="s">
        <v>52</v>
      </c>
      <c r="C930" s="129" t="s">
        <v>17</v>
      </c>
      <c r="D930">
        <v>40</v>
      </c>
      <c r="E930">
        <v>1000</v>
      </c>
      <c r="F930">
        <v>0.01</v>
      </c>
      <c r="G930" s="129" t="s">
        <v>9</v>
      </c>
      <c r="H930" s="129" t="s">
        <v>9</v>
      </c>
      <c r="I930">
        <v>0</v>
      </c>
      <c r="J930">
        <v>0</v>
      </c>
      <c r="K930" s="129" t="s">
        <v>1962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s="129" t="s">
        <v>215</v>
      </c>
      <c r="B931" s="129" t="s">
        <v>52</v>
      </c>
      <c r="C931" s="129" t="s">
        <v>17</v>
      </c>
      <c r="D931">
        <v>1000</v>
      </c>
      <c r="E931">
        <v>10000</v>
      </c>
      <c r="F931">
        <v>0.01</v>
      </c>
      <c r="G931" s="129" t="s">
        <v>9</v>
      </c>
      <c r="H931" s="129" t="s">
        <v>9</v>
      </c>
      <c r="I931">
        <v>0</v>
      </c>
      <c r="J931">
        <v>0</v>
      </c>
      <c r="K931" s="129" t="s">
        <v>1962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s="129" t="s">
        <v>219</v>
      </c>
      <c r="B932" s="129" t="s">
        <v>52</v>
      </c>
      <c r="C932" s="129" t="s">
        <v>17</v>
      </c>
      <c r="D932">
        <v>10000</v>
      </c>
      <c r="E932">
        <v>100000</v>
      </c>
      <c r="F932">
        <v>0.01</v>
      </c>
      <c r="G932" s="129" t="s">
        <v>9</v>
      </c>
      <c r="H932" s="129" t="s">
        <v>9</v>
      </c>
      <c r="I932">
        <v>0</v>
      </c>
      <c r="J932">
        <v>0</v>
      </c>
      <c r="K932" s="129" t="s">
        <v>1962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s="129" t="s">
        <v>205</v>
      </c>
      <c r="B933" s="129" t="s">
        <v>52</v>
      </c>
      <c r="C933" s="129" t="s">
        <v>17</v>
      </c>
      <c r="D933">
        <v>0</v>
      </c>
      <c r="E933">
        <v>40</v>
      </c>
      <c r="F933">
        <v>0.1</v>
      </c>
      <c r="G933" s="129" t="s">
        <v>9</v>
      </c>
      <c r="H933" s="129" t="s">
        <v>9</v>
      </c>
      <c r="I933">
        <v>0</v>
      </c>
      <c r="J933">
        <v>0</v>
      </c>
      <c r="K933" s="129" t="s">
        <v>1962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s="129" t="s">
        <v>2456</v>
      </c>
      <c r="B934" s="129" t="s">
        <v>52</v>
      </c>
      <c r="C934" s="129" t="s">
        <v>17</v>
      </c>
      <c r="D934">
        <v>40</v>
      </c>
      <c r="E934">
        <v>1000</v>
      </c>
      <c r="F934">
        <v>0.1</v>
      </c>
      <c r="G934" s="129" t="s">
        <v>9</v>
      </c>
      <c r="H934" s="129" t="s">
        <v>9</v>
      </c>
      <c r="I934">
        <v>0</v>
      </c>
      <c r="J934">
        <v>0</v>
      </c>
      <c r="K934" s="129" t="s">
        <v>1962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s="129" t="s">
        <v>216</v>
      </c>
      <c r="B935" s="129" t="s">
        <v>52</v>
      </c>
      <c r="C935" s="129" t="s">
        <v>17</v>
      </c>
      <c r="D935">
        <v>1000</v>
      </c>
      <c r="E935">
        <v>10000</v>
      </c>
      <c r="F935">
        <v>0.1</v>
      </c>
      <c r="G935" s="129" t="s">
        <v>9</v>
      </c>
      <c r="H935" s="129" t="s">
        <v>9</v>
      </c>
      <c r="I935">
        <v>0</v>
      </c>
      <c r="J935">
        <v>0</v>
      </c>
      <c r="K935" s="129" t="s">
        <v>1962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s="129" t="s">
        <v>220</v>
      </c>
      <c r="B936" s="129" t="s">
        <v>52</v>
      </c>
      <c r="C936" s="129" t="s">
        <v>17</v>
      </c>
      <c r="D936">
        <v>10000</v>
      </c>
      <c r="E936">
        <v>100000</v>
      </c>
      <c r="F936">
        <v>0.1</v>
      </c>
      <c r="G936" s="129" t="s">
        <v>9</v>
      </c>
      <c r="H936" s="129" t="s">
        <v>9</v>
      </c>
      <c r="I936">
        <v>0</v>
      </c>
      <c r="J936">
        <v>0</v>
      </c>
      <c r="K936" s="129" t="s">
        <v>1962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s="129" t="s">
        <v>226</v>
      </c>
      <c r="B937" s="129" t="s">
        <v>52</v>
      </c>
      <c r="C937" s="129" t="s">
        <v>17</v>
      </c>
      <c r="D937">
        <v>100000</v>
      </c>
      <c r="E937">
        <v>1000000</v>
      </c>
      <c r="F937">
        <v>0.1</v>
      </c>
      <c r="G937" s="129" t="s">
        <v>9</v>
      </c>
      <c r="H937" s="129" t="s">
        <v>9</v>
      </c>
      <c r="I937">
        <v>0</v>
      </c>
      <c r="J937">
        <v>0</v>
      </c>
      <c r="K937" s="129" t="s">
        <v>1962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s="129" t="s">
        <v>206</v>
      </c>
      <c r="B938" s="129" t="s">
        <v>52</v>
      </c>
      <c r="C938" s="129" t="s">
        <v>17</v>
      </c>
      <c r="D938">
        <v>0</v>
      </c>
      <c r="E938">
        <v>40</v>
      </c>
      <c r="F938">
        <v>1</v>
      </c>
      <c r="G938" s="129" t="s">
        <v>9</v>
      </c>
      <c r="H938" s="129" t="s">
        <v>9</v>
      </c>
      <c r="I938">
        <v>0</v>
      </c>
      <c r="J938">
        <v>0</v>
      </c>
      <c r="K938" s="129" t="s">
        <v>1962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s="129" t="s">
        <v>2457</v>
      </c>
      <c r="B939" s="129" t="s">
        <v>52</v>
      </c>
      <c r="C939" s="129" t="s">
        <v>17</v>
      </c>
      <c r="D939">
        <v>40</v>
      </c>
      <c r="E939">
        <v>1000</v>
      </c>
      <c r="F939">
        <v>1</v>
      </c>
      <c r="G939" s="129" t="s">
        <v>9</v>
      </c>
      <c r="H939" s="129" t="s">
        <v>9</v>
      </c>
      <c r="I939">
        <v>0</v>
      </c>
      <c r="J939">
        <v>0</v>
      </c>
      <c r="K939" s="129" t="s">
        <v>1962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s="129" t="s">
        <v>217</v>
      </c>
      <c r="B940" s="129" t="s">
        <v>52</v>
      </c>
      <c r="C940" s="129" t="s">
        <v>17</v>
      </c>
      <c r="D940">
        <v>1000</v>
      </c>
      <c r="E940">
        <v>10000</v>
      </c>
      <c r="F940">
        <v>1</v>
      </c>
      <c r="G940" s="129" t="s">
        <v>9</v>
      </c>
      <c r="H940" s="129" t="s">
        <v>9</v>
      </c>
      <c r="I940">
        <v>0</v>
      </c>
      <c r="J940">
        <v>0</v>
      </c>
      <c r="K940" s="129" t="s">
        <v>1962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s="129" t="s">
        <v>221</v>
      </c>
      <c r="B941" s="129" t="s">
        <v>52</v>
      </c>
      <c r="C941" s="129" t="s">
        <v>17</v>
      </c>
      <c r="D941">
        <v>10000</v>
      </c>
      <c r="E941">
        <v>100000</v>
      </c>
      <c r="F941">
        <v>1</v>
      </c>
      <c r="G941" s="129" t="s">
        <v>9</v>
      </c>
      <c r="H941" s="129" t="s">
        <v>9</v>
      </c>
      <c r="I941">
        <v>0</v>
      </c>
      <c r="J941">
        <v>0</v>
      </c>
      <c r="K941" s="129" t="s">
        <v>1962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s="129" t="s">
        <v>227</v>
      </c>
      <c r="B942" s="129" t="s">
        <v>52</v>
      </c>
      <c r="C942" s="129" t="s">
        <v>17</v>
      </c>
      <c r="D942">
        <v>100000</v>
      </c>
      <c r="E942">
        <v>1000000</v>
      </c>
      <c r="F942">
        <v>1</v>
      </c>
      <c r="G942" s="129" t="s">
        <v>9</v>
      </c>
      <c r="H942" s="129" t="s">
        <v>9</v>
      </c>
      <c r="I942">
        <v>0</v>
      </c>
      <c r="J942">
        <v>0</v>
      </c>
      <c r="K942" s="129" t="s">
        <v>1962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s="129" t="s">
        <v>2459</v>
      </c>
      <c r="B943" s="129" t="s">
        <v>52</v>
      </c>
      <c r="C943" s="129" t="s">
        <v>17</v>
      </c>
      <c r="D943">
        <v>1000000</v>
      </c>
      <c r="E943">
        <v>10000000</v>
      </c>
      <c r="F943">
        <v>1</v>
      </c>
      <c r="G943" s="129" t="s">
        <v>9</v>
      </c>
      <c r="H943" s="129" t="s">
        <v>9</v>
      </c>
      <c r="I943">
        <v>0</v>
      </c>
      <c r="J943">
        <v>0</v>
      </c>
      <c r="K943" s="129" t="s">
        <v>1962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s="129" t="s">
        <v>207</v>
      </c>
      <c r="B944" s="129" t="s">
        <v>52</v>
      </c>
      <c r="C944" s="129" t="s">
        <v>17</v>
      </c>
      <c r="D944">
        <v>0</v>
      </c>
      <c r="E944">
        <v>40</v>
      </c>
      <c r="F944">
        <v>10</v>
      </c>
      <c r="G944" s="129" t="s">
        <v>9</v>
      </c>
      <c r="H944" s="129" t="s">
        <v>9</v>
      </c>
      <c r="I944">
        <v>0</v>
      </c>
      <c r="J944">
        <v>0</v>
      </c>
      <c r="K944" s="129" t="s">
        <v>1962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s="129" t="s">
        <v>213</v>
      </c>
      <c r="B945" s="129" t="s">
        <v>52</v>
      </c>
      <c r="C945" s="129" t="s">
        <v>17</v>
      </c>
      <c r="D945">
        <v>40</v>
      </c>
      <c r="E945">
        <v>1000</v>
      </c>
      <c r="F945">
        <v>10</v>
      </c>
      <c r="G945" s="129" t="s">
        <v>9</v>
      </c>
      <c r="H945" s="129" t="s">
        <v>9</v>
      </c>
      <c r="I945">
        <v>0</v>
      </c>
      <c r="J945">
        <v>0</v>
      </c>
      <c r="K945" s="129" t="s">
        <v>1962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s="129" t="s">
        <v>218</v>
      </c>
      <c r="B946" s="129" t="s">
        <v>52</v>
      </c>
      <c r="C946" s="129" t="s">
        <v>17</v>
      </c>
      <c r="D946">
        <v>1000</v>
      </c>
      <c r="E946">
        <v>10000</v>
      </c>
      <c r="F946">
        <v>10</v>
      </c>
      <c r="G946" s="129" t="s">
        <v>9</v>
      </c>
      <c r="H946" s="129" t="s">
        <v>9</v>
      </c>
      <c r="I946">
        <v>0</v>
      </c>
      <c r="J946">
        <v>0</v>
      </c>
      <c r="K946" s="129" t="s">
        <v>1962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s="129" t="s">
        <v>222</v>
      </c>
      <c r="B947" s="129" t="s">
        <v>52</v>
      </c>
      <c r="C947" s="129" t="s">
        <v>17</v>
      </c>
      <c r="D947">
        <v>10000</v>
      </c>
      <c r="E947">
        <v>100000</v>
      </c>
      <c r="F947">
        <v>10</v>
      </c>
      <c r="G947" s="129" t="s">
        <v>9</v>
      </c>
      <c r="H947" s="129" t="s">
        <v>9</v>
      </c>
      <c r="I947">
        <v>0</v>
      </c>
      <c r="J947">
        <v>0</v>
      </c>
      <c r="K947" s="129" t="s">
        <v>1962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s="129" t="s">
        <v>228</v>
      </c>
      <c r="B948" s="129" t="s">
        <v>52</v>
      </c>
      <c r="C948" s="129" t="s">
        <v>17</v>
      </c>
      <c r="D948">
        <v>100000</v>
      </c>
      <c r="E948">
        <v>1000000</v>
      </c>
      <c r="F948">
        <v>10</v>
      </c>
      <c r="G948" s="129" t="s">
        <v>9</v>
      </c>
      <c r="H948" s="129" t="s">
        <v>9</v>
      </c>
      <c r="I948">
        <v>0</v>
      </c>
      <c r="J948">
        <v>0</v>
      </c>
      <c r="K948" s="129" t="s">
        <v>1962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s="129" t="s">
        <v>232</v>
      </c>
      <c r="B949" s="129" t="s">
        <v>52</v>
      </c>
      <c r="C949" s="129" t="s">
        <v>17</v>
      </c>
      <c r="D949">
        <v>1000000</v>
      </c>
      <c r="E949">
        <v>10000000</v>
      </c>
      <c r="F949">
        <v>10</v>
      </c>
      <c r="G949" s="129" t="s">
        <v>9</v>
      </c>
      <c r="H949" s="129" t="s">
        <v>9</v>
      </c>
      <c r="I949">
        <v>0</v>
      </c>
      <c r="J949">
        <v>0</v>
      </c>
      <c r="K949" s="129" t="s">
        <v>1962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s="129" t="s">
        <v>2455</v>
      </c>
      <c r="B950" s="129" t="s">
        <v>52</v>
      </c>
      <c r="C950" s="129" t="s">
        <v>17</v>
      </c>
      <c r="D950">
        <v>0</v>
      </c>
      <c r="E950">
        <v>40</v>
      </c>
      <c r="F950">
        <v>100</v>
      </c>
      <c r="G950" s="129" t="s">
        <v>9</v>
      </c>
      <c r="H950" s="129" t="s">
        <v>9</v>
      </c>
      <c r="I950">
        <v>0</v>
      </c>
      <c r="J950">
        <v>0</v>
      </c>
      <c r="K950" s="129" t="s">
        <v>1962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s="129" t="s">
        <v>2458</v>
      </c>
      <c r="B951" s="129" t="s">
        <v>52</v>
      </c>
      <c r="C951" s="129" t="s">
        <v>17</v>
      </c>
      <c r="D951">
        <v>1000</v>
      </c>
      <c r="E951">
        <v>10000</v>
      </c>
      <c r="F951">
        <v>100</v>
      </c>
      <c r="G951" s="129" t="s">
        <v>9</v>
      </c>
      <c r="H951" s="129" t="s">
        <v>9</v>
      </c>
      <c r="I951">
        <v>0</v>
      </c>
      <c r="J951">
        <v>0</v>
      </c>
      <c r="K951" s="129" t="s">
        <v>1962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s="129" t="s">
        <v>223</v>
      </c>
      <c r="B952" s="129" t="s">
        <v>52</v>
      </c>
      <c r="C952" s="129" t="s">
        <v>17</v>
      </c>
      <c r="D952">
        <v>10000</v>
      </c>
      <c r="E952">
        <v>100000</v>
      </c>
      <c r="F952">
        <v>100</v>
      </c>
      <c r="G952" s="129" t="s">
        <v>9</v>
      </c>
      <c r="H952" s="129" t="s">
        <v>9</v>
      </c>
      <c r="I952">
        <v>0</v>
      </c>
      <c r="J952">
        <v>0</v>
      </c>
      <c r="K952" s="129" t="s">
        <v>1962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s="129" t="s">
        <v>229</v>
      </c>
      <c r="B953" s="129" t="s">
        <v>52</v>
      </c>
      <c r="C953" s="129" t="s">
        <v>17</v>
      </c>
      <c r="D953">
        <v>100000</v>
      </c>
      <c r="E953">
        <v>1000000</v>
      </c>
      <c r="F953">
        <v>100</v>
      </c>
      <c r="G953" s="129" t="s">
        <v>9</v>
      </c>
      <c r="H953" s="129" t="s">
        <v>9</v>
      </c>
      <c r="I953">
        <v>0</v>
      </c>
      <c r="J953">
        <v>0</v>
      </c>
      <c r="K953" s="129" t="s">
        <v>1962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s="129" t="s">
        <v>233</v>
      </c>
      <c r="B954" s="129" t="s">
        <v>52</v>
      </c>
      <c r="C954" s="129" t="s">
        <v>17</v>
      </c>
      <c r="D954">
        <v>1000000</v>
      </c>
      <c r="E954">
        <v>10000000</v>
      </c>
      <c r="F954">
        <v>100</v>
      </c>
      <c r="G954" s="129" t="s">
        <v>9</v>
      </c>
      <c r="H954" s="129" t="s">
        <v>9</v>
      </c>
      <c r="I954">
        <v>0</v>
      </c>
      <c r="J954">
        <v>0</v>
      </c>
      <c r="K954" s="129" t="s">
        <v>1962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s="129" t="s">
        <v>208</v>
      </c>
      <c r="B955" s="129" t="s">
        <v>52</v>
      </c>
      <c r="C955" s="129" t="s">
        <v>17</v>
      </c>
      <c r="D955">
        <v>0</v>
      </c>
      <c r="E955">
        <v>40</v>
      </c>
      <c r="F955">
        <v>1000</v>
      </c>
      <c r="G955" s="129" t="s">
        <v>9</v>
      </c>
      <c r="H955" s="129" t="s">
        <v>9</v>
      </c>
      <c r="I955">
        <v>0</v>
      </c>
      <c r="J955">
        <v>0</v>
      </c>
      <c r="K955" s="129" t="s">
        <v>1962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s="129" t="s">
        <v>224</v>
      </c>
      <c r="B956" s="129" t="s">
        <v>52</v>
      </c>
      <c r="C956" s="129" t="s">
        <v>17</v>
      </c>
      <c r="D956">
        <v>10000</v>
      </c>
      <c r="E956">
        <v>100000</v>
      </c>
      <c r="F956">
        <v>1000</v>
      </c>
      <c r="G956" s="129" t="s">
        <v>9</v>
      </c>
      <c r="H956" s="129" t="s">
        <v>9</v>
      </c>
      <c r="I956">
        <v>0</v>
      </c>
      <c r="J956">
        <v>0</v>
      </c>
      <c r="K956" s="129" t="s">
        <v>1962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s="129" t="s">
        <v>230</v>
      </c>
      <c r="B957" s="129" t="s">
        <v>52</v>
      </c>
      <c r="C957" s="129" t="s">
        <v>17</v>
      </c>
      <c r="D957">
        <v>100000</v>
      </c>
      <c r="E957">
        <v>1000000</v>
      </c>
      <c r="F957">
        <v>1000</v>
      </c>
      <c r="G957" s="129" t="s">
        <v>9</v>
      </c>
      <c r="H957" s="129" t="s">
        <v>9</v>
      </c>
      <c r="I957">
        <v>0</v>
      </c>
      <c r="J957">
        <v>0</v>
      </c>
      <c r="K957" s="129" t="s">
        <v>1962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s="129" t="s">
        <v>234</v>
      </c>
      <c r="B958" s="129" t="s">
        <v>52</v>
      </c>
      <c r="C958" s="129" t="s">
        <v>17</v>
      </c>
      <c r="D958">
        <v>1000000</v>
      </c>
      <c r="E958">
        <v>10000000</v>
      </c>
      <c r="F958">
        <v>1000</v>
      </c>
      <c r="G958" s="129" t="s">
        <v>9</v>
      </c>
      <c r="H958" s="129" t="s">
        <v>9</v>
      </c>
      <c r="I958">
        <v>0</v>
      </c>
      <c r="J958">
        <v>0</v>
      </c>
      <c r="K958" s="129" t="s">
        <v>1962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s="129" t="s">
        <v>209</v>
      </c>
      <c r="B959" s="129" t="s">
        <v>52</v>
      </c>
      <c r="C959" s="129" t="s">
        <v>17</v>
      </c>
      <c r="D959">
        <v>0</v>
      </c>
      <c r="E959">
        <v>40</v>
      </c>
      <c r="F959">
        <v>10000</v>
      </c>
      <c r="G959" s="129" t="s">
        <v>9</v>
      </c>
      <c r="H959" s="129" t="s">
        <v>9</v>
      </c>
      <c r="I959">
        <v>0</v>
      </c>
      <c r="J959">
        <v>0</v>
      </c>
      <c r="K959" s="129" t="s">
        <v>1962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s="129" t="s">
        <v>225</v>
      </c>
      <c r="B960" s="129" t="s">
        <v>52</v>
      </c>
      <c r="C960" s="129" t="s">
        <v>17</v>
      </c>
      <c r="D960">
        <v>10000</v>
      </c>
      <c r="E960">
        <v>100000</v>
      </c>
      <c r="F960">
        <v>10000</v>
      </c>
      <c r="G960" s="129" t="s">
        <v>9</v>
      </c>
      <c r="H960" s="129" t="s">
        <v>9</v>
      </c>
      <c r="I960">
        <v>0</v>
      </c>
      <c r="J960">
        <v>0</v>
      </c>
      <c r="K960" s="129" t="s">
        <v>1962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s="129" t="s">
        <v>231</v>
      </c>
      <c r="B961" s="129" t="s">
        <v>52</v>
      </c>
      <c r="C961" s="129" t="s">
        <v>17</v>
      </c>
      <c r="D961">
        <v>100000</v>
      </c>
      <c r="E961">
        <v>1000000</v>
      </c>
      <c r="F961">
        <v>10000</v>
      </c>
      <c r="G961" s="129" t="s">
        <v>9</v>
      </c>
      <c r="H961" s="129" t="s">
        <v>9</v>
      </c>
      <c r="I961">
        <v>0</v>
      </c>
      <c r="J961">
        <v>0</v>
      </c>
      <c r="K961" s="129" t="s">
        <v>1962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s="129" t="s">
        <v>235</v>
      </c>
      <c r="B962" s="129" t="s">
        <v>52</v>
      </c>
      <c r="C962" s="129" t="s">
        <v>17</v>
      </c>
      <c r="D962">
        <v>1000000</v>
      </c>
      <c r="E962">
        <v>10000000</v>
      </c>
      <c r="F962">
        <v>10000</v>
      </c>
      <c r="G962" s="129" t="s">
        <v>9</v>
      </c>
      <c r="H962" s="129" t="s">
        <v>9</v>
      </c>
      <c r="I962">
        <v>0</v>
      </c>
      <c r="J962">
        <v>0</v>
      </c>
      <c r="K962" s="129" t="s">
        <v>1962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s="129" t="s">
        <v>236</v>
      </c>
      <c r="B963" s="129" t="s">
        <v>52</v>
      </c>
      <c r="C963" s="129" t="s">
        <v>17</v>
      </c>
      <c r="D963">
        <v>1000000</v>
      </c>
      <c r="E963">
        <v>10000000</v>
      </c>
      <c r="F963">
        <v>100000</v>
      </c>
      <c r="G963" s="129" t="s">
        <v>9</v>
      </c>
      <c r="H963" s="129" t="s">
        <v>9</v>
      </c>
      <c r="I963">
        <v>0</v>
      </c>
      <c r="J963">
        <v>0</v>
      </c>
      <c r="K963" s="129" t="s">
        <v>1962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s="129" t="s">
        <v>2699</v>
      </c>
      <c r="B964" s="129" t="s">
        <v>52</v>
      </c>
      <c r="C964" s="129" t="s">
        <v>7</v>
      </c>
      <c r="D964">
        <v>0</v>
      </c>
      <c r="E964">
        <v>10</v>
      </c>
      <c r="F964">
        <v>1.0000000000000001E-5</v>
      </c>
      <c r="G964" s="129" t="s">
        <v>46</v>
      </c>
      <c r="H964" s="129" t="s">
        <v>68</v>
      </c>
      <c r="I964">
        <v>0</v>
      </c>
      <c r="J964">
        <v>0</v>
      </c>
      <c r="K964" s="129" t="s">
        <v>1962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s="129" t="s">
        <v>2837</v>
      </c>
      <c r="B965" s="129" t="s">
        <v>52</v>
      </c>
      <c r="C965" s="129" t="s">
        <v>7</v>
      </c>
      <c r="D965">
        <v>10</v>
      </c>
      <c r="E965">
        <v>100</v>
      </c>
      <c r="F965">
        <v>1.0000000000000001E-5</v>
      </c>
      <c r="G965" s="129" t="s">
        <v>46</v>
      </c>
      <c r="H965" s="129" t="s">
        <v>68</v>
      </c>
      <c r="I965">
        <v>0</v>
      </c>
      <c r="J965">
        <v>1</v>
      </c>
      <c r="K965" s="129" t="s">
        <v>1962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s="129" t="s">
        <v>2700</v>
      </c>
      <c r="B966" s="129" t="s">
        <v>52</v>
      </c>
      <c r="C966" s="129" t="s">
        <v>7</v>
      </c>
      <c r="D966">
        <v>0</v>
      </c>
      <c r="E966">
        <v>10</v>
      </c>
      <c r="F966">
        <v>1E-4</v>
      </c>
      <c r="G966" s="129" t="s">
        <v>46</v>
      </c>
      <c r="H966" s="129" t="s">
        <v>68</v>
      </c>
      <c r="I966">
        <v>0</v>
      </c>
      <c r="J966">
        <v>0</v>
      </c>
      <c r="K966" s="129" t="s">
        <v>1962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s="129" t="s">
        <v>2701</v>
      </c>
      <c r="B967" s="129" t="s">
        <v>52</v>
      </c>
      <c r="C967" s="129" t="s">
        <v>7</v>
      </c>
      <c r="D967">
        <v>10</v>
      </c>
      <c r="E967">
        <v>100</v>
      </c>
      <c r="F967">
        <v>1E-4</v>
      </c>
      <c r="G967" s="129" t="s">
        <v>46</v>
      </c>
      <c r="H967" s="129" t="s">
        <v>68</v>
      </c>
      <c r="I967">
        <v>0</v>
      </c>
      <c r="J967">
        <v>0</v>
      </c>
      <c r="K967" s="129" t="s">
        <v>1962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s="129" t="s">
        <v>2702</v>
      </c>
      <c r="B968" s="129" t="s">
        <v>52</v>
      </c>
      <c r="C968" s="129" t="s">
        <v>7</v>
      </c>
      <c r="D968">
        <v>100</v>
      </c>
      <c r="E968">
        <v>1000</v>
      </c>
      <c r="F968">
        <v>1E-4</v>
      </c>
      <c r="G968" s="129" t="s">
        <v>46</v>
      </c>
      <c r="H968" s="129" t="s">
        <v>68</v>
      </c>
      <c r="I968">
        <v>0</v>
      </c>
      <c r="J968">
        <v>0</v>
      </c>
      <c r="K968" s="129" t="s">
        <v>1962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s="129" t="s">
        <v>2703</v>
      </c>
      <c r="B969" s="129" t="s">
        <v>52</v>
      </c>
      <c r="C969" s="129" t="s">
        <v>7</v>
      </c>
      <c r="D969">
        <v>0</v>
      </c>
      <c r="E969">
        <v>10</v>
      </c>
      <c r="F969">
        <v>1E-3</v>
      </c>
      <c r="G969" s="129" t="s">
        <v>46</v>
      </c>
      <c r="H969" s="129" t="s">
        <v>68</v>
      </c>
      <c r="I969">
        <v>0</v>
      </c>
      <c r="J969">
        <v>0</v>
      </c>
      <c r="K969" s="129" t="s">
        <v>1962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s="129" t="s">
        <v>2704</v>
      </c>
      <c r="B970" s="129" t="s">
        <v>52</v>
      </c>
      <c r="C970" s="129" t="s">
        <v>7</v>
      </c>
      <c r="D970">
        <v>10</v>
      </c>
      <c r="E970">
        <v>100</v>
      </c>
      <c r="F970">
        <v>1E-3</v>
      </c>
      <c r="G970" s="129" t="s">
        <v>46</v>
      </c>
      <c r="H970" s="129" t="s">
        <v>68</v>
      </c>
      <c r="I970">
        <v>0</v>
      </c>
      <c r="J970">
        <v>0</v>
      </c>
      <c r="K970" s="129" t="s">
        <v>1962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s="129" t="s">
        <v>2705</v>
      </c>
      <c r="B971" s="129" t="s">
        <v>52</v>
      </c>
      <c r="C971" s="129" t="s">
        <v>7</v>
      </c>
      <c r="D971">
        <v>100</v>
      </c>
      <c r="E971">
        <v>1000</v>
      </c>
      <c r="F971">
        <v>1E-3</v>
      </c>
      <c r="G971" s="129" t="s">
        <v>46</v>
      </c>
      <c r="H971" s="129" t="s">
        <v>68</v>
      </c>
      <c r="I971">
        <v>0</v>
      </c>
      <c r="J971">
        <v>0</v>
      </c>
      <c r="K971" s="129" t="s">
        <v>1962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s="129" t="s">
        <v>2706</v>
      </c>
      <c r="B972" s="129" t="s">
        <v>52</v>
      </c>
      <c r="C972" s="129" t="s">
        <v>7</v>
      </c>
      <c r="D972">
        <v>1000</v>
      </c>
      <c r="E972">
        <v>10000</v>
      </c>
      <c r="F972">
        <v>1E-3</v>
      </c>
      <c r="G972" s="129" t="s">
        <v>46</v>
      </c>
      <c r="H972" s="129" t="s">
        <v>45</v>
      </c>
      <c r="I972">
        <v>0</v>
      </c>
      <c r="J972">
        <v>0</v>
      </c>
      <c r="K972" s="129" t="s">
        <v>1962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s="129" t="s">
        <v>2707</v>
      </c>
      <c r="B973" s="129" t="s">
        <v>52</v>
      </c>
      <c r="C973" s="129" t="s">
        <v>7</v>
      </c>
      <c r="D973">
        <v>0</v>
      </c>
      <c r="E973">
        <v>10</v>
      </c>
      <c r="F973">
        <v>0.01</v>
      </c>
      <c r="G973" s="129" t="s">
        <v>46</v>
      </c>
      <c r="H973" s="129" t="s">
        <v>68</v>
      </c>
      <c r="I973">
        <v>0</v>
      </c>
      <c r="J973">
        <v>0</v>
      </c>
      <c r="K973" s="129" t="s">
        <v>1962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s="129" t="s">
        <v>2708</v>
      </c>
      <c r="B974" s="129" t="s">
        <v>52</v>
      </c>
      <c r="C974" s="129" t="s">
        <v>7</v>
      </c>
      <c r="D974">
        <v>10</v>
      </c>
      <c r="E974">
        <v>100</v>
      </c>
      <c r="F974">
        <v>0.01</v>
      </c>
      <c r="G974" s="129" t="s">
        <v>46</v>
      </c>
      <c r="H974" s="129" t="s">
        <v>68</v>
      </c>
      <c r="I974">
        <v>0</v>
      </c>
      <c r="J974">
        <v>0</v>
      </c>
      <c r="K974" s="129" t="s">
        <v>1962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s="129" t="s">
        <v>2709</v>
      </c>
      <c r="B975" s="129" t="s">
        <v>52</v>
      </c>
      <c r="C975" s="129" t="s">
        <v>7</v>
      </c>
      <c r="D975">
        <v>100</v>
      </c>
      <c r="E975">
        <v>1000</v>
      </c>
      <c r="F975">
        <v>0.01</v>
      </c>
      <c r="G975" s="129" t="s">
        <v>46</v>
      </c>
      <c r="H975" s="129" t="s">
        <v>68</v>
      </c>
      <c r="I975">
        <v>0</v>
      </c>
      <c r="J975">
        <v>0</v>
      </c>
      <c r="K975" s="129" t="s">
        <v>1962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s="129" t="s">
        <v>2710</v>
      </c>
      <c r="B976" s="129" t="s">
        <v>52</v>
      </c>
      <c r="C976" s="129" t="s">
        <v>7</v>
      </c>
      <c r="D976">
        <v>1000</v>
      </c>
      <c r="E976">
        <v>10000</v>
      </c>
      <c r="F976">
        <v>0.01</v>
      </c>
      <c r="G976" s="129" t="s">
        <v>46</v>
      </c>
      <c r="H976" s="129" t="s">
        <v>45</v>
      </c>
      <c r="I976">
        <v>0</v>
      </c>
      <c r="J976">
        <v>0</v>
      </c>
      <c r="K976" s="129" t="s">
        <v>1962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s="129" t="s">
        <v>2711</v>
      </c>
      <c r="B977" s="129" t="s">
        <v>52</v>
      </c>
      <c r="C977" s="129" t="s">
        <v>7</v>
      </c>
      <c r="D977">
        <v>10000</v>
      </c>
      <c r="E977">
        <v>100000</v>
      </c>
      <c r="F977">
        <v>0.01</v>
      </c>
      <c r="G977" s="129" t="s">
        <v>46</v>
      </c>
      <c r="H977" s="129" t="s">
        <v>45</v>
      </c>
      <c r="I977">
        <v>0</v>
      </c>
      <c r="J977">
        <v>0</v>
      </c>
      <c r="K977" s="129" t="s">
        <v>1962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s="129" t="s">
        <v>2712</v>
      </c>
      <c r="B978" s="129" t="s">
        <v>52</v>
      </c>
      <c r="C978" s="129" t="s">
        <v>7</v>
      </c>
      <c r="D978">
        <v>0</v>
      </c>
      <c r="E978">
        <v>10</v>
      </c>
      <c r="F978">
        <v>0.1</v>
      </c>
      <c r="G978" s="129" t="s">
        <v>46</v>
      </c>
      <c r="H978" s="129" t="s">
        <v>68</v>
      </c>
      <c r="I978">
        <v>0</v>
      </c>
      <c r="J978">
        <v>0</v>
      </c>
      <c r="K978" s="129" t="s">
        <v>1962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s="129" t="s">
        <v>2713</v>
      </c>
      <c r="B979" s="129" t="s">
        <v>52</v>
      </c>
      <c r="C979" s="129" t="s">
        <v>7</v>
      </c>
      <c r="D979">
        <v>10</v>
      </c>
      <c r="E979">
        <v>100</v>
      </c>
      <c r="F979">
        <v>0.1</v>
      </c>
      <c r="G979" s="129" t="s">
        <v>46</v>
      </c>
      <c r="H979" s="129" t="s">
        <v>68</v>
      </c>
      <c r="I979">
        <v>0</v>
      </c>
      <c r="J979">
        <v>0</v>
      </c>
      <c r="K979" s="129" t="s">
        <v>1962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s="129" t="s">
        <v>2714</v>
      </c>
      <c r="B980" s="129" t="s">
        <v>52</v>
      </c>
      <c r="C980" s="129" t="s">
        <v>7</v>
      </c>
      <c r="D980">
        <v>100</v>
      </c>
      <c r="E980">
        <v>1000</v>
      </c>
      <c r="F980">
        <v>0.1</v>
      </c>
      <c r="G980" s="129" t="s">
        <v>46</v>
      </c>
      <c r="H980" s="129" t="s">
        <v>68</v>
      </c>
      <c r="I980">
        <v>0</v>
      </c>
      <c r="J980">
        <v>0</v>
      </c>
      <c r="K980" s="129" t="s">
        <v>1962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s="129" t="s">
        <v>2715</v>
      </c>
      <c r="B981" s="129" t="s">
        <v>52</v>
      </c>
      <c r="C981" s="129" t="s">
        <v>7</v>
      </c>
      <c r="D981">
        <v>1000</v>
      </c>
      <c r="E981">
        <v>10000</v>
      </c>
      <c r="F981">
        <v>0.1</v>
      </c>
      <c r="G981" s="129" t="s">
        <v>46</v>
      </c>
      <c r="H981" s="129" t="s">
        <v>45</v>
      </c>
      <c r="I981">
        <v>0</v>
      </c>
      <c r="J981">
        <v>0</v>
      </c>
      <c r="K981" s="129" t="s">
        <v>1962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s="129" t="s">
        <v>2716</v>
      </c>
      <c r="B982" s="129" t="s">
        <v>52</v>
      </c>
      <c r="C982" s="129" t="s">
        <v>7</v>
      </c>
      <c r="D982">
        <v>10000</v>
      </c>
      <c r="E982">
        <v>100000</v>
      </c>
      <c r="F982">
        <v>0.1</v>
      </c>
      <c r="G982" s="129" t="s">
        <v>46</v>
      </c>
      <c r="H982" s="129" t="s">
        <v>45</v>
      </c>
      <c r="I982">
        <v>0</v>
      </c>
      <c r="J982">
        <v>0</v>
      </c>
      <c r="K982" s="129" t="s">
        <v>1962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s="129" t="s">
        <v>2717</v>
      </c>
      <c r="B983" s="129" t="s">
        <v>52</v>
      </c>
      <c r="C983" s="129" t="s">
        <v>7</v>
      </c>
      <c r="D983">
        <v>100000</v>
      </c>
      <c r="E983">
        <v>1000000</v>
      </c>
      <c r="F983">
        <v>0.1</v>
      </c>
      <c r="G983" s="129" t="s">
        <v>46</v>
      </c>
      <c r="H983" s="129" t="s">
        <v>46</v>
      </c>
      <c r="I983">
        <v>0</v>
      </c>
      <c r="J983">
        <v>0</v>
      </c>
      <c r="K983" s="129" t="s">
        <v>1962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s="129" t="s">
        <v>2718</v>
      </c>
      <c r="B984" s="129" t="s">
        <v>52</v>
      </c>
      <c r="C984" s="129" t="s">
        <v>7</v>
      </c>
      <c r="D984">
        <v>0</v>
      </c>
      <c r="E984">
        <v>10</v>
      </c>
      <c r="F984">
        <v>1</v>
      </c>
      <c r="G984" s="129" t="s">
        <v>46</v>
      </c>
      <c r="H984" s="129" t="s">
        <v>68</v>
      </c>
      <c r="I984">
        <v>0</v>
      </c>
      <c r="J984">
        <v>0</v>
      </c>
      <c r="K984" s="129" t="s">
        <v>1962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s="129" t="s">
        <v>2719</v>
      </c>
      <c r="B985" s="129" t="s">
        <v>52</v>
      </c>
      <c r="C985" s="129" t="s">
        <v>7</v>
      </c>
      <c r="D985">
        <v>10</v>
      </c>
      <c r="E985">
        <v>100</v>
      </c>
      <c r="F985">
        <v>1</v>
      </c>
      <c r="G985" s="129" t="s">
        <v>46</v>
      </c>
      <c r="H985" s="129" t="s">
        <v>68</v>
      </c>
      <c r="I985">
        <v>0</v>
      </c>
      <c r="J985">
        <v>0</v>
      </c>
      <c r="K985" s="129" t="s">
        <v>1962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s="129" t="s">
        <v>2720</v>
      </c>
      <c r="B986" s="129" t="s">
        <v>52</v>
      </c>
      <c r="C986" s="129" t="s">
        <v>7</v>
      </c>
      <c r="D986">
        <v>100</v>
      </c>
      <c r="E986">
        <v>1000</v>
      </c>
      <c r="F986">
        <v>1</v>
      </c>
      <c r="G986" s="129" t="s">
        <v>46</v>
      </c>
      <c r="H986" s="129" t="s">
        <v>68</v>
      </c>
      <c r="I986">
        <v>0</v>
      </c>
      <c r="J986">
        <v>0</v>
      </c>
      <c r="K986" s="129" t="s">
        <v>1962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s="129" t="s">
        <v>2721</v>
      </c>
      <c r="B987" s="129" t="s">
        <v>52</v>
      </c>
      <c r="C987" s="129" t="s">
        <v>7</v>
      </c>
      <c r="D987">
        <v>1000</v>
      </c>
      <c r="E987">
        <v>10000</v>
      </c>
      <c r="F987">
        <v>1</v>
      </c>
      <c r="G987" s="129" t="s">
        <v>46</v>
      </c>
      <c r="H987" s="129" t="s">
        <v>45</v>
      </c>
      <c r="I987">
        <v>0</v>
      </c>
      <c r="J987">
        <v>0</v>
      </c>
      <c r="K987" s="129" t="s">
        <v>1962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s="129" t="s">
        <v>2722</v>
      </c>
      <c r="B988" s="129" t="s">
        <v>52</v>
      </c>
      <c r="C988" s="129" t="s">
        <v>7</v>
      </c>
      <c r="D988">
        <v>10000</v>
      </c>
      <c r="E988">
        <v>100000</v>
      </c>
      <c r="F988">
        <v>1</v>
      </c>
      <c r="G988" s="129" t="s">
        <v>46</v>
      </c>
      <c r="H988" s="129" t="s">
        <v>45</v>
      </c>
      <c r="I988">
        <v>0</v>
      </c>
      <c r="J988">
        <v>0</v>
      </c>
      <c r="K988" s="129" t="s">
        <v>1962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s="129" t="s">
        <v>2723</v>
      </c>
      <c r="B989" s="129" t="s">
        <v>52</v>
      </c>
      <c r="C989" s="129" t="s">
        <v>7</v>
      </c>
      <c r="D989">
        <v>100000</v>
      </c>
      <c r="E989">
        <v>1000000</v>
      </c>
      <c r="F989">
        <v>1</v>
      </c>
      <c r="G989" s="129" t="s">
        <v>46</v>
      </c>
      <c r="H989" s="129" t="s">
        <v>46</v>
      </c>
      <c r="I989">
        <v>0</v>
      </c>
      <c r="J989">
        <v>0</v>
      </c>
      <c r="K989" s="129" t="s">
        <v>1962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s="129" t="s">
        <v>2724</v>
      </c>
      <c r="B990" s="129" t="s">
        <v>52</v>
      </c>
      <c r="C990" s="129" t="s">
        <v>7</v>
      </c>
      <c r="D990">
        <v>1000000</v>
      </c>
      <c r="E990">
        <v>10000000</v>
      </c>
      <c r="F990">
        <v>1</v>
      </c>
      <c r="G990" s="129" t="s">
        <v>46</v>
      </c>
      <c r="H990" s="129" t="s">
        <v>46</v>
      </c>
      <c r="I990">
        <v>0</v>
      </c>
      <c r="J990">
        <v>0</v>
      </c>
      <c r="K990" s="129" t="s">
        <v>1962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s="129" t="s">
        <v>2725</v>
      </c>
      <c r="B991" s="129" t="s">
        <v>52</v>
      </c>
      <c r="C991" s="129" t="s">
        <v>7</v>
      </c>
      <c r="D991">
        <v>0</v>
      </c>
      <c r="E991">
        <v>10</v>
      </c>
      <c r="F991">
        <v>10</v>
      </c>
      <c r="G991" s="129" t="s">
        <v>46</v>
      </c>
      <c r="H991" s="129" t="s">
        <v>68</v>
      </c>
      <c r="I991">
        <v>0</v>
      </c>
      <c r="J991">
        <v>0</v>
      </c>
      <c r="K991" s="129" t="s">
        <v>1962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s="129" t="s">
        <v>2726</v>
      </c>
      <c r="B992" s="129" t="s">
        <v>52</v>
      </c>
      <c r="C992" s="129" t="s">
        <v>7</v>
      </c>
      <c r="D992">
        <v>100</v>
      </c>
      <c r="E992">
        <v>1000</v>
      </c>
      <c r="F992">
        <v>10</v>
      </c>
      <c r="G992" s="129" t="s">
        <v>46</v>
      </c>
      <c r="H992" s="129" t="s">
        <v>68</v>
      </c>
      <c r="I992">
        <v>0</v>
      </c>
      <c r="J992">
        <v>0</v>
      </c>
      <c r="K992" s="129" t="s">
        <v>1962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s="129" t="s">
        <v>2727</v>
      </c>
      <c r="B993" s="129" t="s">
        <v>52</v>
      </c>
      <c r="C993" s="129" t="s">
        <v>7</v>
      </c>
      <c r="D993">
        <v>1000</v>
      </c>
      <c r="E993">
        <v>10000</v>
      </c>
      <c r="F993">
        <v>10</v>
      </c>
      <c r="G993" s="129" t="s">
        <v>46</v>
      </c>
      <c r="H993" s="129" t="s">
        <v>45</v>
      </c>
      <c r="I993">
        <v>0</v>
      </c>
      <c r="J993">
        <v>0</v>
      </c>
      <c r="K993" s="129" t="s">
        <v>1962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s="129" t="s">
        <v>2728</v>
      </c>
      <c r="B994" s="129" t="s">
        <v>52</v>
      </c>
      <c r="C994" s="129" t="s">
        <v>7</v>
      </c>
      <c r="D994">
        <v>10000</v>
      </c>
      <c r="E994">
        <v>100000</v>
      </c>
      <c r="F994">
        <v>10</v>
      </c>
      <c r="G994" s="129" t="s">
        <v>46</v>
      </c>
      <c r="H994" s="129" t="s">
        <v>45</v>
      </c>
      <c r="I994">
        <v>0</v>
      </c>
      <c r="J994">
        <v>0</v>
      </c>
      <c r="K994" s="129" t="s">
        <v>1962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s="129" t="s">
        <v>2729</v>
      </c>
      <c r="B995" s="129" t="s">
        <v>52</v>
      </c>
      <c r="C995" s="129" t="s">
        <v>7</v>
      </c>
      <c r="D995">
        <v>100000</v>
      </c>
      <c r="E995">
        <v>1000000</v>
      </c>
      <c r="F995">
        <v>10</v>
      </c>
      <c r="G995" s="129" t="s">
        <v>46</v>
      </c>
      <c r="H995" s="129" t="s">
        <v>46</v>
      </c>
      <c r="I995">
        <v>0</v>
      </c>
      <c r="J995">
        <v>0</v>
      </c>
      <c r="K995" s="129" t="s">
        <v>1962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s="129" t="s">
        <v>2730</v>
      </c>
      <c r="B996" s="129" t="s">
        <v>52</v>
      </c>
      <c r="C996" s="129" t="s">
        <v>7</v>
      </c>
      <c r="D996">
        <v>1000000</v>
      </c>
      <c r="E996">
        <v>10000000</v>
      </c>
      <c r="F996">
        <v>10</v>
      </c>
      <c r="G996" s="129" t="s">
        <v>46</v>
      </c>
      <c r="H996" s="129" t="s">
        <v>46</v>
      </c>
      <c r="I996">
        <v>0</v>
      </c>
      <c r="J996">
        <v>0</v>
      </c>
      <c r="K996" s="129" t="s">
        <v>1962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s="129" t="s">
        <v>2731</v>
      </c>
      <c r="B997" s="129" t="s">
        <v>52</v>
      </c>
      <c r="C997" s="129" t="s">
        <v>7</v>
      </c>
      <c r="D997">
        <v>10000000</v>
      </c>
      <c r="E997">
        <v>100000000</v>
      </c>
      <c r="F997">
        <v>10</v>
      </c>
      <c r="G997" s="129" t="s">
        <v>46</v>
      </c>
      <c r="H997" s="129" t="s">
        <v>47</v>
      </c>
      <c r="I997">
        <v>0</v>
      </c>
      <c r="J997">
        <v>0</v>
      </c>
      <c r="K997" s="129" t="s">
        <v>1962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s="129" t="s">
        <v>2732</v>
      </c>
      <c r="B998" s="129" t="s">
        <v>52</v>
      </c>
      <c r="C998" s="129" t="s">
        <v>7</v>
      </c>
      <c r="D998">
        <v>0</v>
      </c>
      <c r="E998">
        <v>10</v>
      </c>
      <c r="F998">
        <v>100</v>
      </c>
      <c r="G998" s="129" t="s">
        <v>46</v>
      </c>
      <c r="H998" s="129" t="s">
        <v>68</v>
      </c>
      <c r="I998">
        <v>0</v>
      </c>
      <c r="J998">
        <v>0</v>
      </c>
      <c r="K998" s="129" t="s">
        <v>1962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s="129" t="s">
        <v>2733</v>
      </c>
      <c r="B999" s="129" t="s">
        <v>52</v>
      </c>
      <c r="C999" s="129" t="s">
        <v>7</v>
      </c>
      <c r="D999">
        <v>1000</v>
      </c>
      <c r="E999">
        <v>10000</v>
      </c>
      <c r="F999">
        <v>100</v>
      </c>
      <c r="G999" s="129" t="s">
        <v>46</v>
      </c>
      <c r="H999" s="129" t="s">
        <v>45</v>
      </c>
      <c r="I999">
        <v>0</v>
      </c>
      <c r="J999">
        <v>0</v>
      </c>
      <c r="K999" s="129" t="s">
        <v>1962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s="129" t="s">
        <v>2734</v>
      </c>
      <c r="B1000" s="129" t="s">
        <v>52</v>
      </c>
      <c r="C1000" s="129" t="s">
        <v>7</v>
      </c>
      <c r="D1000">
        <v>10000</v>
      </c>
      <c r="E1000">
        <v>100000</v>
      </c>
      <c r="F1000">
        <v>100</v>
      </c>
      <c r="G1000" s="129" t="s">
        <v>46</v>
      </c>
      <c r="H1000" s="129" t="s">
        <v>45</v>
      </c>
      <c r="I1000">
        <v>0</v>
      </c>
      <c r="J1000">
        <v>0</v>
      </c>
      <c r="K1000" s="129" t="s">
        <v>1962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s="129" t="s">
        <v>2735</v>
      </c>
      <c r="B1001" s="129" t="s">
        <v>52</v>
      </c>
      <c r="C1001" s="129" t="s">
        <v>7</v>
      </c>
      <c r="D1001">
        <v>100000</v>
      </c>
      <c r="E1001">
        <v>1000000</v>
      </c>
      <c r="F1001">
        <v>100</v>
      </c>
      <c r="G1001" s="129" t="s">
        <v>46</v>
      </c>
      <c r="H1001" s="129" t="s">
        <v>46</v>
      </c>
      <c r="I1001">
        <v>0</v>
      </c>
      <c r="J1001">
        <v>0</v>
      </c>
      <c r="K1001" s="129" t="s">
        <v>1962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s="129" t="s">
        <v>2736</v>
      </c>
      <c r="B1002" s="129" t="s">
        <v>52</v>
      </c>
      <c r="C1002" s="129" t="s">
        <v>7</v>
      </c>
      <c r="D1002">
        <v>1000000</v>
      </c>
      <c r="E1002">
        <v>10000000</v>
      </c>
      <c r="F1002">
        <v>100</v>
      </c>
      <c r="G1002" s="129" t="s">
        <v>46</v>
      </c>
      <c r="H1002" s="129" t="s">
        <v>46</v>
      </c>
      <c r="I1002">
        <v>0</v>
      </c>
      <c r="J1002">
        <v>0</v>
      </c>
      <c r="K1002" s="129" t="s">
        <v>1962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s="129" t="s">
        <v>2737</v>
      </c>
      <c r="B1003" s="129" t="s">
        <v>52</v>
      </c>
      <c r="C1003" s="129" t="s">
        <v>7</v>
      </c>
      <c r="D1003">
        <v>10000000</v>
      </c>
      <c r="E1003">
        <v>100000000</v>
      </c>
      <c r="F1003">
        <v>100</v>
      </c>
      <c r="G1003" s="129" t="s">
        <v>46</v>
      </c>
      <c r="H1003" s="129" t="s">
        <v>47</v>
      </c>
      <c r="I1003">
        <v>0</v>
      </c>
      <c r="J1003">
        <v>0</v>
      </c>
      <c r="K1003" s="129" t="s">
        <v>1962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s="129" t="s">
        <v>2738</v>
      </c>
      <c r="B1004" s="129" t="s">
        <v>52</v>
      </c>
      <c r="C1004" s="129" t="s">
        <v>7</v>
      </c>
      <c r="D1004">
        <v>100000000</v>
      </c>
      <c r="E1004">
        <v>1000000000</v>
      </c>
      <c r="F1004">
        <v>100</v>
      </c>
      <c r="G1004" s="129" t="s">
        <v>46</v>
      </c>
      <c r="H1004" s="129" t="s">
        <v>47</v>
      </c>
      <c r="I1004">
        <v>0</v>
      </c>
      <c r="J1004">
        <v>0</v>
      </c>
      <c r="K1004" s="129" t="s">
        <v>1962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s="129" t="s">
        <v>2739</v>
      </c>
      <c r="B1005" s="129" t="s">
        <v>52</v>
      </c>
      <c r="C1005" s="129" t="s">
        <v>7</v>
      </c>
      <c r="D1005">
        <v>0</v>
      </c>
      <c r="E1005">
        <v>10</v>
      </c>
      <c r="F1005">
        <v>1000</v>
      </c>
      <c r="G1005" s="129" t="s">
        <v>46</v>
      </c>
      <c r="H1005" s="129" t="s">
        <v>68</v>
      </c>
      <c r="I1005">
        <v>0</v>
      </c>
      <c r="J1005">
        <v>0</v>
      </c>
      <c r="K1005" s="129" t="s">
        <v>1962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s="129" t="s">
        <v>2740</v>
      </c>
      <c r="B1006" s="129" t="s">
        <v>52</v>
      </c>
      <c r="C1006" s="129" t="s">
        <v>7</v>
      </c>
      <c r="D1006">
        <v>10000</v>
      </c>
      <c r="E1006">
        <v>100000</v>
      </c>
      <c r="F1006">
        <v>1000</v>
      </c>
      <c r="G1006" s="129" t="s">
        <v>46</v>
      </c>
      <c r="H1006" s="129" t="s">
        <v>45</v>
      </c>
      <c r="I1006">
        <v>0</v>
      </c>
      <c r="J1006">
        <v>0</v>
      </c>
      <c r="K1006" s="129" t="s">
        <v>1962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s="129" t="s">
        <v>2741</v>
      </c>
      <c r="B1007" s="129" t="s">
        <v>52</v>
      </c>
      <c r="C1007" s="129" t="s">
        <v>7</v>
      </c>
      <c r="D1007">
        <v>100000</v>
      </c>
      <c r="E1007">
        <v>1000000</v>
      </c>
      <c r="F1007">
        <v>1000</v>
      </c>
      <c r="G1007" s="129" t="s">
        <v>46</v>
      </c>
      <c r="H1007" s="129" t="s">
        <v>46</v>
      </c>
      <c r="I1007">
        <v>0</v>
      </c>
      <c r="J1007">
        <v>0</v>
      </c>
      <c r="K1007" s="129" t="s">
        <v>1962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s="129" t="s">
        <v>2742</v>
      </c>
      <c r="B1008" s="129" t="s">
        <v>52</v>
      </c>
      <c r="C1008" s="129" t="s">
        <v>7</v>
      </c>
      <c r="D1008">
        <v>1000000</v>
      </c>
      <c r="E1008">
        <v>10000000</v>
      </c>
      <c r="F1008">
        <v>1000</v>
      </c>
      <c r="G1008" s="129" t="s">
        <v>46</v>
      </c>
      <c r="H1008" s="129" t="s">
        <v>46</v>
      </c>
      <c r="I1008">
        <v>0</v>
      </c>
      <c r="J1008">
        <v>0</v>
      </c>
      <c r="K1008" s="129" t="s">
        <v>1962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s="129" t="s">
        <v>2743</v>
      </c>
      <c r="B1009" s="129" t="s">
        <v>52</v>
      </c>
      <c r="C1009" s="129" t="s">
        <v>7</v>
      </c>
      <c r="D1009">
        <v>10000000</v>
      </c>
      <c r="E1009">
        <v>100000000</v>
      </c>
      <c r="F1009">
        <v>1000</v>
      </c>
      <c r="G1009" s="129" t="s">
        <v>46</v>
      </c>
      <c r="H1009" s="129" t="s">
        <v>47</v>
      </c>
      <c r="I1009">
        <v>0</v>
      </c>
      <c r="J1009">
        <v>0</v>
      </c>
      <c r="K1009" s="129" t="s">
        <v>1962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s="129" t="s">
        <v>2744</v>
      </c>
      <c r="B1010" s="129" t="s">
        <v>52</v>
      </c>
      <c r="C1010" s="129" t="s">
        <v>7</v>
      </c>
      <c r="D1010">
        <v>100000000</v>
      </c>
      <c r="E1010">
        <v>1000000000</v>
      </c>
      <c r="F1010">
        <v>1000</v>
      </c>
      <c r="G1010" s="129" t="s">
        <v>46</v>
      </c>
      <c r="H1010" s="129" t="s">
        <v>47</v>
      </c>
      <c r="I1010">
        <v>0</v>
      </c>
      <c r="J1010">
        <v>0</v>
      </c>
      <c r="K1010" s="129" t="s">
        <v>1962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s="129" t="s">
        <v>2745</v>
      </c>
      <c r="B1011" s="129" t="s">
        <v>52</v>
      </c>
      <c r="C1011" s="129" t="s">
        <v>7</v>
      </c>
      <c r="D1011">
        <v>0</v>
      </c>
      <c r="E1011">
        <v>10</v>
      </c>
      <c r="F1011">
        <v>10000</v>
      </c>
      <c r="G1011" s="129" t="s">
        <v>46</v>
      </c>
      <c r="H1011" s="129" t="s">
        <v>68</v>
      </c>
      <c r="I1011">
        <v>0</v>
      </c>
      <c r="J1011">
        <v>0</v>
      </c>
      <c r="K1011" s="129" t="s">
        <v>1962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s="129" t="s">
        <v>2746</v>
      </c>
      <c r="B1012" s="129" t="s">
        <v>52</v>
      </c>
      <c r="C1012" s="129" t="s">
        <v>7</v>
      </c>
      <c r="D1012">
        <v>100000</v>
      </c>
      <c r="E1012">
        <v>1000000</v>
      </c>
      <c r="F1012">
        <v>10000</v>
      </c>
      <c r="G1012" s="129" t="s">
        <v>46</v>
      </c>
      <c r="H1012" s="129" t="s">
        <v>46</v>
      </c>
      <c r="I1012">
        <v>0</v>
      </c>
      <c r="J1012">
        <v>0</v>
      </c>
      <c r="K1012" s="129" t="s">
        <v>1962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s="129" t="s">
        <v>2747</v>
      </c>
      <c r="B1013" s="129" t="s">
        <v>52</v>
      </c>
      <c r="C1013" s="129" t="s">
        <v>7</v>
      </c>
      <c r="D1013">
        <v>1000000</v>
      </c>
      <c r="E1013">
        <v>10000000</v>
      </c>
      <c r="F1013">
        <v>10000</v>
      </c>
      <c r="G1013" s="129" t="s">
        <v>46</v>
      </c>
      <c r="H1013" s="129" t="s">
        <v>46</v>
      </c>
      <c r="I1013">
        <v>0</v>
      </c>
      <c r="J1013">
        <v>0</v>
      </c>
      <c r="K1013" s="129" t="s">
        <v>1962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s="129" t="s">
        <v>2748</v>
      </c>
      <c r="B1014" s="129" t="s">
        <v>52</v>
      </c>
      <c r="C1014" s="129" t="s">
        <v>7</v>
      </c>
      <c r="D1014">
        <v>10000000</v>
      </c>
      <c r="E1014">
        <v>100000000</v>
      </c>
      <c r="F1014">
        <v>10000</v>
      </c>
      <c r="G1014" s="129" t="s">
        <v>46</v>
      </c>
      <c r="H1014" s="129" t="s">
        <v>47</v>
      </c>
      <c r="I1014">
        <v>0</v>
      </c>
      <c r="J1014">
        <v>0</v>
      </c>
      <c r="K1014" s="129" t="s">
        <v>1962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s="129" t="s">
        <v>2749</v>
      </c>
      <c r="B1015" s="129" t="s">
        <v>52</v>
      </c>
      <c r="C1015" s="129" t="s">
        <v>7</v>
      </c>
      <c r="D1015">
        <v>100000000</v>
      </c>
      <c r="E1015">
        <v>1000000000</v>
      </c>
      <c r="F1015">
        <v>10000</v>
      </c>
      <c r="G1015" s="129" t="s">
        <v>46</v>
      </c>
      <c r="H1015" s="129" t="s">
        <v>47</v>
      </c>
      <c r="I1015">
        <v>0</v>
      </c>
      <c r="J1015">
        <v>0</v>
      </c>
      <c r="K1015" s="129" t="s">
        <v>1962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s="129" t="s">
        <v>2750</v>
      </c>
      <c r="B1016" s="129" t="s">
        <v>52</v>
      </c>
      <c r="C1016" s="129" t="s">
        <v>7</v>
      </c>
      <c r="D1016">
        <v>0</v>
      </c>
      <c r="E1016">
        <v>10</v>
      </c>
      <c r="F1016">
        <v>100000</v>
      </c>
      <c r="G1016" s="129" t="s">
        <v>46</v>
      </c>
      <c r="H1016" s="129" t="s">
        <v>68</v>
      </c>
      <c r="I1016">
        <v>0</v>
      </c>
      <c r="J1016">
        <v>0</v>
      </c>
      <c r="K1016" s="129" t="s">
        <v>1962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s="129" t="s">
        <v>2751</v>
      </c>
      <c r="B1017" s="129" t="s">
        <v>52</v>
      </c>
      <c r="C1017" s="129" t="s">
        <v>7</v>
      </c>
      <c r="D1017">
        <v>1000000</v>
      </c>
      <c r="E1017">
        <v>10000000</v>
      </c>
      <c r="F1017">
        <v>100000</v>
      </c>
      <c r="G1017" s="129" t="s">
        <v>46</v>
      </c>
      <c r="H1017" s="129" t="s">
        <v>46</v>
      </c>
      <c r="I1017">
        <v>0</v>
      </c>
      <c r="J1017">
        <v>0</v>
      </c>
      <c r="K1017" s="129" t="s">
        <v>1962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s="129" t="s">
        <v>2752</v>
      </c>
      <c r="B1018" s="129" t="s">
        <v>52</v>
      </c>
      <c r="C1018" s="129" t="s">
        <v>7</v>
      </c>
      <c r="D1018">
        <v>10000000</v>
      </c>
      <c r="E1018">
        <v>100000000</v>
      </c>
      <c r="F1018">
        <v>100000</v>
      </c>
      <c r="G1018" s="129" t="s">
        <v>46</v>
      </c>
      <c r="H1018" s="129" t="s">
        <v>47</v>
      </c>
      <c r="I1018">
        <v>0</v>
      </c>
      <c r="J1018">
        <v>0</v>
      </c>
      <c r="K1018" s="129" t="s">
        <v>1962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s="129" t="s">
        <v>2753</v>
      </c>
      <c r="B1019" s="129" t="s">
        <v>52</v>
      </c>
      <c r="C1019" s="129" t="s">
        <v>7</v>
      </c>
      <c r="D1019">
        <v>100000000</v>
      </c>
      <c r="E1019">
        <v>1000000000</v>
      </c>
      <c r="F1019">
        <v>100000</v>
      </c>
      <c r="G1019" s="129" t="s">
        <v>46</v>
      </c>
      <c r="H1019" s="129" t="s">
        <v>47</v>
      </c>
      <c r="I1019">
        <v>0</v>
      </c>
      <c r="J1019">
        <v>0</v>
      </c>
      <c r="K1019" s="129" t="s">
        <v>1962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s="129" t="s">
        <v>2754</v>
      </c>
      <c r="B1020" s="129" t="s">
        <v>52</v>
      </c>
      <c r="C1020" s="129" t="s">
        <v>7</v>
      </c>
      <c r="D1020">
        <v>0</v>
      </c>
      <c r="E1020">
        <v>10</v>
      </c>
      <c r="F1020">
        <v>1000000</v>
      </c>
      <c r="G1020" s="129" t="s">
        <v>46</v>
      </c>
      <c r="H1020" s="129" t="s">
        <v>68</v>
      </c>
      <c r="I1020">
        <v>0</v>
      </c>
      <c r="J1020">
        <v>0</v>
      </c>
      <c r="K1020" s="129" t="s">
        <v>1962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s="129" t="s">
        <v>2755</v>
      </c>
      <c r="B1021" s="129" t="s">
        <v>52</v>
      </c>
      <c r="C1021" s="129" t="s">
        <v>7</v>
      </c>
      <c r="D1021">
        <v>10000000</v>
      </c>
      <c r="E1021">
        <v>100000000</v>
      </c>
      <c r="F1021">
        <v>10000000</v>
      </c>
      <c r="G1021" s="129" t="s">
        <v>46</v>
      </c>
      <c r="H1021" s="129" t="s">
        <v>47</v>
      </c>
      <c r="I1021">
        <v>0</v>
      </c>
      <c r="J1021">
        <v>0</v>
      </c>
      <c r="K1021" s="129" t="s">
        <v>1962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s="129" t="s">
        <v>2756</v>
      </c>
      <c r="B1022" s="129" t="s">
        <v>52</v>
      </c>
      <c r="C1022" s="129" t="s">
        <v>7</v>
      </c>
      <c r="D1022">
        <v>100000000</v>
      </c>
      <c r="E1022">
        <v>1000000000</v>
      </c>
      <c r="F1022">
        <v>10000000</v>
      </c>
      <c r="G1022" s="129" t="s">
        <v>46</v>
      </c>
      <c r="H1022" s="129" t="s">
        <v>47</v>
      </c>
      <c r="I1022">
        <v>0</v>
      </c>
      <c r="J1022">
        <v>0</v>
      </c>
      <c r="K1022" s="129" t="s">
        <v>1962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s="129" t="s">
        <v>2757</v>
      </c>
      <c r="B1023" s="129" t="s">
        <v>52</v>
      </c>
      <c r="C1023" s="129" t="s">
        <v>7</v>
      </c>
      <c r="D1023">
        <v>100000000</v>
      </c>
      <c r="E1023">
        <v>1000000000</v>
      </c>
      <c r="F1023">
        <v>100000000</v>
      </c>
      <c r="G1023" s="129" t="s">
        <v>46</v>
      </c>
      <c r="H1023" s="129" t="s">
        <v>47</v>
      </c>
      <c r="I1023">
        <v>0</v>
      </c>
      <c r="J1023">
        <v>0</v>
      </c>
      <c r="K1023" s="129" t="s">
        <v>1962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s="129" t="s">
        <v>1769</v>
      </c>
      <c r="B1024" s="129" t="s">
        <v>51</v>
      </c>
      <c r="C1024" s="129" t="s">
        <v>44</v>
      </c>
      <c r="D1024">
        <v>0</v>
      </c>
      <c r="E1024">
        <v>3.3000999999999999E-4</v>
      </c>
      <c r="F1024">
        <v>1E-8</v>
      </c>
      <c r="G1024" s="129" t="s">
        <v>13</v>
      </c>
      <c r="H1024" s="129" t="s">
        <v>11</v>
      </c>
      <c r="I1024">
        <v>0.01</v>
      </c>
      <c r="J1024">
        <v>2.001E-2</v>
      </c>
      <c r="K1024" s="129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s="129" t="s">
        <v>1766</v>
      </c>
      <c r="B1025" s="129" t="s">
        <v>51</v>
      </c>
      <c r="C1025" s="129" t="s">
        <v>44</v>
      </c>
      <c r="D1025">
        <v>0</v>
      </c>
      <c r="E1025">
        <v>3.3000999999999999E-4</v>
      </c>
      <c r="F1025">
        <v>1E-8</v>
      </c>
      <c r="G1025" s="129" t="s">
        <v>13</v>
      </c>
      <c r="H1025" s="129" t="s">
        <v>11</v>
      </c>
      <c r="I1025">
        <v>0.02</v>
      </c>
      <c r="J1025">
        <v>4.5010000000000001E-2</v>
      </c>
      <c r="K1025" s="129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s="129" t="s">
        <v>2040</v>
      </c>
      <c r="B1026" s="129" t="s">
        <v>51</v>
      </c>
      <c r="C1026" s="129" t="s">
        <v>44</v>
      </c>
      <c r="D1026">
        <v>0</v>
      </c>
      <c r="E1026">
        <v>3.3000999999999999E-4</v>
      </c>
      <c r="F1026">
        <v>1E-8</v>
      </c>
      <c r="G1026" s="129" t="s">
        <v>13</v>
      </c>
      <c r="H1026" s="129" t="s">
        <v>11</v>
      </c>
      <c r="I1026">
        <v>4.4999999999999998E-2</v>
      </c>
      <c r="J1026">
        <v>1.0000100000000001</v>
      </c>
      <c r="K1026" s="129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s="129" t="s">
        <v>1765</v>
      </c>
      <c r="B1027" s="129" t="s">
        <v>51</v>
      </c>
      <c r="C1027" s="129" t="s">
        <v>44</v>
      </c>
      <c r="D1027">
        <v>0</v>
      </c>
      <c r="E1027">
        <v>3.3000999999999999E-4</v>
      </c>
      <c r="F1027">
        <v>1E-8</v>
      </c>
      <c r="G1027" s="129" t="s">
        <v>13</v>
      </c>
      <c r="H1027" s="129" t="s">
        <v>11</v>
      </c>
      <c r="I1027">
        <v>1</v>
      </c>
      <c r="J1027">
        <v>5.01</v>
      </c>
      <c r="K1027" s="129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s="129" t="s">
        <v>1767</v>
      </c>
      <c r="B1028" s="129" t="s">
        <v>51</v>
      </c>
      <c r="C1028" s="129" t="s">
        <v>44</v>
      </c>
      <c r="D1028">
        <v>0</v>
      </c>
      <c r="E1028">
        <v>3.3000999999999999E-4</v>
      </c>
      <c r="F1028">
        <v>1E-8</v>
      </c>
      <c r="G1028" s="129" t="s">
        <v>13</v>
      </c>
      <c r="H1028" s="129" t="s">
        <v>11</v>
      </c>
      <c r="I1028">
        <v>5</v>
      </c>
      <c r="J1028">
        <v>10.01</v>
      </c>
      <c r="K1028" s="129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s="129" t="s">
        <v>2048</v>
      </c>
      <c r="B1029" s="129" t="s">
        <v>51</v>
      </c>
      <c r="C1029" s="129" t="s">
        <v>44</v>
      </c>
      <c r="D1029">
        <v>0</v>
      </c>
      <c r="E1029">
        <v>3.3000999999999999E-4</v>
      </c>
      <c r="F1029">
        <v>1E-8</v>
      </c>
      <c r="G1029" s="129" t="s">
        <v>13</v>
      </c>
      <c r="H1029" s="129" t="s">
        <v>11</v>
      </c>
      <c r="I1029">
        <v>10</v>
      </c>
      <c r="J1029">
        <v>30</v>
      </c>
      <c r="K1029" s="1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s="129" t="s">
        <v>1768</v>
      </c>
      <c r="B1030" s="129" t="s">
        <v>51</v>
      </c>
      <c r="C1030" s="129" t="s">
        <v>44</v>
      </c>
      <c r="D1030">
        <v>0</v>
      </c>
      <c r="E1030">
        <v>3.3000999999999999E-4</v>
      </c>
      <c r="F1030">
        <v>1E-8</v>
      </c>
      <c r="G1030" s="129" t="s">
        <v>13</v>
      </c>
      <c r="H1030" s="129" t="s">
        <v>11</v>
      </c>
      <c r="I1030">
        <v>30</v>
      </c>
      <c r="J1030">
        <v>30.1</v>
      </c>
      <c r="K1030" s="129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s="129" t="s">
        <v>2055</v>
      </c>
      <c r="B1031" s="129" t="s">
        <v>51</v>
      </c>
      <c r="C1031" s="129" t="s">
        <v>44</v>
      </c>
      <c r="D1031">
        <v>3.3E-4</v>
      </c>
      <c r="E1031">
        <v>3.3000999999999998E-3</v>
      </c>
      <c r="F1031">
        <v>1E-8</v>
      </c>
      <c r="G1031" s="129" t="s">
        <v>13</v>
      </c>
      <c r="H1031" s="129" t="s">
        <v>11</v>
      </c>
      <c r="I1031">
        <v>0.01</v>
      </c>
      <c r="J1031">
        <v>2.001E-2</v>
      </c>
      <c r="K1031" s="129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s="129" t="s">
        <v>1818</v>
      </c>
      <c r="B1032" s="129" t="s">
        <v>51</v>
      </c>
      <c r="C1032" s="129" t="s">
        <v>44</v>
      </c>
      <c r="D1032">
        <v>3.3E-4</v>
      </c>
      <c r="E1032">
        <v>3.3000999999999998E-3</v>
      </c>
      <c r="F1032">
        <v>1E-8</v>
      </c>
      <c r="G1032" s="129" t="s">
        <v>13</v>
      </c>
      <c r="H1032" s="129" t="s">
        <v>11</v>
      </c>
      <c r="I1032">
        <v>0.02</v>
      </c>
      <c r="J1032">
        <v>4.5010000000000001E-2</v>
      </c>
      <c r="K1032" s="129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s="129" t="s">
        <v>2057</v>
      </c>
      <c r="B1033" s="129" t="s">
        <v>51</v>
      </c>
      <c r="C1033" s="129" t="s">
        <v>44</v>
      </c>
      <c r="D1033">
        <v>3.3E-4</v>
      </c>
      <c r="E1033">
        <v>3.3000999999999998E-3</v>
      </c>
      <c r="F1033">
        <v>1E-8</v>
      </c>
      <c r="G1033" s="129" t="s">
        <v>13</v>
      </c>
      <c r="H1033" s="129" t="s">
        <v>11</v>
      </c>
      <c r="I1033">
        <v>4.4999999999999998E-2</v>
      </c>
      <c r="J1033">
        <v>1.0000100000000001</v>
      </c>
      <c r="K1033" s="129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s="129" t="s">
        <v>2058</v>
      </c>
      <c r="B1034" s="129" t="s">
        <v>51</v>
      </c>
      <c r="C1034" s="129" t="s">
        <v>44</v>
      </c>
      <c r="D1034">
        <v>3.3E-4</v>
      </c>
      <c r="E1034">
        <v>3.3000999999999998E-3</v>
      </c>
      <c r="F1034">
        <v>1E-8</v>
      </c>
      <c r="G1034" s="129" t="s">
        <v>13</v>
      </c>
      <c r="H1034" s="129" t="s">
        <v>11</v>
      </c>
      <c r="I1034">
        <v>1</v>
      </c>
      <c r="J1034">
        <v>5.01</v>
      </c>
      <c r="K1034" s="129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s="129" t="s">
        <v>1816</v>
      </c>
      <c r="B1035" s="129" t="s">
        <v>51</v>
      </c>
      <c r="C1035" s="129" t="s">
        <v>44</v>
      </c>
      <c r="D1035">
        <v>3.3E-4</v>
      </c>
      <c r="E1035">
        <v>3.3000999999999998E-3</v>
      </c>
      <c r="F1035">
        <v>1E-8</v>
      </c>
      <c r="G1035" s="129" t="s">
        <v>13</v>
      </c>
      <c r="H1035" s="129" t="s">
        <v>11</v>
      </c>
      <c r="I1035">
        <v>5</v>
      </c>
      <c r="J1035">
        <v>10.01</v>
      </c>
      <c r="K1035" s="129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s="129" t="s">
        <v>1819</v>
      </c>
      <c r="B1036" s="129" t="s">
        <v>51</v>
      </c>
      <c r="C1036" s="129" t="s">
        <v>44</v>
      </c>
      <c r="D1036">
        <v>3.3E-4</v>
      </c>
      <c r="E1036">
        <v>3.3000999999999998E-3</v>
      </c>
      <c r="F1036">
        <v>1E-8</v>
      </c>
      <c r="G1036" s="129" t="s">
        <v>13</v>
      </c>
      <c r="H1036" s="129" t="s">
        <v>11</v>
      </c>
      <c r="I1036">
        <v>10</v>
      </c>
      <c r="J1036">
        <v>30</v>
      </c>
      <c r="K1036" s="129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s="129" t="s">
        <v>1817</v>
      </c>
      <c r="B1037" s="129" t="s">
        <v>51</v>
      </c>
      <c r="C1037" s="129" t="s">
        <v>44</v>
      </c>
      <c r="D1037">
        <v>3.3E-4</v>
      </c>
      <c r="E1037">
        <v>3.3000999999999998E-3</v>
      </c>
      <c r="F1037">
        <v>1E-8</v>
      </c>
      <c r="G1037" s="129" t="s">
        <v>13</v>
      </c>
      <c r="H1037" s="129" t="s">
        <v>11</v>
      </c>
      <c r="I1037">
        <v>30</v>
      </c>
      <c r="J1037">
        <v>30.1</v>
      </c>
      <c r="K1037" s="129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s="129" t="s">
        <v>1842</v>
      </c>
      <c r="B1038" s="129" t="s">
        <v>51</v>
      </c>
      <c r="C1038" s="129" t="s">
        <v>44</v>
      </c>
      <c r="D1038">
        <v>3.3E-3</v>
      </c>
      <c r="E1038">
        <v>3.3001000000000003E-2</v>
      </c>
      <c r="F1038">
        <v>1E-8</v>
      </c>
      <c r="G1038" s="129" t="s">
        <v>13</v>
      </c>
      <c r="H1038" s="129" t="s">
        <v>11</v>
      </c>
      <c r="I1038">
        <v>0.01</v>
      </c>
      <c r="J1038">
        <v>2.001E-2</v>
      </c>
      <c r="K1038" s="129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s="129" t="s">
        <v>2066</v>
      </c>
      <c r="B1039" s="129" t="s">
        <v>51</v>
      </c>
      <c r="C1039" s="129" t="s">
        <v>44</v>
      </c>
      <c r="D1039">
        <v>3.3E-3</v>
      </c>
      <c r="E1039">
        <v>3.3001000000000003E-2</v>
      </c>
      <c r="F1039">
        <v>1E-8</v>
      </c>
      <c r="G1039" s="129" t="s">
        <v>13</v>
      </c>
      <c r="H1039" s="129" t="s">
        <v>11</v>
      </c>
      <c r="I1039">
        <v>0.02</v>
      </c>
      <c r="J1039">
        <v>4.5010000000000001E-2</v>
      </c>
      <c r="K1039" s="12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s="129" t="s">
        <v>1843</v>
      </c>
      <c r="B1040" s="129" t="s">
        <v>51</v>
      </c>
      <c r="C1040" s="129" t="s">
        <v>44</v>
      </c>
      <c r="D1040">
        <v>3.3E-3</v>
      </c>
      <c r="E1040">
        <v>3.3001000000000003E-2</v>
      </c>
      <c r="F1040">
        <v>1E-8</v>
      </c>
      <c r="G1040" s="129" t="s">
        <v>13</v>
      </c>
      <c r="H1040" s="129" t="s">
        <v>11</v>
      </c>
      <c r="I1040">
        <v>4.4999999999999998E-2</v>
      </c>
      <c r="J1040">
        <v>1.0000100000000001</v>
      </c>
      <c r="K1040" s="129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s="129" t="s">
        <v>1844</v>
      </c>
      <c r="B1041" s="129" t="s">
        <v>51</v>
      </c>
      <c r="C1041" s="129" t="s">
        <v>44</v>
      </c>
      <c r="D1041">
        <v>3.3E-3</v>
      </c>
      <c r="E1041">
        <v>3.3001000000000003E-2</v>
      </c>
      <c r="F1041">
        <v>1E-8</v>
      </c>
      <c r="G1041" s="129" t="s">
        <v>13</v>
      </c>
      <c r="H1041" s="129" t="s">
        <v>11</v>
      </c>
      <c r="I1041">
        <v>1</v>
      </c>
      <c r="J1041">
        <v>5.01</v>
      </c>
      <c r="K1041" s="129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s="129" t="s">
        <v>1845</v>
      </c>
      <c r="B1042" s="129" t="s">
        <v>51</v>
      </c>
      <c r="C1042" s="129" t="s">
        <v>44</v>
      </c>
      <c r="D1042">
        <v>3.3E-3</v>
      </c>
      <c r="E1042">
        <v>3.3001000000000003E-2</v>
      </c>
      <c r="F1042">
        <v>1E-8</v>
      </c>
      <c r="G1042" s="129" t="s">
        <v>13</v>
      </c>
      <c r="H1042" s="129" t="s">
        <v>11</v>
      </c>
      <c r="I1042">
        <v>5</v>
      </c>
      <c r="J1042">
        <v>10.01</v>
      </c>
      <c r="K1042" s="129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s="129" t="s">
        <v>1841</v>
      </c>
      <c r="B1043" s="129" t="s">
        <v>51</v>
      </c>
      <c r="C1043" s="129" t="s">
        <v>44</v>
      </c>
      <c r="D1043">
        <v>3.3E-3</v>
      </c>
      <c r="E1043">
        <v>3.3001000000000003E-2</v>
      </c>
      <c r="F1043">
        <v>1E-8</v>
      </c>
      <c r="G1043" s="129" t="s">
        <v>13</v>
      </c>
      <c r="H1043" s="129" t="s">
        <v>11</v>
      </c>
      <c r="I1043">
        <v>10</v>
      </c>
      <c r="J1043">
        <v>30</v>
      </c>
      <c r="K1043" s="129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s="129" t="s">
        <v>1772</v>
      </c>
      <c r="B1044" s="129" t="s">
        <v>51</v>
      </c>
      <c r="C1044" s="129" t="s">
        <v>44</v>
      </c>
      <c r="D1044">
        <v>0</v>
      </c>
      <c r="E1044">
        <v>3.3000999999999999E-4</v>
      </c>
      <c r="F1044">
        <v>9.9999999999999995E-8</v>
      </c>
      <c r="G1044" s="129" t="s">
        <v>13</v>
      </c>
      <c r="H1044" s="129" t="s">
        <v>11</v>
      </c>
      <c r="I1044">
        <v>0.01</v>
      </c>
      <c r="J1044">
        <v>2.001E-2</v>
      </c>
      <c r="K1044" s="129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s="129" t="s">
        <v>1770</v>
      </c>
      <c r="B1045" s="129" t="s">
        <v>51</v>
      </c>
      <c r="C1045" s="129" t="s">
        <v>44</v>
      </c>
      <c r="D1045">
        <v>0</v>
      </c>
      <c r="E1045">
        <v>3.3000999999999999E-4</v>
      </c>
      <c r="F1045">
        <v>9.9999999999999995E-8</v>
      </c>
      <c r="G1045" s="129" t="s">
        <v>13</v>
      </c>
      <c r="H1045" s="129" t="s">
        <v>11</v>
      </c>
      <c r="I1045">
        <v>0.02</v>
      </c>
      <c r="J1045">
        <v>4.5010000000000001E-2</v>
      </c>
      <c r="K1045" s="129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s="129" t="s">
        <v>1775</v>
      </c>
      <c r="B1046" s="129" t="s">
        <v>51</v>
      </c>
      <c r="C1046" s="129" t="s">
        <v>44</v>
      </c>
      <c r="D1046">
        <v>0</v>
      </c>
      <c r="E1046">
        <v>3.3000999999999999E-4</v>
      </c>
      <c r="F1046">
        <v>9.9999999999999995E-8</v>
      </c>
      <c r="G1046" s="129" t="s">
        <v>13</v>
      </c>
      <c r="H1046" s="129" t="s">
        <v>11</v>
      </c>
      <c r="I1046">
        <v>4.4999999999999998E-2</v>
      </c>
      <c r="J1046">
        <v>1.0000100000000001</v>
      </c>
      <c r="K1046" s="129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s="129" t="s">
        <v>1771</v>
      </c>
      <c r="B1047" s="129" t="s">
        <v>51</v>
      </c>
      <c r="C1047" s="129" t="s">
        <v>44</v>
      </c>
      <c r="D1047">
        <v>0</v>
      </c>
      <c r="E1047">
        <v>3.3000999999999999E-4</v>
      </c>
      <c r="F1047">
        <v>9.9999999999999995E-8</v>
      </c>
      <c r="G1047" s="129" t="s">
        <v>13</v>
      </c>
      <c r="H1047" s="129" t="s">
        <v>11</v>
      </c>
      <c r="I1047">
        <v>1</v>
      </c>
      <c r="J1047">
        <v>5.01</v>
      </c>
      <c r="K1047" s="129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s="129" t="s">
        <v>1774</v>
      </c>
      <c r="B1048" s="129" t="s">
        <v>51</v>
      </c>
      <c r="C1048" s="129" t="s">
        <v>44</v>
      </c>
      <c r="D1048">
        <v>0</v>
      </c>
      <c r="E1048">
        <v>3.3000999999999999E-4</v>
      </c>
      <c r="F1048">
        <v>9.9999999999999995E-8</v>
      </c>
      <c r="G1048" s="129" t="s">
        <v>13</v>
      </c>
      <c r="H1048" s="129" t="s">
        <v>11</v>
      </c>
      <c r="I1048">
        <v>5</v>
      </c>
      <c r="J1048">
        <v>10.01</v>
      </c>
      <c r="K1048" s="129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s="129" t="s">
        <v>1773</v>
      </c>
      <c r="B1049" s="129" t="s">
        <v>51</v>
      </c>
      <c r="C1049" s="129" t="s">
        <v>44</v>
      </c>
      <c r="D1049">
        <v>0</v>
      </c>
      <c r="E1049">
        <v>3.3000999999999999E-4</v>
      </c>
      <c r="F1049">
        <v>9.9999999999999995E-8</v>
      </c>
      <c r="G1049" s="129" t="s">
        <v>13</v>
      </c>
      <c r="H1049" s="129" t="s">
        <v>11</v>
      </c>
      <c r="I1049">
        <v>10</v>
      </c>
      <c r="J1049">
        <v>30</v>
      </c>
      <c r="K1049" s="12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s="129" t="s">
        <v>2051</v>
      </c>
      <c r="B1050" s="129" t="s">
        <v>51</v>
      </c>
      <c r="C1050" s="129" t="s">
        <v>44</v>
      </c>
      <c r="D1050">
        <v>0</v>
      </c>
      <c r="E1050">
        <v>3.3000999999999999E-4</v>
      </c>
      <c r="F1050">
        <v>9.9999999999999995E-8</v>
      </c>
      <c r="G1050" s="129" t="s">
        <v>13</v>
      </c>
      <c r="H1050" s="129" t="s">
        <v>11</v>
      </c>
      <c r="I1050">
        <v>30</v>
      </c>
      <c r="J1050">
        <v>30.1</v>
      </c>
      <c r="K1050" s="129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s="129" t="s">
        <v>1823</v>
      </c>
      <c r="B1051" s="129" t="s">
        <v>51</v>
      </c>
      <c r="C1051" s="129" t="s">
        <v>44</v>
      </c>
      <c r="D1051">
        <v>3.3E-4</v>
      </c>
      <c r="E1051">
        <v>3.3000999999999998E-3</v>
      </c>
      <c r="F1051">
        <v>9.9999999999999995E-8</v>
      </c>
      <c r="G1051" s="129" t="s">
        <v>13</v>
      </c>
      <c r="H1051" s="129" t="s">
        <v>11</v>
      </c>
      <c r="I1051">
        <v>0.01</v>
      </c>
      <c r="J1051">
        <v>2.001E-2</v>
      </c>
      <c r="K1051" s="129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s="129" t="s">
        <v>1825</v>
      </c>
      <c r="B1052" s="129" t="s">
        <v>51</v>
      </c>
      <c r="C1052" s="129" t="s">
        <v>44</v>
      </c>
      <c r="D1052">
        <v>3.3E-4</v>
      </c>
      <c r="E1052">
        <v>3.3000999999999998E-3</v>
      </c>
      <c r="F1052">
        <v>9.9999999999999995E-8</v>
      </c>
      <c r="G1052" s="129" t="s">
        <v>13</v>
      </c>
      <c r="H1052" s="129" t="s">
        <v>11</v>
      </c>
      <c r="I1052">
        <v>0.02</v>
      </c>
      <c r="J1052">
        <v>4.5010000000000001E-2</v>
      </c>
      <c r="K1052" s="129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s="129" t="s">
        <v>1822</v>
      </c>
      <c r="B1053" s="129" t="s">
        <v>51</v>
      </c>
      <c r="C1053" s="129" t="s">
        <v>44</v>
      </c>
      <c r="D1053">
        <v>3.3E-4</v>
      </c>
      <c r="E1053">
        <v>3.3000999999999998E-3</v>
      </c>
      <c r="F1053">
        <v>9.9999999999999995E-8</v>
      </c>
      <c r="G1053" s="129" t="s">
        <v>13</v>
      </c>
      <c r="H1053" s="129" t="s">
        <v>11</v>
      </c>
      <c r="I1053">
        <v>4.4999999999999998E-2</v>
      </c>
      <c r="J1053">
        <v>1.0000100000000001</v>
      </c>
      <c r="K1053" s="129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s="129" t="s">
        <v>1824</v>
      </c>
      <c r="B1054" s="129" t="s">
        <v>51</v>
      </c>
      <c r="C1054" s="129" t="s">
        <v>44</v>
      </c>
      <c r="D1054">
        <v>3.3E-4</v>
      </c>
      <c r="E1054">
        <v>3.3000999999999998E-3</v>
      </c>
      <c r="F1054">
        <v>9.9999999999999995E-8</v>
      </c>
      <c r="G1054" s="129" t="s">
        <v>13</v>
      </c>
      <c r="H1054" s="129" t="s">
        <v>11</v>
      </c>
      <c r="I1054">
        <v>1</v>
      </c>
      <c r="J1054">
        <v>5.01</v>
      </c>
      <c r="K1054" s="129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s="129" t="s">
        <v>1821</v>
      </c>
      <c r="B1055" s="129" t="s">
        <v>51</v>
      </c>
      <c r="C1055" s="129" t="s">
        <v>44</v>
      </c>
      <c r="D1055">
        <v>3.3E-4</v>
      </c>
      <c r="E1055">
        <v>3.3000999999999998E-3</v>
      </c>
      <c r="F1055">
        <v>9.9999999999999995E-8</v>
      </c>
      <c r="G1055" s="129" t="s">
        <v>13</v>
      </c>
      <c r="H1055" s="129" t="s">
        <v>11</v>
      </c>
      <c r="I1055">
        <v>5</v>
      </c>
      <c r="J1055">
        <v>10.01</v>
      </c>
      <c r="K1055" s="129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s="129" t="s">
        <v>1820</v>
      </c>
      <c r="B1056" s="129" t="s">
        <v>51</v>
      </c>
      <c r="C1056" s="129" t="s">
        <v>44</v>
      </c>
      <c r="D1056">
        <v>3.3E-4</v>
      </c>
      <c r="E1056">
        <v>3.3000999999999998E-3</v>
      </c>
      <c r="F1056">
        <v>9.9999999999999995E-8</v>
      </c>
      <c r="G1056" s="129" t="s">
        <v>13</v>
      </c>
      <c r="H1056" s="129" t="s">
        <v>11</v>
      </c>
      <c r="I1056">
        <v>10</v>
      </c>
      <c r="J1056">
        <v>30</v>
      </c>
      <c r="K1056" s="129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s="129" t="s">
        <v>2062</v>
      </c>
      <c r="B1057" s="129" t="s">
        <v>51</v>
      </c>
      <c r="C1057" s="129" t="s">
        <v>44</v>
      </c>
      <c r="D1057">
        <v>3.3E-4</v>
      </c>
      <c r="E1057">
        <v>3.3000999999999998E-3</v>
      </c>
      <c r="F1057">
        <v>9.9999999999999995E-8</v>
      </c>
      <c r="G1057" s="129" t="s">
        <v>13</v>
      </c>
      <c r="H1057" s="129" t="s">
        <v>11</v>
      </c>
      <c r="I1057">
        <v>30</v>
      </c>
      <c r="J1057">
        <v>30.1</v>
      </c>
      <c r="K1057" s="129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s="129" t="s">
        <v>1847</v>
      </c>
      <c r="B1058" s="129" t="s">
        <v>51</v>
      </c>
      <c r="C1058" s="129" t="s">
        <v>44</v>
      </c>
      <c r="D1058">
        <v>3.3E-3</v>
      </c>
      <c r="E1058">
        <v>3.3001000000000003E-2</v>
      </c>
      <c r="F1058">
        <v>9.9999999999999995E-8</v>
      </c>
      <c r="G1058" s="129" t="s">
        <v>13</v>
      </c>
      <c r="H1058" s="129" t="s">
        <v>11</v>
      </c>
      <c r="I1058">
        <v>0.01</v>
      </c>
      <c r="J1058">
        <v>2.001E-2</v>
      </c>
      <c r="K1058" s="129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s="129" t="s">
        <v>1848</v>
      </c>
      <c r="B1059" s="129" t="s">
        <v>51</v>
      </c>
      <c r="C1059" s="129" t="s">
        <v>44</v>
      </c>
      <c r="D1059">
        <v>3.3E-3</v>
      </c>
      <c r="E1059">
        <v>3.3001000000000003E-2</v>
      </c>
      <c r="F1059">
        <v>9.9999999999999995E-8</v>
      </c>
      <c r="G1059" s="129" t="s">
        <v>13</v>
      </c>
      <c r="H1059" s="129" t="s">
        <v>11</v>
      </c>
      <c r="I1059">
        <v>0.02</v>
      </c>
      <c r="J1059">
        <v>4.5010000000000001E-2</v>
      </c>
      <c r="K1059" s="12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s="129" t="s">
        <v>1846</v>
      </c>
      <c r="B1060" s="129" t="s">
        <v>51</v>
      </c>
      <c r="C1060" s="129" t="s">
        <v>44</v>
      </c>
      <c r="D1060">
        <v>3.3E-3</v>
      </c>
      <c r="E1060">
        <v>3.3001000000000003E-2</v>
      </c>
      <c r="F1060">
        <v>9.9999999999999995E-8</v>
      </c>
      <c r="G1060" s="129" t="s">
        <v>13</v>
      </c>
      <c r="H1060" s="129" t="s">
        <v>11</v>
      </c>
      <c r="I1060">
        <v>4.4999999999999998E-2</v>
      </c>
      <c r="J1060">
        <v>1.0000100000000001</v>
      </c>
      <c r="K1060" s="129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s="129" t="s">
        <v>2070</v>
      </c>
      <c r="B1061" s="129" t="s">
        <v>51</v>
      </c>
      <c r="C1061" s="129" t="s">
        <v>44</v>
      </c>
      <c r="D1061">
        <v>3.3E-3</v>
      </c>
      <c r="E1061">
        <v>3.3001000000000003E-2</v>
      </c>
      <c r="F1061">
        <v>9.9999999999999995E-8</v>
      </c>
      <c r="G1061" s="129" t="s">
        <v>13</v>
      </c>
      <c r="H1061" s="129" t="s">
        <v>11</v>
      </c>
      <c r="I1061">
        <v>1</v>
      </c>
      <c r="J1061">
        <v>5.01</v>
      </c>
      <c r="K1061" s="129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s="129" t="s">
        <v>2072</v>
      </c>
      <c r="B1062" s="129" t="s">
        <v>51</v>
      </c>
      <c r="C1062" s="129" t="s">
        <v>44</v>
      </c>
      <c r="D1062">
        <v>3.3E-3</v>
      </c>
      <c r="E1062">
        <v>3.3001000000000003E-2</v>
      </c>
      <c r="F1062">
        <v>9.9999999999999995E-8</v>
      </c>
      <c r="G1062" s="129" t="s">
        <v>13</v>
      </c>
      <c r="H1062" s="129" t="s">
        <v>11</v>
      </c>
      <c r="I1062">
        <v>5</v>
      </c>
      <c r="J1062">
        <v>10.01</v>
      </c>
      <c r="K1062" s="129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s="129" t="s">
        <v>1849</v>
      </c>
      <c r="B1063" s="129" t="s">
        <v>51</v>
      </c>
      <c r="C1063" s="129" t="s">
        <v>44</v>
      </c>
      <c r="D1063">
        <v>3.3E-3</v>
      </c>
      <c r="E1063">
        <v>3.3001000000000003E-2</v>
      </c>
      <c r="F1063">
        <v>9.9999999999999995E-8</v>
      </c>
      <c r="G1063" s="129" t="s">
        <v>13</v>
      </c>
      <c r="H1063" s="129" t="s">
        <v>11</v>
      </c>
      <c r="I1063">
        <v>10</v>
      </c>
      <c r="J1063">
        <v>30</v>
      </c>
      <c r="K1063" s="129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s="129" t="s">
        <v>1776</v>
      </c>
      <c r="B1064" s="129" t="s">
        <v>51</v>
      </c>
      <c r="C1064" s="129" t="s">
        <v>44</v>
      </c>
      <c r="D1064">
        <v>0</v>
      </c>
      <c r="E1064">
        <v>3.3000999999999999E-4</v>
      </c>
      <c r="F1064">
        <v>9.9999999999999995E-7</v>
      </c>
      <c r="G1064" s="129" t="s">
        <v>13</v>
      </c>
      <c r="H1064" s="129" t="s">
        <v>11</v>
      </c>
      <c r="I1064">
        <v>0.01</v>
      </c>
      <c r="J1064">
        <v>2.001E-2</v>
      </c>
      <c r="K1064" s="129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s="129" t="s">
        <v>2037</v>
      </c>
      <c r="B1065" s="129" t="s">
        <v>51</v>
      </c>
      <c r="C1065" s="129" t="s">
        <v>44</v>
      </c>
      <c r="D1065">
        <v>0</v>
      </c>
      <c r="E1065">
        <v>3.3000999999999999E-4</v>
      </c>
      <c r="F1065">
        <v>9.9999999999999995E-7</v>
      </c>
      <c r="G1065" s="129" t="s">
        <v>13</v>
      </c>
      <c r="H1065" s="129" t="s">
        <v>11</v>
      </c>
      <c r="I1065">
        <v>0.02</v>
      </c>
      <c r="J1065">
        <v>4.5010000000000001E-2</v>
      </c>
      <c r="K1065" s="129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s="129" t="s">
        <v>1778</v>
      </c>
      <c r="B1066" s="129" t="s">
        <v>51</v>
      </c>
      <c r="C1066" s="129" t="s">
        <v>44</v>
      </c>
      <c r="D1066">
        <v>0</v>
      </c>
      <c r="E1066">
        <v>3.3000999999999999E-4</v>
      </c>
      <c r="F1066">
        <v>9.9999999999999995E-7</v>
      </c>
      <c r="G1066" s="129" t="s">
        <v>13</v>
      </c>
      <c r="H1066" s="129" t="s">
        <v>11</v>
      </c>
      <c r="I1066">
        <v>4.4999999999999998E-2</v>
      </c>
      <c r="J1066">
        <v>1.0000100000000001</v>
      </c>
      <c r="K1066" s="129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s="129" t="s">
        <v>2043</v>
      </c>
      <c r="B1067" s="129" t="s">
        <v>51</v>
      </c>
      <c r="C1067" s="129" t="s">
        <v>44</v>
      </c>
      <c r="D1067">
        <v>0</v>
      </c>
      <c r="E1067">
        <v>3.3000999999999999E-4</v>
      </c>
      <c r="F1067">
        <v>9.9999999999999995E-7</v>
      </c>
      <c r="G1067" s="129" t="s">
        <v>13</v>
      </c>
      <c r="H1067" s="129" t="s">
        <v>11</v>
      </c>
      <c r="I1067">
        <v>1</v>
      </c>
      <c r="J1067">
        <v>5.01</v>
      </c>
      <c r="K1067" s="129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s="129" t="s">
        <v>1777</v>
      </c>
      <c r="B1068" s="129" t="s">
        <v>51</v>
      </c>
      <c r="C1068" s="129" t="s">
        <v>44</v>
      </c>
      <c r="D1068">
        <v>0</v>
      </c>
      <c r="E1068">
        <v>3.3000999999999999E-4</v>
      </c>
      <c r="F1068">
        <v>9.9999999999999995E-7</v>
      </c>
      <c r="G1068" s="129" t="s">
        <v>13</v>
      </c>
      <c r="H1068" s="129" t="s">
        <v>11</v>
      </c>
      <c r="I1068">
        <v>5</v>
      </c>
      <c r="J1068">
        <v>10.01</v>
      </c>
      <c r="K1068" s="129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s="129" t="s">
        <v>2049</v>
      </c>
      <c r="B1069" s="129" t="s">
        <v>51</v>
      </c>
      <c r="C1069" s="129" t="s">
        <v>44</v>
      </c>
      <c r="D1069">
        <v>0</v>
      </c>
      <c r="E1069">
        <v>3.3000999999999999E-4</v>
      </c>
      <c r="F1069">
        <v>9.9999999999999995E-7</v>
      </c>
      <c r="G1069" s="129" t="s">
        <v>13</v>
      </c>
      <c r="H1069" s="129" t="s">
        <v>11</v>
      </c>
      <c r="I1069">
        <v>10</v>
      </c>
      <c r="J1069">
        <v>30</v>
      </c>
      <c r="K1069" s="12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s="129" t="s">
        <v>1779</v>
      </c>
      <c r="B1070" s="129" t="s">
        <v>51</v>
      </c>
      <c r="C1070" s="129" t="s">
        <v>44</v>
      </c>
      <c r="D1070">
        <v>0</v>
      </c>
      <c r="E1070">
        <v>3.3000999999999999E-4</v>
      </c>
      <c r="F1070">
        <v>9.9999999999999995E-7</v>
      </c>
      <c r="G1070" s="129" t="s">
        <v>13</v>
      </c>
      <c r="H1070" s="129" t="s">
        <v>11</v>
      </c>
      <c r="I1070">
        <v>30</v>
      </c>
      <c r="J1070">
        <v>30.1</v>
      </c>
      <c r="K1070" s="129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s="129" t="s">
        <v>2056</v>
      </c>
      <c r="B1071" s="129" t="s">
        <v>51</v>
      </c>
      <c r="C1071" s="129" t="s">
        <v>44</v>
      </c>
      <c r="D1071">
        <v>3.3E-4</v>
      </c>
      <c r="E1071">
        <v>3.3000999999999998E-3</v>
      </c>
      <c r="F1071">
        <v>9.9999999999999995E-7</v>
      </c>
      <c r="G1071" s="129" t="s">
        <v>13</v>
      </c>
      <c r="H1071" s="129" t="s">
        <v>11</v>
      </c>
      <c r="I1071">
        <v>0.01</v>
      </c>
      <c r="J1071">
        <v>2.001E-2</v>
      </c>
      <c r="K1071" s="129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s="129" t="s">
        <v>1828</v>
      </c>
      <c r="B1072" s="129" t="s">
        <v>51</v>
      </c>
      <c r="C1072" s="129" t="s">
        <v>44</v>
      </c>
      <c r="D1072">
        <v>3.3E-4</v>
      </c>
      <c r="E1072">
        <v>3.3000999999999998E-3</v>
      </c>
      <c r="F1072">
        <v>9.9999999999999995E-7</v>
      </c>
      <c r="G1072" s="129" t="s">
        <v>13</v>
      </c>
      <c r="H1072" s="129" t="s">
        <v>11</v>
      </c>
      <c r="I1072">
        <v>0.02</v>
      </c>
      <c r="J1072">
        <v>4.5010000000000001E-2</v>
      </c>
      <c r="K1072" s="129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s="129" t="s">
        <v>1826</v>
      </c>
      <c r="B1073" s="129" t="s">
        <v>51</v>
      </c>
      <c r="C1073" s="129" t="s">
        <v>44</v>
      </c>
      <c r="D1073">
        <v>3.3E-4</v>
      </c>
      <c r="E1073">
        <v>3.3000999999999998E-3</v>
      </c>
      <c r="F1073">
        <v>9.9999999999999995E-7</v>
      </c>
      <c r="G1073" s="129" t="s">
        <v>13</v>
      </c>
      <c r="H1073" s="129" t="s">
        <v>11</v>
      </c>
      <c r="I1073">
        <v>4.4999999999999998E-2</v>
      </c>
      <c r="J1073">
        <v>1.0000100000000001</v>
      </c>
      <c r="K1073" s="129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s="129" t="s">
        <v>1831</v>
      </c>
      <c r="B1074" s="129" t="s">
        <v>51</v>
      </c>
      <c r="C1074" s="129" t="s">
        <v>44</v>
      </c>
      <c r="D1074">
        <v>3.3E-4</v>
      </c>
      <c r="E1074">
        <v>3.3000999999999998E-3</v>
      </c>
      <c r="F1074">
        <v>9.9999999999999995E-7</v>
      </c>
      <c r="G1074" s="129" t="s">
        <v>13</v>
      </c>
      <c r="H1074" s="129" t="s">
        <v>11</v>
      </c>
      <c r="I1074">
        <v>1</v>
      </c>
      <c r="J1074">
        <v>5.01</v>
      </c>
      <c r="K1074" s="129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s="129" t="s">
        <v>1830</v>
      </c>
      <c r="B1075" s="129" t="s">
        <v>51</v>
      </c>
      <c r="C1075" s="129" t="s">
        <v>44</v>
      </c>
      <c r="D1075">
        <v>3.3E-4</v>
      </c>
      <c r="E1075">
        <v>3.3000999999999998E-3</v>
      </c>
      <c r="F1075">
        <v>9.9999999999999995E-7</v>
      </c>
      <c r="G1075" s="129" t="s">
        <v>13</v>
      </c>
      <c r="H1075" s="129" t="s">
        <v>11</v>
      </c>
      <c r="I1075">
        <v>5</v>
      </c>
      <c r="J1075">
        <v>10.01</v>
      </c>
      <c r="K1075" s="129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s="129" t="s">
        <v>1827</v>
      </c>
      <c r="B1076" s="129" t="s">
        <v>51</v>
      </c>
      <c r="C1076" s="129" t="s">
        <v>44</v>
      </c>
      <c r="D1076">
        <v>3.3E-4</v>
      </c>
      <c r="E1076">
        <v>3.3000999999999998E-3</v>
      </c>
      <c r="F1076">
        <v>9.9999999999999995E-7</v>
      </c>
      <c r="G1076" s="129" t="s">
        <v>13</v>
      </c>
      <c r="H1076" s="129" t="s">
        <v>11</v>
      </c>
      <c r="I1076">
        <v>10</v>
      </c>
      <c r="J1076">
        <v>30</v>
      </c>
      <c r="K1076" s="129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s="129" t="s">
        <v>1829</v>
      </c>
      <c r="B1077" s="129" t="s">
        <v>51</v>
      </c>
      <c r="C1077" s="129" t="s">
        <v>44</v>
      </c>
      <c r="D1077">
        <v>3.3E-4</v>
      </c>
      <c r="E1077">
        <v>3.3000999999999998E-3</v>
      </c>
      <c r="F1077">
        <v>9.9999999999999995E-7</v>
      </c>
      <c r="G1077" s="129" t="s">
        <v>13</v>
      </c>
      <c r="H1077" s="129" t="s">
        <v>11</v>
      </c>
      <c r="I1077">
        <v>30</v>
      </c>
      <c r="J1077">
        <v>30.1</v>
      </c>
      <c r="K1077" s="129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s="129" t="s">
        <v>1851</v>
      </c>
      <c r="B1078" s="129" t="s">
        <v>51</v>
      </c>
      <c r="C1078" s="129" t="s">
        <v>44</v>
      </c>
      <c r="D1078">
        <v>3.3E-3</v>
      </c>
      <c r="E1078">
        <v>3.3001000000000003E-2</v>
      </c>
      <c r="F1078">
        <v>9.9999999999999995E-7</v>
      </c>
      <c r="G1078" s="129" t="s">
        <v>13</v>
      </c>
      <c r="H1078" s="129" t="s">
        <v>11</v>
      </c>
      <c r="I1078">
        <v>0.01</v>
      </c>
      <c r="J1078">
        <v>2.001E-2</v>
      </c>
      <c r="K1078" s="129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s="129" t="s">
        <v>2067</v>
      </c>
      <c r="B1079" s="129" t="s">
        <v>51</v>
      </c>
      <c r="C1079" s="129" t="s">
        <v>44</v>
      </c>
      <c r="D1079">
        <v>3.3E-3</v>
      </c>
      <c r="E1079">
        <v>3.3001000000000003E-2</v>
      </c>
      <c r="F1079">
        <v>9.9999999999999995E-7</v>
      </c>
      <c r="G1079" s="129" t="s">
        <v>13</v>
      </c>
      <c r="H1079" s="129" t="s">
        <v>11</v>
      </c>
      <c r="I1079">
        <v>0.02</v>
      </c>
      <c r="J1079">
        <v>4.5010000000000001E-2</v>
      </c>
      <c r="K1079" s="12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s="129" t="s">
        <v>2069</v>
      </c>
      <c r="B1080" s="129" t="s">
        <v>51</v>
      </c>
      <c r="C1080" s="129" t="s">
        <v>44</v>
      </c>
      <c r="D1080">
        <v>3.3E-3</v>
      </c>
      <c r="E1080">
        <v>3.3001000000000003E-2</v>
      </c>
      <c r="F1080">
        <v>9.9999999999999995E-7</v>
      </c>
      <c r="G1080" s="129" t="s">
        <v>13</v>
      </c>
      <c r="H1080" s="129" t="s">
        <v>11</v>
      </c>
      <c r="I1080">
        <v>4.4999999999999998E-2</v>
      </c>
      <c r="J1080">
        <v>1.0000100000000001</v>
      </c>
      <c r="K1080" s="129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s="129" t="s">
        <v>1853</v>
      </c>
      <c r="B1081" s="129" t="s">
        <v>51</v>
      </c>
      <c r="C1081" s="129" t="s">
        <v>44</v>
      </c>
      <c r="D1081">
        <v>3.3E-3</v>
      </c>
      <c r="E1081">
        <v>3.3001000000000003E-2</v>
      </c>
      <c r="F1081">
        <v>9.9999999999999995E-7</v>
      </c>
      <c r="G1081" s="129" t="s">
        <v>13</v>
      </c>
      <c r="H1081" s="129" t="s">
        <v>11</v>
      </c>
      <c r="I1081">
        <v>1</v>
      </c>
      <c r="J1081">
        <v>5.01</v>
      </c>
      <c r="K1081" s="129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s="129" t="s">
        <v>1852</v>
      </c>
      <c r="B1082" s="129" t="s">
        <v>51</v>
      </c>
      <c r="C1082" s="129" t="s">
        <v>44</v>
      </c>
      <c r="D1082">
        <v>3.3E-3</v>
      </c>
      <c r="E1082">
        <v>3.3001000000000003E-2</v>
      </c>
      <c r="F1082">
        <v>9.9999999999999995E-7</v>
      </c>
      <c r="G1082" s="129" t="s">
        <v>13</v>
      </c>
      <c r="H1082" s="129" t="s">
        <v>11</v>
      </c>
      <c r="I1082">
        <v>5</v>
      </c>
      <c r="J1082">
        <v>10.01</v>
      </c>
      <c r="K1082" s="129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s="129" t="s">
        <v>1850</v>
      </c>
      <c r="B1083" s="129" t="s">
        <v>51</v>
      </c>
      <c r="C1083" s="129" t="s">
        <v>44</v>
      </c>
      <c r="D1083">
        <v>3.3E-3</v>
      </c>
      <c r="E1083">
        <v>3.3001000000000003E-2</v>
      </c>
      <c r="F1083">
        <v>9.9999999999999995E-7</v>
      </c>
      <c r="G1083" s="129" t="s">
        <v>13</v>
      </c>
      <c r="H1083" s="129" t="s">
        <v>11</v>
      </c>
      <c r="I1083">
        <v>10</v>
      </c>
      <c r="J1083">
        <v>30</v>
      </c>
      <c r="K1083" s="129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s="129" t="s">
        <v>1869</v>
      </c>
      <c r="B1084" s="129" t="s">
        <v>51</v>
      </c>
      <c r="C1084" s="129" t="s">
        <v>44</v>
      </c>
      <c r="D1084">
        <v>3.3000000000000002E-2</v>
      </c>
      <c r="E1084">
        <v>0.33001000000000003</v>
      </c>
      <c r="F1084">
        <v>9.9999999999999995E-7</v>
      </c>
      <c r="G1084" s="129" t="s">
        <v>13</v>
      </c>
      <c r="H1084" s="129" t="s">
        <v>12</v>
      </c>
      <c r="I1084">
        <v>0.01</v>
      </c>
      <c r="J1084">
        <v>2.001E-2</v>
      </c>
      <c r="K1084" s="129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s="129" t="s">
        <v>1867</v>
      </c>
      <c r="B1085" s="129" t="s">
        <v>51</v>
      </c>
      <c r="C1085" s="129" t="s">
        <v>44</v>
      </c>
      <c r="D1085">
        <v>3.3000000000000002E-2</v>
      </c>
      <c r="E1085">
        <v>0.33001000000000003</v>
      </c>
      <c r="F1085">
        <v>9.9999999999999995E-7</v>
      </c>
      <c r="G1085" s="129" t="s">
        <v>13</v>
      </c>
      <c r="H1085" s="129" t="s">
        <v>12</v>
      </c>
      <c r="I1085">
        <v>0.02</v>
      </c>
      <c r="J1085">
        <v>4.5010000000000001E-2</v>
      </c>
      <c r="K1085" s="129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s="129" t="s">
        <v>1863</v>
      </c>
      <c r="B1086" s="129" t="s">
        <v>51</v>
      </c>
      <c r="C1086" s="129" t="s">
        <v>44</v>
      </c>
      <c r="D1086">
        <v>3.3000000000000002E-2</v>
      </c>
      <c r="E1086">
        <v>0.33001000000000003</v>
      </c>
      <c r="F1086">
        <v>9.9999999999999995E-7</v>
      </c>
      <c r="G1086" s="129" t="s">
        <v>13</v>
      </c>
      <c r="H1086" s="129" t="s">
        <v>12</v>
      </c>
      <c r="I1086">
        <v>4.4999999999999998E-2</v>
      </c>
      <c r="J1086">
        <v>1.0000100000000001</v>
      </c>
      <c r="K1086" s="129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s="129" t="s">
        <v>1868</v>
      </c>
      <c r="B1087" s="129" t="s">
        <v>51</v>
      </c>
      <c r="C1087" s="129" t="s">
        <v>44</v>
      </c>
      <c r="D1087">
        <v>3.3000000000000002E-2</v>
      </c>
      <c r="E1087">
        <v>0.33001000000000003</v>
      </c>
      <c r="F1087">
        <v>9.9999999999999995E-7</v>
      </c>
      <c r="G1087" s="129" t="s">
        <v>13</v>
      </c>
      <c r="H1087" s="129" t="s">
        <v>12</v>
      </c>
      <c r="I1087">
        <v>1</v>
      </c>
      <c r="J1087">
        <v>5.01</v>
      </c>
      <c r="K1087" s="129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s="129" t="s">
        <v>1865</v>
      </c>
      <c r="B1088" s="129" t="s">
        <v>51</v>
      </c>
      <c r="C1088" s="129" t="s">
        <v>44</v>
      </c>
      <c r="D1088">
        <v>3.3000000000000002E-2</v>
      </c>
      <c r="E1088">
        <v>0.33001000000000003</v>
      </c>
      <c r="F1088">
        <v>9.9999999999999995E-7</v>
      </c>
      <c r="G1088" s="129" t="s">
        <v>13</v>
      </c>
      <c r="H1088" s="129" t="s">
        <v>12</v>
      </c>
      <c r="I1088">
        <v>5</v>
      </c>
      <c r="J1088">
        <v>10.01</v>
      </c>
      <c r="K1088" s="129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s="129" t="s">
        <v>1866</v>
      </c>
      <c r="B1089" s="129" t="s">
        <v>51</v>
      </c>
      <c r="C1089" s="129" t="s">
        <v>44</v>
      </c>
      <c r="D1089">
        <v>3.3000000000000002E-2</v>
      </c>
      <c r="E1089">
        <v>0.33001000000000003</v>
      </c>
      <c r="F1089">
        <v>9.9999999999999995E-7</v>
      </c>
      <c r="G1089" s="129" t="s">
        <v>13</v>
      </c>
      <c r="H1089" s="129" t="s">
        <v>12</v>
      </c>
      <c r="I1089">
        <v>10</v>
      </c>
      <c r="J1089">
        <v>30</v>
      </c>
      <c r="K1089" s="12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s="129" t="s">
        <v>1864</v>
      </c>
      <c r="B1090" s="129" t="s">
        <v>51</v>
      </c>
      <c r="C1090" s="129" t="s">
        <v>44</v>
      </c>
      <c r="D1090">
        <v>3.3000000000000002E-2</v>
      </c>
      <c r="E1090">
        <v>0.33001000000000003</v>
      </c>
      <c r="F1090">
        <v>9.9999999999999995E-7</v>
      </c>
      <c r="G1090" s="129" t="s">
        <v>13</v>
      </c>
      <c r="H1090" s="129" t="s">
        <v>12</v>
      </c>
      <c r="I1090">
        <v>30</v>
      </c>
      <c r="J1090">
        <v>30.01</v>
      </c>
      <c r="K1090" s="129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s="129" t="s">
        <v>1782</v>
      </c>
      <c r="B1091" s="129" t="s">
        <v>51</v>
      </c>
      <c r="C1091" s="129" t="s">
        <v>44</v>
      </c>
      <c r="D1091">
        <v>0</v>
      </c>
      <c r="E1091">
        <v>3.3000999999999999E-4</v>
      </c>
      <c r="F1091">
        <v>1.0000000000000001E-5</v>
      </c>
      <c r="G1091" s="129" t="s">
        <v>13</v>
      </c>
      <c r="H1091" s="129" t="s">
        <v>11</v>
      </c>
      <c r="I1091">
        <v>0.01</v>
      </c>
      <c r="J1091">
        <v>2.001E-2</v>
      </c>
      <c r="K1091" s="129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s="129" t="s">
        <v>2038</v>
      </c>
      <c r="B1092" s="129" t="s">
        <v>51</v>
      </c>
      <c r="C1092" s="129" t="s">
        <v>44</v>
      </c>
      <c r="D1092">
        <v>0</v>
      </c>
      <c r="E1092">
        <v>3.3000999999999999E-4</v>
      </c>
      <c r="F1092">
        <v>1.0000000000000001E-5</v>
      </c>
      <c r="G1092" s="129" t="s">
        <v>13</v>
      </c>
      <c r="H1092" s="129" t="s">
        <v>11</v>
      </c>
      <c r="I1092">
        <v>0.02</v>
      </c>
      <c r="J1092">
        <v>4.5010000000000001E-2</v>
      </c>
      <c r="K1092" s="129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s="129" t="s">
        <v>1783</v>
      </c>
      <c r="B1093" s="129" t="s">
        <v>51</v>
      </c>
      <c r="C1093" s="129" t="s">
        <v>44</v>
      </c>
      <c r="D1093">
        <v>0</v>
      </c>
      <c r="E1093">
        <v>3.3000999999999999E-4</v>
      </c>
      <c r="F1093">
        <v>1.0000000000000001E-5</v>
      </c>
      <c r="G1093" s="129" t="s">
        <v>13</v>
      </c>
      <c r="H1093" s="129" t="s">
        <v>11</v>
      </c>
      <c r="I1093">
        <v>4.4999999999999998E-2</v>
      </c>
      <c r="J1093">
        <v>1.0000100000000001</v>
      </c>
      <c r="K1093" s="129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s="129" t="s">
        <v>1784</v>
      </c>
      <c r="B1094" s="129" t="s">
        <v>51</v>
      </c>
      <c r="C1094" s="129" t="s">
        <v>44</v>
      </c>
      <c r="D1094">
        <v>0</v>
      </c>
      <c r="E1094">
        <v>3.3000999999999999E-4</v>
      </c>
      <c r="F1094">
        <v>1.0000000000000001E-5</v>
      </c>
      <c r="G1094" s="129" t="s">
        <v>13</v>
      </c>
      <c r="H1094" s="129" t="s">
        <v>11</v>
      </c>
      <c r="I1094">
        <v>1</v>
      </c>
      <c r="J1094">
        <v>5.01</v>
      </c>
      <c r="K1094" s="129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s="129" t="s">
        <v>1781</v>
      </c>
      <c r="B1095" s="129" t="s">
        <v>51</v>
      </c>
      <c r="C1095" s="129" t="s">
        <v>44</v>
      </c>
      <c r="D1095">
        <v>0</v>
      </c>
      <c r="E1095">
        <v>3.3000999999999999E-4</v>
      </c>
      <c r="F1095">
        <v>1.0000000000000001E-5</v>
      </c>
      <c r="G1095" s="129" t="s">
        <v>13</v>
      </c>
      <c r="H1095" s="129" t="s">
        <v>11</v>
      </c>
      <c r="I1095">
        <v>5</v>
      </c>
      <c r="J1095">
        <v>10.01</v>
      </c>
      <c r="K1095" s="129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s="129" t="s">
        <v>1780</v>
      </c>
      <c r="B1096" s="129" t="s">
        <v>51</v>
      </c>
      <c r="C1096" s="129" t="s">
        <v>44</v>
      </c>
      <c r="D1096">
        <v>0</v>
      </c>
      <c r="E1096">
        <v>3.3000999999999999E-4</v>
      </c>
      <c r="F1096">
        <v>1.0000000000000001E-5</v>
      </c>
      <c r="G1096" s="129" t="s">
        <v>13</v>
      </c>
      <c r="H1096" s="129" t="s">
        <v>11</v>
      </c>
      <c r="I1096">
        <v>10</v>
      </c>
      <c r="J1096">
        <v>30</v>
      </c>
      <c r="K1096" s="129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s="129" t="s">
        <v>2052</v>
      </c>
      <c r="B1097" s="129" t="s">
        <v>51</v>
      </c>
      <c r="C1097" s="129" t="s">
        <v>44</v>
      </c>
      <c r="D1097">
        <v>0</v>
      </c>
      <c r="E1097">
        <v>3.3000999999999999E-4</v>
      </c>
      <c r="F1097">
        <v>1.0000000000000001E-5</v>
      </c>
      <c r="G1097" s="129" t="s">
        <v>13</v>
      </c>
      <c r="H1097" s="129" t="s">
        <v>11</v>
      </c>
      <c r="I1097">
        <v>30</v>
      </c>
      <c r="J1097">
        <v>30.1</v>
      </c>
      <c r="K1097" s="129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s="129" t="s">
        <v>1833</v>
      </c>
      <c r="B1098" s="129" t="s">
        <v>51</v>
      </c>
      <c r="C1098" s="129" t="s">
        <v>44</v>
      </c>
      <c r="D1098">
        <v>3.3E-4</v>
      </c>
      <c r="E1098">
        <v>3.3000999999999998E-3</v>
      </c>
      <c r="F1098">
        <v>1.0000000000000001E-5</v>
      </c>
      <c r="G1098" s="129" t="s">
        <v>13</v>
      </c>
      <c r="H1098" s="129" t="s">
        <v>11</v>
      </c>
      <c r="I1098">
        <v>0.01</v>
      </c>
      <c r="J1098">
        <v>2.001E-2</v>
      </c>
      <c r="K1098" s="129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s="129" t="s">
        <v>1834</v>
      </c>
      <c r="B1099" s="129" t="s">
        <v>51</v>
      </c>
      <c r="C1099" s="129" t="s">
        <v>44</v>
      </c>
      <c r="D1099">
        <v>3.3E-4</v>
      </c>
      <c r="E1099">
        <v>3.3000999999999998E-3</v>
      </c>
      <c r="F1099">
        <v>1.0000000000000001E-5</v>
      </c>
      <c r="G1099" s="129" t="s">
        <v>13</v>
      </c>
      <c r="H1099" s="129" t="s">
        <v>11</v>
      </c>
      <c r="I1099">
        <v>0.02</v>
      </c>
      <c r="J1099">
        <v>4.5010000000000001E-2</v>
      </c>
      <c r="K1099" s="12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s="129" t="s">
        <v>1832</v>
      </c>
      <c r="B1100" s="129" t="s">
        <v>51</v>
      </c>
      <c r="C1100" s="129" t="s">
        <v>44</v>
      </c>
      <c r="D1100">
        <v>3.3E-4</v>
      </c>
      <c r="E1100">
        <v>3.3000999999999998E-3</v>
      </c>
      <c r="F1100">
        <v>1.0000000000000001E-5</v>
      </c>
      <c r="G1100" s="129" t="s">
        <v>13</v>
      </c>
      <c r="H1100" s="129" t="s">
        <v>11</v>
      </c>
      <c r="I1100">
        <v>4.4999999999999998E-2</v>
      </c>
      <c r="J1100">
        <v>1.0000100000000001</v>
      </c>
      <c r="K1100" s="129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s="129" t="s">
        <v>2059</v>
      </c>
      <c r="B1101" s="129" t="s">
        <v>51</v>
      </c>
      <c r="C1101" s="129" t="s">
        <v>44</v>
      </c>
      <c r="D1101">
        <v>3.3E-4</v>
      </c>
      <c r="E1101">
        <v>3.3000999999999998E-3</v>
      </c>
      <c r="F1101">
        <v>1.0000000000000001E-5</v>
      </c>
      <c r="G1101" s="129" t="s">
        <v>13</v>
      </c>
      <c r="H1101" s="129" t="s">
        <v>11</v>
      </c>
      <c r="I1101">
        <v>1</v>
      </c>
      <c r="J1101">
        <v>5.01</v>
      </c>
      <c r="K1101" s="129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s="129" t="s">
        <v>2060</v>
      </c>
      <c r="B1102" s="129" t="s">
        <v>51</v>
      </c>
      <c r="C1102" s="129" t="s">
        <v>44</v>
      </c>
      <c r="D1102">
        <v>3.3E-4</v>
      </c>
      <c r="E1102">
        <v>3.3000999999999998E-3</v>
      </c>
      <c r="F1102">
        <v>1.0000000000000001E-5</v>
      </c>
      <c r="G1102" s="129" t="s">
        <v>13</v>
      </c>
      <c r="H1102" s="129" t="s">
        <v>11</v>
      </c>
      <c r="I1102">
        <v>5</v>
      </c>
      <c r="J1102">
        <v>10.01</v>
      </c>
      <c r="K1102" s="129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s="129" t="s">
        <v>1835</v>
      </c>
      <c r="B1103" s="129" t="s">
        <v>51</v>
      </c>
      <c r="C1103" s="129" t="s">
        <v>44</v>
      </c>
      <c r="D1103">
        <v>3.3E-4</v>
      </c>
      <c r="E1103">
        <v>3.3000999999999998E-3</v>
      </c>
      <c r="F1103">
        <v>1.0000000000000001E-5</v>
      </c>
      <c r="G1103" s="129" t="s">
        <v>13</v>
      </c>
      <c r="H1103" s="129" t="s">
        <v>11</v>
      </c>
      <c r="I1103">
        <v>10</v>
      </c>
      <c r="J1103">
        <v>30</v>
      </c>
      <c r="K1103" s="129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s="129" t="s">
        <v>2063</v>
      </c>
      <c r="B1104" s="129" t="s">
        <v>51</v>
      </c>
      <c r="C1104" s="129" t="s">
        <v>44</v>
      </c>
      <c r="D1104">
        <v>3.3E-4</v>
      </c>
      <c r="E1104">
        <v>3.3000999999999998E-3</v>
      </c>
      <c r="F1104">
        <v>1.0000000000000001E-5</v>
      </c>
      <c r="G1104" s="129" t="s">
        <v>13</v>
      </c>
      <c r="H1104" s="129" t="s">
        <v>11</v>
      </c>
      <c r="I1104">
        <v>30</v>
      </c>
      <c r="J1104">
        <v>30.1</v>
      </c>
      <c r="K1104" s="129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s="129" t="s">
        <v>1855</v>
      </c>
      <c r="B1105" s="129" t="s">
        <v>51</v>
      </c>
      <c r="C1105" s="129" t="s">
        <v>44</v>
      </c>
      <c r="D1105">
        <v>3.3E-3</v>
      </c>
      <c r="E1105">
        <v>3.3001000000000003E-2</v>
      </c>
      <c r="F1105">
        <v>1.0000000000000001E-5</v>
      </c>
      <c r="G1105" s="129" t="s">
        <v>13</v>
      </c>
      <c r="H1105" s="129" t="s">
        <v>11</v>
      </c>
      <c r="I1105">
        <v>0.01</v>
      </c>
      <c r="J1105">
        <v>2.001E-2</v>
      </c>
      <c r="K1105" s="129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s="129" t="s">
        <v>1856</v>
      </c>
      <c r="B1106" s="129" t="s">
        <v>51</v>
      </c>
      <c r="C1106" s="129" t="s">
        <v>44</v>
      </c>
      <c r="D1106">
        <v>3.3E-3</v>
      </c>
      <c r="E1106">
        <v>3.3001000000000003E-2</v>
      </c>
      <c r="F1106">
        <v>1.0000000000000001E-5</v>
      </c>
      <c r="G1106" s="129" t="s">
        <v>13</v>
      </c>
      <c r="H1106" s="129" t="s">
        <v>11</v>
      </c>
      <c r="I1106">
        <v>0.02</v>
      </c>
      <c r="J1106">
        <v>4.5010000000000001E-2</v>
      </c>
      <c r="K1106" s="129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s="129" t="s">
        <v>1857</v>
      </c>
      <c r="B1107" s="129" t="s">
        <v>51</v>
      </c>
      <c r="C1107" s="129" t="s">
        <v>44</v>
      </c>
      <c r="D1107">
        <v>3.3E-3</v>
      </c>
      <c r="E1107">
        <v>3.3001000000000003E-2</v>
      </c>
      <c r="F1107">
        <v>1.0000000000000001E-5</v>
      </c>
      <c r="G1107" s="129" t="s">
        <v>13</v>
      </c>
      <c r="H1107" s="129" t="s">
        <v>11</v>
      </c>
      <c r="I1107">
        <v>4.4999999999999998E-2</v>
      </c>
      <c r="J1107">
        <v>1.0000100000000001</v>
      </c>
      <c r="K1107" s="129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s="129" t="s">
        <v>2071</v>
      </c>
      <c r="B1108" s="129" t="s">
        <v>51</v>
      </c>
      <c r="C1108" s="129" t="s">
        <v>44</v>
      </c>
      <c r="D1108">
        <v>3.3E-3</v>
      </c>
      <c r="E1108">
        <v>3.3001000000000003E-2</v>
      </c>
      <c r="F1108">
        <v>1.0000000000000001E-5</v>
      </c>
      <c r="G1108" s="129" t="s">
        <v>13</v>
      </c>
      <c r="H1108" s="129" t="s">
        <v>11</v>
      </c>
      <c r="I1108">
        <v>1</v>
      </c>
      <c r="J1108">
        <v>5.01</v>
      </c>
      <c r="K1108" s="129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s="129" t="s">
        <v>2073</v>
      </c>
      <c r="B1109" s="129" t="s">
        <v>51</v>
      </c>
      <c r="C1109" s="129" t="s">
        <v>44</v>
      </c>
      <c r="D1109">
        <v>3.3E-3</v>
      </c>
      <c r="E1109">
        <v>3.3001000000000003E-2</v>
      </c>
      <c r="F1109">
        <v>1.0000000000000001E-5</v>
      </c>
      <c r="G1109" s="129" t="s">
        <v>13</v>
      </c>
      <c r="H1109" s="129" t="s">
        <v>11</v>
      </c>
      <c r="I1109">
        <v>5</v>
      </c>
      <c r="J1109">
        <v>10.01</v>
      </c>
      <c r="K1109" s="12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s="129" t="s">
        <v>1854</v>
      </c>
      <c r="B1110" s="129" t="s">
        <v>51</v>
      </c>
      <c r="C1110" s="129" t="s">
        <v>44</v>
      </c>
      <c r="D1110">
        <v>3.3E-3</v>
      </c>
      <c r="E1110">
        <v>3.3001000000000003E-2</v>
      </c>
      <c r="F1110">
        <v>1.0000000000000001E-5</v>
      </c>
      <c r="G1110" s="129" t="s">
        <v>13</v>
      </c>
      <c r="H1110" s="129" t="s">
        <v>11</v>
      </c>
      <c r="I1110">
        <v>10</v>
      </c>
      <c r="J1110">
        <v>30</v>
      </c>
      <c r="K1110" s="129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s="129" t="s">
        <v>1873</v>
      </c>
      <c r="B1111" s="129" t="s">
        <v>51</v>
      </c>
      <c r="C1111" s="129" t="s">
        <v>44</v>
      </c>
      <c r="D1111">
        <v>3.3000000000000002E-2</v>
      </c>
      <c r="E1111">
        <v>0.33001000000000003</v>
      </c>
      <c r="F1111">
        <v>1.0000000000000001E-5</v>
      </c>
      <c r="G1111" s="129" t="s">
        <v>13</v>
      </c>
      <c r="H1111" s="129" t="s">
        <v>12</v>
      </c>
      <c r="I1111">
        <v>0.01</v>
      </c>
      <c r="J1111">
        <v>2.001E-2</v>
      </c>
      <c r="K1111" s="129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s="129" t="s">
        <v>1870</v>
      </c>
      <c r="B1112" s="129" t="s">
        <v>51</v>
      </c>
      <c r="C1112" s="129" t="s">
        <v>44</v>
      </c>
      <c r="D1112">
        <v>3.3000000000000002E-2</v>
      </c>
      <c r="E1112">
        <v>0.33001000000000003</v>
      </c>
      <c r="F1112">
        <v>1.0000000000000001E-5</v>
      </c>
      <c r="G1112" s="129" t="s">
        <v>13</v>
      </c>
      <c r="H1112" s="129" t="s">
        <v>12</v>
      </c>
      <c r="I1112">
        <v>0.02</v>
      </c>
      <c r="J1112">
        <v>4.5010000000000001E-2</v>
      </c>
      <c r="K1112" s="129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s="129" t="s">
        <v>2076</v>
      </c>
      <c r="B1113" s="129" t="s">
        <v>51</v>
      </c>
      <c r="C1113" s="129" t="s">
        <v>44</v>
      </c>
      <c r="D1113">
        <v>3.3000000000000002E-2</v>
      </c>
      <c r="E1113">
        <v>0.33001000000000003</v>
      </c>
      <c r="F1113">
        <v>1.0000000000000001E-5</v>
      </c>
      <c r="G1113" s="129" t="s">
        <v>13</v>
      </c>
      <c r="H1113" s="129" t="s">
        <v>12</v>
      </c>
      <c r="I1113">
        <v>4.4999999999999998E-2</v>
      </c>
      <c r="J1113">
        <v>1.0000100000000001</v>
      </c>
      <c r="K1113" s="129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s="129" t="s">
        <v>1871</v>
      </c>
      <c r="B1114" s="129" t="s">
        <v>51</v>
      </c>
      <c r="C1114" s="129" t="s">
        <v>44</v>
      </c>
      <c r="D1114">
        <v>3.3000000000000002E-2</v>
      </c>
      <c r="E1114">
        <v>0.33001000000000003</v>
      </c>
      <c r="F1114">
        <v>1.0000000000000001E-5</v>
      </c>
      <c r="G1114" s="129" t="s">
        <v>13</v>
      </c>
      <c r="H1114" s="129" t="s">
        <v>12</v>
      </c>
      <c r="I1114">
        <v>1</v>
      </c>
      <c r="J1114">
        <v>5.01</v>
      </c>
      <c r="K1114" s="129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s="129" t="s">
        <v>2078</v>
      </c>
      <c r="B1115" s="129" t="s">
        <v>51</v>
      </c>
      <c r="C1115" s="129" t="s">
        <v>44</v>
      </c>
      <c r="D1115">
        <v>3.3000000000000002E-2</v>
      </c>
      <c r="E1115">
        <v>0.33001000000000003</v>
      </c>
      <c r="F1115">
        <v>1.0000000000000001E-5</v>
      </c>
      <c r="G1115" s="129" t="s">
        <v>13</v>
      </c>
      <c r="H1115" s="129" t="s">
        <v>12</v>
      </c>
      <c r="I1115">
        <v>5</v>
      </c>
      <c r="J1115">
        <v>10.01</v>
      </c>
      <c r="K1115" s="129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s="129" t="s">
        <v>1872</v>
      </c>
      <c r="B1116" s="129" t="s">
        <v>51</v>
      </c>
      <c r="C1116" s="129" t="s">
        <v>44</v>
      </c>
      <c r="D1116">
        <v>3.3000000000000002E-2</v>
      </c>
      <c r="E1116">
        <v>0.33001000000000003</v>
      </c>
      <c r="F1116">
        <v>1.0000000000000001E-5</v>
      </c>
      <c r="G1116" s="129" t="s">
        <v>13</v>
      </c>
      <c r="H1116" s="129" t="s">
        <v>12</v>
      </c>
      <c r="I1116">
        <v>10</v>
      </c>
      <c r="J1116">
        <v>30</v>
      </c>
      <c r="K1116" s="129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s="129" t="s">
        <v>1874</v>
      </c>
      <c r="B1117" s="129" t="s">
        <v>51</v>
      </c>
      <c r="C1117" s="129" t="s">
        <v>44</v>
      </c>
      <c r="D1117">
        <v>3.3000000000000002E-2</v>
      </c>
      <c r="E1117">
        <v>0.33001000000000003</v>
      </c>
      <c r="F1117">
        <v>1.0000000000000001E-5</v>
      </c>
      <c r="G1117" s="129" t="s">
        <v>13</v>
      </c>
      <c r="H1117" s="129" t="s">
        <v>12</v>
      </c>
      <c r="I1117">
        <v>30</v>
      </c>
      <c r="J1117">
        <v>30.01</v>
      </c>
      <c r="K1117" s="129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s="129" t="s">
        <v>1892</v>
      </c>
      <c r="B1118" s="129" t="s">
        <v>51</v>
      </c>
      <c r="C1118" s="129" t="s">
        <v>44</v>
      </c>
      <c r="D1118">
        <v>0.33</v>
      </c>
      <c r="E1118">
        <v>1.1000099999999999</v>
      </c>
      <c r="F1118">
        <v>1.0000000000000001E-5</v>
      </c>
      <c r="G1118" s="129" t="s">
        <v>13</v>
      </c>
      <c r="H1118" s="129" t="s">
        <v>12</v>
      </c>
      <c r="I1118">
        <v>0.01</v>
      </c>
      <c r="J1118">
        <v>4.5010000000000001E-2</v>
      </c>
      <c r="K1118" s="129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s="129" t="s">
        <v>1894</v>
      </c>
      <c r="B1119" s="129" t="s">
        <v>51</v>
      </c>
      <c r="C1119" s="129" t="s">
        <v>44</v>
      </c>
      <c r="D1119">
        <v>0.33</v>
      </c>
      <c r="E1119">
        <v>1.1000099999999999</v>
      </c>
      <c r="F1119">
        <v>1.0000000000000001E-5</v>
      </c>
      <c r="G1119" s="129" t="s">
        <v>13</v>
      </c>
      <c r="H1119" s="129" t="s">
        <v>12</v>
      </c>
      <c r="I1119">
        <v>4.4999999999999998E-2</v>
      </c>
      <c r="J1119">
        <v>1.0000100000000001</v>
      </c>
      <c r="K1119" s="12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s="129" t="s">
        <v>1893</v>
      </c>
      <c r="B1120" s="129" t="s">
        <v>51</v>
      </c>
      <c r="C1120" s="129" t="s">
        <v>44</v>
      </c>
      <c r="D1120">
        <v>0.33</v>
      </c>
      <c r="E1120">
        <v>1.1000099999999999</v>
      </c>
      <c r="F1120">
        <v>1.0000000000000001E-5</v>
      </c>
      <c r="G1120" s="129" t="s">
        <v>13</v>
      </c>
      <c r="H1120" s="129" t="s">
        <v>12</v>
      </c>
      <c r="I1120">
        <v>1</v>
      </c>
      <c r="J1120">
        <v>5.01</v>
      </c>
      <c r="K1120" s="129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s="129" t="s">
        <v>2084</v>
      </c>
      <c r="B1121" s="129" t="s">
        <v>51</v>
      </c>
      <c r="C1121" s="129" t="s">
        <v>44</v>
      </c>
      <c r="D1121">
        <v>0.33</v>
      </c>
      <c r="E1121">
        <v>1.1000099999999999</v>
      </c>
      <c r="F1121">
        <v>1.0000000000000001E-5</v>
      </c>
      <c r="G1121" s="129" t="s">
        <v>13</v>
      </c>
      <c r="H1121" s="129" t="s">
        <v>12</v>
      </c>
      <c r="I1121">
        <v>5</v>
      </c>
      <c r="J1121">
        <v>10</v>
      </c>
      <c r="K1121" s="129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s="129" t="s">
        <v>1895</v>
      </c>
      <c r="B1122" s="129" t="s">
        <v>51</v>
      </c>
      <c r="C1122" s="129" t="s">
        <v>44</v>
      </c>
      <c r="D1122">
        <v>0.33</v>
      </c>
      <c r="E1122">
        <v>1.1000099999999999</v>
      </c>
      <c r="F1122">
        <v>1.0000000000000001E-5</v>
      </c>
      <c r="G1122" s="129" t="s">
        <v>13</v>
      </c>
      <c r="H1122" s="129" t="s">
        <v>12</v>
      </c>
      <c r="I1122">
        <v>10</v>
      </c>
      <c r="J1122">
        <v>10.01</v>
      </c>
      <c r="K1122" s="129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s="129" t="s">
        <v>1913</v>
      </c>
      <c r="B1123" s="129" t="s">
        <v>51</v>
      </c>
      <c r="C1123" s="129" t="s">
        <v>44</v>
      </c>
      <c r="D1123">
        <v>1.1000000000000001</v>
      </c>
      <c r="E1123">
        <v>3.0009999999999999</v>
      </c>
      <c r="F1123">
        <v>1.0000000000000001E-5</v>
      </c>
      <c r="G1123" s="129" t="s">
        <v>13</v>
      </c>
      <c r="H1123" s="129" t="s">
        <v>12</v>
      </c>
      <c r="I1123">
        <v>0.01</v>
      </c>
      <c r="J1123">
        <v>4.5010000000000001E-2</v>
      </c>
      <c r="K1123" s="129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s="129" t="s">
        <v>1910</v>
      </c>
      <c r="B1124" s="129" t="s">
        <v>51</v>
      </c>
      <c r="C1124" s="129" t="s">
        <v>44</v>
      </c>
      <c r="D1124">
        <v>1.1000000000000001</v>
      </c>
      <c r="E1124">
        <v>3.0009999999999999</v>
      </c>
      <c r="F1124">
        <v>1.0000000000000001E-5</v>
      </c>
      <c r="G1124" s="129" t="s">
        <v>13</v>
      </c>
      <c r="H1124" s="129" t="s">
        <v>12</v>
      </c>
      <c r="I1124">
        <v>4.4999999999999998E-2</v>
      </c>
      <c r="J1124">
        <v>1.0000100000000001</v>
      </c>
      <c r="K1124" s="129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s="129" t="s">
        <v>2092</v>
      </c>
      <c r="B1125" s="129" t="s">
        <v>51</v>
      </c>
      <c r="C1125" s="129" t="s">
        <v>44</v>
      </c>
      <c r="D1125">
        <v>1.1000000000000001</v>
      </c>
      <c r="E1125">
        <v>3.0009999999999999</v>
      </c>
      <c r="F1125">
        <v>1.0000000000000001E-5</v>
      </c>
      <c r="G1125" s="129" t="s">
        <v>13</v>
      </c>
      <c r="H1125" s="129" t="s">
        <v>12</v>
      </c>
      <c r="I1125">
        <v>1</v>
      </c>
      <c r="J1125">
        <v>5.01</v>
      </c>
      <c r="K1125" s="129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s="129" t="s">
        <v>1911</v>
      </c>
      <c r="B1126" s="129" t="s">
        <v>51</v>
      </c>
      <c r="C1126" s="129" t="s">
        <v>44</v>
      </c>
      <c r="D1126">
        <v>1.1000000000000001</v>
      </c>
      <c r="E1126">
        <v>3.0009999999999999</v>
      </c>
      <c r="F1126">
        <v>1.0000000000000001E-5</v>
      </c>
      <c r="G1126" s="129" t="s">
        <v>13</v>
      </c>
      <c r="H1126" s="129" t="s">
        <v>12</v>
      </c>
      <c r="I1126">
        <v>5</v>
      </c>
      <c r="J1126">
        <v>10</v>
      </c>
      <c r="K1126" s="129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s="129" t="s">
        <v>1912</v>
      </c>
      <c r="B1127" s="129" t="s">
        <v>51</v>
      </c>
      <c r="C1127" s="129" t="s">
        <v>44</v>
      </c>
      <c r="D1127">
        <v>1.1000000000000001</v>
      </c>
      <c r="E1127">
        <v>3.0009999999999999</v>
      </c>
      <c r="F1127">
        <v>1.0000000000000001E-5</v>
      </c>
      <c r="G1127" s="129" t="s">
        <v>13</v>
      </c>
      <c r="H1127" s="129" t="s">
        <v>12</v>
      </c>
      <c r="I1127">
        <v>10</v>
      </c>
      <c r="J1127">
        <v>10.01</v>
      </c>
      <c r="K1127" s="129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s="129" t="s">
        <v>1786</v>
      </c>
      <c r="B1128" s="129" t="s">
        <v>51</v>
      </c>
      <c r="C1128" s="129" t="s">
        <v>44</v>
      </c>
      <c r="D1128">
        <v>0</v>
      </c>
      <c r="E1128">
        <v>3.3000999999999999E-4</v>
      </c>
      <c r="F1128">
        <v>1E-4</v>
      </c>
      <c r="G1128" s="129" t="s">
        <v>13</v>
      </c>
      <c r="H1128" s="129" t="s">
        <v>11</v>
      </c>
      <c r="I1128">
        <v>0.01</v>
      </c>
      <c r="J1128">
        <v>2.001E-2</v>
      </c>
      <c r="K1128" s="129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s="129" t="s">
        <v>1785</v>
      </c>
      <c r="B1129" s="129" t="s">
        <v>51</v>
      </c>
      <c r="C1129" s="129" t="s">
        <v>44</v>
      </c>
      <c r="D1129">
        <v>0</v>
      </c>
      <c r="E1129">
        <v>3.3000999999999999E-4</v>
      </c>
      <c r="F1129">
        <v>1E-4</v>
      </c>
      <c r="G1129" s="129" t="s">
        <v>13</v>
      </c>
      <c r="H1129" s="129" t="s">
        <v>11</v>
      </c>
      <c r="I1129">
        <v>0.02</v>
      </c>
      <c r="J1129">
        <v>4.5010000000000001E-2</v>
      </c>
      <c r="K1129" s="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s="129" t="s">
        <v>1787</v>
      </c>
      <c r="B1130" s="129" t="s">
        <v>51</v>
      </c>
      <c r="C1130" s="129" t="s">
        <v>44</v>
      </c>
      <c r="D1130">
        <v>0</v>
      </c>
      <c r="E1130">
        <v>3.3000999999999999E-4</v>
      </c>
      <c r="F1130">
        <v>1E-4</v>
      </c>
      <c r="G1130" s="129" t="s">
        <v>13</v>
      </c>
      <c r="H1130" s="129" t="s">
        <v>11</v>
      </c>
      <c r="I1130">
        <v>4.4999999999999998E-2</v>
      </c>
      <c r="J1130">
        <v>1.0000100000000001</v>
      </c>
      <c r="K1130" s="129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s="129" t="s">
        <v>1788</v>
      </c>
      <c r="B1131" s="129" t="s">
        <v>51</v>
      </c>
      <c r="C1131" s="129" t="s">
        <v>44</v>
      </c>
      <c r="D1131">
        <v>0</v>
      </c>
      <c r="E1131">
        <v>3.3000999999999999E-4</v>
      </c>
      <c r="F1131">
        <v>1E-4</v>
      </c>
      <c r="G1131" s="129" t="s">
        <v>13</v>
      </c>
      <c r="H1131" s="129" t="s">
        <v>11</v>
      </c>
      <c r="I1131">
        <v>1</v>
      </c>
      <c r="J1131">
        <v>5.01</v>
      </c>
      <c r="K1131" s="129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s="129" t="s">
        <v>1789</v>
      </c>
      <c r="B1132" s="129" t="s">
        <v>51</v>
      </c>
      <c r="C1132" s="129" t="s">
        <v>44</v>
      </c>
      <c r="D1132">
        <v>0</v>
      </c>
      <c r="E1132">
        <v>3.3000999999999999E-4</v>
      </c>
      <c r="F1132">
        <v>1E-4</v>
      </c>
      <c r="G1132" s="129" t="s">
        <v>13</v>
      </c>
      <c r="H1132" s="129" t="s">
        <v>11</v>
      </c>
      <c r="I1132">
        <v>5</v>
      </c>
      <c r="J1132">
        <v>10.01</v>
      </c>
      <c r="K1132" s="129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s="129" t="s">
        <v>1790</v>
      </c>
      <c r="B1133" s="129" t="s">
        <v>51</v>
      </c>
      <c r="C1133" s="129" t="s">
        <v>44</v>
      </c>
      <c r="D1133">
        <v>0</v>
      </c>
      <c r="E1133">
        <v>3.3000999999999999E-4</v>
      </c>
      <c r="F1133">
        <v>1E-4</v>
      </c>
      <c r="G1133" s="129" t="s">
        <v>13</v>
      </c>
      <c r="H1133" s="129" t="s">
        <v>11</v>
      </c>
      <c r="I1133">
        <v>10</v>
      </c>
      <c r="J1133">
        <v>30</v>
      </c>
      <c r="K1133" s="129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s="129" t="s">
        <v>2053</v>
      </c>
      <c r="B1134" s="129" t="s">
        <v>51</v>
      </c>
      <c r="C1134" s="129" t="s">
        <v>44</v>
      </c>
      <c r="D1134">
        <v>0</v>
      </c>
      <c r="E1134">
        <v>3.3000999999999999E-4</v>
      </c>
      <c r="F1134">
        <v>1E-4</v>
      </c>
      <c r="G1134" s="129" t="s">
        <v>13</v>
      </c>
      <c r="H1134" s="129" t="s">
        <v>11</v>
      </c>
      <c r="I1134">
        <v>30</v>
      </c>
      <c r="J1134">
        <v>30.1</v>
      </c>
      <c r="K1134" s="129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s="129" t="s">
        <v>1840</v>
      </c>
      <c r="B1135" s="129" t="s">
        <v>51</v>
      </c>
      <c r="C1135" s="129" t="s">
        <v>44</v>
      </c>
      <c r="D1135">
        <v>3.3E-4</v>
      </c>
      <c r="E1135">
        <v>3.3000999999999998E-3</v>
      </c>
      <c r="F1135">
        <v>1E-4</v>
      </c>
      <c r="G1135" s="129" t="s">
        <v>13</v>
      </c>
      <c r="H1135" s="129" t="s">
        <v>11</v>
      </c>
      <c r="I1135">
        <v>0.01</v>
      </c>
      <c r="J1135">
        <v>2.001E-2</v>
      </c>
      <c r="K1135" s="129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s="129" t="s">
        <v>1838</v>
      </c>
      <c r="B1136" s="129" t="s">
        <v>51</v>
      </c>
      <c r="C1136" s="129" t="s">
        <v>44</v>
      </c>
      <c r="D1136">
        <v>3.3E-4</v>
      </c>
      <c r="E1136">
        <v>3.3000999999999998E-3</v>
      </c>
      <c r="F1136">
        <v>1E-4</v>
      </c>
      <c r="G1136" s="129" t="s">
        <v>13</v>
      </c>
      <c r="H1136" s="129" t="s">
        <v>11</v>
      </c>
      <c r="I1136">
        <v>0.02</v>
      </c>
      <c r="J1136">
        <v>4.5010000000000001E-2</v>
      </c>
      <c r="K1136" s="129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s="129" t="s">
        <v>1837</v>
      </c>
      <c r="B1137" s="129" t="s">
        <v>51</v>
      </c>
      <c r="C1137" s="129" t="s">
        <v>44</v>
      </c>
      <c r="D1137">
        <v>3.3E-4</v>
      </c>
      <c r="E1137">
        <v>3.3000999999999998E-3</v>
      </c>
      <c r="F1137">
        <v>1E-4</v>
      </c>
      <c r="G1137" s="129" t="s">
        <v>13</v>
      </c>
      <c r="H1137" s="129" t="s">
        <v>11</v>
      </c>
      <c r="I1137">
        <v>4.4999999999999998E-2</v>
      </c>
      <c r="J1137">
        <v>1.0000100000000001</v>
      </c>
      <c r="K1137" s="129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s="129" t="s">
        <v>1839</v>
      </c>
      <c r="B1138" s="129" t="s">
        <v>51</v>
      </c>
      <c r="C1138" s="129" t="s">
        <v>44</v>
      </c>
      <c r="D1138">
        <v>3.3E-4</v>
      </c>
      <c r="E1138">
        <v>3.3000999999999998E-3</v>
      </c>
      <c r="F1138">
        <v>1E-4</v>
      </c>
      <c r="G1138" s="129" t="s">
        <v>13</v>
      </c>
      <c r="H1138" s="129" t="s">
        <v>11</v>
      </c>
      <c r="I1138">
        <v>1</v>
      </c>
      <c r="J1138">
        <v>5.01</v>
      </c>
      <c r="K1138" s="129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s="129" t="s">
        <v>1836</v>
      </c>
      <c r="B1139" s="129" t="s">
        <v>51</v>
      </c>
      <c r="C1139" s="129" t="s">
        <v>44</v>
      </c>
      <c r="D1139">
        <v>3.3E-4</v>
      </c>
      <c r="E1139">
        <v>3.3000999999999998E-3</v>
      </c>
      <c r="F1139">
        <v>1E-4</v>
      </c>
      <c r="G1139" s="129" t="s">
        <v>13</v>
      </c>
      <c r="H1139" s="129" t="s">
        <v>11</v>
      </c>
      <c r="I1139">
        <v>5</v>
      </c>
      <c r="J1139">
        <v>10.01</v>
      </c>
      <c r="K1139" s="12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s="129" t="s">
        <v>2061</v>
      </c>
      <c r="B1140" s="129" t="s">
        <v>51</v>
      </c>
      <c r="C1140" s="129" t="s">
        <v>44</v>
      </c>
      <c r="D1140">
        <v>3.3E-4</v>
      </c>
      <c r="E1140">
        <v>3.3000999999999998E-3</v>
      </c>
      <c r="F1140">
        <v>1E-4</v>
      </c>
      <c r="G1140" s="129" t="s">
        <v>13</v>
      </c>
      <c r="H1140" s="129" t="s">
        <v>11</v>
      </c>
      <c r="I1140">
        <v>10</v>
      </c>
      <c r="J1140">
        <v>30</v>
      </c>
      <c r="K1140" s="129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s="129" t="s">
        <v>2064</v>
      </c>
      <c r="B1141" s="129" t="s">
        <v>51</v>
      </c>
      <c r="C1141" s="129" t="s">
        <v>44</v>
      </c>
      <c r="D1141">
        <v>3.3E-4</v>
      </c>
      <c r="E1141">
        <v>3.3000999999999998E-3</v>
      </c>
      <c r="F1141">
        <v>1E-4</v>
      </c>
      <c r="G1141" s="129" t="s">
        <v>13</v>
      </c>
      <c r="H1141" s="129" t="s">
        <v>11</v>
      </c>
      <c r="I1141">
        <v>30</v>
      </c>
      <c r="J1141">
        <v>30.1</v>
      </c>
      <c r="K1141" s="129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s="129" t="s">
        <v>2065</v>
      </c>
      <c r="B1142" s="129" t="s">
        <v>51</v>
      </c>
      <c r="C1142" s="129" t="s">
        <v>44</v>
      </c>
      <c r="D1142">
        <v>3.3E-3</v>
      </c>
      <c r="E1142">
        <v>3.3001000000000003E-2</v>
      </c>
      <c r="F1142">
        <v>1E-4</v>
      </c>
      <c r="G1142" s="129" t="s">
        <v>13</v>
      </c>
      <c r="H1142" s="129" t="s">
        <v>11</v>
      </c>
      <c r="I1142">
        <v>0.01</v>
      </c>
      <c r="J1142">
        <v>2.001E-2</v>
      </c>
      <c r="K1142" s="129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s="129" t="s">
        <v>2068</v>
      </c>
      <c r="B1143" s="129" t="s">
        <v>51</v>
      </c>
      <c r="C1143" s="129" t="s">
        <v>44</v>
      </c>
      <c r="D1143">
        <v>3.3E-3</v>
      </c>
      <c r="E1143">
        <v>3.3001000000000003E-2</v>
      </c>
      <c r="F1143">
        <v>1E-4</v>
      </c>
      <c r="G1143" s="129" t="s">
        <v>13</v>
      </c>
      <c r="H1143" s="129" t="s">
        <v>11</v>
      </c>
      <c r="I1143">
        <v>0.02</v>
      </c>
      <c r="J1143">
        <v>4.5010000000000001E-2</v>
      </c>
      <c r="K1143" s="129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s="129" t="s">
        <v>1861</v>
      </c>
      <c r="B1144" s="129" t="s">
        <v>51</v>
      </c>
      <c r="C1144" s="129" t="s">
        <v>44</v>
      </c>
      <c r="D1144">
        <v>3.3E-3</v>
      </c>
      <c r="E1144">
        <v>3.3001000000000003E-2</v>
      </c>
      <c r="F1144">
        <v>1E-4</v>
      </c>
      <c r="G1144" s="129" t="s">
        <v>13</v>
      </c>
      <c r="H1144" s="129" t="s">
        <v>11</v>
      </c>
      <c r="I1144">
        <v>4.4999999999999998E-2</v>
      </c>
      <c r="J1144">
        <v>1.0000100000000001</v>
      </c>
      <c r="K1144" s="129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s="129" t="s">
        <v>1858</v>
      </c>
      <c r="B1145" s="129" t="s">
        <v>51</v>
      </c>
      <c r="C1145" s="129" t="s">
        <v>44</v>
      </c>
      <c r="D1145">
        <v>3.3E-3</v>
      </c>
      <c r="E1145">
        <v>3.3001000000000003E-2</v>
      </c>
      <c r="F1145">
        <v>1E-4</v>
      </c>
      <c r="G1145" s="129" t="s">
        <v>13</v>
      </c>
      <c r="H1145" s="129" t="s">
        <v>11</v>
      </c>
      <c r="I1145">
        <v>1</v>
      </c>
      <c r="J1145">
        <v>5.01</v>
      </c>
      <c r="K1145" s="129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s="129" t="s">
        <v>1862</v>
      </c>
      <c r="B1146" s="129" t="s">
        <v>51</v>
      </c>
      <c r="C1146" s="129" t="s">
        <v>44</v>
      </c>
      <c r="D1146">
        <v>3.3E-3</v>
      </c>
      <c r="E1146">
        <v>3.3001000000000003E-2</v>
      </c>
      <c r="F1146">
        <v>1E-4</v>
      </c>
      <c r="G1146" s="129" t="s">
        <v>13</v>
      </c>
      <c r="H1146" s="129" t="s">
        <v>11</v>
      </c>
      <c r="I1146">
        <v>5</v>
      </c>
      <c r="J1146">
        <v>10.01</v>
      </c>
      <c r="K1146" s="129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s="129" t="s">
        <v>1859</v>
      </c>
      <c r="B1147" s="129" t="s">
        <v>51</v>
      </c>
      <c r="C1147" s="129" t="s">
        <v>44</v>
      </c>
      <c r="D1147">
        <v>3.3E-3</v>
      </c>
      <c r="E1147">
        <v>3.3001000000000003E-2</v>
      </c>
      <c r="F1147">
        <v>1E-4</v>
      </c>
      <c r="G1147" s="129" t="s">
        <v>13</v>
      </c>
      <c r="H1147" s="129" t="s">
        <v>11</v>
      </c>
      <c r="I1147">
        <v>10</v>
      </c>
      <c r="J1147">
        <v>30</v>
      </c>
      <c r="K1147" s="129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s="129" t="s">
        <v>1860</v>
      </c>
      <c r="B1148" s="129" t="s">
        <v>51</v>
      </c>
      <c r="C1148" s="129" t="s">
        <v>44</v>
      </c>
      <c r="D1148">
        <v>3.3E-3</v>
      </c>
      <c r="E1148">
        <v>3.3001000000000003E-2</v>
      </c>
      <c r="F1148">
        <v>1E-4</v>
      </c>
      <c r="G1148" s="129" t="s">
        <v>13</v>
      </c>
      <c r="H1148" s="129" t="s">
        <v>11</v>
      </c>
      <c r="I1148">
        <v>30</v>
      </c>
      <c r="J1148">
        <v>30.01</v>
      </c>
      <c r="K1148" s="129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s="129" t="s">
        <v>1879</v>
      </c>
      <c r="B1149" s="129" t="s">
        <v>51</v>
      </c>
      <c r="C1149" s="129" t="s">
        <v>44</v>
      </c>
      <c r="D1149">
        <v>3.3000000000000002E-2</v>
      </c>
      <c r="E1149">
        <v>0.33001000000000003</v>
      </c>
      <c r="F1149">
        <v>1E-4</v>
      </c>
      <c r="G1149" s="129" t="s">
        <v>13</v>
      </c>
      <c r="H1149" s="129" t="s">
        <v>12</v>
      </c>
      <c r="I1149">
        <v>0.01</v>
      </c>
      <c r="J1149">
        <v>2.001E-2</v>
      </c>
      <c r="K1149" s="12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s="129" t="s">
        <v>2075</v>
      </c>
      <c r="B1150" s="129" t="s">
        <v>51</v>
      </c>
      <c r="C1150" s="129" t="s">
        <v>44</v>
      </c>
      <c r="D1150">
        <v>3.3000000000000002E-2</v>
      </c>
      <c r="E1150">
        <v>0.33001000000000003</v>
      </c>
      <c r="F1150">
        <v>1E-4</v>
      </c>
      <c r="G1150" s="129" t="s">
        <v>13</v>
      </c>
      <c r="H1150" s="129" t="s">
        <v>12</v>
      </c>
      <c r="I1150">
        <v>0.02</v>
      </c>
      <c r="J1150">
        <v>4.5010000000000001E-2</v>
      </c>
      <c r="K1150" s="129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s="129" t="s">
        <v>1875</v>
      </c>
      <c r="B1151" s="129" t="s">
        <v>51</v>
      </c>
      <c r="C1151" s="129" t="s">
        <v>44</v>
      </c>
      <c r="D1151">
        <v>3.3000000000000002E-2</v>
      </c>
      <c r="E1151">
        <v>0.33001000000000003</v>
      </c>
      <c r="F1151">
        <v>1E-4</v>
      </c>
      <c r="G1151" s="129" t="s">
        <v>13</v>
      </c>
      <c r="H1151" s="129" t="s">
        <v>12</v>
      </c>
      <c r="I1151">
        <v>4.4999999999999998E-2</v>
      </c>
      <c r="J1151">
        <v>1.0000100000000001</v>
      </c>
      <c r="K1151" s="129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s="129" t="s">
        <v>1877</v>
      </c>
      <c r="B1152" s="129" t="s">
        <v>51</v>
      </c>
      <c r="C1152" s="129" t="s">
        <v>44</v>
      </c>
      <c r="D1152">
        <v>3.3000000000000002E-2</v>
      </c>
      <c r="E1152">
        <v>0.33001000000000003</v>
      </c>
      <c r="F1152">
        <v>1E-4</v>
      </c>
      <c r="G1152" s="129" t="s">
        <v>13</v>
      </c>
      <c r="H1152" s="129" t="s">
        <v>12</v>
      </c>
      <c r="I1152">
        <v>1</v>
      </c>
      <c r="J1152">
        <v>5.01</v>
      </c>
      <c r="K1152" s="129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s="129" t="s">
        <v>1878</v>
      </c>
      <c r="B1153" s="129" t="s">
        <v>51</v>
      </c>
      <c r="C1153" s="129" t="s">
        <v>44</v>
      </c>
      <c r="D1153">
        <v>3.3000000000000002E-2</v>
      </c>
      <c r="E1153">
        <v>0.33001000000000003</v>
      </c>
      <c r="F1153">
        <v>1E-4</v>
      </c>
      <c r="G1153" s="129" t="s">
        <v>13</v>
      </c>
      <c r="H1153" s="129" t="s">
        <v>12</v>
      </c>
      <c r="I1153">
        <v>5</v>
      </c>
      <c r="J1153">
        <v>10.01</v>
      </c>
      <c r="K1153" s="129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s="129" t="s">
        <v>1876</v>
      </c>
      <c r="B1154" s="129" t="s">
        <v>51</v>
      </c>
      <c r="C1154" s="129" t="s">
        <v>44</v>
      </c>
      <c r="D1154">
        <v>3.3000000000000002E-2</v>
      </c>
      <c r="E1154">
        <v>0.33001000000000003</v>
      </c>
      <c r="F1154">
        <v>1E-4</v>
      </c>
      <c r="G1154" s="129" t="s">
        <v>13</v>
      </c>
      <c r="H1154" s="129" t="s">
        <v>12</v>
      </c>
      <c r="I1154">
        <v>10</v>
      </c>
      <c r="J1154">
        <v>30</v>
      </c>
      <c r="K1154" s="129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s="129" t="s">
        <v>2080</v>
      </c>
      <c r="B1155" s="129" t="s">
        <v>51</v>
      </c>
      <c r="C1155" s="129" t="s">
        <v>44</v>
      </c>
      <c r="D1155">
        <v>3.3000000000000002E-2</v>
      </c>
      <c r="E1155">
        <v>0.33001000000000003</v>
      </c>
      <c r="F1155">
        <v>1E-4</v>
      </c>
      <c r="G1155" s="129" t="s">
        <v>13</v>
      </c>
      <c r="H1155" s="129" t="s">
        <v>12</v>
      </c>
      <c r="I1155">
        <v>30</v>
      </c>
      <c r="J1155">
        <v>30.01</v>
      </c>
      <c r="K1155" s="129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s="129" t="s">
        <v>1898</v>
      </c>
      <c r="B1156" s="129" t="s">
        <v>51</v>
      </c>
      <c r="C1156" s="129" t="s">
        <v>44</v>
      </c>
      <c r="D1156">
        <v>0.33</v>
      </c>
      <c r="E1156">
        <v>1.1000099999999999</v>
      </c>
      <c r="F1156">
        <v>1E-4</v>
      </c>
      <c r="G1156" s="129" t="s">
        <v>13</v>
      </c>
      <c r="H1156" s="129" t="s">
        <v>12</v>
      </c>
      <c r="I1156">
        <v>0.01</v>
      </c>
      <c r="J1156">
        <v>4.5010000000000001E-2</v>
      </c>
      <c r="K1156" s="129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s="129" t="s">
        <v>2083</v>
      </c>
      <c r="B1157" s="129" t="s">
        <v>51</v>
      </c>
      <c r="C1157" s="129" t="s">
        <v>44</v>
      </c>
      <c r="D1157">
        <v>0.33</v>
      </c>
      <c r="E1157">
        <v>1.1000099999999999</v>
      </c>
      <c r="F1157">
        <v>1E-4</v>
      </c>
      <c r="G1157" s="129" t="s">
        <v>13</v>
      </c>
      <c r="H1157" s="129" t="s">
        <v>12</v>
      </c>
      <c r="I1157">
        <v>4.4999999999999998E-2</v>
      </c>
      <c r="J1157">
        <v>1.0000100000000001</v>
      </c>
      <c r="K1157" s="129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s="129" t="s">
        <v>1897</v>
      </c>
      <c r="B1158" s="129" t="s">
        <v>51</v>
      </c>
      <c r="C1158" s="129" t="s">
        <v>44</v>
      </c>
      <c r="D1158">
        <v>0.33</v>
      </c>
      <c r="E1158">
        <v>1.1000099999999999</v>
      </c>
      <c r="F1158">
        <v>1E-4</v>
      </c>
      <c r="G1158" s="129" t="s">
        <v>13</v>
      </c>
      <c r="H1158" s="129" t="s">
        <v>12</v>
      </c>
      <c r="I1158">
        <v>1</v>
      </c>
      <c r="J1158">
        <v>5.01</v>
      </c>
      <c r="K1158" s="129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s="129" t="s">
        <v>1896</v>
      </c>
      <c r="B1159" s="129" t="s">
        <v>51</v>
      </c>
      <c r="C1159" s="129" t="s">
        <v>44</v>
      </c>
      <c r="D1159">
        <v>0.33</v>
      </c>
      <c r="E1159">
        <v>1.1000099999999999</v>
      </c>
      <c r="F1159">
        <v>1E-4</v>
      </c>
      <c r="G1159" s="129" t="s">
        <v>13</v>
      </c>
      <c r="H1159" s="129" t="s">
        <v>12</v>
      </c>
      <c r="I1159">
        <v>5</v>
      </c>
      <c r="J1159">
        <v>10</v>
      </c>
      <c r="K1159" s="12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s="129" t="s">
        <v>2086</v>
      </c>
      <c r="B1160" s="129" t="s">
        <v>51</v>
      </c>
      <c r="C1160" s="129" t="s">
        <v>44</v>
      </c>
      <c r="D1160">
        <v>0.33</v>
      </c>
      <c r="E1160">
        <v>1.1000099999999999</v>
      </c>
      <c r="F1160">
        <v>1E-4</v>
      </c>
      <c r="G1160" s="129" t="s">
        <v>13</v>
      </c>
      <c r="H1160" s="129" t="s">
        <v>12</v>
      </c>
      <c r="I1160">
        <v>10</v>
      </c>
      <c r="J1160">
        <v>10.01</v>
      </c>
      <c r="K1160" s="129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s="129" t="s">
        <v>1917</v>
      </c>
      <c r="B1161" s="129" t="s">
        <v>51</v>
      </c>
      <c r="C1161" s="129" t="s">
        <v>44</v>
      </c>
      <c r="D1161">
        <v>1.1000000000000001</v>
      </c>
      <c r="E1161">
        <v>3.0009999999999999</v>
      </c>
      <c r="F1161">
        <v>1E-4</v>
      </c>
      <c r="G1161" s="129" t="s">
        <v>13</v>
      </c>
      <c r="H1161" s="129" t="s">
        <v>12</v>
      </c>
      <c r="I1161">
        <v>0.01</v>
      </c>
      <c r="J1161">
        <v>4.5010000000000001E-2</v>
      </c>
      <c r="K1161" s="129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s="129" t="s">
        <v>2090</v>
      </c>
      <c r="B1162" s="129" t="s">
        <v>51</v>
      </c>
      <c r="C1162" s="129" t="s">
        <v>44</v>
      </c>
      <c r="D1162">
        <v>1.1000000000000001</v>
      </c>
      <c r="E1162">
        <v>3.0009999999999999</v>
      </c>
      <c r="F1162">
        <v>1E-4</v>
      </c>
      <c r="G1162" s="129" t="s">
        <v>13</v>
      </c>
      <c r="H1162" s="129" t="s">
        <v>12</v>
      </c>
      <c r="I1162">
        <v>4.4999999999999998E-2</v>
      </c>
      <c r="J1162">
        <v>1.0000100000000001</v>
      </c>
      <c r="K1162" s="129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s="129" t="s">
        <v>1916</v>
      </c>
      <c r="B1163" s="129" t="s">
        <v>51</v>
      </c>
      <c r="C1163" s="129" t="s">
        <v>44</v>
      </c>
      <c r="D1163">
        <v>1.1000000000000001</v>
      </c>
      <c r="E1163">
        <v>3.0009999999999999</v>
      </c>
      <c r="F1163">
        <v>1E-4</v>
      </c>
      <c r="G1163" s="129" t="s">
        <v>13</v>
      </c>
      <c r="H1163" s="129" t="s">
        <v>12</v>
      </c>
      <c r="I1163">
        <v>1</v>
      </c>
      <c r="J1163">
        <v>5.01</v>
      </c>
      <c r="K1163" s="129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s="129" t="s">
        <v>1915</v>
      </c>
      <c r="B1164" s="129" t="s">
        <v>51</v>
      </c>
      <c r="C1164" s="129" t="s">
        <v>44</v>
      </c>
      <c r="D1164">
        <v>1.1000000000000001</v>
      </c>
      <c r="E1164">
        <v>3.0009999999999999</v>
      </c>
      <c r="F1164">
        <v>1E-4</v>
      </c>
      <c r="G1164" s="129" t="s">
        <v>13</v>
      </c>
      <c r="H1164" s="129" t="s">
        <v>12</v>
      </c>
      <c r="I1164">
        <v>5</v>
      </c>
      <c r="J1164">
        <v>10</v>
      </c>
      <c r="K1164" s="129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s="129" t="s">
        <v>1914</v>
      </c>
      <c r="B1165" s="129" t="s">
        <v>51</v>
      </c>
      <c r="C1165" s="129" t="s">
        <v>44</v>
      </c>
      <c r="D1165">
        <v>1.1000000000000001</v>
      </c>
      <c r="E1165">
        <v>3.0009999999999999</v>
      </c>
      <c r="F1165">
        <v>1E-4</v>
      </c>
      <c r="G1165" s="129" t="s">
        <v>13</v>
      </c>
      <c r="H1165" s="129" t="s">
        <v>12</v>
      </c>
      <c r="I1165">
        <v>10</v>
      </c>
      <c r="J1165">
        <v>10.01</v>
      </c>
      <c r="K1165" s="129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s="129" t="s">
        <v>2094</v>
      </c>
      <c r="B1166" s="129" t="s">
        <v>51</v>
      </c>
      <c r="C1166" s="129" t="s">
        <v>44</v>
      </c>
      <c r="D1166">
        <v>3</v>
      </c>
      <c r="E1166">
        <v>11.000999999999999</v>
      </c>
      <c r="F1166">
        <v>1E-4</v>
      </c>
      <c r="G1166" s="129" t="s">
        <v>13</v>
      </c>
      <c r="H1166" s="129" t="s">
        <v>12</v>
      </c>
      <c r="I1166">
        <v>4.4999999999999998E-2</v>
      </c>
      <c r="J1166">
        <v>0.10001</v>
      </c>
      <c r="K1166" s="129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s="129" t="s">
        <v>2097</v>
      </c>
      <c r="B1167" s="129" t="s">
        <v>51</v>
      </c>
      <c r="C1167" s="129" t="s">
        <v>44</v>
      </c>
      <c r="D1167">
        <v>3</v>
      </c>
      <c r="E1167">
        <v>11.000999999999999</v>
      </c>
      <c r="F1167">
        <v>1E-4</v>
      </c>
      <c r="G1167" s="129" t="s">
        <v>13</v>
      </c>
      <c r="H1167" s="129" t="s">
        <v>12</v>
      </c>
      <c r="I1167">
        <v>0.1</v>
      </c>
      <c r="J1167">
        <v>1.0000100000000001</v>
      </c>
      <c r="K1167" s="129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s="129" t="s">
        <v>1930</v>
      </c>
      <c r="B1168" s="129" t="s">
        <v>51</v>
      </c>
      <c r="C1168" s="129" t="s">
        <v>44</v>
      </c>
      <c r="D1168">
        <v>3</v>
      </c>
      <c r="E1168">
        <v>11.000999999999999</v>
      </c>
      <c r="F1168">
        <v>1E-4</v>
      </c>
      <c r="G1168" s="129" t="s">
        <v>13</v>
      </c>
      <c r="H1168" s="129" t="s">
        <v>12</v>
      </c>
      <c r="I1168">
        <v>1</v>
      </c>
      <c r="J1168">
        <v>5</v>
      </c>
      <c r="K1168" s="129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s="129" t="s">
        <v>1929</v>
      </c>
      <c r="B1169" s="129" t="s">
        <v>51</v>
      </c>
      <c r="C1169" s="129" t="s">
        <v>44</v>
      </c>
      <c r="D1169">
        <v>3</v>
      </c>
      <c r="E1169">
        <v>11.000999999999999</v>
      </c>
      <c r="F1169">
        <v>1E-4</v>
      </c>
      <c r="G1169" s="129" t="s">
        <v>13</v>
      </c>
      <c r="H1169" s="129" t="s">
        <v>12</v>
      </c>
      <c r="I1169">
        <v>5</v>
      </c>
      <c r="J1169">
        <v>5.01</v>
      </c>
      <c r="K1169" s="12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s="129" t="s">
        <v>1943</v>
      </c>
      <c r="B1170" s="129" t="s">
        <v>51</v>
      </c>
      <c r="C1170" s="129" t="s">
        <v>44</v>
      </c>
      <c r="D1170">
        <v>11</v>
      </c>
      <c r="E1170">
        <v>20.501000000000001</v>
      </c>
      <c r="F1170">
        <v>1E-4</v>
      </c>
      <c r="G1170" s="129" t="s">
        <v>13</v>
      </c>
      <c r="H1170" s="129" t="s">
        <v>12</v>
      </c>
      <c r="I1170">
        <v>4.4999999999999998E-2</v>
      </c>
      <c r="J1170">
        <v>0.10001</v>
      </c>
      <c r="K1170" s="129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s="129" t="s">
        <v>1945</v>
      </c>
      <c r="B1171" s="129" t="s">
        <v>51</v>
      </c>
      <c r="C1171" s="129" t="s">
        <v>44</v>
      </c>
      <c r="D1171">
        <v>11</v>
      </c>
      <c r="E1171">
        <v>20.501000000000001</v>
      </c>
      <c r="F1171">
        <v>1E-4</v>
      </c>
      <c r="G1171" s="129" t="s">
        <v>13</v>
      </c>
      <c r="H1171" s="129" t="s">
        <v>12</v>
      </c>
      <c r="I1171">
        <v>0.1</v>
      </c>
      <c r="J1171">
        <v>1.0000100000000001</v>
      </c>
      <c r="K1171" s="129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s="129" t="s">
        <v>1944</v>
      </c>
      <c r="B1172" s="129" t="s">
        <v>51</v>
      </c>
      <c r="C1172" s="129" t="s">
        <v>44</v>
      </c>
      <c r="D1172">
        <v>11</v>
      </c>
      <c r="E1172">
        <v>20.501000000000001</v>
      </c>
      <c r="F1172">
        <v>1E-4</v>
      </c>
      <c r="G1172" s="129" t="s">
        <v>13</v>
      </c>
      <c r="H1172" s="129" t="s">
        <v>12</v>
      </c>
      <c r="I1172">
        <v>1</v>
      </c>
      <c r="J1172">
        <v>5</v>
      </c>
      <c r="K1172" s="129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s="129" t="s">
        <v>1946</v>
      </c>
      <c r="B1173" s="129" t="s">
        <v>51</v>
      </c>
      <c r="C1173" s="129" t="s">
        <v>44</v>
      </c>
      <c r="D1173">
        <v>11</v>
      </c>
      <c r="E1173">
        <v>20.501000000000001</v>
      </c>
      <c r="F1173">
        <v>1E-4</v>
      </c>
      <c r="G1173" s="129" t="s">
        <v>13</v>
      </c>
      <c r="H1173" s="129" t="s">
        <v>12</v>
      </c>
      <c r="I1173">
        <v>5</v>
      </c>
      <c r="J1173">
        <v>5.01</v>
      </c>
      <c r="K1173" s="129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s="129" t="s">
        <v>1794</v>
      </c>
      <c r="B1174" s="129" t="s">
        <v>51</v>
      </c>
      <c r="C1174" s="129" t="s">
        <v>44</v>
      </c>
      <c r="D1174">
        <v>0</v>
      </c>
      <c r="E1174">
        <v>3.3000999999999999E-4</v>
      </c>
      <c r="F1174">
        <v>1E-3</v>
      </c>
      <c r="G1174" s="129" t="s">
        <v>13</v>
      </c>
      <c r="H1174" s="129" t="s">
        <v>11</v>
      </c>
      <c r="I1174">
        <v>0.01</v>
      </c>
      <c r="J1174">
        <v>2.001E-2</v>
      </c>
      <c r="K1174" s="129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s="129" t="s">
        <v>1795</v>
      </c>
      <c r="B1175" s="129" t="s">
        <v>51</v>
      </c>
      <c r="C1175" s="129" t="s">
        <v>44</v>
      </c>
      <c r="D1175">
        <v>0</v>
      </c>
      <c r="E1175">
        <v>3.3000999999999999E-4</v>
      </c>
      <c r="F1175">
        <v>1E-3</v>
      </c>
      <c r="G1175" s="129" t="s">
        <v>13</v>
      </c>
      <c r="H1175" s="129" t="s">
        <v>11</v>
      </c>
      <c r="I1175">
        <v>0.02</v>
      </c>
      <c r="J1175">
        <v>4.5010000000000001E-2</v>
      </c>
      <c r="K1175" s="129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s="129" t="s">
        <v>2041</v>
      </c>
      <c r="B1176" s="129" t="s">
        <v>51</v>
      </c>
      <c r="C1176" s="129" t="s">
        <v>44</v>
      </c>
      <c r="D1176">
        <v>0</v>
      </c>
      <c r="E1176">
        <v>3.3000999999999999E-4</v>
      </c>
      <c r="F1176">
        <v>1E-3</v>
      </c>
      <c r="G1176" s="129" t="s">
        <v>13</v>
      </c>
      <c r="H1176" s="129" t="s">
        <v>11</v>
      </c>
      <c r="I1176">
        <v>4.4999999999999998E-2</v>
      </c>
      <c r="J1176">
        <v>1.0000100000000001</v>
      </c>
      <c r="K1176" s="129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s="129" t="s">
        <v>2044</v>
      </c>
      <c r="B1177" s="129" t="s">
        <v>51</v>
      </c>
      <c r="C1177" s="129" t="s">
        <v>44</v>
      </c>
      <c r="D1177">
        <v>0</v>
      </c>
      <c r="E1177">
        <v>3.3000999999999999E-4</v>
      </c>
      <c r="F1177">
        <v>1E-3</v>
      </c>
      <c r="G1177" s="129" t="s">
        <v>13</v>
      </c>
      <c r="H1177" s="129" t="s">
        <v>11</v>
      </c>
      <c r="I1177">
        <v>1</v>
      </c>
      <c r="J1177">
        <v>5.01</v>
      </c>
      <c r="K1177" s="129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s="129" t="s">
        <v>1792</v>
      </c>
      <c r="B1178" s="129" t="s">
        <v>51</v>
      </c>
      <c r="C1178" s="129" t="s">
        <v>44</v>
      </c>
      <c r="D1178">
        <v>0</v>
      </c>
      <c r="E1178">
        <v>3.3000999999999999E-4</v>
      </c>
      <c r="F1178">
        <v>1E-3</v>
      </c>
      <c r="G1178" s="129" t="s">
        <v>13</v>
      </c>
      <c r="H1178" s="129" t="s">
        <v>11</v>
      </c>
      <c r="I1178">
        <v>5</v>
      </c>
      <c r="J1178">
        <v>10.01</v>
      </c>
      <c r="K1178" s="129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s="129" t="s">
        <v>1793</v>
      </c>
      <c r="B1179" s="129" t="s">
        <v>51</v>
      </c>
      <c r="C1179" s="129" t="s">
        <v>44</v>
      </c>
      <c r="D1179">
        <v>0</v>
      </c>
      <c r="E1179">
        <v>3.3000999999999999E-4</v>
      </c>
      <c r="F1179">
        <v>1E-3</v>
      </c>
      <c r="G1179" s="129" t="s">
        <v>13</v>
      </c>
      <c r="H1179" s="129" t="s">
        <v>11</v>
      </c>
      <c r="I1179">
        <v>10</v>
      </c>
      <c r="J1179">
        <v>30</v>
      </c>
      <c r="K1179" s="12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s="129" t="s">
        <v>1791</v>
      </c>
      <c r="B1180" s="129" t="s">
        <v>51</v>
      </c>
      <c r="C1180" s="129" t="s">
        <v>44</v>
      </c>
      <c r="D1180">
        <v>0</v>
      </c>
      <c r="E1180">
        <v>3.3000999999999999E-4</v>
      </c>
      <c r="F1180">
        <v>1E-3</v>
      </c>
      <c r="G1180" s="129" t="s">
        <v>13</v>
      </c>
      <c r="H1180" s="129" t="s">
        <v>11</v>
      </c>
      <c r="I1180">
        <v>30</v>
      </c>
      <c r="J1180">
        <v>30.1</v>
      </c>
      <c r="K1180" s="129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s="129" t="s">
        <v>1880</v>
      </c>
      <c r="B1181" s="129" t="s">
        <v>51</v>
      </c>
      <c r="C1181" s="129" t="s">
        <v>44</v>
      </c>
      <c r="D1181">
        <v>3.3000000000000002E-2</v>
      </c>
      <c r="E1181">
        <v>0.33001000000000003</v>
      </c>
      <c r="F1181">
        <v>1E-3</v>
      </c>
      <c r="G1181" s="129" t="s">
        <v>13</v>
      </c>
      <c r="H1181" s="129" t="s">
        <v>12</v>
      </c>
      <c r="I1181">
        <v>0.01</v>
      </c>
      <c r="J1181">
        <v>2.001E-2</v>
      </c>
      <c r="K1181" s="129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s="129" t="s">
        <v>1885</v>
      </c>
      <c r="B1182" s="129" t="s">
        <v>51</v>
      </c>
      <c r="C1182" s="129" t="s">
        <v>44</v>
      </c>
      <c r="D1182">
        <v>3.3000000000000002E-2</v>
      </c>
      <c r="E1182">
        <v>0.33001000000000003</v>
      </c>
      <c r="F1182">
        <v>1E-3</v>
      </c>
      <c r="G1182" s="129" t="s">
        <v>13</v>
      </c>
      <c r="H1182" s="129" t="s">
        <v>12</v>
      </c>
      <c r="I1182">
        <v>0.02</v>
      </c>
      <c r="J1182">
        <v>4.5010000000000001E-2</v>
      </c>
      <c r="K1182" s="129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s="129" t="s">
        <v>1884</v>
      </c>
      <c r="B1183" s="129" t="s">
        <v>51</v>
      </c>
      <c r="C1183" s="129" t="s">
        <v>44</v>
      </c>
      <c r="D1183">
        <v>3.3000000000000002E-2</v>
      </c>
      <c r="E1183">
        <v>0.33001000000000003</v>
      </c>
      <c r="F1183">
        <v>1E-3</v>
      </c>
      <c r="G1183" s="129" t="s">
        <v>13</v>
      </c>
      <c r="H1183" s="129" t="s">
        <v>12</v>
      </c>
      <c r="I1183">
        <v>4.4999999999999998E-2</v>
      </c>
      <c r="J1183">
        <v>1.0000100000000001</v>
      </c>
      <c r="K1183" s="129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s="129" t="s">
        <v>2077</v>
      </c>
      <c r="B1184" s="129" t="s">
        <v>51</v>
      </c>
      <c r="C1184" s="129" t="s">
        <v>44</v>
      </c>
      <c r="D1184">
        <v>3.3000000000000002E-2</v>
      </c>
      <c r="E1184">
        <v>0.33001000000000003</v>
      </c>
      <c r="F1184">
        <v>1E-3</v>
      </c>
      <c r="G1184" s="129" t="s">
        <v>13</v>
      </c>
      <c r="H1184" s="129" t="s">
        <v>12</v>
      </c>
      <c r="I1184">
        <v>1</v>
      </c>
      <c r="J1184">
        <v>5.01</v>
      </c>
      <c r="K1184" s="129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s="129" t="s">
        <v>1883</v>
      </c>
      <c r="B1185" s="129" t="s">
        <v>51</v>
      </c>
      <c r="C1185" s="129" t="s">
        <v>44</v>
      </c>
      <c r="D1185">
        <v>3.3000000000000002E-2</v>
      </c>
      <c r="E1185">
        <v>0.33001000000000003</v>
      </c>
      <c r="F1185">
        <v>1E-3</v>
      </c>
      <c r="G1185" s="129" t="s">
        <v>13</v>
      </c>
      <c r="H1185" s="129" t="s">
        <v>12</v>
      </c>
      <c r="I1185">
        <v>5</v>
      </c>
      <c r="J1185">
        <v>10.01</v>
      </c>
      <c r="K1185" s="129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s="129" t="s">
        <v>1881</v>
      </c>
      <c r="B1186" s="129" t="s">
        <v>51</v>
      </c>
      <c r="C1186" s="129" t="s">
        <v>44</v>
      </c>
      <c r="D1186">
        <v>3.3000000000000002E-2</v>
      </c>
      <c r="E1186">
        <v>0.33001000000000003</v>
      </c>
      <c r="F1186">
        <v>1E-3</v>
      </c>
      <c r="G1186" s="129" t="s">
        <v>13</v>
      </c>
      <c r="H1186" s="129" t="s">
        <v>12</v>
      </c>
      <c r="I1186">
        <v>10</v>
      </c>
      <c r="J1186">
        <v>30</v>
      </c>
      <c r="K1186" s="129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s="129" t="s">
        <v>1882</v>
      </c>
      <c r="B1187" s="129" t="s">
        <v>51</v>
      </c>
      <c r="C1187" s="129" t="s">
        <v>44</v>
      </c>
      <c r="D1187">
        <v>3.3000000000000002E-2</v>
      </c>
      <c r="E1187">
        <v>0.33001000000000003</v>
      </c>
      <c r="F1187">
        <v>1E-3</v>
      </c>
      <c r="G1187" s="129" t="s">
        <v>13</v>
      </c>
      <c r="H1187" s="129" t="s">
        <v>12</v>
      </c>
      <c r="I1187">
        <v>30</v>
      </c>
      <c r="J1187">
        <v>30.01</v>
      </c>
      <c r="K1187" s="129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s="129" t="s">
        <v>1900</v>
      </c>
      <c r="B1188" s="129" t="s">
        <v>51</v>
      </c>
      <c r="C1188" s="129" t="s">
        <v>44</v>
      </c>
      <c r="D1188">
        <v>0.33</v>
      </c>
      <c r="E1188">
        <v>1.1000099999999999</v>
      </c>
      <c r="F1188">
        <v>1E-3</v>
      </c>
      <c r="G1188" s="129" t="s">
        <v>13</v>
      </c>
      <c r="H1188" s="129" t="s">
        <v>12</v>
      </c>
      <c r="I1188">
        <v>0.01</v>
      </c>
      <c r="J1188">
        <v>4.5010000000000001E-2</v>
      </c>
      <c r="K1188" s="129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s="129" t="s">
        <v>1901</v>
      </c>
      <c r="B1189" s="129" t="s">
        <v>51</v>
      </c>
      <c r="C1189" s="129" t="s">
        <v>44</v>
      </c>
      <c r="D1189">
        <v>0.33</v>
      </c>
      <c r="E1189">
        <v>1.1000099999999999</v>
      </c>
      <c r="F1189">
        <v>1E-3</v>
      </c>
      <c r="G1189" s="129" t="s">
        <v>13</v>
      </c>
      <c r="H1189" s="129" t="s">
        <v>12</v>
      </c>
      <c r="I1189">
        <v>4.4999999999999998E-2</v>
      </c>
      <c r="J1189">
        <v>1.0000100000000001</v>
      </c>
      <c r="K1189" s="12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s="129" t="s">
        <v>1902</v>
      </c>
      <c r="B1190" s="129" t="s">
        <v>51</v>
      </c>
      <c r="C1190" s="129" t="s">
        <v>44</v>
      </c>
      <c r="D1190">
        <v>0.33</v>
      </c>
      <c r="E1190">
        <v>1.1000099999999999</v>
      </c>
      <c r="F1190">
        <v>1E-3</v>
      </c>
      <c r="G1190" s="129" t="s">
        <v>13</v>
      </c>
      <c r="H1190" s="129" t="s">
        <v>12</v>
      </c>
      <c r="I1190">
        <v>1</v>
      </c>
      <c r="J1190">
        <v>5.01</v>
      </c>
      <c r="K1190" s="129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s="129" t="s">
        <v>1899</v>
      </c>
      <c r="B1191" s="129" t="s">
        <v>51</v>
      </c>
      <c r="C1191" s="129" t="s">
        <v>44</v>
      </c>
      <c r="D1191">
        <v>0.33</v>
      </c>
      <c r="E1191">
        <v>1.1000099999999999</v>
      </c>
      <c r="F1191">
        <v>1E-3</v>
      </c>
      <c r="G1191" s="129" t="s">
        <v>13</v>
      </c>
      <c r="H1191" s="129" t="s">
        <v>12</v>
      </c>
      <c r="I1191">
        <v>5</v>
      </c>
      <c r="J1191">
        <v>10</v>
      </c>
      <c r="K1191" s="129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s="129" t="s">
        <v>2087</v>
      </c>
      <c r="B1192" s="129" t="s">
        <v>51</v>
      </c>
      <c r="C1192" s="129" t="s">
        <v>44</v>
      </c>
      <c r="D1192">
        <v>0.33</v>
      </c>
      <c r="E1192">
        <v>1.1000099999999999</v>
      </c>
      <c r="F1192">
        <v>1E-3</v>
      </c>
      <c r="G1192" s="129" t="s">
        <v>13</v>
      </c>
      <c r="H1192" s="129" t="s">
        <v>12</v>
      </c>
      <c r="I1192">
        <v>10</v>
      </c>
      <c r="J1192">
        <v>10.01</v>
      </c>
      <c r="K1192" s="129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s="129" t="s">
        <v>2088</v>
      </c>
      <c r="B1193" s="129" t="s">
        <v>51</v>
      </c>
      <c r="C1193" s="129" t="s">
        <v>44</v>
      </c>
      <c r="D1193">
        <v>1.1000000000000001</v>
      </c>
      <c r="E1193">
        <v>3.0009999999999999</v>
      </c>
      <c r="F1193">
        <v>1E-3</v>
      </c>
      <c r="G1193" s="129" t="s">
        <v>13</v>
      </c>
      <c r="H1193" s="129" t="s">
        <v>12</v>
      </c>
      <c r="I1193">
        <v>0.01</v>
      </c>
      <c r="J1193">
        <v>4.5010000000000001E-2</v>
      </c>
      <c r="K1193" s="129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s="129" t="s">
        <v>1918</v>
      </c>
      <c r="B1194" s="129" t="s">
        <v>51</v>
      </c>
      <c r="C1194" s="129" t="s">
        <v>44</v>
      </c>
      <c r="D1194">
        <v>1.1000000000000001</v>
      </c>
      <c r="E1194">
        <v>3.0009999999999999</v>
      </c>
      <c r="F1194">
        <v>1E-3</v>
      </c>
      <c r="G1194" s="129" t="s">
        <v>13</v>
      </c>
      <c r="H1194" s="129" t="s">
        <v>12</v>
      </c>
      <c r="I1194">
        <v>4.4999999999999998E-2</v>
      </c>
      <c r="J1194">
        <v>1.0000100000000001</v>
      </c>
      <c r="K1194" s="129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s="129" t="s">
        <v>2093</v>
      </c>
      <c r="B1195" s="129" t="s">
        <v>51</v>
      </c>
      <c r="C1195" s="129" t="s">
        <v>44</v>
      </c>
      <c r="D1195">
        <v>1.1000000000000001</v>
      </c>
      <c r="E1195">
        <v>3.0009999999999999</v>
      </c>
      <c r="F1195">
        <v>1E-3</v>
      </c>
      <c r="G1195" s="129" t="s">
        <v>13</v>
      </c>
      <c r="H1195" s="129" t="s">
        <v>12</v>
      </c>
      <c r="I1195">
        <v>1</v>
      </c>
      <c r="J1195">
        <v>5.01</v>
      </c>
      <c r="K1195" s="129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s="129" t="s">
        <v>1920</v>
      </c>
      <c r="B1196" s="129" t="s">
        <v>51</v>
      </c>
      <c r="C1196" s="129" t="s">
        <v>44</v>
      </c>
      <c r="D1196">
        <v>1.1000000000000001</v>
      </c>
      <c r="E1196">
        <v>3.0009999999999999</v>
      </c>
      <c r="F1196">
        <v>1E-3</v>
      </c>
      <c r="G1196" s="129" t="s">
        <v>13</v>
      </c>
      <c r="H1196" s="129" t="s">
        <v>12</v>
      </c>
      <c r="I1196">
        <v>5</v>
      </c>
      <c r="J1196">
        <v>10</v>
      </c>
      <c r="K1196" s="129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s="129" t="s">
        <v>1919</v>
      </c>
      <c r="B1197" s="129" t="s">
        <v>51</v>
      </c>
      <c r="C1197" s="129" t="s">
        <v>44</v>
      </c>
      <c r="D1197">
        <v>1.1000000000000001</v>
      </c>
      <c r="E1197">
        <v>3.0009999999999999</v>
      </c>
      <c r="F1197">
        <v>1E-3</v>
      </c>
      <c r="G1197" s="129" t="s">
        <v>13</v>
      </c>
      <c r="H1197" s="129" t="s">
        <v>12</v>
      </c>
      <c r="I1197">
        <v>10</v>
      </c>
      <c r="J1197">
        <v>10.01</v>
      </c>
      <c r="K1197" s="129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s="129" t="s">
        <v>1932</v>
      </c>
      <c r="B1198" s="129" t="s">
        <v>51</v>
      </c>
      <c r="C1198" s="129" t="s">
        <v>44</v>
      </c>
      <c r="D1198">
        <v>3</v>
      </c>
      <c r="E1198">
        <v>11.000999999999999</v>
      </c>
      <c r="F1198">
        <v>1E-3</v>
      </c>
      <c r="G1198" s="129" t="s">
        <v>13</v>
      </c>
      <c r="H1198" s="129" t="s">
        <v>12</v>
      </c>
      <c r="I1198">
        <v>4.4999999999999998E-2</v>
      </c>
      <c r="J1198">
        <v>0.10001</v>
      </c>
      <c r="K1198" s="129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s="129" t="s">
        <v>2098</v>
      </c>
      <c r="B1199" s="129" t="s">
        <v>51</v>
      </c>
      <c r="C1199" s="129" t="s">
        <v>44</v>
      </c>
      <c r="D1199">
        <v>3</v>
      </c>
      <c r="E1199">
        <v>11.000999999999999</v>
      </c>
      <c r="F1199">
        <v>1E-3</v>
      </c>
      <c r="G1199" s="129" t="s">
        <v>13</v>
      </c>
      <c r="H1199" s="129" t="s">
        <v>12</v>
      </c>
      <c r="I1199">
        <v>0.1</v>
      </c>
      <c r="J1199">
        <v>1.0000100000000001</v>
      </c>
      <c r="K1199" s="12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s="129" t="s">
        <v>1933</v>
      </c>
      <c r="B1200" s="129" t="s">
        <v>51</v>
      </c>
      <c r="C1200" s="129" t="s">
        <v>44</v>
      </c>
      <c r="D1200">
        <v>3</v>
      </c>
      <c r="E1200">
        <v>11.000999999999999</v>
      </c>
      <c r="F1200">
        <v>1E-3</v>
      </c>
      <c r="G1200" s="129" t="s">
        <v>13</v>
      </c>
      <c r="H1200" s="129" t="s">
        <v>12</v>
      </c>
      <c r="I1200">
        <v>1</v>
      </c>
      <c r="J1200">
        <v>5</v>
      </c>
      <c r="K1200" s="129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s="129" t="s">
        <v>1931</v>
      </c>
      <c r="B1201" s="129" t="s">
        <v>51</v>
      </c>
      <c r="C1201" s="129" t="s">
        <v>44</v>
      </c>
      <c r="D1201">
        <v>3</v>
      </c>
      <c r="E1201">
        <v>11.000999999999999</v>
      </c>
      <c r="F1201">
        <v>1E-3</v>
      </c>
      <c r="G1201" s="129" t="s">
        <v>13</v>
      </c>
      <c r="H1201" s="129" t="s">
        <v>12</v>
      </c>
      <c r="I1201">
        <v>5</v>
      </c>
      <c r="J1201">
        <v>5.01</v>
      </c>
      <c r="K1201" s="129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s="129" t="s">
        <v>1948</v>
      </c>
      <c r="B1202" s="129" t="s">
        <v>51</v>
      </c>
      <c r="C1202" s="129" t="s">
        <v>44</v>
      </c>
      <c r="D1202">
        <v>11</v>
      </c>
      <c r="E1202">
        <v>20.501000000000001</v>
      </c>
      <c r="F1202">
        <v>1E-3</v>
      </c>
      <c r="G1202" s="129" t="s">
        <v>13</v>
      </c>
      <c r="H1202" s="129" t="s">
        <v>12</v>
      </c>
      <c r="I1202">
        <v>4.4999999999999998E-2</v>
      </c>
      <c r="J1202">
        <v>0.10001</v>
      </c>
      <c r="K1202" s="129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s="129" t="s">
        <v>1949</v>
      </c>
      <c r="B1203" s="129" t="s">
        <v>51</v>
      </c>
      <c r="C1203" s="129" t="s">
        <v>44</v>
      </c>
      <c r="D1203">
        <v>11</v>
      </c>
      <c r="E1203">
        <v>20.501000000000001</v>
      </c>
      <c r="F1203">
        <v>1E-3</v>
      </c>
      <c r="G1203" s="129" t="s">
        <v>13</v>
      </c>
      <c r="H1203" s="129" t="s">
        <v>12</v>
      </c>
      <c r="I1203">
        <v>0.1</v>
      </c>
      <c r="J1203">
        <v>1.0000100000000001</v>
      </c>
      <c r="K1203" s="129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s="129" t="s">
        <v>1947</v>
      </c>
      <c r="B1204" s="129" t="s">
        <v>51</v>
      </c>
      <c r="C1204" s="129" t="s">
        <v>44</v>
      </c>
      <c r="D1204">
        <v>11</v>
      </c>
      <c r="E1204">
        <v>20.501000000000001</v>
      </c>
      <c r="F1204">
        <v>1E-3</v>
      </c>
      <c r="G1204" s="129" t="s">
        <v>13</v>
      </c>
      <c r="H1204" s="129" t="s">
        <v>12</v>
      </c>
      <c r="I1204">
        <v>1</v>
      </c>
      <c r="J1204">
        <v>5</v>
      </c>
      <c r="K1204" s="129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s="129" t="s">
        <v>1950</v>
      </c>
      <c r="B1205" s="129" t="s">
        <v>51</v>
      </c>
      <c r="C1205" s="129" t="s">
        <v>44</v>
      </c>
      <c r="D1205">
        <v>11</v>
      </c>
      <c r="E1205">
        <v>20.501000000000001</v>
      </c>
      <c r="F1205">
        <v>1E-3</v>
      </c>
      <c r="G1205" s="129" t="s">
        <v>13</v>
      </c>
      <c r="H1205" s="129" t="s">
        <v>12</v>
      </c>
      <c r="I1205">
        <v>5</v>
      </c>
      <c r="J1205">
        <v>5.01</v>
      </c>
      <c r="K1205" s="129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s="129" t="s">
        <v>1797</v>
      </c>
      <c r="B1206" s="129" t="s">
        <v>51</v>
      </c>
      <c r="C1206" s="129" t="s">
        <v>44</v>
      </c>
      <c r="D1206">
        <v>0</v>
      </c>
      <c r="E1206">
        <v>3.3000999999999999E-4</v>
      </c>
      <c r="F1206">
        <v>0.01</v>
      </c>
      <c r="G1206" s="129" t="s">
        <v>13</v>
      </c>
      <c r="H1206" s="129" t="s">
        <v>11</v>
      </c>
      <c r="I1206">
        <v>0.01</v>
      </c>
      <c r="J1206">
        <v>2.001E-2</v>
      </c>
      <c r="K1206" s="129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s="129" t="s">
        <v>1798</v>
      </c>
      <c r="B1207" s="129" t="s">
        <v>51</v>
      </c>
      <c r="C1207" s="129" t="s">
        <v>44</v>
      </c>
      <c r="D1207">
        <v>0</v>
      </c>
      <c r="E1207">
        <v>3.3000999999999999E-4</v>
      </c>
      <c r="F1207">
        <v>0.01</v>
      </c>
      <c r="G1207" s="129" t="s">
        <v>13</v>
      </c>
      <c r="H1207" s="129" t="s">
        <v>11</v>
      </c>
      <c r="I1207">
        <v>0.02</v>
      </c>
      <c r="J1207">
        <v>4.5010000000000001E-2</v>
      </c>
      <c r="K1207" s="129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s="129" t="s">
        <v>2042</v>
      </c>
      <c r="B1208" s="129" t="s">
        <v>51</v>
      </c>
      <c r="C1208" s="129" t="s">
        <v>44</v>
      </c>
      <c r="D1208">
        <v>0</v>
      </c>
      <c r="E1208">
        <v>3.3000999999999999E-4</v>
      </c>
      <c r="F1208">
        <v>0.01</v>
      </c>
      <c r="G1208" s="129" t="s">
        <v>13</v>
      </c>
      <c r="H1208" s="129" t="s">
        <v>11</v>
      </c>
      <c r="I1208">
        <v>4.4999999999999998E-2</v>
      </c>
      <c r="J1208">
        <v>1.0000100000000001</v>
      </c>
      <c r="K1208" s="129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s="129" t="s">
        <v>2045</v>
      </c>
      <c r="B1209" s="129" t="s">
        <v>51</v>
      </c>
      <c r="C1209" s="129" t="s">
        <v>44</v>
      </c>
      <c r="D1209">
        <v>0</v>
      </c>
      <c r="E1209">
        <v>3.3000999999999999E-4</v>
      </c>
      <c r="F1209">
        <v>0.01</v>
      </c>
      <c r="G1209" s="129" t="s">
        <v>13</v>
      </c>
      <c r="H1209" s="129" t="s">
        <v>11</v>
      </c>
      <c r="I1209">
        <v>1</v>
      </c>
      <c r="J1209">
        <v>5.01</v>
      </c>
      <c r="K1209" s="12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s="129" t="s">
        <v>1796</v>
      </c>
      <c r="B1210" s="129" t="s">
        <v>51</v>
      </c>
      <c r="C1210" s="129" t="s">
        <v>44</v>
      </c>
      <c r="D1210">
        <v>0</v>
      </c>
      <c r="E1210">
        <v>3.3000999999999999E-4</v>
      </c>
      <c r="F1210">
        <v>0.01</v>
      </c>
      <c r="G1210" s="129" t="s">
        <v>13</v>
      </c>
      <c r="H1210" s="129" t="s">
        <v>11</v>
      </c>
      <c r="I1210">
        <v>5</v>
      </c>
      <c r="J1210">
        <v>10.01</v>
      </c>
      <c r="K1210" s="129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s="129" t="s">
        <v>2050</v>
      </c>
      <c r="B1211" s="129" t="s">
        <v>51</v>
      </c>
      <c r="C1211" s="129" t="s">
        <v>44</v>
      </c>
      <c r="D1211">
        <v>0</v>
      </c>
      <c r="E1211">
        <v>3.3000999999999999E-4</v>
      </c>
      <c r="F1211">
        <v>0.01</v>
      </c>
      <c r="G1211" s="129" t="s">
        <v>13</v>
      </c>
      <c r="H1211" s="129" t="s">
        <v>11</v>
      </c>
      <c r="I1211">
        <v>10</v>
      </c>
      <c r="J1211">
        <v>30</v>
      </c>
      <c r="K1211" s="129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s="129" t="s">
        <v>1799</v>
      </c>
      <c r="B1212" s="129" t="s">
        <v>51</v>
      </c>
      <c r="C1212" s="129" t="s">
        <v>44</v>
      </c>
      <c r="D1212">
        <v>0</v>
      </c>
      <c r="E1212">
        <v>3.3000999999999999E-4</v>
      </c>
      <c r="F1212">
        <v>0.01</v>
      </c>
      <c r="G1212" s="129" t="s">
        <v>13</v>
      </c>
      <c r="H1212" s="129" t="s">
        <v>11</v>
      </c>
      <c r="I1212">
        <v>30</v>
      </c>
      <c r="J1212">
        <v>30.1</v>
      </c>
      <c r="K1212" s="129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s="129" t="s">
        <v>1889</v>
      </c>
      <c r="B1213" s="129" t="s">
        <v>51</v>
      </c>
      <c r="C1213" s="129" t="s">
        <v>44</v>
      </c>
      <c r="D1213">
        <v>3.3000000000000002E-2</v>
      </c>
      <c r="E1213">
        <v>0.33001000000000003</v>
      </c>
      <c r="F1213">
        <v>0.01</v>
      </c>
      <c r="G1213" s="129" t="s">
        <v>13</v>
      </c>
      <c r="H1213" s="129" t="s">
        <v>12</v>
      </c>
      <c r="I1213">
        <v>0.01</v>
      </c>
      <c r="J1213">
        <v>2.001E-2</v>
      </c>
      <c r="K1213" s="129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s="129" t="s">
        <v>1890</v>
      </c>
      <c r="B1214" s="129" t="s">
        <v>51</v>
      </c>
      <c r="C1214" s="129" t="s">
        <v>44</v>
      </c>
      <c r="D1214">
        <v>3.3000000000000002E-2</v>
      </c>
      <c r="E1214">
        <v>0.33001000000000003</v>
      </c>
      <c r="F1214">
        <v>0.01</v>
      </c>
      <c r="G1214" s="129" t="s">
        <v>13</v>
      </c>
      <c r="H1214" s="129" t="s">
        <v>12</v>
      </c>
      <c r="I1214">
        <v>0.02</v>
      </c>
      <c r="J1214">
        <v>4.5010000000000001E-2</v>
      </c>
      <c r="K1214" s="129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s="129" t="s">
        <v>1888</v>
      </c>
      <c r="B1215" s="129" t="s">
        <v>51</v>
      </c>
      <c r="C1215" s="129" t="s">
        <v>44</v>
      </c>
      <c r="D1215">
        <v>3.3000000000000002E-2</v>
      </c>
      <c r="E1215">
        <v>0.33001000000000003</v>
      </c>
      <c r="F1215">
        <v>0.01</v>
      </c>
      <c r="G1215" s="129" t="s">
        <v>13</v>
      </c>
      <c r="H1215" s="129" t="s">
        <v>12</v>
      </c>
      <c r="I1215">
        <v>4.4999999999999998E-2</v>
      </c>
      <c r="J1215">
        <v>1.0000100000000001</v>
      </c>
      <c r="K1215" s="129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s="129" t="s">
        <v>1891</v>
      </c>
      <c r="B1216" s="129" t="s">
        <v>51</v>
      </c>
      <c r="C1216" s="129" t="s">
        <v>44</v>
      </c>
      <c r="D1216">
        <v>3.3000000000000002E-2</v>
      </c>
      <c r="E1216">
        <v>0.33001000000000003</v>
      </c>
      <c r="F1216">
        <v>0.01</v>
      </c>
      <c r="G1216" s="129" t="s">
        <v>13</v>
      </c>
      <c r="H1216" s="129" t="s">
        <v>12</v>
      </c>
      <c r="I1216">
        <v>1</v>
      </c>
      <c r="J1216">
        <v>5.01</v>
      </c>
      <c r="K1216" s="129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s="129" t="s">
        <v>1887</v>
      </c>
      <c r="B1217" s="129" t="s">
        <v>51</v>
      </c>
      <c r="C1217" s="129" t="s">
        <v>44</v>
      </c>
      <c r="D1217">
        <v>3.3000000000000002E-2</v>
      </c>
      <c r="E1217">
        <v>0.33001000000000003</v>
      </c>
      <c r="F1217">
        <v>0.01</v>
      </c>
      <c r="G1217" s="129" t="s">
        <v>13</v>
      </c>
      <c r="H1217" s="129" t="s">
        <v>12</v>
      </c>
      <c r="I1217">
        <v>5</v>
      </c>
      <c r="J1217">
        <v>10.01</v>
      </c>
      <c r="K1217" s="129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s="129" t="s">
        <v>2079</v>
      </c>
      <c r="B1218" s="129" t="s">
        <v>51</v>
      </c>
      <c r="C1218" s="129" t="s">
        <v>44</v>
      </c>
      <c r="D1218">
        <v>3.3000000000000002E-2</v>
      </c>
      <c r="E1218">
        <v>0.33001000000000003</v>
      </c>
      <c r="F1218">
        <v>0.01</v>
      </c>
      <c r="G1218" s="129" t="s">
        <v>13</v>
      </c>
      <c r="H1218" s="129" t="s">
        <v>12</v>
      </c>
      <c r="I1218">
        <v>10</v>
      </c>
      <c r="J1218">
        <v>30</v>
      </c>
      <c r="K1218" s="129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s="129" t="s">
        <v>1886</v>
      </c>
      <c r="B1219" s="129" t="s">
        <v>51</v>
      </c>
      <c r="C1219" s="129" t="s">
        <v>44</v>
      </c>
      <c r="D1219">
        <v>3.3000000000000002E-2</v>
      </c>
      <c r="E1219">
        <v>0.33001000000000003</v>
      </c>
      <c r="F1219">
        <v>0.01</v>
      </c>
      <c r="G1219" s="129" t="s">
        <v>13</v>
      </c>
      <c r="H1219" s="129" t="s">
        <v>12</v>
      </c>
      <c r="I1219">
        <v>30</v>
      </c>
      <c r="J1219">
        <v>30.01</v>
      </c>
      <c r="K1219" s="12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s="129" t="s">
        <v>2081</v>
      </c>
      <c r="B1220" s="129" t="s">
        <v>51</v>
      </c>
      <c r="C1220" s="129" t="s">
        <v>44</v>
      </c>
      <c r="D1220">
        <v>0.33</v>
      </c>
      <c r="E1220">
        <v>1.1000099999999999</v>
      </c>
      <c r="F1220">
        <v>0.01</v>
      </c>
      <c r="G1220" s="129" t="s">
        <v>13</v>
      </c>
      <c r="H1220" s="129" t="s">
        <v>12</v>
      </c>
      <c r="I1220">
        <v>0.01</v>
      </c>
      <c r="J1220">
        <v>4.5010000000000001E-2</v>
      </c>
      <c r="K1220" s="129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s="129" t="s">
        <v>1906</v>
      </c>
      <c r="B1221" s="129" t="s">
        <v>51</v>
      </c>
      <c r="C1221" s="129" t="s">
        <v>44</v>
      </c>
      <c r="D1221">
        <v>0.33</v>
      </c>
      <c r="E1221">
        <v>1.1000099999999999</v>
      </c>
      <c r="F1221">
        <v>0.01</v>
      </c>
      <c r="G1221" s="129" t="s">
        <v>13</v>
      </c>
      <c r="H1221" s="129" t="s">
        <v>12</v>
      </c>
      <c r="I1221">
        <v>4.4999999999999998E-2</v>
      </c>
      <c r="J1221">
        <v>1.0000100000000001</v>
      </c>
      <c r="K1221" s="129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s="129" t="s">
        <v>1903</v>
      </c>
      <c r="B1222" s="129" t="s">
        <v>51</v>
      </c>
      <c r="C1222" s="129" t="s">
        <v>44</v>
      </c>
      <c r="D1222">
        <v>0.33</v>
      </c>
      <c r="E1222">
        <v>1.1000099999999999</v>
      </c>
      <c r="F1222">
        <v>0.01</v>
      </c>
      <c r="G1222" s="129" t="s">
        <v>13</v>
      </c>
      <c r="H1222" s="129" t="s">
        <v>12</v>
      </c>
      <c r="I1222">
        <v>1</v>
      </c>
      <c r="J1222">
        <v>5.01</v>
      </c>
      <c r="K1222" s="129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s="129" t="s">
        <v>1904</v>
      </c>
      <c r="B1223" s="129" t="s">
        <v>51</v>
      </c>
      <c r="C1223" s="129" t="s">
        <v>44</v>
      </c>
      <c r="D1223">
        <v>0.33</v>
      </c>
      <c r="E1223">
        <v>1.1000099999999999</v>
      </c>
      <c r="F1223">
        <v>0.01</v>
      </c>
      <c r="G1223" s="129" t="s">
        <v>13</v>
      </c>
      <c r="H1223" s="129" t="s">
        <v>12</v>
      </c>
      <c r="I1223">
        <v>5</v>
      </c>
      <c r="J1223">
        <v>10</v>
      </c>
      <c r="K1223" s="129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s="129" t="s">
        <v>1905</v>
      </c>
      <c r="B1224" s="129" t="s">
        <v>51</v>
      </c>
      <c r="C1224" s="129" t="s">
        <v>44</v>
      </c>
      <c r="D1224">
        <v>0.33</v>
      </c>
      <c r="E1224">
        <v>1.1000099999999999</v>
      </c>
      <c r="F1224">
        <v>0.01</v>
      </c>
      <c r="G1224" s="129" t="s">
        <v>13</v>
      </c>
      <c r="H1224" s="129" t="s">
        <v>12</v>
      </c>
      <c r="I1224">
        <v>10</v>
      </c>
      <c r="J1224">
        <v>10.01</v>
      </c>
      <c r="K1224" s="129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s="129" t="s">
        <v>1923</v>
      </c>
      <c r="B1225" s="129" t="s">
        <v>51</v>
      </c>
      <c r="C1225" s="129" t="s">
        <v>44</v>
      </c>
      <c r="D1225">
        <v>1.1000000000000001</v>
      </c>
      <c r="E1225">
        <v>3.0009999999999999</v>
      </c>
      <c r="F1225">
        <v>0.01</v>
      </c>
      <c r="G1225" s="129" t="s">
        <v>13</v>
      </c>
      <c r="H1225" s="129" t="s">
        <v>12</v>
      </c>
      <c r="I1225">
        <v>0.01</v>
      </c>
      <c r="J1225">
        <v>4.5010000000000001E-2</v>
      </c>
      <c r="K1225" s="129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s="129" t="s">
        <v>1922</v>
      </c>
      <c r="B1226" s="129" t="s">
        <v>51</v>
      </c>
      <c r="C1226" s="129" t="s">
        <v>44</v>
      </c>
      <c r="D1226">
        <v>1.1000000000000001</v>
      </c>
      <c r="E1226">
        <v>3.0009999999999999</v>
      </c>
      <c r="F1226">
        <v>0.01</v>
      </c>
      <c r="G1226" s="129" t="s">
        <v>13</v>
      </c>
      <c r="H1226" s="129" t="s">
        <v>12</v>
      </c>
      <c r="I1226">
        <v>4.4999999999999998E-2</v>
      </c>
      <c r="J1226">
        <v>1.0000100000000001</v>
      </c>
      <c r="K1226" s="129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s="129" t="s">
        <v>1924</v>
      </c>
      <c r="B1227" s="129" t="s">
        <v>51</v>
      </c>
      <c r="C1227" s="129" t="s">
        <v>44</v>
      </c>
      <c r="D1227">
        <v>1.1000000000000001</v>
      </c>
      <c r="E1227">
        <v>3.0009999999999999</v>
      </c>
      <c r="F1227">
        <v>0.01</v>
      </c>
      <c r="G1227" s="129" t="s">
        <v>13</v>
      </c>
      <c r="H1227" s="129" t="s">
        <v>12</v>
      </c>
      <c r="I1227">
        <v>1</v>
      </c>
      <c r="J1227">
        <v>5.01</v>
      </c>
      <c r="K1227" s="129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s="129" t="s">
        <v>1925</v>
      </c>
      <c r="B1228" s="129" t="s">
        <v>51</v>
      </c>
      <c r="C1228" s="129" t="s">
        <v>44</v>
      </c>
      <c r="D1228">
        <v>1.1000000000000001</v>
      </c>
      <c r="E1228">
        <v>3.0009999999999999</v>
      </c>
      <c r="F1228">
        <v>0.01</v>
      </c>
      <c r="G1228" s="129" t="s">
        <v>13</v>
      </c>
      <c r="H1228" s="129" t="s">
        <v>12</v>
      </c>
      <c r="I1228">
        <v>5</v>
      </c>
      <c r="J1228">
        <v>10</v>
      </c>
      <c r="K1228" s="129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s="129" t="s">
        <v>1921</v>
      </c>
      <c r="B1229" s="129" t="s">
        <v>51</v>
      </c>
      <c r="C1229" s="129" t="s">
        <v>44</v>
      </c>
      <c r="D1229">
        <v>1.1000000000000001</v>
      </c>
      <c r="E1229">
        <v>3.0009999999999999</v>
      </c>
      <c r="F1229">
        <v>0.01</v>
      </c>
      <c r="G1229" s="129" t="s">
        <v>13</v>
      </c>
      <c r="H1229" s="129" t="s">
        <v>12</v>
      </c>
      <c r="I1229">
        <v>10</v>
      </c>
      <c r="J1229">
        <v>10.01</v>
      </c>
      <c r="K1229" s="1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s="129" t="s">
        <v>2095</v>
      </c>
      <c r="B1230" s="129" t="s">
        <v>51</v>
      </c>
      <c r="C1230" s="129" t="s">
        <v>44</v>
      </c>
      <c r="D1230">
        <v>3</v>
      </c>
      <c r="E1230">
        <v>11.000999999999999</v>
      </c>
      <c r="F1230">
        <v>0.01</v>
      </c>
      <c r="G1230" s="129" t="s">
        <v>13</v>
      </c>
      <c r="H1230" s="129" t="s">
        <v>12</v>
      </c>
      <c r="I1230">
        <v>4.4999999999999998E-2</v>
      </c>
      <c r="J1230">
        <v>0.10001</v>
      </c>
      <c r="K1230" s="129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s="129" t="s">
        <v>1935</v>
      </c>
      <c r="B1231" s="129" t="s">
        <v>51</v>
      </c>
      <c r="C1231" s="129" t="s">
        <v>44</v>
      </c>
      <c r="D1231">
        <v>3</v>
      </c>
      <c r="E1231">
        <v>11.000999999999999</v>
      </c>
      <c r="F1231">
        <v>0.01</v>
      </c>
      <c r="G1231" s="129" t="s">
        <v>13</v>
      </c>
      <c r="H1231" s="129" t="s">
        <v>12</v>
      </c>
      <c r="I1231">
        <v>0.1</v>
      </c>
      <c r="J1231">
        <v>1.0000100000000001</v>
      </c>
      <c r="K1231" s="129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s="129" t="s">
        <v>1934</v>
      </c>
      <c r="B1232" s="129" t="s">
        <v>51</v>
      </c>
      <c r="C1232" s="129" t="s">
        <v>44</v>
      </c>
      <c r="D1232">
        <v>3</v>
      </c>
      <c r="E1232">
        <v>11.000999999999999</v>
      </c>
      <c r="F1232">
        <v>0.01</v>
      </c>
      <c r="G1232" s="129" t="s">
        <v>13</v>
      </c>
      <c r="H1232" s="129" t="s">
        <v>12</v>
      </c>
      <c r="I1232">
        <v>1</v>
      </c>
      <c r="J1232">
        <v>5</v>
      </c>
      <c r="K1232" s="129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s="129" t="s">
        <v>2099</v>
      </c>
      <c r="B1233" s="129" t="s">
        <v>51</v>
      </c>
      <c r="C1233" s="129" t="s">
        <v>44</v>
      </c>
      <c r="D1233">
        <v>3</v>
      </c>
      <c r="E1233">
        <v>11.000999999999999</v>
      </c>
      <c r="F1233">
        <v>0.01</v>
      </c>
      <c r="G1233" s="129" t="s">
        <v>13</v>
      </c>
      <c r="H1233" s="129" t="s">
        <v>12</v>
      </c>
      <c r="I1233">
        <v>5</v>
      </c>
      <c r="J1233">
        <v>5.01</v>
      </c>
      <c r="K1233" s="129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s="129" t="s">
        <v>2100</v>
      </c>
      <c r="B1234" s="129" t="s">
        <v>51</v>
      </c>
      <c r="C1234" s="129" t="s">
        <v>44</v>
      </c>
      <c r="D1234">
        <v>11</v>
      </c>
      <c r="E1234">
        <v>20.501000000000001</v>
      </c>
      <c r="F1234">
        <v>0.01</v>
      </c>
      <c r="G1234" s="129" t="s">
        <v>13</v>
      </c>
      <c r="H1234" s="129" t="s">
        <v>12</v>
      </c>
      <c r="I1234">
        <v>4.4999999999999998E-2</v>
      </c>
      <c r="J1234">
        <v>0.10001</v>
      </c>
      <c r="K1234" s="129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s="129" t="s">
        <v>1952</v>
      </c>
      <c r="B1235" s="129" t="s">
        <v>51</v>
      </c>
      <c r="C1235" s="129" t="s">
        <v>44</v>
      </c>
      <c r="D1235">
        <v>11</v>
      </c>
      <c r="E1235">
        <v>20.501000000000001</v>
      </c>
      <c r="F1235">
        <v>0.01</v>
      </c>
      <c r="G1235" s="129" t="s">
        <v>13</v>
      </c>
      <c r="H1235" s="129" t="s">
        <v>12</v>
      </c>
      <c r="I1235">
        <v>0.1</v>
      </c>
      <c r="J1235">
        <v>1.0000100000000001</v>
      </c>
      <c r="K1235" s="129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s="129" t="s">
        <v>1953</v>
      </c>
      <c r="B1236" s="129" t="s">
        <v>51</v>
      </c>
      <c r="C1236" s="129" t="s">
        <v>44</v>
      </c>
      <c r="D1236">
        <v>11</v>
      </c>
      <c r="E1236">
        <v>20.501000000000001</v>
      </c>
      <c r="F1236">
        <v>0.01</v>
      </c>
      <c r="G1236" s="129" t="s">
        <v>13</v>
      </c>
      <c r="H1236" s="129" t="s">
        <v>12</v>
      </c>
      <c r="I1236">
        <v>1</v>
      </c>
      <c r="J1236">
        <v>5</v>
      </c>
      <c r="K1236" s="129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s="129" t="s">
        <v>1951</v>
      </c>
      <c r="B1237" s="129" t="s">
        <v>51</v>
      </c>
      <c r="C1237" s="129" t="s">
        <v>44</v>
      </c>
      <c r="D1237">
        <v>11</v>
      </c>
      <c r="E1237">
        <v>20.501000000000001</v>
      </c>
      <c r="F1237">
        <v>0.01</v>
      </c>
      <c r="G1237" s="129" t="s">
        <v>13</v>
      </c>
      <c r="H1237" s="129" t="s">
        <v>12</v>
      </c>
      <c r="I1237">
        <v>5</v>
      </c>
      <c r="J1237">
        <v>5.01</v>
      </c>
      <c r="K1237" s="129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s="129" t="s">
        <v>1800</v>
      </c>
      <c r="B1238" s="129" t="s">
        <v>51</v>
      </c>
      <c r="C1238" s="129" t="s">
        <v>44</v>
      </c>
      <c r="D1238">
        <v>0</v>
      </c>
      <c r="E1238">
        <v>3.3000999999999999E-4</v>
      </c>
      <c r="F1238">
        <v>0.1</v>
      </c>
      <c r="G1238" s="129" t="s">
        <v>13</v>
      </c>
      <c r="H1238" s="129" t="s">
        <v>11</v>
      </c>
      <c r="I1238">
        <v>0.01</v>
      </c>
      <c r="J1238">
        <v>2.001E-2</v>
      </c>
      <c r="K1238" s="129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s="129" t="s">
        <v>1805</v>
      </c>
      <c r="B1239" s="129" t="s">
        <v>51</v>
      </c>
      <c r="C1239" s="129" t="s">
        <v>44</v>
      </c>
      <c r="D1239">
        <v>0</v>
      </c>
      <c r="E1239">
        <v>3.3000999999999999E-4</v>
      </c>
      <c r="F1239">
        <v>0.1</v>
      </c>
      <c r="G1239" s="129" t="s">
        <v>13</v>
      </c>
      <c r="H1239" s="129" t="s">
        <v>11</v>
      </c>
      <c r="I1239">
        <v>0.02</v>
      </c>
      <c r="J1239">
        <v>4.5010000000000001E-2</v>
      </c>
      <c r="K1239" s="12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s="129" t="s">
        <v>1804</v>
      </c>
      <c r="B1240" s="129" t="s">
        <v>51</v>
      </c>
      <c r="C1240" s="129" t="s">
        <v>44</v>
      </c>
      <c r="D1240">
        <v>0</v>
      </c>
      <c r="E1240">
        <v>3.3000999999999999E-4</v>
      </c>
      <c r="F1240">
        <v>0.1</v>
      </c>
      <c r="G1240" s="129" t="s">
        <v>13</v>
      </c>
      <c r="H1240" s="129" t="s">
        <v>11</v>
      </c>
      <c r="I1240">
        <v>4.4999999999999998E-2</v>
      </c>
      <c r="J1240">
        <v>1.0000100000000001</v>
      </c>
      <c r="K1240" s="129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s="129" t="s">
        <v>2046</v>
      </c>
      <c r="B1241" s="129" t="s">
        <v>51</v>
      </c>
      <c r="C1241" s="129" t="s">
        <v>44</v>
      </c>
      <c r="D1241">
        <v>0</v>
      </c>
      <c r="E1241">
        <v>3.3000999999999999E-4</v>
      </c>
      <c r="F1241">
        <v>0.1</v>
      </c>
      <c r="G1241" s="129" t="s">
        <v>13</v>
      </c>
      <c r="H1241" s="129" t="s">
        <v>11</v>
      </c>
      <c r="I1241">
        <v>1</v>
      </c>
      <c r="J1241">
        <v>5.01</v>
      </c>
      <c r="K1241" s="129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s="129" t="s">
        <v>1802</v>
      </c>
      <c r="B1242" s="129" t="s">
        <v>51</v>
      </c>
      <c r="C1242" s="129" t="s">
        <v>44</v>
      </c>
      <c r="D1242">
        <v>0</v>
      </c>
      <c r="E1242">
        <v>3.3000999999999999E-4</v>
      </c>
      <c r="F1242">
        <v>0.1</v>
      </c>
      <c r="G1242" s="129" t="s">
        <v>13</v>
      </c>
      <c r="H1242" s="129" t="s">
        <v>11</v>
      </c>
      <c r="I1242">
        <v>5</v>
      </c>
      <c r="J1242">
        <v>10.01</v>
      </c>
      <c r="K1242" s="129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s="129" t="s">
        <v>1801</v>
      </c>
      <c r="B1243" s="129" t="s">
        <v>51</v>
      </c>
      <c r="C1243" s="129" t="s">
        <v>44</v>
      </c>
      <c r="D1243">
        <v>0</v>
      </c>
      <c r="E1243">
        <v>3.3000999999999999E-4</v>
      </c>
      <c r="F1243">
        <v>0.1</v>
      </c>
      <c r="G1243" s="129" t="s">
        <v>13</v>
      </c>
      <c r="H1243" s="129" t="s">
        <v>11</v>
      </c>
      <c r="I1243">
        <v>10</v>
      </c>
      <c r="J1243">
        <v>30</v>
      </c>
      <c r="K1243" s="129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s="129" t="s">
        <v>1803</v>
      </c>
      <c r="B1244" s="129" t="s">
        <v>51</v>
      </c>
      <c r="C1244" s="129" t="s">
        <v>44</v>
      </c>
      <c r="D1244">
        <v>0</v>
      </c>
      <c r="E1244">
        <v>3.3000999999999999E-4</v>
      </c>
      <c r="F1244">
        <v>0.1</v>
      </c>
      <c r="G1244" s="129" t="s">
        <v>13</v>
      </c>
      <c r="H1244" s="129" t="s">
        <v>11</v>
      </c>
      <c r="I1244">
        <v>30</v>
      </c>
      <c r="J1244">
        <v>30.1</v>
      </c>
      <c r="K1244" s="129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s="129" t="s">
        <v>2082</v>
      </c>
      <c r="B1245" s="129" t="s">
        <v>51</v>
      </c>
      <c r="C1245" s="129" t="s">
        <v>44</v>
      </c>
      <c r="D1245">
        <v>0.33</v>
      </c>
      <c r="E1245">
        <v>1.1000099999999999</v>
      </c>
      <c r="F1245">
        <v>0.1</v>
      </c>
      <c r="G1245" s="129" t="s">
        <v>13</v>
      </c>
      <c r="H1245" s="129" t="s">
        <v>12</v>
      </c>
      <c r="I1245">
        <v>0.01</v>
      </c>
      <c r="J1245">
        <v>4.5010000000000001E-2</v>
      </c>
      <c r="K1245" s="129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s="129" t="s">
        <v>1908</v>
      </c>
      <c r="B1246" s="129" t="s">
        <v>51</v>
      </c>
      <c r="C1246" s="129" t="s">
        <v>44</v>
      </c>
      <c r="D1246">
        <v>0.33</v>
      </c>
      <c r="E1246">
        <v>1.1000099999999999</v>
      </c>
      <c r="F1246">
        <v>0.1</v>
      </c>
      <c r="G1246" s="129" t="s">
        <v>13</v>
      </c>
      <c r="H1246" s="129" t="s">
        <v>12</v>
      </c>
      <c r="I1246">
        <v>4.4999999999999998E-2</v>
      </c>
      <c r="J1246">
        <v>1.0000100000000001</v>
      </c>
      <c r="K1246" s="129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s="129" t="s">
        <v>1907</v>
      </c>
      <c r="B1247" s="129" t="s">
        <v>51</v>
      </c>
      <c r="C1247" s="129" t="s">
        <v>44</v>
      </c>
      <c r="D1247">
        <v>0.33</v>
      </c>
      <c r="E1247">
        <v>1.1000099999999999</v>
      </c>
      <c r="F1247">
        <v>0.1</v>
      </c>
      <c r="G1247" s="129" t="s">
        <v>13</v>
      </c>
      <c r="H1247" s="129" t="s">
        <v>12</v>
      </c>
      <c r="I1247">
        <v>1</v>
      </c>
      <c r="J1247">
        <v>5.01</v>
      </c>
      <c r="K1247" s="129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s="129" t="s">
        <v>2085</v>
      </c>
      <c r="B1248" s="129" t="s">
        <v>51</v>
      </c>
      <c r="C1248" s="129" t="s">
        <v>44</v>
      </c>
      <c r="D1248">
        <v>0.33</v>
      </c>
      <c r="E1248">
        <v>1.1000099999999999</v>
      </c>
      <c r="F1248">
        <v>0.1</v>
      </c>
      <c r="G1248" s="129" t="s">
        <v>13</v>
      </c>
      <c r="H1248" s="129" t="s">
        <v>12</v>
      </c>
      <c r="I1248">
        <v>5</v>
      </c>
      <c r="J1248">
        <v>10</v>
      </c>
      <c r="K1248" s="129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s="129" t="s">
        <v>1909</v>
      </c>
      <c r="B1249" s="129" t="s">
        <v>51</v>
      </c>
      <c r="C1249" s="129" t="s">
        <v>44</v>
      </c>
      <c r="D1249">
        <v>0.33</v>
      </c>
      <c r="E1249">
        <v>1.1000099999999999</v>
      </c>
      <c r="F1249">
        <v>0.1</v>
      </c>
      <c r="G1249" s="129" t="s">
        <v>13</v>
      </c>
      <c r="H1249" s="129" t="s">
        <v>12</v>
      </c>
      <c r="I1249">
        <v>10</v>
      </c>
      <c r="J1249">
        <v>10.01</v>
      </c>
      <c r="K1249" s="12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s="129" t="s">
        <v>2089</v>
      </c>
      <c r="B1250" s="129" t="s">
        <v>51</v>
      </c>
      <c r="C1250" s="129" t="s">
        <v>44</v>
      </c>
      <c r="D1250">
        <v>1.1000000000000001</v>
      </c>
      <c r="E1250">
        <v>3.0009999999999999</v>
      </c>
      <c r="F1250">
        <v>0.1</v>
      </c>
      <c r="G1250" s="129" t="s">
        <v>13</v>
      </c>
      <c r="H1250" s="129" t="s">
        <v>12</v>
      </c>
      <c r="I1250">
        <v>0.01</v>
      </c>
      <c r="J1250">
        <v>4.5010000000000001E-2</v>
      </c>
      <c r="K1250" s="129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s="129" t="s">
        <v>2091</v>
      </c>
      <c r="B1251" s="129" t="s">
        <v>51</v>
      </c>
      <c r="C1251" s="129" t="s">
        <v>44</v>
      </c>
      <c r="D1251">
        <v>1.1000000000000001</v>
      </c>
      <c r="E1251">
        <v>3.0009999999999999</v>
      </c>
      <c r="F1251">
        <v>0.1</v>
      </c>
      <c r="G1251" s="129" t="s">
        <v>13</v>
      </c>
      <c r="H1251" s="129" t="s">
        <v>12</v>
      </c>
      <c r="I1251">
        <v>4.4999999999999998E-2</v>
      </c>
      <c r="J1251">
        <v>1.0000100000000001</v>
      </c>
      <c r="K1251" s="129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s="129" t="s">
        <v>1927</v>
      </c>
      <c r="B1252" s="129" t="s">
        <v>51</v>
      </c>
      <c r="C1252" s="129" t="s">
        <v>44</v>
      </c>
      <c r="D1252">
        <v>1.1000000000000001</v>
      </c>
      <c r="E1252">
        <v>3.0009999999999999</v>
      </c>
      <c r="F1252">
        <v>0.1</v>
      </c>
      <c r="G1252" s="129" t="s">
        <v>13</v>
      </c>
      <c r="H1252" s="129" t="s">
        <v>12</v>
      </c>
      <c r="I1252">
        <v>1</v>
      </c>
      <c r="J1252">
        <v>5.01</v>
      </c>
      <c r="K1252" s="129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s="129" t="s">
        <v>1928</v>
      </c>
      <c r="B1253" s="129" t="s">
        <v>51</v>
      </c>
      <c r="C1253" s="129" t="s">
        <v>44</v>
      </c>
      <c r="D1253">
        <v>1.1000000000000001</v>
      </c>
      <c r="E1253">
        <v>3.0009999999999999</v>
      </c>
      <c r="F1253">
        <v>0.1</v>
      </c>
      <c r="G1253" s="129" t="s">
        <v>13</v>
      </c>
      <c r="H1253" s="129" t="s">
        <v>12</v>
      </c>
      <c r="I1253">
        <v>5</v>
      </c>
      <c r="J1253">
        <v>10</v>
      </c>
      <c r="K1253" s="129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s="129" t="s">
        <v>1926</v>
      </c>
      <c r="B1254" s="129" t="s">
        <v>51</v>
      </c>
      <c r="C1254" s="129" t="s">
        <v>44</v>
      </c>
      <c r="D1254">
        <v>1.1000000000000001</v>
      </c>
      <c r="E1254">
        <v>3.0009999999999999</v>
      </c>
      <c r="F1254">
        <v>0.1</v>
      </c>
      <c r="G1254" s="129" t="s">
        <v>13</v>
      </c>
      <c r="H1254" s="129" t="s">
        <v>12</v>
      </c>
      <c r="I1254">
        <v>10</v>
      </c>
      <c r="J1254">
        <v>10.01</v>
      </c>
      <c r="K1254" s="129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s="129" t="s">
        <v>2096</v>
      </c>
      <c r="B1255" s="129" t="s">
        <v>51</v>
      </c>
      <c r="C1255" s="129" t="s">
        <v>44</v>
      </c>
      <c r="D1255">
        <v>3</v>
      </c>
      <c r="E1255">
        <v>11.000999999999999</v>
      </c>
      <c r="F1255">
        <v>0.1</v>
      </c>
      <c r="G1255" s="129" t="s">
        <v>13</v>
      </c>
      <c r="H1255" s="129" t="s">
        <v>12</v>
      </c>
      <c r="I1255">
        <v>4.4999999999999998E-2</v>
      </c>
      <c r="J1255">
        <v>0.10001</v>
      </c>
      <c r="K1255" s="129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s="129" t="s">
        <v>1936</v>
      </c>
      <c r="B1256" s="129" t="s">
        <v>51</v>
      </c>
      <c r="C1256" s="129" t="s">
        <v>44</v>
      </c>
      <c r="D1256">
        <v>3</v>
      </c>
      <c r="E1256">
        <v>11.000999999999999</v>
      </c>
      <c r="F1256">
        <v>0.1</v>
      </c>
      <c r="G1256" s="129" t="s">
        <v>13</v>
      </c>
      <c r="H1256" s="129" t="s">
        <v>12</v>
      </c>
      <c r="I1256">
        <v>0.1</v>
      </c>
      <c r="J1256">
        <v>1.0000100000000001</v>
      </c>
      <c r="K1256" s="129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s="129" t="s">
        <v>1937</v>
      </c>
      <c r="B1257" s="129" t="s">
        <v>51</v>
      </c>
      <c r="C1257" s="129" t="s">
        <v>44</v>
      </c>
      <c r="D1257">
        <v>3</v>
      </c>
      <c r="E1257">
        <v>11.000999999999999</v>
      </c>
      <c r="F1257">
        <v>0.1</v>
      </c>
      <c r="G1257" s="129" t="s">
        <v>13</v>
      </c>
      <c r="H1257" s="129" t="s">
        <v>12</v>
      </c>
      <c r="I1257">
        <v>1</v>
      </c>
      <c r="J1257">
        <v>5</v>
      </c>
      <c r="K1257" s="129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s="129" t="s">
        <v>1938</v>
      </c>
      <c r="B1258" s="129" t="s">
        <v>51</v>
      </c>
      <c r="C1258" s="129" t="s">
        <v>44</v>
      </c>
      <c r="D1258">
        <v>3</v>
      </c>
      <c r="E1258">
        <v>11.000999999999999</v>
      </c>
      <c r="F1258">
        <v>0.1</v>
      </c>
      <c r="G1258" s="129" t="s">
        <v>13</v>
      </c>
      <c r="H1258" s="129" t="s">
        <v>12</v>
      </c>
      <c r="I1258">
        <v>5</v>
      </c>
      <c r="J1258">
        <v>5.01</v>
      </c>
      <c r="K1258" s="129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s="129" t="s">
        <v>1954</v>
      </c>
      <c r="B1259" s="129" t="s">
        <v>51</v>
      </c>
      <c r="C1259" s="129" t="s">
        <v>44</v>
      </c>
      <c r="D1259">
        <v>11</v>
      </c>
      <c r="E1259">
        <v>20.501000000000001</v>
      </c>
      <c r="F1259">
        <v>0.1</v>
      </c>
      <c r="G1259" s="129" t="s">
        <v>13</v>
      </c>
      <c r="H1259" s="129" t="s">
        <v>12</v>
      </c>
      <c r="I1259">
        <v>4.4999999999999998E-2</v>
      </c>
      <c r="J1259">
        <v>0.10001</v>
      </c>
      <c r="K1259" s="12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s="129" t="s">
        <v>1956</v>
      </c>
      <c r="B1260" s="129" t="s">
        <v>51</v>
      </c>
      <c r="C1260" s="129" t="s">
        <v>44</v>
      </c>
      <c r="D1260">
        <v>11</v>
      </c>
      <c r="E1260">
        <v>20.501000000000001</v>
      </c>
      <c r="F1260">
        <v>0.1</v>
      </c>
      <c r="G1260" s="129" t="s">
        <v>13</v>
      </c>
      <c r="H1260" s="129" t="s">
        <v>12</v>
      </c>
      <c r="I1260">
        <v>0.1</v>
      </c>
      <c r="J1260">
        <v>1.0000100000000001</v>
      </c>
      <c r="K1260" s="129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s="129" t="s">
        <v>2102</v>
      </c>
      <c r="B1261" s="129" t="s">
        <v>51</v>
      </c>
      <c r="C1261" s="129" t="s">
        <v>44</v>
      </c>
      <c r="D1261">
        <v>11</v>
      </c>
      <c r="E1261">
        <v>20.501000000000001</v>
      </c>
      <c r="F1261">
        <v>0.1</v>
      </c>
      <c r="G1261" s="129" t="s">
        <v>13</v>
      </c>
      <c r="H1261" s="129" t="s">
        <v>12</v>
      </c>
      <c r="I1261">
        <v>1</v>
      </c>
      <c r="J1261">
        <v>5</v>
      </c>
      <c r="K1261" s="129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s="129" t="s">
        <v>1955</v>
      </c>
      <c r="B1262" s="129" t="s">
        <v>51</v>
      </c>
      <c r="C1262" s="129" t="s">
        <v>44</v>
      </c>
      <c r="D1262">
        <v>11</v>
      </c>
      <c r="E1262">
        <v>20.501000000000001</v>
      </c>
      <c r="F1262">
        <v>0.1</v>
      </c>
      <c r="G1262" s="129" t="s">
        <v>13</v>
      </c>
      <c r="H1262" s="129" t="s">
        <v>12</v>
      </c>
      <c r="I1262">
        <v>5</v>
      </c>
      <c r="J1262">
        <v>5.01</v>
      </c>
      <c r="K1262" s="129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s="129" t="s">
        <v>1807</v>
      </c>
      <c r="B1263" s="129" t="s">
        <v>51</v>
      </c>
      <c r="C1263" s="129" t="s">
        <v>44</v>
      </c>
      <c r="D1263">
        <v>0</v>
      </c>
      <c r="E1263">
        <v>3.3000999999999999E-4</v>
      </c>
      <c r="F1263">
        <v>1</v>
      </c>
      <c r="G1263" s="129" t="s">
        <v>13</v>
      </c>
      <c r="H1263" s="129" t="s">
        <v>11</v>
      </c>
      <c r="I1263">
        <v>0.01</v>
      </c>
      <c r="J1263">
        <v>2.001E-2</v>
      </c>
      <c r="K1263" s="129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s="129" t="s">
        <v>2039</v>
      </c>
      <c r="B1264" s="129" t="s">
        <v>51</v>
      </c>
      <c r="C1264" s="129" t="s">
        <v>44</v>
      </c>
      <c r="D1264">
        <v>0</v>
      </c>
      <c r="E1264">
        <v>3.3000999999999999E-4</v>
      </c>
      <c r="F1264">
        <v>1</v>
      </c>
      <c r="G1264" s="129" t="s">
        <v>13</v>
      </c>
      <c r="H1264" s="129" t="s">
        <v>11</v>
      </c>
      <c r="I1264">
        <v>0.02</v>
      </c>
      <c r="J1264">
        <v>4.5010000000000001E-2</v>
      </c>
      <c r="K1264" s="129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s="129" t="s">
        <v>1811</v>
      </c>
      <c r="B1265" s="129" t="s">
        <v>51</v>
      </c>
      <c r="C1265" s="129" t="s">
        <v>44</v>
      </c>
      <c r="D1265">
        <v>0</v>
      </c>
      <c r="E1265">
        <v>3.3000999999999999E-4</v>
      </c>
      <c r="F1265">
        <v>1</v>
      </c>
      <c r="G1265" s="129" t="s">
        <v>13</v>
      </c>
      <c r="H1265" s="129" t="s">
        <v>11</v>
      </c>
      <c r="I1265">
        <v>4.4999999999999998E-2</v>
      </c>
      <c r="J1265">
        <v>1.0000100000000001</v>
      </c>
      <c r="K1265" s="129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s="129" t="s">
        <v>1808</v>
      </c>
      <c r="B1266" s="129" t="s">
        <v>51</v>
      </c>
      <c r="C1266" s="129" t="s">
        <v>44</v>
      </c>
      <c r="D1266">
        <v>0</v>
      </c>
      <c r="E1266">
        <v>3.3000999999999999E-4</v>
      </c>
      <c r="F1266">
        <v>1</v>
      </c>
      <c r="G1266" s="129" t="s">
        <v>13</v>
      </c>
      <c r="H1266" s="129" t="s">
        <v>11</v>
      </c>
      <c r="I1266">
        <v>1</v>
      </c>
      <c r="J1266">
        <v>5.01</v>
      </c>
      <c r="K1266" s="129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s="129" t="s">
        <v>1810</v>
      </c>
      <c r="B1267" s="129" t="s">
        <v>51</v>
      </c>
      <c r="C1267" s="129" t="s">
        <v>44</v>
      </c>
      <c r="D1267">
        <v>0</v>
      </c>
      <c r="E1267">
        <v>3.3000999999999999E-4</v>
      </c>
      <c r="F1267">
        <v>1</v>
      </c>
      <c r="G1267" s="129" t="s">
        <v>13</v>
      </c>
      <c r="H1267" s="129" t="s">
        <v>11</v>
      </c>
      <c r="I1267">
        <v>5</v>
      </c>
      <c r="J1267">
        <v>10.01</v>
      </c>
      <c r="K1267" s="129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s="129" t="s">
        <v>1806</v>
      </c>
      <c r="B1268" s="129" t="s">
        <v>51</v>
      </c>
      <c r="C1268" s="129" t="s">
        <v>44</v>
      </c>
      <c r="D1268">
        <v>0</v>
      </c>
      <c r="E1268">
        <v>3.3000999999999999E-4</v>
      </c>
      <c r="F1268">
        <v>1</v>
      </c>
      <c r="G1268" s="129" t="s">
        <v>13</v>
      </c>
      <c r="H1268" s="129" t="s">
        <v>11</v>
      </c>
      <c r="I1268">
        <v>10</v>
      </c>
      <c r="J1268">
        <v>30</v>
      </c>
      <c r="K1268" s="129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s="129" t="s">
        <v>1809</v>
      </c>
      <c r="B1269" s="129" t="s">
        <v>51</v>
      </c>
      <c r="C1269" s="129" t="s">
        <v>44</v>
      </c>
      <c r="D1269">
        <v>0</v>
      </c>
      <c r="E1269">
        <v>3.3000999999999999E-4</v>
      </c>
      <c r="F1269">
        <v>1</v>
      </c>
      <c r="G1269" s="129" t="s">
        <v>13</v>
      </c>
      <c r="H1269" s="129" t="s">
        <v>11</v>
      </c>
      <c r="I1269">
        <v>30</v>
      </c>
      <c r="J1269">
        <v>30.1</v>
      </c>
      <c r="K1269" s="12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s="129" t="s">
        <v>1939</v>
      </c>
      <c r="B1270" s="129" t="s">
        <v>51</v>
      </c>
      <c r="C1270" s="129" t="s">
        <v>44</v>
      </c>
      <c r="D1270">
        <v>3</v>
      </c>
      <c r="E1270">
        <v>11.000999999999999</v>
      </c>
      <c r="F1270">
        <v>1</v>
      </c>
      <c r="G1270" s="129" t="s">
        <v>13</v>
      </c>
      <c r="H1270" s="129" t="s">
        <v>12</v>
      </c>
      <c r="I1270">
        <v>4.4999999999999998E-2</v>
      </c>
      <c r="J1270">
        <v>0.10001</v>
      </c>
      <c r="K1270" s="129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s="129" t="s">
        <v>1941</v>
      </c>
      <c r="B1271" s="129" t="s">
        <v>51</v>
      </c>
      <c r="C1271" s="129" t="s">
        <v>44</v>
      </c>
      <c r="D1271">
        <v>3</v>
      </c>
      <c r="E1271">
        <v>11.000999999999999</v>
      </c>
      <c r="F1271">
        <v>1</v>
      </c>
      <c r="G1271" s="129" t="s">
        <v>13</v>
      </c>
      <c r="H1271" s="129" t="s">
        <v>12</v>
      </c>
      <c r="I1271">
        <v>0.1</v>
      </c>
      <c r="J1271">
        <v>1.0000100000000001</v>
      </c>
      <c r="K1271" s="129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s="129" t="s">
        <v>1942</v>
      </c>
      <c r="B1272" s="129" t="s">
        <v>51</v>
      </c>
      <c r="C1272" s="129" t="s">
        <v>44</v>
      </c>
      <c r="D1272">
        <v>3</v>
      </c>
      <c r="E1272">
        <v>11.000999999999999</v>
      </c>
      <c r="F1272">
        <v>1</v>
      </c>
      <c r="G1272" s="129" t="s">
        <v>13</v>
      </c>
      <c r="H1272" s="129" t="s">
        <v>12</v>
      </c>
      <c r="I1272">
        <v>1</v>
      </c>
      <c r="J1272">
        <v>5</v>
      </c>
      <c r="K1272" s="129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s="129" t="s">
        <v>1940</v>
      </c>
      <c r="B1273" s="129" t="s">
        <v>51</v>
      </c>
      <c r="C1273" s="129" t="s">
        <v>44</v>
      </c>
      <c r="D1273">
        <v>3</v>
      </c>
      <c r="E1273">
        <v>11.000999999999999</v>
      </c>
      <c r="F1273">
        <v>1</v>
      </c>
      <c r="G1273" s="129" t="s">
        <v>13</v>
      </c>
      <c r="H1273" s="129" t="s">
        <v>12</v>
      </c>
      <c r="I1273">
        <v>5</v>
      </c>
      <c r="J1273">
        <v>5.01</v>
      </c>
      <c r="K1273" s="129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s="129" t="s">
        <v>1958</v>
      </c>
      <c r="B1274" s="129" t="s">
        <v>51</v>
      </c>
      <c r="C1274" s="129" t="s">
        <v>44</v>
      </c>
      <c r="D1274">
        <v>11</v>
      </c>
      <c r="E1274">
        <v>20.501000000000001</v>
      </c>
      <c r="F1274">
        <v>1</v>
      </c>
      <c r="G1274" s="129" t="s">
        <v>13</v>
      </c>
      <c r="H1274" s="129" t="s">
        <v>12</v>
      </c>
      <c r="I1274">
        <v>4.4999999999999998E-2</v>
      </c>
      <c r="J1274">
        <v>0.10001</v>
      </c>
      <c r="K1274" s="129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s="129" t="s">
        <v>2101</v>
      </c>
      <c r="B1275" s="129" t="s">
        <v>51</v>
      </c>
      <c r="C1275" s="129" t="s">
        <v>44</v>
      </c>
      <c r="D1275">
        <v>11</v>
      </c>
      <c r="E1275">
        <v>20.501000000000001</v>
      </c>
      <c r="F1275">
        <v>1</v>
      </c>
      <c r="G1275" s="129" t="s">
        <v>13</v>
      </c>
      <c r="H1275" s="129" t="s">
        <v>12</v>
      </c>
      <c r="I1275">
        <v>0.1</v>
      </c>
      <c r="J1275">
        <v>1.0000100000000001</v>
      </c>
      <c r="K1275" s="129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s="129" t="s">
        <v>1957</v>
      </c>
      <c r="B1276" s="129" t="s">
        <v>51</v>
      </c>
      <c r="C1276" s="129" t="s">
        <v>44</v>
      </c>
      <c r="D1276">
        <v>11</v>
      </c>
      <c r="E1276">
        <v>20.501000000000001</v>
      </c>
      <c r="F1276">
        <v>1</v>
      </c>
      <c r="G1276" s="129" t="s">
        <v>13</v>
      </c>
      <c r="H1276" s="129" t="s">
        <v>12</v>
      </c>
      <c r="I1276">
        <v>1</v>
      </c>
      <c r="J1276">
        <v>5</v>
      </c>
      <c r="K1276" s="129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s="129" t="s">
        <v>1959</v>
      </c>
      <c r="B1277" s="129" t="s">
        <v>51</v>
      </c>
      <c r="C1277" s="129" t="s">
        <v>44</v>
      </c>
      <c r="D1277">
        <v>11</v>
      </c>
      <c r="E1277">
        <v>20.501000000000001</v>
      </c>
      <c r="F1277">
        <v>1</v>
      </c>
      <c r="G1277" s="129" t="s">
        <v>13</v>
      </c>
      <c r="H1277" s="129" t="s">
        <v>12</v>
      </c>
      <c r="I1277">
        <v>5</v>
      </c>
      <c r="J1277">
        <v>5.01</v>
      </c>
      <c r="K1277" s="129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s="129" t="s">
        <v>2036</v>
      </c>
      <c r="B1278" s="129" t="s">
        <v>51</v>
      </c>
      <c r="C1278" s="129" t="s">
        <v>44</v>
      </c>
      <c r="D1278">
        <v>0</v>
      </c>
      <c r="E1278">
        <v>3.3000999999999999E-4</v>
      </c>
      <c r="F1278">
        <v>10</v>
      </c>
      <c r="G1278" s="129" t="s">
        <v>13</v>
      </c>
      <c r="H1278" s="129" t="s">
        <v>11</v>
      </c>
      <c r="I1278">
        <v>0.01</v>
      </c>
      <c r="J1278">
        <v>2.001E-2</v>
      </c>
      <c r="K1278" s="129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s="129" t="s">
        <v>1815</v>
      </c>
      <c r="B1279" s="129" t="s">
        <v>51</v>
      </c>
      <c r="C1279" s="129" t="s">
        <v>44</v>
      </c>
      <c r="D1279">
        <v>0</v>
      </c>
      <c r="E1279">
        <v>3.3000999999999999E-4</v>
      </c>
      <c r="F1279">
        <v>10</v>
      </c>
      <c r="G1279" s="129" t="s">
        <v>13</v>
      </c>
      <c r="H1279" s="129" t="s">
        <v>11</v>
      </c>
      <c r="I1279">
        <v>0.02</v>
      </c>
      <c r="J1279">
        <v>4.5010000000000001E-2</v>
      </c>
      <c r="K1279" s="12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s="129" t="s">
        <v>1812</v>
      </c>
      <c r="B1280" s="129" t="s">
        <v>51</v>
      </c>
      <c r="C1280" s="129" t="s">
        <v>44</v>
      </c>
      <c r="D1280">
        <v>0</v>
      </c>
      <c r="E1280">
        <v>3.3000999999999999E-4</v>
      </c>
      <c r="F1280">
        <v>10</v>
      </c>
      <c r="G1280" s="129" t="s">
        <v>13</v>
      </c>
      <c r="H1280" s="129" t="s">
        <v>11</v>
      </c>
      <c r="I1280">
        <v>4.4999999999999998E-2</v>
      </c>
      <c r="J1280">
        <v>1.0000100000000001</v>
      </c>
      <c r="K1280" s="129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s="129" t="s">
        <v>1813</v>
      </c>
      <c r="B1281" s="129" t="s">
        <v>51</v>
      </c>
      <c r="C1281" s="129" t="s">
        <v>44</v>
      </c>
      <c r="D1281">
        <v>0</v>
      </c>
      <c r="E1281">
        <v>3.3000999999999999E-4</v>
      </c>
      <c r="F1281">
        <v>10</v>
      </c>
      <c r="G1281" s="129" t="s">
        <v>13</v>
      </c>
      <c r="H1281" s="129" t="s">
        <v>11</v>
      </c>
      <c r="I1281">
        <v>1</v>
      </c>
      <c r="J1281">
        <v>5.01</v>
      </c>
      <c r="K1281" s="129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s="129" t="s">
        <v>2047</v>
      </c>
      <c r="B1282" s="129" t="s">
        <v>51</v>
      </c>
      <c r="C1282" s="129" t="s">
        <v>44</v>
      </c>
      <c r="D1282">
        <v>0</v>
      </c>
      <c r="E1282">
        <v>3.3000999999999999E-4</v>
      </c>
      <c r="F1282">
        <v>10</v>
      </c>
      <c r="G1282" s="129" t="s">
        <v>13</v>
      </c>
      <c r="H1282" s="129" t="s">
        <v>11</v>
      </c>
      <c r="I1282">
        <v>5</v>
      </c>
      <c r="J1282">
        <v>10.01</v>
      </c>
      <c r="K1282" s="129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s="129" t="s">
        <v>1814</v>
      </c>
      <c r="B1283" s="129" t="s">
        <v>51</v>
      </c>
      <c r="C1283" s="129" t="s">
        <v>44</v>
      </c>
      <c r="D1283">
        <v>0</v>
      </c>
      <c r="E1283">
        <v>3.3000999999999999E-4</v>
      </c>
      <c r="F1283">
        <v>10</v>
      </c>
      <c r="G1283" s="129" t="s">
        <v>13</v>
      </c>
      <c r="H1283" s="129" t="s">
        <v>11</v>
      </c>
      <c r="I1283">
        <v>10</v>
      </c>
      <c r="J1283">
        <v>30</v>
      </c>
      <c r="K1283" s="129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s="129" t="s">
        <v>2054</v>
      </c>
      <c r="B1284" s="129" t="s">
        <v>51</v>
      </c>
      <c r="C1284" s="129" t="s">
        <v>44</v>
      </c>
      <c r="D1284">
        <v>0</v>
      </c>
      <c r="E1284">
        <v>3.3000999999999999E-4</v>
      </c>
      <c r="F1284">
        <v>10</v>
      </c>
      <c r="G1284" s="129" t="s">
        <v>13</v>
      </c>
      <c r="H1284" s="129" t="s">
        <v>11</v>
      </c>
      <c r="I1284">
        <v>30</v>
      </c>
      <c r="J1284">
        <v>30.1</v>
      </c>
      <c r="K1284" s="129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s="129" t="s">
        <v>1691</v>
      </c>
      <c r="B1285" s="129" t="s">
        <v>51</v>
      </c>
      <c r="C1285" s="129" t="s">
        <v>58</v>
      </c>
      <c r="D1285">
        <v>1</v>
      </c>
      <c r="E1285">
        <v>11.000999999999999</v>
      </c>
      <c r="F1285">
        <v>1E-4</v>
      </c>
      <c r="G1285" s="129" t="s">
        <v>13</v>
      </c>
      <c r="H1285" s="129" t="s">
        <v>12</v>
      </c>
      <c r="I1285">
        <v>0.01</v>
      </c>
      <c r="J1285">
        <v>4.5010000000000001E-2</v>
      </c>
      <c r="K1285" s="129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s="129" t="s">
        <v>1695</v>
      </c>
      <c r="B1286" s="129" t="s">
        <v>51</v>
      </c>
      <c r="C1286" s="129" t="s">
        <v>58</v>
      </c>
      <c r="D1286">
        <v>1</v>
      </c>
      <c r="E1286">
        <v>11.000999999999999</v>
      </c>
      <c r="F1286">
        <v>1E-3</v>
      </c>
      <c r="G1286" s="129" t="s">
        <v>13</v>
      </c>
      <c r="H1286" s="129" t="s">
        <v>12</v>
      </c>
      <c r="I1286">
        <v>0.01</v>
      </c>
      <c r="J1286">
        <v>4.5010000000000001E-2</v>
      </c>
      <c r="K1286" s="129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s="129" t="s">
        <v>1693</v>
      </c>
      <c r="B1287" s="129" t="s">
        <v>51</v>
      </c>
      <c r="C1287" s="129" t="s">
        <v>58</v>
      </c>
      <c r="D1287">
        <v>1</v>
      </c>
      <c r="E1287">
        <v>11.000999999999999</v>
      </c>
      <c r="F1287">
        <v>1E-3</v>
      </c>
      <c r="G1287" s="129" t="s">
        <v>13</v>
      </c>
      <c r="H1287" s="129" t="s">
        <v>12</v>
      </c>
      <c r="I1287">
        <v>4.4999999999999998E-2</v>
      </c>
      <c r="J1287">
        <v>1.0000100000000001</v>
      </c>
      <c r="K1287" s="129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s="129" t="s">
        <v>1694</v>
      </c>
      <c r="B1288" s="129" t="s">
        <v>51</v>
      </c>
      <c r="C1288" s="129" t="s">
        <v>58</v>
      </c>
      <c r="D1288">
        <v>1</v>
      </c>
      <c r="E1288">
        <v>11.000999999999999</v>
      </c>
      <c r="F1288">
        <v>1E-3</v>
      </c>
      <c r="G1288" s="129" t="s">
        <v>13</v>
      </c>
      <c r="H1288" s="129" t="s">
        <v>12</v>
      </c>
      <c r="I1288">
        <v>1</v>
      </c>
      <c r="J1288">
        <v>5.01</v>
      </c>
      <c r="K1288" s="129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s="129" t="s">
        <v>1692</v>
      </c>
      <c r="B1289" s="129" t="s">
        <v>51</v>
      </c>
      <c r="C1289" s="129" t="s">
        <v>58</v>
      </c>
      <c r="D1289">
        <v>1</v>
      </c>
      <c r="E1289">
        <v>11.000999999999999</v>
      </c>
      <c r="F1289">
        <v>1E-3</v>
      </c>
      <c r="G1289" s="129" t="s">
        <v>13</v>
      </c>
      <c r="H1289" s="129" t="s">
        <v>12</v>
      </c>
      <c r="I1289">
        <v>5</v>
      </c>
      <c r="J1289">
        <v>10</v>
      </c>
      <c r="K1289" s="12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s="129" t="s">
        <v>1696</v>
      </c>
      <c r="B1290" s="129" t="s">
        <v>51</v>
      </c>
      <c r="C1290" s="129" t="s">
        <v>58</v>
      </c>
      <c r="D1290">
        <v>1</v>
      </c>
      <c r="E1290">
        <v>11.000999999999999</v>
      </c>
      <c r="F1290">
        <v>1E-3</v>
      </c>
      <c r="G1290" s="129" t="s">
        <v>13</v>
      </c>
      <c r="H1290" s="129" t="s">
        <v>12</v>
      </c>
      <c r="I1290">
        <v>10</v>
      </c>
      <c r="J1290">
        <v>10.01</v>
      </c>
      <c r="K1290" s="129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s="129" t="s">
        <v>2107</v>
      </c>
      <c r="B1291" s="129" t="s">
        <v>51</v>
      </c>
      <c r="C1291" s="129" t="s">
        <v>58</v>
      </c>
      <c r="D1291">
        <v>11</v>
      </c>
      <c r="E1291">
        <v>30.001000000000001</v>
      </c>
      <c r="F1291">
        <v>1E-3</v>
      </c>
      <c r="G1291" s="129" t="s">
        <v>13</v>
      </c>
      <c r="H1291" s="129" t="s">
        <v>12</v>
      </c>
      <c r="I1291">
        <v>0.01</v>
      </c>
      <c r="J1291">
        <v>4.5010000000000001E-2</v>
      </c>
      <c r="K1291" s="129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s="129" t="s">
        <v>1716</v>
      </c>
      <c r="B1292" s="129" t="s">
        <v>51</v>
      </c>
      <c r="C1292" s="129" t="s">
        <v>58</v>
      </c>
      <c r="D1292">
        <v>11</v>
      </c>
      <c r="E1292">
        <v>30.001000000000001</v>
      </c>
      <c r="F1292">
        <v>1E-3</v>
      </c>
      <c r="G1292" s="129" t="s">
        <v>13</v>
      </c>
      <c r="H1292" s="129" t="s">
        <v>12</v>
      </c>
      <c r="I1292">
        <v>4.4999999999999998E-2</v>
      </c>
      <c r="J1292">
        <v>1.0000100000000001</v>
      </c>
      <c r="K1292" s="129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s="129" t="s">
        <v>1713</v>
      </c>
      <c r="B1293" s="129" t="s">
        <v>51</v>
      </c>
      <c r="C1293" s="129" t="s">
        <v>58</v>
      </c>
      <c r="D1293">
        <v>11</v>
      </c>
      <c r="E1293">
        <v>30.001000000000001</v>
      </c>
      <c r="F1293">
        <v>1E-3</v>
      </c>
      <c r="G1293" s="129" t="s">
        <v>13</v>
      </c>
      <c r="H1293" s="129" t="s">
        <v>12</v>
      </c>
      <c r="I1293">
        <v>1</v>
      </c>
      <c r="J1293">
        <v>5.01</v>
      </c>
      <c r="K1293" s="129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s="129" t="s">
        <v>1715</v>
      </c>
      <c r="B1294" s="129" t="s">
        <v>51</v>
      </c>
      <c r="C1294" s="129" t="s">
        <v>58</v>
      </c>
      <c r="D1294">
        <v>11</v>
      </c>
      <c r="E1294">
        <v>30.001000000000001</v>
      </c>
      <c r="F1294">
        <v>1E-3</v>
      </c>
      <c r="G1294" s="129" t="s">
        <v>13</v>
      </c>
      <c r="H1294" s="129" t="s">
        <v>12</v>
      </c>
      <c r="I1294">
        <v>5</v>
      </c>
      <c r="J1294">
        <v>10</v>
      </c>
      <c r="K1294" s="129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s="129" t="s">
        <v>1714</v>
      </c>
      <c r="B1295" s="129" t="s">
        <v>51</v>
      </c>
      <c r="C1295" s="129" t="s">
        <v>58</v>
      </c>
      <c r="D1295">
        <v>11</v>
      </c>
      <c r="E1295">
        <v>30.001000000000001</v>
      </c>
      <c r="F1295">
        <v>1E-3</v>
      </c>
      <c r="G1295" s="129" t="s">
        <v>13</v>
      </c>
      <c r="H1295" s="129" t="s">
        <v>12</v>
      </c>
      <c r="I1295">
        <v>10</v>
      </c>
      <c r="J1295">
        <v>10.01</v>
      </c>
      <c r="K1295" s="129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s="129" t="s">
        <v>2103</v>
      </c>
      <c r="B1296" s="129" t="s">
        <v>51</v>
      </c>
      <c r="C1296" s="129" t="s">
        <v>58</v>
      </c>
      <c r="D1296">
        <v>1</v>
      </c>
      <c r="E1296">
        <v>11.000999999999999</v>
      </c>
      <c r="F1296">
        <v>0.01</v>
      </c>
      <c r="G1296" s="129" t="s">
        <v>13</v>
      </c>
      <c r="H1296" s="129" t="s">
        <v>12</v>
      </c>
      <c r="I1296">
        <v>0.01</v>
      </c>
      <c r="J1296">
        <v>4.5010000000000001E-2</v>
      </c>
      <c r="K1296" s="129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s="129" t="s">
        <v>1698</v>
      </c>
      <c r="B1297" s="129" t="s">
        <v>51</v>
      </c>
      <c r="C1297" s="129" t="s">
        <v>58</v>
      </c>
      <c r="D1297">
        <v>1</v>
      </c>
      <c r="E1297">
        <v>11.000999999999999</v>
      </c>
      <c r="F1297">
        <v>0.01</v>
      </c>
      <c r="G1297" s="129" t="s">
        <v>13</v>
      </c>
      <c r="H1297" s="129" t="s">
        <v>12</v>
      </c>
      <c r="I1297">
        <v>4.4999999999999998E-2</v>
      </c>
      <c r="J1297">
        <v>1.0000100000000001</v>
      </c>
      <c r="K1297" s="129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s="129" t="s">
        <v>1697</v>
      </c>
      <c r="B1298" s="129" t="s">
        <v>51</v>
      </c>
      <c r="C1298" s="129" t="s">
        <v>58</v>
      </c>
      <c r="D1298">
        <v>1</v>
      </c>
      <c r="E1298">
        <v>11.000999999999999</v>
      </c>
      <c r="F1298">
        <v>0.01</v>
      </c>
      <c r="G1298" s="129" t="s">
        <v>13</v>
      </c>
      <c r="H1298" s="129" t="s">
        <v>12</v>
      </c>
      <c r="I1298">
        <v>1</v>
      </c>
      <c r="J1298">
        <v>5.01</v>
      </c>
      <c r="K1298" s="129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s="129" t="s">
        <v>1699</v>
      </c>
      <c r="B1299" s="129" t="s">
        <v>51</v>
      </c>
      <c r="C1299" s="129" t="s">
        <v>58</v>
      </c>
      <c r="D1299">
        <v>1</v>
      </c>
      <c r="E1299">
        <v>11.000999999999999</v>
      </c>
      <c r="F1299">
        <v>0.01</v>
      </c>
      <c r="G1299" s="129" t="s">
        <v>13</v>
      </c>
      <c r="H1299" s="129" t="s">
        <v>12</v>
      </c>
      <c r="I1299">
        <v>5</v>
      </c>
      <c r="J1299">
        <v>10</v>
      </c>
      <c r="K1299" s="12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s="129" t="s">
        <v>2106</v>
      </c>
      <c r="B1300" s="129" t="s">
        <v>51</v>
      </c>
      <c r="C1300" s="129" t="s">
        <v>58</v>
      </c>
      <c r="D1300">
        <v>1</v>
      </c>
      <c r="E1300">
        <v>11.000999999999999</v>
      </c>
      <c r="F1300">
        <v>0.01</v>
      </c>
      <c r="G1300" s="129" t="s">
        <v>13</v>
      </c>
      <c r="H1300" s="129" t="s">
        <v>12</v>
      </c>
      <c r="I1300">
        <v>10</v>
      </c>
      <c r="J1300">
        <v>10.01</v>
      </c>
      <c r="K1300" s="129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s="129" t="s">
        <v>1721</v>
      </c>
      <c r="B1301" s="129" t="s">
        <v>51</v>
      </c>
      <c r="C1301" s="129" t="s">
        <v>58</v>
      </c>
      <c r="D1301">
        <v>11</v>
      </c>
      <c r="E1301">
        <v>30.001000000000001</v>
      </c>
      <c r="F1301">
        <v>0.01</v>
      </c>
      <c r="G1301" s="129" t="s">
        <v>13</v>
      </c>
      <c r="H1301" s="129" t="s">
        <v>12</v>
      </c>
      <c r="I1301">
        <v>0.01</v>
      </c>
      <c r="J1301">
        <v>4.5010000000000001E-2</v>
      </c>
      <c r="K1301" s="129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s="129" t="s">
        <v>1720</v>
      </c>
      <c r="B1302" s="129" t="s">
        <v>51</v>
      </c>
      <c r="C1302" s="129" t="s">
        <v>58</v>
      </c>
      <c r="D1302">
        <v>11</v>
      </c>
      <c r="E1302">
        <v>30.001000000000001</v>
      </c>
      <c r="F1302">
        <v>0.01</v>
      </c>
      <c r="G1302" s="129" t="s">
        <v>13</v>
      </c>
      <c r="H1302" s="129" t="s">
        <v>12</v>
      </c>
      <c r="I1302">
        <v>4.4999999999999998E-2</v>
      </c>
      <c r="J1302">
        <v>1.0000100000000001</v>
      </c>
      <c r="K1302" s="129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s="129" t="s">
        <v>1719</v>
      </c>
      <c r="B1303" s="129" t="s">
        <v>51</v>
      </c>
      <c r="C1303" s="129" t="s">
        <v>58</v>
      </c>
      <c r="D1303">
        <v>11</v>
      </c>
      <c r="E1303">
        <v>30.001000000000001</v>
      </c>
      <c r="F1303">
        <v>0.01</v>
      </c>
      <c r="G1303" s="129" t="s">
        <v>13</v>
      </c>
      <c r="H1303" s="129" t="s">
        <v>12</v>
      </c>
      <c r="I1303">
        <v>1</v>
      </c>
      <c r="J1303">
        <v>5.01</v>
      </c>
      <c r="K1303" s="129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s="129" t="s">
        <v>1718</v>
      </c>
      <c r="B1304" s="129" t="s">
        <v>51</v>
      </c>
      <c r="C1304" s="129" t="s">
        <v>58</v>
      </c>
      <c r="D1304">
        <v>11</v>
      </c>
      <c r="E1304">
        <v>30.001000000000001</v>
      </c>
      <c r="F1304">
        <v>0.01</v>
      </c>
      <c r="G1304" s="129" t="s">
        <v>13</v>
      </c>
      <c r="H1304" s="129" t="s">
        <v>12</v>
      </c>
      <c r="I1304">
        <v>5</v>
      </c>
      <c r="J1304">
        <v>10</v>
      </c>
      <c r="K1304" s="129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s="129" t="s">
        <v>1717</v>
      </c>
      <c r="B1305" s="129" t="s">
        <v>51</v>
      </c>
      <c r="C1305" s="129" t="s">
        <v>58</v>
      </c>
      <c r="D1305">
        <v>11</v>
      </c>
      <c r="E1305">
        <v>30.001000000000001</v>
      </c>
      <c r="F1305">
        <v>0.01</v>
      </c>
      <c r="G1305" s="129" t="s">
        <v>13</v>
      </c>
      <c r="H1305" s="129" t="s">
        <v>12</v>
      </c>
      <c r="I1305">
        <v>10</v>
      </c>
      <c r="J1305">
        <v>10.01</v>
      </c>
      <c r="K1305" s="129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s="129" t="s">
        <v>1733</v>
      </c>
      <c r="B1306" s="129" t="s">
        <v>51</v>
      </c>
      <c r="C1306" s="129" t="s">
        <v>58</v>
      </c>
      <c r="D1306">
        <v>30</v>
      </c>
      <c r="E1306">
        <v>110.01</v>
      </c>
      <c r="F1306">
        <v>0.01</v>
      </c>
      <c r="G1306" s="129" t="s">
        <v>13</v>
      </c>
      <c r="H1306" s="129" t="s">
        <v>12</v>
      </c>
      <c r="I1306">
        <v>4.4999999999999998E-2</v>
      </c>
      <c r="J1306">
        <v>0.10001</v>
      </c>
      <c r="K1306" s="129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s="129" t="s">
        <v>1734</v>
      </c>
      <c r="B1307" s="129" t="s">
        <v>51</v>
      </c>
      <c r="C1307" s="129" t="s">
        <v>58</v>
      </c>
      <c r="D1307">
        <v>30</v>
      </c>
      <c r="E1307">
        <v>110.01</v>
      </c>
      <c r="F1307">
        <v>0.01</v>
      </c>
      <c r="G1307" s="129" t="s">
        <v>13</v>
      </c>
      <c r="H1307" s="129" t="s">
        <v>12</v>
      </c>
      <c r="I1307">
        <v>0.1</v>
      </c>
      <c r="J1307">
        <v>1.0000100000000001</v>
      </c>
      <c r="K1307" s="129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s="129" t="s">
        <v>1732</v>
      </c>
      <c r="B1308" s="129" t="s">
        <v>51</v>
      </c>
      <c r="C1308" s="129" t="s">
        <v>58</v>
      </c>
      <c r="D1308">
        <v>30</v>
      </c>
      <c r="E1308">
        <v>110.01</v>
      </c>
      <c r="F1308">
        <v>0.01</v>
      </c>
      <c r="G1308" s="129" t="s">
        <v>13</v>
      </c>
      <c r="H1308" s="129" t="s">
        <v>12</v>
      </c>
      <c r="I1308">
        <v>1</v>
      </c>
      <c r="J1308">
        <v>5</v>
      </c>
      <c r="K1308" s="129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s="129" t="s">
        <v>1735</v>
      </c>
      <c r="B1309" s="129" t="s">
        <v>51</v>
      </c>
      <c r="C1309" s="129" t="s">
        <v>58</v>
      </c>
      <c r="D1309">
        <v>30</v>
      </c>
      <c r="E1309">
        <v>110.01</v>
      </c>
      <c r="F1309">
        <v>0.01</v>
      </c>
      <c r="G1309" s="129" t="s">
        <v>13</v>
      </c>
      <c r="H1309" s="129" t="s">
        <v>12</v>
      </c>
      <c r="I1309">
        <v>5</v>
      </c>
      <c r="J1309">
        <v>5.01</v>
      </c>
      <c r="K1309" s="12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s="129" t="s">
        <v>1750</v>
      </c>
      <c r="B1310" s="129" t="s">
        <v>51</v>
      </c>
      <c r="C1310" s="129" t="s">
        <v>58</v>
      </c>
      <c r="D1310">
        <v>110</v>
      </c>
      <c r="E1310">
        <v>205.01</v>
      </c>
      <c r="F1310">
        <v>0.01</v>
      </c>
      <c r="G1310" s="129" t="s">
        <v>13</v>
      </c>
      <c r="H1310" s="129" t="s">
        <v>12</v>
      </c>
      <c r="I1310">
        <v>4.4999999999999998E-2</v>
      </c>
      <c r="J1310">
        <v>0.10001</v>
      </c>
      <c r="K1310" s="129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s="129" t="s">
        <v>2116</v>
      </c>
      <c r="B1311" s="129" t="s">
        <v>51</v>
      </c>
      <c r="C1311" s="129" t="s">
        <v>58</v>
      </c>
      <c r="D1311">
        <v>110</v>
      </c>
      <c r="E1311">
        <v>205.01</v>
      </c>
      <c r="F1311">
        <v>0.01</v>
      </c>
      <c r="G1311" s="129" t="s">
        <v>13</v>
      </c>
      <c r="H1311" s="129" t="s">
        <v>12</v>
      </c>
      <c r="I1311">
        <v>0.1</v>
      </c>
      <c r="J1311">
        <v>1.0000100000000001</v>
      </c>
      <c r="K1311" s="129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s="129" t="s">
        <v>2118</v>
      </c>
      <c r="B1312" s="129" t="s">
        <v>51</v>
      </c>
      <c r="C1312" s="129" t="s">
        <v>58</v>
      </c>
      <c r="D1312">
        <v>110</v>
      </c>
      <c r="E1312">
        <v>205.01</v>
      </c>
      <c r="F1312">
        <v>0.01</v>
      </c>
      <c r="G1312" s="129" t="s">
        <v>13</v>
      </c>
      <c r="H1312" s="129" t="s">
        <v>12</v>
      </c>
      <c r="I1312">
        <v>1</v>
      </c>
      <c r="J1312">
        <v>5</v>
      </c>
      <c r="K1312" s="129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s="129" t="s">
        <v>1749</v>
      </c>
      <c r="B1313" s="129" t="s">
        <v>51</v>
      </c>
      <c r="C1313" s="129" t="s">
        <v>58</v>
      </c>
      <c r="D1313">
        <v>110</v>
      </c>
      <c r="E1313">
        <v>205.01</v>
      </c>
      <c r="F1313">
        <v>0.01</v>
      </c>
      <c r="G1313" s="129" t="s">
        <v>13</v>
      </c>
      <c r="H1313" s="129" t="s">
        <v>12</v>
      </c>
      <c r="I1313">
        <v>5</v>
      </c>
      <c r="J1313">
        <v>5.01</v>
      </c>
      <c r="K1313" s="129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s="129" t="s">
        <v>1702</v>
      </c>
      <c r="B1314" s="129" t="s">
        <v>51</v>
      </c>
      <c r="C1314" s="129" t="s">
        <v>58</v>
      </c>
      <c r="D1314">
        <v>1</v>
      </c>
      <c r="E1314">
        <v>11.000999999999999</v>
      </c>
      <c r="F1314">
        <v>0.1</v>
      </c>
      <c r="G1314" s="129" t="s">
        <v>13</v>
      </c>
      <c r="H1314" s="129" t="s">
        <v>12</v>
      </c>
      <c r="I1314">
        <v>0.01</v>
      </c>
      <c r="J1314">
        <v>4.5010000000000001E-2</v>
      </c>
      <c r="K1314" s="129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s="129" t="s">
        <v>1703</v>
      </c>
      <c r="B1315" s="129" t="s">
        <v>51</v>
      </c>
      <c r="C1315" s="129" t="s">
        <v>58</v>
      </c>
      <c r="D1315">
        <v>1</v>
      </c>
      <c r="E1315">
        <v>11.000999999999999</v>
      </c>
      <c r="F1315">
        <v>0.1</v>
      </c>
      <c r="G1315" s="129" t="s">
        <v>13</v>
      </c>
      <c r="H1315" s="129" t="s">
        <v>12</v>
      </c>
      <c r="I1315">
        <v>4.4999999999999998E-2</v>
      </c>
      <c r="J1315">
        <v>1.0000100000000001</v>
      </c>
      <c r="K1315" s="129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s="129" t="s">
        <v>2104</v>
      </c>
      <c r="B1316" s="129" t="s">
        <v>51</v>
      </c>
      <c r="C1316" s="129" t="s">
        <v>58</v>
      </c>
      <c r="D1316">
        <v>1</v>
      </c>
      <c r="E1316">
        <v>11.000999999999999</v>
      </c>
      <c r="F1316">
        <v>0.1</v>
      </c>
      <c r="G1316" s="129" t="s">
        <v>13</v>
      </c>
      <c r="H1316" s="129" t="s">
        <v>12</v>
      </c>
      <c r="I1316">
        <v>1</v>
      </c>
      <c r="J1316">
        <v>5.01</v>
      </c>
      <c r="K1316" s="129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s="129" t="s">
        <v>1701</v>
      </c>
      <c r="B1317" s="129" t="s">
        <v>51</v>
      </c>
      <c r="C1317" s="129" t="s">
        <v>58</v>
      </c>
      <c r="D1317">
        <v>1</v>
      </c>
      <c r="E1317">
        <v>11.000999999999999</v>
      </c>
      <c r="F1317">
        <v>0.1</v>
      </c>
      <c r="G1317" s="129" t="s">
        <v>13</v>
      </c>
      <c r="H1317" s="129" t="s">
        <v>12</v>
      </c>
      <c r="I1317">
        <v>5</v>
      </c>
      <c r="J1317">
        <v>10</v>
      </c>
      <c r="K1317" s="129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s="129" t="s">
        <v>1700</v>
      </c>
      <c r="B1318" s="129" t="s">
        <v>51</v>
      </c>
      <c r="C1318" s="129" t="s">
        <v>58</v>
      </c>
      <c r="D1318">
        <v>1</v>
      </c>
      <c r="E1318">
        <v>11.000999999999999</v>
      </c>
      <c r="F1318">
        <v>0.1</v>
      </c>
      <c r="G1318" s="129" t="s">
        <v>13</v>
      </c>
      <c r="H1318" s="129" t="s">
        <v>12</v>
      </c>
      <c r="I1318">
        <v>10</v>
      </c>
      <c r="J1318">
        <v>10.01</v>
      </c>
      <c r="K1318" s="129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s="129" t="s">
        <v>1724</v>
      </c>
      <c r="B1319" s="129" t="s">
        <v>51</v>
      </c>
      <c r="C1319" s="129" t="s">
        <v>58</v>
      </c>
      <c r="D1319">
        <v>11</v>
      </c>
      <c r="E1319">
        <v>30.001000000000001</v>
      </c>
      <c r="F1319">
        <v>0.1</v>
      </c>
      <c r="G1319" s="129" t="s">
        <v>13</v>
      </c>
      <c r="H1319" s="129" t="s">
        <v>12</v>
      </c>
      <c r="I1319">
        <v>0.01</v>
      </c>
      <c r="J1319">
        <v>4.5010000000000001E-2</v>
      </c>
      <c r="K1319" s="12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s="129" t="s">
        <v>1722</v>
      </c>
      <c r="B1320" s="129" t="s">
        <v>51</v>
      </c>
      <c r="C1320" s="129" t="s">
        <v>58</v>
      </c>
      <c r="D1320">
        <v>11</v>
      </c>
      <c r="E1320">
        <v>30.001000000000001</v>
      </c>
      <c r="F1320">
        <v>0.1</v>
      </c>
      <c r="G1320" s="129" t="s">
        <v>13</v>
      </c>
      <c r="H1320" s="129" t="s">
        <v>12</v>
      </c>
      <c r="I1320">
        <v>4.4999999999999998E-2</v>
      </c>
      <c r="J1320">
        <v>1.0000100000000001</v>
      </c>
      <c r="K1320" s="129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s="129" t="s">
        <v>2110</v>
      </c>
      <c r="B1321" s="129" t="s">
        <v>51</v>
      </c>
      <c r="C1321" s="129" t="s">
        <v>58</v>
      </c>
      <c r="D1321">
        <v>11</v>
      </c>
      <c r="E1321">
        <v>30.001000000000001</v>
      </c>
      <c r="F1321">
        <v>0.1</v>
      </c>
      <c r="G1321" s="129" t="s">
        <v>13</v>
      </c>
      <c r="H1321" s="129" t="s">
        <v>12</v>
      </c>
      <c r="I1321">
        <v>1</v>
      </c>
      <c r="J1321">
        <v>5.01</v>
      </c>
      <c r="K1321" s="129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s="129" t="s">
        <v>1723</v>
      </c>
      <c r="B1322" s="129" t="s">
        <v>51</v>
      </c>
      <c r="C1322" s="129" t="s">
        <v>58</v>
      </c>
      <c r="D1322">
        <v>11</v>
      </c>
      <c r="E1322">
        <v>30.001000000000001</v>
      </c>
      <c r="F1322">
        <v>0.1</v>
      </c>
      <c r="G1322" s="129" t="s">
        <v>13</v>
      </c>
      <c r="H1322" s="129" t="s">
        <v>12</v>
      </c>
      <c r="I1322">
        <v>5</v>
      </c>
      <c r="J1322">
        <v>10</v>
      </c>
      <c r="K1322" s="129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s="129" t="s">
        <v>2111</v>
      </c>
      <c r="B1323" s="129" t="s">
        <v>51</v>
      </c>
      <c r="C1323" s="129" t="s">
        <v>58</v>
      </c>
      <c r="D1323">
        <v>11</v>
      </c>
      <c r="E1323">
        <v>30.001000000000001</v>
      </c>
      <c r="F1323">
        <v>0.1</v>
      </c>
      <c r="G1323" s="129" t="s">
        <v>13</v>
      </c>
      <c r="H1323" s="129" t="s">
        <v>12</v>
      </c>
      <c r="I1323">
        <v>10</v>
      </c>
      <c r="J1323">
        <v>10.01</v>
      </c>
      <c r="K1323" s="129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s="129" t="s">
        <v>1737</v>
      </c>
      <c r="B1324" s="129" t="s">
        <v>51</v>
      </c>
      <c r="C1324" s="129" t="s">
        <v>58</v>
      </c>
      <c r="D1324">
        <v>30</v>
      </c>
      <c r="E1324">
        <v>110.01</v>
      </c>
      <c r="F1324">
        <v>0.1</v>
      </c>
      <c r="G1324" s="129" t="s">
        <v>13</v>
      </c>
      <c r="H1324" s="129" t="s">
        <v>12</v>
      </c>
      <c r="I1324">
        <v>4.4999999999999998E-2</v>
      </c>
      <c r="J1324">
        <v>0.10001</v>
      </c>
      <c r="K1324" s="129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s="129" t="s">
        <v>1736</v>
      </c>
      <c r="B1325" s="129" t="s">
        <v>51</v>
      </c>
      <c r="C1325" s="129" t="s">
        <v>58</v>
      </c>
      <c r="D1325">
        <v>30</v>
      </c>
      <c r="E1325">
        <v>110.01</v>
      </c>
      <c r="F1325">
        <v>0.1</v>
      </c>
      <c r="G1325" s="129" t="s">
        <v>13</v>
      </c>
      <c r="H1325" s="129" t="s">
        <v>12</v>
      </c>
      <c r="I1325">
        <v>0.1</v>
      </c>
      <c r="J1325">
        <v>1.0000100000000001</v>
      </c>
      <c r="K1325" s="129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s="129" t="s">
        <v>1738</v>
      </c>
      <c r="B1326" s="129" t="s">
        <v>51</v>
      </c>
      <c r="C1326" s="129" t="s">
        <v>58</v>
      </c>
      <c r="D1326">
        <v>30</v>
      </c>
      <c r="E1326">
        <v>110.01</v>
      </c>
      <c r="F1326">
        <v>0.1</v>
      </c>
      <c r="G1326" s="129" t="s">
        <v>13</v>
      </c>
      <c r="H1326" s="129" t="s">
        <v>12</v>
      </c>
      <c r="I1326">
        <v>1</v>
      </c>
      <c r="J1326">
        <v>5</v>
      </c>
      <c r="K1326" s="129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s="129" t="s">
        <v>1739</v>
      </c>
      <c r="B1327" s="129" t="s">
        <v>51</v>
      </c>
      <c r="C1327" s="129" t="s">
        <v>58</v>
      </c>
      <c r="D1327">
        <v>30</v>
      </c>
      <c r="E1327">
        <v>110.01</v>
      </c>
      <c r="F1327">
        <v>0.1</v>
      </c>
      <c r="G1327" s="129" t="s">
        <v>13</v>
      </c>
      <c r="H1327" s="129" t="s">
        <v>12</v>
      </c>
      <c r="I1327">
        <v>5</v>
      </c>
      <c r="J1327">
        <v>5.01</v>
      </c>
      <c r="K1327" s="129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s="129" t="s">
        <v>1752</v>
      </c>
      <c r="B1328" s="129" t="s">
        <v>51</v>
      </c>
      <c r="C1328" s="129" t="s">
        <v>58</v>
      </c>
      <c r="D1328">
        <v>110</v>
      </c>
      <c r="E1328">
        <v>205.01</v>
      </c>
      <c r="F1328">
        <v>0.1</v>
      </c>
      <c r="G1328" s="129" t="s">
        <v>13</v>
      </c>
      <c r="H1328" s="129" t="s">
        <v>12</v>
      </c>
      <c r="I1328">
        <v>4.4999999999999998E-2</v>
      </c>
      <c r="J1328">
        <v>0.10001</v>
      </c>
      <c r="K1328" s="129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s="129" t="s">
        <v>2117</v>
      </c>
      <c r="B1329" s="129" t="s">
        <v>51</v>
      </c>
      <c r="C1329" s="129" t="s">
        <v>58</v>
      </c>
      <c r="D1329">
        <v>110</v>
      </c>
      <c r="E1329">
        <v>205.01</v>
      </c>
      <c r="F1329">
        <v>0.1</v>
      </c>
      <c r="G1329" s="129" t="s">
        <v>13</v>
      </c>
      <c r="H1329" s="129" t="s">
        <v>12</v>
      </c>
      <c r="I1329">
        <v>0.1</v>
      </c>
      <c r="J1329">
        <v>1.0000100000000001</v>
      </c>
      <c r="K1329" s="1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s="129" t="s">
        <v>1751</v>
      </c>
      <c r="B1330" s="129" t="s">
        <v>51</v>
      </c>
      <c r="C1330" s="129" t="s">
        <v>58</v>
      </c>
      <c r="D1330">
        <v>110</v>
      </c>
      <c r="E1330">
        <v>205.01</v>
      </c>
      <c r="F1330">
        <v>0.1</v>
      </c>
      <c r="G1330" s="129" t="s">
        <v>13</v>
      </c>
      <c r="H1330" s="129" t="s">
        <v>12</v>
      </c>
      <c r="I1330">
        <v>1</v>
      </c>
      <c r="J1330">
        <v>5</v>
      </c>
      <c r="K1330" s="129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s="129" t="s">
        <v>2119</v>
      </c>
      <c r="B1331" s="129" t="s">
        <v>51</v>
      </c>
      <c r="C1331" s="129" t="s">
        <v>58</v>
      </c>
      <c r="D1331">
        <v>110</v>
      </c>
      <c r="E1331">
        <v>205.01</v>
      </c>
      <c r="F1331">
        <v>0.1</v>
      </c>
      <c r="G1331" s="129" t="s">
        <v>13</v>
      </c>
      <c r="H1331" s="129" t="s">
        <v>12</v>
      </c>
      <c r="I1331">
        <v>5</v>
      </c>
      <c r="J1331">
        <v>5.01</v>
      </c>
      <c r="K1331" s="129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s="129" t="s">
        <v>1707</v>
      </c>
      <c r="B1332" s="129" t="s">
        <v>51</v>
      </c>
      <c r="C1332" s="129" t="s">
        <v>58</v>
      </c>
      <c r="D1332">
        <v>1</v>
      </c>
      <c r="E1332">
        <v>11.000999999999999</v>
      </c>
      <c r="F1332">
        <v>1</v>
      </c>
      <c r="G1332" s="129" t="s">
        <v>13</v>
      </c>
      <c r="H1332" s="129" t="s">
        <v>12</v>
      </c>
      <c r="I1332">
        <v>0.01</v>
      </c>
      <c r="J1332">
        <v>4.5010000000000001E-2</v>
      </c>
      <c r="K1332" s="129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s="129" t="s">
        <v>1705</v>
      </c>
      <c r="B1333" s="129" t="s">
        <v>51</v>
      </c>
      <c r="C1333" s="129" t="s">
        <v>58</v>
      </c>
      <c r="D1333">
        <v>1</v>
      </c>
      <c r="E1333">
        <v>11.000999999999999</v>
      </c>
      <c r="F1333">
        <v>1</v>
      </c>
      <c r="G1333" s="129" t="s">
        <v>13</v>
      </c>
      <c r="H1333" s="129" t="s">
        <v>12</v>
      </c>
      <c r="I1333">
        <v>4.4999999999999998E-2</v>
      </c>
      <c r="J1333">
        <v>1.0000100000000001</v>
      </c>
      <c r="K1333" s="129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s="129" t="s">
        <v>1706</v>
      </c>
      <c r="B1334" s="129" t="s">
        <v>51</v>
      </c>
      <c r="C1334" s="129" t="s">
        <v>58</v>
      </c>
      <c r="D1334">
        <v>1</v>
      </c>
      <c r="E1334">
        <v>11.000999999999999</v>
      </c>
      <c r="F1334">
        <v>1</v>
      </c>
      <c r="G1334" s="129" t="s">
        <v>13</v>
      </c>
      <c r="H1334" s="129" t="s">
        <v>12</v>
      </c>
      <c r="I1334">
        <v>1</v>
      </c>
      <c r="J1334">
        <v>5.01</v>
      </c>
      <c r="K1334" s="129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s="129" t="s">
        <v>1704</v>
      </c>
      <c r="B1335" s="129" t="s">
        <v>51</v>
      </c>
      <c r="C1335" s="129" t="s">
        <v>58</v>
      </c>
      <c r="D1335">
        <v>1</v>
      </c>
      <c r="E1335">
        <v>11.000999999999999</v>
      </c>
      <c r="F1335">
        <v>1</v>
      </c>
      <c r="G1335" s="129" t="s">
        <v>13</v>
      </c>
      <c r="H1335" s="129" t="s">
        <v>12</v>
      </c>
      <c r="I1335">
        <v>5</v>
      </c>
      <c r="J1335">
        <v>10</v>
      </c>
      <c r="K1335" s="129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s="129" t="s">
        <v>1708</v>
      </c>
      <c r="B1336" s="129" t="s">
        <v>51</v>
      </c>
      <c r="C1336" s="129" t="s">
        <v>58</v>
      </c>
      <c r="D1336">
        <v>1</v>
      </c>
      <c r="E1336">
        <v>11.000999999999999</v>
      </c>
      <c r="F1336">
        <v>1</v>
      </c>
      <c r="G1336" s="129" t="s">
        <v>13</v>
      </c>
      <c r="H1336" s="129" t="s">
        <v>12</v>
      </c>
      <c r="I1336">
        <v>10</v>
      </c>
      <c r="J1336">
        <v>10.01</v>
      </c>
      <c r="K1336" s="129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s="129" t="s">
        <v>1726</v>
      </c>
      <c r="B1337" s="129" t="s">
        <v>51</v>
      </c>
      <c r="C1337" s="129" t="s">
        <v>58</v>
      </c>
      <c r="D1337">
        <v>11</v>
      </c>
      <c r="E1337">
        <v>30.001000000000001</v>
      </c>
      <c r="F1337">
        <v>1</v>
      </c>
      <c r="G1337" s="129" t="s">
        <v>13</v>
      </c>
      <c r="H1337" s="129" t="s">
        <v>12</v>
      </c>
      <c r="I1337">
        <v>0.01</v>
      </c>
      <c r="J1337">
        <v>4.5010000000000001E-2</v>
      </c>
      <c r="K1337" s="129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s="129" t="s">
        <v>2109</v>
      </c>
      <c r="B1338" s="129" t="s">
        <v>51</v>
      </c>
      <c r="C1338" s="129" t="s">
        <v>58</v>
      </c>
      <c r="D1338">
        <v>11</v>
      </c>
      <c r="E1338">
        <v>30.001000000000001</v>
      </c>
      <c r="F1338">
        <v>1</v>
      </c>
      <c r="G1338" s="129" t="s">
        <v>13</v>
      </c>
      <c r="H1338" s="129" t="s">
        <v>12</v>
      </c>
      <c r="I1338">
        <v>4.4999999999999998E-2</v>
      </c>
      <c r="J1338">
        <v>1.0000100000000001</v>
      </c>
      <c r="K1338" s="129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s="129" t="s">
        <v>1728</v>
      </c>
      <c r="B1339" s="129" t="s">
        <v>51</v>
      </c>
      <c r="C1339" s="129" t="s">
        <v>58</v>
      </c>
      <c r="D1339">
        <v>11</v>
      </c>
      <c r="E1339">
        <v>30.001000000000001</v>
      </c>
      <c r="F1339">
        <v>1</v>
      </c>
      <c r="G1339" s="129" t="s">
        <v>13</v>
      </c>
      <c r="H1339" s="129" t="s">
        <v>12</v>
      </c>
      <c r="I1339">
        <v>1</v>
      </c>
      <c r="J1339">
        <v>5.01</v>
      </c>
      <c r="K1339" s="12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s="129" t="s">
        <v>1725</v>
      </c>
      <c r="B1340" s="129" t="s">
        <v>51</v>
      </c>
      <c r="C1340" s="129" t="s">
        <v>58</v>
      </c>
      <c r="D1340">
        <v>11</v>
      </c>
      <c r="E1340">
        <v>30.001000000000001</v>
      </c>
      <c r="F1340">
        <v>1</v>
      </c>
      <c r="G1340" s="129" t="s">
        <v>13</v>
      </c>
      <c r="H1340" s="129" t="s">
        <v>12</v>
      </c>
      <c r="I1340">
        <v>5</v>
      </c>
      <c r="J1340">
        <v>10</v>
      </c>
      <c r="K1340" s="129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s="129" t="s">
        <v>1727</v>
      </c>
      <c r="B1341" s="129" t="s">
        <v>51</v>
      </c>
      <c r="C1341" s="129" t="s">
        <v>58</v>
      </c>
      <c r="D1341">
        <v>11</v>
      </c>
      <c r="E1341">
        <v>30.001000000000001</v>
      </c>
      <c r="F1341">
        <v>1</v>
      </c>
      <c r="G1341" s="129" t="s">
        <v>13</v>
      </c>
      <c r="H1341" s="129" t="s">
        <v>12</v>
      </c>
      <c r="I1341">
        <v>10</v>
      </c>
      <c r="J1341">
        <v>10.01</v>
      </c>
      <c r="K1341" s="129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s="129" t="s">
        <v>1740</v>
      </c>
      <c r="B1342" s="129" t="s">
        <v>51</v>
      </c>
      <c r="C1342" s="129" t="s">
        <v>58</v>
      </c>
      <c r="D1342">
        <v>30</v>
      </c>
      <c r="E1342">
        <v>110.01</v>
      </c>
      <c r="F1342">
        <v>1</v>
      </c>
      <c r="G1342" s="129" t="s">
        <v>13</v>
      </c>
      <c r="H1342" s="129" t="s">
        <v>12</v>
      </c>
      <c r="I1342">
        <v>4.4999999999999998E-2</v>
      </c>
      <c r="J1342">
        <v>0.10001</v>
      </c>
      <c r="K1342" s="129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s="129" t="s">
        <v>1743</v>
      </c>
      <c r="B1343" s="129" t="s">
        <v>51</v>
      </c>
      <c r="C1343" s="129" t="s">
        <v>58</v>
      </c>
      <c r="D1343">
        <v>30</v>
      </c>
      <c r="E1343">
        <v>110.01</v>
      </c>
      <c r="F1343">
        <v>1</v>
      </c>
      <c r="G1343" s="129" t="s">
        <v>13</v>
      </c>
      <c r="H1343" s="129" t="s">
        <v>12</v>
      </c>
      <c r="I1343">
        <v>0.1</v>
      </c>
      <c r="J1343">
        <v>1.0000100000000001</v>
      </c>
      <c r="K1343" s="129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s="129" t="s">
        <v>1741</v>
      </c>
      <c r="B1344" s="129" t="s">
        <v>51</v>
      </c>
      <c r="C1344" s="129" t="s">
        <v>58</v>
      </c>
      <c r="D1344">
        <v>30</v>
      </c>
      <c r="E1344">
        <v>110.01</v>
      </c>
      <c r="F1344">
        <v>1</v>
      </c>
      <c r="G1344" s="129" t="s">
        <v>13</v>
      </c>
      <c r="H1344" s="129" t="s">
        <v>12</v>
      </c>
      <c r="I1344">
        <v>1</v>
      </c>
      <c r="J1344">
        <v>5</v>
      </c>
      <c r="K1344" s="129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s="129" t="s">
        <v>1742</v>
      </c>
      <c r="B1345" s="129" t="s">
        <v>51</v>
      </c>
      <c r="C1345" s="129" t="s">
        <v>58</v>
      </c>
      <c r="D1345">
        <v>30</v>
      </c>
      <c r="E1345">
        <v>110.01</v>
      </c>
      <c r="F1345">
        <v>1</v>
      </c>
      <c r="G1345" s="129" t="s">
        <v>13</v>
      </c>
      <c r="H1345" s="129" t="s">
        <v>12</v>
      </c>
      <c r="I1345">
        <v>5</v>
      </c>
      <c r="J1345">
        <v>5.01</v>
      </c>
      <c r="K1345" s="129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s="129" t="s">
        <v>1754</v>
      </c>
      <c r="B1346" s="129" t="s">
        <v>51</v>
      </c>
      <c r="C1346" s="129" t="s">
        <v>58</v>
      </c>
      <c r="D1346">
        <v>110</v>
      </c>
      <c r="E1346">
        <v>205.01</v>
      </c>
      <c r="F1346">
        <v>1</v>
      </c>
      <c r="G1346" s="129" t="s">
        <v>13</v>
      </c>
      <c r="H1346" s="129" t="s">
        <v>12</v>
      </c>
      <c r="I1346">
        <v>4.4999999999999998E-2</v>
      </c>
      <c r="J1346">
        <v>0.10001</v>
      </c>
      <c r="K1346" s="129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s="129" t="s">
        <v>1755</v>
      </c>
      <c r="B1347" s="129" t="s">
        <v>51</v>
      </c>
      <c r="C1347" s="129" t="s">
        <v>58</v>
      </c>
      <c r="D1347">
        <v>110</v>
      </c>
      <c r="E1347">
        <v>205.01</v>
      </c>
      <c r="F1347">
        <v>1</v>
      </c>
      <c r="G1347" s="129" t="s">
        <v>13</v>
      </c>
      <c r="H1347" s="129" t="s">
        <v>12</v>
      </c>
      <c r="I1347">
        <v>0.1</v>
      </c>
      <c r="J1347">
        <v>1.0000100000000001</v>
      </c>
      <c r="K1347" s="129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s="129" t="s">
        <v>1756</v>
      </c>
      <c r="B1348" s="129" t="s">
        <v>51</v>
      </c>
      <c r="C1348" s="129" t="s">
        <v>58</v>
      </c>
      <c r="D1348">
        <v>110</v>
      </c>
      <c r="E1348">
        <v>205.01</v>
      </c>
      <c r="F1348">
        <v>1</v>
      </c>
      <c r="G1348" s="129" t="s">
        <v>13</v>
      </c>
      <c r="H1348" s="129" t="s">
        <v>12</v>
      </c>
      <c r="I1348">
        <v>1</v>
      </c>
      <c r="J1348">
        <v>5</v>
      </c>
      <c r="K1348" s="129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s="129" t="s">
        <v>1753</v>
      </c>
      <c r="B1349" s="129" t="s">
        <v>51</v>
      </c>
      <c r="C1349" s="129" t="s">
        <v>58</v>
      </c>
      <c r="D1349">
        <v>110</v>
      </c>
      <c r="E1349">
        <v>205.01</v>
      </c>
      <c r="F1349">
        <v>1</v>
      </c>
      <c r="G1349" s="129" t="s">
        <v>13</v>
      </c>
      <c r="H1349" s="129" t="s">
        <v>12</v>
      </c>
      <c r="I1349">
        <v>5</v>
      </c>
      <c r="J1349">
        <v>5.01</v>
      </c>
      <c r="K1349" s="12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s="129" t="s">
        <v>1710</v>
      </c>
      <c r="B1350" s="129" t="s">
        <v>51</v>
      </c>
      <c r="C1350" s="129" t="s">
        <v>58</v>
      </c>
      <c r="D1350">
        <v>1</v>
      </c>
      <c r="E1350">
        <v>11.000999999999999</v>
      </c>
      <c r="F1350">
        <v>10</v>
      </c>
      <c r="G1350" s="129" t="s">
        <v>13</v>
      </c>
      <c r="H1350" s="129" t="s">
        <v>12</v>
      </c>
      <c r="I1350">
        <v>0.01</v>
      </c>
      <c r="J1350">
        <v>4.5010000000000001E-2</v>
      </c>
      <c r="K1350" s="129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s="129" t="s">
        <v>1711</v>
      </c>
      <c r="B1351" s="129" t="s">
        <v>51</v>
      </c>
      <c r="C1351" s="129" t="s">
        <v>58</v>
      </c>
      <c r="D1351">
        <v>1</v>
      </c>
      <c r="E1351">
        <v>11.000999999999999</v>
      </c>
      <c r="F1351">
        <v>10</v>
      </c>
      <c r="G1351" s="129" t="s">
        <v>13</v>
      </c>
      <c r="H1351" s="129" t="s">
        <v>12</v>
      </c>
      <c r="I1351">
        <v>4.4999999999999998E-2</v>
      </c>
      <c r="J1351">
        <v>1.0000100000000001</v>
      </c>
      <c r="K1351" s="129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s="129" t="s">
        <v>2105</v>
      </c>
      <c r="B1352" s="129" t="s">
        <v>51</v>
      </c>
      <c r="C1352" s="129" t="s">
        <v>58</v>
      </c>
      <c r="D1352">
        <v>1</v>
      </c>
      <c r="E1352">
        <v>11.000999999999999</v>
      </c>
      <c r="F1352">
        <v>10</v>
      </c>
      <c r="G1352" s="129" t="s">
        <v>13</v>
      </c>
      <c r="H1352" s="129" t="s">
        <v>12</v>
      </c>
      <c r="I1352">
        <v>1</v>
      </c>
      <c r="J1352">
        <v>5.01</v>
      </c>
      <c r="K1352" s="129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s="129" t="s">
        <v>1709</v>
      </c>
      <c r="B1353" s="129" t="s">
        <v>51</v>
      </c>
      <c r="C1353" s="129" t="s">
        <v>58</v>
      </c>
      <c r="D1353">
        <v>1</v>
      </c>
      <c r="E1353">
        <v>11.000999999999999</v>
      </c>
      <c r="F1353">
        <v>10</v>
      </c>
      <c r="G1353" s="129" t="s">
        <v>13</v>
      </c>
      <c r="H1353" s="129" t="s">
        <v>12</v>
      </c>
      <c r="I1353">
        <v>5</v>
      </c>
      <c r="J1353">
        <v>10</v>
      </c>
      <c r="K1353" s="129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s="129" t="s">
        <v>1712</v>
      </c>
      <c r="B1354" s="129" t="s">
        <v>51</v>
      </c>
      <c r="C1354" s="129" t="s">
        <v>58</v>
      </c>
      <c r="D1354">
        <v>1</v>
      </c>
      <c r="E1354">
        <v>11.000999999999999</v>
      </c>
      <c r="F1354">
        <v>10</v>
      </c>
      <c r="G1354" s="129" t="s">
        <v>13</v>
      </c>
      <c r="H1354" s="129" t="s">
        <v>12</v>
      </c>
      <c r="I1354">
        <v>10</v>
      </c>
      <c r="J1354">
        <v>10.01</v>
      </c>
      <c r="K1354" s="129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s="129" t="s">
        <v>2108</v>
      </c>
      <c r="B1355" s="129" t="s">
        <v>51</v>
      </c>
      <c r="C1355" s="129" t="s">
        <v>58</v>
      </c>
      <c r="D1355">
        <v>11</v>
      </c>
      <c r="E1355">
        <v>30.001000000000001</v>
      </c>
      <c r="F1355">
        <v>10</v>
      </c>
      <c r="G1355" s="129" t="s">
        <v>13</v>
      </c>
      <c r="H1355" s="129" t="s">
        <v>12</v>
      </c>
      <c r="I1355">
        <v>0.01</v>
      </c>
      <c r="J1355">
        <v>4.5010000000000001E-2</v>
      </c>
      <c r="K1355" s="129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s="129" t="s">
        <v>1730</v>
      </c>
      <c r="B1356" s="129" t="s">
        <v>51</v>
      </c>
      <c r="C1356" s="129" t="s">
        <v>58</v>
      </c>
      <c r="D1356">
        <v>11</v>
      </c>
      <c r="E1356">
        <v>30.001000000000001</v>
      </c>
      <c r="F1356">
        <v>10</v>
      </c>
      <c r="G1356" s="129" t="s">
        <v>13</v>
      </c>
      <c r="H1356" s="129" t="s">
        <v>12</v>
      </c>
      <c r="I1356">
        <v>4.4999999999999998E-2</v>
      </c>
      <c r="J1356">
        <v>1.0000100000000001</v>
      </c>
      <c r="K1356" s="129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s="129" t="s">
        <v>1731</v>
      </c>
      <c r="B1357" s="129" t="s">
        <v>51</v>
      </c>
      <c r="C1357" s="129" t="s">
        <v>58</v>
      </c>
      <c r="D1357">
        <v>11</v>
      </c>
      <c r="E1357">
        <v>30.001000000000001</v>
      </c>
      <c r="F1357">
        <v>10</v>
      </c>
      <c r="G1357" s="129" t="s">
        <v>13</v>
      </c>
      <c r="H1357" s="129" t="s">
        <v>12</v>
      </c>
      <c r="I1357">
        <v>1</v>
      </c>
      <c r="J1357">
        <v>5.01</v>
      </c>
      <c r="K1357" s="129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s="129" t="s">
        <v>1729</v>
      </c>
      <c r="B1358" s="129" t="s">
        <v>51</v>
      </c>
      <c r="C1358" s="129" t="s">
        <v>58</v>
      </c>
      <c r="D1358">
        <v>11</v>
      </c>
      <c r="E1358">
        <v>30.001000000000001</v>
      </c>
      <c r="F1358">
        <v>10</v>
      </c>
      <c r="G1358" s="129" t="s">
        <v>13</v>
      </c>
      <c r="H1358" s="129" t="s">
        <v>12</v>
      </c>
      <c r="I1358">
        <v>5</v>
      </c>
      <c r="J1358">
        <v>10</v>
      </c>
      <c r="K1358" s="129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s="129" t="s">
        <v>2112</v>
      </c>
      <c r="B1359" s="129" t="s">
        <v>51</v>
      </c>
      <c r="C1359" s="129" t="s">
        <v>58</v>
      </c>
      <c r="D1359">
        <v>11</v>
      </c>
      <c r="E1359">
        <v>30.001000000000001</v>
      </c>
      <c r="F1359">
        <v>10</v>
      </c>
      <c r="G1359" s="129" t="s">
        <v>13</v>
      </c>
      <c r="H1359" s="129" t="s">
        <v>12</v>
      </c>
      <c r="I1359">
        <v>10</v>
      </c>
      <c r="J1359">
        <v>10.01</v>
      </c>
      <c r="K1359" s="12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s="129" t="s">
        <v>1744</v>
      </c>
      <c r="B1360" s="129" t="s">
        <v>51</v>
      </c>
      <c r="C1360" s="129" t="s">
        <v>58</v>
      </c>
      <c r="D1360">
        <v>30</v>
      </c>
      <c r="E1360">
        <v>110.01</v>
      </c>
      <c r="F1360">
        <v>10</v>
      </c>
      <c r="G1360" s="129" t="s">
        <v>13</v>
      </c>
      <c r="H1360" s="129" t="s">
        <v>12</v>
      </c>
      <c r="I1360">
        <v>4.4999999999999998E-2</v>
      </c>
      <c r="J1360">
        <v>0.10001</v>
      </c>
      <c r="K1360" s="129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s="129" t="s">
        <v>2113</v>
      </c>
      <c r="B1361" s="129" t="s">
        <v>51</v>
      </c>
      <c r="C1361" s="129" t="s">
        <v>58</v>
      </c>
      <c r="D1361">
        <v>30</v>
      </c>
      <c r="E1361">
        <v>110.01</v>
      </c>
      <c r="F1361">
        <v>10</v>
      </c>
      <c r="G1361" s="129" t="s">
        <v>13</v>
      </c>
      <c r="H1361" s="129" t="s">
        <v>12</v>
      </c>
      <c r="I1361">
        <v>0.1</v>
      </c>
      <c r="J1361">
        <v>1.0000100000000001</v>
      </c>
      <c r="K1361" s="129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s="129" t="s">
        <v>1746</v>
      </c>
      <c r="B1362" s="129" t="s">
        <v>51</v>
      </c>
      <c r="C1362" s="129" t="s">
        <v>58</v>
      </c>
      <c r="D1362">
        <v>30</v>
      </c>
      <c r="E1362">
        <v>110.01</v>
      </c>
      <c r="F1362">
        <v>10</v>
      </c>
      <c r="G1362" s="129" t="s">
        <v>13</v>
      </c>
      <c r="H1362" s="129" t="s">
        <v>12</v>
      </c>
      <c r="I1362">
        <v>1</v>
      </c>
      <c r="J1362">
        <v>5</v>
      </c>
      <c r="K1362" s="129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s="129" t="s">
        <v>1745</v>
      </c>
      <c r="B1363" s="129" t="s">
        <v>51</v>
      </c>
      <c r="C1363" s="129" t="s">
        <v>58</v>
      </c>
      <c r="D1363">
        <v>30</v>
      </c>
      <c r="E1363">
        <v>110.01</v>
      </c>
      <c r="F1363">
        <v>10</v>
      </c>
      <c r="G1363" s="129" t="s">
        <v>13</v>
      </c>
      <c r="H1363" s="129" t="s">
        <v>12</v>
      </c>
      <c r="I1363">
        <v>5</v>
      </c>
      <c r="J1363">
        <v>5.01</v>
      </c>
      <c r="K1363" s="129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s="129" t="s">
        <v>1760</v>
      </c>
      <c r="B1364" s="129" t="s">
        <v>51</v>
      </c>
      <c r="C1364" s="129" t="s">
        <v>58</v>
      </c>
      <c r="D1364">
        <v>110</v>
      </c>
      <c r="E1364">
        <v>205.01</v>
      </c>
      <c r="F1364">
        <v>10</v>
      </c>
      <c r="G1364" s="129" t="s">
        <v>13</v>
      </c>
      <c r="H1364" s="129" t="s">
        <v>12</v>
      </c>
      <c r="I1364">
        <v>4.4999999999999998E-2</v>
      </c>
      <c r="J1364">
        <v>0.10001</v>
      </c>
      <c r="K1364" s="129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s="129" t="s">
        <v>1759</v>
      </c>
      <c r="B1365" s="129" t="s">
        <v>51</v>
      </c>
      <c r="C1365" s="129" t="s">
        <v>58</v>
      </c>
      <c r="D1365">
        <v>110</v>
      </c>
      <c r="E1365">
        <v>205.01</v>
      </c>
      <c r="F1365">
        <v>10</v>
      </c>
      <c r="G1365" s="129" t="s">
        <v>13</v>
      </c>
      <c r="H1365" s="129" t="s">
        <v>12</v>
      </c>
      <c r="I1365">
        <v>0.1</v>
      </c>
      <c r="J1365">
        <v>1.0000100000000001</v>
      </c>
      <c r="K1365" s="129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s="129" t="s">
        <v>1758</v>
      </c>
      <c r="B1366" s="129" t="s">
        <v>51</v>
      </c>
      <c r="C1366" s="129" t="s">
        <v>58</v>
      </c>
      <c r="D1366">
        <v>110</v>
      </c>
      <c r="E1366">
        <v>205.01</v>
      </c>
      <c r="F1366">
        <v>10</v>
      </c>
      <c r="G1366" s="129" t="s">
        <v>13</v>
      </c>
      <c r="H1366" s="129" t="s">
        <v>12</v>
      </c>
      <c r="I1366">
        <v>1</v>
      </c>
      <c r="J1366">
        <v>5</v>
      </c>
      <c r="K1366" s="129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s="129" t="s">
        <v>1757</v>
      </c>
      <c r="B1367" s="129" t="s">
        <v>51</v>
      </c>
      <c r="C1367" s="129" t="s">
        <v>58</v>
      </c>
      <c r="D1367">
        <v>110</v>
      </c>
      <c r="E1367">
        <v>205.01</v>
      </c>
      <c r="F1367">
        <v>10</v>
      </c>
      <c r="G1367" s="129" t="s">
        <v>13</v>
      </c>
      <c r="H1367" s="129" t="s">
        <v>12</v>
      </c>
      <c r="I1367">
        <v>5</v>
      </c>
      <c r="J1367">
        <v>5.01</v>
      </c>
      <c r="K1367" s="129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s="129" t="s">
        <v>1747</v>
      </c>
      <c r="B1368" s="129" t="s">
        <v>51</v>
      </c>
      <c r="C1368" s="129" t="s">
        <v>58</v>
      </c>
      <c r="D1368">
        <v>30</v>
      </c>
      <c r="E1368">
        <v>110.01</v>
      </c>
      <c r="F1368">
        <v>100</v>
      </c>
      <c r="G1368" s="129" t="s">
        <v>13</v>
      </c>
      <c r="H1368" s="129" t="s">
        <v>12</v>
      </c>
      <c r="I1368">
        <v>4.4999999999999998E-2</v>
      </c>
      <c r="J1368">
        <v>0.10001</v>
      </c>
      <c r="K1368" s="129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s="129" t="s">
        <v>1748</v>
      </c>
      <c r="B1369" s="129" t="s">
        <v>51</v>
      </c>
      <c r="C1369" s="129" t="s">
        <v>58</v>
      </c>
      <c r="D1369">
        <v>30</v>
      </c>
      <c r="E1369">
        <v>110.01</v>
      </c>
      <c r="F1369">
        <v>100</v>
      </c>
      <c r="G1369" s="129" t="s">
        <v>13</v>
      </c>
      <c r="H1369" s="129" t="s">
        <v>12</v>
      </c>
      <c r="I1369">
        <v>0.1</v>
      </c>
      <c r="J1369">
        <v>1.0000100000000001</v>
      </c>
      <c r="K1369" s="12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s="129" t="s">
        <v>2114</v>
      </c>
      <c r="B1370" s="129" t="s">
        <v>51</v>
      </c>
      <c r="C1370" s="129" t="s">
        <v>58</v>
      </c>
      <c r="D1370">
        <v>30</v>
      </c>
      <c r="E1370">
        <v>110.01</v>
      </c>
      <c r="F1370">
        <v>100</v>
      </c>
      <c r="G1370" s="129" t="s">
        <v>13</v>
      </c>
      <c r="H1370" s="129" t="s">
        <v>12</v>
      </c>
      <c r="I1370">
        <v>1</v>
      </c>
      <c r="J1370">
        <v>5</v>
      </c>
      <c r="K1370" s="129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s="129" t="s">
        <v>2115</v>
      </c>
      <c r="B1371" s="129" t="s">
        <v>51</v>
      </c>
      <c r="C1371" s="129" t="s">
        <v>58</v>
      </c>
      <c r="D1371">
        <v>30</v>
      </c>
      <c r="E1371">
        <v>110.01</v>
      </c>
      <c r="F1371">
        <v>100</v>
      </c>
      <c r="G1371" s="129" t="s">
        <v>13</v>
      </c>
      <c r="H1371" s="129" t="s">
        <v>12</v>
      </c>
      <c r="I1371">
        <v>5</v>
      </c>
      <c r="J1371">
        <v>5.01</v>
      </c>
      <c r="K1371" s="129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s="129" t="s">
        <v>1761</v>
      </c>
      <c r="B1372" s="129" t="s">
        <v>51</v>
      </c>
      <c r="C1372" s="129" t="s">
        <v>58</v>
      </c>
      <c r="D1372">
        <v>110</v>
      </c>
      <c r="E1372">
        <v>205.01</v>
      </c>
      <c r="F1372">
        <v>100</v>
      </c>
      <c r="G1372" s="129" t="s">
        <v>13</v>
      </c>
      <c r="H1372" s="129" t="s">
        <v>12</v>
      </c>
      <c r="I1372">
        <v>4.4999999999999998E-2</v>
      </c>
      <c r="J1372">
        <v>0.10001</v>
      </c>
      <c r="K1372" s="129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s="129" t="s">
        <v>1763</v>
      </c>
      <c r="B1373" s="129" t="s">
        <v>51</v>
      </c>
      <c r="C1373" s="129" t="s">
        <v>58</v>
      </c>
      <c r="D1373">
        <v>110</v>
      </c>
      <c r="E1373">
        <v>205.01</v>
      </c>
      <c r="F1373">
        <v>100</v>
      </c>
      <c r="G1373" s="129" t="s">
        <v>13</v>
      </c>
      <c r="H1373" s="129" t="s">
        <v>12</v>
      </c>
      <c r="I1373">
        <v>0.1</v>
      </c>
      <c r="J1373">
        <v>1.0000100000000001</v>
      </c>
      <c r="K1373" s="129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s="129" t="s">
        <v>1762</v>
      </c>
      <c r="B1374" s="129" t="s">
        <v>51</v>
      </c>
      <c r="C1374" s="129" t="s">
        <v>58</v>
      </c>
      <c r="D1374">
        <v>110</v>
      </c>
      <c r="E1374">
        <v>205.01</v>
      </c>
      <c r="F1374">
        <v>100</v>
      </c>
      <c r="G1374" s="129" t="s">
        <v>13</v>
      </c>
      <c r="H1374" s="129" t="s">
        <v>12</v>
      </c>
      <c r="I1374">
        <v>1</v>
      </c>
      <c r="J1374">
        <v>5</v>
      </c>
      <c r="K1374" s="129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s="129" t="s">
        <v>1764</v>
      </c>
      <c r="B1375" s="129" t="s">
        <v>51</v>
      </c>
      <c r="C1375" s="129" t="s">
        <v>58</v>
      </c>
      <c r="D1375">
        <v>110</v>
      </c>
      <c r="E1375">
        <v>205.01</v>
      </c>
      <c r="F1375">
        <v>100</v>
      </c>
      <c r="G1375" s="129" t="s">
        <v>13</v>
      </c>
      <c r="H1375" s="129" t="s">
        <v>12</v>
      </c>
      <c r="I1375">
        <v>5</v>
      </c>
      <c r="J1375">
        <v>5.01</v>
      </c>
      <c r="K1375" s="129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s="129" t="s">
        <v>1643</v>
      </c>
      <c r="B1376" s="129" t="s">
        <v>51</v>
      </c>
      <c r="C1376" s="129" t="s">
        <v>59</v>
      </c>
      <c r="D1376">
        <v>22</v>
      </c>
      <c r="E1376">
        <v>60.000999999999998</v>
      </c>
      <c r="F1376">
        <v>1E-3</v>
      </c>
      <c r="G1376" s="129" t="s">
        <v>13</v>
      </c>
      <c r="H1376" s="129" t="s">
        <v>12</v>
      </c>
      <c r="I1376">
        <v>0.01</v>
      </c>
      <c r="J1376">
        <v>4.5010000000000001E-2</v>
      </c>
      <c r="K1376" s="129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s="129" t="s">
        <v>1642</v>
      </c>
      <c r="B1377" s="129" t="s">
        <v>51</v>
      </c>
      <c r="C1377" s="129" t="s">
        <v>59</v>
      </c>
      <c r="D1377">
        <v>22</v>
      </c>
      <c r="E1377">
        <v>60.000999999999998</v>
      </c>
      <c r="F1377">
        <v>1E-3</v>
      </c>
      <c r="G1377" s="129" t="s">
        <v>13</v>
      </c>
      <c r="H1377" s="129" t="s">
        <v>12</v>
      </c>
      <c r="I1377">
        <v>4.4999999999999998E-2</v>
      </c>
      <c r="J1377">
        <v>1.0000100000000001</v>
      </c>
      <c r="K1377" s="129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s="129" t="s">
        <v>1644</v>
      </c>
      <c r="B1378" s="129" t="s">
        <v>51</v>
      </c>
      <c r="C1378" s="129" t="s">
        <v>59</v>
      </c>
      <c r="D1378">
        <v>22</v>
      </c>
      <c r="E1378">
        <v>60.000999999999998</v>
      </c>
      <c r="F1378">
        <v>1E-3</v>
      </c>
      <c r="G1378" s="129" t="s">
        <v>13</v>
      </c>
      <c r="H1378" s="129" t="s">
        <v>12</v>
      </c>
      <c r="I1378">
        <v>1</v>
      </c>
      <c r="J1378">
        <v>5.01</v>
      </c>
      <c r="K1378" s="129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s="129" t="s">
        <v>2124</v>
      </c>
      <c r="B1379" s="129" t="s">
        <v>51</v>
      </c>
      <c r="C1379" s="129" t="s">
        <v>59</v>
      </c>
      <c r="D1379">
        <v>22</v>
      </c>
      <c r="E1379">
        <v>60.000999999999998</v>
      </c>
      <c r="F1379">
        <v>1E-3</v>
      </c>
      <c r="G1379" s="129" t="s">
        <v>13</v>
      </c>
      <c r="H1379" s="129" t="s">
        <v>12</v>
      </c>
      <c r="I1379">
        <v>5</v>
      </c>
      <c r="J1379">
        <v>10</v>
      </c>
      <c r="K1379" s="12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s="129" t="s">
        <v>1645</v>
      </c>
      <c r="B1380" s="129" t="s">
        <v>51</v>
      </c>
      <c r="C1380" s="129" t="s">
        <v>59</v>
      </c>
      <c r="D1380">
        <v>22</v>
      </c>
      <c r="E1380">
        <v>60.000999999999998</v>
      </c>
      <c r="F1380">
        <v>1E-3</v>
      </c>
      <c r="G1380" s="129" t="s">
        <v>13</v>
      </c>
      <c r="H1380" s="129" t="s">
        <v>12</v>
      </c>
      <c r="I1380">
        <v>10</v>
      </c>
      <c r="J1380">
        <v>10.01</v>
      </c>
      <c r="K1380" s="129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s="129" t="s">
        <v>1647</v>
      </c>
      <c r="B1381" s="129" t="s">
        <v>51</v>
      </c>
      <c r="C1381" s="129" t="s">
        <v>59</v>
      </c>
      <c r="D1381">
        <v>22</v>
      </c>
      <c r="E1381">
        <v>60.000999999999998</v>
      </c>
      <c r="F1381">
        <v>0.01</v>
      </c>
      <c r="G1381" s="129" t="s">
        <v>13</v>
      </c>
      <c r="H1381" s="129" t="s">
        <v>12</v>
      </c>
      <c r="I1381">
        <v>0.01</v>
      </c>
      <c r="J1381">
        <v>4.5010000000000001E-2</v>
      </c>
      <c r="K1381" s="129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s="129" t="s">
        <v>1648</v>
      </c>
      <c r="B1382" s="129" t="s">
        <v>51</v>
      </c>
      <c r="C1382" s="129" t="s">
        <v>59</v>
      </c>
      <c r="D1382">
        <v>22</v>
      </c>
      <c r="E1382">
        <v>60.000999999999998</v>
      </c>
      <c r="F1382">
        <v>0.01</v>
      </c>
      <c r="G1382" s="129" t="s">
        <v>13</v>
      </c>
      <c r="H1382" s="129" t="s">
        <v>12</v>
      </c>
      <c r="I1382">
        <v>4.4999999999999998E-2</v>
      </c>
      <c r="J1382">
        <v>1.0000100000000001</v>
      </c>
      <c r="K1382" s="129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s="129" t="s">
        <v>1646</v>
      </c>
      <c r="B1383" s="129" t="s">
        <v>51</v>
      </c>
      <c r="C1383" s="129" t="s">
        <v>59</v>
      </c>
      <c r="D1383">
        <v>22</v>
      </c>
      <c r="E1383">
        <v>60.000999999999998</v>
      </c>
      <c r="F1383">
        <v>0.01</v>
      </c>
      <c r="G1383" s="129" t="s">
        <v>13</v>
      </c>
      <c r="H1383" s="129" t="s">
        <v>12</v>
      </c>
      <c r="I1383">
        <v>1</v>
      </c>
      <c r="J1383">
        <v>5.01</v>
      </c>
      <c r="K1383" s="129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s="129" t="s">
        <v>2125</v>
      </c>
      <c r="B1384" s="129" t="s">
        <v>51</v>
      </c>
      <c r="C1384" s="129" t="s">
        <v>59</v>
      </c>
      <c r="D1384">
        <v>22</v>
      </c>
      <c r="E1384">
        <v>60.000999999999998</v>
      </c>
      <c r="F1384">
        <v>0.01</v>
      </c>
      <c r="G1384" s="129" t="s">
        <v>13</v>
      </c>
      <c r="H1384" s="129" t="s">
        <v>12</v>
      </c>
      <c r="I1384">
        <v>5</v>
      </c>
      <c r="J1384">
        <v>10</v>
      </c>
      <c r="K1384" s="129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s="129" t="s">
        <v>1649</v>
      </c>
      <c r="B1385" s="129" t="s">
        <v>51</v>
      </c>
      <c r="C1385" s="129" t="s">
        <v>59</v>
      </c>
      <c r="D1385">
        <v>22</v>
      </c>
      <c r="E1385">
        <v>60.000999999999998</v>
      </c>
      <c r="F1385">
        <v>0.01</v>
      </c>
      <c r="G1385" s="129" t="s">
        <v>13</v>
      </c>
      <c r="H1385" s="129" t="s">
        <v>12</v>
      </c>
      <c r="I1385">
        <v>10</v>
      </c>
      <c r="J1385">
        <v>10.01</v>
      </c>
      <c r="K1385" s="129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s="129" t="s">
        <v>2127</v>
      </c>
      <c r="B1386" s="129" t="s">
        <v>51</v>
      </c>
      <c r="C1386" s="129" t="s">
        <v>59</v>
      </c>
      <c r="D1386">
        <v>60</v>
      </c>
      <c r="E1386">
        <v>220.01</v>
      </c>
      <c r="F1386">
        <v>0.01</v>
      </c>
      <c r="G1386" s="129" t="s">
        <v>13</v>
      </c>
      <c r="H1386" s="129" t="s">
        <v>12</v>
      </c>
      <c r="I1386">
        <v>4.4999999999999998E-2</v>
      </c>
      <c r="J1386">
        <v>0.10001</v>
      </c>
      <c r="K1386" s="129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s="129" t="s">
        <v>2129</v>
      </c>
      <c r="B1387" s="129" t="s">
        <v>51</v>
      </c>
      <c r="C1387" s="129" t="s">
        <v>59</v>
      </c>
      <c r="D1387">
        <v>60</v>
      </c>
      <c r="E1387">
        <v>220.01</v>
      </c>
      <c r="F1387">
        <v>0.01</v>
      </c>
      <c r="G1387" s="129" t="s">
        <v>13</v>
      </c>
      <c r="H1387" s="129" t="s">
        <v>12</v>
      </c>
      <c r="I1387">
        <v>0.1</v>
      </c>
      <c r="J1387">
        <v>1.0000100000000001</v>
      </c>
      <c r="K1387" s="129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s="129" t="s">
        <v>1660</v>
      </c>
      <c r="B1388" s="129" t="s">
        <v>51</v>
      </c>
      <c r="C1388" s="129" t="s">
        <v>59</v>
      </c>
      <c r="D1388">
        <v>60</v>
      </c>
      <c r="E1388">
        <v>220.01</v>
      </c>
      <c r="F1388">
        <v>0.01</v>
      </c>
      <c r="G1388" s="129" t="s">
        <v>13</v>
      </c>
      <c r="H1388" s="129" t="s">
        <v>12</v>
      </c>
      <c r="I1388">
        <v>1</v>
      </c>
      <c r="J1388">
        <v>5</v>
      </c>
      <c r="K1388" s="129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s="129" t="s">
        <v>1661</v>
      </c>
      <c r="B1389" s="129" t="s">
        <v>51</v>
      </c>
      <c r="C1389" s="129" t="s">
        <v>59</v>
      </c>
      <c r="D1389">
        <v>60</v>
      </c>
      <c r="E1389">
        <v>220.01</v>
      </c>
      <c r="F1389">
        <v>0.01</v>
      </c>
      <c r="G1389" s="129" t="s">
        <v>13</v>
      </c>
      <c r="H1389" s="129" t="s">
        <v>12</v>
      </c>
      <c r="I1389">
        <v>5</v>
      </c>
      <c r="J1389">
        <v>5.01</v>
      </c>
      <c r="K1389" s="12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s="129" t="s">
        <v>1675</v>
      </c>
      <c r="B1390" s="129" t="s">
        <v>51</v>
      </c>
      <c r="C1390" s="129" t="s">
        <v>59</v>
      </c>
      <c r="D1390">
        <v>220</v>
      </c>
      <c r="E1390">
        <v>410.01</v>
      </c>
      <c r="F1390">
        <v>0.01</v>
      </c>
      <c r="G1390" s="129" t="s">
        <v>13</v>
      </c>
      <c r="H1390" s="129" t="s">
        <v>12</v>
      </c>
      <c r="I1390">
        <v>4.4999999999999998E-2</v>
      </c>
      <c r="J1390">
        <v>0.10001</v>
      </c>
      <c r="K1390" s="129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s="129" t="s">
        <v>1676</v>
      </c>
      <c r="B1391" s="129" t="s">
        <v>51</v>
      </c>
      <c r="C1391" s="129" t="s">
        <v>59</v>
      </c>
      <c r="D1391">
        <v>220</v>
      </c>
      <c r="E1391">
        <v>410.01</v>
      </c>
      <c r="F1391">
        <v>0.01</v>
      </c>
      <c r="G1391" s="129" t="s">
        <v>13</v>
      </c>
      <c r="H1391" s="129" t="s">
        <v>12</v>
      </c>
      <c r="I1391">
        <v>0.1</v>
      </c>
      <c r="J1391">
        <v>1.0000100000000001</v>
      </c>
      <c r="K1391" s="129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s="129" t="s">
        <v>1674</v>
      </c>
      <c r="B1392" s="129" t="s">
        <v>51</v>
      </c>
      <c r="C1392" s="129" t="s">
        <v>59</v>
      </c>
      <c r="D1392">
        <v>220</v>
      </c>
      <c r="E1392">
        <v>410.01</v>
      </c>
      <c r="F1392">
        <v>0.01</v>
      </c>
      <c r="G1392" s="129" t="s">
        <v>13</v>
      </c>
      <c r="H1392" s="129" t="s">
        <v>12</v>
      </c>
      <c r="I1392">
        <v>1</v>
      </c>
      <c r="J1392">
        <v>5</v>
      </c>
      <c r="K1392" s="129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s="129" t="s">
        <v>1677</v>
      </c>
      <c r="B1393" s="129" t="s">
        <v>51</v>
      </c>
      <c r="C1393" s="129" t="s">
        <v>59</v>
      </c>
      <c r="D1393">
        <v>220</v>
      </c>
      <c r="E1393">
        <v>410.01</v>
      </c>
      <c r="F1393">
        <v>0.01</v>
      </c>
      <c r="G1393" s="129" t="s">
        <v>13</v>
      </c>
      <c r="H1393" s="129" t="s">
        <v>12</v>
      </c>
      <c r="I1393">
        <v>5</v>
      </c>
      <c r="J1393">
        <v>5.01</v>
      </c>
      <c r="K1393" s="129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s="129" t="s">
        <v>1650</v>
      </c>
      <c r="B1394" s="129" t="s">
        <v>51</v>
      </c>
      <c r="C1394" s="129" t="s">
        <v>59</v>
      </c>
      <c r="D1394">
        <v>22</v>
      </c>
      <c r="E1394">
        <v>60.000999999999998</v>
      </c>
      <c r="F1394">
        <v>0.1</v>
      </c>
      <c r="G1394" s="129" t="s">
        <v>13</v>
      </c>
      <c r="H1394" s="129" t="s">
        <v>12</v>
      </c>
      <c r="I1394">
        <v>0.01</v>
      </c>
      <c r="J1394">
        <v>4.5010000000000001E-2</v>
      </c>
      <c r="K1394" s="129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s="129" t="s">
        <v>1651</v>
      </c>
      <c r="B1395" s="129" t="s">
        <v>51</v>
      </c>
      <c r="C1395" s="129" t="s">
        <v>59</v>
      </c>
      <c r="D1395">
        <v>22</v>
      </c>
      <c r="E1395">
        <v>60.000999999999998</v>
      </c>
      <c r="F1395">
        <v>0.1</v>
      </c>
      <c r="G1395" s="129" t="s">
        <v>13</v>
      </c>
      <c r="H1395" s="129" t="s">
        <v>12</v>
      </c>
      <c r="I1395">
        <v>4.4999999999999998E-2</v>
      </c>
      <c r="J1395">
        <v>1.0000100000000001</v>
      </c>
      <c r="K1395" s="129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s="129" t="s">
        <v>1654</v>
      </c>
      <c r="B1396" s="129" t="s">
        <v>51</v>
      </c>
      <c r="C1396" s="129" t="s">
        <v>59</v>
      </c>
      <c r="D1396">
        <v>22</v>
      </c>
      <c r="E1396">
        <v>60.000999999999998</v>
      </c>
      <c r="F1396">
        <v>0.1</v>
      </c>
      <c r="G1396" s="129" t="s">
        <v>13</v>
      </c>
      <c r="H1396" s="129" t="s">
        <v>12</v>
      </c>
      <c r="I1396">
        <v>1</v>
      </c>
      <c r="J1396">
        <v>5.01</v>
      </c>
      <c r="K1396" s="129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s="129" t="s">
        <v>1652</v>
      </c>
      <c r="B1397" s="129" t="s">
        <v>51</v>
      </c>
      <c r="C1397" s="129" t="s">
        <v>59</v>
      </c>
      <c r="D1397">
        <v>22</v>
      </c>
      <c r="E1397">
        <v>60.000999999999998</v>
      </c>
      <c r="F1397">
        <v>0.1</v>
      </c>
      <c r="G1397" s="129" t="s">
        <v>13</v>
      </c>
      <c r="H1397" s="129" t="s">
        <v>12</v>
      </c>
      <c r="I1397">
        <v>5</v>
      </c>
      <c r="J1397">
        <v>10</v>
      </c>
      <c r="K1397" s="129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s="129" t="s">
        <v>1653</v>
      </c>
      <c r="B1398" s="129" t="s">
        <v>51</v>
      </c>
      <c r="C1398" s="129" t="s">
        <v>59</v>
      </c>
      <c r="D1398">
        <v>22</v>
      </c>
      <c r="E1398">
        <v>60.000999999999998</v>
      </c>
      <c r="F1398">
        <v>0.1</v>
      </c>
      <c r="G1398" s="129" t="s">
        <v>13</v>
      </c>
      <c r="H1398" s="129" t="s">
        <v>12</v>
      </c>
      <c r="I1398">
        <v>10</v>
      </c>
      <c r="J1398">
        <v>10.01</v>
      </c>
      <c r="K1398" s="129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s="129" t="s">
        <v>2128</v>
      </c>
      <c r="B1399" s="129" t="s">
        <v>51</v>
      </c>
      <c r="C1399" s="129" t="s">
        <v>59</v>
      </c>
      <c r="D1399">
        <v>60</v>
      </c>
      <c r="E1399">
        <v>220.01</v>
      </c>
      <c r="F1399">
        <v>0.1</v>
      </c>
      <c r="G1399" s="129" t="s">
        <v>13</v>
      </c>
      <c r="H1399" s="129" t="s">
        <v>12</v>
      </c>
      <c r="I1399">
        <v>4.4999999999999998E-2</v>
      </c>
      <c r="J1399">
        <v>0.10001</v>
      </c>
      <c r="K1399" s="12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s="129" t="s">
        <v>1662</v>
      </c>
      <c r="B1400" s="129" t="s">
        <v>51</v>
      </c>
      <c r="C1400" s="129" t="s">
        <v>59</v>
      </c>
      <c r="D1400">
        <v>60</v>
      </c>
      <c r="E1400">
        <v>220.01</v>
      </c>
      <c r="F1400">
        <v>0.1</v>
      </c>
      <c r="G1400" s="129" t="s">
        <v>13</v>
      </c>
      <c r="H1400" s="129" t="s">
        <v>12</v>
      </c>
      <c r="I1400">
        <v>0.1</v>
      </c>
      <c r="J1400">
        <v>1.0000100000000001</v>
      </c>
      <c r="K1400" s="129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s="129" t="s">
        <v>2130</v>
      </c>
      <c r="B1401" s="129" t="s">
        <v>51</v>
      </c>
      <c r="C1401" s="129" t="s">
        <v>59</v>
      </c>
      <c r="D1401">
        <v>60</v>
      </c>
      <c r="E1401">
        <v>220.01</v>
      </c>
      <c r="F1401">
        <v>0.1</v>
      </c>
      <c r="G1401" s="129" t="s">
        <v>13</v>
      </c>
      <c r="H1401" s="129" t="s">
        <v>12</v>
      </c>
      <c r="I1401">
        <v>1</v>
      </c>
      <c r="J1401">
        <v>5</v>
      </c>
      <c r="K1401" s="129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s="129" t="s">
        <v>2132</v>
      </c>
      <c r="B1402" s="129" t="s">
        <v>51</v>
      </c>
      <c r="C1402" s="129" t="s">
        <v>59</v>
      </c>
      <c r="D1402">
        <v>60</v>
      </c>
      <c r="E1402">
        <v>220.01</v>
      </c>
      <c r="F1402">
        <v>0.1</v>
      </c>
      <c r="G1402" s="129" t="s">
        <v>13</v>
      </c>
      <c r="H1402" s="129" t="s">
        <v>12</v>
      </c>
      <c r="I1402">
        <v>5</v>
      </c>
      <c r="J1402">
        <v>5.01</v>
      </c>
      <c r="K1402" s="129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s="129" t="s">
        <v>1680</v>
      </c>
      <c r="B1403" s="129" t="s">
        <v>51</v>
      </c>
      <c r="C1403" s="129" t="s">
        <v>59</v>
      </c>
      <c r="D1403">
        <v>220</v>
      </c>
      <c r="E1403">
        <v>410.01</v>
      </c>
      <c r="F1403">
        <v>0.1</v>
      </c>
      <c r="G1403" s="129" t="s">
        <v>13</v>
      </c>
      <c r="H1403" s="129" t="s">
        <v>12</v>
      </c>
      <c r="I1403">
        <v>4.4999999999999998E-2</v>
      </c>
      <c r="J1403">
        <v>0.10001</v>
      </c>
      <c r="K1403" s="129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s="129" t="s">
        <v>1679</v>
      </c>
      <c r="B1404" s="129" t="s">
        <v>51</v>
      </c>
      <c r="C1404" s="129" t="s">
        <v>59</v>
      </c>
      <c r="D1404">
        <v>220</v>
      </c>
      <c r="E1404">
        <v>410.01</v>
      </c>
      <c r="F1404">
        <v>0.1</v>
      </c>
      <c r="G1404" s="129" t="s">
        <v>13</v>
      </c>
      <c r="H1404" s="129" t="s">
        <v>12</v>
      </c>
      <c r="I1404">
        <v>0.1</v>
      </c>
      <c r="J1404">
        <v>1.0000100000000001</v>
      </c>
      <c r="K1404" s="129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s="129" t="s">
        <v>1678</v>
      </c>
      <c r="B1405" s="129" t="s">
        <v>51</v>
      </c>
      <c r="C1405" s="129" t="s">
        <v>59</v>
      </c>
      <c r="D1405">
        <v>220</v>
      </c>
      <c r="E1405">
        <v>410.01</v>
      </c>
      <c r="F1405">
        <v>0.1</v>
      </c>
      <c r="G1405" s="129" t="s">
        <v>13</v>
      </c>
      <c r="H1405" s="129" t="s">
        <v>12</v>
      </c>
      <c r="I1405">
        <v>1</v>
      </c>
      <c r="J1405">
        <v>5</v>
      </c>
      <c r="K1405" s="129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s="129" t="s">
        <v>1681</v>
      </c>
      <c r="B1406" s="129" t="s">
        <v>51</v>
      </c>
      <c r="C1406" s="129" t="s">
        <v>59</v>
      </c>
      <c r="D1406">
        <v>220</v>
      </c>
      <c r="E1406">
        <v>410.01</v>
      </c>
      <c r="F1406">
        <v>0.1</v>
      </c>
      <c r="G1406" s="129" t="s">
        <v>13</v>
      </c>
      <c r="H1406" s="129" t="s">
        <v>12</v>
      </c>
      <c r="I1406">
        <v>5</v>
      </c>
      <c r="J1406">
        <v>5.01</v>
      </c>
      <c r="K1406" s="129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s="129" t="s">
        <v>2120</v>
      </c>
      <c r="B1407" s="129" t="s">
        <v>51</v>
      </c>
      <c r="C1407" s="129" t="s">
        <v>59</v>
      </c>
      <c r="D1407">
        <v>22</v>
      </c>
      <c r="E1407">
        <v>60.000999999999998</v>
      </c>
      <c r="F1407">
        <v>1</v>
      </c>
      <c r="G1407" s="129" t="s">
        <v>13</v>
      </c>
      <c r="H1407" s="129" t="s">
        <v>12</v>
      </c>
      <c r="I1407">
        <v>0.01</v>
      </c>
      <c r="J1407">
        <v>4.5010000000000001E-2</v>
      </c>
      <c r="K1407" s="129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s="129" t="s">
        <v>2122</v>
      </c>
      <c r="B1408" s="129" t="s">
        <v>51</v>
      </c>
      <c r="C1408" s="129" t="s">
        <v>59</v>
      </c>
      <c r="D1408">
        <v>22</v>
      </c>
      <c r="E1408">
        <v>60.000999999999998</v>
      </c>
      <c r="F1408">
        <v>1</v>
      </c>
      <c r="G1408" s="129" t="s">
        <v>13</v>
      </c>
      <c r="H1408" s="129" t="s">
        <v>12</v>
      </c>
      <c r="I1408">
        <v>4.4999999999999998E-2</v>
      </c>
      <c r="J1408">
        <v>1.0000100000000001</v>
      </c>
      <c r="K1408" s="129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s="129" t="s">
        <v>1656</v>
      </c>
      <c r="B1409" s="129" t="s">
        <v>51</v>
      </c>
      <c r="C1409" s="129" t="s">
        <v>59</v>
      </c>
      <c r="D1409">
        <v>22</v>
      </c>
      <c r="E1409">
        <v>60.000999999999998</v>
      </c>
      <c r="F1409">
        <v>1</v>
      </c>
      <c r="G1409" s="129" t="s">
        <v>13</v>
      </c>
      <c r="H1409" s="129" t="s">
        <v>12</v>
      </c>
      <c r="I1409">
        <v>1</v>
      </c>
      <c r="J1409">
        <v>5.01</v>
      </c>
      <c r="K1409" s="12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s="129" t="s">
        <v>1657</v>
      </c>
      <c r="B1410" s="129" t="s">
        <v>51</v>
      </c>
      <c r="C1410" s="129" t="s">
        <v>59</v>
      </c>
      <c r="D1410">
        <v>22</v>
      </c>
      <c r="E1410">
        <v>60.000999999999998</v>
      </c>
      <c r="F1410">
        <v>1</v>
      </c>
      <c r="G1410" s="129" t="s">
        <v>13</v>
      </c>
      <c r="H1410" s="129" t="s">
        <v>12</v>
      </c>
      <c r="I1410">
        <v>5</v>
      </c>
      <c r="J1410">
        <v>10</v>
      </c>
      <c r="K1410" s="129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s="129" t="s">
        <v>1655</v>
      </c>
      <c r="B1411" s="129" t="s">
        <v>51</v>
      </c>
      <c r="C1411" s="129" t="s">
        <v>59</v>
      </c>
      <c r="D1411">
        <v>22</v>
      </c>
      <c r="E1411">
        <v>60.000999999999998</v>
      </c>
      <c r="F1411">
        <v>1</v>
      </c>
      <c r="G1411" s="129" t="s">
        <v>13</v>
      </c>
      <c r="H1411" s="129" t="s">
        <v>12</v>
      </c>
      <c r="I1411">
        <v>10</v>
      </c>
      <c r="J1411">
        <v>10.01</v>
      </c>
      <c r="K1411" s="129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s="129" t="s">
        <v>1664</v>
      </c>
      <c r="B1412" s="129" t="s">
        <v>51</v>
      </c>
      <c r="C1412" s="129" t="s">
        <v>59</v>
      </c>
      <c r="D1412">
        <v>60</v>
      </c>
      <c r="E1412">
        <v>220.01</v>
      </c>
      <c r="F1412">
        <v>1</v>
      </c>
      <c r="G1412" s="129" t="s">
        <v>13</v>
      </c>
      <c r="H1412" s="129" t="s">
        <v>12</v>
      </c>
      <c r="I1412">
        <v>4.4999999999999998E-2</v>
      </c>
      <c r="J1412">
        <v>0.10001</v>
      </c>
      <c r="K1412" s="129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s="129" t="s">
        <v>1665</v>
      </c>
      <c r="B1413" s="129" t="s">
        <v>51</v>
      </c>
      <c r="C1413" s="129" t="s">
        <v>59</v>
      </c>
      <c r="D1413">
        <v>60</v>
      </c>
      <c r="E1413">
        <v>220.01</v>
      </c>
      <c r="F1413">
        <v>1</v>
      </c>
      <c r="G1413" s="129" t="s">
        <v>13</v>
      </c>
      <c r="H1413" s="129" t="s">
        <v>12</v>
      </c>
      <c r="I1413">
        <v>0.1</v>
      </c>
      <c r="J1413">
        <v>1.0000100000000001</v>
      </c>
      <c r="K1413" s="129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s="129" t="s">
        <v>2131</v>
      </c>
      <c r="B1414" s="129" t="s">
        <v>51</v>
      </c>
      <c r="C1414" s="129" t="s">
        <v>59</v>
      </c>
      <c r="D1414">
        <v>60</v>
      </c>
      <c r="E1414">
        <v>220.01</v>
      </c>
      <c r="F1414">
        <v>1</v>
      </c>
      <c r="G1414" s="129" t="s">
        <v>13</v>
      </c>
      <c r="H1414" s="129" t="s">
        <v>12</v>
      </c>
      <c r="I1414">
        <v>1</v>
      </c>
      <c r="J1414">
        <v>5</v>
      </c>
      <c r="K1414" s="129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s="129" t="s">
        <v>1663</v>
      </c>
      <c r="B1415" s="129" t="s">
        <v>51</v>
      </c>
      <c r="C1415" s="129" t="s">
        <v>59</v>
      </c>
      <c r="D1415">
        <v>60</v>
      </c>
      <c r="E1415">
        <v>220.01</v>
      </c>
      <c r="F1415">
        <v>1</v>
      </c>
      <c r="G1415" s="129" t="s">
        <v>13</v>
      </c>
      <c r="H1415" s="129" t="s">
        <v>12</v>
      </c>
      <c r="I1415">
        <v>5</v>
      </c>
      <c r="J1415">
        <v>5.01</v>
      </c>
      <c r="K1415" s="129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s="129" t="s">
        <v>1683</v>
      </c>
      <c r="B1416" s="129" t="s">
        <v>51</v>
      </c>
      <c r="C1416" s="129" t="s">
        <v>59</v>
      </c>
      <c r="D1416">
        <v>220</v>
      </c>
      <c r="E1416">
        <v>410.01</v>
      </c>
      <c r="F1416">
        <v>1</v>
      </c>
      <c r="G1416" s="129" t="s">
        <v>13</v>
      </c>
      <c r="H1416" s="129" t="s">
        <v>12</v>
      </c>
      <c r="I1416">
        <v>4.4999999999999998E-2</v>
      </c>
      <c r="J1416">
        <v>0.10001</v>
      </c>
      <c r="K1416" s="129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s="129" t="s">
        <v>1684</v>
      </c>
      <c r="B1417" s="129" t="s">
        <v>51</v>
      </c>
      <c r="C1417" s="129" t="s">
        <v>59</v>
      </c>
      <c r="D1417">
        <v>220</v>
      </c>
      <c r="E1417">
        <v>410.01</v>
      </c>
      <c r="F1417">
        <v>1</v>
      </c>
      <c r="G1417" s="129" t="s">
        <v>13</v>
      </c>
      <c r="H1417" s="129" t="s">
        <v>12</v>
      </c>
      <c r="I1417">
        <v>0.1</v>
      </c>
      <c r="J1417">
        <v>1.0000100000000001</v>
      </c>
      <c r="K1417" s="129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s="129" t="s">
        <v>1685</v>
      </c>
      <c r="B1418" s="129" t="s">
        <v>51</v>
      </c>
      <c r="C1418" s="129" t="s">
        <v>59</v>
      </c>
      <c r="D1418">
        <v>220</v>
      </c>
      <c r="E1418">
        <v>410.01</v>
      </c>
      <c r="F1418">
        <v>1</v>
      </c>
      <c r="G1418" s="129" t="s">
        <v>13</v>
      </c>
      <c r="H1418" s="129" t="s">
        <v>12</v>
      </c>
      <c r="I1418">
        <v>1</v>
      </c>
      <c r="J1418">
        <v>5</v>
      </c>
      <c r="K1418" s="129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s="129" t="s">
        <v>1682</v>
      </c>
      <c r="B1419" s="129" t="s">
        <v>51</v>
      </c>
      <c r="C1419" s="129" t="s">
        <v>59</v>
      </c>
      <c r="D1419">
        <v>220</v>
      </c>
      <c r="E1419">
        <v>410.01</v>
      </c>
      <c r="F1419">
        <v>1</v>
      </c>
      <c r="G1419" s="129" t="s">
        <v>13</v>
      </c>
      <c r="H1419" s="129" t="s">
        <v>12</v>
      </c>
      <c r="I1419">
        <v>5</v>
      </c>
      <c r="J1419">
        <v>5.01</v>
      </c>
      <c r="K1419" s="12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s="129" t="s">
        <v>2121</v>
      </c>
      <c r="B1420" s="129" t="s">
        <v>51</v>
      </c>
      <c r="C1420" s="129" t="s">
        <v>59</v>
      </c>
      <c r="D1420">
        <v>22</v>
      </c>
      <c r="E1420">
        <v>60.000999999999998</v>
      </c>
      <c r="F1420">
        <v>10</v>
      </c>
      <c r="G1420" s="129" t="s">
        <v>13</v>
      </c>
      <c r="H1420" s="129" t="s">
        <v>12</v>
      </c>
      <c r="I1420">
        <v>0.01</v>
      </c>
      <c r="J1420">
        <v>4.5010000000000001E-2</v>
      </c>
      <c r="K1420" s="129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s="129" t="s">
        <v>2123</v>
      </c>
      <c r="B1421" s="129" t="s">
        <v>51</v>
      </c>
      <c r="C1421" s="129" t="s">
        <v>59</v>
      </c>
      <c r="D1421">
        <v>22</v>
      </c>
      <c r="E1421">
        <v>60.000999999999998</v>
      </c>
      <c r="F1421">
        <v>10</v>
      </c>
      <c r="G1421" s="129" t="s">
        <v>13</v>
      </c>
      <c r="H1421" s="129" t="s">
        <v>12</v>
      </c>
      <c r="I1421">
        <v>4.4999999999999998E-2</v>
      </c>
      <c r="J1421">
        <v>1.0000100000000001</v>
      </c>
      <c r="K1421" s="129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s="129" t="s">
        <v>1659</v>
      </c>
      <c r="B1422" s="129" t="s">
        <v>51</v>
      </c>
      <c r="C1422" s="129" t="s">
        <v>59</v>
      </c>
      <c r="D1422">
        <v>22</v>
      </c>
      <c r="E1422">
        <v>60.000999999999998</v>
      </c>
      <c r="F1422">
        <v>10</v>
      </c>
      <c r="G1422" s="129" t="s">
        <v>13</v>
      </c>
      <c r="H1422" s="129" t="s">
        <v>12</v>
      </c>
      <c r="I1422">
        <v>1</v>
      </c>
      <c r="J1422">
        <v>5.01</v>
      </c>
      <c r="K1422" s="129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s="129" t="s">
        <v>2126</v>
      </c>
      <c r="B1423" s="129" t="s">
        <v>51</v>
      </c>
      <c r="C1423" s="129" t="s">
        <v>59</v>
      </c>
      <c r="D1423">
        <v>22</v>
      </c>
      <c r="E1423">
        <v>60.000999999999998</v>
      </c>
      <c r="F1423">
        <v>10</v>
      </c>
      <c r="G1423" s="129" t="s">
        <v>13</v>
      </c>
      <c r="H1423" s="129" t="s">
        <v>12</v>
      </c>
      <c r="I1423">
        <v>5</v>
      </c>
      <c r="J1423">
        <v>10</v>
      </c>
      <c r="K1423" s="129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s="129" t="s">
        <v>1658</v>
      </c>
      <c r="B1424" s="129" t="s">
        <v>51</v>
      </c>
      <c r="C1424" s="129" t="s">
        <v>59</v>
      </c>
      <c r="D1424">
        <v>22</v>
      </c>
      <c r="E1424">
        <v>60.000999999999998</v>
      </c>
      <c r="F1424">
        <v>10</v>
      </c>
      <c r="G1424" s="129" t="s">
        <v>13</v>
      </c>
      <c r="H1424" s="129" t="s">
        <v>12</v>
      </c>
      <c r="I1424">
        <v>10</v>
      </c>
      <c r="J1424">
        <v>10.01</v>
      </c>
      <c r="K1424" s="129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s="129" t="s">
        <v>1669</v>
      </c>
      <c r="B1425" s="129" t="s">
        <v>51</v>
      </c>
      <c r="C1425" s="129" t="s">
        <v>59</v>
      </c>
      <c r="D1425">
        <v>60</v>
      </c>
      <c r="E1425">
        <v>220.01</v>
      </c>
      <c r="F1425">
        <v>10</v>
      </c>
      <c r="G1425" s="129" t="s">
        <v>13</v>
      </c>
      <c r="H1425" s="129" t="s">
        <v>12</v>
      </c>
      <c r="I1425">
        <v>4.4999999999999998E-2</v>
      </c>
      <c r="J1425">
        <v>0.10001</v>
      </c>
      <c r="K1425" s="129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s="129" t="s">
        <v>1667</v>
      </c>
      <c r="B1426" s="129" t="s">
        <v>51</v>
      </c>
      <c r="C1426" s="129" t="s">
        <v>59</v>
      </c>
      <c r="D1426">
        <v>60</v>
      </c>
      <c r="E1426">
        <v>220.01</v>
      </c>
      <c r="F1426">
        <v>10</v>
      </c>
      <c r="G1426" s="129" t="s">
        <v>13</v>
      </c>
      <c r="H1426" s="129" t="s">
        <v>12</v>
      </c>
      <c r="I1426">
        <v>0.1</v>
      </c>
      <c r="J1426">
        <v>1.0000100000000001</v>
      </c>
      <c r="K1426" s="129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s="129" t="s">
        <v>1668</v>
      </c>
      <c r="B1427" s="129" t="s">
        <v>51</v>
      </c>
      <c r="C1427" s="129" t="s">
        <v>59</v>
      </c>
      <c r="D1427">
        <v>60</v>
      </c>
      <c r="E1427">
        <v>220.01</v>
      </c>
      <c r="F1427">
        <v>10</v>
      </c>
      <c r="G1427" s="129" t="s">
        <v>13</v>
      </c>
      <c r="H1427" s="129" t="s">
        <v>12</v>
      </c>
      <c r="I1427">
        <v>1</v>
      </c>
      <c r="J1427">
        <v>5</v>
      </c>
      <c r="K1427" s="129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s="129" t="s">
        <v>1666</v>
      </c>
      <c r="B1428" s="129" t="s">
        <v>51</v>
      </c>
      <c r="C1428" s="129" t="s">
        <v>59</v>
      </c>
      <c r="D1428">
        <v>60</v>
      </c>
      <c r="E1428">
        <v>220.01</v>
      </c>
      <c r="F1428">
        <v>10</v>
      </c>
      <c r="G1428" s="129" t="s">
        <v>13</v>
      </c>
      <c r="H1428" s="129" t="s">
        <v>12</v>
      </c>
      <c r="I1428">
        <v>5</v>
      </c>
      <c r="J1428">
        <v>5.01</v>
      </c>
      <c r="K1428" s="129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s="129" t="s">
        <v>2133</v>
      </c>
      <c r="B1429" s="129" t="s">
        <v>51</v>
      </c>
      <c r="C1429" s="129" t="s">
        <v>59</v>
      </c>
      <c r="D1429">
        <v>220</v>
      </c>
      <c r="E1429">
        <v>410.01</v>
      </c>
      <c r="F1429">
        <v>10</v>
      </c>
      <c r="G1429" s="129" t="s">
        <v>13</v>
      </c>
      <c r="H1429" s="129" t="s">
        <v>12</v>
      </c>
      <c r="I1429">
        <v>4.4999999999999998E-2</v>
      </c>
      <c r="J1429">
        <v>0.10001</v>
      </c>
      <c r="K1429" s="1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s="129" t="s">
        <v>1686</v>
      </c>
      <c r="B1430" s="129" t="s">
        <v>51</v>
      </c>
      <c r="C1430" s="129" t="s">
        <v>59</v>
      </c>
      <c r="D1430">
        <v>220</v>
      </c>
      <c r="E1430">
        <v>410.01</v>
      </c>
      <c r="F1430">
        <v>10</v>
      </c>
      <c r="G1430" s="129" t="s">
        <v>13</v>
      </c>
      <c r="H1430" s="129" t="s">
        <v>12</v>
      </c>
      <c r="I1430">
        <v>0.1</v>
      </c>
      <c r="J1430">
        <v>1.0000100000000001</v>
      </c>
      <c r="K1430" s="129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s="129" t="s">
        <v>1687</v>
      </c>
      <c r="B1431" s="129" t="s">
        <v>51</v>
      </c>
      <c r="C1431" s="129" t="s">
        <v>59</v>
      </c>
      <c r="D1431">
        <v>220</v>
      </c>
      <c r="E1431">
        <v>410.01</v>
      </c>
      <c r="F1431">
        <v>10</v>
      </c>
      <c r="G1431" s="129" t="s">
        <v>13</v>
      </c>
      <c r="H1431" s="129" t="s">
        <v>12</v>
      </c>
      <c r="I1431">
        <v>1</v>
      </c>
      <c r="J1431">
        <v>5</v>
      </c>
      <c r="K1431" s="129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s="129" t="s">
        <v>1688</v>
      </c>
      <c r="B1432" s="129" t="s">
        <v>51</v>
      </c>
      <c r="C1432" s="129" t="s">
        <v>59</v>
      </c>
      <c r="D1432">
        <v>220</v>
      </c>
      <c r="E1432">
        <v>410.01</v>
      </c>
      <c r="F1432">
        <v>10</v>
      </c>
      <c r="G1432" s="129" t="s">
        <v>13</v>
      </c>
      <c r="H1432" s="129" t="s">
        <v>12</v>
      </c>
      <c r="I1432">
        <v>5</v>
      </c>
      <c r="J1432">
        <v>5.01</v>
      </c>
      <c r="K1432" s="129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s="129" t="s">
        <v>1673</v>
      </c>
      <c r="B1433" s="129" t="s">
        <v>51</v>
      </c>
      <c r="C1433" s="129" t="s">
        <v>59</v>
      </c>
      <c r="D1433">
        <v>60</v>
      </c>
      <c r="E1433">
        <v>220.01</v>
      </c>
      <c r="F1433">
        <v>100</v>
      </c>
      <c r="G1433" s="129" t="s">
        <v>13</v>
      </c>
      <c r="H1433" s="129" t="s">
        <v>12</v>
      </c>
      <c r="I1433">
        <v>4.4999999999999998E-2</v>
      </c>
      <c r="J1433">
        <v>0.10001</v>
      </c>
      <c r="K1433" s="129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s="129" t="s">
        <v>1672</v>
      </c>
      <c r="B1434" s="129" t="s">
        <v>51</v>
      </c>
      <c r="C1434" s="129" t="s">
        <v>59</v>
      </c>
      <c r="D1434">
        <v>60</v>
      </c>
      <c r="E1434">
        <v>220.01</v>
      </c>
      <c r="F1434">
        <v>100</v>
      </c>
      <c r="G1434" s="129" t="s">
        <v>13</v>
      </c>
      <c r="H1434" s="129" t="s">
        <v>12</v>
      </c>
      <c r="I1434">
        <v>0.1</v>
      </c>
      <c r="J1434">
        <v>1.0000100000000001</v>
      </c>
      <c r="K1434" s="129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s="129" t="s">
        <v>1670</v>
      </c>
      <c r="B1435" s="129" t="s">
        <v>51</v>
      </c>
      <c r="C1435" s="129" t="s">
        <v>59</v>
      </c>
      <c r="D1435">
        <v>60</v>
      </c>
      <c r="E1435">
        <v>220.01</v>
      </c>
      <c r="F1435">
        <v>100</v>
      </c>
      <c r="G1435" s="129" t="s">
        <v>13</v>
      </c>
      <c r="H1435" s="129" t="s">
        <v>12</v>
      </c>
      <c r="I1435">
        <v>1</v>
      </c>
      <c r="J1435">
        <v>5</v>
      </c>
      <c r="K1435" s="129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s="129" t="s">
        <v>1671</v>
      </c>
      <c r="B1436" s="129" t="s">
        <v>51</v>
      </c>
      <c r="C1436" s="129" t="s">
        <v>59</v>
      </c>
      <c r="D1436">
        <v>60</v>
      </c>
      <c r="E1436">
        <v>220.01</v>
      </c>
      <c r="F1436">
        <v>100</v>
      </c>
      <c r="G1436" s="129" t="s">
        <v>13</v>
      </c>
      <c r="H1436" s="129" t="s">
        <v>12</v>
      </c>
      <c r="I1436">
        <v>5</v>
      </c>
      <c r="J1436">
        <v>5.01</v>
      </c>
      <c r="K1436" s="129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s="129" t="s">
        <v>1690</v>
      </c>
      <c r="B1437" s="129" t="s">
        <v>51</v>
      </c>
      <c r="C1437" s="129" t="s">
        <v>59</v>
      </c>
      <c r="D1437">
        <v>220</v>
      </c>
      <c r="E1437">
        <v>410.01</v>
      </c>
      <c r="F1437">
        <v>100</v>
      </c>
      <c r="G1437" s="129" t="s">
        <v>13</v>
      </c>
      <c r="H1437" s="129" t="s">
        <v>12</v>
      </c>
      <c r="I1437">
        <v>4.4999999999999998E-2</v>
      </c>
      <c r="J1437">
        <v>0.10001</v>
      </c>
      <c r="K1437" s="129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s="129" t="s">
        <v>1689</v>
      </c>
      <c r="B1438" s="129" t="s">
        <v>51</v>
      </c>
      <c r="C1438" s="129" t="s">
        <v>59</v>
      </c>
      <c r="D1438">
        <v>220</v>
      </c>
      <c r="E1438">
        <v>410.01</v>
      </c>
      <c r="F1438">
        <v>100</v>
      </c>
      <c r="G1438" s="129" t="s">
        <v>13</v>
      </c>
      <c r="H1438" s="129" t="s">
        <v>12</v>
      </c>
      <c r="I1438">
        <v>0.1</v>
      </c>
      <c r="J1438">
        <v>1.0000100000000001</v>
      </c>
      <c r="K1438" s="129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s="129" t="s">
        <v>2134</v>
      </c>
      <c r="B1439" s="129" t="s">
        <v>51</v>
      </c>
      <c r="C1439" s="129" t="s">
        <v>59</v>
      </c>
      <c r="D1439">
        <v>220</v>
      </c>
      <c r="E1439">
        <v>410.01</v>
      </c>
      <c r="F1439">
        <v>100</v>
      </c>
      <c r="G1439" s="129" t="s">
        <v>13</v>
      </c>
      <c r="H1439" s="129" t="s">
        <v>12</v>
      </c>
      <c r="I1439">
        <v>1</v>
      </c>
      <c r="J1439">
        <v>5</v>
      </c>
      <c r="K1439" s="12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s="129" t="s">
        <v>2135</v>
      </c>
      <c r="B1440" s="129" t="s">
        <v>51</v>
      </c>
      <c r="C1440" s="129" t="s">
        <v>59</v>
      </c>
      <c r="D1440">
        <v>220</v>
      </c>
      <c r="E1440">
        <v>410.01</v>
      </c>
      <c r="F1440">
        <v>100</v>
      </c>
      <c r="G1440" s="129" t="s">
        <v>13</v>
      </c>
      <c r="H1440" s="129" t="s">
        <v>12</v>
      </c>
      <c r="I1440">
        <v>5</v>
      </c>
      <c r="J1440">
        <v>5.01</v>
      </c>
      <c r="K1440" s="129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s="129" t="s">
        <v>1591</v>
      </c>
      <c r="B1441" s="129" t="s">
        <v>51</v>
      </c>
      <c r="C1441" s="129" t="s">
        <v>60</v>
      </c>
      <c r="D1441">
        <v>55</v>
      </c>
      <c r="E1441">
        <v>150.01</v>
      </c>
      <c r="F1441">
        <v>1E-3</v>
      </c>
      <c r="G1441" s="129" t="s">
        <v>13</v>
      </c>
      <c r="H1441" s="129" t="s">
        <v>12</v>
      </c>
      <c r="I1441">
        <v>0.01</v>
      </c>
      <c r="J1441">
        <v>4.4999999999999998E-2</v>
      </c>
      <c r="K1441" s="129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s="129" t="s">
        <v>1593</v>
      </c>
      <c r="B1442" s="129" t="s">
        <v>51</v>
      </c>
      <c r="C1442" s="129" t="s">
        <v>60</v>
      </c>
      <c r="D1442">
        <v>55</v>
      </c>
      <c r="E1442">
        <v>150.01</v>
      </c>
      <c r="F1442">
        <v>1E-3</v>
      </c>
      <c r="G1442" s="129" t="s">
        <v>13</v>
      </c>
      <c r="H1442" s="129" t="s">
        <v>12</v>
      </c>
      <c r="I1442">
        <v>4.4999999999999998E-2</v>
      </c>
      <c r="J1442">
        <v>0.1</v>
      </c>
      <c r="K1442" s="129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s="129" t="s">
        <v>1596</v>
      </c>
      <c r="B1443" s="129" t="s">
        <v>51</v>
      </c>
      <c r="C1443" s="129" t="s">
        <v>60</v>
      </c>
      <c r="D1443">
        <v>55</v>
      </c>
      <c r="E1443">
        <v>150.01</v>
      </c>
      <c r="F1443">
        <v>1E-3</v>
      </c>
      <c r="G1443" s="129" t="s">
        <v>13</v>
      </c>
      <c r="H1443" s="129" t="s">
        <v>12</v>
      </c>
      <c r="I1443">
        <v>0.1</v>
      </c>
      <c r="J1443">
        <v>1</v>
      </c>
      <c r="K1443" s="129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s="129" t="s">
        <v>1592</v>
      </c>
      <c r="B1444" s="129" t="s">
        <v>51</v>
      </c>
      <c r="C1444" s="129" t="s">
        <v>60</v>
      </c>
      <c r="D1444">
        <v>55</v>
      </c>
      <c r="E1444">
        <v>150.01</v>
      </c>
      <c r="F1444">
        <v>1E-3</v>
      </c>
      <c r="G1444" s="129" t="s">
        <v>13</v>
      </c>
      <c r="H1444" s="129" t="s">
        <v>12</v>
      </c>
      <c r="I1444">
        <v>1</v>
      </c>
      <c r="J1444">
        <v>5.01</v>
      </c>
      <c r="K1444" s="129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s="129" t="s">
        <v>1594</v>
      </c>
      <c r="B1445" s="129" t="s">
        <v>51</v>
      </c>
      <c r="C1445" s="129" t="s">
        <v>60</v>
      </c>
      <c r="D1445">
        <v>55</v>
      </c>
      <c r="E1445">
        <v>150.01</v>
      </c>
      <c r="F1445">
        <v>1E-3</v>
      </c>
      <c r="G1445" s="129" t="s">
        <v>13</v>
      </c>
      <c r="H1445" s="129" t="s">
        <v>12</v>
      </c>
      <c r="I1445">
        <v>5</v>
      </c>
      <c r="J1445">
        <v>10</v>
      </c>
      <c r="K1445" s="129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s="129" t="s">
        <v>1595</v>
      </c>
      <c r="B1446" s="129" t="s">
        <v>51</v>
      </c>
      <c r="C1446" s="129" t="s">
        <v>60</v>
      </c>
      <c r="D1446">
        <v>55</v>
      </c>
      <c r="E1446">
        <v>150.01</v>
      </c>
      <c r="F1446">
        <v>1E-3</v>
      </c>
      <c r="G1446" s="129" t="s">
        <v>13</v>
      </c>
      <c r="H1446" s="129" t="s">
        <v>12</v>
      </c>
      <c r="I1446">
        <v>10</v>
      </c>
      <c r="J1446">
        <v>10.01</v>
      </c>
      <c r="K1446" s="129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s="129" t="s">
        <v>1597</v>
      </c>
      <c r="B1447" s="129" t="s">
        <v>51</v>
      </c>
      <c r="C1447" s="129" t="s">
        <v>60</v>
      </c>
      <c r="D1447">
        <v>55</v>
      </c>
      <c r="E1447">
        <v>150.01</v>
      </c>
      <c r="F1447">
        <v>0.01</v>
      </c>
      <c r="G1447" s="129" t="s">
        <v>13</v>
      </c>
      <c r="H1447" s="129" t="s">
        <v>12</v>
      </c>
      <c r="I1447">
        <v>0.01</v>
      </c>
      <c r="J1447">
        <v>4.4999999999999998E-2</v>
      </c>
      <c r="K1447" s="129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s="129" t="s">
        <v>1602</v>
      </c>
      <c r="B1448" s="129" t="s">
        <v>51</v>
      </c>
      <c r="C1448" s="129" t="s">
        <v>60</v>
      </c>
      <c r="D1448">
        <v>55</v>
      </c>
      <c r="E1448">
        <v>150.01</v>
      </c>
      <c r="F1448">
        <v>0.01</v>
      </c>
      <c r="G1448" s="129" t="s">
        <v>13</v>
      </c>
      <c r="H1448" s="129" t="s">
        <v>12</v>
      </c>
      <c r="I1448">
        <v>4.4999999999999998E-2</v>
      </c>
      <c r="J1448">
        <v>0.1</v>
      </c>
      <c r="K1448" s="129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s="129" t="s">
        <v>1598</v>
      </c>
      <c r="B1449" s="129" t="s">
        <v>51</v>
      </c>
      <c r="C1449" s="129" t="s">
        <v>60</v>
      </c>
      <c r="D1449">
        <v>55</v>
      </c>
      <c r="E1449">
        <v>150.01</v>
      </c>
      <c r="F1449">
        <v>0.01</v>
      </c>
      <c r="G1449" s="129" t="s">
        <v>13</v>
      </c>
      <c r="H1449" s="129" t="s">
        <v>12</v>
      </c>
      <c r="I1449">
        <v>0.1</v>
      </c>
      <c r="J1449">
        <v>1</v>
      </c>
      <c r="K1449" s="12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s="129" t="s">
        <v>1600</v>
      </c>
      <c r="B1450" s="129" t="s">
        <v>51</v>
      </c>
      <c r="C1450" s="129" t="s">
        <v>60</v>
      </c>
      <c r="D1450">
        <v>55</v>
      </c>
      <c r="E1450">
        <v>150.01</v>
      </c>
      <c r="F1450">
        <v>0.01</v>
      </c>
      <c r="G1450" s="129" t="s">
        <v>13</v>
      </c>
      <c r="H1450" s="129" t="s">
        <v>12</v>
      </c>
      <c r="I1450">
        <v>1</v>
      </c>
      <c r="J1450">
        <v>5.01</v>
      </c>
      <c r="K1450" s="129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s="129" t="s">
        <v>1601</v>
      </c>
      <c r="B1451" s="129" t="s">
        <v>51</v>
      </c>
      <c r="C1451" s="129" t="s">
        <v>60</v>
      </c>
      <c r="D1451">
        <v>55</v>
      </c>
      <c r="E1451">
        <v>150.01</v>
      </c>
      <c r="F1451">
        <v>0.01</v>
      </c>
      <c r="G1451" s="129" t="s">
        <v>13</v>
      </c>
      <c r="H1451" s="129" t="s">
        <v>12</v>
      </c>
      <c r="I1451">
        <v>5</v>
      </c>
      <c r="J1451">
        <v>10</v>
      </c>
      <c r="K1451" s="129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s="129" t="s">
        <v>1599</v>
      </c>
      <c r="B1452" s="129" t="s">
        <v>51</v>
      </c>
      <c r="C1452" s="129" t="s">
        <v>60</v>
      </c>
      <c r="D1452">
        <v>55</v>
      </c>
      <c r="E1452">
        <v>150.01</v>
      </c>
      <c r="F1452">
        <v>0.01</v>
      </c>
      <c r="G1452" s="129" t="s">
        <v>13</v>
      </c>
      <c r="H1452" s="129" t="s">
        <v>12</v>
      </c>
      <c r="I1452">
        <v>10</v>
      </c>
      <c r="J1452">
        <v>10.01</v>
      </c>
      <c r="K1452" s="129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s="129" t="s">
        <v>1620</v>
      </c>
      <c r="B1453" s="129" t="s">
        <v>51</v>
      </c>
      <c r="C1453" s="129" t="s">
        <v>60</v>
      </c>
      <c r="D1453">
        <v>150</v>
      </c>
      <c r="E1453">
        <v>550.01</v>
      </c>
      <c r="F1453">
        <v>0.01</v>
      </c>
      <c r="G1453" s="129" t="s">
        <v>13</v>
      </c>
      <c r="H1453" s="129" t="s">
        <v>12</v>
      </c>
      <c r="I1453">
        <v>4.4999999999999998E-2</v>
      </c>
      <c r="J1453">
        <v>0.10001</v>
      </c>
      <c r="K1453" s="129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s="129" t="s">
        <v>1623</v>
      </c>
      <c r="B1454" s="129" t="s">
        <v>51</v>
      </c>
      <c r="C1454" s="129" t="s">
        <v>60</v>
      </c>
      <c r="D1454">
        <v>150</v>
      </c>
      <c r="E1454">
        <v>550.01</v>
      </c>
      <c r="F1454">
        <v>0.01</v>
      </c>
      <c r="G1454" s="129" t="s">
        <v>13</v>
      </c>
      <c r="H1454" s="129" t="s">
        <v>12</v>
      </c>
      <c r="I1454">
        <v>0.1</v>
      </c>
      <c r="J1454">
        <v>1.0000100000000001</v>
      </c>
      <c r="K1454" s="129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s="129" t="s">
        <v>1621</v>
      </c>
      <c r="B1455" s="129" t="s">
        <v>51</v>
      </c>
      <c r="C1455" s="129" t="s">
        <v>60</v>
      </c>
      <c r="D1455">
        <v>150</v>
      </c>
      <c r="E1455">
        <v>550.01</v>
      </c>
      <c r="F1455">
        <v>0.01</v>
      </c>
      <c r="G1455" s="129" t="s">
        <v>13</v>
      </c>
      <c r="H1455" s="129" t="s">
        <v>12</v>
      </c>
      <c r="I1455">
        <v>1</v>
      </c>
      <c r="J1455">
        <v>5</v>
      </c>
      <c r="K1455" s="129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s="129" t="s">
        <v>1622</v>
      </c>
      <c r="B1456" s="129" t="s">
        <v>51</v>
      </c>
      <c r="C1456" s="129" t="s">
        <v>60</v>
      </c>
      <c r="D1456">
        <v>150</v>
      </c>
      <c r="E1456">
        <v>550.01</v>
      </c>
      <c r="F1456">
        <v>0.01</v>
      </c>
      <c r="G1456" s="129" t="s">
        <v>13</v>
      </c>
      <c r="H1456" s="129" t="s">
        <v>12</v>
      </c>
      <c r="I1456">
        <v>5</v>
      </c>
      <c r="J1456">
        <v>5.01</v>
      </c>
      <c r="K1456" s="129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s="129" t="s">
        <v>2148</v>
      </c>
      <c r="B1457" s="129" t="s">
        <v>51</v>
      </c>
      <c r="C1457" s="129" t="s">
        <v>60</v>
      </c>
      <c r="D1457">
        <v>550</v>
      </c>
      <c r="E1457">
        <v>1025.01</v>
      </c>
      <c r="F1457">
        <v>0.01</v>
      </c>
      <c r="G1457" s="129" t="s">
        <v>13</v>
      </c>
      <c r="H1457" s="129" t="s">
        <v>12</v>
      </c>
      <c r="I1457">
        <v>4.4999999999999998E-2</v>
      </c>
      <c r="J1457">
        <v>0.10001</v>
      </c>
      <c r="K1457" s="129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s="129" t="s">
        <v>1635</v>
      </c>
      <c r="B1458" s="129" t="s">
        <v>51</v>
      </c>
      <c r="C1458" s="129" t="s">
        <v>60</v>
      </c>
      <c r="D1458">
        <v>550</v>
      </c>
      <c r="E1458">
        <v>1025.01</v>
      </c>
      <c r="F1458">
        <v>0.01</v>
      </c>
      <c r="G1458" s="129" t="s">
        <v>13</v>
      </c>
      <c r="H1458" s="129" t="s">
        <v>12</v>
      </c>
      <c r="I1458">
        <v>0.1</v>
      </c>
      <c r="J1458">
        <v>1</v>
      </c>
      <c r="K1458" s="129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s="129" t="s">
        <v>2150</v>
      </c>
      <c r="B1459" s="129" t="s">
        <v>51</v>
      </c>
      <c r="C1459" s="129" t="s">
        <v>60</v>
      </c>
      <c r="D1459">
        <v>550</v>
      </c>
      <c r="E1459">
        <v>1025.01</v>
      </c>
      <c r="F1459">
        <v>0.01</v>
      </c>
      <c r="G1459" s="129" t="s">
        <v>13</v>
      </c>
      <c r="H1459" s="129" t="s">
        <v>12</v>
      </c>
      <c r="I1459">
        <v>1</v>
      </c>
      <c r="J1459">
        <v>1.0000100000000001</v>
      </c>
      <c r="K1459" s="12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s="129" t="s">
        <v>2136</v>
      </c>
      <c r="B1460" s="129" t="s">
        <v>51</v>
      </c>
      <c r="C1460" s="129" t="s">
        <v>60</v>
      </c>
      <c r="D1460">
        <v>55</v>
      </c>
      <c r="E1460">
        <v>150.01</v>
      </c>
      <c r="F1460">
        <v>0.1</v>
      </c>
      <c r="G1460" s="129" t="s">
        <v>13</v>
      </c>
      <c r="H1460" s="129" t="s">
        <v>12</v>
      </c>
      <c r="I1460">
        <v>0.01</v>
      </c>
      <c r="J1460">
        <v>4.4999999999999998E-2</v>
      </c>
      <c r="K1460" s="129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s="129" t="s">
        <v>1606</v>
      </c>
      <c r="B1461" s="129" t="s">
        <v>51</v>
      </c>
      <c r="C1461" s="129" t="s">
        <v>60</v>
      </c>
      <c r="D1461">
        <v>55</v>
      </c>
      <c r="E1461">
        <v>150.01</v>
      </c>
      <c r="F1461">
        <v>0.1</v>
      </c>
      <c r="G1461" s="129" t="s">
        <v>13</v>
      </c>
      <c r="H1461" s="129" t="s">
        <v>12</v>
      </c>
      <c r="I1461">
        <v>4.4999999999999998E-2</v>
      </c>
      <c r="J1461">
        <v>0.1</v>
      </c>
      <c r="K1461" s="129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s="129" t="s">
        <v>1603</v>
      </c>
      <c r="B1462" s="129" t="s">
        <v>51</v>
      </c>
      <c r="C1462" s="129" t="s">
        <v>60</v>
      </c>
      <c r="D1462">
        <v>55</v>
      </c>
      <c r="E1462">
        <v>150.01</v>
      </c>
      <c r="F1462">
        <v>0.1</v>
      </c>
      <c r="G1462" s="129" t="s">
        <v>13</v>
      </c>
      <c r="H1462" s="129" t="s">
        <v>12</v>
      </c>
      <c r="I1462">
        <v>0.1</v>
      </c>
      <c r="J1462">
        <v>1</v>
      </c>
      <c r="K1462" s="129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s="129" t="s">
        <v>2139</v>
      </c>
      <c r="B1463" s="129" t="s">
        <v>51</v>
      </c>
      <c r="C1463" s="129" t="s">
        <v>60</v>
      </c>
      <c r="D1463">
        <v>55</v>
      </c>
      <c r="E1463">
        <v>150.01</v>
      </c>
      <c r="F1463">
        <v>0.1</v>
      </c>
      <c r="G1463" s="129" t="s">
        <v>13</v>
      </c>
      <c r="H1463" s="129" t="s">
        <v>12</v>
      </c>
      <c r="I1463">
        <v>1</v>
      </c>
      <c r="J1463">
        <v>5.01</v>
      </c>
      <c r="K1463" s="129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s="129" t="s">
        <v>1605</v>
      </c>
      <c r="B1464" s="129" t="s">
        <v>51</v>
      </c>
      <c r="C1464" s="129" t="s">
        <v>60</v>
      </c>
      <c r="D1464">
        <v>55</v>
      </c>
      <c r="E1464">
        <v>150.01</v>
      </c>
      <c r="F1464">
        <v>0.1</v>
      </c>
      <c r="G1464" s="129" t="s">
        <v>13</v>
      </c>
      <c r="H1464" s="129" t="s">
        <v>12</v>
      </c>
      <c r="I1464">
        <v>5</v>
      </c>
      <c r="J1464">
        <v>10</v>
      </c>
      <c r="K1464" s="129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s="129" t="s">
        <v>1604</v>
      </c>
      <c r="B1465" s="129" t="s">
        <v>51</v>
      </c>
      <c r="C1465" s="129" t="s">
        <v>60</v>
      </c>
      <c r="D1465">
        <v>55</v>
      </c>
      <c r="E1465">
        <v>150.01</v>
      </c>
      <c r="F1465">
        <v>0.1</v>
      </c>
      <c r="G1465" s="129" t="s">
        <v>13</v>
      </c>
      <c r="H1465" s="129" t="s">
        <v>12</v>
      </c>
      <c r="I1465">
        <v>10</v>
      </c>
      <c r="J1465">
        <v>10.01</v>
      </c>
      <c r="K1465" s="129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s="129" t="s">
        <v>2143</v>
      </c>
      <c r="B1466" s="129" t="s">
        <v>51</v>
      </c>
      <c r="C1466" s="129" t="s">
        <v>60</v>
      </c>
      <c r="D1466">
        <v>150</v>
      </c>
      <c r="E1466">
        <v>550.01</v>
      </c>
      <c r="F1466">
        <v>0.1</v>
      </c>
      <c r="G1466" s="129" t="s">
        <v>13</v>
      </c>
      <c r="H1466" s="129" t="s">
        <v>12</v>
      </c>
      <c r="I1466">
        <v>4.4999999999999998E-2</v>
      </c>
      <c r="J1466">
        <v>0.10001</v>
      </c>
      <c r="K1466" s="129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s="129" t="s">
        <v>1626</v>
      </c>
      <c r="B1467" s="129" t="s">
        <v>51</v>
      </c>
      <c r="C1467" s="129" t="s">
        <v>60</v>
      </c>
      <c r="D1467">
        <v>150</v>
      </c>
      <c r="E1467">
        <v>550.01</v>
      </c>
      <c r="F1467">
        <v>0.1</v>
      </c>
      <c r="G1467" s="129" t="s">
        <v>13</v>
      </c>
      <c r="H1467" s="129" t="s">
        <v>12</v>
      </c>
      <c r="I1467">
        <v>0.1</v>
      </c>
      <c r="J1467">
        <v>1.0000100000000001</v>
      </c>
      <c r="K1467" s="129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s="129" t="s">
        <v>1625</v>
      </c>
      <c r="B1468" s="129" t="s">
        <v>51</v>
      </c>
      <c r="C1468" s="129" t="s">
        <v>60</v>
      </c>
      <c r="D1468">
        <v>150</v>
      </c>
      <c r="E1468">
        <v>550.01</v>
      </c>
      <c r="F1468">
        <v>0.1</v>
      </c>
      <c r="G1468" s="129" t="s">
        <v>13</v>
      </c>
      <c r="H1468" s="129" t="s">
        <v>12</v>
      </c>
      <c r="I1468">
        <v>1</v>
      </c>
      <c r="J1468">
        <v>5</v>
      </c>
      <c r="K1468" s="129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s="129" t="s">
        <v>1624</v>
      </c>
      <c r="B1469" s="129" t="s">
        <v>51</v>
      </c>
      <c r="C1469" s="129" t="s">
        <v>60</v>
      </c>
      <c r="D1469">
        <v>150</v>
      </c>
      <c r="E1469">
        <v>550.01</v>
      </c>
      <c r="F1469">
        <v>0.1</v>
      </c>
      <c r="G1469" s="129" t="s">
        <v>13</v>
      </c>
      <c r="H1469" s="129" t="s">
        <v>12</v>
      </c>
      <c r="I1469">
        <v>5</v>
      </c>
      <c r="J1469">
        <v>5.01</v>
      </c>
      <c r="K1469" s="12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s="129" t="s">
        <v>1636</v>
      </c>
      <c r="B1470" s="129" t="s">
        <v>51</v>
      </c>
      <c r="C1470" s="129" t="s">
        <v>60</v>
      </c>
      <c r="D1470">
        <v>550</v>
      </c>
      <c r="E1470">
        <v>1025.01</v>
      </c>
      <c r="F1470">
        <v>0.1</v>
      </c>
      <c r="G1470" s="129" t="s">
        <v>13</v>
      </c>
      <c r="H1470" s="129" t="s">
        <v>12</v>
      </c>
      <c r="I1470">
        <v>4.4999999999999998E-2</v>
      </c>
      <c r="J1470">
        <v>0.10001</v>
      </c>
      <c r="K1470" s="129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s="129" t="s">
        <v>1637</v>
      </c>
      <c r="B1471" s="129" t="s">
        <v>51</v>
      </c>
      <c r="C1471" s="129" t="s">
        <v>60</v>
      </c>
      <c r="D1471">
        <v>550</v>
      </c>
      <c r="E1471">
        <v>1025.01</v>
      </c>
      <c r="F1471">
        <v>0.1</v>
      </c>
      <c r="G1471" s="129" t="s">
        <v>13</v>
      </c>
      <c r="H1471" s="129" t="s">
        <v>12</v>
      </c>
      <c r="I1471">
        <v>0.1</v>
      </c>
      <c r="J1471">
        <v>1</v>
      </c>
      <c r="K1471" s="129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s="129" t="s">
        <v>2151</v>
      </c>
      <c r="B1472" s="129" t="s">
        <v>51</v>
      </c>
      <c r="C1472" s="129" t="s">
        <v>60</v>
      </c>
      <c r="D1472">
        <v>550</v>
      </c>
      <c r="E1472">
        <v>1025.01</v>
      </c>
      <c r="F1472">
        <v>0.1</v>
      </c>
      <c r="G1472" s="129" t="s">
        <v>13</v>
      </c>
      <c r="H1472" s="129" t="s">
        <v>12</v>
      </c>
      <c r="I1472">
        <v>1</v>
      </c>
      <c r="J1472">
        <v>1.0000100000000001</v>
      </c>
      <c r="K1472" s="129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s="129" t="s">
        <v>1609</v>
      </c>
      <c r="B1473" s="129" t="s">
        <v>51</v>
      </c>
      <c r="C1473" s="129" t="s">
        <v>60</v>
      </c>
      <c r="D1473">
        <v>55</v>
      </c>
      <c r="E1473">
        <v>150.01</v>
      </c>
      <c r="F1473">
        <v>1</v>
      </c>
      <c r="G1473" s="129" t="s">
        <v>13</v>
      </c>
      <c r="H1473" s="129" t="s">
        <v>12</v>
      </c>
      <c r="I1473">
        <v>0.01</v>
      </c>
      <c r="J1473">
        <v>4.4999999999999998E-2</v>
      </c>
      <c r="K1473" s="129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s="129" t="s">
        <v>1607</v>
      </c>
      <c r="B1474" s="129" t="s">
        <v>51</v>
      </c>
      <c r="C1474" s="129" t="s">
        <v>60</v>
      </c>
      <c r="D1474">
        <v>55</v>
      </c>
      <c r="E1474">
        <v>150.01</v>
      </c>
      <c r="F1474">
        <v>1</v>
      </c>
      <c r="G1474" s="129" t="s">
        <v>13</v>
      </c>
      <c r="H1474" s="129" t="s">
        <v>12</v>
      </c>
      <c r="I1474">
        <v>4.4999999999999998E-2</v>
      </c>
      <c r="J1474">
        <v>0.1</v>
      </c>
      <c r="K1474" s="129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s="129" t="s">
        <v>2137</v>
      </c>
      <c r="B1475" s="129" t="s">
        <v>51</v>
      </c>
      <c r="C1475" s="129" t="s">
        <v>60</v>
      </c>
      <c r="D1475">
        <v>55</v>
      </c>
      <c r="E1475">
        <v>150.01</v>
      </c>
      <c r="F1475">
        <v>1</v>
      </c>
      <c r="G1475" s="129" t="s">
        <v>13</v>
      </c>
      <c r="H1475" s="129" t="s">
        <v>12</v>
      </c>
      <c r="I1475">
        <v>0.1</v>
      </c>
      <c r="J1475">
        <v>1</v>
      </c>
      <c r="K1475" s="129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s="129" t="s">
        <v>1608</v>
      </c>
      <c r="B1476" s="129" t="s">
        <v>51</v>
      </c>
      <c r="C1476" s="129" t="s">
        <v>60</v>
      </c>
      <c r="D1476">
        <v>55</v>
      </c>
      <c r="E1476">
        <v>150.01</v>
      </c>
      <c r="F1476">
        <v>1</v>
      </c>
      <c r="G1476" s="129" t="s">
        <v>13</v>
      </c>
      <c r="H1476" s="129" t="s">
        <v>12</v>
      </c>
      <c r="I1476">
        <v>1</v>
      </c>
      <c r="J1476">
        <v>5.01</v>
      </c>
      <c r="K1476" s="129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s="129" t="s">
        <v>2141</v>
      </c>
      <c r="B1477" s="129" t="s">
        <v>51</v>
      </c>
      <c r="C1477" s="129" t="s">
        <v>60</v>
      </c>
      <c r="D1477">
        <v>55</v>
      </c>
      <c r="E1477">
        <v>150.01</v>
      </c>
      <c r="F1477">
        <v>1</v>
      </c>
      <c r="G1477" s="129" t="s">
        <v>13</v>
      </c>
      <c r="H1477" s="129" t="s">
        <v>12</v>
      </c>
      <c r="I1477">
        <v>5</v>
      </c>
      <c r="J1477">
        <v>10</v>
      </c>
      <c r="K1477" s="129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s="129" t="s">
        <v>1610</v>
      </c>
      <c r="B1478" s="129" t="s">
        <v>51</v>
      </c>
      <c r="C1478" s="129" t="s">
        <v>60</v>
      </c>
      <c r="D1478">
        <v>55</v>
      </c>
      <c r="E1478">
        <v>150.01</v>
      </c>
      <c r="F1478">
        <v>1</v>
      </c>
      <c r="G1478" s="129" t="s">
        <v>13</v>
      </c>
      <c r="H1478" s="129" t="s">
        <v>12</v>
      </c>
      <c r="I1478">
        <v>10</v>
      </c>
      <c r="J1478">
        <v>10.01</v>
      </c>
      <c r="K1478" s="129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s="129" t="s">
        <v>1628</v>
      </c>
      <c r="B1479" s="129" t="s">
        <v>51</v>
      </c>
      <c r="C1479" s="129" t="s">
        <v>60</v>
      </c>
      <c r="D1479">
        <v>150</v>
      </c>
      <c r="E1479">
        <v>550.01</v>
      </c>
      <c r="F1479">
        <v>1</v>
      </c>
      <c r="G1479" s="129" t="s">
        <v>13</v>
      </c>
      <c r="H1479" s="129" t="s">
        <v>12</v>
      </c>
      <c r="I1479">
        <v>4.4999999999999998E-2</v>
      </c>
      <c r="J1479">
        <v>0.10001</v>
      </c>
      <c r="K1479" s="12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s="129" t="s">
        <v>2146</v>
      </c>
      <c r="B1480" s="129" t="s">
        <v>51</v>
      </c>
      <c r="C1480" s="129" t="s">
        <v>60</v>
      </c>
      <c r="D1480">
        <v>150</v>
      </c>
      <c r="E1480">
        <v>550.01</v>
      </c>
      <c r="F1480">
        <v>1</v>
      </c>
      <c r="G1480" s="129" t="s">
        <v>13</v>
      </c>
      <c r="H1480" s="129" t="s">
        <v>12</v>
      </c>
      <c r="I1480">
        <v>0.1</v>
      </c>
      <c r="J1480">
        <v>1.0000100000000001</v>
      </c>
      <c r="K1480" s="129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s="129" t="s">
        <v>1627</v>
      </c>
      <c r="B1481" s="129" t="s">
        <v>51</v>
      </c>
      <c r="C1481" s="129" t="s">
        <v>60</v>
      </c>
      <c r="D1481">
        <v>150</v>
      </c>
      <c r="E1481">
        <v>550.01</v>
      </c>
      <c r="F1481">
        <v>1</v>
      </c>
      <c r="G1481" s="129" t="s">
        <v>13</v>
      </c>
      <c r="H1481" s="129" t="s">
        <v>12</v>
      </c>
      <c r="I1481">
        <v>1</v>
      </c>
      <c r="J1481">
        <v>5</v>
      </c>
      <c r="K1481" s="129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s="129" t="s">
        <v>2147</v>
      </c>
      <c r="B1482" s="129" t="s">
        <v>51</v>
      </c>
      <c r="C1482" s="129" t="s">
        <v>60</v>
      </c>
      <c r="D1482">
        <v>150</v>
      </c>
      <c r="E1482">
        <v>550.01</v>
      </c>
      <c r="F1482">
        <v>1</v>
      </c>
      <c r="G1482" s="129" t="s">
        <v>13</v>
      </c>
      <c r="H1482" s="129" t="s">
        <v>12</v>
      </c>
      <c r="I1482">
        <v>5</v>
      </c>
      <c r="J1482">
        <v>5.01</v>
      </c>
      <c r="K1482" s="129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s="129" t="s">
        <v>1639</v>
      </c>
      <c r="B1483" s="129" t="s">
        <v>51</v>
      </c>
      <c r="C1483" s="129" t="s">
        <v>60</v>
      </c>
      <c r="D1483">
        <v>550</v>
      </c>
      <c r="E1483">
        <v>1025.01</v>
      </c>
      <c r="F1483">
        <v>1</v>
      </c>
      <c r="G1483" s="129" t="s">
        <v>13</v>
      </c>
      <c r="H1483" s="129" t="s">
        <v>12</v>
      </c>
      <c r="I1483">
        <v>4.4999999999999998E-2</v>
      </c>
      <c r="J1483">
        <v>0.10001</v>
      </c>
      <c r="K1483" s="129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s="129" t="s">
        <v>1638</v>
      </c>
      <c r="B1484" s="129" t="s">
        <v>51</v>
      </c>
      <c r="C1484" s="129" t="s">
        <v>60</v>
      </c>
      <c r="D1484">
        <v>550</v>
      </c>
      <c r="E1484">
        <v>1025.01</v>
      </c>
      <c r="F1484">
        <v>1</v>
      </c>
      <c r="G1484" s="129" t="s">
        <v>13</v>
      </c>
      <c r="H1484" s="129" t="s">
        <v>12</v>
      </c>
      <c r="I1484">
        <v>0.1</v>
      </c>
      <c r="J1484">
        <v>1</v>
      </c>
      <c r="K1484" s="129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s="129" t="s">
        <v>2152</v>
      </c>
      <c r="B1485" s="129" t="s">
        <v>51</v>
      </c>
      <c r="C1485" s="129" t="s">
        <v>60</v>
      </c>
      <c r="D1485">
        <v>550</v>
      </c>
      <c r="E1485">
        <v>1025.01</v>
      </c>
      <c r="F1485">
        <v>1</v>
      </c>
      <c r="G1485" s="129" t="s">
        <v>13</v>
      </c>
      <c r="H1485" s="129" t="s">
        <v>12</v>
      </c>
      <c r="I1485">
        <v>1</v>
      </c>
      <c r="J1485">
        <v>1.0000100000000001</v>
      </c>
      <c r="K1485" s="129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s="129" t="s">
        <v>1613</v>
      </c>
      <c r="B1486" s="129" t="s">
        <v>51</v>
      </c>
      <c r="C1486" s="129" t="s">
        <v>60</v>
      </c>
      <c r="D1486">
        <v>55</v>
      </c>
      <c r="E1486">
        <v>150.01</v>
      </c>
      <c r="F1486">
        <v>10</v>
      </c>
      <c r="G1486" s="129" t="s">
        <v>13</v>
      </c>
      <c r="H1486" s="129" t="s">
        <v>12</v>
      </c>
      <c r="I1486">
        <v>0.01</v>
      </c>
      <c r="J1486">
        <v>4.4999999999999998E-2</v>
      </c>
      <c r="K1486" s="129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s="129" t="s">
        <v>1611</v>
      </c>
      <c r="B1487" s="129" t="s">
        <v>51</v>
      </c>
      <c r="C1487" s="129" t="s">
        <v>60</v>
      </c>
      <c r="D1487">
        <v>55</v>
      </c>
      <c r="E1487">
        <v>150.01</v>
      </c>
      <c r="F1487">
        <v>10</v>
      </c>
      <c r="G1487" s="129" t="s">
        <v>13</v>
      </c>
      <c r="H1487" s="129" t="s">
        <v>12</v>
      </c>
      <c r="I1487">
        <v>4.4999999999999998E-2</v>
      </c>
      <c r="J1487">
        <v>0.1</v>
      </c>
      <c r="K1487" s="129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s="129" t="s">
        <v>1612</v>
      </c>
      <c r="B1488" s="129" t="s">
        <v>51</v>
      </c>
      <c r="C1488" s="129" t="s">
        <v>60</v>
      </c>
      <c r="D1488">
        <v>55</v>
      </c>
      <c r="E1488">
        <v>150.01</v>
      </c>
      <c r="F1488">
        <v>10</v>
      </c>
      <c r="G1488" s="129" t="s">
        <v>13</v>
      </c>
      <c r="H1488" s="129" t="s">
        <v>12</v>
      </c>
      <c r="I1488">
        <v>0.1</v>
      </c>
      <c r="J1488">
        <v>1</v>
      </c>
      <c r="K1488" s="129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s="129" t="s">
        <v>2140</v>
      </c>
      <c r="B1489" s="129" t="s">
        <v>51</v>
      </c>
      <c r="C1489" s="129" t="s">
        <v>60</v>
      </c>
      <c r="D1489">
        <v>55</v>
      </c>
      <c r="E1489">
        <v>150.01</v>
      </c>
      <c r="F1489">
        <v>10</v>
      </c>
      <c r="G1489" s="129" t="s">
        <v>13</v>
      </c>
      <c r="H1489" s="129" t="s">
        <v>12</v>
      </c>
      <c r="I1489">
        <v>1</v>
      </c>
      <c r="J1489">
        <v>5.01</v>
      </c>
      <c r="K1489" s="12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s="129" t="s">
        <v>2142</v>
      </c>
      <c r="B1490" s="129" t="s">
        <v>51</v>
      </c>
      <c r="C1490" s="129" t="s">
        <v>60</v>
      </c>
      <c r="D1490">
        <v>55</v>
      </c>
      <c r="E1490">
        <v>150.01</v>
      </c>
      <c r="F1490">
        <v>10</v>
      </c>
      <c r="G1490" s="129" t="s">
        <v>13</v>
      </c>
      <c r="H1490" s="129" t="s">
        <v>12</v>
      </c>
      <c r="I1490">
        <v>5</v>
      </c>
      <c r="J1490">
        <v>10</v>
      </c>
      <c r="K1490" s="129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s="129" t="s">
        <v>1614</v>
      </c>
      <c r="B1491" s="129" t="s">
        <v>51</v>
      </c>
      <c r="C1491" s="129" t="s">
        <v>60</v>
      </c>
      <c r="D1491">
        <v>55</v>
      </c>
      <c r="E1491">
        <v>150.01</v>
      </c>
      <c r="F1491">
        <v>10</v>
      </c>
      <c r="G1491" s="129" t="s">
        <v>13</v>
      </c>
      <c r="H1491" s="129" t="s">
        <v>12</v>
      </c>
      <c r="I1491">
        <v>10</v>
      </c>
      <c r="J1491">
        <v>10.01</v>
      </c>
      <c r="K1491" s="129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s="129" t="s">
        <v>2144</v>
      </c>
      <c r="B1492" s="129" t="s">
        <v>51</v>
      </c>
      <c r="C1492" s="129" t="s">
        <v>60</v>
      </c>
      <c r="D1492">
        <v>150</v>
      </c>
      <c r="E1492">
        <v>550.01</v>
      </c>
      <c r="F1492">
        <v>10</v>
      </c>
      <c r="G1492" s="129" t="s">
        <v>13</v>
      </c>
      <c r="H1492" s="129" t="s">
        <v>12</v>
      </c>
      <c r="I1492">
        <v>4.4999999999999998E-2</v>
      </c>
      <c r="J1492">
        <v>0.10001</v>
      </c>
      <c r="K1492" s="129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s="129" t="s">
        <v>1629</v>
      </c>
      <c r="B1493" s="129" t="s">
        <v>51</v>
      </c>
      <c r="C1493" s="129" t="s">
        <v>60</v>
      </c>
      <c r="D1493">
        <v>150</v>
      </c>
      <c r="E1493">
        <v>550.01</v>
      </c>
      <c r="F1493">
        <v>10</v>
      </c>
      <c r="G1493" s="129" t="s">
        <v>13</v>
      </c>
      <c r="H1493" s="129" t="s">
        <v>12</v>
      </c>
      <c r="I1493">
        <v>0.1</v>
      </c>
      <c r="J1493">
        <v>1.0000100000000001</v>
      </c>
      <c r="K1493" s="129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s="129" t="s">
        <v>1631</v>
      </c>
      <c r="B1494" s="129" t="s">
        <v>51</v>
      </c>
      <c r="C1494" s="129" t="s">
        <v>60</v>
      </c>
      <c r="D1494">
        <v>150</v>
      </c>
      <c r="E1494">
        <v>550.01</v>
      </c>
      <c r="F1494">
        <v>10</v>
      </c>
      <c r="G1494" s="129" t="s">
        <v>13</v>
      </c>
      <c r="H1494" s="129" t="s">
        <v>12</v>
      </c>
      <c r="I1494">
        <v>1</v>
      </c>
      <c r="J1494">
        <v>5</v>
      </c>
      <c r="K1494" s="129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s="129" t="s">
        <v>1630</v>
      </c>
      <c r="B1495" s="129" t="s">
        <v>51</v>
      </c>
      <c r="C1495" s="129" t="s">
        <v>60</v>
      </c>
      <c r="D1495">
        <v>150</v>
      </c>
      <c r="E1495">
        <v>550.01</v>
      </c>
      <c r="F1495">
        <v>10</v>
      </c>
      <c r="G1495" s="129" t="s">
        <v>13</v>
      </c>
      <c r="H1495" s="129" t="s">
        <v>12</v>
      </c>
      <c r="I1495">
        <v>5</v>
      </c>
      <c r="J1495">
        <v>5.01</v>
      </c>
      <c r="K1495" s="129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s="129" t="s">
        <v>1640</v>
      </c>
      <c r="B1496" s="129" t="s">
        <v>51</v>
      </c>
      <c r="C1496" s="129" t="s">
        <v>60</v>
      </c>
      <c r="D1496">
        <v>550</v>
      </c>
      <c r="E1496">
        <v>1025.01</v>
      </c>
      <c r="F1496">
        <v>10</v>
      </c>
      <c r="G1496" s="129" t="s">
        <v>13</v>
      </c>
      <c r="H1496" s="129" t="s">
        <v>12</v>
      </c>
      <c r="I1496">
        <v>4.4999999999999998E-2</v>
      </c>
      <c r="J1496">
        <v>0.10001</v>
      </c>
      <c r="K1496" s="129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s="129" t="s">
        <v>2149</v>
      </c>
      <c r="B1497" s="129" t="s">
        <v>51</v>
      </c>
      <c r="C1497" s="129" t="s">
        <v>60</v>
      </c>
      <c r="D1497">
        <v>550</v>
      </c>
      <c r="E1497">
        <v>1025.01</v>
      </c>
      <c r="F1497">
        <v>10</v>
      </c>
      <c r="G1497" s="129" t="s">
        <v>13</v>
      </c>
      <c r="H1497" s="129" t="s">
        <v>12</v>
      </c>
      <c r="I1497">
        <v>0.1</v>
      </c>
      <c r="J1497">
        <v>1</v>
      </c>
      <c r="K1497" s="129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s="129" t="s">
        <v>2153</v>
      </c>
      <c r="B1498" s="129" t="s">
        <v>51</v>
      </c>
      <c r="C1498" s="129" t="s">
        <v>60</v>
      </c>
      <c r="D1498">
        <v>550</v>
      </c>
      <c r="E1498">
        <v>1025.01</v>
      </c>
      <c r="F1498">
        <v>10</v>
      </c>
      <c r="G1498" s="129" t="s">
        <v>13</v>
      </c>
      <c r="H1498" s="129" t="s">
        <v>12</v>
      </c>
      <c r="I1498">
        <v>1</v>
      </c>
      <c r="J1498">
        <v>1.0000100000000001</v>
      </c>
      <c r="K1498" s="129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s="129" t="s">
        <v>1615</v>
      </c>
      <c r="B1499" s="129" t="s">
        <v>51</v>
      </c>
      <c r="C1499" s="129" t="s">
        <v>60</v>
      </c>
      <c r="D1499">
        <v>55</v>
      </c>
      <c r="E1499">
        <v>150.01</v>
      </c>
      <c r="F1499">
        <v>100</v>
      </c>
      <c r="G1499" s="129" t="s">
        <v>13</v>
      </c>
      <c r="H1499" s="129" t="s">
        <v>12</v>
      </c>
      <c r="I1499">
        <v>0.01</v>
      </c>
      <c r="J1499">
        <v>4.4999999999999998E-2</v>
      </c>
      <c r="K1499" s="12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s="129" t="s">
        <v>1617</v>
      </c>
      <c r="B1500" s="129" t="s">
        <v>51</v>
      </c>
      <c r="C1500" s="129" t="s">
        <v>60</v>
      </c>
      <c r="D1500">
        <v>55</v>
      </c>
      <c r="E1500">
        <v>150.01</v>
      </c>
      <c r="F1500">
        <v>100</v>
      </c>
      <c r="G1500" s="129" t="s">
        <v>13</v>
      </c>
      <c r="H1500" s="129" t="s">
        <v>12</v>
      </c>
      <c r="I1500">
        <v>4.4999999999999998E-2</v>
      </c>
      <c r="J1500">
        <v>0.1</v>
      </c>
      <c r="K1500" s="129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s="129" t="s">
        <v>2138</v>
      </c>
      <c r="B1501" s="129" t="s">
        <v>51</v>
      </c>
      <c r="C1501" s="129" t="s">
        <v>60</v>
      </c>
      <c r="D1501">
        <v>55</v>
      </c>
      <c r="E1501">
        <v>150.01</v>
      </c>
      <c r="F1501">
        <v>100</v>
      </c>
      <c r="G1501" s="129" t="s">
        <v>13</v>
      </c>
      <c r="H1501" s="129" t="s">
        <v>12</v>
      </c>
      <c r="I1501">
        <v>0.1</v>
      </c>
      <c r="J1501">
        <v>1</v>
      </c>
      <c r="K1501" s="129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s="129" t="s">
        <v>1619</v>
      </c>
      <c r="B1502" s="129" t="s">
        <v>51</v>
      </c>
      <c r="C1502" s="129" t="s">
        <v>60</v>
      </c>
      <c r="D1502">
        <v>55</v>
      </c>
      <c r="E1502">
        <v>150.01</v>
      </c>
      <c r="F1502">
        <v>100</v>
      </c>
      <c r="G1502" s="129" t="s">
        <v>13</v>
      </c>
      <c r="H1502" s="129" t="s">
        <v>12</v>
      </c>
      <c r="I1502">
        <v>1</v>
      </c>
      <c r="J1502">
        <v>5.01</v>
      </c>
      <c r="K1502" s="129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s="129" t="s">
        <v>1616</v>
      </c>
      <c r="B1503" s="129" t="s">
        <v>51</v>
      </c>
      <c r="C1503" s="129" t="s">
        <v>60</v>
      </c>
      <c r="D1503">
        <v>55</v>
      </c>
      <c r="E1503">
        <v>150.01</v>
      </c>
      <c r="F1503">
        <v>100</v>
      </c>
      <c r="G1503" s="129" t="s">
        <v>13</v>
      </c>
      <c r="H1503" s="129" t="s">
        <v>12</v>
      </c>
      <c r="I1503">
        <v>5</v>
      </c>
      <c r="J1503">
        <v>10</v>
      </c>
      <c r="K1503" s="129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s="129" t="s">
        <v>1618</v>
      </c>
      <c r="B1504" s="129" t="s">
        <v>51</v>
      </c>
      <c r="C1504" s="129" t="s">
        <v>60</v>
      </c>
      <c r="D1504">
        <v>55</v>
      </c>
      <c r="E1504">
        <v>150.01</v>
      </c>
      <c r="F1504">
        <v>100</v>
      </c>
      <c r="G1504" s="129" t="s">
        <v>13</v>
      </c>
      <c r="H1504" s="129" t="s">
        <v>12</v>
      </c>
      <c r="I1504">
        <v>10</v>
      </c>
      <c r="J1504">
        <v>10.01</v>
      </c>
      <c r="K1504" s="129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s="129" t="s">
        <v>2145</v>
      </c>
      <c r="B1505" s="129" t="s">
        <v>51</v>
      </c>
      <c r="C1505" s="129" t="s">
        <v>60</v>
      </c>
      <c r="D1505">
        <v>150</v>
      </c>
      <c r="E1505">
        <v>550.01</v>
      </c>
      <c r="F1505">
        <v>100</v>
      </c>
      <c r="G1505" s="129" t="s">
        <v>13</v>
      </c>
      <c r="H1505" s="129" t="s">
        <v>12</v>
      </c>
      <c r="I1505">
        <v>4.4999999999999998E-2</v>
      </c>
      <c r="J1505">
        <v>0.10001</v>
      </c>
      <c r="K1505" s="129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s="129" t="s">
        <v>1633</v>
      </c>
      <c r="B1506" s="129" t="s">
        <v>51</v>
      </c>
      <c r="C1506" s="129" t="s">
        <v>60</v>
      </c>
      <c r="D1506">
        <v>150</v>
      </c>
      <c r="E1506">
        <v>550.01</v>
      </c>
      <c r="F1506">
        <v>100</v>
      </c>
      <c r="G1506" s="129" t="s">
        <v>13</v>
      </c>
      <c r="H1506" s="129" t="s">
        <v>12</v>
      </c>
      <c r="I1506">
        <v>0.1</v>
      </c>
      <c r="J1506">
        <v>1.0000100000000001</v>
      </c>
      <c r="K1506" s="129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s="129" t="s">
        <v>1632</v>
      </c>
      <c r="B1507" s="129" t="s">
        <v>51</v>
      </c>
      <c r="C1507" s="129" t="s">
        <v>60</v>
      </c>
      <c r="D1507">
        <v>150</v>
      </c>
      <c r="E1507">
        <v>550.01</v>
      </c>
      <c r="F1507">
        <v>100</v>
      </c>
      <c r="G1507" s="129" t="s">
        <v>13</v>
      </c>
      <c r="H1507" s="129" t="s">
        <v>12</v>
      </c>
      <c r="I1507">
        <v>1</v>
      </c>
      <c r="J1507">
        <v>5</v>
      </c>
      <c r="K1507" s="129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s="129" t="s">
        <v>1634</v>
      </c>
      <c r="B1508" s="129" t="s">
        <v>51</v>
      </c>
      <c r="C1508" s="129" t="s">
        <v>60</v>
      </c>
      <c r="D1508">
        <v>150</v>
      </c>
      <c r="E1508">
        <v>550.01</v>
      </c>
      <c r="F1508">
        <v>100</v>
      </c>
      <c r="G1508" s="129" t="s">
        <v>13</v>
      </c>
      <c r="H1508" s="129" t="s">
        <v>12</v>
      </c>
      <c r="I1508">
        <v>5</v>
      </c>
      <c r="J1508">
        <v>5.01</v>
      </c>
      <c r="K1508" s="129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s="129" t="s">
        <v>1641</v>
      </c>
      <c r="B1509" s="129" t="s">
        <v>51</v>
      </c>
      <c r="C1509" s="129" t="s">
        <v>60</v>
      </c>
      <c r="D1509">
        <v>550</v>
      </c>
      <c r="E1509">
        <v>1025.01</v>
      </c>
      <c r="F1509">
        <v>100</v>
      </c>
      <c r="G1509" s="129" t="s">
        <v>13</v>
      </c>
      <c r="H1509" s="129" t="s">
        <v>12</v>
      </c>
      <c r="I1509">
        <v>4.4999999999999998E-2</v>
      </c>
      <c r="J1509">
        <v>0.10001</v>
      </c>
      <c r="K1509" s="12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s="129" t="s">
        <v>1426</v>
      </c>
      <c r="B1510" s="129" t="s">
        <v>51</v>
      </c>
      <c r="C1510" s="129" t="s">
        <v>8</v>
      </c>
      <c r="D1510">
        <v>0</v>
      </c>
      <c r="E1510">
        <v>3.3009999999999998E-2</v>
      </c>
      <c r="F1510">
        <v>9.9999999999999995E-7</v>
      </c>
      <c r="G1510" s="129" t="s">
        <v>6</v>
      </c>
      <c r="H1510" s="129" t="s">
        <v>5</v>
      </c>
      <c r="I1510">
        <v>0.01</v>
      </c>
      <c r="J1510">
        <v>4.5010000000000001E-2</v>
      </c>
      <c r="K1510" s="129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s="129" t="s">
        <v>1429</v>
      </c>
      <c r="B1511" s="129" t="s">
        <v>51</v>
      </c>
      <c r="C1511" s="129" t="s">
        <v>8</v>
      </c>
      <c r="D1511">
        <v>0</v>
      </c>
      <c r="E1511">
        <v>3.3009999999999998E-2</v>
      </c>
      <c r="F1511">
        <v>9.9999999999999995E-7</v>
      </c>
      <c r="G1511" s="129" t="s">
        <v>6</v>
      </c>
      <c r="H1511" s="129" t="s">
        <v>5</v>
      </c>
      <c r="I1511">
        <v>4.4999999999999998E-2</v>
      </c>
      <c r="J1511">
        <v>10.00001</v>
      </c>
      <c r="K1511" s="129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s="129" t="s">
        <v>1997</v>
      </c>
      <c r="B1512" s="129" t="s">
        <v>51</v>
      </c>
      <c r="C1512" s="129" t="s">
        <v>8</v>
      </c>
      <c r="D1512">
        <v>0</v>
      </c>
      <c r="E1512">
        <v>3.3009999999999998E-2</v>
      </c>
      <c r="F1512">
        <v>9.9999999999999995E-7</v>
      </c>
      <c r="G1512" s="129" t="s">
        <v>6</v>
      </c>
      <c r="H1512" s="129" t="s">
        <v>5</v>
      </c>
      <c r="I1512">
        <v>10</v>
      </c>
      <c r="J1512">
        <v>20.010000000000002</v>
      </c>
      <c r="K1512" s="129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s="129" t="s">
        <v>1428</v>
      </c>
      <c r="B1513" s="129" t="s">
        <v>51</v>
      </c>
      <c r="C1513" s="129" t="s">
        <v>8</v>
      </c>
      <c r="D1513">
        <v>0</v>
      </c>
      <c r="E1513">
        <v>3.3009999999999998E-2</v>
      </c>
      <c r="F1513">
        <v>9.9999999999999995E-7</v>
      </c>
      <c r="G1513" s="129" t="s">
        <v>6</v>
      </c>
      <c r="H1513" s="129" t="s">
        <v>5</v>
      </c>
      <c r="I1513">
        <v>20</v>
      </c>
      <c r="J1513">
        <v>50.01</v>
      </c>
      <c r="K1513" s="129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s="129" t="s">
        <v>1998</v>
      </c>
      <c r="B1514" s="129" t="s">
        <v>51</v>
      </c>
      <c r="C1514" s="129" t="s">
        <v>8</v>
      </c>
      <c r="D1514">
        <v>0</v>
      </c>
      <c r="E1514">
        <v>3.3009999999999998E-2</v>
      </c>
      <c r="F1514">
        <v>9.9999999999999995E-7</v>
      </c>
      <c r="G1514" s="129" t="s">
        <v>6</v>
      </c>
      <c r="H1514" s="129" t="s">
        <v>5</v>
      </c>
      <c r="I1514">
        <v>50</v>
      </c>
      <c r="J1514">
        <v>100</v>
      </c>
      <c r="K1514" s="129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s="129" t="s">
        <v>1427</v>
      </c>
      <c r="B1515" s="129" t="s">
        <v>51</v>
      </c>
      <c r="C1515" s="129" t="s">
        <v>8</v>
      </c>
      <c r="D1515">
        <v>0</v>
      </c>
      <c r="E1515">
        <v>3.3009999999999998E-2</v>
      </c>
      <c r="F1515">
        <v>9.9999999999999995E-7</v>
      </c>
      <c r="G1515" s="129" t="s">
        <v>6</v>
      </c>
      <c r="H1515" s="129" t="s">
        <v>5</v>
      </c>
      <c r="I1515">
        <v>100</v>
      </c>
      <c r="J1515">
        <v>500</v>
      </c>
      <c r="K1515" s="129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s="129" t="s">
        <v>2001</v>
      </c>
      <c r="B1516" s="129" t="s">
        <v>51</v>
      </c>
      <c r="C1516" s="129" t="s">
        <v>8</v>
      </c>
      <c r="D1516">
        <v>0</v>
      </c>
      <c r="E1516">
        <v>3.3009999999999998E-2</v>
      </c>
      <c r="F1516">
        <v>9.9999999999999995E-7</v>
      </c>
      <c r="G1516" s="129" t="s">
        <v>6</v>
      </c>
      <c r="H1516" s="129" t="s">
        <v>5</v>
      </c>
      <c r="I1516">
        <v>500</v>
      </c>
      <c r="J1516">
        <v>501</v>
      </c>
      <c r="K1516" s="129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s="129" t="s">
        <v>1473</v>
      </c>
      <c r="B1517" s="129" t="s">
        <v>51</v>
      </c>
      <c r="C1517" s="129" t="s">
        <v>8</v>
      </c>
      <c r="D1517">
        <v>3.3000000000000002E-2</v>
      </c>
      <c r="E1517">
        <v>0.33001000000000003</v>
      </c>
      <c r="F1517">
        <v>9.9999999999999995E-7</v>
      </c>
      <c r="G1517" s="129" t="s">
        <v>6</v>
      </c>
      <c r="H1517" s="129" t="s">
        <v>5</v>
      </c>
      <c r="I1517">
        <v>0.01</v>
      </c>
      <c r="J1517">
        <v>4.5010000000000001E-2</v>
      </c>
      <c r="K1517" s="129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s="129" t="s">
        <v>1474</v>
      </c>
      <c r="B1518" s="129" t="s">
        <v>51</v>
      </c>
      <c r="C1518" s="129" t="s">
        <v>8</v>
      </c>
      <c r="D1518">
        <v>3.3000000000000002E-2</v>
      </c>
      <c r="E1518">
        <v>0.33001000000000003</v>
      </c>
      <c r="F1518">
        <v>9.9999999999999995E-7</v>
      </c>
      <c r="G1518" s="129" t="s">
        <v>6</v>
      </c>
      <c r="H1518" s="129" t="s">
        <v>5</v>
      </c>
      <c r="I1518">
        <v>4.4999999999999998E-2</v>
      </c>
      <c r="J1518">
        <v>10.00001</v>
      </c>
      <c r="K1518" s="129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s="129" t="s">
        <v>1475</v>
      </c>
      <c r="B1519" s="129" t="s">
        <v>51</v>
      </c>
      <c r="C1519" s="129" t="s">
        <v>8</v>
      </c>
      <c r="D1519">
        <v>3.3000000000000002E-2</v>
      </c>
      <c r="E1519">
        <v>0.33001000000000003</v>
      </c>
      <c r="F1519">
        <v>9.9999999999999995E-7</v>
      </c>
      <c r="G1519" s="129" t="s">
        <v>6</v>
      </c>
      <c r="H1519" s="129" t="s">
        <v>5</v>
      </c>
      <c r="I1519">
        <v>10</v>
      </c>
      <c r="J1519">
        <v>20.010000000000002</v>
      </c>
      <c r="K1519" s="12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s="129" t="s">
        <v>1477</v>
      </c>
      <c r="B1520" s="129" t="s">
        <v>51</v>
      </c>
      <c r="C1520" s="129" t="s">
        <v>8</v>
      </c>
      <c r="D1520">
        <v>3.3000000000000002E-2</v>
      </c>
      <c r="E1520">
        <v>0.33001000000000003</v>
      </c>
      <c r="F1520">
        <v>9.9999999999999995E-7</v>
      </c>
      <c r="G1520" s="129" t="s">
        <v>6</v>
      </c>
      <c r="H1520" s="129" t="s">
        <v>5</v>
      </c>
      <c r="I1520">
        <v>20</v>
      </c>
      <c r="J1520">
        <v>50.01</v>
      </c>
      <c r="K1520" s="129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s="129" t="s">
        <v>1476</v>
      </c>
      <c r="B1521" s="129" t="s">
        <v>51</v>
      </c>
      <c r="C1521" s="129" t="s">
        <v>8</v>
      </c>
      <c r="D1521">
        <v>3.3000000000000002E-2</v>
      </c>
      <c r="E1521">
        <v>0.33001000000000003</v>
      </c>
      <c r="F1521">
        <v>9.9999999999999995E-7</v>
      </c>
      <c r="G1521" s="129" t="s">
        <v>6</v>
      </c>
      <c r="H1521" s="129" t="s">
        <v>5</v>
      </c>
      <c r="I1521">
        <v>50</v>
      </c>
      <c r="J1521">
        <v>100.01</v>
      </c>
      <c r="K1521" s="129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s="129" t="s">
        <v>1478</v>
      </c>
      <c r="B1522" s="129" t="s">
        <v>51</v>
      </c>
      <c r="C1522" s="129" t="s">
        <v>8</v>
      </c>
      <c r="D1522">
        <v>3.3000000000000002E-2</v>
      </c>
      <c r="E1522">
        <v>0.33001000000000003</v>
      </c>
      <c r="F1522">
        <v>9.9999999999999995E-7</v>
      </c>
      <c r="G1522" s="129" t="s">
        <v>6</v>
      </c>
      <c r="H1522" s="129" t="s">
        <v>5</v>
      </c>
      <c r="I1522">
        <v>100</v>
      </c>
      <c r="J1522">
        <v>500</v>
      </c>
      <c r="K1522" s="129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s="129" t="s">
        <v>1479</v>
      </c>
      <c r="B1523" s="129" t="s">
        <v>51</v>
      </c>
      <c r="C1523" s="129" t="s">
        <v>8</v>
      </c>
      <c r="D1523">
        <v>3.3000000000000002E-2</v>
      </c>
      <c r="E1523">
        <v>0.33001000000000003</v>
      </c>
      <c r="F1523">
        <v>9.9999999999999995E-7</v>
      </c>
      <c r="G1523" s="129" t="s">
        <v>6</v>
      </c>
      <c r="H1523" s="129" t="s">
        <v>5</v>
      </c>
      <c r="I1523">
        <v>500</v>
      </c>
      <c r="J1523">
        <v>501</v>
      </c>
      <c r="K1523" s="129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s="129" t="s">
        <v>1434</v>
      </c>
      <c r="B1524" s="129" t="s">
        <v>51</v>
      </c>
      <c r="C1524" s="129" t="s">
        <v>8</v>
      </c>
      <c r="D1524">
        <v>0</v>
      </c>
      <c r="E1524">
        <v>3.3009999999999998E-2</v>
      </c>
      <c r="F1524">
        <v>1.0000000000000001E-5</v>
      </c>
      <c r="G1524" s="129" t="s">
        <v>6</v>
      </c>
      <c r="H1524" s="129" t="s">
        <v>5</v>
      </c>
      <c r="I1524">
        <v>0.01</v>
      </c>
      <c r="J1524">
        <v>4.5010000000000001E-2</v>
      </c>
      <c r="K1524" s="129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s="129" t="s">
        <v>2640</v>
      </c>
      <c r="B1525" s="129" t="s">
        <v>51</v>
      </c>
      <c r="C1525" s="129" t="s">
        <v>8</v>
      </c>
      <c r="D1525">
        <v>0</v>
      </c>
      <c r="E1525">
        <v>3.3009999999999998E-2</v>
      </c>
      <c r="F1525">
        <v>1.0000000000000001E-5</v>
      </c>
      <c r="G1525" s="129" t="s">
        <v>6</v>
      </c>
      <c r="H1525" s="129" t="s">
        <v>5</v>
      </c>
      <c r="I1525">
        <v>4.4999999999999998E-2</v>
      </c>
      <c r="J1525">
        <v>10.00001</v>
      </c>
      <c r="K1525" s="129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s="129" t="s">
        <v>1431</v>
      </c>
      <c r="B1526" s="129" t="s">
        <v>51</v>
      </c>
      <c r="C1526" s="129" t="s">
        <v>8</v>
      </c>
      <c r="D1526">
        <v>0</v>
      </c>
      <c r="E1526">
        <v>3.3009999999999998E-2</v>
      </c>
      <c r="F1526">
        <v>1.0000000000000001E-5</v>
      </c>
      <c r="G1526" s="129" t="s">
        <v>6</v>
      </c>
      <c r="H1526" s="129" t="s">
        <v>5</v>
      </c>
      <c r="I1526">
        <v>10</v>
      </c>
      <c r="J1526">
        <v>20.010000000000002</v>
      </c>
      <c r="K1526" s="129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s="129" t="s">
        <v>1433</v>
      </c>
      <c r="B1527" s="129" t="s">
        <v>51</v>
      </c>
      <c r="C1527" s="129" t="s">
        <v>8</v>
      </c>
      <c r="D1527">
        <v>0</v>
      </c>
      <c r="E1527">
        <v>3.3009999999999998E-2</v>
      </c>
      <c r="F1527">
        <v>1.0000000000000001E-5</v>
      </c>
      <c r="G1527" s="129" t="s">
        <v>6</v>
      </c>
      <c r="H1527" s="129" t="s">
        <v>5</v>
      </c>
      <c r="I1527">
        <v>20</v>
      </c>
      <c r="J1527">
        <v>50.01</v>
      </c>
      <c r="K1527" s="129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s="129" t="s">
        <v>1430</v>
      </c>
      <c r="B1528" s="129" t="s">
        <v>51</v>
      </c>
      <c r="C1528" s="129" t="s">
        <v>8</v>
      </c>
      <c r="D1528">
        <v>0</v>
      </c>
      <c r="E1528">
        <v>3.3009999999999998E-2</v>
      </c>
      <c r="F1528">
        <v>1.0000000000000001E-5</v>
      </c>
      <c r="G1528" s="129" t="s">
        <v>6</v>
      </c>
      <c r="H1528" s="129" t="s">
        <v>5</v>
      </c>
      <c r="I1528">
        <v>50</v>
      </c>
      <c r="J1528">
        <v>100.01</v>
      </c>
      <c r="K1528" s="129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s="129" t="s">
        <v>1435</v>
      </c>
      <c r="B1529" s="129" t="s">
        <v>51</v>
      </c>
      <c r="C1529" s="129" t="s">
        <v>8</v>
      </c>
      <c r="D1529">
        <v>0</v>
      </c>
      <c r="E1529">
        <v>3.3009999999999998E-2</v>
      </c>
      <c r="F1529">
        <v>1.0000000000000001E-5</v>
      </c>
      <c r="G1529" s="129" t="s">
        <v>6</v>
      </c>
      <c r="H1529" s="129" t="s">
        <v>5</v>
      </c>
      <c r="I1529">
        <v>100</v>
      </c>
      <c r="J1529">
        <v>500</v>
      </c>
      <c r="K1529" s="1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s="129" t="s">
        <v>1432</v>
      </c>
      <c r="B1530" s="129" t="s">
        <v>51</v>
      </c>
      <c r="C1530" s="129" t="s">
        <v>8</v>
      </c>
      <c r="D1530">
        <v>0</v>
      </c>
      <c r="E1530">
        <v>3.3009999999999998E-2</v>
      </c>
      <c r="F1530">
        <v>1.0000000000000001E-5</v>
      </c>
      <c r="G1530" s="129" t="s">
        <v>6</v>
      </c>
      <c r="H1530" s="129" t="s">
        <v>5</v>
      </c>
      <c r="I1530">
        <v>500</v>
      </c>
      <c r="J1530">
        <v>501</v>
      </c>
      <c r="K1530" s="129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s="129" t="s">
        <v>1482</v>
      </c>
      <c r="B1531" s="129" t="s">
        <v>51</v>
      </c>
      <c r="C1531" s="129" t="s">
        <v>8</v>
      </c>
      <c r="D1531">
        <v>3.3000000000000002E-2</v>
      </c>
      <c r="E1531">
        <v>0.33001000000000003</v>
      </c>
      <c r="F1531">
        <v>1.0000000000000001E-5</v>
      </c>
      <c r="G1531" s="129" t="s">
        <v>6</v>
      </c>
      <c r="H1531" s="129" t="s">
        <v>5</v>
      </c>
      <c r="I1531">
        <v>0.01</v>
      </c>
      <c r="J1531">
        <v>4.5010000000000001E-2</v>
      </c>
      <c r="K1531" s="129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s="129" t="s">
        <v>2649</v>
      </c>
      <c r="B1532" s="129" t="s">
        <v>51</v>
      </c>
      <c r="C1532" s="129" t="s">
        <v>8</v>
      </c>
      <c r="D1532">
        <v>3.3000000000000002E-2</v>
      </c>
      <c r="E1532">
        <v>0.33001000000000003</v>
      </c>
      <c r="F1532">
        <v>1.0000000000000001E-5</v>
      </c>
      <c r="G1532" s="129" t="s">
        <v>6</v>
      </c>
      <c r="H1532" s="129" t="s">
        <v>5</v>
      </c>
      <c r="I1532">
        <v>4.4999999999999998E-2</v>
      </c>
      <c r="J1532">
        <v>10.00001</v>
      </c>
      <c r="K1532" s="129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s="129" t="s">
        <v>1485</v>
      </c>
      <c r="B1533" s="129" t="s">
        <v>51</v>
      </c>
      <c r="C1533" s="129" t="s">
        <v>8</v>
      </c>
      <c r="D1533">
        <v>3.3000000000000002E-2</v>
      </c>
      <c r="E1533">
        <v>0.33001000000000003</v>
      </c>
      <c r="F1533">
        <v>1.0000000000000001E-5</v>
      </c>
      <c r="G1533" s="129" t="s">
        <v>6</v>
      </c>
      <c r="H1533" s="129" t="s">
        <v>5</v>
      </c>
      <c r="I1533">
        <v>10</v>
      </c>
      <c r="J1533">
        <v>20.010000000000002</v>
      </c>
      <c r="K1533" s="129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s="129" t="s">
        <v>1484</v>
      </c>
      <c r="B1534" s="129" t="s">
        <v>51</v>
      </c>
      <c r="C1534" s="129" t="s">
        <v>8</v>
      </c>
      <c r="D1534">
        <v>3.3000000000000002E-2</v>
      </c>
      <c r="E1534">
        <v>0.33001000000000003</v>
      </c>
      <c r="F1534">
        <v>1.0000000000000001E-5</v>
      </c>
      <c r="G1534" s="129" t="s">
        <v>6</v>
      </c>
      <c r="H1534" s="129" t="s">
        <v>5</v>
      </c>
      <c r="I1534">
        <v>20</v>
      </c>
      <c r="J1534">
        <v>50.01</v>
      </c>
      <c r="K1534" s="129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s="129" t="s">
        <v>1483</v>
      </c>
      <c r="B1535" s="129" t="s">
        <v>51</v>
      </c>
      <c r="C1535" s="129" t="s">
        <v>8</v>
      </c>
      <c r="D1535">
        <v>3.3000000000000002E-2</v>
      </c>
      <c r="E1535">
        <v>0.33001000000000003</v>
      </c>
      <c r="F1535">
        <v>1.0000000000000001E-5</v>
      </c>
      <c r="G1535" s="129" t="s">
        <v>6</v>
      </c>
      <c r="H1535" s="129" t="s">
        <v>5</v>
      </c>
      <c r="I1535">
        <v>50</v>
      </c>
      <c r="J1535">
        <v>100.01</v>
      </c>
      <c r="K1535" s="129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s="129" t="s">
        <v>1481</v>
      </c>
      <c r="B1536" s="129" t="s">
        <v>51</v>
      </c>
      <c r="C1536" s="129" t="s">
        <v>8</v>
      </c>
      <c r="D1536">
        <v>3.3000000000000002E-2</v>
      </c>
      <c r="E1536">
        <v>0.33001000000000003</v>
      </c>
      <c r="F1536">
        <v>1.0000000000000001E-5</v>
      </c>
      <c r="G1536" s="129" t="s">
        <v>6</v>
      </c>
      <c r="H1536" s="129" t="s">
        <v>5</v>
      </c>
      <c r="I1536">
        <v>100</v>
      </c>
      <c r="J1536">
        <v>500</v>
      </c>
      <c r="K1536" s="129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s="129" t="s">
        <v>1480</v>
      </c>
      <c r="B1537" s="129" t="s">
        <v>51</v>
      </c>
      <c r="C1537" s="129" t="s">
        <v>8</v>
      </c>
      <c r="D1537">
        <v>3.3000000000000002E-2</v>
      </c>
      <c r="E1537">
        <v>0.33001000000000003</v>
      </c>
      <c r="F1537">
        <v>1.0000000000000001E-5</v>
      </c>
      <c r="G1537" s="129" t="s">
        <v>6</v>
      </c>
      <c r="H1537" s="129" t="s">
        <v>5</v>
      </c>
      <c r="I1537">
        <v>500</v>
      </c>
      <c r="J1537">
        <v>501</v>
      </c>
      <c r="K1537" s="129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s="129" t="s">
        <v>1504</v>
      </c>
      <c r="B1538" s="129" t="s">
        <v>51</v>
      </c>
      <c r="C1538" s="129" t="s">
        <v>8</v>
      </c>
      <c r="D1538">
        <v>0.33</v>
      </c>
      <c r="E1538">
        <v>3.3001</v>
      </c>
      <c r="F1538">
        <v>1.0000000000000001E-5</v>
      </c>
      <c r="G1538" s="129" t="s">
        <v>6</v>
      </c>
      <c r="H1538" s="129" t="s">
        <v>4</v>
      </c>
      <c r="I1538">
        <v>0.01</v>
      </c>
      <c r="J1538">
        <v>4.5010000000000001E-2</v>
      </c>
      <c r="K1538" s="129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s="129" t="s">
        <v>1502</v>
      </c>
      <c r="B1539" s="129" t="s">
        <v>51</v>
      </c>
      <c r="C1539" s="129" t="s">
        <v>8</v>
      </c>
      <c r="D1539">
        <v>0.33</v>
      </c>
      <c r="E1539">
        <v>3.3001</v>
      </c>
      <c r="F1539">
        <v>1.0000000000000001E-5</v>
      </c>
      <c r="G1539" s="129" t="s">
        <v>6</v>
      </c>
      <c r="H1539" s="129" t="s">
        <v>4</v>
      </c>
      <c r="I1539">
        <v>4.4999999999999998E-2</v>
      </c>
      <c r="J1539">
        <v>10.00001</v>
      </c>
      <c r="K1539" s="12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s="129" t="s">
        <v>1503</v>
      </c>
      <c r="B1540" s="129" t="s">
        <v>51</v>
      </c>
      <c r="C1540" s="129" t="s">
        <v>8</v>
      </c>
      <c r="D1540">
        <v>0.33</v>
      </c>
      <c r="E1540">
        <v>3.3001</v>
      </c>
      <c r="F1540">
        <v>1.0000000000000001E-5</v>
      </c>
      <c r="G1540" s="129" t="s">
        <v>6</v>
      </c>
      <c r="H1540" s="129" t="s">
        <v>4</v>
      </c>
      <c r="I1540">
        <v>10</v>
      </c>
      <c r="J1540">
        <v>20.010000000000002</v>
      </c>
      <c r="K1540" s="129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s="129" t="s">
        <v>2008</v>
      </c>
      <c r="B1541" s="129" t="s">
        <v>51</v>
      </c>
      <c r="C1541" s="129" t="s">
        <v>8</v>
      </c>
      <c r="D1541">
        <v>0.33</v>
      </c>
      <c r="E1541">
        <v>3.3001</v>
      </c>
      <c r="F1541">
        <v>1.0000000000000001E-5</v>
      </c>
      <c r="G1541" s="129" t="s">
        <v>6</v>
      </c>
      <c r="H1541" s="129" t="s">
        <v>4</v>
      </c>
      <c r="I1541">
        <v>20</v>
      </c>
      <c r="J1541">
        <v>50.01</v>
      </c>
      <c r="K1541" s="129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s="129" t="s">
        <v>2010</v>
      </c>
      <c r="B1542" s="129" t="s">
        <v>51</v>
      </c>
      <c r="C1542" s="129" t="s">
        <v>8</v>
      </c>
      <c r="D1542">
        <v>0.33</v>
      </c>
      <c r="E1542">
        <v>3.3001</v>
      </c>
      <c r="F1542">
        <v>1.0000000000000001E-5</v>
      </c>
      <c r="G1542" s="129" t="s">
        <v>6</v>
      </c>
      <c r="H1542" s="129" t="s">
        <v>4</v>
      </c>
      <c r="I1542">
        <v>50</v>
      </c>
      <c r="J1542">
        <v>100.01</v>
      </c>
      <c r="K1542" s="129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s="129" t="s">
        <v>1506</v>
      </c>
      <c r="B1543" s="129" t="s">
        <v>51</v>
      </c>
      <c r="C1543" s="129" t="s">
        <v>8</v>
      </c>
      <c r="D1543">
        <v>0.33</v>
      </c>
      <c r="E1543">
        <v>3.3001</v>
      </c>
      <c r="F1543">
        <v>1.0000000000000001E-5</v>
      </c>
      <c r="G1543" s="129" t="s">
        <v>6</v>
      </c>
      <c r="H1543" s="129" t="s">
        <v>4</v>
      </c>
      <c r="I1543">
        <v>100</v>
      </c>
      <c r="J1543">
        <v>500</v>
      </c>
      <c r="K1543" s="129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s="129" t="s">
        <v>1505</v>
      </c>
      <c r="B1544" s="129" t="s">
        <v>51</v>
      </c>
      <c r="C1544" s="129" t="s">
        <v>8</v>
      </c>
      <c r="D1544">
        <v>0.33</v>
      </c>
      <c r="E1544">
        <v>3.3001</v>
      </c>
      <c r="F1544">
        <v>1.0000000000000001E-5</v>
      </c>
      <c r="G1544" s="129" t="s">
        <v>6</v>
      </c>
      <c r="H1544" s="129" t="s">
        <v>4</v>
      </c>
      <c r="I1544">
        <v>500</v>
      </c>
      <c r="J1544">
        <v>501</v>
      </c>
      <c r="K1544" s="129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s="129" t="s">
        <v>1438</v>
      </c>
      <c r="B1545" s="129" t="s">
        <v>51</v>
      </c>
      <c r="C1545" s="129" t="s">
        <v>8</v>
      </c>
      <c r="D1545">
        <v>0</v>
      </c>
      <c r="E1545">
        <v>3.3009999999999998E-2</v>
      </c>
      <c r="F1545">
        <v>1E-4</v>
      </c>
      <c r="G1545" s="129" t="s">
        <v>6</v>
      </c>
      <c r="H1545" s="129" t="s">
        <v>5</v>
      </c>
      <c r="I1545">
        <v>0.01</v>
      </c>
      <c r="J1545">
        <v>4.5010000000000001E-2</v>
      </c>
      <c r="K1545" s="129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s="129" t="s">
        <v>1437</v>
      </c>
      <c r="B1546" s="129" t="s">
        <v>51</v>
      </c>
      <c r="C1546" s="129" t="s">
        <v>8</v>
      </c>
      <c r="D1546">
        <v>0</v>
      </c>
      <c r="E1546">
        <v>3.3009999999999998E-2</v>
      </c>
      <c r="F1546">
        <v>1E-4</v>
      </c>
      <c r="G1546" s="129" t="s">
        <v>6</v>
      </c>
      <c r="H1546" s="129" t="s">
        <v>5</v>
      </c>
      <c r="I1546">
        <v>4.4999999999999998E-2</v>
      </c>
      <c r="J1546">
        <v>10.00001</v>
      </c>
      <c r="K1546" s="129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s="129" t="s">
        <v>1440</v>
      </c>
      <c r="B1547" s="129" t="s">
        <v>51</v>
      </c>
      <c r="C1547" s="129" t="s">
        <v>8</v>
      </c>
      <c r="D1547">
        <v>0</v>
      </c>
      <c r="E1547">
        <v>3.3009999999999998E-2</v>
      </c>
      <c r="F1547">
        <v>1E-4</v>
      </c>
      <c r="G1547" s="129" t="s">
        <v>6</v>
      </c>
      <c r="H1547" s="129" t="s">
        <v>5</v>
      </c>
      <c r="I1547">
        <v>10</v>
      </c>
      <c r="J1547">
        <v>20.010000000000002</v>
      </c>
      <c r="K1547" s="129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s="129" t="s">
        <v>1441</v>
      </c>
      <c r="B1548" s="129" t="s">
        <v>51</v>
      </c>
      <c r="C1548" s="129" t="s">
        <v>8</v>
      </c>
      <c r="D1548">
        <v>0</v>
      </c>
      <c r="E1548">
        <v>3.3009999999999998E-2</v>
      </c>
      <c r="F1548">
        <v>1E-4</v>
      </c>
      <c r="G1548" s="129" t="s">
        <v>6</v>
      </c>
      <c r="H1548" s="129" t="s">
        <v>5</v>
      </c>
      <c r="I1548">
        <v>20</v>
      </c>
      <c r="J1548">
        <v>50.01</v>
      </c>
      <c r="K1548" s="129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s="129" t="s">
        <v>1436</v>
      </c>
      <c r="B1549" s="129" t="s">
        <v>51</v>
      </c>
      <c r="C1549" s="129" t="s">
        <v>8</v>
      </c>
      <c r="D1549">
        <v>0</v>
      </c>
      <c r="E1549">
        <v>3.3009999999999998E-2</v>
      </c>
      <c r="F1549">
        <v>1E-4</v>
      </c>
      <c r="G1549" s="129" t="s">
        <v>6</v>
      </c>
      <c r="H1549" s="129" t="s">
        <v>5</v>
      </c>
      <c r="I1549">
        <v>50</v>
      </c>
      <c r="J1549">
        <v>100.01</v>
      </c>
      <c r="K1549" s="12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s="129" t="s">
        <v>1439</v>
      </c>
      <c r="B1550" s="129" t="s">
        <v>51</v>
      </c>
      <c r="C1550" s="129" t="s">
        <v>8</v>
      </c>
      <c r="D1550">
        <v>0</v>
      </c>
      <c r="E1550">
        <v>3.3009999999999998E-2</v>
      </c>
      <c r="F1550">
        <v>1E-4</v>
      </c>
      <c r="G1550" s="129" t="s">
        <v>6</v>
      </c>
      <c r="H1550" s="129" t="s">
        <v>5</v>
      </c>
      <c r="I1550">
        <v>100</v>
      </c>
      <c r="J1550">
        <v>500</v>
      </c>
      <c r="K1550" s="129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s="129" t="s">
        <v>1442</v>
      </c>
      <c r="B1551" s="129" t="s">
        <v>51</v>
      </c>
      <c r="C1551" s="129" t="s">
        <v>8</v>
      </c>
      <c r="D1551">
        <v>0</v>
      </c>
      <c r="E1551">
        <v>3.3009999999999998E-2</v>
      </c>
      <c r="F1551">
        <v>1E-4</v>
      </c>
      <c r="G1551" s="129" t="s">
        <v>6</v>
      </c>
      <c r="H1551" s="129" t="s">
        <v>5</v>
      </c>
      <c r="I1551">
        <v>500</v>
      </c>
      <c r="J1551">
        <v>501</v>
      </c>
      <c r="K1551" s="129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s="129" t="s">
        <v>1486</v>
      </c>
      <c r="B1552" s="129" t="s">
        <v>51</v>
      </c>
      <c r="C1552" s="129" t="s">
        <v>8</v>
      </c>
      <c r="D1552">
        <v>3.3000000000000002E-2</v>
      </c>
      <c r="E1552">
        <v>0.33001000000000003</v>
      </c>
      <c r="F1552">
        <v>1E-4</v>
      </c>
      <c r="G1552" s="129" t="s">
        <v>6</v>
      </c>
      <c r="H1552" s="129" t="s">
        <v>5</v>
      </c>
      <c r="I1552">
        <v>0.01</v>
      </c>
      <c r="J1552">
        <v>4.5010000000000001E-2</v>
      </c>
      <c r="K1552" s="129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s="129" t="s">
        <v>1488</v>
      </c>
      <c r="B1553" s="129" t="s">
        <v>51</v>
      </c>
      <c r="C1553" s="129" t="s">
        <v>8</v>
      </c>
      <c r="D1553">
        <v>3.3000000000000002E-2</v>
      </c>
      <c r="E1553">
        <v>0.33001000000000003</v>
      </c>
      <c r="F1553">
        <v>1E-4</v>
      </c>
      <c r="G1553" s="129" t="s">
        <v>6</v>
      </c>
      <c r="H1553" s="129" t="s">
        <v>5</v>
      </c>
      <c r="I1553">
        <v>4.4999999999999998E-2</v>
      </c>
      <c r="J1553">
        <v>10.00001</v>
      </c>
      <c r="K1553" s="129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s="129" t="s">
        <v>2003</v>
      </c>
      <c r="B1554" s="129" t="s">
        <v>51</v>
      </c>
      <c r="C1554" s="129" t="s">
        <v>8</v>
      </c>
      <c r="D1554">
        <v>3.3000000000000002E-2</v>
      </c>
      <c r="E1554">
        <v>0.33001000000000003</v>
      </c>
      <c r="F1554">
        <v>1E-4</v>
      </c>
      <c r="G1554" s="129" t="s">
        <v>6</v>
      </c>
      <c r="H1554" s="129" t="s">
        <v>5</v>
      </c>
      <c r="I1554">
        <v>10</v>
      </c>
      <c r="J1554">
        <v>20.010000000000002</v>
      </c>
      <c r="K1554" s="129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s="129" t="s">
        <v>1490</v>
      </c>
      <c r="B1555" s="129" t="s">
        <v>51</v>
      </c>
      <c r="C1555" s="129" t="s">
        <v>8</v>
      </c>
      <c r="D1555">
        <v>3.3000000000000002E-2</v>
      </c>
      <c r="E1555">
        <v>0.33001000000000003</v>
      </c>
      <c r="F1555">
        <v>1E-4</v>
      </c>
      <c r="G1555" s="129" t="s">
        <v>6</v>
      </c>
      <c r="H1555" s="129" t="s">
        <v>5</v>
      </c>
      <c r="I1555">
        <v>20</v>
      </c>
      <c r="J1555">
        <v>50.01</v>
      </c>
      <c r="K1555" s="129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s="129" t="s">
        <v>2006</v>
      </c>
      <c r="B1556" s="129" t="s">
        <v>51</v>
      </c>
      <c r="C1556" s="129" t="s">
        <v>8</v>
      </c>
      <c r="D1556">
        <v>3.3000000000000002E-2</v>
      </c>
      <c r="E1556">
        <v>0.33001000000000003</v>
      </c>
      <c r="F1556">
        <v>1E-4</v>
      </c>
      <c r="G1556" s="129" t="s">
        <v>6</v>
      </c>
      <c r="H1556" s="129" t="s">
        <v>5</v>
      </c>
      <c r="I1556">
        <v>50</v>
      </c>
      <c r="J1556">
        <v>100.01</v>
      </c>
      <c r="K1556" s="129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s="129" t="s">
        <v>1489</v>
      </c>
      <c r="B1557" s="129" t="s">
        <v>51</v>
      </c>
      <c r="C1557" s="129" t="s">
        <v>8</v>
      </c>
      <c r="D1557">
        <v>3.3000000000000002E-2</v>
      </c>
      <c r="E1557">
        <v>0.33001000000000003</v>
      </c>
      <c r="F1557">
        <v>1E-4</v>
      </c>
      <c r="G1557" s="129" t="s">
        <v>6</v>
      </c>
      <c r="H1557" s="129" t="s">
        <v>5</v>
      </c>
      <c r="I1557">
        <v>100</v>
      </c>
      <c r="J1557">
        <v>500</v>
      </c>
      <c r="K1557" s="129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s="129" t="s">
        <v>1487</v>
      </c>
      <c r="B1558" s="129" t="s">
        <v>51</v>
      </c>
      <c r="C1558" s="129" t="s">
        <v>8</v>
      </c>
      <c r="D1558">
        <v>3.3000000000000002E-2</v>
      </c>
      <c r="E1558">
        <v>0.33001000000000003</v>
      </c>
      <c r="F1558">
        <v>1E-4</v>
      </c>
      <c r="G1558" s="129" t="s">
        <v>6</v>
      </c>
      <c r="H1558" s="129" t="s">
        <v>5</v>
      </c>
      <c r="I1558">
        <v>500</v>
      </c>
      <c r="J1558">
        <v>501</v>
      </c>
      <c r="K1558" s="129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s="129" t="s">
        <v>1509</v>
      </c>
      <c r="B1559" s="129" t="s">
        <v>51</v>
      </c>
      <c r="C1559" s="129" t="s">
        <v>8</v>
      </c>
      <c r="D1559">
        <v>0.33</v>
      </c>
      <c r="E1559">
        <v>3.3001</v>
      </c>
      <c r="F1559">
        <v>1E-4</v>
      </c>
      <c r="G1559" s="129" t="s">
        <v>6</v>
      </c>
      <c r="H1559" s="129" t="s">
        <v>4</v>
      </c>
      <c r="I1559">
        <v>0.01</v>
      </c>
      <c r="J1559">
        <v>4.5010000000000001E-2</v>
      </c>
      <c r="K1559" s="12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s="129" t="s">
        <v>2650</v>
      </c>
      <c r="B1560" s="129" t="s">
        <v>51</v>
      </c>
      <c r="C1560" s="129" t="s">
        <v>8</v>
      </c>
      <c r="D1560">
        <v>0.33</v>
      </c>
      <c r="E1560">
        <v>3.3001</v>
      </c>
      <c r="F1560">
        <v>1E-4</v>
      </c>
      <c r="G1560" s="129" t="s">
        <v>6</v>
      </c>
      <c r="H1560" s="129" t="s">
        <v>4</v>
      </c>
      <c r="I1560">
        <v>4.4999999999999998E-2</v>
      </c>
      <c r="J1560">
        <v>10.00001</v>
      </c>
      <c r="K1560" s="129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s="129" t="s">
        <v>1508</v>
      </c>
      <c r="B1561" s="129" t="s">
        <v>51</v>
      </c>
      <c r="C1561" s="129" t="s">
        <v>8</v>
      </c>
      <c r="D1561">
        <v>0.33</v>
      </c>
      <c r="E1561">
        <v>3.3001</v>
      </c>
      <c r="F1561">
        <v>1E-4</v>
      </c>
      <c r="G1561" s="129" t="s">
        <v>6</v>
      </c>
      <c r="H1561" s="129" t="s">
        <v>4</v>
      </c>
      <c r="I1561">
        <v>10</v>
      </c>
      <c r="J1561">
        <v>20.010000000000002</v>
      </c>
      <c r="K1561" s="129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s="129" t="s">
        <v>1507</v>
      </c>
      <c r="B1562" s="129" t="s">
        <v>51</v>
      </c>
      <c r="C1562" s="129" t="s">
        <v>8</v>
      </c>
      <c r="D1562">
        <v>0.33</v>
      </c>
      <c r="E1562">
        <v>3.3001</v>
      </c>
      <c r="F1562">
        <v>1E-4</v>
      </c>
      <c r="G1562" s="129" t="s">
        <v>6</v>
      </c>
      <c r="H1562" s="129" t="s">
        <v>4</v>
      </c>
      <c r="I1562">
        <v>20</v>
      </c>
      <c r="J1562">
        <v>50.01</v>
      </c>
      <c r="K1562" s="129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s="129" t="s">
        <v>1510</v>
      </c>
      <c r="B1563" s="129" t="s">
        <v>51</v>
      </c>
      <c r="C1563" s="129" t="s">
        <v>8</v>
      </c>
      <c r="D1563">
        <v>0.33</v>
      </c>
      <c r="E1563">
        <v>3.3001</v>
      </c>
      <c r="F1563">
        <v>1E-4</v>
      </c>
      <c r="G1563" s="129" t="s">
        <v>6</v>
      </c>
      <c r="H1563" s="129" t="s">
        <v>4</v>
      </c>
      <c r="I1563">
        <v>50</v>
      </c>
      <c r="J1563">
        <v>100.01</v>
      </c>
      <c r="K1563" s="129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s="129" t="s">
        <v>2012</v>
      </c>
      <c r="B1564" s="129" t="s">
        <v>51</v>
      </c>
      <c r="C1564" s="129" t="s">
        <v>8</v>
      </c>
      <c r="D1564">
        <v>0.33</v>
      </c>
      <c r="E1564">
        <v>3.3001</v>
      </c>
      <c r="F1564">
        <v>1E-4</v>
      </c>
      <c r="G1564" s="129" t="s">
        <v>6</v>
      </c>
      <c r="H1564" s="129" t="s">
        <v>4</v>
      </c>
      <c r="I1564">
        <v>100</v>
      </c>
      <c r="J1564">
        <v>500</v>
      </c>
      <c r="K1564" s="129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s="129" t="s">
        <v>2013</v>
      </c>
      <c r="B1565" s="129" t="s">
        <v>51</v>
      </c>
      <c r="C1565" s="129" t="s">
        <v>8</v>
      </c>
      <c r="D1565">
        <v>0.33</v>
      </c>
      <c r="E1565">
        <v>3.3001</v>
      </c>
      <c r="F1565">
        <v>1E-4</v>
      </c>
      <c r="G1565" s="129" t="s">
        <v>6</v>
      </c>
      <c r="H1565" s="129" t="s">
        <v>4</v>
      </c>
      <c r="I1565">
        <v>500</v>
      </c>
      <c r="J1565">
        <v>501</v>
      </c>
      <c r="K1565" s="129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s="129" t="s">
        <v>2644</v>
      </c>
      <c r="B1566" s="129" t="s">
        <v>51</v>
      </c>
      <c r="C1566" s="129" t="s">
        <v>8</v>
      </c>
      <c r="D1566">
        <v>3.3</v>
      </c>
      <c r="E1566">
        <v>33.000999999999998</v>
      </c>
      <c r="F1566">
        <v>1E-4</v>
      </c>
      <c r="G1566" s="129" t="s">
        <v>6</v>
      </c>
      <c r="H1566" s="129" t="s">
        <v>4</v>
      </c>
      <c r="I1566">
        <v>0.01</v>
      </c>
      <c r="J1566">
        <v>4.5010000000000001E-2</v>
      </c>
      <c r="K1566" s="129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s="129" t="s">
        <v>1530</v>
      </c>
      <c r="B1567" s="129" t="s">
        <v>51</v>
      </c>
      <c r="C1567" s="129" t="s">
        <v>8</v>
      </c>
      <c r="D1567">
        <v>3.3</v>
      </c>
      <c r="E1567">
        <v>33.000999999999998</v>
      </c>
      <c r="F1567">
        <v>1E-4</v>
      </c>
      <c r="G1567" s="129" t="s">
        <v>6</v>
      </c>
      <c r="H1567" s="129" t="s">
        <v>4</v>
      </c>
      <c r="I1567">
        <v>4.4999999999999998E-2</v>
      </c>
      <c r="J1567">
        <v>10.00001</v>
      </c>
      <c r="K1567" s="129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s="129" t="s">
        <v>2016</v>
      </c>
      <c r="B1568" s="129" t="s">
        <v>51</v>
      </c>
      <c r="C1568" s="129" t="s">
        <v>8</v>
      </c>
      <c r="D1568">
        <v>3.3</v>
      </c>
      <c r="E1568">
        <v>33.000999999999998</v>
      </c>
      <c r="F1568">
        <v>1E-4</v>
      </c>
      <c r="G1568" s="129" t="s">
        <v>6</v>
      </c>
      <c r="H1568" s="129" t="s">
        <v>4</v>
      </c>
      <c r="I1568">
        <v>10</v>
      </c>
      <c r="J1568">
        <v>20.010000000000002</v>
      </c>
      <c r="K1568" s="129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s="129" t="s">
        <v>1528</v>
      </c>
      <c r="B1569" s="129" t="s">
        <v>51</v>
      </c>
      <c r="C1569" s="129" t="s">
        <v>8</v>
      </c>
      <c r="D1569">
        <v>3.3</v>
      </c>
      <c r="E1569">
        <v>33.000999999999998</v>
      </c>
      <c r="F1569">
        <v>1E-4</v>
      </c>
      <c r="G1569" s="129" t="s">
        <v>6</v>
      </c>
      <c r="H1569" s="129" t="s">
        <v>4</v>
      </c>
      <c r="I1569">
        <v>20</v>
      </c>
      <c r="J1569">
        <v>50.01</v>
      </c>
      <c r="K1569" s="12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s="129" t="s">
        <v>1527</v>
      </c>
      <c r="B1570" s="129" t="s">
        <v>51</v>
      </c>
      <c r="C1570" s="129" t="s">
        <v>8</v>
      </c>
      <c r="D1570">
        <v>3.3</v>
      </c>
      <c r="E1570">
        <v>33.000999999999998</v>
      </c>
      <c r="F1570">
        <v>1E-4</v>
      </c>
      <c r="G1570" s="129" t="s">
        <v>6</v>
      </c>
      <c r="H1570" s="129" t="s">
        <v>4</v>
      </c>
      <c r="I1570">
        <v>50</v>
      </c>
      <c r="J1570">
        <v>100.01</v>
      </c>
      <c r="K1570" s="129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s="129" t="s">
        <v>1529</v>
      </c>
      <c r="B1571" s="129" t="s">
        <v>51</v>
      </c>
      <c r="C1571" s="129" t="s">
        <v>8</v>
      </c>
      <c r="D1571">
        <v>3.3</v>
      </c>
      <c r="E1571">
        <v>33.000999999999998</v>
      </c>
      <c r="F1571">
        <v>1E-4</v>
      </c>
      <c r="G1571" s="129" t="s">
        <v>6</v>
      </c>
      <c r="H1571" s="129" t="s">
        <v>4</v>
      </c>
      <c r="I1571">
        <v>100</v>
      </c>
      <c r="J1571">
        <v>500</v>
      </c>
      <c r="K1571" s="129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s="129" t="s">
        <v>2022</v>
      </c>
      <c r="B1572" s="129" t="s">
        <v>51</v>
      </c>
      <c r="C1572" s="129" t="s">
        <v>8</v>
      </c>
      <c r="D1572">
        <v>3.3</v>
      </c>
      <c r="E1572">
        <v>33.000999999999998</v>
      </c>
      <c r="F1572">
        <v>1E-4</v>
      </c>
      <c r="G1572" s="129" t="s">
        <v>6</v>
      </c>
      <c r="H1572" s="129" t="s">
        <v>4</v>
      </c>
      <c r="I1572">
        <v>500</v>
      </c>
      <c r="J1572">
        <v>501</v>
      </c>
      <c r="K1572" s="129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s="129" t="s">
        <v>1449</v>
      </c>
      <c r="B1573" s="129" t="s">
        <v>51</v>
      </c>
      <c r="C1573" s="129" t="s">
        <v>8</v>
      </c>
      <c r="D1573">
        <v>0</v>
      </c>
      <c r="E1573">
        <v>3.3009999999999998E-2</v>
      </c>
      <c r="F1573">
        <v>1E-3</v>
      </c>
      <c r="G1573" s="129" t="s">
        <v>6</v>
      </c>
      <c r="H1573" s="129" t="s">
        <v>5</v>
      </c>
      <c r="I1573">
        <v>0.01</v>
      </c>
      <c r="J1573">
        <v>4.5010000000000001E-2</v>
      </c>
      <c r="K1573" s="129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s="129" t="s">
        <v>1443</v>
      </c>
      <c r="B1574" s="129" t="s">
        <v>51</v>
      </c>
      <c r="C1574" s="129" t="s">
        <v>8</v>
      </c>
      <c r="D1574">
        <v>0</v>
      </c>
      <c r="E1574">
        <v>3.3009999999999998E-2</v>
      </c>
      <c r="F1574">
        <v>1E-3</v>
      </c>
      <c r="G1574" s="129" t="s">
        <v>6</v>
      </c>
      <c r="H1574" s="129" t="s">
        <v>5</v>
      </c>
      <c r="I1574">
        <v>4.4999999999999998E-2</v>
      </c>
      <c r="J1574">
        <v>10.00001</v>
      </c>
      <c r="K1574" s="129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s="129" t="s">
        <v>1448</v>
      </c>
      <c r="B1575" s="129" t="s">
        <v>51</v>
      </c>
      <c r="C1575" s="129" t="s">
        <v>8</v>
      </c>
      <c r="D1575">
        <v>0</v>
      </c>
      <c r="E1575">
        <v>3.3009999999999998E-2</v>
      </c>
      <c r="F1575">
        <v>1E-3</v>
      </c>
      <c r="G1575" s="129" t="s">
        <v>6</v>
      </c>
      <c r="H1575" s="129" t="s">
        <v>5</v>
      </c>
      <c r="I1575">
        <v>10</v>
      </c>
      <c r="J1575">
        <v>20.010000000000002</v>
      </c>
      <c r="K1575" s="129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s="129" t="s">
        <v>1444</v>
      </c>
      <c r="B1576" s="129" t="s">
        <v>51</v>
      </c>
      <c r="C1576" s="129" t="s">
        <v>8</v>
      </c>
      <c r="D1576">
        <v>0</v>
      </c>
      <c r="E1576">
        <v>3.3009999999999998E-2</v>
      </c>
      <c r="F1576">
        <v>1E-3</v>
      </c>
      <c r="G1576" s="129" t="s">
        <v>6</v>
      </c>
      <c r="H1576" s="129" t="s">
        <v>5</v>
      </c>
      <c r="I1576">
        <v>20</v>
      </c>
      <c r="J1576">
        <v>50.01</v>
      </c>
      <c r="K1576" s="129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s="129" t="s">
        <v>1445</v>
      </c>
      <c r="B1577" s="129" t="s">
        <v>51</v>
      </c>
      <c r="C1577" s="129" t="s">
        <v>8</v>
      </c>
      <c r="D1577">
        <v>0</v>
      </c>
      <c r="E1577">
        <v>3.3009999999999998E-2</v>
      </c>
      <c r="F1577">
        <v>1E-3</v>
      </c>
      <c r="G1577" s="129" t="s">
        <v>6</v>
      </c>
      <c r="H1577" s="129" t="s">
        <v>5</v>
      </c>
      <c r="I1577">
        <v>50</v>
      </c>
      <c r="J1577">
        <v>100.01</v>
      </c>
      <c r="K1577" s="129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s="129" t="s">
        <v>1446</v>
      </c>
      <c r="B1578" s="129" t="s">
        <v>51</v>
      </c>
      <c r="C1578" s="129" t="s">
        <v>8</v>
      </c>
      <c r="D1578">
        <v>0</v>
      </c>
      <c r="E1578">
        <v>3.3009999999999998E-2</v>
      </c>
      <c r="F1578">
        <v>1E-3</v>
      </c>
      <c r="G1578" s="129" t="s">
        <v>6</v>
      </c>
      <c r="H1578" s="129" t="s">
        <v>5</v>
      </c>
      <c r="I1578">
        <v>100</v>
      </c>
      <c r="J1578">
        <v>500</v>
      </c>
      <c r="K1578" s="129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s="129" t="s">
        <v>1447</v>
      </c>
      <c r="B1579" s="129" t="s">
        <v>51</v>
      </c>
      <c r="C1579" s="129" t="s">
        <v>8</v>
      </c>
      <c r="D1579">
        <v>0</v>
      </c>
      <c r="E1579">
        <v>3.3009999999999998E-2</v>
      </c>
      <c r="F1579">
        <v>1E-3</v>
      </c>
      <c r="G1579" s="129" t="s">
        <v>6</v>
      </c>
      <c r="H1579" s="129" t="s">
        <v>5</v>
      </c>
      <c r="I1579">
        <v>500</v>
      </c>
      <c r="J1579">
        <v>501</v>
      </c>
      <c r="K1579" s="12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s="129" t="s">
        <v>1491</v>
      </c>
      <c r="B1580" s="129" t="s">
        <v>51</v>
      </c>
      <c r="C1580" s="129" t="s">
        <v>8</v>
      </c>
      <c r="D1580">
        <v>3.3000000000000002E-2</v>
      </c>
      <c r="E1580">
        <v>0.33001000000000003</v>
      </c>
      <c r="F1580">
        <v>1E-3</v>
      </c>
      <c r="G1580" s="129" t="s">
        <v>6</v>
      </c>
      <c r="H1580" s="129" t="s">
        <v>5</v>
      </c>
      <c r="I1580">
        <v>0.01</v>
      </c>
      <c r="J1580">
        <v>4.5010000000000001E-2</v>
      </c>
      <c r="K1580" s="129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s="129" t="s">
        <v>1493</v>
      </c>
      <c r="B1581" s="129" t="s">
        <v>51</v>
      </c>
      <c r="C1581" s="129" t="s">
        <v>8</v>
      </c>
      <c r="D1581">
        <v>3.3000000000000002E-2</v>
      </c>
      <c r="E1581">
        <v>0.33001000000000003</v>
      </c>
      <c r="F1581">
        <v>1E-3</v>
      </c>
      <c r="G1581" s="129" t="s">
        <v>6</v>
      </c>
      <c r="H1581" s="129" t="s">
        <v>5</v>
      </c>
      <c r="I1581">
        <v>4.4999999999999998E-2</v>
      </c>
      <c r="J1581">
        <v>10.00001</v>
      </c>
      <c r="K1581" s="129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s="129" t="s">
        <v>2004</v>
      </c>
      <c r="B1582" s="129" t="s">
        <v>51</v>
      </c>
      <c r="C1582" s="129" t="s">
        <v>8</v>
      </c>
      <c r="D1582">
        <v>3.3000000000000002E-2</v>
      </c>
      <c r="E1582">
        <v>0.33001000000000003</v>
      </c>
      <c r="F1582">
        <v>1E-3</v>
      </c>
      <c r="G1582" s="129" t="s">
        <v>6</v>
      </c>
      <c r="H1582" s="129" t="s">
        <v>5</v>
      </c>
      <c r="I1582">
        <v>10</v>
      </c>
      <c r="J1582">
        <v>20.010000000000002</v>
      </c>
      <c r="K1582" s="129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s="129" t="s">
        <v>1496</v>
      </c>
      <c r="B1583" s="129" t="s">
        <v>51</v>
      </c>
      <c r="C1583" s="129" t="s">
        <v>8</v>
      </c>
      <c r="D1583">
        <v>3.3000000000000002E-2</v>
      </c>
      <c r="E1583">
        <v>0.33001000000000003</v>
      </c>
      <c r="F1583">
        <v>1E-3</v>
      </c>
      <c r="G1583" s="129" t="s">
        <v>6</v>
      </c>
      <c r="H1583" s="129" t="s">
        <v>5</v>
      </c>
      <c r="I1583">
        <v>20</v>
      </c>
      <c r="J1583">
        <v>50.01</v>
      </c>
      <c r="K1583" s="129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s="129" t="s">
        <v>1494</v>
      </c>
      <c r="B1584" s="129" t="s">
        <v>51</v>
      </c>
      <c r="C1584" s="129" t="s">
        <v>8</v>
      </c>
      <c r="D1584">
        <v>3.3000000000000002E-2</v>
      </c>
      <c r="E1584">
        <v>0.33001000000000003</v>
      </c>
      <c r="F1584">
        <v>1E-3</v>
      </c>
      <c r="G1584" s="129" t="s">
        <v>6</v>
      </c>
      <c r="H1584" s="129" t="s">
        <v>5</v>
      </c>
      <c r="I1584">
        <v>50</v>
      </c>
      <c r="J1584">
        <v>100.01</v>
      </c>
      <c r="K1584" s="129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s="129" t="s">
        <v>1495</v>
      </c>
      <c r="B1585" s="129" t="s">
        <v>51</v>
      </c>
      <c r="C1585" s="129" t="s">
        <v>8</v>
      </c>
      <c r="D1585">
        <v>3.3000000000000002E-2</v>
      </c>
      <c r="E1585">
        <v>0.33001000000000003</v>
      </c>
      <c r="F1585">
        <v>1E-3</v>
      </c>
      <c r="G1585" s="129" t="s">
        <v>6</v>
      </c>
      <c r="H1585" s="129" t="s">
        <v>5</v>
      </c>
      <c r="I1585">
        <v>100</v>
      </c>
      <c r="J1585">
        <v>500</v>
      </c>
      <c r="K1585" s="129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s="129" t="s">
        <v>1492</v>
      </c>
      <c r="B1586" s="129" t="s">
        <v>51</v>
      </c>
      <c r="C1586" s="129" t="s">
        <v>8</v>
      </c>
      <c r="D1586">
        <v>3.3000000000000002E-2</v>
      </c>
      <c r="E1586">
        <v>0.33001000000000003</v>
      </c>
      <c r="F1586">
        <v>1E-3</v>
      </c>
      <c r="G1586" s="129" t="s">
        <v>6</v>
      </c>
      <c r="H1586" s="129" t="s">
        <v>5</v>
      </c>
      <c r="I1586">
        <v>500</v>
      </c>
      <c r="J1586">
        <v>501</v>
      </c>
      <c r="K1586" s="129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s="129" t="s">
        <v>1513</v>
      </c>
      <c r="B1587" s="129" t="s">
        <v>51</v>
      </c>
      <c r="C1587" s="129" t="s">
        <v>8</v>
      </c>
      <c r="D1587">
        <v>0.33</v>
      </c>
      <c r="E1587">
        <v>3.3001</v>
      </c>
      <c r="F1587">
        <v>1E-3</v>
      </c>
      <c r="G1587" s="129" t="s">
        <v>6</v>
      </c>
      <c r="H1587" s="129" t="s">
        <v>4</v>
      </c>
      <c r="I1587">
        <v>0.01</v>
      </c>
      <c r="J1587">
        <v>4.5010000000000001E-2</v>
      </c>
      <c r="K1587" s="129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s="129" t="s">
        <v>1512</v>
      </c>
      <c r="B1588" s="129" t="s">
        <v>51</v>
      </c>
      <c r="C1588" s="129" t="s">
        <v>8</v>
      </c>
      <c r="D1588">
        <v>0.33</v>
      </c>
      <c r="E1588">
        <v>3.3001</v>
      </c>
      <c r="F1588">
        <v>1E-3</v>
      </c>
      <c r="G1588" s="129" t="s">
        <v>6</v>
      </c>
      <c r="H1588" s="129" t="s">
        <v>4</v>
      </c>
      <c r="I1588">
        <v>4.4999999999999998E-2</v>
      </c>
      <c r="J1588">
        <v>10.00001</v>
      </c>
      <c r="K1588" s="129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s="129" t="s">
        <v>1516</v>
      </c>
      <c r="B1589" s="129" t="s">
        <v>51</v>
      </c>
      <c r="C1589" s="129" t="s">
        <v>8</v>
      </c>
      <c r="D1589">
        <v>0.33</v>
      </c>
      <c r="E1589">
        <v>3.3001</v>
      </c>
      <c r="F1589">
        <v>1E-3</v>
      </c>
      <c r="G1589" s="129" t="s">
        <v>6</v>
      </c>
      <c r="H1589" s="129" t="s">
        <v>4</v>
      </c>
      <c r="I1589">
        <v>10</v>
      </c>
      <c r="J1589">
        <v>20.010000000000002</v>
      </c>
      <c r="K1589" s="12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s="129" t="s">
        <v>1511</v>
      </c>
      <c r="B1590" s="129" t="s">
        <v>51</v>
      </c>
      <c r="C1590" s="129" t="s">
        <v>8</v>
      </c>
      <c r="D1590">
        <v>0.33</v>
      </c>
      <c r="E1590">
        <v>3.3001</v>
      </c>
      <c r="F1590">
        <v>1E-3</v>
      </c>
      <c r="G1590" s="129" t="s">
        <v>6</v>
      </c>
      <c r="H1590" s="129" t="s">
        <v>4</v>
      </c>
      <c r="I1590">
        <v>20</v>
      </c>
      <c r="J1590">
        <v>50.01</v>
      </c>
      <c r="K1590" s="129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s="129" t="s">
        <v>1514</v>
      </c>
      <c r="B1591" s="129" t="s">
        <v>51</v>
      </c>
      <c r="C1591" s="129" t="s">
        <v>8</v>
      </c>
      <c r="D1591">
        <v>0.33</v>
      </c>
      <c r="E1591">
        <v>3.3001</v>
      </c>
      <c r="F1591">
        <v>1E-3</v>
      </c>
      <c r="G1591" s="129" t="s">
        <v>6</v>
      </c>
      <c r="H1591" s="129" t="s">
        <v>4</v>
      </c>
      <c r="I1591">
        <v>50</v>
      </c>
      <c r="J1591">
        <v>100.01</v>
      </c>
      <c r="K1591" s="129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s="129" t="s">
        <v>1515</v>
      </c>
      <c r="B1592" s="129" t="s">
        <v>51</v>
      </c>
      <c r="C1592" s="129" t="s">
        <v>8</v>
      </c>
      <c r="D1592">
        <v>0.33</v>
      </c>
      <c r="E1592">
        <v>3.3001</v>
      </c>
      <c r="F1592">
        <v>1E-3</v>
      </c>
      <c r="G1592" s="129" t="s">
        <v>6</v>
      </c>
      <c r="H1592" s="129" t="s">
        <v>4</v>
      </c>
      <c r="I1592">
        <v>100</v>
      </c>
      <c r="J1592">
        <v>500</v>
      </c>
      <c r="K1592" s="129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s="129" t="s">
        <v>2014</v>
      </c>
      <c r="B1593" s="129" t="s">
        <v>51</v>
      </c>
      <c r="C1593" s="129" t="s">
        <v>8</v>
      </c>
      <c r="D1593">
        <v>0.33</v>
      </c>
      <c r="E1593">
        <v>3.3001</v>
      </c>
      <c r="F1593">
        <v>1E-3</v>
      </c>
      <c r="G1593" s="129" t="s">
        <v>6</v>
      </c>
      <c r="H1593" s="129" t="s">
        <v>4</v>
      </c>
      <c r="I1593">
        <v>500</v>
      </c>
      <c r="J1593">
        <v>501</v>
      </c>
      <c r="K1593" s="129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s="129" t="s">
        <v>1536</v>
      </c>
      <c r="B1594" s="129" t="s">
        <v>51</v>
      </c>
      <c r="C1594" s="129" t="s">
        <v>8</v>
      </c>
      <c r="D1594">
        <v>3.3</v>
      </c>
      <c r="E1594">
        <v>33.000999999999998</v>
      </c>
      <c r="F1594">
        <v>1E-3</v>
      </c>
      <c r="G1594" s="129" t="s">
        <v>6</v>
      </c>
      <c r="H1594" s="129" t="s">
        <v>4</v>
      </c>
      <c r="I1594">
        <v>0.01</v>
      </c>
      <c r="J1594">
        <v>4.5010000000000001E-2</v>
      </c>
      <c r="K1594" s="129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s="129" t="s">
        <v>1534</v>
      </c>
      <c r="B1595" s="129" t="s">
        <v>51</v>
      </c>
      <c r="C1595" s="129" t="s">
        <v>8</v>
      </c>
      <c r="D1595">
        <v>3.3</v>
      </c>
      <c r="E1595">
        <v>33.000999999999998</v>
      </c>
      <c r="F1595">
        <v>1E-3</v>
      </c>
      <c r="G1595" s="129" t="s">
        <v>6</v>
      </c>
      <c r="H1595" s="129" t="s">
        <v>4</v>
      </c>
      <c r="I1595">
        <v>4.4999999999999998E-2</v>
      </c>
      <c r="J1595">
        <v>10.00001</v>
      </c>
      <c r="K1595" s="129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s="129" t="s">
        <v>2017</v>
      </c>
      <c r="B1596" s="129" t="s">
        <v>51</v>
      </c>
      <c r="C1596" s="129" t="s">
        <v>8</v>
      </c>
      <c r="D1596">
        <v>3.3</v>
      </c>
      <c r="E1596">
        <v>33.000999999999998</v>
      </c>
      <c r="F1596">
        <v>1E-3</v>
      </c>
      <c r="G1596" s="129" t="s">
        <v>6</v>
      </c>
      <c r="H1596" s="129" t="s">
        <v>4</v>
      </c>
      <c r="I1596">
        <v>10</v>
      </c>
      <c r="J1596">
        <v>20.010000000000002</v>
      </c>
      <c r="K1596" s="129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s="129" t="s">
        <v>1533</v>
      </c>
      <c r="B1597" s="129" t="s">
        <v>51</v>
      </c>
      <c r="C1597" s="129" t="s">
        <v>8</v>
      </c>
      <c r="D1597">
        <v>3.3</v>
      </c>
      <c r="E1597">
        <v>33.000999999999998</v>
      </c>
      <c r="F1597">
        <v>1E-3</v>
      </c>
      <c r="G1597" s="129" t="s">
        <v>6</v>
      </c>
      <c r="H1597" s="129" t="s">
        <v>4</v>
      </c>
      <c r="I1597">
        <v>20</v>
      </c>
      <c r="J1597">
        <v>50.01</v>
      </c>
      <c r="K1597" s="129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s="129" t="s">
        <v>1535</v>
      </c>
      <c r="B1598" s="129" t="s">
        <v>51</v>
      </c>
      <c r="C1598" s="129" t="s">
        <v>8</v>
      </c>
      <c r="D1598">
        <v>3.3</v>
      </c>
      <c r="E1598">
        <v>33.000999999999998</v>
      </c>
      <c r="F1598">
        <v>1E-3</v>
      </c>
      <c r="G1598" s="129" t="s">
        <v>6</v>
      </c>
      <c r="H1598" s="129" t="s">
        <v>4</v>
      </c>
      <c r="I1598">
        <v>50</v>
      </c>
      <c r="J1598">
        <v>100.01</v>
      </c>
      <c r="K1598" s="129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s="129" t="s">
        <v>1531</v>
      </c>
      <c r="B1599" s="129" t="s">
        <v>51</v>
      </c>
      <c r="C1599" s="129" t="s">
        <v>8</v>
      </c>
      <c r="D1599">
        <v>3.3</v>
      </c>
      <c r="E1599">
        <v>33.000999999999998</v>
      </c>
      <c r="F1599">
        <v>1E-3</v>
      </c>
      <c r="G1599" s="129" t="s">
        <v>6</v>
      </c>
      <c r="H1599" s="129" t="s">
        <v>4</v>
      </c>
      <c r="I1599">
        <v>100</v>
      </c>
      <c r="J1599">
        <v>500</v>
      </c>
      <c r="K1599" s="12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s="129" t="s">
        <v>1532</v>
      </c>
      <c r="B1600" s="129" t="s">
        <v>51</v>
      </c>
      <c r="C1600" s="129" t="s">
        <v>8</v>
      </c>
      <c r="D1600">
        <v>3.3</v>
      </c>
      <c r="E1600">
        <v>33.000999999999998</v>
      </c>
      <c r="F1600">
        <v>1E-3</v>
      </c>
      <c r="G1600" s="129" t="s">
        <v>6</v>
      </c>
      <c r="H1600" s="129" t="s">
        <v>4</v>
      </c>
      <c r="I1600">
        <v>500</v>
      </c>
      <c r="J1600">
        <v>501</v>
      </c>
      <c r="K1600" s="129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s="129" t="s">
        <v>1555</v>
      </c>
      <c r="B1601" s="129" t="s">
        <v>51</v>
      </c>
      <c r="C1601" s="129" t="s">
        <v>8</v>
      </c>
      <c r="D1601">
        <v>33</v>
      </c>
      <c r="E1601">
        <v>330.01</v>
      </c>
      <c r="F1601">
        <v>1E-3</v>
      </c>
      <c r="G1601" s="129" t="s">
        <v>6</v>
      </c>
      <c r="H1601" s="129" t="s">
        <v>4</v>
      </c>
      <c r="I1601">
        <v>0.01</v>
      </c>
      <c r="J1601">
        <v>4.5010000000000001E-2</v>
      </c>
      <c r="K1601" s="129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s="129" t="s">
        <v>1552</v>
      </c>
      <c r="B1602" s="129" t="s">
        <v>51</v>
      </c>
      <c r="C1602" s="129" t="s">
        <v>8</v>
      </c>
      <c r="D1602">
        <v>33</v>
      </c>
      <c r="E1602">
        <v>330.01</v>
      </c>
      <c r="F1602">
        <v>1E-3</v>
      </c>
      <c r="G1602" s="129" t="s">
        <v>6</v>
      </c>
      <c r="H1602" s="129" t="s">
        <v>4</v>
      </c>
      <c r="I1602">
        <v>4.4999999999999998E-2</v>
      </c>
      <c r="J1602">
        <v>10.00001</v>
      </c>
      <c r="K1602" s="129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s="129" t="s">
        <v>1554</v>
      </c>
      <c r="B1603" s="129" t="s">
        <v>51</v>
      </c>
      <c r="C1603" s="129" t="s">
        <v>8</v>
      </c>
      <c r="D1603">
        <v>33</v>
      </c>
      <c r="E1603">
        <v>330.01</v>
      </c>
      <c r="F1603">
        <v>1E-3</v>
      </c>
      <c r="G1603" s="129" t="s">
        <v>6</v>
      </c>
      <c r="H1603" s="129" t="s">
        <v>4</v>
      </c>
      <c r="I1603">
        <v>10</v>
      </c>
      <c r="J1603">
        <v>20.010000000000002</v>
      </c>
      <c r="K1603" s="129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s="129" t="s">
        <v>1557</v>
      </c>
      <c r="B1604" s="129" t="s">
        <v>51</v>
      </c>
      <c r="C1604" s="129" t="s">
        <v>8</v>
      </c>
      <c r="D1604">
        <v>33</v>
      </c>
      <c r="E1604">
        <v>330.01</v>
      </c>
      <c r="F1604">
        <v>1E-3</v>
      </c>
      <c r="G1604" s="129" t="s">
        <v>6</v>
      </c>
      <c r="H1604" s="129" t="s">
        <v>4</v>
      </c>
      <c r="I1604">
        <v>20</v>
      </c>
      <c r="J1604">
        <v>50.01</v>
      </c>
      <c r="K1604" s="129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s="129" t="s">
        <v>1556</v>
      </c>
      <c r="B1605" s="129" t="s">
        <v>51</v>
      </c>
      <c r="C1605" s="129" t="s">
        <v>8</v>
      </c>
      <c r="D1605">
        <v>33</v>
      </c>
      <c r="E1605">
        <v>330.01</v>
      </c>
      <c r="F1605">
        <v>1E-3</v>
      </c>
      <c r="G1605" s="129" t="s">
        <v>6</v>
      </c>
      <c r="H1605" s="129" t="s">
        <v>4</v>
      </c>
      <c r="I1605">
        <v>50</v>
      </c>
      <c r="J1605">
        <v>100</v>
      </c>
      <c r="K1605" s="129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s="129" t="s">
        <v>1553</v>
      </c>
      <c r="B1606" s="129" t="s">
        <v>51</v>
      </c>
      <c r="C1606" s="129" t="s">
        <v>8</v>
      </c>
      <c r="D1606">
        <v>33</v>
      </c>
      <c r="E1606">
        <v>330.01</v>
      </c>
      <c r="F1606">
        <v>1E-3</v>
      </c>
      <c r="G1606" s="129" t="s">
        <v>6</v>
      </c>
      <c r="H1606" s="129" t="s">
        <v>4</v>
      </c>
      <c r="I1606">
        <v>100</v>
      </c>
      <c r="J1606">
        <v>100.1</v>
      </c>
      <c r="K1606" s="129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s="129" t="s">
        <v>2645</v>
      </c>
      <c r="B1607" s="129" t="s">
        <v>51</v>
      </c>
      <c r="C1607" s="129" t="s">
        <v>8</v>
      </c>
      <c r="D1607">
        <v>330</v>
      </c>
      <c r="E1607">
        <v>1020.01</v>
      </c>
      <c r="F1607">
        <v>1E-3</v>
      </c>
      <c r="G1607" s="129" t="s">
        <v>6</v>
      </c>
      <c r="H1607" s="129" t="s">
        <v>4</v>
      </c>
      <c r="I1607">
        <v>4.4999999999999998E-2</v>
      </c>
      <c r="J1607">
        <v>1.0000100000000001</v>
      </c>
      <c r="K1607" s="129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s="129" t="s">
        <v>1577</v>
      </c>
      <c r="B1608" s="129" t="s">
        <v>51</v>
      </c>
      <c r="C1608" s="129" t="s">
        <v>8</v>
      </c>
      <c r="D1608">
        <v>330</v>
      </c>
      <c r="E1608">
        <v>1020.01</v>
      </c>
      <c r="F1608">
        <v>1E-3</v>
      </c>
      <c r="G1608" s="129" t="s">
        <v>6</v>
      </c>
      <c r="H1608" s="129" t="s">
        <v>4</v>
      </c>
      <c r="I1608">
        <v>1</v>
      </c>
      <c r="J1608">
        <v>5.01</v>
      </c>
      <c r="K1608" s="129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s="129" t="s">
        <v>1576</v>
      </c>
      <c r="B1609" s="129" t="s">
        <v>51</v>
      </c>
      <c r="C1609" s="129" t="s">
        <v>8</v>
      </c>
      <c r="D1609">
        <v>330</v>
      </c>
      <c r="E1609">
        <v>1020.01</v>
      </c>
      <c r="F1609">
        <v>1E-3</v>
      </c>
      <c r="G1609" s="129" t="s">
        <v>6</v>
      </c>
      <c r="H1609" s="129" t="s">
        <v>4</v>
      </c>
      <c r="I1609">
        <v>5</v>
      </c>
      <c r="J1609">
        <v>10.01</v>
      </c>
      <c r="K1609" s="12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s="129" t="s">
        <v>1578</v>
      </c>
      <c r="B1610" s="129" t="s">
        <v>51</v>
      </c>
      <c r="C1610" s="129" t="s">
        <v>8</v>
      </c>
      <c r="D1610">
        <v>330</v>
      </c>
      <c r="E1610">
        <v>1020.01</v>
      </c>
      <c r="F1610">
        <v>1E-3</v>
      </c>
      <c r="G1610" s="129" t="s">
        <v>6</v>
      </c>
      <c r="H1610" s="129" t="s">
        <v>4</v>
      </c>
      <c r="I1610">
        <v>10</v>
      </c>
      <c r="J1610">
        <v>10.01</v>
      </c>
      <c r="K1610" s="129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s="129" t="s">
        <v>1454</v>
      </c>
      <c r="B1611" s="129" t="s">
        <v>51</v>
      </c>
      <c r="C1611" s="129" t="s">
        <v>8</v>
      </c>
      <c r="D1611">
        <v>0</v>
      </c>
      <c r="E1611">
        <v>3.3009999999999998E-2</v>
      </c>
      <c r="F1611">
        <v>0.01</v>
      </c>
      <c r="G1611" s="129" t="s">
        <v>6</v>
      </c>
      <c r="H1611" s="129" t="s">
        <v>5</v>
      </c>
      <c r="I1611">
        <v>0.01</v>
      </c>
      <c r="J1611">
        <v>4.5010000000000001E-2</v>
      </c>
      <c r="K1611" s="129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s="129" t="s">
        <v>2647</v>
      </c>
      <c r="B1612" s="129" t="s">
        <v>51</v>
      </c>
      <c r="C1612" s="129" t="s">
        <v>8</v>
      </c>
      <c r="D1612">
        <v>0</v>
      </c>
      <c r="E1612">
        <v>3.3009999999999998E-2</v>
      </c>
      <c r="F1612">
        <v>0.01</v>
      </c>
      <c r="G1612" s="129" t="s">
        <v>6</v>
      </c>
      <c r="H1612" s="129" t="s">
        <v>5</v>
      </c>
      <c r="I1612">
        <v>4.4999999999999998E-2</v>
      </c>
      <c r="J1612">
        <v>10.00001</v>
      </c>
      <c r="K1612" s="129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s="129" t="s">
        <v>1451</v>
      </c>
      <c r="B1613" s="129" t="s">
        <v>51</v>
      </c>
      <c r="C1613" s="129" t="s">
        <v>8</v>
      </c>
      <c r="D1613">
        <v>0</v>
      </c>
      <c r="E1613">
        <v>3.3009999999999998E-2</v>
      </c>
      <c r="F1613">
        <v>0.01</v>
      </c>
      <c r="G1613" s="129" t="s">
        <v>6</v>
      </c>
      <c r="H1613" s="129" t="s">
        <v>5</v>
      </c>
      <c r="I1613">
        <v>10</v>
      </c>
      <c r="J1613">
        <v>20.010000000000002</v>
      </c>
      <c r="K1613" s="129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s="129" t="s">
        <v>1452</v>
      </c>
      <c r="B1614" s="129" t="s">
        <v>51</v>
      </c>
      <c r="C1614" s="129" t="s">
        <v>8</v>
      </c>
      <c r="D1614">
        <v>0</v>
      </c>
      <c r="E1614">
        <v>3.3009999999999998E-2</v>
      </c>
      <c r="F1614">
        <v>0.01</v>
      </c>
      <c r="G1614" s="129" t="s">
        <v>6</v>
      </c>
      <c r="H1614" s="129" t="s">
        <v>5</v>
      </c>
      <c r="I1614">
        <v>20</v>
      </c>
      <c r="J1614">
        <v>50.01</v>
      </c>
      <c r="K1614" s="129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s="129" t="s">
        <v>1453</v>
      </c>
      <c r="B1615" s="129" t="s">
        <v>51</v>
      </c>
      <c r="C1615" s="129" t="s">
        <v>8</v>
      </c>
      <c r="D1615">
        <v>0</v>
      </c>
      <c r="E1615">
        <v>3.3009999999999998E-2</v>
      </c>
      <c r="F1615">
        <v>0.01</v>
      </c>
      <c r="G1615" s="129" t="s">
        <v>6</v>
      </c>
      <c r="H1615" s="129" t="s">
        <v>5</v>
      </c>
      <c r="I1615">
        <v>50</v>
      </c>
      <c r="J1615">
        <v>100.01</v>
      </c>
      <c r="K1615" s="129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s="129" t="s">
        <v>2000</v>
      </c>
      <c r="B1616" s="129" t="s">
        <v>51</v>
      </c>
      <c r="C1616" s="129" t="s">
        <v>8</v>
      </c>
      <c r="D1616">
        <v>0</v>
      </c>
      <c r="E1616">
        <v>3.3009999999999998E-2</v>
      </c>
      <c r="F1616">
        <v>0.01</v>
      </c>
      <c r="G1616" s="129" t="s">
        <v>6</v>
      </c>
      <c r="H1616" s="129" t="s">
        <v>5</v>
      </c>
      <c r="I1616">
        <v>100</v>
      </c>
      <c r="J1616">
        <v>500</v>
      </c>
      <c r="K1616" s="129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s="129" t="s">
        <v>1450</v>
      </c>
      <c r="B1617" s="129" t="s">
        <v>51</v>
      </c>
      <c r="C1617" s="129" t="s">
        <v>8</v>
      </c>
      <c r="D1617">
        <v>0</v>
      </c>
      <c r="E1617">
        <v>3.3009999999999998E-2</v>
      </c>
      <c r="F1617">
        <v>0.01</v>
      </c>
      <c r="G1617" s="129" t="s">
        <v>6</v>
      </c>
      <c r="H1617" s="129" t="s">
        <v>5</v>
      </c>
      <c r="I1617">
        <v>500</v>
      </c>
      <c r="J1617">
        <v>501</v>
      </c>
      <c r="K1617" s="129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s="129" t="s">
        <v>1497</v>
      </c>
      <c r="B1618" s="129" t="s">
        <v>51</v>
      </c>
      <c r="C1618" s="129" t="s">
        <v>8</v>
      </c>
      <c r="D1618">
        <v>3.3000000000000002E-2</v>
      </c>
      <c r="E1618">
        <v>0.33001000000000003</v>
      </c>
      <c r="F1618">
        <v>0.01</v>
      </c>
      <c r="G1618" s="129" t="s">
        <v>6</v>
      </c>
      <c r="H1618" s="129" t="s">
        <v>5</v>
      </c>
      <c r="I1618">
        <v>0.01</v>
      </c>
      <c r="J1618">
        <v>4.5010000000000001E-2</v>
      </c>
      <c r="K1618" s="129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s="129" t="s">
        <v>1501</v>
      </c>
      <c r="B1619" s="129" t="s">
        <v>51</v>
      </c>
      <c r="C1619" s="129" t="s">
        <v>8</v>
      </c>
      <c r="D1619">
        <v>3.3000000000000002E-2</v>
      </c>
      <c r="E1619">
        <v>0.33001000000000003</v>
      </c>
      <c r="F1619">
        <v>0.01</v>
      </c>
      <c r="G1619" s="129" t="s">
        <v>6</v>
      </c>
      <c r="H1619" s="129" t="s">
        <v>5</v>
      </c>
      <c r="I1619">
        <v>4.4999999999999998E-2</v>
      </c>
      <c r="J1619">
        <v>10.00001</v>
      </c>
      <c r="K1619" s="12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s="129" t="s">
        <v>2005</v>
      </c>
      <c r="B1620" s="129" t="s">
        <v>51</v>
      </c>
      <c r="C1620" s="129" t="s">
        <v>8</v>
      </c>
      <c r="D1620">
        <v>3.3000000000000002E-2</v>
      </c>
      <c r="E1620">
        <v>0.33001000000000003</v>
      </c>
      <c r="F1620">
        <v>0.01</v>
      </c>
      <c r="G1620" s="129" t="s">
        <v>6</v>
      </c>
      <c r="H1620" s="129" t="s">
        <v>5</v>
      </c>
      <c r="I1620">
        <v>10</v>
      </c>
      <c r="J1620">
        <v>20.010000000000002</v>
      </c>
      <c r="K1620" s="129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s="129" t="s">
        <v>1499</v>
      </c>
      <c r="B1621" s="129" t="s">
        <v>51</v>
      </c>
      <c r="C1621" s="129" t="s">
        <v>8</v>
      </c>
      <c r="D1621">
        <v>3.3000000000000002E-2</v>
      </c>
      <c r="E1621">
        <v>0.33001000000000003</v>
      </c>
      <c r="F1621">
        <v>0.01</v>
      </c>
      <c r="G1621" s="129" t="s">
        <v>6</v>
      </c>
      <c r="H1621" s="129" t="s">
        <v>5</v>
      </c>
      <c r="I1621">
        <v>20</v>
      </c>
      <c r="J1621">
        <v>50.01</v>
      </c>
      <c r="K1621" s="129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s="129" t="s">
        <v>1500</v>
      </c>
      <c r="B1622" s="129" t="s">
        <v>51</v>
      </c>
      <c r="C1622" s="129" t="s">
        <v>8</v>
      </c>
      <c r="D1622">
        <v>3.3000000000000002E-2</v>
      </c>
      <c r="E1622">
        <v>0.33001000000000003</v>
      </c>
      <c r="F1622">
        <v>0.01</v>
      </c>
      <c r="G1622" s="129" t="s">
        <v>6</v>
      </c>
      <c r="H1622" s="129" t="s">
        <v>5</v>
      </c>
      <c r="I1622">
        <v>50</v>
      </c>
      <c r="J1622">
        <v>100.01</v>
      </c>
      <c r="K1622" s="129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s="129" t="s">
        <v>1498</v>
      </c>
      <c r="B1623" s="129" t="s">
        <v>51</v>
      </c>
      <c r="C1623" s="129" t="s">
        <v>8</v>
      </c>
      <c r="D1623">
        <v>3.3000000000000002E-2</v>
      </c>
      <c r="E1623">
        <v>0.33001000000000003</v>
      </c>
      <c r="F1623">
        <v>0.01</v>
      </c>
      <c r="G1623" s="129" t="s">
        <v>6</v>
      </c>
      <c r="H1623" s="129" t="s">
        <v>5</v>
      </c>
      <c r="I1623">
        <v>100</v>
      </c>
      <c r="J1623">
        <v>500</v>
      </c>
      <c r="K1623" s="129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s="129" t="s">
        <v>2007</v>
      </c>
      <c r="B1624" s="129" t="s">
        <v>51</v>
      </c>
      <c r="C1624" s="129" t="s">
        <v>8</v>
      </c>
      <c r="D1624">
        <v>3.3000000000000002E-2</v>
      </c>
      <c r="E1624">
        <v>0.33001000000000003</v>
      </c>
      <c r="F1624">
        <v>0.01</v>
      </c>
      <c r="G1624" s="129" t="s">
        <v>6</v>
      </c>
      <c r="H1624" s="129" t="s">
        <v>5</v>
      </c>
      <c r="I1624">
        <v>500</v>
      </c>
      <c r="J1624">
        <v>501</v>
      </c>
      <c r="K1624" s="129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s="129" t="s">
        <v>1519</v>
      </c>
      <c r="B1625" s="129" t="s">
        <v>51</v>
      </c>
      <c r="C1625" s="129" t="s">
        <v>8</v>
      </c>
      <c r="D1625">
        <v>0.33</v>
      </c>
      <c r="E1625">
        <v>3.3001</v>
      </c>
      <c r="F1625">
        <v>0.01</v>
      </c>
      <c r="G1625" s="129" t="s">
        <v>6</v>
      </c>
      <c r="H1625" s="129" t="s">
        <v>4</v>
      </c>
      <c r="I1625">
        <v>0.01</v>
      </c>
      <c r="J1625">
        <v>4.5010000000000001E-2</v>
      </c>
      <c r="K1625" s="129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s="129" t="s">
        <v>1520</v>
      </c>
      <c r="B1626" s="129" t="s">
        <v>51</v>
      </c>
      <c r="C1626" s="129" t="s">
        <v>8</v>
      </c>
      <c r="D1626">
        <v>0.33</v>
      </c>
      <c r="E1626">
        <v>3.3001</v>
      </c>
      <c r="F1626">
        <v>0.01</v>
      </c>
      <c r="G1626" s="129" t="s">
        <v>6</v>
      </c>
      <c r="H1626" s="129" t="s">
        <v>4</v>
      </c>
      <c r="I1626">
        <v>4.4999999999999998E-2</v>
      </c>
      <c r="J1626">
        <v>10.00001</v>
      </c>
      <c r="K1626" s="129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s="129" t="s">
        <v>1521</v>
      </c>
      <c r="B1627" s="129" t="s">
        <v>51</v>
      </c>
      <c r="C1627" s="129" t="s">
        <v>8</v>
      </c>
      <c r="D1627">
        <v>0.33</v>
      </c>
      <c r="E1627">
        <v>3.3001</v>
      </c>
      <c r="F1627">
        <v>0.01</v>
      </c>
      <c r="G1627" s="129" t="s">
        <v>6</v>
      </c>
      <c r="H1627" s="129" t="s">
        <v>4</v>
      </c>
      <c r="I1627">
        <v>10</v>
      </c>
      <c r="J1627">
        <v>20.010000000000002</v>
      </c>
      <c r="K1627" s="129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s="129" t="s">
        <v>1517</v>
      </c>
      <c r="B1628" s="129" t="s">
        <v>51</v>
      </c>
      <c r="C1628" s="129" t="s">
        <v>8</v>
      </c>
      <c r="D1628">
        <v>0.33</v>
      </c>
      <c r="E1628">
        <v>3.3001</v>
      </c>
      <c r="F1628">
        <v>0.01</v>
      </c>
      <c r="G1628" s="129" t="s">
        <v>6</v>
      </c>
      <c r="H1628" s="129" t="s">
        <v>4</v>
      </c>
      <c r="I1628">
        <v>20</v>
      </c>
      <c r="J1628">
        <v>50.01</v>
      </c>
      <c r="K1628" s="129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s="129" t="s">
        <v>2011</v>
      </c>
      <c r="B1629" s="129" t="s">
        <v>51</v>
      </c>
      <c r="C1629" s="129" t="s">
        <v>8</v>
      </c>
      <c r="D1629">
        <v>0.33</v>
      </c>
      <c r="E1629">
        <v>3.3001</v>
      </c>
      <c r="F1629">
        <v>0.01</v>
      </c>
      <c r="G1629" s="129" t="s">
        <v>6</v>
      </c>
      <c r="H1629" s="129" t="s">
        <v>4</v>
      </c>
      <c r="I1629">
        <v>50</v>
      </c>
      <c r="J1629">
        <v>100.01</v>
      </c>
      <c r="K1629" s="1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s="129" t="s">
        <v>1518</v>
      </c>
      <c r="B1630" s="129" t="s">
        <v>51</v>
      </c>
      <c r="C1630" s="129" t="s">
        <v>8</v>
      </c>
      <c r="D1630">
        <v>0.33</v>
      </c>
      <c r="E1630">
        <v>3.3001</v>
      </c>
      <c r="F1630">
        <v>0.01</v>
      </c>
      <c r="G1630" s="129" t="s">
        <v>6</v>
      </c>
      <c r="H1630" s="129" t="s">
        <v>4</v>
      </c>
      <c r="I1630">
        <v>100</v>
      </c>
      <c r="J1630">
        <v>500</v>
      </c>
      <c r="K1630" s="129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s="129" t="s">
        <v>2015</v>
      </c>
      <c r="B1631" s="129" t="s">
        <v>51</v>
      </c>
      <c r="C1631" s="129" t="s">
        <v>8</v>
      </c>
      <c r="D1631">
        <v>0.33</v>
      </c>
      <c r="E1631">
        <v>3.3001</v>
      </c>
      <c r="F1631">
        <v>0.01</v>
      </c>
      <c r="G1631" s="129" t="s">
        <v>6</v>
      </c>
      <c r="H1631" s="129" t="s">
        <v>4</v>
      </c>
      <c r="I1631">
        <v>500</v>
      </c>
      <c r="J1631">
        <v>501</v>
      </c>
      <c r="K1631" s="129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s="129" t="s">
        <v>1541</v>
      </c>
      <c r="B1632" s="129" t="s">
        <v>51</v>
      </c>
      <c r="C1632" s="129" t="s">
        <v>8</v>
      </c>
      <c r="D1632">
        <v>3.3</v>
      </c>
      <c r="E1632">
        <v>33.000999999999998</v>
      </c>
      <c r="F1632">
        <v>0.01</v>
      </c>
      <c r="G1632" s="129" t="s">
        <v>6</v>
      </c>
      <c r="H1632" s="129" t="s">
        <v>4</v>
      </c>
      <c r="I1632">
        <v>0.01</v>
      </c>
      <c r="J1632">
        <v>4.5010000000000001E-2</v>
      </c>
      <c r="K1632" s="129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s="129" t="s">
        <v>1538</v>
      </c>
      <c r="B1633" s="129" t="s">
        <v>51</v>
      </c>
      <c r="C1633" s="129" t="s">
        <v>8</v>
      </c>
      <c r="D1633">
        <v>3.3</v>
      </c>
      <c r="E1633">
        <v>33.000999999999998</v>
      </c>
      <c r="F1633">
        <v>0.01</v>
      </c>
      <c r="G1633" s="129" t="s">
        <v>6</v>
      </c>
      <c r="H1633" s="129" t="s">
        <v>4</v>
      </c>
      <c r="I1633">
        <v>4.4999999999999998E-2</v>
      </c>
      <c r="J1633">
        <v>10.00001</v>
      </c>
      <c r="K1633" s="129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s="129" t="s">
        <v>2018</v>
      </c>
      <c r="B1634" s="129" t="s">
        <v>51</v>
      </c>
      <c r="C1634" s="129" t="s">
        <v>8</v>
      </c>
      <c r="D1634">
        <v>3.3</v>
      </c>
      <c r="E1634">
        <v>33.000999999999998</v>
      </c>
      <c r="F1634">
        <v>0.01</v>
      </c>
      <c r="G1634" s="129" t="s">
        <v>6</v>
      </c>
      <c r="H1634" s="129" t="s">
        <v>4</v>
      </c>
      <c r="I1634">
        <v>10</v>
      </c>
      <c r="J1634">
        <v>20.010000000000002</v>
      </c>
      <c r="K1634" s="129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s="129" t="s">
        <v>2020</v>
      </c>
      <c r="B1635" s="129" t="s">
        <v>51</v>
      </c>
      <c r="C1635" s="129" t="s">
        <v>8</v>
      </c>
      <c r="D1635">
        <v>3.3</v>
      </c>
      <c r="E1635">
        <v>33.000999999999998</v>
      </c>
      <c r="F1635">
        <v>0.01</v>
      </c>
      <c r="G1635" s="129" t="s">
        <v>6</v>
      </c>
      <c r="H1635" s="129" t="s">
        <v>4</v>
      </c>
      <c r="I1635">
        <v>20</v>
      </c>
      <c r="J1635">
        <v>50.01</v>
      </c>
      <c r="K1635" s="129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s="129" t="s">
        <v>1539</v>
      </c>
      <c r="B1636" s="129" t="s">
        <v>51</v>
      </c>
      <c r="C1636" s="129" t="s">
        <v>8</v>
      </c>
      <c r="D1636">
        <v>3.3</v>
      </c>
      <c r="E1636">
        <v>33.000999999999998</v>
      </c>
      <c r="F1636">
        <v>0.01</v>
      </c>
      <c r="G1636" s="129" t="s">
        <v>6</v>
      </c>
      <c r="H1636" s="129" t="s">
        <v>4</v>
      </c>
      <c r="I1636">
        <v>50</v>
      </c>
      <c r="J1636">
        <v>100.01</v>
      </c>
      <c r="K1636" s="129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s="129" t="s">
        <v>1540</v>
      </c>
      <c r="B1637" s="129" t="s">
        <v>51</v>
      </c>
      <c r="C1637" s="129" t="s">
        <v>8</v>
      </c>
      <c r="D1637">
        <v>3.3</v>
      </c>
      <c r="E1637">
        <v>33.000999999999998</v>
      </c>
      <c r="F1637">
        <v>0.01</v>
      </c>
      <c r="G1637" s="129" t="s">
        <v>6</v>
      </c>
      <c r="H1637" s="129" t="s">
        <v>4</v>
      </c>
      <c r="I1637">
        <v>100</v>
      </c>
      <c r="J1637">
        <v>500</v>
      </c>
      <c r="K1637" s="129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s="129" t="s">
        <v>1537</v>
      </c>
      <c r="B1638" s="129" t="s">
        <v>51</v>
      </c>
      <c r="C1638" s="129" t="s">
        <v>8</v>
      </c>
      <c r="D1638">
        <v>3.3</v>
      </c>
      <c r="E1638">
        <v>33.000999999999998</v>
      </c>
      <c r="F1638">
        <v>0.01</v>
      </c>
      <c r="G1638" s="129" t="s">
        <v>6</v>
      </c>
      <c r="H1638" s="129" t="s">
        <v>4</v>
      </c>
      <c r="I1638">
        <v>500</v>
      </c>
      <c r="J1638">
        <v>501</v>
      </c>
      <c r="K1638" s="129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s="129" t="s">
        <v>1560</v>
      </c>
      <c r="B1639" s="129" t="s">
        <v>51</v>
      </c>
      <c r="C1639" s="129" t="s">
        <v>8</v>
      </c>
      <c r="D1639">
        <v>33</v>
      </c>
      <c r="E1639">
        <v>330.01</v>
      </c>
      <c r="F1639">
        <v>0.01</v>
      </c>
      <c r="G1639" s="129" t="s">
        <v>6</v>
      </c>
      <c r="H1639" s="129" t="s">
        <v>4</v>
      </c>
      <c r="I1639">
        <v>0.01</v>
      </c>
      <c r="J1639">
        <v>4.5010000000000001E-2</v>
      </c>
      <c r="K1639" s="12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s="129" t="s">
        <v>1559</v>
      </c>
      <c r="B1640" s="129" t="s">
        <v>51</v>
      </c>
      <c r="C1640" s="129" t="s">
        <v>8</v>
      </c>
      <c r="D1640">
        <v>33</v>
      </c>
      <c r="E1640">
        <v>330.01</v>
      </c>
      <c r="F1640">
        <v>0.01</v>
      </c>
      <c r="G1640" s="129" t="s">
        <v>6</v>
      </c>
      <c r="H1640" s="129" t="s">
        <v>4</v>
      </c>
      <c r="I1640">
        <v>4.4999999999999998E-2</v>
      </c>
      <c r="J1640">
        <v>10.00001</v>
      </c>
      <c r="K1640" s="129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s="129" t="s">
        <v>1561</v>
      </c>
      <c r="B1641" s="129" t="s">
        <v>51</v>
      </c>
      <c r="C1641" s="129" t="s">
        <v>8</v>
      </c>
      <c r="D1641">
        <v>33</v>
      </c>
      <c r="E1641">
        <v>330.01</v>
      </c>
      <c r="F1641">
        <v>0.01</v>
      </c>
      <c r="G1641" s="129" t="s">
        <v>6</v>
      </c>
      <c r="H1641" s="129" t="s">
        <v>4</v>
      </c>
      <c r="I1641">
        <v>10</v>
      </c>
      <c r="J1641">
        <v>20.010000000000002</v>
      </c>
      <c r="K1641" s="129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s="129" t="s">
        <v>2024</v>
      </c>
      <c r="B1642" s="129" t="s">
        <v>51</v>
      </c>
      <c r="C1642" s="129" t="s">
        <v>8</v>
      </c>
      <c r="D1642">
        <v>33</v>
      </c>
      <c r="E1642">
        <v>330.01</v>
      </c>
      <c r="F1642">
        <v>0.01</v>
      </c>
      <c r="G1642" s="129" t="s">
        <v>6</v>
      </c>
      <c r="H1642" s="129" t="s">
        <v>4</v>
      </c>
      <c r="I1642">
        <v>20</v>
      </c>
      <c r="J1642">
        <v>50.01</v>
      </c>
      <c r="K1642" s="129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s="129" t="s">
        <v>1562</v>
      </c>
      <c r="B1643" s="129" t="s">
        <v>51</v>
      </c>
      <c r="C1643" s="129" t="s">
        <v>8</v>
      </c>
      <c r="D1643">
        <v>33</v>
      </c>
      <c r="E1643">
        <v>330.01</v>
      </c>
      <c r="F1643">
        <v>0.01</v>
      </c>
      <c r="G1643" s="129" t="s">
        <v>6</v>
      </c>
      <c r="H1643" s="129" t="s">
        <v>4</v>
      </c>
      <c r="I1643">
        <v>50</v>
      </c>
      <c r="J1643">
        <v>100</v>
      </c>
      <c r="K1643" s="129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s="129" t="s">
        <v>1558</v>
      </c>
      <c r="B1644" s="129" t="s">
        <v>51</v>
      </c>
      <c r="C1644" s="129" t="s">
        <v>8</v>
      </c>
      <c r="D1644">
        <v>33</v>
      </c>
      <c r="E1644">
        <v>330.01</v>
      </c>
      <c r="F1644">
        <v>0.01</v>
      </c>
      <c r="G1644" s="129" t="s">
        <v>6</v>
      </c>
      <c r="H1644" s="129" t="s">
        <v>4</v>
      </c>
      <c r="I1644">
        <v>100</v>
      </c>
      <c r="J1644">
        <v>100.1</v>
      </c>
      <c r="K1644" s="129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s="129" t="s">
        <v>1580</v>
      </c>
      <c r="B1645" s="129" t="s">
        <v>51</v>
      </c>
      <c r="C1645" s="129" t="s">
        <v>8</v>
      </c>
      <c r="D1645">
        <v>330</v>
      </c>
      <c r="E1645">
        <v>1020.01</v>
      </c>
      <c r="F1645">
        <v>0.01</v>
      </c>
      <c r="G1645" s="129" t="s">
        <v>6</v>
      </c>
      <c r="H1645" s="129" t="s">
        <v>4</v>
      </c>
      <c r="I1645">
        <v>4.4999999999999998E-2</v>
      </c>
      <c r="J1645">
        <v>1.0000100000000001</v>
      </c>
      <c r="K1645" s="129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s="129" t="s">
        <v>2028</v>
      </c>
      <c r="B1646" s="129" t="s">
        <v>51</v>
      </c>
      <c r="C1646" s="129" t="s">
        <v>8</v>
      </c>
      <c r="D1646">
        <v>330</v>
      </c>
      <c r="E1646">
        <v>1020.01</v>
      </c>
      <c r="F1646">
        <v>0.01</v>
      </c>
      <c r="G1646" s="129" t="s">
        <v>6</v>
      </c>
      <c r="H1646" s="129" t="s">
        <v>4</v>
      </c>
      <c r="I1646">
        <v>1</v>
      </c>
      <c r="J1646">
        <v>5.01</v>
      </c>
      <c r="K1646" s="129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s="129" t="s">
        <v>1581</v>
      </c>
      <c r="B1647" s="129" t="s">
        <v>51</v>
      </c>
      <c r="C1647" s="129" t="s">
        <v>8</v>
      </c>
      <c r="D1647">
        <v>330</v>
      </c>
      <c r="E1647">
        <v>1020.01</v>
      </c>
      <c r="F1647">
        <v>0.01</v>
      </c>
      <c r="G1647" s="129" t="s">
        <v>6</v>
      </c>
      <c r="H1647" s="129" t="s">
        <v>4</v>
      </c>
      <c r="I1647">
        <v>5</v>
      </c>
      <c r="J1647">
        <v>10.01</v>
      </c>
      <c r="K1647" s="129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s="129" t="s">
        <v>1579</v>
      </c>
      <c r="B1648" s="129" t="s">
        <v>51</v>
      </c>
      <c r="C1648" s="129" t="s">
        <v>8</v>
      </c>
      <c r="D1648">
        <v>330</v>
      </c>
      <c r="E1648">
        <v>1020.01</v>
      </c>
      <c r="F1648">
        <v>0.01</v>
      </c>
      <c r="G1648" s="129" t="s">
        <v>6</v>
      </c>
      <c r="H1648" s="129" t="s">
        <v>4</v>
      </c>
      <c r="I1648">
        <v>10</v>
      </c>
      <c r="J1648">
        <v>10.01</v>
      </c>
      <c r="K1648" s="129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s="129" t="s">
        <v>1455</v>
      </c>
      <c r="B1649" s="129" t="s">
        <v>51</v>
      </c>
      <c r="C1649" s="129" t="s">
        <v>8</v>
      </c>
      <c r="D1649">
        <v>0</v>
      </c>
      <c r="E1649">
        <v>3.3009999999999998E-2</v>
      </c>
      <c r="F1649">
        <v>0.1</v>
      </c>
      <c r="G1649" s="129" t="s">
        <v>6</v>
      </c>
      <c r="H1649" s="129" t="s">
        <v>5</v>
      </c>
      <c r="I1649">
        <v>0.01</v>
      </c>
      <c r="J1649">
        <v>4.5010000000000001E-2</v>
      </c>
      <c r="K1649" s="12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s="129" t="s">
        <v>1456</v>
      </c>
      <c r="B1650" s="129" t="s">
        <v>51</v>
      </c>
      <c r="C1650" s="129" t="s">
        <v>8</v>
      </c>
      <c r="D1650">
        <v>0</v>
      </c>
      <c r="E1650">
        <v>3.3009999999999998E-2</v>
      </c>
      <c r="F1650">
        <v>0.1</v>
      </c>
      <c r="G1650" s="129" t="s">
        <v>6</v>
      </c>
      <c r="H1650" s="129" t="s">
        <v>5</v>
      </c>
      <c r="I1650">
        <v>4.4999999999999998E-2</v>
      </c>
      <c r="J1650">
        <v>10.00001</v>
      </c>
      <c r="K1650" s="129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s="129" t="s">
        <v>1457</v>
      </c>
      <c r="B1651" s="129" t="s">
        <v>51</v>
      </c>
      <c r="C1651" s="129" t="s">
        <v>8</v>
      </c>
      <c r="D1651">
        <v>0</v>
      </c>
      <c r="E1651">
        <v>3.3009999999999998E-2</v>
      </c>
      <c r="F1651">
        <v>0.1</v>
      </c>
      <c r="G1651" s="129" t="s">
        <v>6</v>
      </c>
      <c r="H1651" s="129" t="s">
        <v>5</v>
      </c>
      <c r="I1651">
        <v>10</v>
      </c>
      <c r="J1651">
        <v>20.010000000000002</v>
      </c>
      <c r="K1651" s="129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s="129" t="s">
        <v>1461</v>
      </c>
      <c r="B1652" s="129" t="s">
        <v>51</v>
      </c>
      <c r="C1652" s="129" t="s">
        <v>8</v>
      </c>
      <c r="D1652">
        <v>0</v>
      </c>
      <c r="E1652">
        <v>3.3009999999999998E-2</v>
      </c>
      <c r="F1652">
        <v>0.1</v>
      </c>
      <c r="G1652" s="129" t="s">
        <v>6</v>
      </c>
      <c r="H1652" s="129" t="s">
        <v>5</v>
      </c>
      <c r="I1652">
        <v>20</v>
      </c>
      <c r="J1652">
        <v>50.01</v>
      </c>
      <c r="K1652" s="129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s="129" t="s">
        <v>1458</v>
      </c>
      <c r="B1653" s="129" t="s">
        <v>51</v>
      </c>
      <c r="C1653" s="129" t="s">
        <v>8</v>
      </c>
      <c r="D1653">
        <v>0</v>
      </c>
      <c r="E1653">
        <v>3.3009999999999998E-2</v>
      </c>
      <c r="F1653">
        <v>0.1</v>
      </c>
      <c r="G1653" s="129" t="s">
        <v>6</v>
      </c>
      <c r="H1653" s="129" t="s">
        <v>5</v>
      </c>
      <c r="I1653">
        <v>50</v>
      </c>
      <c r="J1653">
        <v>100.01</v>
      </c>
      <c r="K1653" s="129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s="129" t="s">
        <v>1459</v>
      </c>
      <c r="B1654" s="129" t="s">
        <v>51</v>
      </c>
      <c r="C1654" s="129" t="s">
        <v>8</v>
      </c>
      <c r="D1654">
        <v>0</v>
      </c>
      <c r="E1654">
        <v>3.3009999999999998E-2</v>
      </c>
      <c r="F1654">
        <v>0.1</v>
      </c>
      <c r="G1654" s="129" t="s">
        <v>6</v>
      </c>
      <c r="H1654" s="129" t="s">
        <v>5</v>
      </c>
      <c r="I1654">
        <v>100</v>
      </c>
      <c r="J1654">
        <v>500</v>
      </c>
      <c r="K1654" s="129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s="129" t="s">
        <v>1460</v>
      </c>
      <c r="B1655" s="129" t="s">
        <v>51</v>
      </c>
      <c r="C1655" s="129" t="s">
        <v>8</v>
      </c>
      <c r="D1655">
        <v>0</v>
      </c>
      <c r="E1655">
        <v>3.3009999999999998E-2</v>
      </c>
      <c r="F1655">
        <v>0.1</v>
      </c>
      <c r="G1655" s="129" t="s">
        <v>6</v>
      </c>
      <c r="H1655" s="129" t="s">
        <v>5</v>
      </c>
      <c r="I1655">
        <v>500</v>
      </c>
      <c r="J1655">
        <v>501</v>
      </c>
      <c r="K1655" s="129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s="129" t="s">
        <v>1523</v>
      </c>
      <c r="B1656" s="129" t="s">
        <v>51</v>
      </c>
      <c r="C1656" s="129" t="s">
        <v>8</v>
      </c>
      <c r="D1656">
        <v>0.33</v>
      </c>
      <c r="E1656">
        <v>3.3001</v>
      </c>
      <c r="F1656">
        <v>0.1</v>
      </c>
      <c r="G1656" s="129" t="s">
        <v>6</v>
      </c>
      <c r="H1656" s="129" t="s">
        <v>4</v>
      </c>
      <c r="I1656">
        <v>0.01</v>
      </c>
      <c r="J1656">
        <v>4.5010000000000001E-2</v>
      </c>
      <c r="K1656" s="129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s="129" t="s">
        <v>2643</v>
      </c>
      <c r="B1657" s="129" t="s">
        <v>51</v>
      </c>
      <c r="C1657" s="129" t="s">
        <v>8</v>
      </c>
      <c r="D1657">
        <v>0.33</v>
      </c>
      <c r="E1657">
        <v>3.3001</v>
      </c>
      <c r="F1657">
        <v>0.1</v>
      </c>
      <c r="G1657" s="129" t="s">
        <v>6</v>
      </c>
      <c r="H1657" s="129" t="s">
        <v>4</v>
      </c>
      <c r="I1657">
        <v>4.4999999999999998E-2</v>
      </c>
      <c r="J1657">
        <v>10.00001</v>
      </c>
      <c r="K1657" s="129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s="129" t="s">
        <v>1526</v>
      </c>
      <c r="B1658" s="129" t="s">
        <v>51</v>
      </c>
      <c r="C1658" s="129" t="s">
        <v>8</v>
      </c>
      <c r="D1658">
        <v>0.33</v>
      </c>
      <c r="E1658">
        <v>3.3001</v>
      </c>
      <c r="F1658">
        <v>0.1</v>
      </c>
      <c r="G1658" s="129" t="s">
        <v>6</v>
      </c>
      <c r="H1658" s="129" t="s">
        <v>4</v>
      </c>
      <c r="I1658">
        <v>10</v>
      </c>
      <c r="J1658">
        <v>20.010000000000002</v>
      </c>
      <c r="K1658" s="129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s="129" t="s">
        <v>2009</v>
      </c>
      <c r="B1659" s="129" t="s">
        <v>51</v>
      </c>
      <c r="C1659" s="129" t="s">
        <v>8</v>
      </c>
      <c r="D1659">
        <v>0.33</v>
      </c>
      <c r="E1659">
        <v>3.3001</v>
      </c>
      <c r="F1659">
        <v>0.1</v>
      </c>
      <c r="G1659" s="129" t="s">
        <v>6</v>
      </c>
      <c r="H1659" s="129" t="s">
        <v>4</v>
      </c>
      <c r="I1659">
        <v>20</v>
      </c>
      <c r="J1659">
        <v>50.01</v>
      </c>
      <c r="K1659" s="12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s="129" t="s">
        <v>1524</v>
      </c>
      <c r="B1660" s="129" t="s">
        <v>51</v>
      </c>
      <c r="C1660" s="129" t="s">
        <v>8</v>
      </c>
      <c r="D1660">
        <v>0.33</v>
      </c>
      <c r="E1660">
        <v>3.3001</v>
      </c>
      <c r="F1660">
        <v>0.1</v>
      </c>
      <c r="G1660" s="129" t="s">
        <v>6</v>
      </c>
      <c r="H1660" s="129" t="s">
        <v>4</v>
      </c>
      <c r="I1660">
        <v>50</v>
      </c>
      <c r="J1660">
        <v>100.01</v>
      </c>
      <c r="K1660" s="129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s="129" t="s">
        <v>1525</v>
      </c>
      <c r="B1661" s="129" t="s">
        <v>51</v>
      </c>
      <c r="C1661" s="129" t="s">
        <v>8</v>
      </c>
      <c r="D1661">
        <v>0.33</v>
      </c>
      <c r="E1661">
        <v>3.3001</v>
      </c>
      <c r="F1661">
        <v>0.1</v>
      </c>
      <c r="G1661" s="129" t="s">
        <v>6</v>
      </c>
      <c r="H1661" s="129" t="s">
        <v>4</v>
      </c>
      <c r="I1661">
        <v>100</v>
      </c>
      <c r="J1661">
        <v>500</v>
      </c>
      <c r="K1661" s="129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s="129" t="s">
        <v>1522</v>
      </c>
      <c r="B1662" s="129" t="s">
        <v>51</v>
      </c>
      <c r="C1662" s="129" t="s">
        <v>8</v>
      </c>
      <c r="D1662">
        <v>0.33</v>
      </c>
      <c r="E1662">
        <v>3.3001</v>
      </c>
      <c r="F1662">
        <v>0.1</v>
      </c>
      <c r="G1662" s="129" t="s">
        <v>6</v>
      </c>
      <c r="H1662" s="129" t="s">
        <v>4</v>
      </c>
      <c r="I1662">
        <v>500</v>
      </c>
      <c r="J1662">
        <v>501</v>
      </c>
      <c r="K1662" s="129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s="129" t="s">
        <v>1543</v>
      </c>
      <c r="B1663" s="129" t="s">
        <v>51</v>
      </c>
      <c r="C1663" s="129" t="s">
        <v>8</v>
      </c>
      <c r="D1663">
        <v>3.3</v>
      </c>
      <c r="E1663">
        <v>33.000999999999998</v>
      </c>
      <c r="F1663">
        <v>0.1</v>
      </c>
      <c r="G1663" s="129" t="s">
        <v>6</v>
      </c>
      <c r="H1663" s="129" t="s">
        <v>4</v>
      </c>
      <c r="I1663">
        <v>0.01</v>
      </c>
      <c r="J1663">
        <v>4.5010000000000001E-2</v>
      </c>
      <c r="K1663" s="129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s="129" t="s">
        <v>1546</v>
      </c>
      <c r="B1664" s="129" t="s">
        <v>51</v>
      </c>
      <c r="C1664" s="129" t="s">
        <v>8</v>
      </c>
      <c r="D1664">
        <v>3.3</v>
      </c>
      <c r="E1664">
        <v>33.000999999999998</v>
      </c>
      <c r="F1664">
        <v>0.1</v>
      </c>
      <c r="G1664" s="129" t="s">
        <v>6</v>
      </c>
      <c r="H1664" s="129" t="s">
        <v>4</v>
      </c>
      <c r="I1664">
        <v>4.4999999999999998E-2</v>
      </c>
      <c r="J1664">
        <v>10.00001</v>
      </c>
      <c r="K1664" s="129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s="129" t="s">
        <v>2019</v>
      </c>
      <c r="B1665" s="129" t="s">
        <v>51</v>
      </c>
      <c r="C1665" s="129" t="s">
        <v>8</v>
      </c>
      <c r="D1665">
        <v>3.3</v>
      </c>
      <c r="E1665">
        <v>33.000999999999998</v>
      </c>
      <c r="F1665">
        <v>0.1</v>
      </c>
      <c r="G1665" s="129" t="s">
        <v>6</v>
      </c>
      <c r="H1665" s="129" t="s">
        <v>4</v>
      </c>
      <c r="I1665">
        <v>10</v>
      </c>
      <c r="J1665">
        <v>20.010000000000002</v>
      </c>
      <c r="K1665" s="129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s="129" t="s">
        <v>1544</v>
      </c>
      <c r="B1666" s="129" t="s">
        <v>51</v>
      </c>
      <c r="C1666" s="129" t="s">
        <v>8</v>
      </c>
      <c r="D1666">
        <v>3.3</v>
      </c>
      <c r="E1666">
        <v>33.000999999999998</v>
      </c>
      <c r="F1666">
        <v>0.1</v>
      </c>
      <c r="G1666" s="129" t="s">
        <v>6</v>
      </c>
      <c r="H1666" s="129" t="s">
        <v>4</v>
      </c>
      <c r="I1666">
        <v>20</v>
      </c>
      <c r="J1666">
        <v>50.01</v>
      </c>
      <c r="K1666" s="129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s="129" t="s">
        <v>1542</v>
      </c>
      <c r="B1667" s="129" t="s">
        <v>51</v>
      </c>
      <c r="C1667" s="129" t="s">
        <v>8</v>
      </c>
      <c r="D1667">
        <v>3.3</v>
      </c>
      <c r="E1667">
        <v>33.000999999999998</v>
      </c>
      <c r="F1667">
        <v>0.1</v>
      </c>
      <c r="G1667" s="129" t="s">
        <v>6</v>
      </c>
      <c r="H1667" s="129" t="s">
        <v>4</v>
      </c>
      <c r="I1667">
        <v>50</v>
      </c>
      <c r="J1667">
        <v>100.01</v>
      </c>
      <c r="K1667" s="129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s="129" t="s">
        <v>1545</v>
      </c>
      <c r="B1668" s="129" t="s">
        <v>51</v>
      </c>
      <c r="C1668" s="129" t="s">
        <v>8</v>
      </c>
      <c r="D1668">
        <v>3.3</v>
      </c>
      <c r="E1668">
        <v>33.000999999999998</v>
      </c>
      <c r="F1668">
        <v>0.1</v>
      </c>
      <c r="G1668" s="129" t="s">
        <v>6</v>
      </c>
      <c r="H1668" s="129" t="s">
        <v>4</v>
      </c>
      <c r="I1668">
        <v>100</v>
      </c>
      <c r="J1668">
        <v>500</v>
      </c>
      <c r="K1668" s="129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s="129" t="s">
        <v>2023</v>
      </c>
      <c r="B1669" s="129" t="s">
        <v>51</v>
      </c>
      <c r="C1669" s="129" t="s">
        <v>8</v>
      </c>
      <c r="D1669">
        <v>3.3</v>
      </c>
      <c r="E1669">
        <v>33.000999999999998</v>
      </c>
      <c r="F1669">
        <v>0.1</v>
      </c>
      <c r="G1669" s="129" t="s">
        <v>6</v>
      </c>
      <c r="H1669" s="129" t="s">
        <v>4</v>
      </c>
      <c r="I1669">
        <v>500</v>
      </c>
      <c r="J1669">
        <v>501</v>
      </c>
      <c r="K1669" s="12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s="129" t="s">
        <v>1564</v>
      </c>
      <c r="B1670" s="129" t="s">
        <v>51</v>
      </c>
      <c r="C1670" s="129" t="s">
        <v>8</v>
      </c>
      <c r="D1670">
        <v>33</v>
      </c>
      <c r="E1670">
        <v>330.01</v>
      </c>
      <c r="F1670">
        <v>0.1</v>
      </c>
      <c r="G1670" s="129" t="s">
        <v>6</v>
      </c>
      <c r="H1670" s="129" t="s">
        <v>4</v>
      </c>
      <c r="I1670">
        <v>0.01</v>
      </c>
      <c r="J1670">
        <v>4.5010000000000001E-2</v>
      </c>
      <c r="K1670" s="129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s="129" t="s">
        <v>2651</v>
      </c>
      <c r="B1671" s="129" t="s">
        <v>51</v>
      </c>
      <c r="C1671" s="129" t="s">
        <v>8</v>
      </c>
      <c r="D1671">
        <v>33</v>
      </c>
      <c r="E1671">
        <v>330.01</v>
      </c>
      <c r="F1671">
        <v>0.1</v>
      </c>
      <c r="G1671" s="129" t="s">
        <v>6</v>
      </c>
      <c r="H1671" s="129" t="s">
        <v>4</v>
      </c>
      <c r="I1671">
        <v>4.4999999999999998E-2</v>
      </c>
      <c r="J1671">
        <v>10.00001</v>
      </c>
      <c r="K1671" s="129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s="129" t="s">
        <v>1563</v>
      </c>
      <c r="B1672" s="129" t="s">
        <v>51</v>
      </c>
      <c r="C1672" s="129" t="s">
        <v>8</v>
      </c>
      <c r="D1672">
        <v>33</v>
      </c>
      <c r="E1672">
        <v>330.01</v>
      </c>
      <c r="F1672">
        <v>0.1</v>
      </c>
      <c r="G1672" s="129" t="s">
        <v>6</v>
      </c>
      <c r="H1672" s="129" t="s">
        <v>4</v>
      </c>
      <c r="I1672">
        <v>10</v>
      </c>
      <c r="J1672">
        <v>20.010000000000002</v>
      </c>
      <c r="K1672" s="129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s="129" t="s">
        <v>2025</v>
      </c>
      <c r="B1673" s="129" t="s">
        <v>51</v>
      </c>
      <c r="C1673" s="129" t="s">
        <v>8</v>
      </c>
      <c r="D1673">
        <v>33</v>
      </c>
      <c r="E1673">
        <v>330.01</v>
      </c>
      <c r="F1673">
        <v>0.1</v>
      </c>
      <c r="G1673" s="129" t="s">
        <v>6</v>
      </c>
      <c r="H1673" s="129" t="s">
        <v>4</v>
      </c>
      <c r="I1673">
        <v>20</v>
      </c>
      <c r="J1673">
        <v>50.01</v>
      </c>
      <c r="K1673" s="129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s="129" t="s">
        <v>2026</v>
      </c>
      <c r="B1674" s="129" t="s">
        <v>51</v>
      </c>
      <c r="C1674" s="129" t="s">
        <v>8</v>
      </c>
      <c r="D1674">
        <v>33</v>
      </c>
      <c r="E1674">
        <v>330.01</v>
      </c>
      <c r="F1674">
        <v>0.1</v>
      </c>
      <c r="G1674" s="129" t="s">
        <v>6</v>
      </c>
      <c r="H1674" s="129" t="s">
        <v>4</v>
      </c>
      <c r="I1674">
        <v>50</v>
      </c>
      <c r="J1674">
        <v>100</v>
      </c>
      <c r="K1674" s="129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s="129" t="s">
        <v>2027</v>
      </c>
      <c r="B1675" s="129" t="s">
        <v>51</v>
      </c>
      <c r="C1675" s="129" t="s">
        <v>8</v>
      </c>
      <c r="D1675">
        <v>33</v>
      </c>
      <c r="E1675">
        <v>330.01</v>
      </c>
      <c r="F1675">
        <v>0.1</v>
      </c>
      <c r="G1675" s="129" t="s">
        <v>6</v>
      </c>
      <c r="H1675" s="129" t="s">
        <v>4</v>
      </c>
      <c r="I1675">
        <v>100</v>
      </c>
      <c r="J1675">
        <v>100.1</v>
      </c>
      <c r="K1675" s="129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s="129" t="s">
        <v>2642</v>
      </c>
      <c r="B1676" s="129" t="s">
        <v>51</v>
      </c>
      <c r="C1676" s="129" t="s">
        <v>8</v>
      </c>
      <c r="D1676">
        <v>330</v>
      </c>
      <c r="E1676">
        <v>1020.01</v>
      </c>
      <c r="F1676">
        <v>0.1</v>
      </c>
      <c r="G1676" s="129" t="s">
        <v>6</v>
      </c>
      <c r="H1676" s="129" t="s">
        <v>4</v>
      </c>
      <c r="I1676">
        <v>4.4999999999999998E-2</v>
      </c>
      <c r="J1676">
        <v>1.0000100000000001</v>
      </c>
      <c r="K1676" s="129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s="129" t="s">
        <v>1583</v>
      </c>
      <c r="B1677" s="129" t="s">
        <v>51</v>
      </c>
      <c r="C1677" s="129" t="s">
        <v>8</v>
      </c>
      <c r="D1677">
        <v>330</v>
      </c>
      <c r="E1677">
        <v>1020.01</v>
      </c>
      <c r="F1677">
        <v>0.1</v>
      </c>
      <c r="G1677" s="129" t="s">
        <v>6</v>
      </c>
      <c r="H1677" s="129" t="s">
        <v>4</v>
      </c>
      <c r="I1677">
        <v>1</v>
      </c>
      <c r="J1677">
        <v>5.01</v>
      </c>
      <c r="K1677" s="129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s="129" t="s">
        <v>2029</v>
      </c>
      <c r="B1678" s="129" t="s">
        <v>51</v>
      </c>
      <c r="C1678" s="129" t="s">
        <v>8</v>
      </c>
      <c r="D1678">
        <v>330</v>
      </c>
      <c r="E1678">
        <v>1020.01</v>
      </c>
      <c r="F1678">
        <v>0.1</v>
      </c>
      <c r="G1678" s="129" t="s">
        <v>6</v>
      </c>
      <c r="H1678" s="129" t="s">
        <v>4</v>
      </c>
      <c r="I1678">
        <v>5</v>
      </c>
      <c r="J1678">
        <v>10.01</v>
      </c>
      <c r="K1678" s="129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s="129" t="s">
        <v>1582</v>
      </c>
      <c r="B1679" s="129" t="s">
        <v>51</v>
      </c>
      <c r="C1679" s="129" t="s">
        <v>8</v>
      </c>
      <c r="D1679">
        <v>330</v>
      </c>
      <c r="E1679">
        <v>1020.01</v>
      </c>
      <c r="F1679">
        <v>0.1</v>
      </c>
      <c r="G1679" s="129" t="s">
        <v>6</v>
      </c>
      <c r="H1679" s="129" t="s">
        <v>4</v>
      </c>
      <c r="I1679">
        <v>10</v>
      </c>
      <c r="J1679">
        <v>10.01</v>
      </c>
      <c r="K1679" s="12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s="129" t="s">
        <v>1466</v>
      </c>
      <c r="B1680" s="129" t="s">
        <v>51</v>
      </c>
      <c r="C1680" s="129" t="s">
        <v>8</v>
      </c>
      <c r="D1680">
        <v>0</v>
      </c>
      <c r="E1680">
        <v>3.3009999999999998E-2</v>
      </c>
      <c r="F1680">
        <v>1</v>
      </c>
      <c r="G1680" s="129" t="s">
        <v>6</v>
      </c>
      <c r="H1680" s="129" t="s">
        <v>5</v>
      </c>
      <c r="I1680">
        <v>0.01</v>
      </c>
      <c r="J1680">
        <v>4.5010000000000001E-2</v>
      </c>
      <c r="K1680" s="129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s="129" t="s">
        <v>1462</v>
      </c>
      <c r="B1681" s="129" t="s">
        <v>51</v>
      </c>
      <c r="C1681" s="129" t="s">
        <v>8</v>
      </c>
      <c r="D1681">
        <v>0</v>
      </c>
      <c r="E1681">
        <v>3.3009999999999998E-2</v>
      </c>
      <c r="F1681">
        <v>1</v>
      </c>
      <c r="G1681" s="129" t="s">
        <v>6</v>
      </c>
      <c r="H1681" s="129" t="s">
        <v>5</v>
      </c>
      <c r="I1681">
        <v>4.4999999999999998E-2</v>
      </c>
      <c r="J1681">
        <v>10.00001</v>
      </c>
      <c r="K1681" s="129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s="129" t="s">
        <v>1465</v>
      </c>
      <c r="B1682" s="129" t="s">
        <v>51</v>
      </c>
      <c r="C1682" s="129" t="s">
        <v>8</v>
      </c>
      <c r="D1682">
        <v>0</v>
      </c>
      <c r="E1682">
        <v>3.3009999999999998E-2</v>
      </c>
      <c r="F1682">
        <v>1</v>
      </c>
      <c r="G1682" s="129" t="s">
        <v>6</v>
      </c>
      <c r="H1682" s="129" t="s">
        <v>5</v>
      </c>
      <c r="I1682">
        <v>10</v>
      </c>
      <c r="J1682">
        <v>20.010000000000002</v>
      </c>
      <c r="K1682" s="129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s="129" t="s">
        <v>1464</v>
      </c>
      <c r="B1683" s="129" t="s">
        <v>51</v>
      </c>
      <c r="C1683" s="129" t="s">
        <v>8</v>
      </c>
      <c r="D1683">
        <v>0</v>
      </c>
      <c r="E1683">
        <v>3.3009999999999998E-2</v>
      </c>
      <c r="F1683">
        <v>1</v>
      </c>
      <c r="G1683" s="129" t="s">
        <v>6</v>
      </c>
      <c r="H1683" s="129" t="s">
        <v>5</v>
      </c>
      <c r="I1683">
        <v>20</v>
      </c>
      <c r="J1683">
        <v>50.01</v>
      </c>
      <c r="K1683" s="129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s="129" t="s">
        <v>1999</v>
      </c>
      <c r="B1684" s="129" t="s">
        <v>51</v>
      </c>
      <c r="C1684" s="129" t="s">
        <v>8</v>
      </c>
      <c r="D1684">
        <v>0</v>
      </c>
      <c r="E1684">
        <v>3.3009999999999998E-2</v>
      </c>
      <c r="F1684">
        <v>1</v>
      </c>
      <c r="G1684" s="129" t="s">
        <v>6</v>
      </c>
      <c r="H1684" s="129" t="s">
        <v>5</v>
      </c>
      <c r="I1684">
        <v>50</v>
      </c>
      <c r="J1684">
        <v>100.01</v>
      </c>
      <c r="K1684" s="129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s="129" t="s">
        <v>1463</v>
      </c>
      <c r="B1685" s="129" t="s">
        <v>51</v>
      </c>
      <c r="C1685" s="129" t="s">
        <v>8</v>
      </c>
      <c r="D1685">
        <v>0</v>
      </c>
      <c r="E1685">
        <v>3.3009999999999998E-2</v>
      </c>
      <c r="F1685">
        <v>1</v>
      </c>
      <c r="G1685" s="129" t="s">
        <v>6</v>
      </c>
      <c r="H1685" s="129" t="s">
        <v>5</v>
      </c>
      <c r="I1685">
        <v>100</v>
      </c>
      <c r="J1685">
        <v>500</v>
      </c>
      <c r="K1685" s="129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s="129" t="s">
        <v>2002</v>
      </c>
      <c r="B1686" s="129" t="s">
        <v>51</v>
      </c>
      <c r="C1686" s="129" t="s">
        <v>8</v>
      </c>
      <c r="D1686">
        <v>0</v>
      </c>
      <c r="E1686">
        <v>3.3009999999999998E-2</v>
      </c>
      <c r="F1686">
        <v>1</v>
      </c>
      <c r="G1686" s="129" t="s">
        <v>6</v>
      </c>
      <c r="H1686" s="129" t="s">
        <v>5</v>
      </c>
      <c r="I1686">
        <v>500</v>
      </c>
      <c r="J1686">
        <v>501</v>
      </c>
      <c r="K1686" s="129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s="129" t="s">
        <v>2648</v>
      </c>
      <c r="B1687" s="129" t="s">
        <v>51</v>
      </c>
      <c r="C1687" s="129" t="s">
        <v>8</v>
      </c>
      <c r="D1687">
        <v>3.3</v>
      </c>
      <c r="E1687">
        <v>33.000999999999998</v>
      </c>
      <c r="F1687">
        <v>1</v>
      </c>
      <c r="G1687" s="129" t="s">
        <v>6</v>
      </c>
      <c r="H1687" s="129" t="s">
        <v>4</v>
      </c>
      <c r="I1687">
        <v>0.01</v>
      </c>
      <c r="J1687">
        <v>4.5010000000000001E-2</v>
      </c>
      <c r="K1687" s="129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s="129" t="s">
        <v>1547</v>
      </c>
      <c r="B1688" s="129" t="s">
        <v>51</v>
      </c>
      <c r="C1688" s="129" t="s">
        <v>8</v>
      </c>
      <c r="D1688">
        <v>3.3</v>
      </c>
      <c r="E1688">
        <v>33.000999999999998</v>
      </c>
      <c r="F1688">
        <v>1</v>
      </c>
      <c r="G1688" s="129" t="s">
        <v>6</v>
      </c>
      <c r="H1688" s="129" t="s">
        <v>4</v>
      </c>
      <c r="I1688">
        <v>4.4999999999999998E-2</v>
      </c>
      <c r="J1688">
        <v>10.00001</v>
      </c>
      <c r="K1688" s="129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s="129" t="s">
        <v>1550</v>
      </c>
      <c r="B1689" s="129" t="s">
        <v>51</v>
      </c>
      <c r="C1689" s="129" t="s">
        <v>8</v>
      </c>
      <c r="D1689">
        <v>3.3</v>
      </c>
      <c r="E1689">
        <v>33.000999999999998</v>
      </c>
      <c r="F1689">
        <v>1</v>
      </c>
      <c r="G1689" s="129" t="s">
        <v>6</v>
      </c>
      <c r="H1689" s="129" t="s">
        <v>4</v>
      </c>
      <c r="I1689">
        <v>10</v>
      </c>
      <c r="J1689">
        <v>20.010000000000002</v>
      </c>
      <c r="K1689" s="12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s="129" t="s">
        <v>1551</v>
      </c>
      <c r="B1690" s="129" t="s">
        <v>51</v>
      </c>
      <c r="C1690" s="129" t="s">
        <v>8</v>
      </c>
      <c r="D1690">
        <v>3.3</v>
      </c>
      <c r="E1690">
        <v>33.000999999999998</v>
      </c>
      <c r="F1690">
        <v>1</v>
      </c>
      <c r="G1690" s="129" t="s">
        <v>6</v>
      </c>
      <c r="H1690" s="129" t="s">
        <v>4</v>
      </c>
      <c r="I1690">
        <v>20</v>
      </c>
      <c r="J1690">
        <v>50.01</v>
      </c>
      <c r="K1690" s="129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s="129" t="s">
        <v>2021</v>
      </c>
      <c r="B1691" s="129" t="s">
        <v>51</v>
      </c>
      <c r="C1691" s="129" t="s">
        <v>8</v>
      </c>
      <c r="D1691">
        <v>3.3</v>
      </c>
      <c r="E1691">
        <v>33.000999999999998</v>
      </c>
      <c r="F1691">
        <v>1</v>
      </c>
      <c r="G1691" s="129" t="s">
        <v>6</v>
      </c>
      <c r="H1691" s="129" t="s">
        <v>4</v>
      </c>
      <c r="I1691">
        <v>50</v>
      </c>
      <c r="J1691">
        <v>100.01</v>
      </c>
      <c r="K1691" s="129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s="129" t="s">
        <v>1548</v>
      </c>
      <c r="B1692" s="129" t="s">
        <v>51</v>
      </c>
      <c r="C1692" s="129" t="s">
        <v>8</v>
      </c>
      <c r="D1692">
        <v>3.3</v>
      </c>
      <c r="E1692">
        <v>33.000999999999998</v>
      </c>
      <c r="F1692">
        <v>1</v>
      </c>
      <c r="G1692" s="129" t="s">
        <v>6</v>
      </c>
      <c r="H1692" s="129" t="s">
        <v>4</v>
      </c>
      <c r="I1692">
        <v>100</v>
      </c>
      <c r="J1692">
        <v>500</v>
      </c>
      <c r="K1692" s="129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s="129" t="s">
        <v>1549</v>
      </c>
      <c r="B1693" s="129" t="s">
        <v>51</v>
      </c>
      <c r="C1693" s="129" t="s">
        <v>8</v>
      </c>
      <c r="D1693">
        <v>3.3</v>
      </c>
      <c r="E1693">
        <v>33.000999999999998</v>
      </c>
      <c r="F1693">
        <v>1</v>
      </c>
      <c r="G1693" s="129" t="s">
        <v>6</v>
      </c>
      <c r="H1693" s="129" t="s">
        <v>4</v>
      </c>
      <c r="I1693">
        <v>500</v>
      </c>
      <c r="J1693">
        <v>501</v>
      </c>
      <c r="K1693" s="129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s="129" t="s">
        <v>1568</v>
      </c>
      <c r="B1694" s="129" t="s">
        <v>51</v>
      </c>
      <c r="C1694" s="129" t="s">
        <v>8</v>
      </c>
      <c r="D1694">
        <v>33</v>
      </c>
      <c r="E1694">
        <v>330.01</v>
      </c>
      <c r="F1694">
        <v>1</v>
      </c>
      <c r="G1694" s="129" t="s">
        <v>6</v>
      </c>
      <c r="H1694" s="129" t="s">
        <v>4</v>
      </c>
      <c r="I1694">
        <v>0.01</v>
      </c>
      <c r="J1694">
        <v>4.5010000000000001E-2</v>
      </c>
      <c r="K1694" s="129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s="129" t="s">
        <v>1565</v>
      </c>
      <c r="B1695" s="129" t="s">
        <v>51</v>
      </c>
      <c r="C1695" s="129" t="s">
        <v>8</v>
      </c>
      <c r="D1695">
        <v>33</v>
      </c>
      <c r="E1695">
        <v>330.01</v>
      </c>
      <c r="F1695">
        <v>1</v>
      </c>
      <c r="G1695" s="129" t="s">
        <v>6</v>
      </c>
      <c r="H1695" s="129" t="s">
        <v>4</v>
      </c>
      <c r="I1695">
        <v>4.4999999999999998E-2</v>
      </c>
      <c r="J1695">
        <v>10.00001</v>
      </c>
      <c r="K1695" s="129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s="129" t="s">
        <v>1567</v>
      </c>
      <c r="B1696" s="129" t="s">
        <v>51</v>
      </c>
      <c r="C1696" s="129" t="s">
        <v>8</v>
      </c>
      <c r="D1696">
        <v>33</v>
      </c>
      <c r="E1696">
        <v>330.01</v>
      </c>
      <c r="F1696">
        <v>1</v>
      </c>
      <c r="G1696" s="129" t="s">
        <v>6</v>
      </c>
      <c r="H1696" s="129" t="s">
        <v>4</v>
      </c>
      <c r="I1696">
        <v>10</v>
      </c>
      <c r="J1696">
        <v>20.010000000000002</v>
      </c>
      <c r="K1696" s="129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s="129" t="s">
        <v>1569</v>
      </c>
      <c r="B1697" s="129" t="s">
        <v>51</v>
      </c>
      <c r="C1697" s="129" t="s">
        <v>8</v>
      </c>
      <c r="D1697">
        <v>33</v>
      </c>
      <c r="E1697">
        <v>330.01</v>
      </c>
      <c r="F1697">
        <v>1</v>
      </c>
      <c r="G1697" s="129" t="s">
        <v>6</v>
      </c>
      <c r="H1697" s="129" t="s">
        <v>4</v>
      </c>
      <c r="I1697">
        <v>20</v>
      </c>
      <c r="J1697">
        <v>50.01</v>
      </c>
      <c r="K1697" s="129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s="129" t="s">
        <v>1566</v>
      </c>
      <c r="B1698" s="129" t="s">
        <v>51</v>
      </c>
      <c r="C1698" s="129" t="s">
        <v>8</v>
      </c>
      <c r="D1698">
        <v>33</v>
      </c>
      <c r="E1698">
        <v>330.01</v>
      </c>
      <c r="F1698">
        <v>1</v>
      </c>
      <c r="G1698" s="129" t="s">
        <v>6</v>
      </c>
      <c r="H1698" s="129" t="s">
        <v>4</v>
      </c>
      <c r="I1698">
        <v>50</v>
      </c>
      <c r="J1698">
        <v>100</v>
      </c>
      <c r="K1698" s="129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s="129" t="s">
        <v>1570</v>
      </c>
      <c r="B1699" s="129" t="s">
        <v>51</v>
      </c>
      <c r="C1699" s="129" t="s">
        <v>8</v>
      </c>
      <c r="D1699">
        <v>33</v>
      </c>
      <c r="E1699">
        <v>330.01</v>
      </c>
      <c r="F1699">
        <v>1</v>
      </c>
      <c r="G1699" s="129" t="s">
        <v>6</v>
      </c>
      <c r="H1699" s="129" t="s">
        <v>4</v>
      </c>
      <c r="I1699">
        <v>100</v>
      </c>
      <c r="J1699">
        <v>100.1</v>
      </c>
      <c r="K1699" s="12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s="129" t="s">
        <v>1587</v>
      </c>
      <c r="B1700" s="129" t="s">
        <v>51</v>
      </c>
      <c r="C1700" s="129" t="s">
        <v>8</v>
      </c>
      <c r="D1700">
        <v>330</v>
      </c>
      <c r="E1700">
        <v>1020.01</v>
      </c>
      <c r="F1700">
        <v>1</v>
      </c>
      <c r="G1700" s="129" t="s">
        <v>6</v>
      </c>
      <c r="H1700" s="129" t="s">
        <v>4</v>
      </c>
      <c r="I1700">
        <v>4.4999999999999998E-2</v>
      </c>
      <c r="J1700">
        <v>1.0000100000000001</v>
      </c>
      <c r="K1700" s="129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s="129" t="s">
        <v>1586</v>
      </c>
      <c r="B1701" s="129" t="s">
        <v>51</v>
      </c>
      <c r="C1701" s="129" t="s">
        <v>8</v>
      </c>
      <c r="D1701">
        <v>330</v>
      </c>
      <c r="E1701">
        <v>1020.01</v>
      </c>
      <c r="F1701">
        <v>1</v>
      </c>
      <c r="G1701" s="129" t="s">
        <v>6</v>
      </c>
      <c r="H1701" s="129" t="s">
        <v>4</v>
      </c>
      <c r="I1701">
        <v>1</v>
      </c>
      <c r="J1701">
        <v>5.01</v>
      </c>
      <c r="K1701" s="129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s="129" t="s">
        <v>1585</v>
      </c>
      <c r="B1702" s="129" t="s">
        <v>51</v>
      </c>
      <c r="C1702" s="129" t="s">
        <v>8</v>
      </c>
      <c r="D1702">
        <v>330</v>
      </c>
      <c r="E1702">
        <v>1020.01</v>
      </c>
      <c r="F1702">
        <v>1</v>
      </c>
      <c r="G1702" s="129" t="s">
        <v>6</v>
      </c>
      <c r="H1702" s="129" t="s">
        <v>4</v>
      </c>
      <c r="I1702">
        <v>5</v>
      </c>
      <c r="J1702">
        <v>10.01</v>
      </c>
      <c r="K1702" s="129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s="129" t="s">
        <v>1584</v>
      </c>
      <c r="B1703" s="129" t="s">
        <v>51</v>
      </c>
      <c r="C1703" s="129" t="s">
        <v>8</v>
      </c>
      <c r="D1703">
        <v>330</v>
      </c>
      <c r="E1703">
        <v>1020.01</v>
      </c>
      <c r="F1703">
        <v>1</v>
      </c>
      <c r="G1703" s="129" t="s">
        <v>6</v>
      </c>
      <c r="H1703" s="129" t="s">
        <v>4</v>
      </c>
      <c r="I1703">
        <v>10</v>
      </c>
      <c r="J1703">
        <v>10.01</v>
      </c>
      <c r="K1703" s="129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s="129" t="s">
        <v>1471</v>
      </c>
      <c r="B1704" s="129" t="s">
        <v>51</v>
      </c>
      <c r="C1704" s="129" t="s">
        <v>8</v>
      </c>
      <c r="D1704">
        <v>0</v>
      </c>
      <c r="E1704">
        <v>3.3009999999999998E-2</v>
      </c>
      <c r="F1704">
        <v>10</v>
      </c>
      <c r="G1704" s="129" t="s">
        <v>6</v>
      </c>
      <c r="H1704" s="129" t="s">
        <v>5</v>
      </c>
      <c r="I1704">
        <v>0.01</v>
      </c>
      <c r="J1704">
        <v>4.5010000000000001E-2</v>
      </c>
      <c r="K1704" s="129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s="129" t="s">
        <v>1468</v>
      </c>
      <c r="B1705" s="129" t="s">
        <v>51</v>
      </c>
      <c r="C1705" s="129" t="s">
        <v>8</v>
      </c>
      <c r="D1705">
        <v>0</v>
      </c>
      <c r="E1705">
        <v>3.3009999999999998E-2</v>
      </c>
      <c r="F1705">
        <v>10</v>
      </c>
      <c r="G1705" s="129" t="s">
        <v>6</v>
      </c>
      <c r="H1705" s="129" t="s">
        <v>5</v>
      </c>
      <c r="I1705">
        <v>4.4999999999999998E-2</v>
      </c>
      <c r="J1705">
        <v>10.00001</v>
      </c>
      <c r="K1705" s="129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s="129" t="s">
        <v>1467</v>
      </c>
      <c r="B1706" s="129" t="s">
        <v>51</v>
      </c>
      <c r="C1706" s="129" t="s">
        <v>8</v>
      </c>
      <c r="D1706">
        <v>0</v>
      </c>
      <c r="E1706">
        <v>3.3009999999999998E-2</v>
      </c>
      <c r="F1706">
        <v>10</v>
      </c>
      <c r="G1706" s="129" t="s">
        <v>6</v>
      </c>
      <c r="H1706" s="129" t="s">
        <v>5</v>
      </c>
      <c r="I1706">
        <v>10</v>
      </c>
      <c r="J1706">
        <v>20.010000000000002</v>
      </c>
      <c r="K1706" s="129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s="129" t="s">
        <v>1470</v>
      </c>
      <c r="B1707" s="129" t="s">
        <v>51</v>
      </c>
      <c r="C1707" s="129" t="s">
        <v>8</v>
      </c>
      <c r="D1707">
        <v>0</v>
      </c>
      <c r="E1707">
        <v>3.3009999999999998E-2</v>
      </c>
      <c r="F1707">
        <v>10</v>
      </c>
      <c r="G1707" s="129" t="s">
        <v>6</v>
      </c>
      <c r="H1707" s="129" t="s">
        <v>5</v>
      </c>
      <c r="I1707">
        <v>20</v>
      </c>
      <c r="J1707">
        <v>50.01</v>
      </c>
      <c r="K1707" s="129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s="129" t="s">
        <v>1469</v>
      </c>
      <c r="B1708" s="129" t="s">
        <v>51</v>
      </c>
      <c r="C1708" s="129" t="s">
        <v>8</v>
      </c>
      <c r="D1708">
        <v>0</v>
      </c>
      <c r="E1708">
        <v>3.3009999999999998E-2</v>
      </c>
      <c r="F1708">
        <v>10</v>
      </c>
      <c r="G1708" s="129" t="s">
        <v>6</v>
      </c>
      <c r="H1708" s="129" t="s">
        <v>5</v>
      </c>
      <c r="I1708">
        <v>50</v>
      </c>
      <c r="J1708">
        <v>100.01</v>
      </c>
      <c r="K1708" s="129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s="129" t="s">
        <v>1472</v>
      </c>
      <c r="B1709" s="129" t="s">
        <v>51</v>
      </c>
      <c r="C1709" s="129" t="s">
        <v>8</v>
      </c>
      <c r="D1709">
        <v>0</v>
      </c>
      <c r="E1709">
        <v>3.3009999999999998E-2</v>
      </c>
      <c r="F1709">
        <v>10</v>
      </c>
      <c r="G1709" s="129" t="s">
        <v>6</v>
      </c>
      <c r="H1709" s="129" t="s">
        <v>5</v>
      </c>
      <c r="I1709">
        <v>100</v>
      </c>
      <c r="J1709">
        <v>500.01</v>
      </c>
      <c r="K1709" s="12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s="129" t="s">
        <v>1573</v>
      </c>
      <c r="B1710" s="129" t="s">
        <v>51</v>
      </c>
      <c r="C1710" s="129" t="s">
        <v>8</v>
      </c>
      <c r="D1710">
        <v>33</v>
      </c>
      <c r="E1710">
        <v>330.01</v>
      </c>
      <c r="F1710">
        <v>10</v>
      </c>
      <c r="G1710" s="129" t="s">
        <v>6</v>
      </c>
      <c r="H1710" s="129" t="s">
        <v>4</v>
      </c>
      <c r="I1710">
        <v>0.01</v>
      </c>
      <c r="J1710">
        <v>4.5010000000000001E-2</v>
      </c>
      <c r="K1710" s="129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s="129" t="s">
        <v>2646</v>
      </c>
      <c r="B1711" s="129" t="s">
        <v>51</v>
      </c>
      <c r="C1711" s="129" t="s">
        <v>8</v>
      </c>
      <c r="D1711">
        <v>33</v>
      </c>
      <c r="E1711">
        <v>330.01</v>
      </c>
      <c r="F1711">
        <v>10</v>
      </c>
      <c r="G1711" s="129" t="s">
        <v>6</v>
      </c>
      <c r="H1711" s="129" t="s">
        <v>4</v>
      </c>
      <c r="I1711">
        <v>4.4999999999999998E-2</v>
      </c>
      <c r="J1711">
        <v>10.00001</v>
      </c>
      <c r="K1711" s="129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s="129" t="s">
        <v>1575</v>
      </c>
      <c r="B1712" s="129" t="s">
        <v>51</v>
      </c>
      <c r="C1712" s="129" t="s">
        <v>8</v>
      </c>
      <c r="D1712">
        <v>33</v>
      </c>
      <c r="E1712">
        <v>330.01</v>
      </c>
      <c r="F1712">
        <v>10</v>
      </c>
      <c r="G1712" s="129" t="s">
        <v>6</v>
      </c>
      <c r="H1712" s="129" t="s">
        <v>4</v>
      </c>
      <c r="I1712">
        <v>10</v>
      </c>
      <c r="J1712">
        <v>20.010000000000002</v>
      </c>
      <c r="K1712" s="129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s="129" t="s">
        <v>1572</v>
      </c>
      <c r="B1713" s="129" t="s">
        <v>51</v>
      </c>
      <c r="C1713" s="129" t="s">
        <v>8</v>
      </c>
      <c r="D1713">
        <v>33</v>
      </c>
      <c r="E1713">
        <v>330.01</v>
      </c>
      <c r="F1713">
        <v>10</v>
      </c>
      <c r="G1713" s="129" t="s">
        <v>6</v>
      </c>
      <c r="H1713" s="129" t="s">
        <v>4</v>
      </c>
      <c r="I1713">
        <v>20</v>
      </c>
      <c r="J1713">
        <v>50.01</v>
      </c>
      <c r="K1713" s="129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s="129" t="s">
        <v>1574</v>
      </c>
      <c r="B1714" s="129" t="s">
        <v>51</v>
      </c>
      <c r="C1714" s="129" t="s">
        <v>8</v>
      </c>
      <c r="D1714">
        <v>33</v>
      </c>
      <c r="E1714">
        <v>330.01</v>
      </c>
      <c r="F1714">
        <v>10</v>
      </c>
      <c r="G1714" s="129" t="s">
        <v>6</v>
      </c>
      <c r="H1714" s="129" t="s">
        <v>4</v>
      </c>
      <c r="I1714">
        <v>50</v>
      </c>
      <c r="J1714">
        <v>100</v>
      </c>
      <c r="K1714" s="129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s="129" t="s">
        <v>1571</v>
      </c>
      <c r="B1715" s="129" t="s">
        <v>51</v>
      </c>
      <c r="C1715" s="129" t="s">
        <v>8</v>
      </c>
      <c r="D1715">
        <v>33</v>
      </c>
      <c r="E1715">
        <v>330.01</v>
      </c>
      <c r="F1715">
        <v>10</v>
      </c>
      <c r="G1715" s="129" t="s">
        <v>6</v>
      </c>
      <c r="H1715" s="129" t="s">
        <v>4</v>
      </c>
      <c r="I1715">
        <v>100</v>
      </c>
      <c r="J1715">
        <v>100.1</v>
      </c>
      <c r="K1715" s="129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s="129" t="s">
        <v>2641</v>
      </c>
      <c r="B1716" s="129" t="s">
        <v>51</v>
      </c>
      <c r="C1716" s="129" t="s">
        <v>8</v>
      </c>
      <c r="D1716">
        <v>330</v>
      </c>
      <c r="E1716">
        <v>1020.01</v>
      </c>
      <c r="F1716">
        <v>10</v>
      </c>
      <c r="G1716" s="129" t="s">
        <v>6</v>
      </c>
      <c r="H1716" s="129" t="s">
        <v>4</v>
      </c>
      <c r="I1716">
        <v>4.4999999999999998E-2</v>
      </c>
      <c r="J1716">
        <v>1.0000100000000001</v>
      </c>
      <c r="K1716" s="129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s="129" t="s">
        <v>1590</v>
      </c>
      <c r="B1717" s="129" t="s">
        <v>51</v>
      </c>
      <c r="C1717" s="129" t="s">
        <v>8</v>
      </c>
      <c r="D1717">
        <v>330</v>
      </c>
      <c r="E1717">
        <v>1020.01</v>
      </c>
      <c r="F1717">
        <v>10</v>
      </c>
      <c r="G1717" s="129" t="s">
        <v>6</v>
      </c>
      <c r="H1717" s="129" t="s">
        <v>4</v>
      </c>
      <c r="I1717">
        <v>1</v>
      </c>
      <c r="J1717">
        <v>5.01</v>
      </c>
      <c r="K1717" s="129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s="129" t="s">
        <v>1588</v>
      </c>
      <c r="B1718" s="129" t="s">
        <v>51</v>
      </c>
      <c r="C1718" s="129" t="s">
        <v>8</v>
      </c>
      <c r="D1718">
        <v>330</v>
      </c>
      <c r="E1718">
        <v>1020.01</v>
      </c>
      <c r="F1718">
        <v>10</v>
      </c>
      <c r="G1718" s="129" t="s">
        <v>6</v>
      </c>
      <c r="H1718" s="129" t="s">
        <v>4</v>
      </c>
      <c r="I1718">
        <v>5</v>
      </c>
      <c r="J1718">
        <v>10.01</v>
      </c>
      <c r="K1718" s="129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s="129" t="s">
        <v>1589</v>
      </c>
      <c r="B1719" s="129" t="s">
        <v>51</v>
      </c>
      <c r="C1719" s="129" t="s">
        <v>8</v>
      </c>
      <c r="D1719">
        <v>330</v>
      </c>
      <c r="E1719">
        <v>1020.01</v>
      </c>
      <c r="F1719">
        <v>10</v>
      </c>
      <c r="G1719" s="129" t="s">
        <v>6</v>
      </c>
      <c r="H1719" s="129" t="s">
        <v>4</v>
      </c>
      <c r="I1719">
        <v>10</v>
      </c>
      <c r="J1719">
        <v>10.01</v>
      </c>
      <c r="K1719" s="12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s="129" t="s">
        <v>802</v>
      </c>
      <c r="B1720" s="129" t="s">
        <v>51</v>
      </c>
      <c r="C1720" s="129" t="s">
        <v>96</v>
      </c>
      <c r="D1720">
        <v>0</v>
      </c>
      <c r="E1720">
        <v>1.0900099999999999E-5</v>
      </c>
      <c r="F1720">
        <v>1E-10</v>
      </c>
      <c r="G1720" s="129" t="s">
        <v>97</v>
      </c>
      <c r="H1720" s="129" t="s">
        <v>97</v>
      </c>
      <c r="I1720">
        <v>0</v>
      </c>
      <c r="J1720">
        <v>0</v>
      </c>
      <c r="K1720" s="129" t="s">
        <v>1962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s="129" t="s">
        <v>803</v>
      </c>
      <c r="B1721" s="129" t="s">
        <v>51</v>
      </c>
      <c r="C1721" s="129" t="s">
        <v>96</v>
      </c>
      <c r="D1721">
        <v>0</v>
      </c>
      <c r="E1721">
        <v>1.0900099999999999E-5</v>
      </c>
      <c r="F1721">
        <v>1.0000000000000001E-9</v>
      </c>
      <c r="G1721" s="129" t="s">
        <v>97</v>
      </c>
      <c r="H1721" s="129" t="s">
        <v>97</v>
      </c>
      <c r="I1721">
        <v>0</v>
      </c>
      <c r="J1721">
        <v>0</v>
      </c>
      <c r="K1721" s="129" t="s">
        <v>1962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s="129" t="s">
        <v>2282</v>
      </c>
      <c r="B1722" s="129" t="s">
        <v>51</v>
      </c>
      <c r="C1722" s="129" t="s">
        <v>96</v>
      </c>
      <c r="D1722">
        <v>1.0900000000000001E-5</v>
      </c>
      <c r="E1722">
        <v>1.090001E-4</v>
      </c>
      <c r="F1722">
        <v>1.0000000000000001E-9</v>
      </c>
      <c r="G1722" s="129" t="s">
        <v>97</v>
      </c>
      <c r="H1722" s="129" t="s">
        <v>97</v>
      </c>
      <c r="I1722">
        <v>0</v>
      </c>
      <c r="J1722">
        <v>0</v>
      </c>
      <c r="K1722" s="129" t="s">
        <v>1962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s="129" t="s">
        <v>804</v>
      </c>
      <c r="B1723" s="129" t="s">
        <v>51</v>
      </c>
      <c r="C1723" s="129" t="s">
        <v>96</v>
      </c>
      <c r="D1723">
        <v>0</v>
      </c>
      <c r="E1723">
        <v>1.0900099999999999E-5</v>
      </c>
      <c r="F1723">
        <v>1E-8</v>
      </c>
      <c r="G1723" s="129" t="s">
        <v>97</v>
      </c>
      <c r="H1723" s="129" t="s">
        <v>97</v>
      </c>
      <c r="I1723">
        <v>0</v>
      </c>
      <c r="J1723">
        <v>0</v>
      </c>
      <c r="K1723" s="129" t="s">
        <v>1962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s="129" t="s">
        <v>2283</v>
      </c>
      <c r="B1724" s="129" t="s">
        <v>51</v>
      </c>
      <c r="C1724" s="129" t="s">
        <v>96</v>
      </c>
      <c r="D1724">
        <v>1.0900000000000001E-5</v>
      </c>
      <c r="E1724">
        <v>1.090001E-4</v>
      </c>
      <c r="F1724">
        <v>1E-8</v>
      </c>
      <c r="G1724" s="129" t="s">
        <v>97</v>
      </c>
      <c r="H1724" s="129" t="s">
        <v>97</v>
      </c>
      <c r="I1724">
        <v>0</v>
      </c>
      <c r="J1724">
        <v>0</v>
      </c>
      <c r="K1724" s="129" t="s">
        <v>1962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s="129" t="s">
        <v>806</v>
      </c>
      <c r="B1725" s="129" t="s">
        <v>51</v>
      </c>
      <c r="C1725" s="129" t="s">
        <v>96</v>
      </c>
      <c r="D1725">
        <v>1.0900000000000001E-4</v>
      </c>
      <c r="E1725">
        <v>1.0901000000000001E-3</v>
      </c>
      <c r="F1725">
        <v>1E-8</v>
      </c>
      <c r="G1725" s="129" t="s">
        <v>97</v>
      </c>
      <c r="H1725" s="129" t="s">
        <v>97</v>
      </c>
      <c r="I1725">
        <v>0</v>
      </c>
      <c r="J1725">
        <v>0</v>
      </c>
      <c r="K1725" s="129" t="s">
        <v>1962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s="129" t="s">
        <v>805</v>
      </c>
      <c r="B1726" s="129" t="s">
        <v>51</v>
      </c>
      <c r="C1726" s="129" t="s">
        <v>96</v>
      </c>
      <c r="D1726">
        <v>0</v>
      </c>
      <c r="E1726">
        <v>1.0900099999999999E-5</v>
      </c>
      <c r="F1726">
        <v>9.9999999999999995E-8</v>
      </c>
      <c r="G1726" s="129" t="s">
        <v>97</v>
      </c>
      <c r="H1726" s="129" t="s">
        <v>97</v>
      </c>
      <c r="I1726">
        <v>0</v>
      </c>
      <c r="J1726">
        <v>0</v>
      </c>
      <c r="K1726" s="129" t="s">
        <v>1962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s="129" t="s">
        <v>2284</v>
      </c>
      <c r="B1727" s="129" t="s">
        <v>51</v>
      </c>
      <c r="C1727" s="129" t="s">
        <v>96</v>
      </c>
      <c r="D1727">
        <v>1.0900000000000001E-5</v>
      </c>
      <c r="E1727">
        <v>1.090001E-4</v>
      </c>
      <c r="F1727">
        <v>9.9999999999999995E-8</v>
      </c>
      <c r="G1727" s="129" t="s">
        <v>97</v>
      </c>
      <c r="H1727" s="129" t="s">
        <v>97</v>
      </c>
      <c r="I1727">
        <v>0</v>
      </c>
      <c r="J1727">
        <v>0</v>
      </c>
      <c r="K1727" s="129" t="s">
        <v>1962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s="129" t="s">
        <v>807</v>
      </c>
      <c r="B1728" s="129" t="s">
        <v>51</v>
      </c>
      <c r="C1728" s="129" t="s">
        <v>96</v>
      </c>
      <c r="D1728">
        <v>1.0900000000000001E-4</v>
      </c>
      <c r="E1728">
        <v>1.0901000000000001E-3</v>
      </c>
      <c r="F1728">
        <v>9.9999999999999995E-8</v>
      </c>
      <c r="G1728" s="129" t="s">
        <v>97</v>
      </c>
      <c r="H1728" s="129" t="s">
        <v>97</v>
      </c>
      <c r="I1728">
        <v>0</v>
      </c>
      <c r="J1728">
        <v>0</v>
      </c>
      <c r="K1728" s="129" t="s">
        <v>1962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s="129" t="s">
        <v>810</v>
      </c>
      <c r="B1729" s="129" t="s">
        <v>51</v>
      </c>
      <c r="C1729" s="129" t="s">
        <v>96</v>
      </c>
      <c r="D1729">
        <v>1.09E-3</v>
      </c>
      <c r="E1729">
        <v>1.0900099999999999E-2</v>
      </c>
      <c r="F1729">
        <v>9.9999999999999995E-8</v>
      </c>
      <c r="G1729" s="129" t="s">
        <v>97</v>
      </c>
      <c r="H1729" s="129" t="s">
        <v>97</v>
      </c>
      <c r="I1729">
        <v>0</v>
      </c>
      <c r="J1729">
        <v>0</v>
      </c>
      <c r="K1729" s="129" t="s">
        <v>1962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s="129" t="s">
        <v>2281</v>
      </c>
      <c r="B1730" s="129" t="s">
        <v>51</v>
      </c>
      <c r="C1730" s="129" t="s">
        <v>96</v>
      </c>
      <c r="D1730">
        <v>0</v>
      </c>
      <c r="E1730">
        <v>1.0900099999999999E-5</v>
      </c>
      <c r="F1730">
        <v>9.9999999999999995E-7</v>
      </c>
      <c r="G1730" s="129" t="s">
        <v>97</v>
      </c>
      <c r="H1730" s="129" t="s">
        <v>97</v>
      </c>
      <c r="I1730">
        <v>0</v>
      </c>
      <c r="J1730">
        <v>0</v>
      </c>
      <c r="K1730" s="129" t="s">
        <v>1962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s="129" t="s">
        <v>2285</v>
      </c>
      <c r="B1731" s="129" t="s">
        <v>51</v>
      </c>
      <c r="C1731" s="129" t="s">
        <v>96</v>
      </c>
      <c r="D1731">
        <v>1.0900000000000001E-5</v>
      </c>
      <c r="E1731">
        <v>1.090001E-4</v>
      </c>
      <c r="F1731">
        <v>9.9999999999999995E-7</v>
      </c>
      <c r="G1731" s="129" t="s">
        <v>97</v>
      </c>
      <c r="H1731" s="129" t="s">
        <v>97</v>
      </c>
      <c r="I1731">
        <v>0</v>
      </c>
      <c r="J1731">
        <v>0</v>
      </c>
      <c r="K1731" s="129" t="s">
        <v>1962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s="129" t="s">
        <v>808</v>
      </c>
      <c r="B1732" s="129" t="s">
        <v>51</v>
      </c>
      <c r="C1732" s="129" t="s">
        <v>96</v>
      </c>
      <c r="D1732">
        <v>1.0900000000000001E-4</v>
      </c>
      <c r="E1732">
        <v>1.0901000000000001E-3</v>
      </c>
      <c r="F1732">
        <v>9.9999999999999995E-7</v>
      </c>
      <c r="G1732" s="129" t="s">
        <v>97</v>
      </c>
      <c r="H1732" s="129" t="s">
        <v>97</v>
      </c>
      <c r="I1732">
        <v>0</v>
      </c>
      <c r="J1732">
        <v>0</v>
      </c>
      <c r="K1732" s="129" t="s">
        <v>1962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s="129" t="s">
        <v>2288</v>
      </c>
      <c r="B1733" s="129" t="s">
        <v>51</v>
      </c>
      <c r="C1733" s="129" t="s">
        <v>96</v>
      </c>
      <c r="D1733">
        <v>1.09E-3</v>
      </c>
      <c r="E1733">
        <v>1.0900099999999999E-2</v>
      </c>
      <c r="F1733">
        <v>9.9999999999999995E-7</v>
      </c>
      <c r="G1733" s="129" t="s">
        <v>97</v>
      </c>
      <c r="H1733" s="129" t="s">
        <v>97</v>
      </c>
      <c r="I1733">
        <v>0</v>
      </c>
      <c r="J1733">
        <v>0</v>
      </c>
      <c r="K1733" s="129" t="s">
        <v>1962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s="129" t="s">
        <v>814</v>
      </c>
      <c r="B1734" s="129" t="s">
        <v>51</v>
      </c>
      <c r="C1734" s="129" t="s">
        <v>96</v>
      </c>
      <c r="D1734">
        <v>1.09E-2</v>
      </c>
      <c r="E1734">
        <v>0.1090001</v>
      </c>
      <c r="F1734">
        <v>9.9999999999999995E-7</v>
      </c>
      <c r="G1734" s="129" t="s">
        <v>97</v>
      </c>
      <c r="H1734" s="129" t="s">
        <v>97</v>
      </c>
      <c r="I1734">
        <v>0</v>
      </c>
      <c r="J1734">
        <v>0</v>
      </c>
      <c r="K1734" s="129" t="s">
        <v>1962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s="129" t="s">
        <v>2286</v>
      </c>
      <c r="B1735" s="129" t="s">
        <v>51</v>
      </c>
      <c r="C1735" s="129" t="s">
        <v>96</v>
      </c>
      <c r="D1735">
        <v>1.0900000000000001E-5</v>
      </c>
      <c r="E1735">
        <v>1.090001E-4</v>
      </c>
      <c r="F1735">
        <v>1.0000000000000001E-5</v>
      </c>
      <c r="G1735" s="129" t="s">
        <v>97</v>
      </c>
      <c r="H1735" s="129" t="s">
        <v>97</v>
      </c>
      <c r="I1735">
        <v>0</v>
      </c>
      <c r="J1735">
        <v>0</v>
      </c>
      <c r="K1735" s="129" t="s">
        <v>1962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s="129" t="s">
        <v>809</v>
      </c>
      <c r="B1736" s="129" t="s">
        <v>51</v>
      </c>
      <c r="C1736" s="129" t="s">
        <v>96</v>
      </c>
      <c r="D1736">
        <v>1.0900000000000001E-4</v>
      </c>
      <c r="E1736">
        <v>1.0901000000000001E-3</v>
      </c>
      <c r="F1736">
        <v>1.0000000000000001E-5</v>
      </c>
      <c r="G1736" s="129" t="s">
        <v>97</v>
      </c>
      <c r="H1736" s="129" t="s">
        <v>97</v>
      </c>
      <c r="I1736">
        <v>0</v>
      </c>
      <c r="J1736">
        <v>0</v>
      </c>
      <c r="K1736" s="129" t="s">
        <v>1962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s="129" t="s">
        <v>811</v>
      </c>
      <c r="B1737" s="129" t="s">
        <v>51</v>
      </c>
      <c r="C1737" s="129" t="s">
        <v>96</v>
      </c>
      <c r="D1737">
        <v>1.09E-3</v>
      </c>
      <c r="E1737">
        <v>1.0900099999999999E-2</v>
      </c>
      <c r="F1737">
        <v>1.0000000000000001E-5</v>
      </c>
      <c r="G1737" s="129" t="s">
        <v>97</v>
      </c>
      <c r="H1737" s="129" t="s">
        <v>97</v>
      </c>
      <c r="I1737">
        <v>0</v>
      </c>
      <c r="J1737">
        <v>0</v>
      </c>
      <c r="K1737" s="129" t="s">
        <v>1962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s="129" t="s">
        <v>815</v>
      </c>
      <c r="B1738" s="129" t="s">
        <v>51</v>
      </c>
      <c r="C1738" s="129" t="s">
        <v>96</v>
      </c>
      <c r="D1738">
        <v>1.09E-2</v>
      </c>
      <c r="E1738">
        <v>0.1090001</v>
      </c>
      <c r="F1738">
        <v>1.0000000000000001E-5</v>
      </c>
      <c r="G1738" s="129" t="s">
        <v>97</v>
      </c>
      <c r="H1738" s="129" t="s">
        <v>97</v>
      </c>
      <c r="I1738">
        <v>0</v>
      </c>
      <c r="J1738">
        <v>0</v>
      </c>
      <c r="K1738" s="129" t="s">
        <v>1962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s="129" t="s">
        <v>817</v>
      </c>
      <c r="B1739" s="129" t="s">
        <v>51</v>
      </c>
      <c r="C1739" s="129" t="s">
        <v>96</v>
      </c>
      <c r="D1739">
        <v>0.109</v>
      </c>
      <c r="E1739">
        <v>1.0901000000000001</v>
      </c>
      <c r="F1739">
        <v>1.0000000000000001E-5</v>
      </c>
      <c r="G1739" s="129" t="s">
        <v>97</v>
      </c>
      <c r="H1739" s="129" t="s">
        <v>97</v>
      </c>
      <c r="I1739">
        <v>0</v>
      </c>
      <c r="J1739">
        <v>0</v>
      </c>
      <c r="K1739" s="129" t="s">
        <v>1962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s="129" t="s">
        <v>2287</v>
      </c>
      <c r="B1740" s="129" t="s">
        <v>51</v>
      </c>
      <c r="C1740" s="129" t="s">
        <v>96</v>
      </c>
      <c r="D1740">
        <v>1.0900000000000001E-4</v>
      </c>
      <c r="E1740">
        <v>1.0901000000000001E-3</v>
      </c>
      <c r="F1740">
        <v>1E-4</v>
      </c>
      <c r="G1740" s="129" t="s">
        <v>97</v>
      </c>
      <c r="H1740" s="129" t="s">
        <v>97</v>
      </c>
      <c r="I1740">
        <v>0</v>
      </c>
      <c r="J1740">
        <v>0</v>
      </c>
      <c r="K1740" s="129" t="s">
        <v>1962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s="129" t="s">
        <v>812</v>
      </c>
      <c r="B1741" s="129" t="s">
        <v>51</v>
      </c>
      <c r="C1741" s="129" t="s">
        <v>96</v>
      </c>
      <c r="D1741">
        <v>1.09E-3</v>
      </c>
      <c r="E1741">
        <v>1.0900099999999999E-2</v>
      </c>
      <c r="F1741">
        <v>1E-4</v>
      </c>
      <c r="G1741" s="129" t="s">
        <v>97</v>
      </c>
      <c r="H1741" s="129" t="s">
        <v>97</v>
      </c>
      <c r="I1741">
        <v>0</v>
      </c>
      <c r="J1741">
        <v>0</v>
      </c>
      <c r="K1741" s="129" t="s">
        <v>1962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s="129" t="s">
        <v>2289</v>
      </c>
      <c r="B1742" s="129" t="s">
        <v>51</v>
      </c>
      <c r="C1742" s="129" t="s">
        <v>96</v>
      </c>
      <c r="D1742">
        <v>1.09E-2</v>
      </c>
      <c r="E1742">
        <v>0.1090001</v>
      </c>
      <c r="F1742">
        <v>1E-4</v>
      </c>
      <c r="G1742" s="129" t="s">
        <v>97</v>
      </c>
      <c r="H1742" s="129" t="s">
        <v>97</v>
      </c>
      <c r="I1742">
        <v>0</v>
      </c>
      <c r="J1742">
        <v>0</v>
      </c>
      <c r="K1742" s="129" t="s">
        <v>1962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s="129" t="s">
        <v>818</v>
      </c>
      <c r="B1743" s="129" t="s">
        <v>51</v>
      </c>
      <c r="C1743" s="129" t="s">
        <v>96</v>
      </c>
      <c r="D1743">
        <v>0.109</v>
      </c>
      <c r="E1743">
        <v>1.0901000000000001</v>
      </c>
      <c r="F1743">
        <v>1E-4</v>
      </c>
      <c r="G1743" s="129" t="s">
        <v>97</v>
      </c>
      <c r="H1743" s="129" t="s">
        <v>97</v>
      </c>
      <c r="I1743">
        <v>0</v>
      </c>
      <c r="J1743">
        <v>0</v>
      </c>
      <c r="K1743" s="129" t="s">
        <v>1962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s="129" t="s">
        <v>2292</v>
      </c>
      <c r="B1744" s="129" t="s">
        <v>51</v>
      </c>
      <c r="C1744" s="129" t="s">
        <v>96</v>
      </c>
      <c r="D1744">
        <v>1.0900000000000001</v>
      </c>
      <c r="E1744">
        <v>10.9001</v>
      </c>
      <c r="F1744">
        <v>1E-4</v>
      </c>
      <c r="G1744" s="129" t="s">
        <v>97</v>
      </c>
      <c r="H1744" s="129" t="s">
        <v>97</v>
      </c>
      <c r="I1744">
        <v>0</v>
      </c>
      <c r="J1744">
        <v>0</v>
      </c>
      <c r="K1744" s="129" t="s">
        <v>1962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s="129" t="s">
        <v>813</v>
      </c>
      <c r="B1745" s="129" t="s">
        <v>51</v>
      </c>
      <c r="C1745" s="129" t="s">
        <v>96</v>
      </c>
      <c r="D1745">
        <v>1.09E-3</v>
      </c>
      <c r="E1745">
        <v>1.0900099999999999E-2</v>
      </c>
      <c r="F1745">
        <v>1E-3</v>
      </c>
      <c r="G1745" s="129" t="s">
        <v>97</v>
      </c>
      <c r="H1745" s="129" t="s">
        <v>97</v>
      </c>
      <c r="I1745">
        <v>0</v>
      </c>
      <c r="J1745">
        <v>0</v>
      </c>
      <c r="K1745" s="129" t="s">
        <v>1962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s="129" t="s">
        <v>816</v>
      </c>
      <c r="B1746" s="129" t="s">
        <v>51</v>
      </c>
      <c r="C1746" s="129" t="s">
        <v>96</v>
      </c>
      <c r="D1746">
        <v>1.09E-2</v>
      </c>
      <c r="E1746">
        <v>0.1090001</v>
      </c>
      <c r="F1746">
        <v>1E-3</v>
      </c>
      <c r="G1746" s="129" t="s">
        <v>97</v>
      </c>
      <c r="H1746" s="129" t="s">
        <v>97</v>
      </c>
      <c r="I1746">
        <v>0</v>
      </c>
      <c r="J1746">
        <v>0</v>
      </c>
      <c r="K1746" s="129" t="s">
        <v>1962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s="129" t="s">
        <v>819</v>
      </c>
      <c r="B1747" s="129" t="s">
        <v>51</v>
      </c>
      <c r="C1747" s="129" t="s">
        <v>96</v>
      </c>
      <c r="D1747">
        <v>0.109</v>
      </c>
      <c r="E1747">
        <v>1.0901000000000001</v>
      </c>
      <c r="F1747">
        <v>1E-3</v>
      </c>
      <c r="G1747" s="129" t="s">
        <v>97</v>
      </c>
      <c r="H1747" s="129" t="s">
        <v>97</v>
      </c>
      <c r="I1747">
        <v>0</v>
      </c>
      <c r="J1747">
        <v>0</v>
      </c>
      <c r="K1747" s="129" t="s">
        <v>1962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s="129" t="s">
        <v>821</v>
      </c>
      <c r="B1748" s="129" t="s">
        <v>51</v>
      </c>
      <c r="C1748" s="129" t="s">
        <v>96</v>
      </c>
      <c r="D1748">
        <v>1.0900000000000001</v>
      </c>
      <c r="E1748">
        <v>10.9001</v>
      </c>
      <c r="F1748">
        <v>1E-3</v>
      </c>
      <c r="G1748" s="129" t="s">
        <v>97</v>
      </c>
      <c r="H1748" s="129" t="s">
        <v>97</v>
      </c>
      <c r="I1748">
        <v>0</v>
      </c>
      <c r="J1748">
        <v>0</v>
      </c>
      <c r="K1748" s="129" t="s">
        <v>1962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s="129" t="s">
        <v>824</v>
      </c>
      <c r="B1749" s="129" t="s">
        <v>51</v>
      </c>
      <c r="C1749" s="129" t="s">
        <v>96</v>
      </c>
      <c r="D1749">
        <v>10.9</v>
      </c>
      <c r="E1749">
        <v>109.0001</v>
      </c>
      <c r="F1749">
        <v>1E-3</v>
      </c>
      <c r="G1749" s="129" t="s">
        <v>97</v>
      </c>
      <c r="H1749" s="129" t="s">
        <v>97</v>
      </c>
      <c r="I1749">
        <v>0</v>
      </c>
      <c r="J1749">
        <v>0</v>
      </c>
      <c r="K1749" s="129" t="s">
        <v>1962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s="129" t="s">
        <v>2290</v>
      </c>
      <c r="B1750" s="129" t="s">
        <v>51</v>
      </c>
      <c r="C1750" s="129" t="s">
        <v>96</v>
      </c>
      <c r="D1750">
        <v>1.09E-2</v>
      </c>
      <c r="E1750">
        <v>0.1090001</v>
      </c>
      <c r="F1750">
        <v>0.01</v>
      </c>
      <c r="G1750" s="129" t="s">
        <v>97</v>
      </c>
      <c r="H1750" s="129" t="s">
        <v>97</v>
      </c>
      <c r="I1750">
        <v>0</v>
      </c>
      <c r="J1750">
        <v>0</v>
      </c>
      <c r="K1750" s="129" t="s">
        <v>1962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s="129" t="s">
        <v>2291</v>
      </c>
      <c r="B1751" s="129" t="s">
        <v>51</v>
      </c>
      <c r="C1751" s="129" t="s">
        <v>96</v>
      </c>
      <c r="D1751">
        <v>0.109</v>
      </c>
      <c r="E1751">
        <v>1.0901000000000001</v>
      </c>
      <c r="F1751">
        <v>0.01</v>
      </c>
      <c r="G1751" s="129" t="s">
        <v>97</v>
      </c>
      <c r="H1751" s="129" t="s">
        <v>97</v>
      </c>
      <c r="I1751">
        <v>0</v>
      </c>
      <c r="J1751">
        <v>0</v>
      </c>
      <c r="K1751" s="129" t="s">
        <v>1962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s="129" t="s">
        <v>2293</v>
      </c>
      <c r="B1752" s="129" t="s">
        <v>51</v>
      </c>
      <c r="C1752" s="129" t="s">
        <v>96</v>
      </c>
      <c r="D1752">
        <v>1.0900000000000001</v>
      </c>
      <c r="E1752">
        <v>10.9001</v>
      </c>
      <c r="F1752">
        <v>0.01</v>
      </c>
      <c r="G1752" s="129" t="s">
        <v>97</v>
      </c>
      <c r="H1752" s="129" t="s">
        <v>97</v>
      </c>
      <c r="I1752">
        <v>0</v>
      </c>
      <c r="J1752">
        <v>0</v>
      </c>
      <c r="K1752" s="129" t="s">
        <v>1962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s="129" t="s">
        <v>825</v>
      </c>
      <c r="B1753" s="129" t="s">
        <v>51</v>
      </c>
      <c r="C1753" s="129" t="s">
        <v>96</v>
      </c>
      <c r="D1753">
        <v>10.9</v>
      </c>
      <c r="E1753">
        <v>109.0001</v>
      </c>
      <c r="F1753">
        <v>0.01</v>
      </c>
      <c r="G1753" s="129" t="s">
        <v>97</v>
      </c>
      <c r="H1753" s="129" t="s">
        <v>97</v>
      </c>
      <c r="I1753">
        <v>0</v>
      </c>
      <c r="J1753">
        <v>0</v>
      </c>
      <c r="K1753" s="129" t="s">
        <v>1962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s="129" t="s">
        <v>829</v>
      </c>
      <c r="B1754" s="129" t="s">
        <v>51</v>
      </c>
      <c r="C1754" s="129" t="s">
        <v>96</v>
      </c>
      <c r="D1754">
        <v>109</v>
      </c>
      <c r="E1754">
        <v>363.00009999999997</v>
      </c>
      <c r="F1754">
        <v>0.01</v>
      </c>
      <c r="G1754" s="129" t="s">
        <v>97</v>
      </c>
      <c r="H1754" s="129" t="s">
        <v>97</v>
      </c>
      <c r="I1754">
        <v>0</v>
      </c>
      <c r="J1754">
        <v>0</v>
      </c>
      <c r="K1754" s="129" t="s">
        <v>1962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s="129" t="s">
        <v>833</v>
      </c>
      <c r="B1755" s="129" t="s">
        <v>51</v>
      </c>
      <c r="C1755" s="129" t="s">
        <v>96</v>
      </c>
      <c r="D1755">
        <v>363</v>
      </c>
      <c r="E1755">
        <v>990.00009999999997</v>
      </c>
      <c r="F1755">
        <v>0.01</v>
      </c>
      <c r="G1755" s="129" t="s">
        <v>97</v>
      </c>
      <c r="H1755" s="129" t="s">
        <v>97</v>
      </c>
      <c r="I1755">
        <v>0</v>
      </c>
      <c r="J1755">
        <v>0</v>
      </c>
      <c r="K1755" s="129" t="s">
        <v>1962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s="129" t="s">
        <v>820</v>
      </c>
      <c r="B1756" s="129" t="s">
        <v>51</v>
      </c>
      <c r="C1756" s="129" t="s">
        <v>96</v>
      </c>
      <c r="D1756">
        <v>0.109</v>
      </c>
      <c r="E1756">
        <v>1.0901000000000001</v>
      </c>
      <c r="F1756">
        <v>0.1</v>
      </c>
      <c r="G1756" s="129" t="s">
        <v>97</v>
      </c>
      <c r="H1756" s="129" t="s">
        <v>97</v>
      </c>
      <c r="I1756">
        <v>0</v>
      </c>
      <c r="J1756">
        <v>0</v>
      </c>
      <c r="K1756" s="129" t="s">
        <v>1962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s="129" t="s">
        <v>822</v>
      </c>
      <c r="B1757" s="129" t="s">
        <v>51</v>
      </c>
      <c r="C1757" s="129" t="s">
        <v>96</v>
      </c>
      <c r="D1757">
        <v>1.0900000000000001</v>
      </c>
      <c r="E1757">
        <v>10.9001</v>
      </c>
      <c r="F1757">
        <v>0.1</v>
      </c>
      <c r="G1757" s="129" t="s">
        <v>97</v>
      </c>
      <c r="H1757" s="129" t="s">
        <v>97</v>
      </c>
      <c r="I1757">
        <v>0</v>
      </c>
      <c r="J1757">
        <v>0</v>
      </c>
      <c r="K1757" s="129" t="s">
        <v>1962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s="129" t="s">
        <v>826</v>
      </c>
      <c r="B1758" s="129" t="s">
        <v>51</v>
      </c>
      <c r="C1758" s="129" t="s">
        <v>96</v>
      </c>
      <c r="D1758">
        <v>10.9</v>
      </c>
      <c r="E1758">
        <v>109.0001</v>
      </c>
      <c r="F1758">
        <v>0.1</v>
      </c>
      <c r="G1758" s="129" t="s">
        <v>97</v>
      </c>
      <c r="H1758" s="129" t="s">
        <v>97</v>
      </c>
      <c r="I1758">
        <v>0</v>
      </c>
      <c r="J1758">
        <v>0</v>
      </c>
      <c r="K1758" s="129" t="s">
        <v>1962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s="129" t="s">
        <v>830</v>
      </c>
      <c r="B1759" s="129" t="s">
        <v>51</v>
      </c>
      <c r="C1759" s="129" t="s">
        <v>96</v>
      </c>
      <c r="D1759">
        <v>109</v>
      </c>
      <c r="E1759">
        <v>363.00009999999997</v>
      </c>
      <c r="F1759">
        <v>0.1</v>
      </c>
      <c r="G1759" s="129" t="s">
        <v>97</v>
      </c>
      <c r="H1759" s="129" t="s">
        <v>97</v>
      </c>
      <c r="I1759">
        <v>0</v>
      </c>
      <c r="J1759">
        <v>0</v>
      </c>
      <c r="K1759" s="129" t="s">
        <v>1962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s="129" t="s">
        <v>834</v>
      </c>
      <c r="B1760" s="129" t="s">
        <v>51</v>
      </c>
      <c r="C1760" s="129" t="s">
        <v>96</v>
      </c>
      <c r="D1760">
        <v>363</v>
      </c>
      <c r="E1760">
        <v>990.00009999999997</v>
      </c>
      <c r="F1760">
        <v>0.1</v>
      </c>
      <c r="G1760" s="129" t="s">
        <v>97</v>
      </c>
      <c r="H1760" s="129" t="s">
        <v>97</v>
      </c>
      <c r="I1760">
        <v>0</v>
      </c>
      <c r="J1760">
        <v>0</v>
      </c>
      <c r="K1760" s="129" t="s">
        <v>1962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s="129" t="s">
        <v>2295</v>
      </c>
      <c r="B1761" s="129" t="s">
        <v>51</v>
      </c>
      <c r="C1761" s="129" t="s">
        <v>96</v>
      </c>
      <c r="D1761">
        <v>990</v>
      </c>
      <c r="E1761">
        <v>3630.1</v>
      </c>
      <c r="F1761">
        <v>0.1</v>
      </c>
      <c r="G1761" s="129" t="s">
        <v>97</v>
      </c>
      <c r="H1761" s="129" t="s">
        <v>97</v>
      </c>
      <c r="I1761">
        <v>0</v>
      </c>
      <c r="J1761">
        <v>0</v>
      </c>
      <c r="K1761" s="129" t="s">
        <v>1962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s="129" t="s">
        <v>2297</v>
      </c>
      <c r="B1762" s="129" t="s">
        <v>51</v>
      </c>
      <c r="C1762" s="129" t="s">
        <v>96</v>
      </c>
      <c r="D1762">
        <v>3630</v>
      </c>
      <c r="E1762">
        <v>11200.1</v>
      </c>
      <c r="F1762">
        <v>0.1</v>
      </c>
      <c r="G1762" s="129" t="s">
        <v>97</v>
      </c>
      <c r="H1762" s="129" t="s">
        <v>97</v>
      </c>
      <c r="I1762">
        <v>0</v>
      </c>
      <c r="J1762">
        <v>0</v>
      </c>
      <c r="K1762" s="129" t="s">
        <v>1962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s="129" t="s">
        <v>843</v>
      </c>
      <c r="B1763" s="129" t="s">
        <v>51</v>
      </c>
      <c r="C1763" s="129" t="s">
        <v>96</v>
      </c>
      <c r="D1763">
        <v>11200</v>
      </c>
      <c r="E1763">
        <v>20900</v>
      </c>
      <c r="F1763">
        <v>0.1</v>
      </c>
      <c r="G1763" s="129" t="s">
        <v>97</v>
      </c>
      <c r="H1763" s="129" t="s">
        <v>97</v>
      </c>
      <c r="I1763">
        <v>0</v>
      </c>
      <c r="J1763">
        <v>0</v>
      </c>
      <c r="K1763" s="129" t="s">
        <v>1962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s="129" t="s">
        <v>847</v>
      </c>
      <c r="B1764" s="129" t="s">
        <v>51</v>
      </c>
      <c r="C1764" s="129" t="s">
        <v>96</v>
      </c>
      <c r="D1764">
        <v>20900</v>
      </c>
      <c r="E1764">
        <v>20901</v>
      </c>
      <c r="F1764">
        <v>0.1</v>
      </c>
      <c r="G1764" s="129" t="s">
        <v>97</v>
      </c>
      <c r="H1764" s="129" t="s">
        <v>97</v>
      </c>
      <c r="I1764">
        <v>0</v>
      </c>
      <c r="J1764">
        <v>0</v>
      </c>
      <c r="K1764" s="129" t="s">
        <v>1962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s="129" t="s">
        <v>823</v>
      </c>
      <c r="B1765" s="129" t="s">
        <v>51</v>
      </c>
      <c r="C1765" s="129" t="s">
        <v>96</v>
      </c>
      <c r="D1765">
        <v>1.0900000000000001</v>
      </c>
      <c r="E1765">
        <v>10.9001</v>
      </c>
      <c r="F1765">
        <v>1</v>
      </c>
      <c r="G1765" s="129" t="s">
        <v>97</v>
      </c>
      <c r="H1765" s="129" t="s">
        <v>97</v>
      </c>
      <c r="I1765">
        <v>0</v>
      </c>
      <c r="J1765">
        <v>0</v>
      </c>
      <c r="K1765" s="129" t="s">
        <v>1962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s="129" t="s">
        <v>827</v>
      </c>
      <c r="B1766" s="129" t="s">
        <v>51</v>
      </c>
      <c r="C1766" s="129" t="s">
        <v>96</v>
      </c>
      <c r="D1766">
        <v>10.9</v>
      </c>
      <c r="E1766">
        <v>109.0001</v>
      </c>
      <c r="F1766">
        <v>1</v>
      </c>
      <c r="G1766" s="129" t="s">
        <v>97</v>
      </c>
      <c r="H1766" s="129" t="s">
        <v>97</v>
      </c>
      <c r="I1766">
        <v>0</v>
      </c>
      <c r="J1766">
        <v>0</v>
      </c>
      <c r="K1766" s="129" t="s">
        <v>1962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s="129" t="s">
        <v>831</v>
      </c>
      <c r="B1767" s="129" t="s">
        <v>51</v>
      </c>
      <c r="C1767" s="129" t="s">
        <v>96</v>
      </c>
      <c r="D1767">
        <v>109</v>
      </c>
      <c r="E1767">
        <v>363.00009999999997</v>
      </c>
      <c r="F1767">
        <v>1</v>
      </c>
      <c r="G1767" s="129" t="s">
        <v>97</v>
      </c>
      <c r="H1767" s="129" t="s">
        <v>97</v>
      </c>
      <c r="I1767">
        <v>0</v>
      </c>
      <c r="J1767">
        <v>0</v>
      </c>
      <c r="K1767" s="129" t="s">
        <v>1962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s="129" t="s">
        <v>835</v>
      </c>
      <c r="B1768" s="129" t="s">
        <v>51</v>
      </c>
      <c r="C1768" s="129" t="s">
        <v>96</v>
      </c>
      <c r="D1768">
        <v>363</v>
      </c>
      <c r="E1768">
        <v>990.00009999999997</v>
      </c>
      <c r="F1768">
        <v>1</v>
      </c>
      <c r="G1768" s="129" t="s">
        <v>97</v>
      </c>
      <c r="H1768" s="129" t="s">
        <v>97</v>
      </c>
      <c r="I1768">
        <v>0</v>
      </c>
      <c r="J1768">
        <v>0</v>
      </c>
      <c r="K1768" s="129" t="s">
        <v>1962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s="129" t="s">
        <v>837</v>
      </c>
      <c r="B1769" s="129" t="s">
        <v>51</v>
      </c>
      <c r="C1769" s="129" t="s">
        <v>96</v>
      </c>
      <c r="D1769">
        <v>990</v>
      </c>
      <c r="E1769">
        <v>3630.1</v>
      </c>
      <c r="F1769">
        <v>1</v>
      </c>
      <c r="G1769" s="129" t="s">
        <v>97</v>
      </c>
      <c r="H1769" s="129" t="s">
        <v>97</v>
      </c>
      <c r="I1769">
        <v>0</v>
      </c>
      <c r="J1769">
        <v>0</v>
      </c>
      <c r="K1769" s="129" t="s">
        <v>1962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s="129" t="s">
        <v>840</v>
      </c>
      <c r="B1770" s="129" t="s">
        <v>51</v>
      </c>
      <c r="C1770" s="129" t="s">
        <v>96</v>
      </c>
      <c r="D1770">
        <v>3630</v>
      </c>
      <c r="E1770">
        <v>11200.1</v>
      </c>
      <c r="F1770">
        <v>1</v>
      </c>
      <c r="G1770" s="129" t="s">
        <v>97</v>
      </c>
      <c r="H1770" s="129" t="s">
        <v>97</v>
      </c>
      <c r="I1770">
        <v>0</v>
      </c>
      <c r="J1770">
        <v>0</v>
      </c>
      <c r="K1770" s="129" t="s">
        <v>1962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s="129" t="s">
        <v>2299</v>
      </c>
      <c r="B1771" s="129" t="s">
        <v>51</v>
      </c>
      <c r="C1771" s="129" t="s">
        <v>96</v>
      </c>
      <c r="D1771">
        <v>11200</v>
      </c>
      <c r="E1771">
        <v>20900</v>
      </c>
      <c r="F1771">
        <v>1</v>
      </c>
      <c r="G1771" s="129" t="s">
        <v>97</v>
      </c>
      <c r="H1771" s="129" t="s">
        <v>97</v>
      </c>
      <c r="I1771">
        <v>0</v>
      </c>
      <c r="J1771">
        <v>0</v>
      </c>
      <c r="K1771" s="129" t="s">
        <v>1962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s="129" t="s">
        <v>848</v>
      </c>
      <c r="B1772" s="129" t="s">
        <v>51</v>
      </c>
      <c r="C1772" s="129" t="s">
        <v>96</v>
      </c>
      <c r="D1772">
        <v>20900</v>
      </c>
      <c r="E1772">
        <v>20901</v>
      </c>
      <c r="F1772">
        <v>1</v>
      </c>
      <c r="G1772" s="129" t="s">
        <v>97</v>
      </c>
      <c r="H1772" s="129" t="s">
        <v>97</v>
      </c>
      <c r="I1772">
        <v>0</v>
      </c>
      <c r="J1772">
        <v>0</v>
      </c>
      <c r="K1772" s="129" t="s">
        <v>1962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s="129" t="s">
        <v>828</v>
      </c>
      <c r="B1773" s="129" t="s">
        <v>51</v>
      </c>
      <c r="C1773" s="129" t="s">
        <v>96</v>
      </c>
      <c r="D1773">
        <v>10.9</v>
      </c>
      <c r="E1773">
        <v>109.0001</v>
      </c>
      <c r="F1773">
        <v>10</v>
      </c>
      <c r="G1773" s="129" t="s">
        <v>97</v>
      </c>
      <c r="H1773" s="129" t="s">
        <v>97</v>
      </c>
      <c r="I1773">
        <v>0</v>
      </c>
      <c r="J1773">
        <v>0</v>
      </c>
      <c r="K1773" s="129" t="s">
        <v>1962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s="129" t="s">
        <v>832</v>
      </c>
      <c r="B1774" s="129" t="s">
        <v>51</v>
      </c>
      <c r="C1774" s="129" t="s">
        <v>96</v>
      </c>
      <c r="D1774">
        <v>109</v>
      </c>
      <c r="E1774">
        <v>363.00009999999997</v>
      </c>
      <c r="F1774">
        <v>10</v>
      </c>
      <c r="G1774" s="129" t="s">
        <v>97</v>
      </c>
      <c r="H1774" s="129" t="s">
        <v>97</v>
      </c>
      <c r="I1774">
        <v>0</v>
      </c>
      <c r="J1774">
        <v>0</v>
      </c>
      <c r="K1774" s="129" t="s">
        <v>1962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s="129" t="s">
        <v>836</v>
      </c>
      <c r="B1775" s="129" t="s">
        <v>51</v>
      </c>
      <c r="C1775" s="129" t="s">
        <v>96</v>
      </c>
      <c r="D1775">
        <v>363</v>
      </c>
      <c r="E1775">
        <v>990.00009999999997</v>
      </c>
      <c r="F1775">
        <v>10</v>
      </c>
      <c r="G1775" s="129" t="s">
        <v>97</v>
      </c>
      <c r="H1775" s="129" t="s">
        <v>97</v>
      </c>
      <c r="I1775">
        <v>0</v>
      </c>
      <c r="J1775">
        <v>0</v>
      </c>
      <c r="K1775" s="129" t="s">
        <v>1962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s="129" t="s">
        <v>838</v>
      </c>
      <c r="B1776" s="129" t="s">
        <v>51</v>
      </c>
      <c r="C1776" s="129" t="s">
        <v>96</v>
      </c>
      <c r="D1776">
        <v>990</v>
      </c>
      <c r="E1776">
        <v>3630.1</v>
      </c>
      <c r="F1776">
        <v>10</v>
      </c>
      <c r="G1776" s="129" t="s">
        <v>97</v>
      </c>
      <c r="H1776" s="129" t="s">
        <v>97</v>
      </c>
      <c r="I1776">
        <v>0</v>
      </c>
      <c r="J1776">
        <v>0</v>
      </c>
      <c r="K1776" s="129" t="s">
        <v>1962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s="129" t="s">
        <v>841</v>
      </c>
      <c r="B1777" s="129" t="s">
        <v>51</v>
      </c>
      <c r="C1777" s="129" t="s">
        <v>96</v>
      </c>
      <c r="D1777">
        <v>3630</v>
      </c>
      <c r="E1777">
        <v>11200.1</v>
      </c>
      <c r="F1777">
        <v>10</v>
      </c>
      <c r="G1777" s="129" t="s">
        <v>97</v>
      </c>
      <c r="H1777" s="129" t="s">
        <v>97</v>
      </c>
      <c r="I1777">
        <v>0</v>
      </c>
      <c r="J1777">
        <v>0</v>
      </c>
      <c r="K1777" s="129" t="s">
        <v>1962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s="129" t="s">
        <v>844</v>
      </c>
      <c r="B1778" s="129" t="s">
        <v>51</v>
      </c>
      <c r="C1778" s="129" t="s">
        <v>96</v>
      </c>
      <c r="D1778">
        <v>11200</v>
      </c>
      <c r="E1778">
        <v>20900</v>
      </c>
      <c r="F1778">
        <v>10</v>
      </c>
      <c r="G1778" s="129" t="s">
        <v>97</v>
      </c>
      <c r="H1778" s="129" t="s">
        <v>97</v>
      </c>
      <c r="I1778">
        <v>0</v>
      </c>
      <c r="J1778">
        <v>0</v>
      </c>
      <c r="K1778" s="129" t="s">
        <v>1962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s="129" t="s">
        <v>2300</v>
      </c>
      <c r="B1779" s="129" t="s">
        <v>51</v>
      </c>
      <c r="C1779" s="129" t="s">
        <v>96</v>
      </c>
      <c r="D1779">
        <v>20900</v>
      </c>
      <c r="E1779">
        <v>20901</v>
      </c>
      <c r="F1779">
        <v>10</v>
      </c>
      <c r="G1779" s="129" t="s">
        <v>97</v>
      </c>
      <c r="H1779" s="129" t="s">
        <v>97</v>
      </c>
      <c r="I1779">
        <v>0</v>
      </c>
      <c r="J1779">
        <v>0</v>
      </c>
      <c r="K1779" s="129" t="s">
        <v>1962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s="129" t="s">
        <v>2294</v>
      </c>
      <c r="B1780" s="129" t="s">
        <v>51</v>
      </c>
      <c r="C1780" s="129" t="s">
        <v>96</v>
      </c>
      <c r="D1780">
        <v>363</v>
      </c>
      <c r="E1780">
        <v>990.00009999999997</v>
      </c>
      <c r="F1780">
        <v>100</v>
      </c>
      <c r="G1780" s="129" t="s">
        <v>97</v>
      </c>
      <c r="H1780" s="129" t="s">
        <v>97</v>
      </c>
      <c r="I1780">
        <v>0</v>
      </c>
      <c r="J1780">
        <v>0</v>
      </c>
      <c r="K1780" s="129" t="s">
        <v>1962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s="129" t="s">
        <v>2296</v>
      </c>
      <c r="B1781" s="129" t="s">
        <v>51</v>
      </c>
      <c r="C1781" s="129" t="s">
        <v>96</v>
      </c>
      <c r="D1781">
        <v>990</v>
      </c>
      <c r="E1781">
        <v>3630.1</v>
      </c>
      <c r="F1781">
        <v>100</v>
      </c>
      <c r="G1781" s="129" t="s">
        <v>97</v>
      </c>
      <c r="H1781" s="129" t="s">
        <v>97</v>
      </c>
      <c r="I1781">
        <v>0</v>
      </c>
      <c r="J1781">
        <v>0</v>
      </c>
      <c r="K1781" s="129" t="s">
        <v>1962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s="129" t="s">
        <v>2298</v>
      </c>
      <c r="B1782" s="129" t="s">
        <v>51</v>
      </c>
      <c r="C1782" s="129" t="s">
        <v>96</v>
      </c>
      <c r="D1782">
        <v>3630</v>
      </c>
      <c r="E1782">
        <v>11200.1</v>
      </c>
      <c r="F1782">
        <v>100</v>
      </c>
      <c r="G1782" s="129" t="s">
        <v>97</v>
      </c>
      <c r="H1782" s="129" t="s">
        <v>97</v>
      </c>
      <c r="I1782">
        <v>0</v>
      </c>
      <c r="J1782">
        <v>0</v>
      </c>
      <c r="K1782" s="129" t="s">
        <v>1962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s="129" t="s">
        <v>845</v>
      </c>
      <c r="B1783" s="129" t="s">
        <v>51</v>
      </c>
      <c r="C1783" s="129" t="s">
        <v>96</v>
      </c>
      <c r="D1783">
        <v>11200</v>
      </c>
      <c r="E1783">
        <v>20900</v>
      </c>
      <c r="F1783">
        <v>100</v>
      </c>
      <c r="G1783" s="129" t="s">
        <v>97</v>
      </c>
      <c r="H1783" s="129" t="s">
        <v>97</v>
      </c>
      <c r="I1783">
        <v>0</v>
      </c>
      <c r="J1783">
        <v>0</v>
      </c>
      <c r="K1783" s="129" t="s">
        <v>1962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s="129" t="s">
        <v>849</v>
      </c>
      <c r="B1784" s="129" t="s">
        <v>51</v>
      </c>
      <c r="C1784" s="129" t="s">
        <v>96</v>
      </c>
      <c r="D1784">
        <v>20900</v>
      </c>
      <c r="E1784">
        <v>20901</v>
      </c>
      <c r="F1784">
        <v>100</v>
      </c>
      <c r="G1784" s="129" t="s">
        <v>97</v>
      </c>
      <c r="H1784" s="129" t="s">
        <v>97</v>
      </c>
      <c r="I1784">
        <v>0</v>
      </c>
      <c r="J1784">
        <v>0</v>
      </c>
      <c r="K1784" s="129" t="s">
        <v>1962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s="129" t="s">
        <v>839</v>
      </c>
      <c r="B1785" s="129" t="s">
        <v>51</v>
      </c>
      <c r="C1785" s="129" t="s">
        <v>96</v>
      </c>
      <c r="D1785">
        <v>990</v>
      </c>
      <c r="E1785">
        <v>3630.1</v>
      </c>
      <c r="F1785">
        <v>1000</v>
      </c>
      <c r="G1785" s="129" t="s">
        <v>97</v>
      </c>
      <c r="H1785" s="129" t="s">
        <v>97</v>
      </c>
      <c r="I1785">
        <v>0</v>
      </c>
      <c r="J1785">
        <v>0</v>
      </c>
      <c r="K1785" s="129" t="s">
        <v>1962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s="129" t="s">
        <v>842</v>
      </c>
      <c r="B1786" s="129" t="s">
        <v>51</v>
      </c>
      <c r="C1786" s="129" t="s">
        <v>96</v>
      </c>
      <c r="D1786">
        <v>3630</v>
      </c>
      <c r="E1786">
        <v>11200.1</v>
      </c>
      <c r="F1786">
        <v>1000</v>
      </c>
      <c r="G1786" s="129" t="s">
        <v>97</v>
      </c>
      <c r="H1786" s="129" t="s">
        <v>97</v>
      </c>
      <c r="I1786">
        <v>0</v>
      </c>
      <c r="J1786">
        <v>0</v>
      </c>
      <c r="K1786" s="129" t="s">
        <v>1962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s="129" t="s">
        <v>846</v>
      </c>
      <c r="B1787" s="129" t="s">
        <v>51</v>
      </c>
      <c r="C1787" s="129" t="s">
        <v>96</v>
      </c>
      <c r="D1787">
        <v>11200</v>
      </c>
      <c r="E1787">
        <v>20900</v>
      </c>
      <c r="F1787">
        <v>1000</v>
      </c>
      <c r="G1787" s="129" t="s">
        <v>97</v>
      </c>
      <c r="H1787" s="129" t="s">
        <v>97</v>
      </c>
      <c r="I1787">
        <v>0</v>
      </c>
      <c r="J1787">
        <v>0</v>
      </c>
      <c r="K1787" s="129" t="s">
        <v>1962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s="129" t="s">
        <v>850</v>
      </c>
      <c r="B1788" s="129" t="s">
        <v>51</v>
      </c>
      <c r="C1788" s="129" t="s">
        <v>96</v>
      </c>
      <c r="D1788">
        <v>20900</v>
      </c>
      <c r="E1788">
        <v>20901</v>
      </c>
      <c r="F1788">
        <v>1000</v>
      </c>
      <c r="G1788" s="129" t="s">
        <v>97</v>
      </c>
      <c r="H1788" s="129" t="s">
        <v>97</v>
      </c>
      <c r="I1788">
        <v>0</v>
      </c>
      <c r="J1788">
        <v>0</v>
      </c>
      <c r="K1788" s="129" t="s">
        <v>1962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s="129" t="s">
        <v>2154</v>
      </c>
      <c r="B1789" s="129" t="s">
        <v>51</v>
      </c>
      <c r="C1789" s="129" t="s">
        <v>14</v>
      </c>
      <c r="D1789">
        <v>2.1999999999999999E-10</v>
      </c>
      <c r="E1789">
        <v>3.3000000000000002E-9</v>
      </c>
      <c r="F1789">
        <v>1E-13</v>
      </c>
      <c r="G1789" s="129" t="s">
        <v>135</v>
      </c>
      <c r="H1789" s="129" t="s">
        <v>15</v>
      </c>
      <c r="I1789">
        <v>0</v>
      </c>
      <c r="J1789">
        <v>0</v>
      </c>
      <c r="K1789" s="129" t="s">
        <v>1962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s="129" t="s">
        <v>2155</v>
      </c>
      <c r="B1790" s="129" t="s">
        <v>51</v>
      </c>
      <c r="C1790" s="129" t="s">
        <v>14</v>
      </c>
      <c r="D1790">
        <v>2.1999999999999999E-10</v>
      </c>
      <c r="E1790">
        <v>3.3000000000000002E-9</v>
      </c>
      <c r="F1790">
        <v>9.9999999999999998E-13</v>
      </c>
      <c r="G1790" s="129" t="s">
        <v>135</v>
      </c>
      <c r="H1790" s="129" t="s">
        <v>15</v>
      </c>
      <c r="I1790">
        <v>0</v>
      </c>
      <c r="J1790">
        <v>0</v>
      </c>
      <c r="K1790" s="129" t="s">
        <v>1962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s="129" t="s">
        <v>2159</v>
      </c>
      <c r="B1791" s="129" t="s">
        <v>51</v>
      </c>
      <c r="C1791" s="129" t="s">
        <v>14</v>
      </c>
      <c r="D1791">
        <v>3.3000000000000002E-9</v>
      </c>
      <c r="E1791">
        <v>1.1001E-8</v>
      </c>
      <c r="F1791">
        <v>9.9999999999999998E-13</v>
      </c>
      <c r="G1791" s="129" t="s">
        <v>135</v>
      </c>
      <c r="H1791" s="129" t="s">
        <v>15</v>
      </c>
      <c r="I1791">
        <v>0</v>
      </c>
      <c r="J1791">
        <v>0</v>
      </c>
      <c r="K1791" s="129" t="s">
        <v>1962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s="129" t="s">
        <v>2163</v>
      </c>
      <c r="B1792" s="129" t="s">
        <v>51</v>
      </c>
      <c r="C1792" s="129" t="s">
        <v>14</v>
      </c>
      <c r="D1792">
        <v>1.0999999999999999E-8</v>
      </c>
      <c r="E1792">
        <v>3.3000999999999999E-8</v>
      </c>
      <c r="F1792">
        <v>9.9999999999999998E-13</v>
      </c>
      <c r="G1792" s="129" t="s">
        <v>135</v>
      </c>
      <c r="H1792" s="129" t="s">
        <v>15</v>
      </c>
      <c r="I1792">
        <v>0</v>
      </c>
      <c r="J1792">
        <v>0</v>
      </c>
      <c r="K1792" s="129" t="s">
        <v>1962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s="129" t="s">
        <v>2156</v>
      </c>
      <c r="B1793" s="129" t="s">
        <v>51</v>
      </c>
      <c r="C1793" s="129" t="s">
        <v>14</v>
      </c>
      <c r="D1793">
        <v>2.1999999999999999E-10</v>
      </c>
      <c r="E1793">
        <v>3.3000000000000002E-9</v>
      </c>
      <c r="F1793">
        <v>9.9999999999999994E-12</v>
      </c>
      <c r="G1793" s="129" t="s">
        <v>135</v>
      </c>
      <c r="H1793" s="129" t="s">
        <v>15</v>
      </c>
      <c r="I1793">
        <v>0</v>
      </c>
      <c r="J1793">
        <v>0</v>
      </c>
      <c r="K1793" s="129" t="s">
        <v>1962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s="129" t="s">
        <v>2160</v>
      </c>
      <c r="B1794" s="129" t="s">
        <v>51</v>
      </c>
      <c r="C1794" s="129" t="s">
        <v>14</v>
      </c>
      <c r="D1794">
        <v>3.3000000000000002E-9</v>
      </c>
      <c r="E1794">
        <v>1.1001E-8</v>
      </c>
      <c r="F1794">
        <v>9.9999999999999994E-12</v>
      </c>
      <c r="G1794" s="129" t="s">
        <v>135</v>
      </c>
      <c r="H1794" s="129" t="s">
        <v>15</v>
      </c>
      <c r="I1794">
        <v>0</v>
      </c>
      <c r="J1794">
        <v>0</v>
      </c>
      <c r="K1794" s="129" t="s">
        <v>1962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s="129" t="s">
        <v>2164</v>
      </c>
      <c r="B1795" s="129" t="s">
        <v>51</v>
      </c>
      <c r="C1795" s="129" t="s">
        <v>14</v>
      </c>
      <c r="D1795">
        <v>1.0999999999999999E-8</v>
      </c>
      <c r="E1795">
        <v>3.3000999999999999E-8</v>
      </c>
      <c r="F1795">
        <v>9.9999999999999994E-12</v>
      </c>
      <c r="G1795" s="129" t="s">
        <v>135</v>
      </c>
      <c r="H1795" s="129" t="s">
        <v>15</v>
      </c>
      <c r="I1795">
        <v>0</v>
      </c>
      <c r="J1795">
        <v>0</v>
      </c>
      <c r="K1795" s="129" t="s">
        <v>1962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s="129" t="s">
        <v>2168</v>
      </c>
      <c r="B1796" s="129" t="s">
        <v>51</v>
      </c>
      <c r="C1796" s="129" t="s">
        <v>14</v>
      </c>
      <c r="D1796">
        <v>3.2999999999999998E-8</v>
      </c>
      <c r="E1796">
        <v>1.1001E-7</v>
      </c>
      <c r="F1796">
        <v>9.9999999999999994E-12</v>
      </c>
      <c r="G1796" s="129" t="s">
        <v>135</v>
      </c>
      <c r="H1796" s="129" t="s">
        <v>15</v>
      </c>
      <c r="I1796">
        <v>0</v>
      </c>
      <c r="J1796">
        <v>0</v>
      </c>
      <c r="K1796" s="129" t="s">
        <v>1962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s="129" t="s">
        <v>2172</v>
      </c>
      <c r="B1797" s="129" t="s">
        <v>51</v>
      </c>
      <c r="C1797" s="129" t="s">
        <v>14</v>
      </c>
      <c r="D1797">
        <v>1.1000000000000001E-7</v>
      </c>
      <c r="E1797">
        <v>3.3000999999999998E-7</v>
      </c>
      <c r="F1797">
        <v>9.9999999999999994E-12</v>
      </c>
      <c r="G1797" s="129" t="s">
        <v>135</v>
      </c>
      <c r="H1797" s="129" t="s">
        <v>15</v>
      </c>
      <c r="I1797">
        <v>0</v>
      </c>
      <c r="J1797">
        <v>0</v>
      </c>
      <c r="K1797" s="129" t="s">
        <v>1962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s="129" t="s">
        <v>2157</v>
      </c>
      <c r="B1798" s="129" t="s">
        <v>51</v>
      </c>
      <c r="C1798" s="129" t="s">
        <v>14</v>
      </c>
      <c r="D1798">
        <v>2.1999999999999999E-10</v>
      </c>
      <c r="E1798">
        <v>3.3000000000000002E-9</v>
      </c>
      <c r="F1798">
        <v>1E-10</v>
      </c>
      <c r="G1798" s="129" t="s">
        <v>135</v>
      </c>
      <c r="H1798" s="129" t="s">
        <v>15</v>
      </c>
      <c r="I1798">
        <v>0</v>
      </c>
      <c r="J1798">
        <v>0</v>
      </c>
      <c r="K1798" s="129" t="s">
        <v>1962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s="129" t="s">
        <v>2161</v>
      </c>
      <c r="B1799" s="129" t="s">
        <v>51</v>
      </c>
      <c r="C1799" s="129" t="s">
        <v>14</v>
      </c>
      <c r="D1799">
        <v>3.3000000000000002E-9</v>
      </c>
      <c r="E1799">
        <v>1.1001E-8</v>
      </c>
      <c r="F1799">
        <v>1E-10</v>
      </c>
      <c r="G1799" s="129" t="s">
        <v>135</v>
      </c>
      <c r="H1799" s="129" t="s">
        <v>15</v>
      </c>
      <c r="I1799">
        <v>0</v>
      </c>
      <c r="J1799">
        <v>0</v>
      </c>
      <c r="K1799" s="129" t="s">
        <v>1962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s="129" t="s">
        <v>2165</v>
      </c>
      <c r="B1800" s="129" t="s">
        <v>51</v>
      </c>
      <c r="C1800" s="129" t="s">
        <v>14</v>
      </c>
      <c r="D1800">
        <v>1.0999999999999999E-8</v>
      </c>
      <c r="E1800">
        <v>3.3000999999999999E-8</v>
      </c>
      <c r="F1800">
        <v>1E-10</v>
      </c>
      <c r="G1800" s="129" t="s">
        <v>135</v>
      </c>
      <c r="H1800" s="129" t="s">
        <v>15</v>
      </c>
      <c r="I1800">
        <v>0</v>
      </c>
      <c r="J1800">
        <v>0</v>
      </c>
      <c r="K1800" s="129" t="s">
        <v>1962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s="129" t="s">
        <v>2169</v>
      </c>
      <c r="B1801" s="129" t="s">
        <v>51</v>
      </c>
      <c r="C1801" s="129" t="s">
        <v>14</v>
      </c>
      <c r="D1801">
        <v>3.2999999999999998E-8</v>
      </c>
      <c r="E1801">
        <v>1.1001E-7</v>
      </c>
      <c r="F1801">
        <v>1E-10</v>
      </c>
      <c r="G1801" s="129" t="s">
        <v>135</v>
      </c>
      <c r="H1801" s="129" t="s">
        <v>15</v>
      </c>
      <c r="I1801">
        <v>0</v>
      </c>
      <c r="J1801">
        <v>0</v>
      </c>
      <c r="K1801" s="129" t="s">
        <v>1962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s="129" t="s">
        <v>2173</v>
      </c>
      <c r="B1802" s="129" t="s">
        <v>51</v>
      </c>
      <c r="C1802" s="129" t="s">
        <v>14</v>
      </c>
      <c r="D1802">
        <v>1.1000000000000001E-7</v>
      </c>
      <c r="E1802">
        <v>3.3000999999999998E-7</v>
      </c>
      <c r="F1802">
        <v>1E-10</v>
      </c>
      <c r="G1802" s="129" t="s">
        <v>135</v>
      </c>
      <c r="H1802" s="129" t="s">
        <v>15</v>
      </c>
      <c r="I1802">
        <v>0</v>
      </c>
      <c r="J1802">
        <v>0</v>
      </c>
      <c r="K1802" s="129" t="s">
        <v>1962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s="129" t="s">
        <v>2176</v>
      </c>
      <c r="B1803" s="129" t="s">
        <v>51</v>
      </c>
      <c r="C1803" s="129" t="s">
        <v>14</v>
      </c>
      <c r="D1803">
        <v>3.3000000000000002E-7</v>
      </c>
      <c r="E1803">
        <v>1.1001000000000001E-6</v>
      </c>
      <c r="F1803">
        <v>1E-10</v>
      </c>
      <c r="G1803" s="129" t="s">
        <v>135</v>
      </c>
      <c r="H1803" s="129" t="s">
        <v>15</v>
      </c>
      <c r="I1803">
        <v>0</v>
      </c>
      <c r="J1803">
        <v>0</v>
      </c>
      <c r="K1803" s="129" t="s">
        <v>1962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s="129" t="s">
        <v>2179</v>
      </c>
      <c r="B1804" s="129" t="s">
        <v>51</v>
      </c>
      <c r="C1804" s="129" t="s">
        <v>14</v>
      </c>
      <c r="D1804">
        <v>1.1000000000000001E-6</v>
      </c>
      <c r="E1804">
        <v>3.3001E-6</v>
      </c>
      <c r="F1804">
        <v>1E-10</v>
      </c>
      <c r="G1804" s="129" t="s">
        <v>135</v>
      </c>
      <c r="H1804" s="129" t="s">
        <v>15</v>
      </c>
      <c r="I1804">
        <v>0</v>
      </c>
      <c r="J1804">
        <v>0</v>
      </c>
      <c r="K1804" s="129" t="s">
        <v>1962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s="129" t="s">
        <v>2158</v>
      </c>
      <c r="B1805" s="129" t="s">
        <v>51</v>
      </c>
      <c r="C1805" s="129" t="s">
        <v>14</v>
      </c>
      <c r="D1805">
        <v>2.1999999999999999E-10</v>
      </c>
      <c r="E1805">
        <v>3.3000000000000002E-9</v>
      </c>
      <c r="F1805">
        <v>1.0000000000000001E-9</v>
      </c>
      <c r="G1805" s="129" t="s">
        <v>135</v>
      </c>
      <c r="H1805" s="129" t="s">
        <v>15</v>
      </c>
      <c r="I1805">
        <v>0</v>
      </c>
      <c r="J1805">
        <v>0</v>
      </c>
      <c r="K1805" s="129" t="s">
        <v>1962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s="129" t="s">
        <v>2162</v>
      </c>
      <c r="B1806" s="129" t="s">
        <v>51</v>
      </c>
      <c r="C1806" s="129" t="s">
        <v>14</v>
      </c>
      <c r="D1806">
        <v>3.3000000000000002E-9</v>
      </c>
      <c r="E1806">
        <v>1.1001E-8</v>
      </c>
      <c r="F1806">
        <v>1.0000000000000001E-9</v>
      </c>
      <c r="G1806" s="129" t="s">
        <v>135</v>
      </c>
      <c r="H1806" s="129" t="s">
        <v>15</v>
      </c>
      <c r="I1806">
        <v>0</v>
      </c>
      <c r="J1806">
        <v>0</v>
      </c>
      <c r="K1806" s="129" t="s">
        <v>1962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s="129" t="s">
        <v>2166</v>
      </c>
      <c r="B1807" s="129" t="s">
        <v>51</v>
      </c>
      <c r="C1807" s="129" t="s">
        <v>14</v>
      </c>
      <c r="D1807">
        <v>1.0999999999999999E-8</v>
      </c>
      <c r="E1807">
        <v>3.3000999999999999E-8</v>
      </c>
      <c r="F1807">
        <v>1.0000000000000001E-9</v>
      </c>
      <c r="G1807" s="129" t="s">
        <v>135</v>
      </c>
      <c r="H1807" s="129" t="s">
        <v>15</v>
      </c>
      <c r="I1807">
        <v>0</v>
      </c>
      <c r="J1807">
        <v>0</v>
      </c>
      <c r="K1807" s="129" t="s">
        <v>1962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s="129" t="s">
        <v>2170</v>
      </c>
      <c r="B1808" s="129" t="s">
        <v>51</v>
      </c>
      <c r="C1808" s="129" t="s">
        <v>14</v>
      </c>
      <c r="D1808">
        <v>3.2999999999999998E-8</v>
      </c>
      <c r="E1808">
        <v>1.1001E-7</v>
      </c>
      <c r="F1808">
        <v>1.0000000000000001E-9</v>
      </c>
      <c r="G1808" s="129" t="s">
        <v>135</v>
      </c>
      <c r="H1808" s="129" t="s">
        <v>15</v>
      </c>
      <c r="I1808">
        <v>0</v>
      </c>
      <c r="J1808">
        <v>0</v>
      </c>
      <c r="K1808" s="129" t="s">
        <v>1962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s="129" t="s">
        <v>2174</v>
      </c>
      <c r="B1809" s="129" t="s">
        <v>51</v>
      </c>
      <c r="C1809" s="129" t="s">
        <v>14</v>
      </c>
      <c r="D1809">
        <v>1.1000000000000001E-7</v>
      </c>
      <c r="E1809">
        <v>3.3000999999999998E-7</v>
      </c>
      <c r="F1809">
        <v>1.0000000000000001E-9</v>
      </c>
      <c r="G1809" s="129" t="s">
        <v>135</v>
      </c>
      <c r="H1809" s="129" t="s">
        <v>15</v>
      </c>
      <c r="I1809">
        <v>0</v>
      </c>
      <c r="J1809">
        <v>0</v>
      </c>
      <c r="K1809" s="129" t="s">
        <v>1962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s="129" t="s">
        <v>2177</v>
      </c>
      <c r="B1810" s="129" t="s">
        <v>51</v>
      </c>
      <c r="C1810" s="129" t="s">
        <v>14</v>
      </c>
      <c r="D1810">
        <v>3.3000000000000002E-7</v>
      </c>
      <c r="E1810">
        <v>1.1001000000000001E-6</v>
      </c>
      <c r="F1810">
        <v>1.0000000000000001E-9</v>
      </c>
      <c r="G1810" s="129" t="s">
        <v>135</v>
      </c>
      <c r="H1810" s="129" t="s">
        <v>15</v>
      </c>
      <c r="I1810">
        <v>0</v>
      </c>
      <c r="J1810">
        <v>0</v>
      </c>
      <c r="K1810" s="129" t="s">
        <v>1962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s="129" t="s">
        <v>2180</v>
      </c>
      <c r="B1811" s="129" t="s">
        <v>51</v>
      </c>
      <c r="C1811" s="129" t="s">
        <v>14</v>
      </c>
      <c r="D1811">
        <v>1.1000000000000001E-6</v>
      </c>
      <c r="E1811">
        <v>3.3001E-6</v>
      </c>
      <c r="F1811">
        <v>1.0000000000000001E-9</v>
      </c>
      <c r="G1811" s="129" t="s">
        <v>135</v>
      </c>
      <c r="H1811" s="129" t="s">
        <v>15</v>
      </c>
      <c r="I1811">
        <v>0</v>
      </c>
      <c r="J1811">
        <v>0</v>
      </c>
      <c r="K1811" s="129" t="s">
        <v>1962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s="129" t="s">
        <v>2181</v>
      </c>
      <c r="B1812" s="129" t="s">
        <v>51</v>
      </c>
      <c r="C1812" s="129" t="s">
        <v>14</v>
      </c>
      <c r="D1812">
        <v>3.3000000000000002E-6</v>
      </c>
      <c r="E1812">
        <v>1.1001E-5</v>
      </c>
      <c r="F1812">
        <v>1.0000000000000001E-9</v>
      </c>
      <c r="G1812" s="129" t="s">
        <v>135</v>
      </c>
      <c r="H1812" s="129" t="s">
        <v>15</v>
      </c>
      <c r="I1812">
        <v>0</v>
      </c>
      <c r="J1812">
        <v>0</v>
      </c>
      <c r="K1812" s="129" t="s">
        <v>1962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s="129" t="s">
        <v>775</v>
      </c>
      <c r="B1813" s="129" t="s">
        <v>51</v>
      </c>
      <c r="C1813" s="129" t="s">
        <v>14</v>
      </c>
      <c r="D1813">
        <v>1.1E-5</v>
      </c>
      <c r="E1813">
        <v>3.3000999999999998E-5</v>
      </c>
      <c r="F1813">
        <v>1.0000000000000001E-9</v>
      </c>
      <c r="G1813" s="129" t="s">
        <v>135</v>
      </c>
      <c r="H1813" s="129" t="s">
        <v>15</v>
      </c>
      <c r="I1813">
        <v>0</v>
      </c>
      <c r="J1813">
        <v>0</v>
      </c>
      <c r="K1813" s="129" t="s">
        <v>1962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s="129" t="s">
        <v>2167</v>
      </c>
      <c r="B1814" s="129" t="s">
        <v>51</v>
      </c>
      <c r="C1814" s="129" t="s">
        <v>14</v>
      </c>
      <c r="D1814">
        <v>1.0999999999999999E-8</v>
      </c>
      <c r="E1814">
        <v>3.3000999999999999E-8</v>
      </c>
      <c r="F1814">
        <v>1E-8</v>
      </c>
      <c r="G1814" s="129" t="s">
        <v>135</v>
      </c>
      <c r="H1814" s="129" t="s">
        <v>15</v>
      </c>
      <c r="I1814">
        <v>0</v>
      </c>
      <c r="J1814">
        <v>0</v>
      </c>
      <c r="K1814" s="129" t="s">
        <v>1962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s="129" t="s">
        <v>2171</v>
      </c>
      <c r="B1815" s="129" t="s">
        <v>51</v>
      </c>
      <c r="C1815" s="129" t="s">
        <v>14</v>
      </c>
      <c r="D1815">
        <v>3.2999999999999998E-8</v>
      </c>
      <c r="E1815">
        <v>1.1001E-7</v>
      </c>
      <c r="F1815">
        <v>1E-8</v>
      </c>
      <c r="G1815" s="129" t="s">
        <v>135</v>
      </c>
      <c r="H1815" s="129" t="s">
        <v>15</v>
      </c>
      <c r="I1815">
        <v>0</v>
      </c>
      <c r="J1815">
        <v>0</v>
      </c>
      <c r="K1815" s="129" t="s">
        <v>1962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s="129" t="s">
        <v>2175</v>
      </c>
      <c r="B1816" s="129" t="s">
        <v>51</v>
      </c>
      <c r="C1816" s="129" t="s">
        <v>14</v>
      </c>
      <c r="D1816">
        <v>1.1000000000000001E-7</v>
      </c>
      <c r="E1816">
        <v>3.3000999999999998E-7</v>
      </c>
      <c r="F1816">
        <v>1E-8</v>
      </c>
      <c r="G1816" s="129" t="s">
        <v>135</v>
      </c>
      <c r="H1816" s="129" t="s">
        <v>15</v>
      </c>
      <c r="I1816">
        <v>0</v>
      </c>
      <c r="J1816">
        <v>0</v>
      </c>
      <c r="K1816" s="129" t="s">
        <v>1962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s="129" t="s">
        <v>2178</v>
      </c>
      <c r="B1817" s="129" t="s">
        <v>51</v>
      </c>
      <c r="C1817" s="129" t="s">
        <v>14</v>
      </c>
      <c r="D1817">
        <v>3.3000000000000002E-7</v>
      </c>
      <c r="E1817">
        <v>1.1001000000000001E-6</v>
      </c>
      <c r="F1817">
        <v>1E-8</v>
      </c>
      <c r="G1817" s="129" t="s">
        <v>135</v>
      </c>
      <c r="H1817" s="129" t="s">
        <v>15</v>
      </c>
      <c r="I1817">
        <v>0</v>
      </c>
      <c r="J1817">
        <v>0</v>
      </c>
      <c r="K1817" s="129" t="s">
        <v>1962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s="129" t="s">
        <v>771</v>
      </c>
      <c r="B1818" s="129" t="s">
        <v>51</v>
      </c>
      <c r="C1818" s="129" t="s">
        <v>14</v>
      </c>
      <c r="D1818">
        <v>1.1000000000000001E-6</v>
      </c>
      <c r="E1818">
        <v>3.3001E-6</v>
      </c>
      <c r="F1818">
        <v>1E-8</v>
      </c>
      <c r="G1818" s="129" t="s">
        <v>135</v>
      </c>
      <c r="H1818" s="129" t="s">
        <v>15</v>
      </c>
      <c r="I1818">
        <v>0</v>
      </c>
      <c r="J1818">
        <v>0</v>
      </c>
      <c r="K1818" s="129" t="s">
        <v>1962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s="129" t="s">
        <v>773</v>
      </c>
      <c r="B1819" s="129" t="s">
        <v>51</v>
      </c>
      <c r="C1819" s="129" t="s">
        <v>14</v>
      </c>
      <c r="D1819">
        <v>3.3000000000000002E-6</v>
      </c>
      <c r="E1819">
        <v>1.1001E-5</v>
      </c>
      <c r="F1819">
        <v>1E-8</v>
      </c>
      <c r="G1819" s="129" t="s">
        <v>135</v>
      </c>
      <c r="H1819" s="129" t="s">
        <v>15</v>
      </c>
      <c r="I1819">
        <v>0</v>
      </c>
      <c r="J1819">
        <v>0</v>
      </c>
      <c r="K1819" s="129" t="s">
        <v>1962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s="129" t="s">
        <v>776</v>
      </c>
      <c r="B1820" s="129" t="s">
        <v>51</v>
      </c>
      <c r="C1820" s="129" t="s">
        <v>14</v>
      </c>
      <c r="D1820">
        <v>1.1E-5</v>
      </c>
      <c r="E1820">
        <v>3.3000999999999998E-5</v>
      </c>
      <c r="F1820">
        <v>1E-8</v>
      </c>
      <c r="G1820" s="129" t="s">
        <v>135</v>
      </c>
      <c r="H1820" s="129" t="s">
        <v>15</v>
      </c>
      <c r="I1820">
        <v>0</v>
      </c>
      <c r="J1820">
        <v>0</v>
      </c>
      <c r="K1820" s="129" t="s">
        <v>1962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s="129" t="s">
        <v>778</v>
      </c>
      <c r="B1821" s="129" t="s">
        <v>51</v>
      </c>
      <c r="C1821" s="129" t="s">
        <v>14</v>
      </c>
      <c r="D1821">
        <v>3.3000000000000003E-5</v>
      </c>
      <c r="E1821">
        <v>1.1001E-4</v>
      </c>
      <c r="F1821">
        <v>1E-8</v>
      </c>
      <c r="G1821" s="129" t="s">
        <v>135</v>
      </c>
      <c r="H1821" s="129" t="s">
        <v>15</v>
      </c>
      <c r="I1821">
        <v>0</v>
      </c>
      <c r="J1821">
        <v>0</v>
      </c>
      <c r="K1821" s="129" t="s">
        <v>1962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s="129" t="s">
        <v>782</v>
      </c>
      <c r="B1822" s="129" t="s">
        <v>51</v>
      </c>
      <c r="C1822" s="129" t="s">
        <v>14</v>
      </c>
      <c r="D1822">
        <v>1.1E-4</v>
      </c>
      <c r="E1822">
        <v>3.3000999999999999E-4</v>
      </c>
      <c r="F1822">
        <v>1E-8</v>
      </c>
      <c r="G1822" s="129" t="s">
        <v>135</v>
      </c>
      <c r="H1822" s="129" t="s">
        <v>16</v>
      </c>
      <c r="I1822">
        <v>0</v>
      </c>
      <c r="J1822">
        <v>0</v>
      </c>
      <c r="K1822" s="129" t="s">
        <v>1962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s="129" t="s">
        <v>770</v>
      </c>
      <c r="B1823" s="129" t="s">
        <v>51</v>
      </c>
      <c r="C1823" s="129" t="s">
        <v>14</v>
      </c>
      <c r="D1823">
        <v>3.3000000000000002E-7</v>
      </c>
      <c r="E1823">
        <v>1.1001000000000001E-6</v>
      </c>
      <c r="F1823">
        <v>9.9999999999999995E-8</v>
      </c>
      <c r="G1823" s="129" t="s">
        <v>135</v>
      </c>
      <c r="H1823" s="129" t="s">
        <v>15</v>
      </c>
      <c r="I1823">
        <v>0</v>
      </c>
      <c r="J1823">
        <v>0</v>
      </c>
      <c r="K1823" s="129" t="s">
        <v>1962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s="129" t="s">
        <v>772</v>
      </c>
      <c r="B1824" s="129" t="s">
        <v>51</v>
      </c>
      <c r="C1824" s="129" t="s">
        <v>14</v>
      </c>
      <c r="D1824">
        <v>1.1000000000000001E-6</v>
      </c>
      <c r="E1824">
        <v>3.3001E-6</v>
      </c>
      <c r="F1824">
        <v>9.9999999999999995E-8</v>
      </c>
      <c r="G1824" s="129" t="s">
        <v>135</v>
      </c>
      <c r="H1824" s="129" t="s">
        <v>15</v>
      </c>
      <c r="I1824">
        <v>0</v>
      </c>
      <c r="J1824">
        <v>0</v>
      </c>
      <c r="K1824" s="129" t="s">
        <v>1962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s="129" t="s">
        <v>2182</v>
      </c>
      <c r="B1825" s="129" t="s">
        <v>51</v>
      </c>
      <c r="C1825" s="129" t="s">
        <v>14</v>
      </c>
      <c r="D1825">
        <v>3.3000000000000002E-6</v>
      </c>
      <c r="E1825">
        <v>1.1001E-5</v>
      </c>
      <c r="F1825">
        <v>9.9999999999999995E-8</v>
      </c>
      <c r="G1825" s="129" t="s">
        <v>135</v>
      </c>
      <c r="H1825" s="129" t="s">
        <v>15</v>
      </c>
      <c r="I1825">
        <v>0</v>
      </c>
      <c r="J1825">
        <v>0</v>
      </c>
      <c r="K1825" s="129" t="s">
        <v>1962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s="129" t="s">
        <v>2183</v>
      </c>
      <c r="B1826" s="129" t="s">
        <v>51</v>
      </c>
      <c r="C1826" s="129" t="s">
        <v>14</v>
      </c>
      <c r="D1826">
        <v>1.1E-5</v>
      </c>
      <c r="E1826">
        <v>3.3000999999999998E-5</v>
      </c>
      <c r="F1826">
        <v>9.9999999999999995E-8</v>
      </c>
      <c r="G1826" s="129" t="s">
        <v>135</v>
      </c>
      <c r="H1826" s="129" t="s">
        <v>15</v>
      </c>
      <c r="I1826">
        <v>0</v>
      </c>
      <c r="J1826">
        <v>0</v>
      </c>
      <c r="K1826" s="129" t="s">
        <v>1962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s="129" t="s">
        <v>779</v>
      </c>
      <c r="B1827" s="129" t="s">
        <v>51</v>
      </c>
      <c r="C1827" s="129" t="s">
        <v>14</v>
      </c>
      <c r="D1827">
        <v>3.3000000000000003E-5</v>
      </c>
      <c r="E1827">
        <v>1.1001E-4</v>
      </c>
      <c r="F1827">
        <v>9.9999999999999995E-8</v>
      </c>
      <c r="G1827" s="129" t="s">
        <v>135</v>
      </c>
      <c r="H1827" s="129" t="s">
        <v>15</v>
      </c>
      <c r="I1827">
        <v>0</v>
      </c>
      <c r="J1827">
        <v>0</v>
      </c>
      <c r="K1827" s="129" t="s">
        <v>1962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s="129" t="s">
        <v>2184</v>
      </c>
      <c r="B1828" s="129" t="s">
        <v>51</v>
      </c>
      <c r="C1828" s="129" t="s">
        <v>14</v>
      </c>
      <c r="D1828">
        <v>1.1E-4</v>
      </c>
      <c r="E1828">
        <v>3.3000999999999999E-4</v>
      </c>
      <c r="F1828">
        <v>9.9999999999999995E-8</v>
      </c>
      <c r="G1828" s="129" t="s">
        <v>135</v>
      </c>
      <c r="H1828" s="129" t="s">
        <v>16</v>
      </c>
      <c r="I1828">
        <v>0</v>
      </c>
      <c r="J1828">
        <v>0</v>
      </c>
      <c r="K1828" s="129" t="s">
        <v>1962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s="129" t="s">
        <v>784</v>
      </c>
      <c r="B1829" s="129" t="s">
        <v>51</v>
      </c>
      <c r="C1829" s="129" t="s">
        <v>14</v>
      </c>
      <c r="D1829">
        <v>3.3E-4</v>
      </c>
      <c r="E1829">
        <v>1.1000999999999999E-3</v>
      </c>
      <c r="F1829">
        <v>9.9999999999999995E-8</v>
      </c>
      <c r="G1829" s="129" t="s">
        <v>135</v>
      </c>
      <c r="H1829" s="129" t="s">
        <v>16</v>
      </c>
      <c r="I1829">
        <v>0</v>
      </c>
      <c r="J1829">
        <v>0</v>
      </c>
      <c r="K1829" s="129" t="s">
        <v>1962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s="129" t="s">
        <v>787</v>
      </c>
      <c r="B1830" s="129" t="s">
        <v>51</v>
      </c>
      <c r="C1830" s="129" t="s">
        <v>14</v>
      </c>
      <c r="D1830">
        <v>1.1000000000000001E-3</v>
      </c>
      <c r="E1830">
        <v>3.3000999999999998E-3</v>
      </c>
      <c r="F1830">
        <v>9.9999999999999995E-8</v>
      </c>
      <c r="G1830" s="129" t="s">
        <v>135</v>
      </c>
      <c r="H1830" s="129" t="s">
        <v>16</v>
      </c>
      <c r="I1830">
        <v>0</v>
      </c>
      <c r="J1830">
        <v>0</v>
      </c>
      <c r="K1830" s="129" t="s">
        <v>1962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s="129" t="s">
        <v>774</v>
      </c>
      <c r="B1831" s="129" t="s">
        <v>51</v>
      </c>
      <c r="C1831" s="129" t="s">
        <v>14</v>
      </c>
      <c r="D1831">
        <v>3.3000000000000002E-6</v>
      </c>
      <c r="E1831">
        <v>1.1001E-5</v>
      </c>
      <c r="F1831">
        <v>9.9999999999999995E-7</v>
      </c>
      <c r="G1831" s="129" t="s">
        <v>135</v>
      </c>
      <c r="H1831" s="129" t="s">
        <v>15</v>
      </c>
      <c r="I1831">
        <v>0</v>
      </c>
      <c r="J1831">
        <v>0</v>
      </c>
      <c r="K1831" s="129" t="s">
        <v>1962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s="129" t="s">
        <v>777</v>
      </c>
      <c r="B1832" s="129" t="s">
        <v>51</v>
      </c>
      <c r="C1832" s="129" t="s">
        <v>14</v>
      </c>
      <c r="D1832">
        <v>1.1E-5</v>
      </c>
      <c r="E1832">
        <v>3.3000999999999998E-5</v>
      </c>
      <c r="F1832">
        <v>9.9999999999999995E-7</v>
      </c>
      <c r="G1832" s="129" t="s">
        <v>135</v>
      </c>
      <c r="H1832" s="129" t="s">
        <v>15</v>
      </c>
      <c r="I1832">
        <v>0</v>
      </c>
      <c r="J1832">
        <v>0</v>
      </c>
      <c r="K1832" s="129" t="s">
        <v>1962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s="129" t="s">
        <v>780</v>
      </c>
      <c r="B1833" s="129" t="s">
        <v>51</v>
      </c>
      <c r="C1833" s="129" t="s">
        <v>14</v>
      </c>
      <c r="D1833">
        <v>3.3000000000000003E-5</v>
      </c>
      <c r="E1833">
        <v>1.1001E-4</v>
      </c>
      <c r="F1833">
        <v>9.9999999999999995E-7</v>
      </c>
      <c r="G1833" s="129" t="s">
        <v>135</v>
      </c>
      <c r="H1833" s="129" t="s">
        <v>15</v>
      </c>
      <c r="I1833">
        <v>0</v>
      </c>
      <c r="J1833">
        <v>0</v>
      </c>
      <c r="K1833" s="129" t="s">
        <v>1962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s="129" t="s">
        <v>2185</v>
      </c>
      <c r="B1834" s="129" t="s">
        <v>51</v>
      </c>
      <c r="C1834" s="129" t="s">
        <v>14</v>
      </c>
      <c r="D1834">
        <v>1.1E-4</v>
      </c>
      <c r="E1834">
        <v>3.3000999999999999E-4</v>
      </c>
      <c r="F1834">
        <v>9.9999999999999995E-7</v>
      </c>
      <c r="G1834" s="129" t="s">
        <v>135</v>
      </c>
      <c r="H1834" s="129" t="s">
        <v>16</v>
      </c>
      <c r="I1834">
        <v>0</v>
      </c>
      <c r="J1834">
        <v>0</v>
      </c>
      <c r="K1834" s="129" t="s">
        <v>1962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s="129" t="s">
        <v>785</v>
      </c>
      <c r="B1835" s="129" t="s">
        <v>51</v>
      </c>
      <c r="C1835" s="129" t="s">
        <v>14</v>
      </c>
      <c r="D1835">
        <v>3.3E-4</v>
      </c>
      <c r="E1835">
        <v>1.1000999999999999E-3</v>
      </c>
      <c r="F1835">
        <v>9.9999999999999995E-7</v>
      </c>
      <c r="G1835" s="129" t="s">
        <v>135</v>
      </c>
      <c r="H1835" s="129" t="s">
        <v>16</v>
      </c>
      <c r="I1835">
        <v>0</v>
      </c>
      <c r="J1835">
        <v>0</v>
      </c>
      <c r="K1835" s="129" t="s">
        <v>1962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s="129" t="s">
        <v>788</v>
      </c>
      <c r="B1836" s="129" t="s">
        <v>51</v>
      </c>
      <c r="C1836" s="129" t="s">
        <v>14</v>
      </c>
      <c r="D1836">
        <v>1.1000000000000001E-3</v>
      </c>
      <c r="E1836">
        <v>3.3000999999999998E-3</v>
      </c>
      <c r="F1836">
        <v>9.9999999999999995E-7</v>
      </c>
      <c r="G1836" s="129" t="s">
        <v>135</v>
      </c>
      <c r="H1836" s="129" t="s">
        <v>16</v>
      </c>
      <c r="I1836">
        <v>0</v>
      </c>
      <c r="J1836">
        <v>0</v>
      </c>
      <c r="K1836" s="129" t="s">
        <v>1962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s="129" t="s">
        <v>790</v>
      </c>
      <c r="B1837" s="129" t="s">
        <v>51</v>
      </c>
      <c r="C1837" s="129" t="s">
        <v>14</v>
      </c>
      <c r="D1837">
        <v>3.3E-3</v>
      </c>
      <c r="E1837">
        <v>1.1001E-2</v>
      </c>
      <c r="F1837">
        <v>9.9999999999999995E-7</v>
      </c>
      <c r="G1837" s="129" t="s">
        <v>135</v>
      </c>
      <c r="H1837" s="129" t="s">
        <v>16</v>
      </c>
      <c r="I1837">
        <v>0</v>
      </c>
      <c r="J1837">
        <v>0</v>
      </c>
      <c r="K1837" s="129" t="s">
        <v>1962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s="129" t="s">
        <v>794</v>
      </c>
      <c r="B1838" s="129" t="s">
        <v>51</v>
      </c>
      <c r="C1838" s="129" t="s">
        <v>14</v>
      </c>
      <c r="D1838">
        <v>1.0999999999999999E-2</v>
      </c>
      <c r="E1838">
        <v>3.3001000000000003E-2</v>
      </c>
      <c r="F1838">
        <v>9.9999999999999995E-7</v>
      </c>
      <c r="G1838" s="129" t="s">
        <v>135</v>
      </c>
      <c r="H1838" s="129" t="s">
        <v>16</v>
      </c>
      <c r="I1838">
        <v>0</v>
      </c>
      <c r="J1838">
        <v>0</v>
      </c>
      <c r="K1838" s="129" t="s">
        <v>1962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s="129" t="s">
        <v>781</v>
      </c>
      <c r="B1839" s="129" t="s">
        <v>51</v>
      </c>
      <c r="C1839" s="129" t="s">
        <v>14</v>
      </c>
      <c r="D1839">
        <v>3.3000000000000003E-5</v>
      </c>
      <c r="E1839">
        <v>1.1001E-4</v>
      </c>
      <c r="F1839">
        <v>1.0000000000000001E-5</v>
      </c>
      <c r="G1839" s="129" t="s">
        <v>135</v>
      </c>
      <c r="H1839" s="129" t="s">
        <v>15</v>
      </c>
      <c r="I1839">
        <v>0</v>
      </c>
      <c r="J1839">
        <v>0</v>
      </c>
      <c r="K1839" s="129" t="s">
        <v>1962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s="129" t="s">
        <v>783</v>
      </c>
      <c r="B1840" s="129" t="s">
        <v>51</v>
      </c>
      <c r="C1840" s="129" t="s">
        <v>14</v>
      </c>
      <c r="D1840">
        <v>1.1E-4</v>
      </c>
      <c r="E1840">
        <v>3.3000999999999999E-4</v>
      </c>
      <c r="F1840">
        <v>1.0000000000000001E-5</v>
      </c>
      <c r="G1840" s="129" t="s">
        <v>135</v>
      </c>
      <c r="H1840" s="129" t="s">
        <v>16</v>
      </c>
      <c r="I1840">
        <v>0</v>
      </c>
      <c r="J1840">
        <v>0</v>
      </c>
      <c r="K1840" s="129" t="s">
        <v>1962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s="129" t="s">
        <v>786</v>
      </c>
      <c r="B1841" s="129" t="s">
        <v>51</v>
      </c>
      <c r="C1841" s="129" t="s">
        <v>14</v>
      </c>
      <c r="D1841">
        <v>3.3E-4</v>
      </c>
      <c r="E1841">
        <v>1.1000999999999999E-3</v>
      </c>
      <c r="F1841">
        <v>1.0000000000000001E-5</v>
      </c>
      <c r="G1841" s="129" t="s">
        <v>135</v>
      </c>
      <c r="H1841" s="129" t="s">
        <v>16</v>
      </c>
      <c r="I1841">
        <v>0</v>
      </c>
      <c r="J1841">
        <v>0</v>
      </c>
      <c r="K1841" s="129" t="s">
        <v>1962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s="129" t="s">
        <v>2187</v>
      </c>
      <c r="B1842" s="129" t="s">
        <v>51</v>
      </c>
      <c r="C1842" s="129" t="s">
        <v>14</v>
      </c>
      <c r="D1842">
        <v>1.1000000000000001E-3</v>
      </c>
      <c r="E1842">
        <v>3.3000999999999998E-3</v>
      </c>
      <c r="F1842">
        <v>1.0000000000000001E-5</v>
      </c>
      <c r="G1842" s="129" t="s">
        <v>135</v>
      </c>
      <c r="H1842" s="129" t="s">
        <v>16</v>
      </c>
      <c r="I1842">
        <v>0</v>
      </c>
      <c r="J1842">
        <v>0</v>
      </c>
      <c r="K1842" s="129" t="s">
        <v>1962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s="129" t="s">
        <v>791</v>
      </c>
      <c r="B1843" s="129" t="s">
        <v>51</v>
      </c>
      <c r="C1843" s="129" t="s">
        <v>14</v>
      </c>
      <c r="D1843">
        <v>3.3E-3</v>
      </c>
      <c r="E1843">
        <v>1.1001E-2</v>
      </c>
      <c r="F1843">
        <v>1.0000000000000001E-5</v>
      </c>
      <c r="G1843" s="129" t="s">
        <v>135</v>
      </c>
      <c r="H1843" s="129" t="s">
        <v>16</v>
      </c>
      <c r="I1843">
        <v>0</v>
      </c>
      <c r="J1843">
        <v>0</v>
      </c>
      <c r="K1843" s="129" t="s">
        <v>1962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s="129" t="s">
        <v>795</v>
      </c>
      <c r="B1844" s="129" t="s">
        <v>51</v>
      </c>
      <c r="C1844" s="129" t="s">
        <v>14</v>
      </c>
      <c r="D1844">
        <v>1.0999999999999999E-2</v>
      </c>
      <c r="E1844">
        <v>3.3001000000000003E-2</v>
      </c>
      <c r="F1844">
        <v>1.0000000000000001E-5</v>
      </c>
      <c r="G1844" s="129" t="s">
        <v>135</v>
      </c>
      <c r="H1844" s="129" t="s">
        <v>16</v>
      </c>
      <c r="I1844">
        <v>0</v>
      </c>
      <c r="J1844">
        <v>0</v>
      </c>
      <c r="K1844" s="129" t="s">
        <v>1962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s="129" t="s">
        <v>2189</v>
      </c>
      <c r="B1845" s="129" t="s">
        <v>51</v>
      </c>
      <c r="C1845" s="129" t="s">
        <v>14</v>
      </c>
      <c r="D1845">
        <v>3.3000000000000002E-2</v>
      </c>
      <c r="E1845">
        <v>0.11001</v>
      </c>
      <c r="F1845">
        <v>1.0000000000000001E-5</v>
      </c>
      <c r="G1845" s="129" t="s">
        <v>135</v>
      </c>
      <c r="H1845" s="129" t="s">
        <v>61</v>
      </c>
      <c r="I1845">
        <v>0</v>
      </c>
      <c r="J1845">
        <v>0</v>
      </c>
      <c r="K1845" s="129" t="s">
        <v>1962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s="129" t="s">
        <v>800</v>
      </c>
      <c r="B1846" s="129" t="s">
        <v>51</v>
      </c>
      <c r="C1846" s="129" t="s">
        <v>14</v>
      </c>
      <c r="D1846">
        <v>0.11</v>
      </c>
      <c r="E1846">
        <v>0.1101</v>
      </c>
      <c r="F1846">
        <v>1.0000000000000001E-5</v>
      </c>
      <c r="G1846" s="129" t="s">
        <v>135</v>
      </c>
      <c r="H1846" s="129" t="s">
        <v>16</v>
      </c>
      <c r="I1846">
        <v>0</v>
      </c>
      <c r="J1846">
        <v>0</v>
      </c>
      <c r="K1846" s="129" t="s">
        <v>1962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s="129" t="s">
        <v>2186</v>
      </c>
      <c r="B1847" s="129" t="s">
        <v>51</v>
      </c>
      <c r="C1847" s="129" t="s">
        <v>14</v>
      </c>
      <c r="D1847">
        <v>3.3E-4</v>
      </c>
      <c r="E1847">
        <v>1.1000999999999999E-3</v>
      </c>
      <c r="F1847">
        <v>1E-4</v>
      </c>
      <c r="G1847" s="129" t="s">
        <v>135</v>
      </c>
      <c r="H1847" s="129" t="s">
        <v>16</v>
      </c>
      <c r="I1847">
        <v>0</v>
      </c>
      <c r="J1847">
        <v>0</v>
      </c>
      <c r="K1847" s="129" t="s">
        <v>1962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s="129" t="s">
        <v>789</v>
      </c>
      <c r="B1848" s="129" t="s">
        <v>51</v>
      </c>
      <c r="C1848" s="129" t="s">
        <v>14</v>
      </c>
      <c r="D1848">
        <v>1.1000000000000001E-3</v>
      </c>
      <c r="E1848">
        <v>3.3000999999999998E-3</v>
      </c>
      <c r="F1848">
        <v>1E-4</v>
      </c>
      <c r="G1848" s="129" t="s">
        <v>135</v>
      </c>
      <c r="H1848" s="129" t="s">
        <v>16</v>
      </c>
      <c r="I1848">
        <v>0</v>
      </c>
      <c r="J1848">
        <v>0</v>
      </c>
      <c r="K1848" s="129" t="s">
        <v>1962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s="129" t="s">
        <v>792</v>
      </c>
      <c r="B1849" s="129" t="s">
        <v>51</v>
      </c>
      <c r="C1849" s="129" t="s">
        <v>14</v>
      </c>
      <c r="D1849">
        <v>3.3E-3</v>
      </c>
      <c r="E1849">
        <v>1.1001E-2</v>
      </c>
      <c r="F1849">
        <v>1E-4</v>
      </c>
      <c r="G1849" s="129" t="s">
        <v>135</v>
      </c>
      <c r="H1849" s="129" t="s">
        <v>16</v>
      </c>
      <c r="I1849">
        <v>0</v>
      </c>
      <c r="J1849">
        <v>0</v>
      </c>
      <c r="K1849" s="129" t="s">
        <v>1962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s="129" t="s">
        <v>796</v>
      </c>
      <c r="B1850" s="129" t="s">
        <v>51</v>
      </c>
      <c r="C1850" s="129" t="s">
        <v>14</v>
      </c>
      <c r="D1850">
        <v>1.0999999999999999E-2</v>
      </c>
      <c r="E1850">
        <v>3.3001000000000003E-2</v>
      </c>
      <c r="F1850">
        <v>1E-4</v>
      </c>
      <c r="G1850" s="129" t="s">
        <v>135</v>
      </c>
      <c r="H1850" s="129" t="s">
        <v>16</v>
      </c>
      <c r="I1850">
        <v>0</v>
      </c>
      <c r="J1850">
        <v>0</v>
      </c>
      <c r="K1850" s="129" t="s">
        <v>1962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s="129" t="s">
        <v>797</v>
      </c>
      <c r="B1851" s="129" t="s">
        <v>51</v>
      </c>
      <c r="C1851" s="129" t="s">
        <v>14</v>
      </c>
      <c r="D1851">
        <v>3.3000000000000002E-2</v>
      </c>
      <c r="E1851">
        <v>0.11001</v>
      </c>
      <c r="F1851">
        <v>1E-4</v>
      </c>
      <c r="G1851" s="129" t="s">
        <v>135</v>
      </c>
      <c r="H1851" s="129" t="s">
        <v>61</v>
      </c>
      <c r="I1851">
        <v>0</v>
      </c>
      <c r="J1851">
        <v>0</v>
      </c>
      <c r="K1851" s="129" t="s">
        <v>1962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s="129" t="s">
        <v>2190</v>
      </c>
      <c r="B1852" s="129" t="s">
        <v>51</v>
      </c>
      <c r="C1852" s="129" t="s">
        <v>14</v>
      </c>
      <c r="D1852">
        <v>0.11</v>
      </c>
      <c r="E1852">
        <v>0.1101</v>
      </c>
      <c r="F1852">
        <v>1E-4</v>
      </c>
      <c r="G1852" s="129" t="s">
        <v>135</v>
      </c>
      <c r="H1852" s="129" t="s">
        <v>16</v>
      </c>
      <c r="I1852">
        <v>0</v>
      </c>
      <c r="J1852">
        <v>0</v>
      </c>
      <c r="K1852" s="129" t="s">
        <v>1962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s="129" t="s">
        <v>793</v>
      </c>
      <c r="B1853" s="129" t="s">
        <v>51</v>
      </c>
      <c r="C1853" s="129" t="s">
        <v>14</v>
      </c>
      <c r="D1853">
        <v>3.3E-3</v>
      </c>
      <c r="E1853">
        <v>1.1001E-2</v>
      </c>
      <c r="F1853">
        <v>1E-3</v>
      </c>
      <c r="G1853" s="129" t="s">
        <v>135</v>
      </c>
      <c r="H1853" s="129" t="s">
        <v>16</v>
      </c>
      <c r="I1853">
        <v>0</v>
      </c>
      <c r="J1853">
        <v>0</v>
      </c>
      <c r="K1853" s="129" t="s">
        <v>1962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s="129" t="s">
        <v>2188</v>
      </c>
      <c r="B1854" s="129" t="s">
        <v>51</v>
      </c>
      <c r="C1854" s="129" t="s">
        <v>14</v>
      </c>
      <c r="D1854">
        <v>1.0999999999999999E-2</v>
      </c>
      <c r="E1854">
        <v>3.3001000000000003E-2</v>
      </c>
      <c r="F1854">
        <v>1E-3</v>
      </c>
      <c r="G1854" s="129" t="s">
        <v>135</v>
      </c>
      <c r="H1854" s="129" t="s">
        <v>16</v>
      </c>
      <c r="I1854">
        <v>0</v>
      </c>
      <c r="J1854">
        <v>0</v>
      </c>
      <c r="K1854" s="129" t="s">
        <v>1962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s="129" t="s">
        <v>798</v>
      </c>
      <c r="B1855" s="129" t="s">
        <v>51</v>
      </c>
      <c r="C1855" s="129" t="s">
        <v>14</v>
      </c>
      <c r="D1855">
        <v>3.3000000000000002E-2</v>
      </c>
      <c r="E1855">
        <v>0.11001</v>
      </c>
      <c r="F1855">
        <v>1E-3</v>
      </c>
      <c r="G1855" s="129" t="s">
        <v>135</v>
      </c>
      <c r="H1855" s="129" t="s">
        <v>61</v>
      </c>
      <c r="I1855">
        <v>0</v>
      </c>
      <c r="J1855">
        <v>0</v>
      </c>
      <c r="K1855" s="129" t="s">
        <v>1962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s="129" t="s">
        <v>801</v>
      </c>
      <c r="B1856" s="129" t="s">
        <v>51</v>
      </c>
      <c r="C1856" s="129" t="s">
        <v>14</v>
      </c>
      <c r="D1856">
        <v>0.11</v>
      </c>
      <c r="E1856">
        <v>0.1101</v>
      </c>
      <c r="F1856">
        <v>1E-3</v>
      </c>
      <c r="G1856" s="129" t="s">
        <v>135</v>
      </c>
      <c r="H1856" s="129" t="s">
        <v>16</v>
      </c>
      <c r="I1856">
        <v>0</v>
      </c>
      <c r="J1856">
        <v>0</v>
      </c>
      <c r="K1856" s="129" t="s">
        <v>1962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s="129" t="s">
        <v>799</v>
      </c>
      <c r="B1857" s="129" t="s">
        <v>51</v>
      </c>
      <c r="C1857" s="129" t="s">
        <v>14</v>
      </c>
      <c r="D1857">
        <v>3.3000000000000002E-2</v>
      </c>
      <c r="E1857">
        <v>0.11001</v>
      </c>
      <c r="F1857">
        <v>0.01</v>
      </c>
      <c r="G1857" s="129" t="s">
        <v>135</v>
      </c>
      <c r="H1857" s="129" t="s">
        <v>61</v>
      </c>
      <c r="I1857">
        <v>0</v>
      </c>
      <c r="J1857">
        <v>0</v>
      </c>
      <c r="K1857" s="129" t="s">
        <v>1962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s="129" t="s">
        <v>2191</v>
      </c>
      <c r="B1858" s="129" t="s">
        <v>51</v>
      </c>
      <c r="C1858" s="129" t="s">
        <v>14</v>
      </c>
      <c r="D1858">
        <v>0.11</v>
      </c>
      <c r="E1858">
        <v>0.1101</v>
      </c>
      <c r="F1858">
        <v>0.01</v>
      </c>
      <c r="G1858" s="129" t="s">
        <v>135</v>
      </c>
      <c r="H1858" s="129" t="s">
        <v>16</v>
      </c>
      <c r="I1858">
        <v>0</v>
      </c>
      <c r="J1858">
        <v>0</v>
      </c>
      <c r="K1858" s="129" t="s">
        <v>1962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s="129" t="s">
        <v>2192</v>
      </c>
      <c r="B1859" s="129" t="s">
        <v>51</v>
      </c>
      <c r="C1859" s="129" t="s">
        <v>88</v>
      </c>
      <c r="D1859">
        <v>-250</v>
      </c>
      <c r="E1859">
        <v>-99.9</v>
      </c>
      <c r="F1859">
        <v>0.1</v>
      </c>
      <c r="G1859" s="129" t="s">
        <v>23</v>
      </c>
      <c r="H1859" s="129" t="s">
        <v>23</v>
      </c>
      <c r="I1859">
        <v>0</v>
      </c>
      <c r="J1859">
        <v>0</v>
      </c>
      <c r="K1859" s="129" t="s">
        <v>1962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s="129" t="s">
        <v>2193</v>
      </c>
      <c r="B1860" s="129" t="s">
        <v>51</v>
      </c>
      <c r="C1860" s="129" t="s">
        <v>88</v>
      </c>
      <c r="D1860">
        <v>-100</v>
      </c>
      <c r="E1860">
        <v>-24.9</v>
      </c>
      <c r="F1860">
        <v>0.1</v>
      </c>
      <c r="G1860" s="129" t="s">
        <v>23</v>
      </c>
      <c r="H1860" s="129" t="s">
        <v>23</v>
      </c>
      <c r="I1860">
        <v>0</v>
      </c>
      <c r="J1860">
        <v>0</v>
      </c>
      <c r="K1860" s="129" t="s">
        <v>1962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s="129" t="s">
        <v>2194</v>
      </c>
      <c r="B1861" s="129" t="s">
        <v>51</v>
      </c>
      <c r="C1861" s="129" t="s">
        <v>88</v>
      </c>
      <c r="D1861">
        <v>-25</v>
      </c>
      <c r="E1861">
        <v>350.1</v>
      </c>
      <c r="F1861">
        <v>0.1</v>
      </c>
      <c r="G1861" s="129" t="s">
        <v>23</v>
      </c>
      <c r="H1861" s="129" t="s">
        <v>23</v>
      </c>
      <c r="I1861">
        <v>0</v>
      </c>
      <c r="J1861">
        <v>0</v>
      </c>
      <c r="K1861" s="129" t="s">
        <v>1962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s="129" t="s">
        <v>766</v>
      </c>
      <c r="B1862" s="129" t="s">
        <v>51</v>
      </c>
      <c r="C1862" s="129" t="s">
        <v>88</v>
      </c>
      <c r="D1862">
        <v>350</v>
      </c>
      <c r="E1862">
        <v>650.1</v>
      </c>
      <c r="F1862">
        <v>0.1</v>
      </c>
      <c r="G1862" s="129" t="s">
        <v>23</v>
      </c>
      <c r="H1862" s="129" t="s">
        <v>23</v>
      </c>
      <c r="I1862">
        <v>0</v>
      </c>
      <c r="J1862">
        <v>0</v>
      </c>
      <c r="K1862" s="129" t="s">
        <v>1962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s="129" t="s">
        <v>2195</v>
      </c>
      <c r="B1863" s="129" t="s">
        <v>51</v>
      </c>
      <c r="C1863" s="129" t="s">
        <v>88</v>
      </c>
      <c r="D1863">
        <v>650</v>
      </c>
      <c r="E1863">
        <v>1000</v>
      </c>
      <c r="F1863">
        <v>0.1</v>
      </c>
      <c r="G1863" s="129" t="s">
        <v>23</v>
      </c>
      <c r="H1863" s="129" t="s">
        <v>23</v>
      </c>
      <c r="I1863">
        <v>0</v>
      </c>
      <c r="J1863">
        <v>0</v>
      </c>
      <c r="K1863" s="129" t="s">
        <v>1962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s="129" t="s">
        <v>769</v>
      </c>
      <c r="B1864" s="129" t="s">
        <v>51</v>
      </c>
      <c r="C1864" s="129" t="s">
        <v>88</v>
      </c>
      <c r="D1864">
        <v>1000</v>
      </c>
      <c r="E1864">
        <v>1000.1</v>
      </c>
      <c r="F1864">
        <v>0.1</v>
      </c>
      <c r="G1864" s="129" t="s">
        <v>23</v>
      </c>
      <c r="H1864" s="129" t="s">
        <v>23</v>
      </c>
      <c r="I1864">
        <v>0</v>
      </c>
      <c r="J1864">
        <v>0</v>
      </c>
      <c r="K1864" s="129" t="s">
        <v>1962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s="129" t="s">
        <v>2196</v>
      </c>
      <c r="B1865" s="129" t="s">
        <v>51</v>
      </c>
      <c r="C1865" s="129" t="s">
        <v>88</v>
      </c>
      <c r="D1865">
        <v>-250</v>
      </c>
      <c r="E1865">
        <v>-99.9</v>
      </c>
      <c r="F1865">
        <v>1</v>
      </c>
      <c r="G1865" s="129" t="s">
        <v>23</v>
      </c>
      <c r="H1865" s="129" t="s">
        <v>23</v>
      </c>
      <c r="I1865">
        <v>0</v>
      </c>
      <c r="J1865">
        <v>0</v>
      </c>
      <c r="K1865" s="129" t="s">
        <v>1962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s="129" t="s">
        <v>764</v>
      </c>
      <c r="B1866" s="129" t="s">
        <v>51</v>
      </c>
      <c r="C1866" s="129" t="s">
        <v>88</v>
      </c>
      <c r="D1866">
        <v>-100</v>
      </c>
      <c r="E1866">
        <v>-24.9</v>
      </c>
      <c r="F1866">
        <v>1</v>
      </c>
      <c r="G1866" s="129" t="s">
        <v>23</v>
      </c>
      <c r="H1866" s="129" t="s">
        <v>23</v>
      </c>
      <c r="I1866">
        <v>0</v>
      </c>
      <c r="J1866">
        <v>0</v>
      </c>
      <c r="K1866" s="129" t="s">
        <v>1962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s="129" t="s">
        <v>765</v>
      </c>
      <c r="B1867" s="129" t="s">
        <v>51</v>
      </c>
      <c r="C1867" s="129" t="s">
        <v>88</v>
      </c>
      <c r="D1867">
        <v>-25</v>
      </c>
      <c r="E1867">
        <v>350.1</v>
      </c>
      <c r="F1867">
        <v>1</v>
      </c>
      <c r="G1867" s="129" t="s">
        <v>23</v>
      </c>
      <c r="H1867" s="129" t="s">
        <v>23</v>
      </c>
      <c r="I1867">
        <v>0</v>
      </c>
      <c r="J1867">
        <v>0</v>
      </c>
      <c r="K1867" s="129" t="s">
        <v>1962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s="129" t="s">
        <v>767</v>
      </c>
      <c r="B1868" s="129" t="s">
        <v>51</v>
      </c>
      <c r="C1868" s="129" t="s">
        <v>88</v>
      </c>
      <c r="D1868">
        <v>350</v>
      </c>
      <c r="E1868">
        <v>650.1</v>
      </c>
      <c r="F1868">
        <v>1</v>
      </c>
      <c r="G1868" s="129" t="s">
        <v>23</v>
      </c>
      <c r="H1868" s="129" t="s">
        <v>23</v>
      </c>
      <c r="I1868">
        <v>0</v>
      </c>
      <c r="J1868">
        <v>0</v>
      </c>
      <c r="K1868" s="129" t="s">
        <v>1962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s="129" t="s">
        <v>768</v>
      </c>
      <c r="B1869" s="129" t="s">
        <v>51</v>
      </c>
      <c r="C1869" s="129" t="s">
        <v>88</v>
      </c>
      <c r="D1869">
        <v>650</v>
      </c>
      <c r="E1869">
        <v>1000</v>
      </c>
      <c r="F1869">
        <v>1</v>
      </c>
      <c r="G1869" s="129" t="s">
        <v>23</v>
      </c>
      <c r="H1869" s="129" t="s">
        <v>23</v>
      </c>
      <c r="I1869">
        <v>0</v>
      </c>
      <c r="J1869">
        <v>0</v>
      </c>
      <c r="K1869" s="129" t="s">
        <v>1962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s="129" t="s">
        <v>2197</v>
      </c>
      <c r="B1870" s="129" t="s">
        <v>51</v>
      </c>
      <c r="C1870" s="129" t="s">
        <v>88</v>
      </c>
      <c r="D1870">
        <v>1000</v>
      </c>
      <c r="E1870">
        <v>1000.1</v>
      </c>
      <c r="F1870">
        <v>1</v>
      </c>
      <c r="G1870" s="129" t="s">
        <v>23</v>
      </c>
      <c r="H1870" s="129" t="s">
        <v>23</v>
      </c>
      <c r="I1870">
        <v>0</v>
      </c>
      <c r="J1870">
        <v>0</v>
      </c>
      <c r="K1870" s="129" t="s">
        <v>1962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s="129" t="s">
        <v>757</v>
      </c>
      <c r="B1871" s="129" t="s">
        <v>51</v>
      </c>
      <c r="C1871" s="129" t="s">
        <v>87</v>
      </c>
      <c r="D1871">
        <v>-210</v>
      </c>
      <c r="E1871">
        <v>-99.9</v>
      </c>
      <c r="F1871">
        <v>0.1</v>
      </c>
      <c r="G1871" s="129" t="s">
        <v>23</v>
      </c>
      <c r="H1871" s="129" t="s">
        <v>23</v>
      </c>
      <c r="I1871">
        <v>0</v>
      </c>
      <c r="J1871">
        <v>0</v>
      </c>
      <c r="K1871" s="129" t="s">
        <v>1962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s="129" t="s">
        <v>2198</v>
      </c>
      <c r="B1872" s="129" t="s">
        <v>51</v>
      </c>
      <c r="C1872" s="129" t="s">
        <v>87</v>
      </c>
      <c r="D1872">
        <v>-100</v>
      </c>
      <c r="E1872">
        <v>-29.9</v>
      </c>
      <c r="F1872">
        <v>0.1</v>
      </c>
      <c r="G1872" s="129" t="s">
        <v>23</v>
      </c>
      <c r="H1872" s="129" t="s">
        <v>23</v>
      </c>
      <c r="I1872">
        <v>0</v>
      </c>
      <c r="J1872">
        <v>0</v>
      </c>
      <c r="K1872" s="129" t="s">
        <v>1962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s="129" t="s">
        <v>2199</v>
      </c>
      <c r="B1873" s="129" t="s">
        <v>51</v>
      </c>
      <c r="C1873" s="129" t="s">
        <v>87</v>
      </c>
      <c r="D1873">
        <v>-30</v>
      </c>
      <c r="E1873">
        <v>150.1</v>
      </c>
      <c r="F1873">
        <v>0.1</v>
      </c>
      <c r="G1873" s="129" t="s">
        <v>23</v>
      </c>
      <c r="H1873" s="129" t="s">
        <v>23</v>
      </c>
      <c r="I1873">
        <v>0</v>
      </c>
      <c r="J1873">
        <v>0</v>
      </c>
      <c r="K1873" s="129" t="s">
        <v>1962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s="129" t="s">
        <v>759</v>
      </c>
      <c r="B1874" s="129" t="s">
        <v>51</v>
      </c>
      <c r="C1874" s="129" t="s">
        <v>87</v>
      </c>
      <c r="D1874">
        <v>150</v>
      </c>
      <c r="E1874">
        <v>760.1</v>
      </c>
      <c r="F1874">
        <v>0.1</v>
      </c>
      <c r="G1874" s="129" t="s">
        <v>23</v>
      </c>
      <c r="H1874" s="129" t="s">
        <v>23</v>
      </c>
      <c r="I1874">
        <v>0</v>
      </c>
      <c r="J1874">
        <v>0</v>
      </c>
      <c r="K1874" s="129" t="s">
        <v>1962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s="129" t="s">
        <v>761</v>
      </c>
      <c r="B1875" s="129" t="s">
        <v>51</v>
      </c>
      <c r="C1875" s="129" t="s">
        <v>87</v>
      </c>
      <c r="D1875">
        <v>760</v>
      </c>
      <c r="E1875">
        <v>1200</v>
      </c>
      <c r="F1875">
        <v>0.1</v>
      </c>
      <c r="G1875" s="129" t="s">
        <v>23</v>
      </c>
      <c r="H1875" s="129" t="s">
        <v>23</v>
      </c>
      <c r="I1875">
        <v>0</v>
      </c>
      <c r="J1875">
        <v>0</v>
      </c>
      <c r="K1875" s="129" t="s">
        <v>1962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s="129" t="s">
        <v>762</v>
      </c>
      <c r="B1876" s="129" t="s">
        <v>51</v>
      </c>
      <c r="C1876" s="129" t="s">
        <v>87</v>
      </c>
      <c r="D1876">
        <v>1200</v>
      </c>
      <c r="E1876">
        <v>1200.0999999999999</v>
      </c>
      <c r="F1876">
        <v>0.1</v>
      </c>
      <c r="G1876" s="129" t="s">
        <v>23</v>
      </c>
      <c r="H1876" s="129" t="s">
        <v>23</v>
      </c>
      <c r="I1876">
        <v>0</v>
      </c>
      <c r="J1876">
        <v>0</v>
      </c>
      <c r="K1876" s="129" t="s">
        <v>1962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s="129" t="s">
        <v>2200</v>
      </c>
      <c r="B1877" s="129" t="s">
        <v>51</v>
      </c>
      <c r="C1877" s="129" t="s">
        <v>87</v>
      </c>
      <c r="D1877">
        <v>-210</v>
      </c>
      <c r="E1877">
        <v>-99.9</v>
      </c>
      <c r="F1877">
        <v>1</v>
      </c>
      <c r="G1877" s="129" t="s">
        <v>23</v>
      </c>
      <c r="H1877" s="129" t="s">
        <v>23</v>
      </c>
      <c r="I1877">
        <v>0</v>
      </c>
      <c r="J1877">
        <v>0</v>
      </c>
      <c r="K1877" s="129" t="s">
        <v>1962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s="129" t="s">
        <v>2201</v>
      </c>
      <c r="B1878" s="129" t="s">
        <v>51</v>
      </c>
      <c r="C1878" s="129" t="s">
        <v>87</v>
      </c>
      <c r="D1878">
        <v>-100</v>
      </c>
      <c r="E1878">
        <v>-29.9</v>
      </c>
      <c r="F1878">
        <v>1</v>
      </c>
      <c r="G1878" s="129" t="s">
        <v>23</v>
      </c>
      <c r="H1878" s="129" t="s">
        <v>23</v>
      </c>
      <c r="I1878">
        <v>0</v>
      </c>
      <c r="J1878">
        <v>0</v>
      </c>
      <c r="K1878" s="129" t="s">
        <v>1962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s="129" t="s">
        <v>758</v>
      </c>
      <c r="B1879" s="129" t="s">
        <v>51</v>
      </c>
      <c r="C1879" s="129" t="s">
        <v>87</v>
      </c>
      <c r="D1879">
        <v>-30</v>
      </c>
      <c r="E1879">
        <v>150.1</v>
      </c>
      <c r="F1879">
        <v>1</v>
      </c>
      <c r="G1879" s="129" t="s">
        <v>23</v>
      </c>
      <c r="H1879" s="129" t="s">
        <v>23</v>
      </c>
      <c r="I1879">
        <v>0</v>
      </c>
      <c r="J1879">
        <v>0</v>
      </c>
      <c r="K1879" s="129" t="s">
        <v>1962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s="129" t="s">
        <v>760</v>
      </c>
      <c r="B1880" s="129" t="s">
        <v>51</v>
      </c>
      <c r="C1880" s="129" t="s">
        <v>87</v>
      </c>
      <c r="D1880">
        <v>150</v>
      </c>
      <c r="E1880">
        <v>760.1</v>
      </c>
      <c r="F1880">
        <v>1</v>
      </c>
      <c r="G1880" s="129" t="s">
        <v>23</v>
      </c>
      <c r="H1880" s="129" t="s">
        <v>23</v>
      </c>
      <c r="I1880">
        <v>0</v>
      </c>
      <c r="J1880">
        <v>0</v>
      </c>
      <c r="K1880" s="129" t="s">
        <v>1962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s="129" t="s">
        <v>2202</v>
      </c>
      <c r="B1881" s="129" t="s">
        <v>51</v>
      </c>
      <c r="C1881" s="129" t="s">
        <v>87</v>
      </c>
      <c r="D1881">
        <v>760</v>
      </c>
      <c r="E1881">
        <v>1200</v>
      </c>
      <c r="F1881">
        <v>1</v>
      </c>
      <c r="G1881" s="129" t="s">
        <v>23</v>
      </c>
      <c r="H1881" s="129" t="s">
        <v>23</v>
      </c>
      <c r="I1881">
        <v>0</v>
      </c>
      <c r="J1881">
        <v>0</v>
      </c>
      <c r="K1881" s="129" t="s">
        <v>1962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s="129" t="s">
        <v>763</v>
      </c>
      <c r="B1882" s="129" t="s">
        <v>51</v>
      </c>
      <c r="C1882" s="129" t="s">
        <v>87</v>
      </c>
      <c r="D1882">
        <v>1200</v>
      </c>
      <c r="E1882">
        <v>1200.0999999999999</v>
      </c>
      <c r="F1882">
        <v>1</v>
      </c>
      <c r="G1882" s="129" t="s">
        <v>23</v>
      </c>
      <c r="H1882" s="129" t="s">
        <v>23</v>
      </c>
      <c r="I1882">
        <v>0</v>
      </c>
      <c r="J1882">
        <v>0</v>
      </c>
      <c r="K1882" s="129" t="s">
        <v>1962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s="129" t="s">
        <v>746</v>
      </c>
      <c r="B1883" s="129" t="s">
        <v>51</v>
      </c>
      <c r="C1883" s="129" t="s">
        <v>86</v>
      </c>
      <c r="D1883">
        <v>-200</v>
      </c>
      <c r="E1883">
        <v>-99.9</v>
      </c>
      <c r="F1883">
        <v>0.1</v>
      </c>
      <c r="G1883" s="129" t="s">
        <v>23</v>
      </c>
      <c r="H1883" s="129" t="s">
        <v>23</v>
      </c>
      <c r="I1883">
        <v>0</v>
      </c>
      <c r="J1883">
        <v>0</v>
      </c>
      <c r="K1883" s="129" t="s">
        <v>1962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s="129" t="s">
        <v>748</v>
      </c>
      <c r="B1884" s="129" t="s">
        <v>51</v>
      </c>
      <c r="C1884" s="129" t="s">
        <v>86</v>
      </c>
      <c r="D1884">
        <v>-100</v>
      </c>
      <c r="E1884">
        <v>-24.9</v>
      </c>
      <c r="F1884">
        <v>0.1</v>
      </c>
      <c r="G1884" s="129" t="s">
        <v>23</v>
      </c>
      <c r="H1884" s="129" t="s">
        <v>23</v>
      </c>
      <c r="I1884">
        <v>0</v>
      </c>
      <c r="J1884">
        <v>0</v>
      </c>
      <c r="K1884" s="129" t="s">
        <v>1962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s="129" t="s">
        <v>750</v>
      </c>
      <c r="B1885" s="129" t="s">
        <v>51</v>
      </c>
      <c r="C1885" s="129" t="s">
        <v>86</v>
      </c>
      <c r="D1885">
        <v>-25</v>
      </c>
      <c r="E1885">
        <v>120.1</v>
      </c>
      <c r="F1885">
        <v>0.1</v>
      </c>
      <c r="G1885" s="129" t="s">
        <v>23</v>
      </c>
      <c r="H1885" s="129" t="s">
        <v>23</v>
      </c>
      <c r="I1885">
        <v>0</v>
      </c>
      <c r="J1885">
        <v>0</v>
      </c>
      <c r="K1885" s="129" t="s">
        <v>1962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s="129" t="s">
        <v>752</v>
      </c>
      <c r="B1886" s="129" t="s">
        <v>51</v>
      </c>
      <c r="C1886" s="129" t="s">
        <v>86</v>
      </c>
      <c r="D1886">
        <v>120</v>
      </c>
      <c r="E1886">
        <v>1000.1</v>
      </c>
      <c r="F1886">
        <v>0.1</v>
      </c>
      <c r="G1886" s="129" t="s">
        <v>23</v>
      </c>
      <c r="H1886" s="129" t="s">
        <v>23</v>
      </c>
      <c r="I1886">
        <v>0</v>
      </c>
      <c r="J1886">
        <v>0</v>
      </c>
      <c r="K1886" s="129" t="s">
        <v>1962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s="129" t="s">
        <v>753</v>
      </c>
      <c r="B1887" s="129" t="s">
        <v>51</v>
      </c>
      <c r="C1887" s="129" t="s">
        <v>86</v>
      </c>
      <c r="D1887">
        <v>1000</v>
      </c>
      <c r="E1887">
        <v>1372</v>
      </c>
      <c r="F1887">
        <v>0.1</v>
      </c>
      <c r="G1887" s="129" t="s">
        <v>23</v>
      </c>
      <c r="H1887" s="129" t="s">
        <v>23</v>
      </c>
      <c r="I1887">
        <v>0</v>
      </c>
      <c r="J1887">
        <v>0</v>
      </c>
      <c r="K1887" s="129" t="s">
        <v>1962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s="129" t="s">
        <v>755</v>
      </c>
      <c r="B1888" s="129" t="s">
        <v>51</v>
      </c>
      <c r="C1888" s="129" t="s">
        <v>86</v>
      </c>
      <c r="D1888">
        <v>1372</v>
      </c>
      <c r="E1888">
        <v>1372.1</v>
      </c>
      <c r="F1888">
        <v>0.1</v>
      </c>
      <c r="G1888" s="129" t="s">
        <v>23</v>
      </c>
      <c r="H1888" s="129" t="s">
        <v>23</v>
      </c>
      <c r="I1888">
        <v>0</v>
      </c>
      <c r="J1888">
        <v>0</v>
      </c>
      <c r="K1888" s="129" t="s">
        <v>1962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s="129" t="s">
        <v>747</v>
      </c>
      <c r="B1889" s="129" t="s">
        <v>51</v>
      </c>
      <c r="C1889" s="129" t="s">
        <v>86</v>
      </c>
      <c r="D1889">
        <v>-200</v>
      </c>
      <c r="E1889">
        <v>-99.9</v>
      </c>
      <c r="F1889">
        <v>1</v>
      </c>
      <c r="G1889" s="129" t="s">
        <v>23</v>
      </c>
      <c r="H1889" s="129" t="s">
        <v>23</v>
      </c>
      <c r="I1889">
        <v>0</v>
      </c>
      <c r="J1889">
        <v>0</v>
      </c>
      <c r="K1889" s="129" t="s">
        <v>1962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s="129" t="s">
        <v>749</v>
      </c>
      <c r="B1890" s="129" t="s">
        <v>51</v>
      </c>
      <c r="C1890" s="129" t="s">
        <v>86</v>
      </c>
      <c r="D1890">
        <v>-100</v>
      </c>
      <c r="E1890">
        <v>-24.9</v>
      </c>
      <c r="F1890">
        <v>1</v>
      </c>
      <c r="G1890" s="129" t="s">
        <v>23</v>
      </c>
      <c r="H1890" s="129" t="s">
        <v>23</v>
      </c>
      <c r="I1890">
        <v>0</v>
      </c>
      <c r="J1890">
        <v>0</v>
      </c>
      <c r="K1890" s="129" t="s">
        <v>1962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s="129" t="s">
        <v>751</v>
      </c>
      <c r="B1891" s="129" t="s">
        <v>51</v>
      </c>
      <c r="C1891" s="129" t="s">
        <v>86</v>
      </c>
      <c r="D1891">
        <v>-25</v>
      </c>
      <c r="E1891">
        <v>120.1</v>
      </c>
      <c r="F1891">
        <v>1</v>
      </c>
      <c r="G1891" s="129" t="s">
        <v>23</v>
      </c>
      <c r="H1891" s="129" t="s">
        <v>23</v>
      </c>
      <c r="I1891">
        <v>0</v>
      </c>
      <c r="J1891">
        <v>0</v>
      </c>
      <c r="K1891" s="129" t="s">
        <v>1962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s="129" t="s">
        <v>2203</v>
      </c>
      <c r="B1892" s="129" t="s">
        <v>51</v>
      </c>
      <c r="C1892" s="129" t="s">
        <v>86</v>
      </c>
      <c r="D1892">
        <v>120</v>
      </c>
      <c r="E1892">
        <v>1000.1</v>
      </c>
      <c r="F1892">
        <v>1</v>
      </c>
      <c r="G1892" s="129" t="s">
        <v>23</v>
      </c>
      <c r="H1892" s="129" t="s">
        <v>23</v>
      </c>
      <c r="I1892">
        <v>0</v>
      </c>
      <c r="J1892">
        <v>0</v>
      </c>
      <c r="K1892" s="129" t="s">
        <v>1962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s="129" t="s">
        <v>754</v>
      </c>
      <c r="B1893" s="129" t="s">
        <v>51</v>
      </c>
      <c r="C1893" s="129" t="s">
        <v>86</v>
      </c>
      <c r="D1893">
        <v>1000</v>
      </c>
      <c r="E1893">
        <v>1372</v>
      </c>
      <c r="F1893">
        <v>1</v>
      </c>
      <c r="G1893" s="129" t="s">
        <v>23</v>
      </c>
      <c r="H1893" s="129" t="s">
        <v>23</v>
      </c>
      <c r="I1893">
        <v>0</v>
      </c>
      <c r="J1893">
        <v>0</v>
      </c>
      <c r="K1893" s="129" t="s">
        <v>1962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s="129" t="s">
        <v>756</v>
      </c>
      <c r="B1894" s="129" t="s">
        <v>51</v>
      </c>
      <c r="C1894" s="129" t="s">
        <v>86</v>
      </c>
      <c r="D1894">
        <v>1372</v>
      </c>
      <c r="E1894">
        <v>1372.1</v>
      </c>
      <c r="F1894">
        <v>1</v>
      </c>
      <c r="G1894" s="129" t="s">
        <v>23</v>
      </c>
      <c r="H1894" s="129" t="s">
        <v>23</v>
      </c>
      <c r="I1894">
        <v>0</v>
      </c>
      <c r="J1894">
        <v>0</v>
      </c>
      <c r="K1894" s="129" t="s">
        <v>1962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s="129" t="s">
        <v>734</v>
      </c>
      <c r="B1895" s="129" t="s">
        <v>51</v>
      </c>
      <c r="C1895" s="129" t="s">
        <v>89</v>
      </c>
      <c r="D1895">
        <v>-200</v>
      </c>
      <c r="E1895">
        <v>-99.9</v>
      </c>
      <c r="F1895">
        <v>0.1</v>
      </c>
      <c r="G1895" s="129" t="s">
        <v>23</v>
      </c>
      <c r="H1895" s="129" t="s">
        <v>23</v>
      </c>
      <c r="I1895">
        <v>0</v>
      </c>
      <c r="J1895">
        <v>0</v>
      </c>
      <c r="K1895" s="129" t="s">
        <v>1962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s="129" t="s">
        <v>736</v>
      </c>
      <c r="B1896" s="129" t="s">
        <v>51</v>
      </c>
      <c r="C1896" s="129" t="s">
        <v>89</v>
      </c>
      <c r="D1896">
        <v>-100</v>
      </c>
      <c r="E1896">
        <v>-24.9</v>
      </c>
      <c r="F1896">
        <v>0.1</v>
      </c>
      <c r="G1896" s="129" t="s">
        <v>23</v>
      </c>
      <c r="H1896" s="129" t="s">
        <v>23</v>
      </c>
      <c r="I1896">
        <v>0</v>
      </c>
      <c r="J1896">
        <v>0</v>
      </c>
      <c r="K1896" s="129" t="s">
        <v>1962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s="129" t="s">
        <v>738</v>
      </c>
      <c r="B1897" s="129" t="s">
        <v>51</v>
      </c>
      <c r="C1897" s="129" t="s">
        <v>89</v>
      </c>
      <c r="D1897">
        <v>-25</v>
      </c>
      <c r="E1897">
        <v>120.1</v>
      </c>
      <c r="F1897">
        <v>0.1</v>
      </c>
      <c r="G1897" s="129" t="s">
        <v>23</v>
      </c>
      <c r="H1897" s="129" t="s">
        <v>23</v>
      </c>
      <c r="I1897">
        <v>0</v>
      </c>
      <c r="J1897">
        <v>0</v>
      </c>
      <c r="K1897" s="129" t="s">
        <v>1962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s="129" t="s">
        <v>740</v>
      </c>
      <c r="B1898" s="129" t="s">
        <v>51</v>
      </c>
      <c r="C1898" s="129" t="s">
        <v>89</v>
      </c>
      <c r="D1898">
        <v>120</v>
      </c>
      <c r="E1898">
        <v>410.1</v>
      </c>
      <c r="F1898">
        <v>0.1</v>
      </c>
      <c r="G1898" s="129" t="s">
        <v>23</v>
      </c>
      <c r="H1898" s="129" t="s">
        <v>23</v>
      </c>
      <c r="I1898">
        <v>0</v>
      </c>
      <c r="J1898">
        <v>0</v>
      </c>
      <c r="K1898" s="129" t="s">
        <v>1962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s="129" t="s">
        <v>742</v>
      </c>
      <c r="B1899" s="129" t="s">
        <v>51</v>
      </c>
      <c r="C1899" s="129" t="s">
        <v>89</v>
      </c>
      <c r="D1899">
        <v>410</v>
      </c>
      <c r="E1899">
        <v>1300</v>
      </c>
      <c r="F1899">
        <v>0.1</v>
      </c>
      <c r="G1899" s="129" t="s">
        <v>23</v>
      </c>
      <c r="H1899" s="129" t="s">
        <v>23</v>
      </c>
      <c r="I1899">
        <v>0</v>
      </c>
      <c r="J1899">
        <v>0</v>
      </c>
      <c r="K1899" s="129" t="s">
        <v>1962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s="129" t="s">
        <v>744</v>
      </c>
      <c r="B1900" s="129" t="s">
        <v>51</v>
      </c>
      <c r="C1900" s="129" t="s">
        <v>89</v>
      </c>
      <c r="D1900">
        <v>1300</v>
      </c>
      <c r="E1900">
        <v>1300.0999999999999</v>
      </c>
      <c r="F1900">
        <v>0.1</v>
      </c>
      <c r="G1900" s="129" t="s">
        <v>23</v>
      </c>
      <c r="H1900" s="129" t="s">
        <v>23</v>
      </c>
      <c r="I1900">
        <v>0</v>
      </c>
      <c r="J1900">
        <v>0</v>
      </c>
      <c r="K1900" s="129" t="s">
        <v>1962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s="129" t="s">
        <v>735</v>
      </c>
      <c r="B1901" s="129" t="s">
        <v>51</v>
      </c>
      <c r="C1901" s="129" t="s">
        <v>89</v>
      </c>
      <c r="D1901">
        <v>-200</v>
      </c>
      <c r="E1901">
        <v>-99.9</v>
      </c>
      <c r="F1901">
        <v>1</v>
      </c>
      <c r="G1901" s="129" t="s">
        <v>23</v>
      </c>
      <c r="H1901" s="129" t="s">
        <v>23</v>
      </c>
      <c r="I1901">
        <v>0</v>
      </c>
      <c r="J1901">
        <v>0</v>
      </c>
      <c r="K1901" s="129" t="s">
        <v>1962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s="129" t="s">
        <v>737</v>
      </c>
      <c r="B1902" s="129" t="s">
        <v>51</v>
      </c>
      <c r="C1902" s="129" t="s">
        <v>89</v>
      </c>
      <c r="D1902">
        <v>-100</v>
      </c>
      <c r="E1902">
        <v>-24.9</v>
      </c>
      <c r="F1902">
        <v>1</v>
      </c>
      <c r="G1902" s="129" t="s">
        <v>23</v>
      </c>
      <c r="H1902" s="129" t="s">
        <v>23</v>
      </c>
      <c r="I1902">
        <v>0</v>
      </c>
      <c r="J1902">
        <v>0</v>
      </c>
      <c r="K1902" s="129" t="s">
        <v>1962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s="129" t="s">
        <v>739</v>
      </c>
      <c r="B1903" s="129" t="s">
        <v>51</v>
      </c>
      <c r="C1903" s="129" t="s">
        <v>89</v>
      </c>
      <c r="D1903">
        <v>-25</v>
      </c>
      <c r="E1903">
        <v>120.1</v>
      </c>
      <c r="F1903">
        <v>1</v>
      </c>
      <c r="G1903" s="129" t="s">
        <v>23</v>
      </c>
      <c r="H1903" s="129" t="s">
        <v>23</v>
      </c>
      <c r="I1903">
        <v>0</v>
      </c>
      <c r="J1903">
        <v>0</v>
      </c>
      <c r="K1903" s="129" t="s">
        <v>1962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s="129" t="s">
        <v>741</v>
      </c>
      <c r="B1904" s="129" t="s">
        <v>51</v>
      </c>
      <c r="C1904" s="129" t="s">
        <v>89</v>
      </c>
      <c r="D1904">
        <v>120</v>
      </c>
      <c r="E1904">
        <v>410.1</v>
      </c>
      <c r="F1904">
        <v>1</v>
      </c>
      <c r="G1904" s="129" t="s">
        <v>23</v>
      </c>
      <c r="H1904" s="129" t="s">
        <v>23</v>
      </c>
      <c r="I1904">
        <v>0</v>
      </c>
      <c r="J1904">
        <v>0</v>
      </c>
      <c r="K1904" s="129" t="s">
        <v>1962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s="129" t="s">
        <v>743</v>
      </c>
      <c r="B1905" s="129" t="s">
        <v>51</v>
      </c>
      <c r="C1905" s="129" t="s">
        <v>89</v>
      </c>
      <c r="D1905">
        <v>410</v>
      </c>
      <c r="E1905">
        <v>1300</v>
      </c>
      <c r="F1905">
        <v>1</v>
      </c>
      <c r="G1905" s="129" t="s">
        <v>23</v>
      </c>
      <c r="H1905" s="129" t="s">
        <v>23</v>
      </c>
      <c r="I1905">
        <v>0</v>
      </c>
      <c r="J1905">
        <v>0</v>
      </c>
      <c r="K1905" s="129" t="s">
        <v>1962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s="129" t="s">
        <v>745</v>
      </c>
      <c r="B1906" s="129" t="s">
        <v>51</v>
      </c>
      <c r="C1906" s="129" t="s">
        <v>89</v>
      </c>
      <c r="D1906">
        <v>1300</v>
      </c>
      <c r="E1906">
        <v>1300.0999999999999</v>
      </c>
      <c r="F1906">
        <v>1</v>
      </c>
      <c r="G1906" s="129" t="s">
        <v>23</v>
      </c>
      <c r="H1906" s="129" t="s">
        <v>23</v>
      </c>
      <c r="I1906">
        <v>0</v>
      </c>
      <c r="J1906">
        <v>0</v>
      </c>
      <c r="K1906" s="129" t="s">
        <v>1962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s="129" t="s">
        <v>723</v>
      </c>
      <c r="B1907" s="129" t="s">
        <v>51</v>
      </c>
      <c r="C1907" s="129" t="s">
        <v>93</v>
      </c>
      <c r="D1907">
        <v>-200</v>
      </c>
      <c r="E1907">
        <v>0.1</v>
      </c>
      <c r="F1907">
        <v>0.1</v>
      </c>
      <c r="G1907" s="129" t="s">
        <v>23</v>
      </c>
      <c r="H1907" s="129" t="s">
        <v>23</v>
      </c>
      <c r="I1907">
        <v>0</v>
      </c>
      <c r="J1907">
        <v>0</v>
      </c>
      <c r="K1907" s="129" t="s">
        <v>1962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s="129" t="s">
        <v>725</v>
      </c>
      <c r="B1908" s="129" t="s">
        <v>51</v>
      </c>
      <c r="C1908" s="129" t="s">
        <v>93</v>
      </c>
      <c r="D1908">
        <v>0</v>
      </c>
      <c r="E1908">
        <v>100.1</v>
      </c>
      <c r="F1908">
        <v>0.1</v>
      </c>
      <c r="G1908" s="129" t="s">
        <v>23</v>
      </c>
      <c r="H1908" s="129" t="s">
        <v>23</v>
      </c>
      <c r="I1908">
        <v>0</v>
      </c>
      <c r="J1908">
        <v>0</v>
      </c>
      <c r="K1908" s="129" t="s">
        <v>1962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s="129" t="s">
        <v>727</v>
      </c>
      <c r="B1909" s="129" t="s">
        <v>51</v>
      </c>
      <c r="C1909" s="129" t="s">
        <v>93</v>
      </c>
      <c r="D1909">
        <v>100</v>
      </c>
      <c r="E1909">
        <v>300.10000000000002</v>
      </c>
      <c r="F1909">
        <v>0.1</v>
      </c>
      <c r="G1909" s="129" t="s">
        <v>23</v>
      </c>
      <c r="H1909" s="129" t="s">
        <v>23</v>
      </c>
      <c r="I1909">
        <v>0</v>
      </c>
      <c r="J1909">
        <v>0</v>
      </c>
      <c r="K1909" s="129" t="s">
        <v>1962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s="129" t="s">
        <v>2212</v>
      </c>
      <c r="B1910" s="129" t="s">
        <v>51</v>
      </c>
      <c r="C1910" s="129" t="s">
        <v>93</v>
      </c>
      <c r="D1910">
        <v>300</v>
      </c>
      <c r="E1910">
        <v>400.1</v>
      </c>
      <c r="F1910">
        <v>0.1</v>
      </c>
      <c r="G1910" s="129" t="s">
        <v>23</v>
      </c>
      <c r="H1910" s="129" t="s">
        <v>23</v>
      </c>
      <c r="I1910">
        <v>0</v>
      </c>
      <c r="J1910">
        <v>0</v>
      </c>
      <c r="K1910" s="129" t="s">
        <v>1962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s="129" t="s">
        <v>729</v>
      </c>
      <c r="B1911" s="129" t="s">
        <v>51</v>
      </c>
      <c r="C1911" s="129" t="s">
        <v>93</v>
      </c>
      <c r="D1911">
        <v>400</v>
      </c>
      <c r="E1911">
        <v>630.1</v>
      </c>
      <c r="F1911">
        <v>0.1</v>
      </c>
      <c r="G1911" s="129" t="s">
        <v>23</v>
      </c>
      <c r="H1911" s="129" t="s">
        <v>23</v>
      </c>
      <c r="I1911">
        <v>0</v>
      </c>
      <c r="J1911">
        <v>0</v>
      </c>
      <c r="K1911" s="129" t="s">
        <v>1962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s="129" t="s">
        <v>2213</v>
      </c>
      <c r="B1912" s="129" t="s">
        <v>51</v>
      </c>
      <c r="C1912" s="129" t="s">
        <v>93</v>
      </c>
      <c r="D1912">
        <v>630</v>
      </c>
      <c r="E1912">
        <v>800</v>
      </c>
      <c r="F1912">
        <v>0.1</v>
      </c>
      <c r="G1912" s="129" t="s">
        <v>23</v>
      </c>
      <c r="H1912" s="129" t="s">
        <v>23</v>
      </c>
      <c r="I1912">
        <v>0</v>
      </c>
      <c r="J1912">
        <v>0</v>
      </c>
      <c r="K1912" s="129" t="s">
        <v>1962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s="129" t="s">
        <v>732</v>
      </c>
      <c r="B1913" s="129" t="s">
        <v>51</v>
      </c>
      <c r="C1913" s="129" t="s">
        <v>93</v>
      </c>
      <c r="D1913">
        <v>800</v>
      </c>
      <c r="E1913">
        <v>800.1</v>
      </c>
      <c r="F1913">
        <v>0.1</v>
      </c>
      <c r="G1913" s="129" t="s">
        <v>23</v>
      </c>
      <c r="H1913" s="129" t="s">
        <v>23</v>
      </c>
      <c r="I1913">
        <v>0</v>
      </c>
      <c r="J1913">
        <v>0</v>
      </c>
      <c r="K1913" s="129" t="s">
        <v>1962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s="129" t="s">
        <v>724</v>
      </c>
      <c r="B1914" s="129" t="s">
        <v>51</v>
      </c>
      <c r="C1914" s="129" t="s">
        <v>93</v>
      </c>
      <c r="D1914">
        <v>-200</v>
      </c>
      <c r="E1914">
        <v>0.1</v>
      </c>
      <c r="F1914">
        <v>1</v>
      </c>
      <c r="G1914" s="129" t="s">
        <v>23</v>
      </c>
      <c r="H1914" s="129" t="s">
        <v>23</v>
      </c>
      <c r="I1914">
        <v>0</v>
      </c>
      <c r="J1914">
        <v>0</v>
      </c>
      <c r="K1914" s="129" t="s">
        <v>1962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s="129" t="s">
        <v>726</v>
      </c>
      <c r="B1915" s="129" t="s">
        <v>51</v>
      </c>
      <c r="C1915" s="129" t="s">
        <v>93</v>
      </c>
      <c r="D1915">
        <v>0</v>
      </c>
      <c r="E1915">
        <v>100.1</v>
      </c>
      <c r="F1915">
        <v>1</v>
      </c>
      <c r="G1915" s="129" t="s">
        <v>23</v>
      </c>
      <c r="H1915" s="129" t="s">
        <v>23</v>
      </c>
      <c r="I1915">
        <v>0</v>
      </c>
      <c r="J1915">
        <v>0</v>
      </c>
      <c r="K1915" s="129" t="s">
        <v>1962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s="129" t="s">
        <v>2214</v>
      </c>
      <c r="B1916" s="129" t="s">
        <v>51</v>
      </c>
      <c r="C1916" s="129" t="s">
        <v>93</v>
      </c>
      <c r="D1916">
        <v>100</v>
      </c>
      <c r="E1916">
        <v>300.10000000000002</v>
      </c>
      <c r="F1916">
        <v>1</v>
      </c>
      <c r="G1916" s="129" t="s">
        <v>23</v>
      </c>
      <c r="H1916" s="129" t="s">
        <v>23</v>
      </c>
      <c r="I1916">
        <v>0</v>
      </c>
      <c r="J1916">
        <v>0</v>
      </c>
      <c r="K1916" s="129" t="s">
        <v>1962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s="129" t="s">
        <v>728</v>
      </c>
      <c r="B1917" s="129" t="s">
        <v>51</v>
      </c>
      <c r="C1917" s="129" t="s">
        <v>93</v>
      </c>
      <c r="D1917">
        <v>300</v>
      </c>
      <c r="E1917">
        <v>400.1</v>
      </c>
      <c r="F1917">
        <v>1</v>
      </c>
      <c r="G1917" s="129" t="s">
        <v>23</v>
      </c>
      <c r="H1917" s="129" t="s">
        <v>23</v>
      </c>
      <c r="I1917">
        <v>0</v>
      </c>
      <c r="J1917">
        <v>0</v>
      </c>
      <c r="K1917" s="129" t="s">
        <v>1962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s="129" t="s">
        <v>730</v>
      </c>
      <c r="B1918" s="129" t="s">
        <v>51</v>
      </c>
      <c r="C1918" s="129" t="s">
        <v>93</v>
      </c>
      <c r="D1918">
        <v>400</v>
      </c>
      <c r="E1918">
        <v>630.1</v>
      </c>
      <c r="F1918">
        <v>1</v>
      </c>
      <c r="G1918" s="129" t="s">
        <v>23</v>
      </c>
      <c r="H1918" s="129" t="s">
        <v>23</v>
      </c>
      <c r="I1918">
        <v>0</v>
      </c>
      <c r="J1918">
        <v>0</v>
      </c>
      <c r="K1918" s="129" t="s">
        <v>1962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s="129" t="s">
        <v>731</v>
      </c>
      <c r="B1919" s="129" t="s">
        <v>51</v>
      </c>
      <c r="C1919" s="129" t="s">
        <v>93</v>
      </c>
      <c r="D1919">
        <v>630</v>
      </c>
      <c r="E1919">
        <v>800</v>
      </c>
      <c r="F1919">
        <v>1</v>
      </c>
      <c r="G1919" s="129" t="s">
        <v>23</v>
      </c>
      <c r="H1919" s="129" t="s">
        <v>23</v>
      </c>
      <c r="I1919">
        <v>0</v>
      </c>
      <c r="J1919">
        <v>0</v>
      </c>
      <c r="K1919" s="129" t="s">
        <v>1962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s="129" t="s">
        <v>733</v>
      </c>
      <c r="B1920" s="129" t="s">
        <v>51</v>
      </c>
      <c r="C1920" s="129" t="s">
        <v>93</v>
      </c>
      <c r="D1920">
        <v>800</v>
      </c>
      <c r="E1920">
        <v>800.1</v>
      </c>
      <c r="F1920">
        <v>1</v>
      </c>
      <c r="G1920" s="129" t="s">
        <v>23</v>
      </c>
      <c r="H1920" s="129" t="s">
        <v>23</v>
      </c>
      <c r="I1920">
        <v>0</v>
      </c>
      <c r="J1920">
        <v>0</v>
      </c>
      <c r="K1920" s="129" t="s">
        <v>1962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s="129" t="s">
        <v>711</v>
      </c>
      <c r="B1921" s="129" t="s">
        <v>51</v>
      </c>
      <c r="C1921" s="129" t="s">
        <v>94</v>
      </c>
      <c r="D1921">
        <v>-200</v>
      </c>
      <c r="E1921">
        <v>0.1</v>
      </c>
      <c r="F1921">
        <v>0.1</v>
      </c>
      <c r="G1921" s="129" t="s">
        <v>23</v>
      </c>
      <c r="H1921" s="129" t="s">
        <v>23</v>
      </c>
      <c r="I1921">
        <v>0</v>
      </c>
      <c r="J1921">
        <v>0</v>
      </c>
      <c r="K1921" s="129" t="s">
        <v>1962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s="129" t="s">
        <v>713</v>
      </c>
      <c r="B1922" s="129" t="s">
        <v>51</v>
      </c>
      <c r="C1922" s="129" t="s">
        <v>94</v>
      </c>
      <c r="D1922">
        <v>0</v>
      </c>
      <c r="E1922">
        <v>100.1</v>
      </c>
      <c r="F1922">
        <v>0.1</v>
      </c>
      <c r="G1922" s="129" t="s">
        <v>23</v>
      </c>
      <c r="H1922" s="129" t="s">
        <v>23</v>
      </c>
      <c r="I1922">
        <v>0</v>
      </c>
      <c r="J1922">
        <v>0</v>
      </c>
      <c r="K1922" s="129" t="s">
        <v>1962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s="129" t="s">
        <v>2215</v>
      </c>
      <c r="B1923" s="129" t="s">
        <v>51</v>
      </c>
      <c r="C1923" s="129" t="s">
        <v>94</v>
      </c>
      <c r="D1923">
        <v>100</v>
      </c>
      <c r="E1923">
        <v>260.10000000000002</v>
      </c>
      <c r="F1923">
        <v>0.1</v>
      </c>
      <c r="G1923" s="129" t="s">
        <v>23</v>
      </c>
      <c r="H1923" s="129" t="s">
        <v>23</v>
      </c>
      <c r="I1923">
        <v>0</v>
      </c>
      <c r="J1923">
        <v>0</v>
      </c>
      <c r="K1923" s="129" t="s">
        <v>1962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s="129" t="s">
        <v>716</v>
      </c>
      <c r="B1924" s="129" t="s">
        <v>51</v>
      </c>
      <c r="C1924" s="129" t="s">
        <v>94</v>
      </c>
      <c r="D1924">
        <v>260</v>
      </c>
      <c r="E1924">
        <v>300.10000000000002</v>
      </c>
      <c r="F1924">
        <v>0.1</v>
      </c>
      <c r="G1924" s="129" t="s">
        <v>23</v>
      </c>
      <c r="H1924" s="129" t="s">
        <v>23</v>
      </c>
      <c r="I1924">
        <v>0</v>
      </c>
      <c r="J1924">
        <v>0</v>
      </c>
      <c r="K1924" s="129" t="s">
        <v>1962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s="129" t="s">
        <v>717</v>
      </c>
      <c r="B1925" s="129" t="s">
        <v>51</v>
      </c>
      <c r="C1925" s="129" t="s">
        <v>94</v>
      </c>
      <c r="D1925">
        <v>300</v>
      </c>
      <c r="E1925">
        <v>400.1</v>
      </c>
      <c r="F1925">
        <v>0.1</v>
      </c>
      <c r="G1925" s="129" t="s">
        <v>23</v>
      </c>
      <c r="H1925" s="129" t="s">
        <v>23</v>
      </c>
      <c r="I1925">
        <v>0</v>
      </c>
      <c r="J1925">
        <v>0</v>
      </c>
      <c r="K1925" s="129" t="s">
        <v>1962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s="129" t="s">
        <v>718</v>
      </c>
      <c r="B1926" s="129" t="s">
        <v>51</v>
      </c>
      <c r="C1926" s="129" t="s">
        <v>94</v>
      </c>
      <c r="D1926">
        <v>400</v>
      </c>
      <c r="E1926">
        <v>600.1</v>
      </c>
      <c r="F1926">
        <v>0.1</v>
      </c>
      <c r="G1926" s="129" t="s">
        <v>23</v>
      </c>
      <c r="H1926" s="129" t="s">
        <v>23</v>
      </c>
      <c r="I1926">
        <v>0</v>
      </c>
      <c r="J1926">
        <v>0</v>
      </c>
      <c r="K1926" s="129" t="s">
        <v>1962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s="129" t="s">
        <v>719</v>
      </c>
      <c r="B1927" s="129" t="s">
        <v>51</v>
      </c>
      <c r="C1927" s="129" t="s">
        <v>94</v>
      </c>
      <c r="D1927">
        <v>600</v>
      </c>
      <c r="E1927">
        <v>630</v>
      </c>
      <c r="F1927">
        <v>0.1</v>
      </c>
      <c r="G1927" s="129" t="s">
        <v>23</v>
      </c>
      <c r="H1927" s="129" t="s">
        <v>23</v>
      </c>
      <c r="I1927">
        <v>0</v>
      </c>
      <c r="J1927">
        <v>0</v>
      </c>
      <c r="K1927" s="129" t="s">
        <v>1962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s="129" t="s">
        <v>721</v>
      </c>
      <c r="B1928" s="129" t="s">
        <v>51</v>
      </c>
      <c r="C1928" s="129" t="s">
        <v>94</v>
      </c>
      <c r="D1928">
        <v>630</v>
      </c>
      <c r="E1928">
        <v>630.1</v>
      </c>
      <c r="F1928">
        <v>0.1</v>
      </c>
      <c r="G1928" s="129" t="s">
        <v>23</v>
      </c>
      <c r="H1928" s="129" t="s">
        <v>23</v>
      </c>
      <c r="I1928">
        <v>0</v>
      </c>
      <c r="J1928">
        <v>0</v>
      </c>
      <c r="K1928" s="129" t="s">
        <v>1962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s="129" t="s">
        <v>712</v>
      </c>
      <c r="B1929" s="129" t="s">
        <v>51</v>
      </c>
      <c r="C1929" s="129" t="s">
        <v>94</v>
      </c>
      <c r="D1929">
        <v>-200</v>
      </c>
      <c r="E1929">
        <v>0.1</v>
      </c>
      <c r="F1929">
        <v>1</v>
      </c>
      <c r="G1929" s="129" t="s">
        <v>23</v>
      </c>
      <c r="H1929" s="129" t="s">
        <v>23</v>
      </c>
      <c r="I1929">
        <v>0</v>
      </c>
      <c r="J1929">
        <v>0</v>
      </c>
      <c r="K1929" s="129" t="s">
        <v>1962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s="129" t="s">
        <v>714</v>
      </c>
      <c r="B1930" s="129" t="s">
        <v>51</v>
      </c>
      <c r="C1930" s="129" t="s">
        <v>94</v>
      </c>
      <c r="D1930">
        <v>0</v>
      </c>
      <c r="E1930">
        <v>100.1</v>
      </c>
      <c r="F1930">
        <v>1</v>
      </c>
      <c r="G1930" s="129" t="s">
        <v>23</v>
      </c>
      <c r="H1930" s="129" t="s">
        <v>23</v>
      </c>
      <c r="I1930">
        <v>0</v>
      </c>
      <c r="J1930">
        <v>0</v>
      </c>
      <c r="K1930" s="129" t="s">
        <v>1962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s="129" t="s">
        <v>715</v>
      </c>
      <c r="B1931" s="129" t="s">
        <v>51</v>
      </c>
      <c r="C1931" s="129" t="s">
        <v>94</v>
      </c>
      <c r="D1931">
        <v>100</v>
      </c>
      <c r="E1931">
        <v>260.10000000000002</v>
      </c>
      <c r="F1931">
        <v>1</v>
      </c>
      <c r="G1931" s="129" t="s">
        <v>23</v>
      </c>
      <c r="H1931" s="129" t="s">
        <v>23</v>
      </c>
      <c r="I1931">
        <v>0</v>
      </c>
      <c r="J1931">
        <v>0</v>
      </c>
      <c r="K1931" s="129" t="s">
        <v>1962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s="129" t="s">
        <v>2216</v>
      </c>
      <c r="B1932" s="129" t="s">
        <v>51</v>
      </c>
      <c r="C1932" s="129" t="s">
        <v>94</v>
      </c>
      <c r="D1932">
        <v>260</v>
      </c>
      <c r="E1932">
        <v>300.10000000000002</v>
      </c>
      <c r="F1932">
        <v>1</v>
      </c>
      <c r="G1932" s="129" t="s">
        <v>23</v>
      </c>
      <c r="H1932" s="129" t="s">
        <v>23</v>
      </c>
      <c r="I1932">
        <v>0</v>
      </c>
      <c r="J1932">
        <v>0</v>
      </c>
      <c r="K1932" s="129" t="s">
        <v>1962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s="129" t="s">
        <v>2217</v>
      </c>
      <c r="B1933" s="129" t="s">
        <v>51</v>
      </c>
      <c r="C1933" s="129" t="s">
        <v>94</v>
      </c>
      <c r="D1933">
        <v>300</v>
      </c>
      <c r="E1933">
        <v>400.1</v>
      </c>
      <c r="F1933">
        <v>1</v>
      </c>
      <c r="G1933" s="129" t="s">
        <v>23</v>
      </c>
      <c r="H1933" s="129" t="s">
        <v>23</v>
      </c>
      <c r="I1933">
        <v>0</v>
      </c>
      <c r="J1933">
        <v>0</v>
      </c>
      <c r="K1933" s="129" t="s">
        <v>1962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s="129" t="s">
        <v>2218</v>
      </c>
      <c r="B1934" s="129" t="s">
        <v>51</v>
      </c>
      <c r="C1934" s="129" t="s">
        <v>94</v>
      </c>
      <c r="D1934">
        <v>400</v>
      </c>
      <c r="E1934">
        <v>600.1</v>
      </c>
      <c r="F1934">
        <v>1</v>
      </c>
      <c r="G1934" s="129" t="s">
        <v>23</v>
      </c>
      <c r="H1934" s="129" t="s">
        <v>23</v>
      </c>
      <c r="I1934">
        <v>0</v>
      </c>
      <c r="J1934">
        <v>0</v>
      </c>
      <c r="K1934" s="129" t="s">
        <v>1962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s="129" t="s">
        <v>720</v>
      </c>
      <c r="B1935" s="129" t="s">
        <v>51</v>
      </c>
      <c r="C1935" s="129" t="s">
        <v>94</v>
      </c>
      <c r="D1935">
        <v>600</v>
      </c>
      <c r="E1935">
        <v>630</v>
      </c>
      <c r="F1935">
        <v>1</v>
      </c>
      <c r="G1935" s="129" t="s">
        <v>23</v>
      </c>
      <c r="H1935" s="129" t="s">
        <v>23</v>
      </c>
      <c r="I1935">
        <v>0</v>
      </c>
      <c r="J1935">
        <v>0</v>
      </c>
      <c r="K1935" s="129" t="s">
        <v>1962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s="129" t="s">
        <v>722</v>
      </c>
      <c r="B1936" s="129" t="s">
        <v>51</v>
      </c>
      <c r="C1936" s="129" t="s">
        <v>94</v>
      </c>
      <c r="D1936">
        <v>630</v>
      </c>
      <c r="E1936">
        <v>630.1</v>
      </c>
      <c r="F1936">
        <v>1</v>
      </c>
      <c r="G1936" s="129" t="s">
        <v>23</v>
      </c>
      <c r="H1936" s="129" t="s">
        <v>23</v>
      </c>
      <c r="I1936">
        <v>0</v>
      </c>
      <c r="J1936">
        <v>0</v>
      </c>
      <c r="K1936" s="129" t="s">
        <v>1962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s="129" t="s">
        <v>703</v>
      </c>
      <c r="B1937" s="129" t="s">
        <v>51</v>
      </c>
      <c r="C1937" s="129" t="s">
        <v>90</v>
      </c>
      <c r="D1937">
        <v>0</v>
      </c>
      <c r="E1937">
        <v>250.1</v>
      </c>
      <c r="F1937">
        <v>0.1</v>
      </c>
      <c r="G1937" s="129" t="s">
        <v>23</v>
      </c>
      <c r="H1937" s="129" t="s">
        <v>23</v>
      </c>
      <c r="I1937">
        <v>0</v>
      </c>
      <c r="J1937">
        <v>0</v>
      </c>
      <c r="K1937" s="129" t="s">
        <v>1962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s="129" t="s">
        <v>705</v>
      </c>
      <c r="B1938" s="129" t="s">
        <v>51</v>
      </c>
      <c r="C1938" s="129" t="s">
        <v>90</v>
      </c>
      <c r="D1938">
        <v>250</v>
      </c>
      <c r="E1938">
        <v>400.1</v>
      </c>
      <c r="F1938">
        <v>0.1</v>
      </c>
      <c r="G1938" s="129" t="s">
        <v>23</v>
      </c>
      <c r="H1938" s="129" t="s">
        <v>23</v>
      </c>
      <c r="I1938">
        <v>0</v>
      </c>
      <c r="J1938">
        <v>0</v>
      </c>
      <c r="K1938" s="129" t="s">
        <v>1962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s="129" t="s">
        <v>707</v>
      </c>
      <c r="B1939" s="129" t="s">
        <v>51</v>
      </c>
      <c r="C1939" s="129" t="s">
        <v>90</v>
      </c>
      <c r="D1939">
        <v>400</v>
      </c>
      <c r="E1939">
        <v>1000.1</v>
      </c>
      <c r="F1939">
        <v>0.1</v>
      </c>
      <c r="G1939" s="129" t="s">
        <v>23</v>
      </c>
      <c r="H1939" s="129" t="s">
        <v>23</v>
      </c>
      <c r="I1939">
        <v>0</v>
      </c>
      <c r="J1939">
        <v>0</v>
      </c>
      <c r="K1939" s="129" t="s">
        <v>1962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s="129" t="s">
        <v>709</v>
      </c>
      <c r="B1940" s="129" t="s">
        <v>51</v>
      </c>
      <c r="C1940" s="129" t="s">
        <v>90</v>
      </c>
      <c r="D1940">
        <v>1000</v>
      </c>
      <c r="E1940">
        <v>1767</v>
      </c>
      <c r="F1940">
        <v>0.1</v>
      </c>
      <c r="G1940" s="129" t="s">
        <v>23</v>
      </c>
      <c r="H1940" s="129" t="s">
        <v>23</v>
      </c>
      <c r="I1940">
        <v>0</v>
      </c>
      <c r="J1940">
        <v>0</v>
      </c>
      <c r="K1940" s="129" t="s">
        <v>1962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s="129" t="s">
        <v>710</v>
      </c>
      <c r="B1941" s="129" t="s">
        <v>51</v>
      </c>
      <c r="C1941" s="129" t="s">
        <v>90</v>
      </c>
      <c r="D1941">
        <v>1767</v>
      </c>
      <c r="E1941">
        <v>1767.1</v>
      </c>
      <c r="F1941">
        <v>0.1</v>
      </c>
      <c r="G1941" s="129" t="s">
        <v>23</v>
      </c>
      <c r="H1941" s="129" t="s">
        <v>23</v>
      </c>
      <c r="I1941">
        <v>0</v>
      </c>
      <c r="J1941">
        <v>0</v>
      </c>
      <c r="K1941" s="129" t="s">
        <v>1962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s="129" t="s">
        <v>704</v>
      </c>
      <c r="B1942" s="129" t="s">
        <v>51</v>
      </c>
      <c r="C1942" s="129" t="s">
        <v>90</v>
      </c>
      <c r="D1942">
        <v>0</v>
      </c>
      <c r="E1942">
        <v>250.1</v>
      </c>
      <c r="F1942">
        <v>1</v>
      </c>
      <c r="G1942" s="129" t="s">
        <v>23</v>
      </c>
      <c r="H1942" s="129" t="s">
        <v>23</v>
      </c>
      <c r="I1942">
        <v>0</v>
      </c>
      <c r="J1942">
        <v>0</v>
      </c>
      <c r="K1942" s="129" t="s">
        <v>1962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s="129" t="s">
        <v>706</v>
      </c>
      <c r="B1943" s="129" t="s">
        <v>51</v>
      </c>
      <c r="C1943" s="129" t="s">
        <v>90</v>
      </c>
      <c r="D1943">
        <v>250</v>
      </c>
      <c r="E1943">
        <v>400.1</v>
      </c>
      <c r="F1943">
        <v>1</v>
      </c>
      <c r="G1943" s="129" t="s">
        <v>23</v>
      </c>
      <c r="H1943" s="129" t="s">
        <v>23</v>
      </c>
      <c r="I1943">
        <v>0</v>
      </c>
      <c r="J1943">
        <v>0</v>
      </c>
      <c r="K1943" s="129" t="s">
        <v>1962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s="129" t="s">
        <v>708</v>
      </c>
      <c r="B1944" s="129" t="s">
        <v>51</v>
      </c>
      <c r="C1944" s="129" t="s">
        <v>90</v>
      </c>
      <c r="D1944">
        <v>400</v>
      </c>
      <c r="E1944">
        <v>1000.1</v>
      </c>
      <c r="F1944">
        <v>1</v>
      </c>
      <c r="G1944" s="129" t="s">
        <v>23</v>
      </c>
      <c r="H1944" s="129" t="s">
        <v>23</v>
      </c>
      <c r="I1944">
        <v>0</v>
      </c>
      <c r="J1944">
        <v>0</v>
      </c>
      <c r="K1944" s="129" t="s">
        <v>1962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s="129" t="s">
        <v>2204</v>
      </c>
      <c r="B1945" s="129" t="s">
        <v>51</v>
      </c>
      <c r="C1945" s="129" t="s">
        <v>90</v>
      </c>
      <c r="D1945">
        <v>1000</v>
      </c>
      <c r="E1945">
        <v>1767</v>
      </c>
      <c r="F1945">
        <v>1</v>
      </c>
      <c r="G1945" s="129" t="s">
        <v>23</v>
      </c>
      <c r="H1945" s="129" t="s">
        <v>23</v>
      </c>
      <c r="I1945">
        <v>0</v>
      </c>
      <c r="J1945">
        <v>0</v>
      </c>
      <c r="K1945" s="129" t="s">
        <v>1962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s="129" t="s">
        <v>2205</v>
      </c>
      <c r="B1946" s="129" t="s">
        <v>51</v>
      </c>
      <c r="C1946" s="129" t="s">
        <v>90</v>
      </c>
      <c r="D1946">
        <v>1767</v>
      </c>
      <c r="E1946">
        <v>1767.1</v>
      </c>
      <c r="F1946">
        <v>1</v>
      </c>
      <c r="G1946" s="129" t="s">
        <v>23</v>
      </c>
      <c r="H1946" s="129" t="s">
        <v>23</v>
      </c>
      <c r="I1946">
        <v>0</v>
      </c>
      <c r="J1946">
        <v>0</v>
      </c>
      <c r="K1946" s="129" t="s">
        <v>1962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s="129" t="s">
        <v>695</v>
      </c>
      <c r="B1947" s="129" t="s">
        <v>51</v>
      </c>
      <c r="C1947" s="129" t="s">
        <v>91</v>
      </c>
      <c r="D1947">
        <v>0</v>
      </c>
      <c r="E1947">
        <v>250.1</v>
      </c>
      <c r="F1947">
        <v>0.1</v>
      </c>
      <c r="G1947" s="129" t="s">
        <v>23</v>
      </c>
      <c r="H1947" s="129" t="s">
        <v>23</v>
      </c>
      <c r="I1947">
        <v>0</v>
      </c>
      <c r="J1947">
        <v>0</v>
      </c>
      <c r="K1947" s="129" t="s">
        <v>1962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s="129" t="s">
        <v>697</v>
      </c>
      <c r="B1948" s="129" t="s">
        <v>51</v>
      </c>
      <c r="C1948" s="129" t="s">
        <v>91</v>
      </c>
      <c r="D1948">
        <v>250</v>
      </c>
      <c r="E1948">
        <v>1000.1</v>
      </c>
      <c r="F1948">
        <v>0.1</v>
      </c>
      <c r="G1948" s="129" t="s">
        <v>23</v>
      </c>
      <c r="H1948" s="129" t="s">
        <v>23</v>
      </c>
      <c r="I1948">
        <v>0</v>
      </c>
      <c r="J1948">
        <v>0</v>
      </c>
      <c r="K1948" s="129" t="s">
        <v>1962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s="129" t="s">
        <v>699</v>
      </c>
      <c r="B1949" s="129" t="s">
        <v>51</v>
      </c>
      <c r="C1949" s="129" t="s">
        <v>91</v>
      </c>
      <c r="D1949">
        <v>1000</v>
      </c>
      <c r="E1949">
        <v>1400.1</v>
      </c>
      <c r="F1949">
        <v>0.1</v>
      </c>
      <c r="G1949" s="129" t="s">
        <v>23</v>
      </c>
      <c r="H1949" s="129" t="s">
        <v>23</v>
      </c>
      <c r="I1949">
        <v>0</v>
      </c>
      <c r="J1949">
        <v>0</v>
      </c>
      <c r="K1949" s="129" t="s">
        <v>1962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s="129" t="s">
        <v>2206</v>
      </c>
      <c r="B1950" s="129" t="s">
        <v>51</v>
      </c>
      <c r="C1950" s="129" t="s">
        <v>91</v>
      </c>
      <c r="D1950">
        <v>1400</v>
      </c>
      <c r="E1950">
        <v>1767</v>
      </c>
      <c r="F1950">
        <v>0.1</v>
      </c>
      <c r="G1950" s="129" t="s">
        <v>23</v>
      </c>
      <c r="H1950" s="129" t="s">
        <v>23</v>
      </c>
      <c r="I1950">
        <v>0</v>
      </c>
      <c r="J1950">
        <v>0</v>
      </c>
      <c r="K1950" s="129" t="s">
        <v>1962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s="129" t="s">
        <v>701</v>
      </c>
      <c r="B1951" s="129" t="s">
        <v>51</v>
      </c>
      <c r="C1951" s="129" t="s">
        <v>91</v>
      </c>
      <c r="D1951">
        <v>1767</v>
      </c>
      <c r="E1951">
        <v>1767.1</v>
      </c>
      <c r="F1951">
        <v>0.1</v>
      </c>
      <c r="G1951" s="129" t="s">
        <v>23</v>
      </c>
      <c r="H1951" s="129" t="s">
        <v>23</v>
      </c>
      <c r="I1951">
        <v>0</v>
      </c>
      <c r="J1951">
        <v>0</v>
      </c>
      <c r="K1951" s="129" t="s">
        <v>1962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s="129" t="s">
        <v>696</v>
      </c>
      <c r="B1952" s="129" t="s">
        <v>51</v>
      </c>
      <c r="C1952" s="129" t="s">
        <v>91</v>
      </c>
      <c r="D1952">
        <v>0</v>
      </c>
      <c r="E1952">
        <v>250.1</v>
      </c>
      <c r="F1952">
        <v>1</v>
      </c>
      <c r="G1952" s="129" t="s">
        <v>23</v>
      </c>
      <c r="H1952" s="129" t="s">
        <v>23</v>
      </c>
      <c r="I1952">
        <v>0</v>
      </c>
      <c r="J1952">
        <v>0</v>
      </c>
      <c r="K1952" s="129" t="s">
        <v>1962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s="129" t="s">
        <v>698</v>
      </c>
      <c r="B1953" s="129" t="s">
        <v>51</v>
      </c>
      <c r="C1953" s="129" t="s">
        <v>91</v>
      </c>
      <c r="D1953">
        <v>250</v>
      </c>
      <c r="E1953">
        <v>1000.1</v>
      </c>
      <c r="F1953">
        <v>1</v>
      </c>
      <c r="G1953" s="129" t="s">
        <v>23</v>
      </c>
      <c r="H1953" s="129" t="s">
        <v>23</v>
      </c>
      <c r="I1953">
        <v>0</v>
      </c>
      <c r="J1953">
        <v>0</v>
      </c>
      <c r="K1953" s="129" t="s">
        <v>1962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s="129" t="s">
        <v>2207</v>
      </c>
      <c r="B1954" s="129" t="s">
        <v>51</v>
      </c>
      <c r="C1954" s="129" t="s">
        <v>91</v>
      </c>
      <c r="D1954">
        <v>1000</v>
      </c>
      <c r="E1954">
        <v>1400.1</v>
      </c>
      <c r="F1954">
        <v>1</v>
      </c>
      <c r="G1954" s="129" t="s">
        <v>23</v>
      </c>
      <c r="H1954" s="129" t="s">
        <v>23</v>
      </c>
      <c r="I1954">
        <v>0</v>
      </c>
      <c r="J1954">
        <v>0</v>
      </c>
      <c r="K1954" s="129" t="s">
        <v>1962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s="129" t="s">
        <v>700</v>
      </c>
      <c r="B1955" s="129" t="s">
        <v>51</v>
      </c>
      <c r="C1955" s="129" t="s">
        <v>91</v>
      </c>
      <c r="D1955">
        <v>1400</v>
      </c>
      <c r="E1955">
        <v>1767</v>
      </c>
      <c r="F1955">
        <v>1</v>
      </c>
      <c r="G1955" s="129" t="s">
        <v>23</v>
      </c>
      <c r="H1955" s="129" t="s">
        <v>23</v>
      </c>
      <c r="I1955">
        <v>0</v>
      </c>
      <c r="J1955">
        <v>0</v>
      </c>
      <c r="K1955" s="129" t="s">
        <v>1962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s="129" t="s">
        <v>702</v>
      </c>
      <c r="B1956" s="129" t="s">
        <v>51</v>
      </c>
      <c r="C1956" s="129" t="s">
        <v>91</v>
      </c>
      <c r="D1956">
        <v>1767</v>
      </c>
      <c r="E1956">
        <v>1767.1</v>
      </c>
      <c r="F1956">
        <v>1</v>
      </c>
      <c r="G1956" s="129" t="s">
        <v>23</v>
      </c>
      <c r="H1956" s="129" t="s">
        <v>23</v>
      </c>
      <c r="I1956">
        <v>0</v>
      </c>
      <c r="J1956">
        <v>0</v>
      </c>
      <c r="K1956" s="129" t="s">
        <v>1962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s="129" t="s">
        <v>2208</v>
      </c>
      <c r="B1957" s="129" t="s">
        <v>51</v>
      </c>
      <c r="C1957" s="129" t="s">
        <v>92</v>
      </c>
      <c r="D1957">
        <v>-250</v>
      </c>
      <c r="E1957">
        <v>-149.9</v>
      </c>
      <c r="F1957">
        <v>0.1</v>
      </c>
      <c r="G1957" s="129" t="s">
        <v>23</v>
      </c>
      <c r="H1957" s="129" t="s">
        <v>23</v>
      </c>
      <c r="I1957">
        <v>0</v>
      </c>
      <c r="J1957">
        <v>0</v>
      </c>
      <c r="K1957" s="129" t="s">
        <v>1962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s="129" t="s">
        <v>690</v>
      </c>
      <c r="B1958" s="129" t="s">
        <v>51</v>
      </c>
      <c r="C1958" s="129" t="s">
        <v>92</v>
      </c>
      <c r="D1958">
        <v>-150</v>
      </c>
      <c r="E1958">
        <v>0.1</v>
      </c>
      <c r="F1958">
        <v>0.1</v>
      </c>
      <c r="G1958" s="129" t="s">
        <v>23</v>
      </c>
      <c r="H1958" s="129" t="s">
        <v>23</v>
      </c>
      <c r="I1958">
        <v>0</v>
      </c>
      <c r="J1958">
        <v>0</v>
      </c>
      <c r="K1958" s="129" t="s">
        <v>1962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s="129" t="s">
        <v>2209</v>
      </c>
      <c r="B1959" s="129" t="s">
        <v>51</v>
      </c>
      <c r="C1959" s="129" t="s">
        <v>92</v>
      </c>
      <c r="D1959">
        <v>0</v>
      </c>
      <c r="E1959">
        <v>120.1</v>
      </c>
      <c r="F1959">
        <v>0.1</v>
      </c>
      <c r="G1959" s="129" t="s">
        <v>23</v>
      </c>
      <c r="H1959" s="129" t="s">
        <v>23</v>
      </c>
      <c r="I1959">
        <v>0</v>
      </c>
      <c r="J1959">
        <v>0</v>
      </c>
      <c r="K1959" s="129" t="s">
        <v>1962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s="129" t="s">
        <v>2210</v>
      </c>
      <c r="B1960" s="129" t="s">
        <v>51</v>
      </c>
      <c r="C1960" s="129" t="s">
        <v>92</v>
      </c>
      <c r="D1960">
        <v>120</v>
      </c>
      <c r="E1960">
        <v>400</v>
      </c>
      <c r="F1960">
        <v>0.1</v>
      </c>
      <c r="G1960" s="129" t="s">
        <v>23</v>
      </c>
      <c r="H1960" s="129" t="s">
        <v>23</v>
      </c>
      <c r="I1960">
        <v>0</v>
      </c>
      <c r="J1960">
        <v>0</v>
      </c>
      <c r="K1960" s="129" t="s">
        <v>1962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s="129" t="s">
        <v>2211</v>
      </c>
      <c r="B1961" s="129" t="s">
        <v>51</v>
      </c>
      <c r="C1961" s="129" t="s">
        <v>92</v>
      </c>
      <c r="D1961">
        <v>400</v>
      </c>
      <c r="E1961">
        <v>400.1</v>
      </c>
      <c r="F1961">
        <v>0.1</v>
      </c>
      <c r="G1961" s="129" t="s">
        <v>23</v>
      </c>
      <c r="H1961" s="129" t="s">
        <v>23</v>
      </c>
      <c r="I1961">
        <v>0</v>
      </c>
      <c r="J1961">
        <v>0</v>
      </c>
      <c r="K1961" s="129" t="s">
        <v>1962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s="129" t="s">
        <v>689</v>
      </c>
      <c r="B1962" s="129" t="s">
        <v>51</v>
      </c>
      <c r="C1962" s="129" t="s">
        <v>92</v>
      </c>
      <c r="D1962">
        <v>-250</v>
      </c>
      <c r="E1962">
        <v>-149.9</v>
      </c>
      <c r="F1962">
        <v>1</v>
      </c>
      <c r="G1962" s="129" t="s">
        <v>23</v>
      </c>
      <c r="H1962" s="129" t="s">
        <v>23</v>
      </c>
      <c r="I1962">
        <v>0</v>
      </c>
      <c r="J1962">
        <v>0</v>
      </c>
      <c r="K1962" s="129" t="s">
        <v>1962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s="129" t="s">
        <v>691</v>
      </c>
      <c r="B1963" s="129" t="s">
        <v>51</v>
      </c>
      <c r="C1963" s="129" t="s">
        <v>92</v>
      </c>
      <c r="D1963">
        <v>-150</v>
      </c>
      <c r="E1963">
        <v>0.1</v>
      </c>
      <c r="F1963">
        <v>1</v>
      </c>
      <c r="G1963" s="129" t="s">
        <v>23</v>
      </c>
      <c r="H1963" s="129" t="s">
        <v>23</v>
      </c>
      <c r="I1963">
        <v>0</v>
      </c>
      <c r="J1963">
        <v>0</v>
      </c>
      <c r="K1963" s="129" t="s">
        <v>1962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s="129" t="s">
        <v>692</v>
      </c>
      <c r="B1964" s="129" t="s">
        <v>51</v>
      </c>
      <c r="C1964" s="129" t="s">
        <v>92</v>
      </c>
      <c r="D1964">
        <v>0</v>
      </c>
      <c r="E1964">
        <v>120.1</v>
      </c>
      <c r="F1964">
        <v>1</v>
      </c>
      <c r="G1964" s="129" t="s">
        <v>23</v>
      </c>
      <c r="H1964" s="129" t="s">
        <v>23</v>
      </c>
      <c r="I1964">
        <v>0</v>
      </c>
      <c r="J1964">
        <v>0</v>
      </c>
      <c r="K1964" s="129" t="s">
        <v>1962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s="129" t="s">
        <v>693</v>
      </c>
      <c r="B1965" s="129" t="s">
        <v>51</v>
      </c>
      <c r="C1965" s="129" t="s">
        <v>92</v>
      </c>
      <c r="D1965">
        <v>120</v>
      </c>
      <c r="E1965">
        <v>400</v>
      </c>
      <c r="F1965">
        <v>1</v>
      </c>
      <c r="G1965" s="129" t="s">
        <v>23</v>
      </c>
      <c r="H1965" s="129" t="s">
        <v>23</v>
      </c>
      <c r="I1965">
        <v>0</v>
      </c>
      <c r="J1965">
        <v>0</v>
      </c>
      <c r="K1965" s="129" t="s">
        <v>1962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s="129" t="s">
        <v>694</v>
      </c>
      <c r="B1966" s="129" t="s">
        <v>51</v>
      </c>
      <c r="C1966" s="129" t="s">
        <v>92</v>
      </c>
      <c r="D1966">
        <v>400</v>
      </c>
      <c r="E1966">
        <v>400.1</v>
      </c>
      <c r="F1966">
        <v>1</v>
      </c>
      <c r="G1966" s="129" t="s">
        <v>23</v>
      </c>
      <c r="H1966" s="129" t="s">
        <v>23</v>
      </c>
      <c r="I1966">
        <v>0</v>
      </c>
      <c r="J1966">
        <v>0</v>
      </c>
      <c r="K1966" s="129" t="s">
        <v>1962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s="129" t="s">
        <v>659</v>
      </c>
      <c r="B1967" s="129" t="s">
        <v>51</v>
      </c>
      <c r="C1967" s="129" t="s">
        <v>43</v>
      </c>
      <c r="D1967">
        <v>0</v>
      </c>
      <c r="E1967">
        <v>3.3000999999999999E-4</v>
      </c>
      <c r="F1967">
        <v>1.0000000000000001E-9</v>
      </c>
      <c r="G1967" s="129" t="s">
        <v>13</v>
      </c>
      <c r="H1967" s="129" t="s">
        <v>11</v>
      </c>
      <c r="I1967">
        <v>0</v>
      </c>
      <c r="J1967">
        <v>0</v>
      </c>
      <c r="K1967" s="129" t="s">
        <v>1962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s="129" t="s">
        <v>660</v>
      </c>
      <c r="B1968" s="129" t="s">
        <v>51</v>
      </c>
      <c r="C1968" s="129" t="s">
        <v>43</v>
      </c>
      <c r="D1968">
        <v>0</v>
      </c>
      <c r="E1968">
        <v>3.3000999999999999E-4</v>
      </c>
      <c r="F1968">
        <v>1E-8</v>
      </c>
      <c r="G1968" s="129" t="s">
        <v>13</v>
      </c>
      <c r="H1968" s="129" t="s">
        <v>11</v>
      </c>
      <c r="I1968">
        <v>0</v>
      </c>
      <c r="J1968">
        <v>0</v>
      </c>
      <c r="K1968" s="129" t="s">
        <v>1962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s="129" t="s">
        <v>1973</v>
      </c>
      <c r="B1969" s="129" t="s">
        <v>51</v>
      </c>
      <c r="C1969" s="129" t="s">
        <v>43</v>
      </c>
      <c r="D1969">
        <v>3.3E-4</v>
      </c>
      <c r="E1969">
        <v>3.3000999999999998E-3</v>
      </c>
      <c r="F1969">
        <v>1E-8</v>
      </c>
      <c r="G1969" s="129" t="s">
        <v>13</v>
      </c>
      <c r="H1969" s="129" t="s">
        <v>11</v>
      </c>
      <c r="I1969">
        <v>0</v>
      </c>
      <c r="J1969">
        <v>0</v>
      </c>
      <c r="K1969" s="129" t="s">
        <v>1962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s="129" t="s">
        <v>1971</v>
      </c>
      <c r="B1970" s="129" t="s">
        <v>51</v>
      </c>
      <c r="C1970" s="129" t="s">
        <v>43</v>
      </c>
      <c r="D1970">
        <v>0</v>
      </c>
      <c r="E1970">
        <v>3.3000999999999999E-4</v>
      </c>
      <c r="F1970">
        <v>9.9999999999999995E-8</v>
      </c>
      <c r="G1970" s="129" t="s">
        <v>13</v>
      </c>
      <c r="H1970" s="129" t="s">
        <v>11</v>
      </c>
      <c r="I1970">
        <v>0</v>
      </c>
      <c r="J1970">
        <v>0</v>
      </c>
      <c r="K1970" s="129" t="s">
        <v>1962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s="129" t="s">
        <v>666</v>
      </c>
      <c r="B1971" s="129" t="s">
        <v>51</v>
      </c>
      <c r="C1971" s="129" t="s">
        <v>43</v>
      </c>
      <c r="D1971">
        <v>3.3E-4</v>
      </c>
      <c r="E1971">
        <v>3.3000999999999998E-3</v>
      </c>
      <c r="F1971">
        <v>9.9999999999999995E-8</v>
      </c>
      <c r="G1971" s="129" t="s">
        <v>13</v>
      </c>
      <c r="H1971" s="129" t="s">
        <v>11</v>
      </c>
      <c r="I1971">
        <v>0</v>
      </c>
      <c r="J1971">
        <v>0</v>
      </c>
      <c r="K1971" s="129" t="s">
        <v>1962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s="129" t="s">
        <v>1975</v>
      </c>
      <c r="B1972" s="129" t="s">
        <v>51</v>
      </c>
      <c r="C1972" s="129" t="s">
        <v>43</v>
      </c>
      <c r="D1972">
        <v>3.3E-3</v>
      </c>
      <c r="E1972">
        <v>3.3001000000000003E-2</v>
      </c>
      <c r="F1972">
        <v>9.9999999999999995E-8</v>
      </c>
      <c r="G1972" s="129" t="s">
        <v>13</v>
      </c>
      <c r="H1972" s="129" t="s">
        <v>11</v>
      </c>
      <c r="I1972">
        <v>0</v>
      </c>
      <c r="J1972">
        <v>0</v>
      </c>
      <c r="K1972" s="129" t="s">
        <v>1962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s="129" t="s">
        <v>661</v>
      </c>
      <c r="B1973" s="129" t="s">
        <v>51</v>
      </c>
      <c r="C1973" s="129" t="s">
        <v>43</v>
      </c>
      <c r="D1973">
        <v>0</v>
      </c>
      <c r="E1973">
        <v>3.3000999999999999E-4</v>
      </c>
      <c r="F1973">
        <v>9.9999999999999995E-7</v>
      </c>
      <c r="G1973" s="129" t="s">
        <v>13</v>
      </c>
      <c r="H1973" s="129" t="s">
        <v>11</v>
      </c>
      <c r="I1973">
        <v>0</v>
      </c>
      <c r="J1973">
        <v>0</v>
      </c>
      <c r="K1973" s="129" t="s">
        <v>1962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s="129" t="s">
        <v>1974</v>
      </c>
      <c r="B1974" s="129" t="s">
        <v>51</v>
      </c>
      <c r="C1974" s="129" t="s">
        <v>43</v>
      </c>
      <c r="D1974">
        <v>3.3E-4</v>
      </c>
      <c r="E1974">
        <v>3.3000999999999998E-3</v>
      </c>
      <c r="F1974">
        <v>9.9999999999999995E-7</v>
      </c>
      <c r="G1974" s="129" t="s">
        <v>13</v>
      </c>
      <c r="H1974" s="129" t="s">
        <v>11</v>
      </c>
      <c r="I1974">
        <v>0</v>
      </c>
      <c r="J1974">
        <v>0</v>
      </c>
      <c r="K1974" s="129" t="s">
        <v>1962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s="129" t="s">
        <v>669</v>
      </c>
      <c r="B1975" s="129" t="s">
        <v>51</v>
      </c>
      <c r="C1975" s="129" t="s">
        <v>43</v>
      </c>
      <c r="D1975">
        <v>3.3E-3</v>
      </c>
      <c r="E1975">
        <v>3.3001000000000003E-2</v>
      </c>
      <c r="F1975">
        <v>9.9999999999999995E-7</v>
      </c>
      <c r="G1975" s="129" t="s">
        <v>13</v>
      </c>
      <c r="H1975" s="129" t="s">
        <v>11</v>
      </c>
      <c r="I1975">
        <v>0</v>
      </c>
      <c r="J1975">
        <v>0</v>
      </c>
      <c r="K1975" s="129" t="s">
        <v>1962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s="129" t="s">
        <v>671</v>
      </c>
      <c r="B1976" s="129" t="s">
        <v>51</v>
      </c>
      <c r="C1976" s="129" t="s">
        <v>43</v>
      </c>
      <c r="D1976">
        <v>3.3000000000000002E-2</v>
      </c>
      <c r="E1976">
        <v>0.33001000000000003</v>
      </c>
      <c r="F1976">
        <v>9.9999999999999995E-7</v>
      </c>
      <c r="G1976" s="129" t="s">
        <v>13</v>
      </c>
      <c r="H1976" s="129" t="s">
        <v>11</v>
      </c>
      <c r="I1976">
        <v>0</v>
      </c>
      <c r="J1976">
        <v>0</v>
      </c>
      <c r="K1976" s="129" t="s">
        <v>1962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s="129" t="s">
        <v>1972</v>
      </c>
      <c r="B1977" s="129" t="s">
        <v>51</v>
      </c>
      <c r="C1977" s="129" t="s">
        <v>43</v>
      </c>
      <c r="D1977">
        <v>0</v>
      </c>
      <c r="E1977">
        <v>3.3000999999999999E-4</v>
      </c>
      <c r="F1977">
        <v>1.0000000000000001E-5</v>
      </c>
      <c r="G1977" s="129" t="s">
        <v>13</v>
      </c>
      <c r="H1977" s="129" t="s">
        <v>11</v>
      </c>
      <c r="I1977">
        <v>0</v>
      </c>
      <c r="J1977">
        <v>0</v>
      </c>
      <c r="K1977" s="129" t="s">
        <v>1962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s="129" t="s">
        <v>667</v>
      </c>
      <c r="B1978" s="129" t="s">
        <v>51</v>
      </c>
      <c r="C1978" s="129" t="s">
        <v>43</v>
      </c>
      <c r="D1978">
        <v>3.3E-4</v>
      </c>
      <c r="E1978">
        <v>3.3000999999999998E-3</v>
      </c>
      <c r="F1978">
        <v>1.0000000000000001E-5</v>
      </c>
      <c r="G1978" s="129" t="s">
        <v>13</v>
      </c>
      <c r="H1978" s="129" t="s">
        <v>11</v>
      </c>
      <c r="I1978">
        <v>0</v>
      </c>
      <c r="J1978">
        <v>0</v>
      </c>
      <c r="K1978" s="129" t="s">
        <v>1962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s="129" t="s">
        <v>1976</v>
      </c>
      <c r="B1979" s="129" t="s">
        <v>51</v>
      </c>
      <c r="C1979" s="129" t="s">
        <v>43</v>
      </c>
      <c r="D1979">
        <v>3.3E-3</v>
      </c>
      <c r="E1979">
        <v>3.3001000000000003E-2</v>
      </c>
      <c r="F1979">
        <v>1.0000000000000001E-5</v>
      </c>
      <c r="G1979" s="129" t="s">
        <v>13</v>
      </c>
      <c r="H1979" s="129" t="s">
        <v>11</v>
      </c>
      <c r="I1979">
        <v>0</v>
      </c>
      <c r="J1979">
        <v>0</v>
      </c>
      <c r="K1979" s="129" t="s">
        <v>1962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s="129" t="s">
        <v>672</v>
      </c>
      <c r="B1980" s="129" t="s">
        <v>51</v>
      </c>
      <c r="C1980" s="129" t="s">
        <v>43</v>
      </c>
      <c r="D1980">
        <v>3.3000000000000002E-2</v>
      </c>
      <c r="E1980">
        <v>0.33001000000000003</v>
      </c>
      <c r="F1980">
        <v>1.0000000000000001E-5</v>
      </c>
      <c r="G1980" s="129" t="s">
        <v>13</v>
      </c>
      <c r="H1980" s="129" t="s">
        <v>11</v>
      </c>
      <c r="I1980">
        <v>0</v>
      </c>
      <c r="J1980">
        <v>0</v>
      </c>
      <c r="K1980" s="129" t="s">
        <v>1962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s="129" t="s">
        <v>674</v>
      </c>
      <c r="B1981" s="129" t="s">
        <v>51</v>
      </c>
      <c r="C1981" s="129" t="s">
        <v>43</v>
      </c>
      <c r="D1981">
        <v>0.33</v>
      </c>
      <c r="E1981">
        <v>3.0001000000000002</v>
      </c>
      <c r="F1981">
        <v>1.0000000000000001E-5</v>
      </c>
      <c r="G1981" s="129" t="s">
        <v>13</v>
      </c>
      <c r="H1981" s="129" t="s">
        <v>12</v>
      </c>
      <c r="I1981">
        <v>0</v>
      </c>
      <c r="J1981">
        <v>0</v>
      </c>
      <c r="K1981" s="129" t="s">
        <v>1962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s="129" t="s">
        <v>662</v>
      </c>
      <c r="B1982" s="129" t="s">
        <v>51</v>
      </c>
      <c r="C1982" s="129" t="s">
        <v>43</v>
      </c>
      <c r="D1982">
        <v>0</v>
      </c>
      <c r="E1982">
        <v>3.3000999999999999E-4</v>
      </c>
      <c r="F1982">
        <v>1E-4</v>
      </c>
      <c r="G1982" s="129" t="s">
        <v>13</v>
      </c>
      <c r="H1982" s="129" t="s">
        <v>11</v>
      </c>
      <c r="I1982">
        <v>0</v>
      </c>
      <c r="J1982">
        <v>0</v>
      </c>
      <c r="K1982" s="129" t="s">
        <v>1962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s="129" t="s">
        <v>668</v>
      </c>
      <c r="B1983" s="129" t="s">
        <v>51</v>
      </c>
      <c r="C1983" s="129" t="s">
        <v>43</v>
      </c>
      <c r="D1983">
        <v>3.3E-4</v>
      </c>
      <c r="E1983">
        <v>3.3000999999999998E-3</v>
      </c>
      <c r="F1983">
        <v>1E-4</v>
      </c>
      <c r="G1983" s="129" t="s">
        <v>13</v>
      </c>
      <c r="H1983" s="129" t="s">
        <v>11</v>
      </c>
      <c r="I1983">
        <v>0</v>
      </c>
      <c r="J1983">
        <v>0</v>
      </c>
      <c r="K1983" s="129" t="s">
        <v>1962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s="129" t="s">
        <v>670</v>
      </c>
      <c r="B1984" s="129" t="s">
        <v>51</v>
      </c>
      <c r="C1984" s="129" t="s">
        <v>43</v>
      </c>
      <c r="D1984">
        <v>3.3E-3</v>
      </c>
      <c r="E1984">
        <v>3.3001000000000003E-2</v>
      </c>
      <c r="F1984">
        <v>1E-4</v>
      </c>
      <c r="G1984" s="129" t="s">
        <v>13</v>
      </c>
      <c r="H1984" s="129" t="s">
        <v>11</v>
      </c>
      <c r="I1984">
        <v>0</v>
      </c>
      <c r="J1984">
        <v>0</v>
      </c>
      <c r="K1984" s="129" t="s">
        <v>1962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s="129" t="s">
        <v>1978</v>
      </c>
      <c r="B1985" s="129" t="s">
        <v>51</v>
      </c>
      <c r="C1985" s="129" t="s">
        <v>43</v>
      </c>
      <c r="D1985">
        <v>3.3000000000000002E-2</v>
      </c>
      <c r="E1985">
        <v>0.33001000000000003</v>
      </c>
      <c r="F1985">
        <v>1E-4</v>
      </c>
      <c r="G1985" s="129" t="s">
        <v>13</v>
      </c>
      <c r="H1985" s="129" t="s">
        <v>11</v>
      </c>
      <c r="I1985">
        <v>0</v>
      </c>
      <c r="J1985">
        <v>0</v>
      </c>
      <c r="K1985" s="129" t="s">
        <v>1962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s="129" t="s">
        <v>675</v>
      </c>
      <c r="B1986" s="129" t="s">
        <v>51</v>
      </c>
      <c r="C1986" s="129" t="s">
        <v>43</v>
      </c>
      <c r="D1986">
        <v>0.33</v>
      </c>
      <c r="E1986">
        <v>3.0001000000000002</v>
      </c>
      <c r="F1986">
        <v>1E-4</v>
      </c>
      <c r="G1986" s="129" t="s">
        <v>13</v>
      </c>
      <c r="H1986" s="129" t="s">
        <v>12</v>
      </c>
      <c r="I1986">
        <v>0</v>
      </c>
      <c r="J1986">
        <v>0</v>
      </c>
      <c r="K1986" s="129" t="s">
        <v>1962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s="129" t="s">
        <v>679</v>
      </c>
      <c r="B1987" s="129" t="s">
        <v>51</v>
      </c>
      <c r="C1987" s="129" t="s">
        <v>43</v>
      </c>
      <c r="D1987">
        <v>3</v>
      </c>
      <c r="E1987">
        <v>11.000999999999999</v>
      </c>
      <c r="F1987">
        <v>1E-4</v>
      </c>
      <c r="G1987" s="129" t="s">
        <v>13</v>
      </c>
      <c r="H1987" s="129" t="s">
        <v>12</v>
      </c>
      <c r="I1987">
        <v>0</v>
      </c>
      <c r="J1987">
        <v>0</v>
      </c>
      <c r="K1987" s="129" t="s">
        <v>1962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s="129" t="s">
        <v>1980</v>
      </c>
      <c r="B1988" s="129" t="s">
        <v>51</v>
      </c>
      <c r="C1988" s="129" t="s">
        <v>43</v>
      </c>
      <c r="D1988">
        <v>11</v>
      </c>
      <c r="E1988">
        <v>20.5</v>
      </c>
      <c r="F1988">
        <v>1E-4</v>
      </c>
      <c r="G1988" s="129" t="s">
        <v>13</v>
      </c>
      <c r="H1988" s="129" t="s">
        <v>12</v>
      </c>
      <c r="I1988">
        <v>0</v>
      </c>
      <c r="J1988">
        <v>0</v>
      </c>
      <c r="K1988" s="129" t="s">
        <v>1962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s="129" t="s">
        <v>686</v>
      </c>
      <c r="B1989" s="129" t="s">
        <v>51</v>
      </c>
      <c r="C1989" s="129" t="s">
        <v>43</v>
      </c>
      <c r="D1989">
        <v>20.5</v>
      </c>
      <c r="E1989">
        <v>20.6</v>
      </c>
      <c r="F1989">
        <v>1E-4</v>
      </c>
      <c r="G1989" s="129" t="s">
        <v>13</v>
      </c>
      <c r="H1989" s="129" t="s">
        <v>12</v>
      </c>
      <c r="I1989">
        <v>0</v>
      </c>
      <c r="J1989">
        <v>0</v>
      </c>
      <c r="K1989" s="129" t="s">
        <v>1962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s="129" t="s">
        <v>663</v>
      </c>
      <c r="B1990" s="129" t="s">
        <v>51</v>
      </c>
      <c r="C1990" s="129" t="s">
        <v>43</v>
      </c>
      <c r="D1990">
        <v>0</v>
      </c>
      <c r="E1990">
        <v>3.3000999999999999E-4</v>
      </c>
      <c r="F1990">
        <v>1E-3</v>
      </c>
      <c r="G1990" s="129" t="s">
        <v>13</v>
      </c>
      <c r="H1990" s="129" t="s">
        <v>11</v>
      </c>
      <c r="I1990">
        <v>0</v>
      </c>
      <c r="J1990">
        <v>0</v>
      </c>
      <c r="K1990" s="129" t="s">
        <v>1962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s="129" t="s">
        <v>1977</v>
      </c>
      <c r="B1991" s="129" t="s">
        <v>51</v>
      </c>
      <c r="C1991" s="129" t="s">
        <v>43</v>
      </c>
      <c r="D1991">
        <v>3.3E-3</v>
      </c>
      <c r="E1991">
        <v>3.3001000000000003E-2</v>
      </c>
      <c r="F1991">
        <v>1E-3</v>
      </c>
      <c r="G1991" s="129" t="s">
        <v>13</v>
      </c>
      <c r="H1991" s="129" t="s">
        <v>11</v>
      </c>
      <c r="I1991">
        <v>0</v>
      </c>
      <c r="J1991">
        <v>0</v>
      </c>
      <c r="K1991" s="129" t="s">
        <v>1962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s="129" t="s">
        <v>1979</v>
      </c>
      <c r="B1992" s="129" t="s">
        <v>51</v>
      </c>
      <c r="C1992" s="129" t="s">
        <v>43</v>
      </c>
      <c r="D1992">
        <v>3.3000000000000002E-2</v>
      </c>
      <c r="E1992">
        <v>0.33001000000000003</v>
      </c>
      <c r="F1992">
        <v>1E-3</v>
      </c>
      <c r="G1992" s="129" t="s">
        <v>13</v>
      </c>
      <c r="H1992" s="129" t="s">
        <v>11</v>
      </c>
      <c r="I1992">
        <v>0</v>
      </c>
      <c r="J1992">
        <v>0</v>
      </c>
      <c r="K1992" s="129" t="s">
        <v>1962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s="129" t="s">
        <v>676</v>
      </c>
      <c r="B1993" s="129" t="s">
        <v>51</v>
      </c>
      <c r="C1993" s="129" t="s">
        <v>43</v>
      </c>
      <c r="D1993">
        <v>0.33</v>
      </c>
      <c r="E1993">
        <v>3.0001000000000002</v>
      </c>
      <c r="F1993">
        <v>1E-3</v>
      </c>
      <c r="G1993" s="129" t="s">
        <v>13</v>
      </c>
      <c r="H1993" s="129" t="s">
        <v>12</v>
      </c>
      <c r="I1993">
        <v>0</v>
      </c>
      <c r="J1993">
        <v>0</v>
      </c>
      <c r="K1993" s="129" t="s">
        <v>1962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s="129" t="s">
        <v>680</v>
      </c>
      <c r="B1994" s="129" t="s">
        <v>51</v>
      </c>
      <c r="C1994" s="129" t="s">
        <v>43</v>
      </c>
      <c r="D1994">
        <v>3</v>
      </c>
      <c r="E1994">
        <v>11.000999999999999</v>
      </c>
      <c r="F1994">
        <v>1E-3</v>
      </c>
      <c r="G1994" s="129" t="s">
        <v>13</v>
      </c>
      <c r="H1994" s="129" t="s">
        <v>12</v>
      </c>
      <c r="I1994">
        <v>0</v>
      </c>
      <c r="J1994">
        <v>0</v>
      </c>
      <c r="K1994" s="129" t="s">
        <v>1962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s="129" t="s">
        <v>683</v>
      </c>
      <c r="B1995" s="129" t="s">
        <v>51</v>
      </c>
      <c r="C1995" s="129" t="s">
        <v>43</v>
      </c>
      <c r="D1995">
        <v>11</v>
      </c>
      <c r="E1995">
        <v>20.5</v>
      </c>
      <c r="F1995">
        <v>1E-3</v>
      </c>
      <c r="G1995" s="129" t="s">
        <v>13</v>
      </c>
      <c r="H1995" s="129" t="s">
        <v>12</v>
      </c>
      <c r="I1995">
        <v>0</v>
      </c>
      <c r="J1995">
        <v>0</v>
      </c>
      <c r="K1995" s="129" t="s">
        <v>1962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s="129" t="s">
        <v>687</v>
      </c>
      <c r="B1996" s="129" t="s">
        <v>51</v>
      </c>
      <c r="C1996" s="129" t="s">
        <v>43</v>
      </c>
      <c r="D1996">
        <v>20.5</v>
      </c>
      <c r="E1996">
        <v>20.6</v>
      </c>
      <c r="F1996">
        <v>1E-3</v>
      </c>
      <c r="G1996" s="129" t="s">
        <v>13</v>
      </c>
      <c r="H1996" s="129" t="s">
        <v>12</v>
      </c>
      <c r="I1996">
        <v>0</v>
      </c>
      <c r="J1996">
        <v>0</v>
      </c>
      <c r="K1996" s="129" t="s">
        <v>1962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s="129" t="s">
        <v>664</v>
      </c>
      <c r="B1997" s="129" t="s">
        <v>51</v>
      </c>
      <c r="C1997" s="129" t="s">
        <v>43</v>
      </c>
      <c r="D1997">
        <v>0</v>
      </c>
      <c r="E1997">
        <v>3.3000999999999999E-4</v>
      </c>
      <c r="F1997">
        <v>0.01</v>
      </c>
      <c r="G1997" s="129" t="s">
        <v>13</v>
      </c>
      <c r="H1997" s="129" t="s">
        <v>12</v>
      </c>
      <c r="I1997">
        <v>0</v>
      </c>
      <c r="J1997">
        <v>0</v>
      </c>
      <c r="K1997" s="129" t="s">
        <v>1962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s="129" t="s">
        <v>673</v>
      </c>
      <c r="B1998" s="129" t="s">
        <v>51</v>
      </c>
      <c r="C1998" s="129" t="s">
        <v>43</v>
      </c>
      <c r="D1998">
        <v>3.3000000000000002E-2</v>
      </c>
      <c r="E1998">
        <v>0.33001000000000003</v>
      </c>
      <c r="F1998">
        <v>0.01</v>
      </c>
      <c r="G1998" s="129" t="s">
        <v>13</v>
      </c>
      <c r="H1998" s="129" t="s">
        <v>11</v>
      </c>
      <c r="I1998">
        <v>0</v>
      </c>
      <c r="J1998">
        <v>0</v>
      </c>
      <c r="K1998" s="129" t="s">
        <v>1962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s="129" t="s">
        <v>677</v>
      </c>
      <c r="B1999" s="129" t="s">
        <v>51</v>
      </c>
      <c r="C1999" s="129" t="s">
        <v>43</v>
      </c>
      <c r="D1999">
        <v>0.33</v>
      </c>
      <c r="E1999">
        <v>3.0001000000000002</v>
      </c>
      <c r="F1999">
        <v>0.01</v>
      </c>
      <c r="G1999" s="129" t="s">
        <v>13</v>
      </c>
      <c r="H1999" s="129" t="s">
        <v>12</v>
      </c>
      <c r="I1999">
        <v>0</v>
      </c>
      <c r="J1999">
        <v>0</v>
      </c>
      <c r="K1999" s="129" t="s">
        <v>1962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s="129" t="s">
        <v>681</v>
      </c>
      <c r="B2000" s="129" t="s">
        <v>51</v>
      </c>
      <c r="C2000" s="129" t="s">
        <v>43</v>
      </c>
      <c r="D2000">
        <v>3</v>
      </c>
      <c r="E2000">
        <v>11.000999999999999</v>
      </c>
      <c r="F2000">
        <v>0.01</v>
      </c>
      <c r="G2000" s="129" t="s">
        <v>13</v>
      </c>
      <c r="H2000" s="129" t="s">
        <v>12</v>
      </c>
      <c r="I2000">
        <v>0</v>
      </c>
      <c r="J2000">
        <v>0</v>
      </c>
      <c r="K2000" s="129" t="s">
        <v>1962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s="129" t="s">
        <v>684</v>
      </c>
      <c r="B2001" s="129" t="s">
        <v>51</v>
      </c>
      <c r="C2001" s="129" t="s">
        <v>43</v>
      </c>
      <c r="D2001">
        <v>11</v>
      </c>
      <c r="E2001">
        <v>20.5</v>
      </c>
      <c r="F2001">
        <v>0.01</v>
      </c>
      <c r="G2001" s="129" t="s">
        <v>13</v>
      </c>
      <c r="H2001" s="129" t="s">
        <v>12</v>
      </c>
      <c r="I2001">
        <v>0</v>
      </c>
      <c r="J2001">
        <v>0</v>
      </c>
      <c r="K2001" s="129" t="s">
        <v>1962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s="129" t="s">
        <v>1981</v>
      </c>
      <c r="B2002" s="129" t="s">
        <v>51</v>
      </c>
      <c r="C2002" s="129" t="s">
        <v>43</v>
      </c>
      <c r="D2002">
        <v>20.5</v>
      </c>
      <c r="E2002">
        <v>20.6</v>
      </c>
      <c r="F2002">
        <v>0.01</v>
      </c>
      <c r="G2002" s="129" t="s">
        <v>13</v>
      </c>
      <c r="H2002" s="129" t="s">
        <v>12</v>
      </c>
      <c r="I2002">
        <v>0</v>
      </c>
      <c r="J2002">
        <v>0</v>
      </c>
      <c r="K2002" s="129" t="s">
        <v>1962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s="129" t="s">
        <v>665</v>
      </c>
      <c r="B2003" s="129" t="s">
        <v>51</v>
      </c>
      <c r="C2003" s="129" t="s">
        <v>43</v>
      </c>
      <c r="D2003">
        <v>0</v>
      </c>
      <c r="E2003">
        <v>3.3000999999999999E-4</v>
      </c>
      <c r="F2003">
        <v>0.1</v>
      </c>
      <c r="G2003" s="129" t="s">
        <v>13</v>
      </c>
      <c r="H2003" s="129" t="s">
        <v>12</v>
      </c>
      <c r="I2003">
        <v>0</v>
      </c>
      <c r="J2003">
        <v>0</v>
      </c>
      <c r="K2003" s="129" t="s">
        <v>1962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s="129" t="s">
        <v>678</v>
      </c>
      <c r="B2004" s="129" t="s">
        <v>51</v>
      </c>
      <c r="C2004" s="129" t="s">
        <v>43</v>
      </c>
      <c r="D2004">
        <v>0.33</v>
      </c>
      <c r="E2004">
        <v>3.0001000000000002</v>
      </c>
      <c r="F2004">
        <v>0.1</v>
      </c>
      <c r="G2004" s="129" t="s">
        <v>13</v>
      </c>
      <c r="H2004" s="129" t="s">
        <v>12</v>
      </c>
      <c r="I2004">
        <v>0</v>
      </c>
      <c r="J2004">
        <v>0</v>
      </c>
      <c r="K2004" s="129" t="s">
        <v>1962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s="129" t="s">
        <v>682</v>
      </c>
      <c r="B2005" s="129" t="s">
        <v>51</v>
      </c>
      <c r="C2005" s="129" t="s">
        <v>43</v>
      </c>
      <c r="D2005">
        <v>3</v>
      </c>
      <c r="E2005">
        <v>11.000999999999999</v>
      </c>
      <c r="F2005">
        <v>0.1</v>
      </c>
      <c r="G2005" s="129" t="s">
        <v>13</v>
      </c>
      <c r="H2005" s="129" t="s">
        <v>12</v>
      </c>
      <c r="I2005">
        <v>0</v>
      </c>
      <c r="J2005">
        <v>0</v>
      </c>
      <c r="K2005" s="129" t="s">
        <v>1962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s="129" t="s">
        <v>685</v>
      </c>
      <c r="B2006" s="129" t="s">
        <v>51</v>
      </c>
      <c r="C2006" s="129" t="s">
        <v>43</v>
      </c>
      <c r="D2006">
        <v>11</v>
      </c>
      <c r="E2006">
        <v>20.5</v>
      </c>
      <c r="F2006">
        <v>0.1</v>
      </c>
      <c r="G2006" s="129" t="s">
        <v>13</v>
      </c>
      <c r="H2006" s="129" t="s">
        <v>12</v>
      </c>
      <c r="I2006">
        <v>0</v>
      </c>
      <c r="J2006">
        <v>0</v>
      </c>
      <c r="K2006" s="129" t="s">
        <v>1962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s="129" t="s">
        <v>688</v>
      </c>
      <c r="B2007" s="129" t="s">
        <v>51</v>
      </c>
      <c r="C2007" s="129" t="s">
        <v>43</v>
      </c>
      <c r="D2007">
        <v>20.5</v>
      </c>
      <c r="E2007">
        <v>20.6</v>
      </c>
      <c r="F2007">
        <v>0.1</v>
      </c>
      <c r="G2007" s="129" t="s">
        <v>13</v>
      </c>
      <c r="H2007" s="129" t="s">
        <v>12</v>
      </c>
      <c r="I2007">
        <v>0</v>
      </c>
      <c r="J2007">
        <v>0</v>
      </c>
      <c r="K2007" s="129" t="s">
        <v>1962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s="129" t="s">
        <v>638</v>
      </c>
      <c r="B2008" s="129" t="s">
        <v>51</v>
      </c>
      <c r="C2008" s="129" t="s">
        <v>55</v>
      </c>
      <c r="D2008">
        <v>1</v>
      </c>
      <c r="E2008">
        <v>11.000999999999999</v>
      </c>
      <c r="F2008">
        <v>1E-4</v>
      </c>
      <c r="G2008" s="129" t="s">
        <v>13</v>
      </c>
      <c r="H2008" s="129" t="s">
        <v>12</v>
      </c>
      <c r="I2008">
        <v>0</v>
      </c>
      <c r="J2008">
        <v>0</v>
      </c>
      <c r="K2008" s="129" t="s">
        <v>1962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s="129" t="s">
        <v>639</v>
      </c>
      <c r="B2009" s="129" t="s">
        <v>51</v>
      </c>
      <c r="C2009" s="129" t="s">
        <v>55</v>
      </c>
      <c r="D2009">
        <v>1</v>
      </c>
      <c r="E2009">
        <v>11.000999999999999</v>
      </c>
      <c r="F2009">
        <v>1E-3</v>
      </c>
      <c r="G2009" s="129" t="s">
        <v>13</v>
      </c>
      <c r="H2009" s="129" t="s">
        <v>12</v>
      </c>
      <c r="I2009">
        <v>0</v>
      </c>
      <c r="J2009">
        <v>0</v>
      </c>
      <c r="K2009" s="129" t="s">
        <v>1962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s="129" t="s">
        <v>642</v>
      </c>
      <c r="B2010" s="129" t="s">
        <v>51</v>
      </c>
      <c r="C2010" s="129" t="s">
        <v>55</v>
      </c>
      <c r="D2010">
        <v>11</v>
      </c>
      <c r="E2010">
        <v>30.001000000000001</v>
      </c>
      <c r="F2010">
        <v>1E-3</v>
      </c>
      <c r="G2010" s="129" t="s">
        <v>13</v>
      </c>
      <c r="H2010" s="129" t="s">
        <v>12</v>
      </c>
      <c r="I2010">
        <v>0</v>
      </c>
      <c r="J2010">
        <v>0</v>
      </c>
      <c r="K2010" s="129" t="s">
        <v>1962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s="129" t="s">
        <v>1982</v>
      </c>
      <c r="B2011" s="129" t="s">
        <v>51</v>
      </c>
      <c r="C2011" s="129" t="s">
        <v>55</v>
      </c>
      <c r="D2011">
        <v>1</v>
      </c>
      <c r="E2011">
        <v>11.000999999999999</v>
      </c>
      <c r="F2011">
        <v>0.01</v>
      </c>
      <c r="G2011" s="129" t="s">
        <v>13</v>
      </c>
      <c r="H2011" s="129" t="s">
        <v>12</v>
      </c>
      <c r="I2011">
        <v>0</v>
      </c>
      <c r="J2011">
        <v>0</v>
      </c>
      <c r="K2011" s="129" t="s">
        <v>1962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s="129" t="s">
        <v>643</v>
      </c>
      <c r="B2012" s="129" t="s">
        <v>51</v>
      </c>
      <c r="C2012" s="129" t="s">
        <v>55</v>
      </c>
      <c r="D2012">
        <v>11</v>
      </c>
      <c r="E2012">
        <v>30.001000000000001</v>
      </c>
      <c r="F2012">
        <v>0.01</v>
      </c>
      <c r="G2012" s="129" t="s">
        <v>13</v>
      </c>
      <c r="H2012" s="129" t="s">
        <v>12</v>
      </c>
      <c r="I2012">
        <v>0</v>
      </c>
      <c r="J2012">
        <v>0</v>
      </c>
      <c r="K2012" s="129" t="s">
        <v>1962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s="129" t="s">
        <v>648</v>
      </c>
      <c r="B2013" s="129" t="s">
        <v>51</v>
      </c>
      <c r="C2013" s="129" t="s">
        <v>55</v>
      </c>
      <c r="D2013">
        <v>30</v>
      </c>
      <c r="E2013">
        <v>110.01</v>
      </c>
      <c r="F2013">
        <v>0.01</v>
      </c>
      <c r="G2013" s="129" t="s">
        <v>13</v>
      </c>
      <c r="H2013" s="129" t="s">
        <v>12</v>
      </c>
      <c r="I2013">
        <v>0</v>
      </c>
      <c r="J2013">
        <v>0</v>
      </c>
      <c r="K2013" s="129" t="s">
        <v>1962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s="129" t="s">
        <v>651</v>
      </c>
      <c r="B2014" s="129" t="s">
        <v>51</v>
      </c>
      <c r="C2014" s="129" t="s">
        <v>55</v>
      </c>
      <c r="D2014">
        <v>110</v>
      </c>
      <c r="E2014">
        <v>205</v>
      </c>
      <c r="F2014">
        <v>0.01</v>
      </c>
      <c r="G2014" s="129" t="s">
        <v>13</v>
      </c>
      <c r="H2014" s="129" t="s">
        <v>12</v>
      </c>
      <c r="I2014">
        <v>0</v>
      </c>
      <c r="J2014">
        <v>0</v>
      </c>
      <c r="K2014" s="129" t="s">
        <v>1962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s="129" t="s">
        <v>655</v>
      </c>
      <c r="B2015" s="129" t="s">
        <v>51</v>
      </c>
      <c r="C2015" s="129" t="s">
        <v>55</v>
      </c>
      <c r="D2015">
        <v>205</v>
      </c>
      <c r="E2015">
        <v>206</v>
      </c>
      <c r="F2015">
        <v>0.01</v>
      </c>
      <c r="G2015" s="129" t="s">
        <v>13</v>
      </c>
      <c r="H2015" s="129" t="s">
        <v>12</v>
      </c>
      <c r="I2015">
        <v>0</v>
      </c>
      <c r="J2015">
        <v>0</v>
      </c>
      <c r="K2015" s="129" t="s">
        <v>1962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s="129" t="s">
        <v>640</v>
      </c>
      <c r="B2016" s="129" t="s">
        <v>51</v>
      </c>
      <c r="C2016" s="129" t="s">
        <v>55</v>
      </c>
      <c r="D2016">
        <v>1</v>
      </c>
      <c r="E2016">
        <v>11.000999999999999</v>
      </c>
      <c r="F2016">
        <v>0.1</v>
      </c>
      <c r="G2016" s="129" t="s">
        <v>13</v>
      </c>
      <c r="H2016" s="129" t="s">
        <v>12</v>
      </c>
      <c r="I2016">
        <v>0</v>
      </c>
      <c r="J2016">
        <v>0</v>
      </c>
      <c r="K2016" s="129" t="s">
        <v>1962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s="129" t="s">
        <v>644</v>
      </c>
      <c r="B2017" s="129" t="s">
        <v>51</v>
      </c>
      <c r="C2017" s="129" t="s">
        <v>55</v>
      </c>
      <c r="D2017">
        <v>11</v>
      </c>
      <c r="E2017">
        <v>30.001000000000001</v>
      </c>
      <c r="F2017">
        <v>0.1</v>
      </c>
      <c r="G2017" s="129" t="s">
        <v>13</v>
      </c>
      <c r="H2017" s="129" t="s">
        <v>12</v>
      </c>
      <c r="I2017">
        <v>0</v>
      </c>
      <c r="J2017">
        <v>0</v>
      </c>
      <c r="K2017" s="129" t="s">
        <v>1962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s="129" t="s">
        <v>649</v>
      </c>
      <c r="B2018" s="129" t="s">
        <v>51</v>
      </c>
      <c r="C2018" s="129" t="s">
        <v>55</v>
      </c>
      <c r="D2018">
        <v>30</v>
      </c>
      <c r="E2018">
        <v>110.01</v>
      </c>
      <c r="F2018">
        <v>0.1</v>
      </c>
      <c r="G2018" s="129" t="s">
        <v>13</v>
      </c>
      <c r="H2018" s="129" t="s">
        <v>12</v>
      </c>
      <c r="I2018">
        <v>0</v>
      </c>
      <c r="J2018">
        <v>0</v>
      </c>
      <c r="K2018" s="129" t="s">
        <v>1962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s="129" t="s">
        <v>1985</v>
      </c>
      <c r="B2019" s="129" t="s">
        <v>51</v>
      </c>
      <c r="C2019" s="129" t="s">
        <v>55</v>
      </c>
      <c r="D2019">
        <v>110</v>
      </c>
      <c r="E2019">
        <v>205</v>
      </c>
      <c r="F2019">
        <v>0.1</v>
      </c>
      <c r="G2019" s="129" t="s">
        <v>13</v>
      </c>
      <c r="H2019" s="129" t="s">
        <v>12</v>
      </c>
      <c r="I2019">
        <v>0</v>
      </c>
      <c r="J2019">
        <v>0</v>
      </c>
      <c r="K2019" s="129" t="s">
        <v>1962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s="129" t="s">
        <v>656</v>
      </c>
      <c r="B2020" s="129" t="s">
        <v>51</v>
      </c>
      <c r="C2020" s="129" t="s">
        <v>55</v>
      </c>
      <c r="D2020">
        <v>205</v>
      </c>
      <c r="E2020">
        <v>206</v>
      </c>
      <c r="F2020">
        <v>0.1</v>
      </c>
      <c r="G2020" s="129" t="s">
        <v>13</v>
      </c>
      <c r="H2020" s="129" t="s">
        <v>12</v>
      </c>
      <c r="I2020">
        <v>0</v>
      </c>
      <c r="J2020">
        <v>0</v>
      </c>
      <c r="K2020" s="129" t="s">
        <v>1962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s="129" t="s">
        <v>641</v>
      </c>
      <c r="B2021" s="129" t="s">
        <v>51</v>
      </c>
      <c r="C2021" s="129" t="s">
        <v>55</v>
      </c>
      <c r="D2021">
        <v>1</v>
      </c>
      <c r="E2021">
        <v>11.000999999999999</v>
      </c>
      <c r="F2021">
        <v>1</v>
      </c>
      <c r="G2021" s="129" t="s">
        <v>13</v>
      </c>
      <c r="H2021" s="129" t="s">
        <v>12</v>
      </c>
      <c r="I2021">
        <v>0</v>
      </c>
      <c r="J2021">
        <v>0</v>
      </c>
      <c r="K2021" s="129" t="s">
        <v>1962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s="129" t="s">
        <v>645</v>
      </c>
      <c r="B2022" s="129" t="s">
        <v>51</v>
      </c>
      <c r="C2022" s="129" t="s">
        <v>55</v>
      </c>
      <c r="D2022">
        <v>11</v>
      </c>
      <c r="E2022">
        <v>30.001000000000001</v>
      </c>
      <c r="F2022">
        <v>1</v>
      </c>
      <c r="G2022" s="129" t="s">
        <v>13</v>
      </c>
      <c r="H2022" s="129" t="s">
        <v>12</v>
      </c>
      <c r="I2022">
        <v>0</v>
      </c>
      <c r="J2022">
        <v>0</v>
      </c>
      <c r="K2022" s="129" t="s">
        <v>1962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s="129" t="s">
        <v>1983</v>
      </c>
      <c r="B2023" s="129" t="s">
        <v>51</v>
      </c>
      <c r="C2023" s="129" t="s">
        <v>55</v>
      </c>
      <c r="D2023">
        <v>30</v>
      </c>
      <c r="E2023">
        <v>110.01</v>
      </c>
      <c r="F2023">
        <v>1</v>
      </c>
      <c r="G2023" s="129" t="s">
        <v>13</v>
      </c>
      <c r="H2023" s="129" t="s">
        <v>12</v>
      </c>
      <c r="I2023">
        <v>0</v>
      </c>
      <c r="J2023">
        <v>0</v>
      </c>
      <c r="K2023" s="129" t="s">
        <v>1962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s="129" t="s">
        <v>652</v>
      </c>
      <c r="B2024" s="129" t="s">
        <v>51</v>
      </c>
      <c r="C2024" s="129" t="s">
        <v>55</v>
      </c>
      <c r="D2024">
        <v>110</v>
      </c>
      <c r="E2024">
        <v>205</v>
      </c>
      <c r="F2024">
        <v>1</v>
      </c>
      <c r="G2024" s="129" t="s">
        <v>13</v>
      </c>
      <c r="H2024" s="129" t="s">
        <v>12</v>
      </c>
      <c r="I2024">
        <v>0</v>
      </c>
      <c r="J2024">
        <v>0</v>
      </c>
      <c r="K2024" s="129" t="s">
        <v>1962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s="129" t="s">
        <v>657</v>
      </c>
      <c r="B2025" s="129" t="s">
        <v>51</v>
      </c>
      <c r="C2025" s="129" t="s">
        <v>55</v>
      </c>
      <c r="D2025">
        <v>205</v>
      </c>
      <c r="E2025">
        <v>206</v>
      </c>
      <c r="F2025">
        <v>1</v>
      </c>
      <c r="G2025" s="129" t="s">
        <v>13</v>
      </c>
      <c r="H2025" s="129" t="s">
        <v>12</v>
      </c>
      <c r="I2025">
        <v>0</v>
      </c>
      <c r="J2025">
        <v>0</v>
      </c>
      <c r="K2025" s="129" t="s">
        <v>1962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s="129" t="s">
        <v>646</v>
      </c>
      <c r="B2026" s="129" t="s">
        <v>51</v>
      </c>
      <c r="C2026" s="129" t="s">
        <v>55</v>
      </c>
      <c r="D2026">
        <v>11</v>
      </c>
      <c r="E2026">
        <v>30.001000000000001</v>
      </c>
      <c r="F2026">
        <v>10</v>
      </c>
      <c r="G2026" s="129" t="s">
        <v>13</v>
      </c>
      <c r="H2026" s="129" t="s">
        <v>12</v>
      </c>
      <c r="I2026">
        <v>0</v>
      </c>
      <c r="J2026">
        <v>0</v>
      </c>
      <c r="K2026" s="129" t="s">
        <v>1962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s="129" t="s">
        <v>650</v>
      </c>
      <c r="B2027" s="129" t="s">
        <v>51</v>
      </c>
      <c r="C2027" s="129" t="s">
        <v>55</v>
      </c>
      <c r="D2027">
        <v>30</v>
      </c>
      <c r="E2027">
        <v>110.01</v>
      </c>
      <c r="F2027">
        <v>10</v>
      </c>
      <c r="G2027" s="129" t="s">
        <v>13</v>
      </c>
      <c r="H2027" s="129" t="s">
        <v>12</v>
      </c>
      <c r="I2027">
        <v>0</v>
      </c>
      <c r="J2027">
        <v>0</v>
      </c>
      <c r="K2027" s="129" t="s">
        <v>1962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s="129" t="s">
        <v>653</v>
      </c>
      <c r="B2028" s="129" t="s">
        <v>51</v>
      </c>
      <c r="C2028" s="129" t="s">
        <v>55</v>
      </c>
      <c r="D2028">
        <v>110</v>
      </c>
      <c r="E2028">
        <v>205</v>
      </c>
      <c r="F2028">
        <v>10</v>
      </c>
      <c r="G2028" s="129" t="s">
        <v>13</v>
      </c>
      <c r="H2028" s="129" t="s">
        <v>12</v>
      </c>
      <c r="I2028">
        <v>0</v>
      </c>
      <c r="J2028">
        <v>0</v>
      </c>
      <c r="K2028" s="129" t="s">
        <v>1962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s="129" t="s">
        <v>1986</v>
      </c>
      <c r="B2029" s="129" t="s">
        <v>51</v>
      </c>
      <c r="C2029" s="129" t="s">
        <v>55</v>
      </c>
      <c r="D2029">
        <v>205</v>
      </c>
      <c r="E2029">
        <v>206</v>
      </c>
      <c r="F2029">
        <v>10</v>
      </c>
      <c r="G2029" s="129" t="s">
        <v>13</v>
      </c>
      <c r="H2029" s="129" t="s">
        <v>12</v>
      </c>
      <c r="I2029">
        <v>0</v>
      </c>
      <c r="J2029">
        <v>0</v>
      </c>
      <c r="K2029" s="129" t="s">
        <v>1962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s="129" t="s">
        <v>647</v>
      </c>
      <c r="B2030" s="129" t="s">
        <v>51</v>
      </c>
      <c r="C2030" s="129" t="s">
        <v>55</v>
      </c>
      <c r="D2030">
        <v>11</v>
      </c>
      <c r="E2030">
        <v>30.001000000000001</v>
      </c>
      <c r="F2030">
        <v>100</v>
      </c>
      <c r="G2030" s="129" t="s">
        <v>13</v>
      </c>
      <c r="H2030" s="129" t="s">
        <v>12</v>
      </c>
      <c r="I2030">
        <v>0</v>
      </c>
      <c r="J2030">
        <v>0</v>
      </c>
      <c r="K2030" s="129" t="s">
        <v>1962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s="129" t="s">
        <v>1984</v>
      </c>
      <c r="B2031" s="129" t="s">
        <v>51</v>
      </c>
      <c r="C2031" s="129" t="s">
        <v>55</v>
      </c>
      <c r="D2031">
        <v>30</v>
      </c>
      <c r="E2031">
        <v>110.01</v>
      </c>
      <c r="F2031">
        <v>100</v>
      </c>
      <c r="G2031" s="129" t="s">
        <v>13</v>
      </c>
      <c r="H2031" s="129" t="s">
        <v>12</v>
      </c>
      <c r="I2031">
        <v>0</v>
      </c>
      <c r="J2031">
        <v>0</v>
      </c>
      <c r="K2031" s="129" t="s">
        <v>1962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s="129" t="s">
        <v>654</v>
      </c>
      <c r="B2032" s="129" t="s">
        <v>51</v>
      </c>
      <c r="C2032" s="129" t="s">
        <v>55</v>
      </c>
      <c r="D2032">
        <v>110</v>
      </c>
      <c r="E2032">
        <v>205</v>
      </c>
      <c r="F2032">
        <v>100</v>
      </c>
      <c r="G2032" s="129" t="s">
        <v>13</v>
      </c>
      <c r="H2032" s="129" t="s">
        <v>12</v>
      </c>
      <c r="I2032">
        <v>0</v>
      </c>
      <c r="J2032">
        <v>0</v>
      </c>
      <c r="K2032" s="129" t="s">
        <v>1962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s="129" t="s">
        <v>658</v>
      </c>
      <c r="B2033" s="129" t="s">
        <v>51</v>
      </c>
      <c r="C2033" s="129" t="s">
        <v>55</v>
      </c>
      <c r="D2033">
        <v>205</v>
      </c>
      <c r="E2033">
        <v>206</v>
      </c>
      <c r="F2033">
        <v>100</v>
      </c>
      <c r="G2033" s="129" t="s">
        <v>13</v>
      </c>
      <c r="H2033" s="129" t="s">
        <v>12</v>
      </c>
      <c r="I2033">
        <v>0</v>
      </c>
      <c r="J2033">
        <v>0</v>
      </c>
      <c r="K2033" s="129" t="s">
        <v>1962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s="129" t="s">
        <v>622</v>
      </c>
      <c r="B2034" s="129" t="s">
        <v>51</v>
      </c>
      <c r="C2034" s="129" t="s">
        <v>56</v>
      </c>
      <c r="D2034">
        <v>20</v>
      </c>
      <c r="E2034">
        <v>60.01</v>
      </c>
      <c r="F2034">
        <v>1E-3</v>
      </c>
      <c r="G2034" s="129" t="s">
        <v>13</v>
      </c>
      <c r="H2034" s="129" t="s">
        <v>12</v>
      </c>
      <c r="I2034">
        <v>0</v>
      </c>
      <c r="J2034">
        <v>0</v>
      </c>
      <c r="K2034" s="129" t="s">
        <v>1962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s="129" t="s">
        <v>627</v>
      </c>
      <c r="B2035" s="129" t="s">
        <v>51</v>
      </c>
      <c r="C2035" s="129" t="s">
        <v>56</v>
      </c>
      <c r="D2035">
        <v>60</v>
      </c>
      <c r="E2035">
        <v>220.01</v>
      </c>
      <c r="F2035">
        <v>1E-3</v>
      </c>
      <c r="G2035" s="129" t="s">
        <v>13</v>
      </c>
      <c r="H2035" s="129" t="s">
        <v>12</v>
      </c>
      <c r="I2035">
        <v>0</v>
      </c>
      <c r="J2035">
        <v>0</v>
      </c>
      <c r="K2035" s="129" t="s">
        <v>1962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s="129" t="s">
        <v>623</v>
      </c>
      <c r="B2036" s="129" t="s">
        <v>51</v>
      </c>
      <c r="C2036" s="129" t="s">
        <v>56</v>
      </c>
      <c r="D2036">
        <v>20</v>
      </c>
      <c r="E2036">
        <v>60.01</v>
      </c>
      <c r="F2036">
        <v>0.01</v>
      </c>
      <c r="G2036" s="129" t="s">
        <v>13</v>
      </c>
      <c r="H2036" s="129" t="s">
        <v>12</v>
      </c>
      <c r="I2036">
        <v>0</v>
      </c>
      <c r="J2036">
        <v>0</v>
      </c>
      <c r="K2036" s="129" t="s">
        <v>1962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s="129" t="s">
        <v>1988</v>
      </c>
      <c r="B2037" s="129" t="s">
        <v>51</v>
      </c>
      <c r="C2037" s="129" t="s">
        <v>56</v>
      </c>
      <c r="D2037">
        <v>60</v>
      </c>
      <c r="E2037">
        <v>220.01</v>
      </c>
      <c r="F2037">
        <v>0.01</v>
      </c>
      <c r="G2037" s="129" t="s">
        <v>13</v>
      </c>
      <c r="H2037" s="129" t="s">
        <v>12</v>
      </c>
      <c r="I2037">
        <v>0</v>
      </c>
      <c r="J2037">
        <v>0</v>
      </c>
      <c r="K2037" s="129" t="s">
        <v>1962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s="129" t="s">
        <v>631</v>
      </c>
      <c r="B2038" s="129" t="s">
        <v>51</v>
      </c>
      <c r="C2038" s="129" t="s">
        <v>56</v>
      </c>
      <c r="D2038">
        <v>220</v>
      </c>
      <c r="E2038">
        <v>410</v>
      </c>
      <c r="F2038">
        <v>0.01</v>
      </c>
      <c r="G2038" s="129" t="s">
        <v>13</v>
      </c>
      <c r="H2038" s="129" t="s">
        <v>12</v>
      </c>
      <c r="I2038">
        <v>0</v>
      </c>
      <c r="J2038">
        <v>0</v>
      </c>
      <c r="K2038" s="129" t="s">
        <v>1962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s="129" t="s">
        <v>1991</v>
      </c>
      <c r="B2039" s="129" t="s">
        <v>51</v>
      </c>
      <c r="C2039" s="129" t="s">
        <v>56</v>
      </c>
      <c r="D2039">
        <v>410</v>
      </c>
      <c r="E2039">
        <v>411</v>
      </c>
      <c r="F2039">
        <v>0.01</v>
      </c>
      <c r="G2039" s="129" t="s">
        <v>13</v>
      </c>
      <c r="H2039" s="129" t="s">
        <v>12</v>
      </c>
      <c r="I2039">
        <v>0</v>
      </c>
      <c r="J2039">
        <v>0</v>
      </c>
      <c r="K2039" s="129" t="s">
        <v>1962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s="129" t="s">
        <v>624</v>
      </c>
      <c r="B2040" s="129" t="s">
        <v>51</v>
      </c>
      <c r="C2040" s="129" t="s">
        <v>56</v>
      </c>
      <c r="D2040">
        <v>20</v>
      </c>
      <c r="E2040">
        <v>60.01</v>
      </c>
      <c r="F2040">
        <v>0.1</v>
      </c>
      <c r="G2040" s="129" t="s">
        <v>13</v>
      </c>
      <c r="H2040" s="129" t="s">
        <v>12</v>
      </c>
      <c r="I2040">
        <v>0</v>
      </c>
      <c r="J2040">
        <v>0</v>
      </c>
      <c r="K2040" s="129" t="s">
        <v>1962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s="129" t="s">
        <v>628</v>
      </c>
      <c r="B2041" s="129" t="s">
        <v>51</v>
      </c>
      <c r="C2041" s="129" t="s">
        <v>56</v>
      </c>
      <c r="D2041">
        <v>60</v>
      </c>
      <c r="E2041">
        <v>220.01</v>
      </c>
      <c r="F2041">
        <v>0.1</v>
      </c>
      <c r="G2041" s="129" t="s">
        <v>13</v>
      </c>
      <c r="H2041" s="129" t="s">
        <v>12</v>
      </c>
      <c r="I2041">
        <v>0</v>
      </c>
      <c r="J2041">
        <v>0</v>
      </c>
      <c r="K2041" s="129" t="s">
        <v>1962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s="129" t="s">
        <v>632</v>
      </c>
      <c r="B2042" s="129" t="s">
        <v>51</v>
      </c>
      <c r="C2042" s="129" t="s">
        <v>56</v>
      </c>
      <c r="D2042">
        <v>220</v>
      </c>
      <c r="E2042">
        <v>410</v>
      </c>
      <c r="F2042">
        <v>0.1</v>
      </c>
      <c r="G2042" s="129" t="s">
        <v>13</v>
      </c>
      <c r="H2042" s="129" t="s">
        <v>12</v>
      </c>
      <c r="I2042">
        <v>0</v>
      </c>
      <c r="J2042">
        <v>0</v>
      </c>
      <c r="K2042" s="129" t="s">
        <v>1962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s="129" t="s">
        <v>1992</v>
      </c>
      <c r="B2043" s="129" t="s">
        <v>51</v>
      </c>
      <c r="C2043" s="129" t="s">
        <v>56</v>
      </c>
      <c r="D2043">
        <v>410</v>
      </c>
      <c r="E2043">
        <v>411</v>
      </c>
      <c r="F2043">
        <v>0.1</v>
      </c>
      <c r="G2043" s="129" t="s">
        <v>13</v>
      </c>
      <c r="H2043" s="129" t="s">
        <v>12</v>
      </c>
      <c r="I2043">
        <v>0</v>
      </c>
      <c r="J2043">
        <v>0</v>
      </c>
      <c r="K2043" s="129" t="s">
        <v>1962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s="129" t="s">
        <v>625</v>
      </c>
      <c r="B2044" s="129" t="s">
        <v>51</v>
      </c>
      <c r="C2044" s="129" t="s">
        <v>56</v>
      </c>
      <c r="D2044">
        <v>20</v>
      </c>
      <c r="E2044">
        <v>60.01</v>
      </c>
      <c r="F2044">
        <v>1</v>
      </c>
      <c r="G2044" s="129" t="s">
        <v>13</v>
      </c>
      <c r="H2044" s="129" t="s">
        <v>12</v>
      </c>
      <c r="I2044">
        <v>0</v>
      </c>
      <c r="J2044">
        <v>0</v>
      </c>
      <c r="K2044" s="129" t="s">
        <v>1962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s="129" t="s">
        <v>629</v>
      </c>
      <c r="B2045" s="129" t="s">
        <v>51</v>
      </c>
      <c r="C2045" s="129" t="s">
        <v>56</v>
      </c>
      <c r="D2045">
        <v>60</v>
      </c>
      <c r="E2045">
        <v>220.01</v>
      </c>
      <c r="F2045">
        <v>1</v>
      </c>
      <c r="G2045" s="129" t="s">
        <v>13</v>
      </c>
      <c r="H2045" s="129" t="s">
        <v>12</v>
      </c>
      <c r="I2045">
        <v>0</v>
      </c>
      <c r="J2045">
        <v>0</v>
      </c>
      <c r="K2045" s="129" t="s">
        <v>1962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s="129" t="s">
        <v>633</v>
      </c>
      <c r="B2046" s="129" t="s">
        <v>51</v>
      </c>
      <c r="C2046" s="129" t="s">
        <v>56</v>
      </c>
      <c r="D2046">
        <v>220</v>
      </c>
      <c r="E2046">
        <v>410</v>
      </c>
      <c r="F2046">
        <v>1</v>
      </c>
      <c r="G2046" s="129" t="s">
        <v>13</v>
      </c>
      <c r="H2046" s="129" t="s">
        <v>12</v>
      </c>
      <c r="I2046">
        <v>0</v>
      </c>
      <c r="J2046">
        <v>0</v>
      </c>
      <c r="K2046" s="129" t="s">
        <v>1962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s="129" t="s">
        <v>635</v>
      </c>
      <c r="B2047" s="129" t="s">
        <v>51</v>
      </c>
      <c r="C2047" s="129" t="s">
        <v>56</v>
      </c>
      <c r="D2047">
        <v>410</v>
      </c>
      <c r="E2047">
        <v>411</v>
      </c>
      <c r="F2047">
        <v>1</v>
      </c>
      <c r="G2047" s="129" t="s">
        <v>13</v>
      </c>
      <c r="H2047" s="129" t="s">
        <v>12</v>
      </c>
      <c r="I2047">
        <v>0</v>
      </c>
      <c r="J2047">
        <v>0</v>
      </c>
      <c r="K2047" s="129" t="s">
        <v>1962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s="129" t="s">
        <v>1987</v>
      </c>
      <c r="B2048" s="129" t="s">
        <v>51</v>
      </c>
      <c r="C2048" s="129" t="s">
        <v>56</v>
      </c>
      <c r="D2048">
        <v>20</v>
      </c>
      <c r="E2048">
        <v>60.01</v>
      </c>
      <c r="F2048">
        <v>10</v>
      </c>
      <c r="G2048" s="129" t="s">
        <v>13</v>
      </c>
      <c r="H2048" s="129" t="s">
        <v>12</v>
      </c>
      <c r="I2048">
        <v>0</v>
      </c>
      <c r="J2048">
        <v>0</v>
      </c>
      <c r="K2048" s="129" t="s">
        <v>1962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s="129" t="s">
        <v>630</v>
      </c>
      <c r="B2049" s="129" t="s">
        <v>51</v>
      </c>
      <c r="C2049" s="129" t="s">
        <v>56</v>
      </c>
      <c r="D2049">
        <v>60</v>
      </c>
      <c r="E2049">
        <v>220.01</v>
      </c>
      <c r="F2049">
        <v>10</v>
      </c>
      <c r="G2049" s="129" t="s">
        <v>13</v>
      </c>
      <c r="H2049" s="129" t="s">
        <v>12</v>
      </c>
      <c r="I2049">
        <v>0</v>
      </c>
      <c r="J2049">
        <v>0</v>
      </c>
      <c r="K2049" s="129" t="s">
        <v>1962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s="129" t="s">
        <v>1990</v>
      </c>
      <c r="B2050" s="129" t="s">
        <v>51</v>
      </c>
      <c r="C2050" s="129" t="s">
        <v>56</v>
      </c>
      <c r="D2050">
        <v>220</v>
      </c>
      <c r="E2050">
        <v>410</v>
      </c>
      <c r="F2050">
        <v>10</v>
      </c>
      <c r="G2050" s="129" t="s">
        <v>13</v>
      </c>
      <c r="H2050" s="129" t="s">
        <v>12</v>
      </c>
      <c r="I2050">
        <v>0</v>
      </c>
      <c r="J2050">
        <v>0</v>
      </c>
      <c r="K2050" s="129" t="s">
        <v>1962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s="129" t="s">
        <v>636</v>
      </c>
      <c r="B2051" s="129" t="s">
        <v>51</v>
      </c>
      <c r="C2051" s="129" t="s">
        <v>56</v>
      </c>
      <c r="D2051">
        <v>410</v>
      </c>
      <c r="E2051">
        <v>411</v>
      </c>
      <c r="F2051">
        <v>10</v>
      </c>
      <c r="G2051" s="129" t="s">
        <v>13</v>
      </c>
      <c r="H2051" s="129" t="s">
        <v>12</v>
      </c>
      <c r="I2051">
        <v>0</v>
      </c>
      <c r="J2051">
        <v>0</v>
      </c>
      <c r="K2051" s="129" t="s">
        <v>1962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s="129" t="s">
        <v>626</v>
      </c>
      <c r="B2052" s="129" t="s">
        <v>51</v>
      </c>
      <c r="C2052" s="129" t="s">
        <v>56</v>
      </c>
      <c r="D2052">
        <v>20</v>
      </c>
      <c r="E2052">
        <v>60.01</v>
      </c>
      <c r="F2052">
        <v>100</v>
      </c>
      <c r="G2052" s="129" t="s">
        <v>13</v>
      </c>
      <c r="H2052" s="129" t="s">
        <v>12</v>
      </c>
      <c r="I2052">
        <v>0</v>
      </c>
      <c r="J2052">
        <v>0</v>
      </c>
      <c r="K2052" s="129" t="s">
        <v>1962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s="129" t="s">
        <v>1989</v>
      </c>
      <c r="B2053" s="129" t="s">
        <v>51</v>
      </c>
      <c r="C2053" s="129" t="s">
        <v>56</v>
      </c>
      <c r="D2053">
        <v>60</v>
      </c>
      <c r="E2053">
        <v>220.01</v>
      </c>
      <c r="F2053">
        <v>100</v>
      </c>
      <c r="G2053" s="129" t="s">
        <v>13</v>
      </c>
      <c r="H2053" s="129" t="s">
        <v>12</v>
      </c>
      <c r="I2053">
        <v>0</v>
      </c>
      <c r="J2053">
        <v>0</v>
      </c>
      <c r="K2053" s="129" t="s">
        <v>1962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s="129" t="s">
        <v>634</v>
      </c>
      <c r="B2054" s="129" t="s">
        <v>51</v>
      </c>
      <c r="C2054" s="129" t="s">
        <v>56</v>
      </c>
      <c r="D2054">
        <v>220</v>
      </c>
      <c r="E2054">
        <v>410</v>
      </c>
      <c r="F2054">
        <v>100</v>
      </c>
      <c r="G2054" s="129" t="s">
        <v>13</v>
      </c>
      <c r="H2054" s="129" t="s">
        <v>12</v>
      </c>
      <c r="I2054">
        <v>0</v>
      </c>
      <c r="J2054">
        <v>0</v>
      </c>
      <c r="K2054" s="129" t="s">
        <v>1962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s="129" t="s">
        <v>637</v>
      </c>
      <c r="B2055" s="129" t="s">
        <v>51</v>
      </c>
      <c r="C2055" s="129" t="s">
        <v>56</v>
      </c>
      <c r="D2055">
        <v>410</v>
      </c>
      <c r="E2055">
        <v>411</v>
      </c>
      <c r="F2055">
        <v>100</v>
      </c>
      <c r="G2055" s="129" t="s">
        <v>13</v>
      </c>
      <c r="H2055" s="129" t="s">
        <v>12</v>
      </c>
      <c r="I2055">
        <v>0</v>
      </c>
      <c r="J2055">
        <v>0</v>
      </c>
      <c r="K2055" s="129" t="s">
        <v>1962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s="129" t="s">
        <v>605</v>
      </c>
      <c r="B2056" s="129" t="s">
        <v>51</v>
      </c>
      <c r="C2056" s="129" t="s">
        <v>57</v>
      </c>
      <c r="D2056">
        <v>55</v>
      </c>
      <c r="E2056">
        <v>150.01</v>
      </c>
      <c r="F2056">
        <v>1E-3</v>
      </c>
      <c r="G2056" s="129" t="s">
        <v>13</v>
      </c>
      <c r="H2056" s="129" t="s">
        <v>12</v>
      </c>
      <c r="I2056">
        <v>0</v>
      </c>
      <c r="J2056">
        <v>0</v>
      </c>
      <c r="K2056" s="129" t="s">
        <v>1962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s="129" t="s">
        <v>606</v>
      </c>
      <c r="B2057" s="129" t="s">
        <v>51</v>
      </c>
      <c r="C2057" s="129" t="s">
        <v>57</v>
      </c>
      <c r="D2057">
        <v>55</v>
      </c>
      <c r="E2057">
        <v>150.01</v>
      </c>
      <c r="F2057">
        <v>0.01</v>
      </c>
      <c r="G2057" s="129" t="s">
        <v>13</v>
      </c>
      <c r="H2057" s="129" t="s">
        <v>12</v>
      </c>
      <c r="I2057">
        <v>0</v>
      </c>
      <c r="J2057">
        <v>0</v>
      </c>
      <c r="K2057" s="129" t="s">
        <v>1962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s="129" t="s">
        <v>609</v>
      </c>
      <c r="B2058" s="129" t="s">
        <v>51</v>
      </c>
      <c r="C2058" s="129" t="s">
        <v>57</v>
      </c>
      <c r="D2058">
        <v>150</v>
      </c>
      <c r="E2058">
        <v>550.01</v>
      </c>
      <c r="F2058">
        <v>0.01</v>
      </c>
      <c r="G2058" s="129" t="s">
        <v>13</v>
      </c>
      <c r="H2058" s="129" t="s">
        <v>12</v>
      </c>
      <c r="I2058">
        <v>0</v>
      </c>
      <c r="J2058">
        <v>0</v>
      </c>
      <c r="K2058" s="129" t="s">
        <v>1962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s="129" t="s">
        <v>613</v>
      </c>
      <c r="B2059" s="129" t="s">
        <v>51</v>
      </c>
      <c r="C2059" s="129" t="s">
        <v>57</v>
      </c>
      <c r="D2059">
        <v>550</v>
      </c>
      <c r="E2059">
        <v>1025</v>
      </c>
      <c r="F2059">
        <v>0.01</v>
      </c>
      <c r="G2059" s="129" t="s">
        <v>13</v>
      </c>
      <c r="H2059" s="129" t="s">
        <v>12</v>
      </c>
      <c r="I2059">
        <v>0</v>
      </c>
      <c r="J2059">
        <v>0</v>
      </c>
      <c r="K2059" s="129" t="s">
        <v>1962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s="129" t="s">
        <v>618</v>
      </c>
      <c r="B2060" s="129" t="s">
        <v>51</v>
      </c>
      <c r="C2060" s="129" t="s">
        <v>57</v>
      </c>
      <c r="D2060">
        <v>1025</v>
      </c>
      <c r="E2060">
        <v>1026</v>
      </c>
      <c r="F2060">
        <v>0.01</v>
      </c>
      <c r="G2060" s="129" t="s">
        <v>13</v>
      </c>
      <c r="H2060" s="129" t="s">
        <v>12</v>
      </c>
      <c r="I2060">
        <v>0</v>
      </c>
      <c r="J2060">
        <v>0</v>
      </c>
      <c r="K2060" s="129" t="s">
        <v>1962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s="129" t="s">
        <v>607</v>
      </c>
      <c r="B2061" s="129" t="s">
        <v>51</v>
      </c>
      <c r="C2061" s="129" t="s">
        <v>57</v>
      </c>
      <c r="D2061">
        <v>55</v>
      </c>
      <c r="E2061">
        <v>150.01</v>
      </c>
      <c r="F2061">
        <v>0.1</v>
      </c>
      <c r="G2061" s="129" t="s">
        <v>13</v>
      </c>
      <c r="H2061" s="129" t="s">
        <v>12</v>
      </c>
      <c r="I2061">
        <v>0</v>
      </c>
      <c r="J2061">
        <v>0</v>
      </c>
      <c r="K2061" s="129" t="s">
        <v>1962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s="129" t="s">
        <v>610</v>
      </c>
      <c r="B2062" s="129" t="s">
        <v>51</v>
      </c>
      <c r="C2062" s="129" t="s">
        <v>57</v>
      </c>
      <c r="D2062">
        <v>150</v>
      </c>
      <c r="E2062">
        <v>550.01</v>
      </c>
      <c r="F2062">
        <v>0.1</v>
      </c>
      <c r="G2062" s="129" t="s">
        <v>13</v>
      </c>
      <c r="H2062" s="129" t="s">
        <v>12</v>
      </c>
      <c r="I2062">
        <v>0</v>
      </c>
      <c r="J2062">
        <v>0</v>
      </c>
      <c r="K2062" s="129" t="s">
        <v>1962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s="129" t="s">
        <v>614</v>
      </c>
      <c r="B2063" s="129" t="s">
        <v>51</v>
      </c>
      <c r="C2063" s="129" t="s">
        <v>57</v>
      </c>
      <c r="D2063">
        <v>550</v>
      </c>
      <c r="E2063">
        <v>1025</v>
      </c>
      <c r="F2063">
        <v>0.1</v>
      </c>
      <c r="G2063" s="129" t="s">
        <v>13</v>
      </c>
      <c r="H2063" s="129" t="s">
        <v>12</v>
      </c>
      <c r="I2063">
        <v>0</v>
      </c>
      <c r="J2063">
        <v>0</v>
      </c>
      <c r="K2063" s="129" t="s">
        <v>1962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s="129" t="s">
        <v>619</v>
      </c>
      <c r="B2064" s="129" t="s">
        <v>51</v>
      </c>
      <c r="C2064" s="129" t="s">
        <v>57</v>
      </c>
      <c r="D2064">
        <v>1025</v>
      </c>
      <c r="E2064">
        <v>1026</v>
      </c>
      <c r="F2064">
        <v>0.1</v>
      </c>
      <c r="G2064" s="129" t="s">
        <v>13</v>
      </c>
      <c r="H2064" s="129" t="s">
        <v>12</v>
      </c>
      <c r="I2064">
        <v>0</v>
      </c>
      <c r="J2064">
        <v>0</v>
      </c>
      <c r="K2064" s="129" t="s">
        <v>1962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s="129" t="s">
        <v>1993</v>
      </c>
      <c r="B2065" s="129" t="s">
        <v>51</v>
      </c>
      <c r="C2065" s="129" t="s">
        <v>57</v>
      </c>
      <c r="D2065">
        <v>55</v>
      </c>
      <c r="E2065">
        <v>150.01</v>
      </c>
      <c r="F2065">
        <v>1</v>
      </c>
      <c r="G2065" s="129" t="s">
        <v>13</v>
      </c>
      <c r="H2065" s="129" t="s">
        <v>12</v>
      </c>
      <c r="I2065">
        <v>0</v>
      </c>
      <c r="J2065">
        <v>0</v>
      </c>
      <c r="K2065" s="129" t="s">
        <v>1962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s="129" t="s">
        <v>611</v>
      </c>
      <c r="B2066" s="129" t="s">
        <v>51</v>
      </c>
      <c r="C2066" s="129" t="s">
        <v>57</v>
      </c>
      <c r="D2066">
        <v>150</v>
      </c>
      <c r="E2066">
        <v>550.01</v>
      </c>
      <c r="F2066">
        <v>1</v>
      </c>
      <c r="G2066" s="129" t="s">
        <v>13</v>
      </c>
      <c r="H2066" s="129" t="s">
        <v>12</v>
      </c>
      <c r="I2066">
        <v>0</v>
      </c>
      <c r="J2066">
        <v>0</v>
      </c>
      <c r="K2066" s="129" t="s">
        <v>1962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s="129" t="s">
        <v>615</v>
      </c>
      <c r="B2067" s="129" t="s">
        <v>51</v>
      </c>
      <c r="C2067" s="129" t="s">
        <v>57</v>
      </c>
      <c r="D2067">
        <v>550</v>
      </c>
      <c r="E2067">
        <v>1025</v>
      </c>
      <c r="F2067">
        <v>1</v>
      </c>
      <c r="G2067" s="129" t="s">
        <v>13</v>
      </c>
      <c r="H2067" s="129" t="s">
        <v>12</v>
      </c>
      <c r="I2067">
        <v>0</v>
      </c>
      <c r="J2067">
        <v>0</v>
      </c>
      <c r="K2067" s="129" t="s">
        <v>1962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s="129" t="s">
        <v>620</v>
      </c>
      <c r="B2068" s="129" t="s">
        <v>51</v>
      </c>
      <c r="C2068" s="129" t="s">
        <v>57</v>
      </c>
      <c r="D2068">
        <v>1025</v>
      </c>
      <c r="E2068">
        <v>1026</v>
      </c>
      <c r="F2068">
        <v>1</v>
      </c>
      <c r="G2068" s="129" t="s">
        <v>13</v>
      </c>
      <c r="H2068" s="129" t="s">
        <v>12</v>
      </c>
      <c r="I2068">
        <v>0</v>
      </c>
      <c r="J2068">
        <v>0</v>
      </c>
      <c r="K2068" s="129" t="s">
        <v>1962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s="129" t="s">
        <v>1994</v>
      </c>
      <c r="B2069" s="129" t="s">
        <v>51</v>
      </c>
      <c r="C2069" s="129" t="s">
        <v>57</v>
      </c>
      <c r="D2069">
        <v>55</v>
      </c>
      <c r="E2069">
        <v>150.01</v>
      </c>
      <c r="F2069">
        <v>10</v>
      </c>
      <c r="G2069" s="129" t="s">
        <v>13</v>
      </c>
      <c r="H2069" s="129" t="s">
        <v>12</v>
      </c>
      <c r="I2069">
        <v>0</v>
      </c>
      <c r="J2069">
        <v>0</v>
      </c>
      <c r="K2069" s="129" t="s">
        <v>1962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s="129" t="s">
        <v>1995</v>
      </c>
      <c r="B2070" s="129" t="s">
        <v>51</v>
      </c>
      <c r="C2070" s="129" t="s">
        <v>57</v>
      </c>
      <c r="D2070">
        <v>150</v>
      </c>
      <c r="E2070">
        <v>550.01</v>
      </c>
      <c r="F2070">
        <v>10</v>
      </c>
      <c r="G2070" s="129" t="s">
        <v>13</v>
      </c>
      <c r="H2070" s="129" t="s">
        <v>12</v>
      </c>
      <c r="I2070">
        <v>0</v>
      </c>
      <c r="J2070">
        <v>0</v>
      </c>
      <c r="K2070" s="129" t="s">
        <v>1962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s="129" t="s">
        <v>616</v>
      </c>
      <c r="B2071" s="129" t="s">
        <v>51</v>
      </c>
      <c r="C2071" s="129" t="s">
        <v>57</v>
      </c>
      <c r="D2071">
        <v>550</v>
      </c>
      <c r="E2071">
        <v>1025</v>
      </c>
      <c r="F2071">
        <v>10</v>
      </c>
      <c r="G2071" s="129" t="s">
        <v>13</v>
      </c>
      <c r="H2071" s="129" t="s">
        <v>12</v>
      </c>
      <c r="I2071">
        <v>0</v>
      </c>
      <c r="J2071">
        <v>0</v>
      </c>
      <c r="K2071" s="129" t="s">
        <v>1962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s="129" t="s">
        <v>621</v>
      </c>
      <c r="B2072" s="129" t="s">
        <v>51</v>
      </c>
      <c r="C2072" s="129" t="s">
        <v>57</v>
      </c>
      <c r="D2072">
        <v>1025</v>
      </c>
      <c r="E2072">
        <v>1026</v>
      </c>
      <c r="F2072">
        <v>10</v>
      </c>
      <c r="G2072" s="129" t="s">
        <v>13</v>
      </c>
      <c r="H2072" s="129" t="s">
        <v>12</v>
      </c>
      <c r="I2072">
        <v>0</v>
      </c>
      <c r="J2072">
        <v>0</v>
      </c>
      <c r="K2072" s="129" t="s">
        <v>1962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s="129" t="s">
        <v>608</v>
      </c>
      <c r="B2073" s="129" t="s">
        <v>51</v>
      </c>
      <c r="C2073" s="129" t="s">
        <v>57</v>
      </c>
      <c r="D2073">
        <v>55</v>
      </c>
      <c r="E2073">
        <v>150.01</v>
      </c>
      <c r="F2073">
        <v>100</v>
      </c>
      <c r="G2073" s="129" t="s">
        <v>13</v>
      </c>
      <c r="H2073" s="129" t="s">
        <v>12</v>
      </c>
      <c r="I2073">
        <v>0</v>
      </c>
      <c r="J2073">
        <v>0</v>
      </c>
      <c r="K2073" s="129" t="s">
        <v>1962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s="129" t="s">
        <v>612</v>
      </c>
      <c r="B2074" s="129" t="s">
        <v>51</v>
      </c>
      <c r="C2074" s="129" t="s">
        <v>57</v>
      </c>
      <c r="D2074">
        <v>150</v>
      </c>
      <c r="E2074">
        <v>550.01</v>
      </c>
      <c r="F2074">
        <v>100</v>
      </c>
      <c r="G2074" s="129" t="s">
        <v>13</v>
      </c>
      <c r="H2074" s="129" t="s">
        <v>12</v>
      </c>
      <c r="I2074">
        <v>0</v>
      </c>
      <c r="J2074">
        <v>0</v>
      </c>
      <c r="K2074" s="129" t="s">
        <v>1962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s="129" t="s">
        <v>617</v>
      </c>
      <c r="B2075" s="129" t="s">
        <v>51</v>
      </c>
      <c r="C2075" s="129" t="s">
        <v>57</v>
      </c>
      <c r="D2075">
        <v>550</v>
      </c>
      <c r="E2075">
        <v>1025</v>
      </c>
      <c r="F2075">
        <v>100</v>
      </c>
      <c r="G2075" s="129" t="s">
        <v>13</v>
      </c>
      <c r="H2075" s="129" t="s">
        <v>12</v>
      </c>
      <c r="I2075">
        <v>0</v>
      </c>
      <c r="J2075">
        <v>0</v>
      </c>
      <c r="K2075" s="129" t="s">
        <v>1962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s="129" t="s">
        <v>1996</v>
      </c>
      <c r="B2076" s="129" t="s">
        <v>51</v>
      </c>
      <c r="C2076" s="129" t="s">
        <v>57</v>
      </c>
      <c r="D2076">
        <v>1025</v>
      </c>
      <c r="E2076">
        <v>1026</v>
      </c>
      <c r="F2076">
        <v>100</v>
      </c>
      <c r="G2076" s="129" t="s">
        <v>13</v>
      </c>
      <c r="H2076" s="129" t="s">
        <v>12</v>
      </c>
      <c r="I2076">
        <v>0</v>
      </c>
      <c r="J2076">
        <v>0</v>
      </c>
      <c r="K2076" s="129" t="s">
        <v>1962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s="129" t="s">
        <v>576</v>
      </c>
      <c r="B2077" s="129" t="s">
        <v>51</v>
      </c>
      <c r="C2077" s="129" t="s">
        <v>3</v>
      </c>
      <c r="D2077">
        <v>0</v>
      </c>
      <c r="E2077">
        <v>0.33000099999999999</v>
      </c>
      <c r="F2077">
        <v>9.9999999999999995E-8</v>
      </c>
      <c r="G2077" s="129" t="s">
        <v>6</v>
      </c>
      <c r="H2077" s="129" t="s">
        <v>5</v>
      </c>
      <c r="I2077">
        <v>0</v>
      </c>
      <c r="J2077">
        <v>0</v>
      </c>
      <c r="K2077" s="129" t="s">
        <v>1962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s="129" t="s">
        <v>1963</v>
      </c>
      <c r="B2078" s="129" t="s">
        <v>51</v>
      </c>
      <c r="C2078" s="129" t="s">
        <v>3</v>
      </c>
      <c r="D2078">
        <v>0</v>
      </c>
      <c r="E2078">
        <v>0.33000099999999999</v>
      </c>
      <c r="F2078">
        <v>9.9999999999999995E-7</v>
      </c>
      <c r="G2078" s="129" t="s">
        <v>6</v>
      </c>
      <c r="H2078" s="129" t="s">
        <v>5</v>
      </c>
      <c r="I2078">
        <v>0</v>
      </c>
      <c r="J2078">
        <v>0</v>
      </c>
      <c r="K2078" s="129" t="s">
        <v>1962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s="129" t="s">
        <v>583</v>
      </c>
      <c r="B2079" s="129" t="s">
        <v>51</v>
      </c>
      <c r="C2079" s="129" t="s">
        <v>3</v>
      </c>
      <c r="D2079">
        <v>0.33</v>
      </c>
      <c r="E2079">
        <v>3.3000099999999999</v>
      </c>
      <c r="F2079">
        <v>9.9999999999999995E-7</v>
      </c>
      <c r="G2079" s="129" t="s">
        <v>6</v>
      </c>
      <c r="H2079" s="129" t="s">
        <v>5</v>
      </c>
      <c r="I2079">
        <v>0</v>
      </c>
      <c r="J2079">
        <v>0</v>
      </c>
      <c r="K2079" s="129" t="s">
        <v>1962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s="129" t="s">
        <v>577</v>
      </c>
      <c r="B2080" s="129" t="s">
        <v>51</v>
      </c>
      <c r="C2080" s="129" t="s">
        <v>3</v>
      </c>
      <c r="D2080">
        <v>0</v>
      </c>
      <c r="E2080">
        <v>0.33000099999999999</v>
      </c>
      <c r="F2080">
        <v>1.0000000000000001E-5</v>
      </c>
      <c r="G2080" s="129" t="s">
        <v>6</v>
      </c>
      <c r="H2080" s="129" t="s">
        <v>5</v>
      </c>
      <c r="I2080">
        <v>0</v>
      </c>
      <c r="J2080">
        <v>0</v>
      </c>
      <c r="K2080" s="129" t="s">
        <v>1962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s="129" t="s">
        <v>584</v>
      </c>
      <c r="B2081" s="129" t="s">
        <v>51</v>
      </c>
      <c r="C2081" s="129" t="s">
        <v>3</v>
      </c>
      <c r="D2081">
        <v>0.33</v>
      </c>
      <c r="E2081">
        <v>3.3000099999999999</v>
      </c>
      <c r="F2081">
        <v>1.0000000000000001E-5</v>
      </c>
      <c r="G2081" s="129" t="s">
        <v>6</v>
      </c>
      <c r="H2081" s="129" t="s">
        <v>5</v>
      </c>
      <c r="I2081">
        <v>0</v>
      </c>
      <c r="J2081">
        <v>0</v>
      </c>
      <c r="K2081" s="129" t="s">
        <v>1962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s="129" t="s">
        <v>589</v>
      </c>
      <c r="B2082" s="129" t="s">
        <v>51</v>
      </c>
      <c r="C2082" s="129" t="s">
        <v>3</v>
      </c>
      <c r="D2082">
        <v>3</v>
      </c>
      <c r="E2082">
        <v>33.000100000000003</v>
      </c>
      <c r="F2082">
        <v>1.0000000000000001E-5</v>
      </c>
      <c r="G2082" s="129" t="s">
        <v>6</v>
      </c>
      <c r="H2082" s="129" t="s">
        <v>4</v>
      </c>
      <c r="I2082">
        <v>0</v>
      </c>
      <c r="J2082">
        <v>0</v>
      </c>
      <c r="K2082" s="129" t="s">
        <v>1962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s="129" t="s">
        <v>578</v>
      </c>
      <c r="B2083" s="129" t="s">
        <v>51</v>
      </c>
      <c r="C2083" s="129" t="s">
        <v>3</v>
      </c>
      <c r="D2083">
        <v>0</v>
      </c>
      <c r="E2083">
        <v>0.33000099999999999</v>
      </c>
      <c r="F2083">
        <v>1E-4</v>
      </c>
      <c r="G2083" s="129" t="s">
        <v>6</v>
      </c>
      <c r="H2083" s="129" t="s">
        <v>5</v>
      </c>
      <c r="I2083">
        <v>0</v>
      </c>
      <c r="J2083">
        <v>0</v>
      </c>
      <c r="K2083" s="129" t="s">
        <v>1962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s="129" t="s">
        <v>585</v>
      </c>
      <c r="B2084" s="129" t="s">
        <v>51</v>
      </c>
      <c r="C2084" s="129" t="s">
        <v>3</v>
      </c>
      <c r="D2084">
        <v>0.33</v>
      </c>
      <c r="E2084">
        <v>3.3000099999999999</v>
      </c>
      <c r="F2084">
        <v>1E-4</v>
      </c>
      <c r="G2084" s="129" t="s">
        <v>6</v>
      </c>
      <c r="H2084" s="129" t="s">
        <v>5</v>
      </c>
      <c r="I2084">
        <v>0</v>
      </c>
      <c r="J2084">
        <v>0</v>
      </c>
      <c r="K2084" s="129" t="s">
        <v>1962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s="129" t="s">
        <v>590</v>
      </c>
      <c r="B2085" s="129" t="s">
        <v>51</v>
      </c>
      <c r="C2085" s="129" t="s">
        <v>3</v>
      </c>
      <c r="D2085">
        <v>3</v>
      </c>
      <c r="E2085">
        <v>33.000100000000003</v>
      </c>
      <c r="F2085">
        <v>1E-4</v>
      </c>
      <c r="G2085" s="129" t="s">
        <v>6</v>
      </c>
      <c r="H2085" s="129" t="s">
        <v>4</v>
      </c>
      <c r="I2085">
        <v>0</v>
      </c>
      <c r="J2085">
        <v>0</v>
      </c>
      <c r="K2085" s="129" t="s">
        <v>1962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s="129" t="s">
        <v>593</v>
      </c>
      <c r="B2086" s="129" t="s">
        <v>51</v>
      </c>
      <c r="C2086" s="129" t="s">
        <v>3</v>
      </c>
      <c r="D2086">
        <v>33</v>
      </c>
      <c r="E2086">
        <v>330.00099999999998</v>
      </c>
      <c r="F2086">
        <v>1E-4</v>
      </c>
      <c r="G2086" s="129" t="s">
        <v>6</v>
      </c>
      <c r="H2086" s="129" t="s">
        <v>4</v>
      </c>
      <c r="I2086">
        <v>0</v>
      </c>
      <c r="J2086">
        <v>0</v>
      </c>
      <c r="K2086" s="129" t="s">
        <v>1962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s="129" t="s">
        <v>1964</v>
      </c>
      <c r="B2087" s="129" t="s">
        <v>51</v>
      </c>
      <c r="C2087" s="129" t="s">
        <v>3</v>
      </c>
      <c r="D2087">
        <v>0</v>
      </c>
      <c r="E2087">
        <v>0.33000099999999999</v>
      </c>
      <c r="F2087">
        <v>1E-3</v>
      </c>
      <c r="G2087" s="129" t="s">
        <v>6</v>
      </c>
      <c r="H2087" s="129" t="s">
        <v>5</v>
      </c>
      <c r="I2087">
        <v>0</v>
      </c>
      <c r="J2087">
        <v>0</v>
      </c>
      <c r="K2087" s="129" t="s">
        <v>1962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s="129" t="s">
        <v>586</v>
      </c>
      <c r="B2088" s="129" t="s">
        <v>51</v>
      </c>
      <c r="C2088" s="129" t="s">
        <v>3</v>
      </c>
      <c r="D2088">
        <v>0.33</v>
      </c>
      <c r="E2088">
        <v>3.3000099999999999</v>
      </c>
      <c r="F2088">
        <v>1E-3</v>
      </c>
      <c r="G2088" s="129" t="s">
        <v>6</v>
      </c>
      <c r="H2088" s="129" t="s">
        <v>5</v>
      </c>
      <c r="I2088">
        <v>0</v>
      </c>
      <c r="J2088">
        <v>0</v>
      </c>
      <c r="K2088" s="129" t="s">
        <v>1962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s="129" t="s">
        <v>591</v>
      </c>
      <c r="B2089" s="129" t="s">
        <v>51</v>
      </c>
      <c r="C2089" s="129" t="s">
        <v>3</v>
      </c>
      <c r="D2089">
        <v>3</v>
      </c>
      <c r="E2089">
        <v>33.000100000000003</v>
      </c>
      <c r="F2089">
        <v>1E-3</v>
      </c>
      <c r="G2089" s="129" t="s">
        <v>6</v>
      </c>
      <c r="H2089" s="129" t="s">
        <v>4</v>
      </c>
      <c r="I2089">
        <v>0</v>
      </c>
      <c r="J2089">
        <v>0</v>
      </c>
      <c r="K2089" s="129" t="s">
        <v>1962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s="129" t="s">
        <v>594</v>
      </c>
      <c r="B2090" s="129" t="s">
        <v>51</v>
      </c>
      <c r="C2090" s="129" t="s">
        <v>3</v>
      </c>
      <c r="D2090">
        <v>33</v>
      </c>
      <c r="E2090">
        <v>330.00099999999998</v>
      </c>
      <c r="F2090">
        <v>1E-3</v>
      </c>
      <c r="G2090" s="129" t="s">
        <v>6</v>
      </c>
      <c r="H2090" s="129" t="s">
        <v>4</v>
      </c>
      <c r="I2090">
        <v>0</v>
      </c>
      <c r="J2090">
        <v>0</v>
      </c>
      <c r="K2090" s="129" t="s">
        <v>1962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s="129" t="s">
        <v>1969</v>
      </c>
      <c r="B2091" s="129" t="s">
        <v>51</v>
      </c>
      <c r="C2091" s="129" t="s">
        <v>3</v>
      </c>
      <c r="D2091">
        <v>330</v>
      </c>
      <c r="E2091">
        <v>1000.01</v>
      </c>
      <c r="F2091">
        <v>1E-3</v>
      </c>
      <c r="G2091" s="129" t="s">
        <v>6</v>
      </c>
      <c r="H2091" s="129" t="s">
        <v>4</v>
      </c>
      <c r="I2091">
        <v>0</v>
      </c>
      <c r="J2091">
        <v>0</v>
      </c>
      <c r="K2091" s="129" t="s">
        <v>1962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s="129" t="s">
        <v>601</v>
      </c>
      <c r="B2092" s="129" t="s">
        <v>51</v>
      </c>
      <c r="C2092" s="129" t="s">
        <v>3</v>
      </c>
      <c r="D2092">
        <v>1000</v>
      </c>
      <c r="E2092">
        <v>1001</v>
      </c>
      <c r="F2092">
        <v>1E-3</v>
      </c>
      <c r="G2092" s="129" t="s">
        <v>6</v>
      </c>
      <c r="H2092" s="129" t="s">
        <v>4</v>
      </c>
      <c r="I2092">
        <v>0</v>
      </c>
      <c r="J2092">
        <v>0</v>
      </c>
      <c r="K2092" s="129" t="s">
        <v>1962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s="129" t="s">
        <v>579</v>
      </c>
      <c r="B2093" s="129" t="s">
        <v>51</v>
      </c>
      <c r="C2093" s="129" t="s">
        <v>3</v>
      </c>
      <c r="D2093">
        <v>0</v>
      </c>
      <c r="E2093">
        <v>0.33000099999999999</v>
      </c>
      <c r="F2093">
        <v>0.01</v>
      </c>
      <c r="G2093" s="129" t="s">
        <v>6</v>
      </c>
      <c r="H2093" s="129" t="s">
        <v>5</v>
      </c>
      <c r="I2093">
        <v>0</v>
      </c>
      <c r="J2093">
        <v>0</v>
      </c>
      <c r="K2093" s="129" t="s">
        <v>1962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s="129" t="s">
        <v>587</v>
      </c>
      <c r="B2094" s="129" t="s">
        <v>51</v>
      </c>
      <c r="C2094" s="129" t="s">
        <v>3</v>
      </c>
      <c r="D2094">
        <v>0.33</v>
      </c>
      <c r="E2094">
        <v>3.3000099999999999</v>
      </c>
      <c r="F2094">
        <v>0.01</v>
      </c>
      <c r="G2094" s="129" t="s">
        <v>6</v>
      </c>
      <c r="H2094" s="129" t="s">
        <v>5</v>
      </c>
      <c r="I2094">
        <v>0</v>
      </c>
      <c r="J2094">
        <v>0</v>
      </c>
      <c r="K2094" s="129" t="s">
        <v>1962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s="129" t="s">
        <v>1965</v>
      </c>
      <c r="B2095" s="129" t="s">
        <v>51</v>
      </c>
      <c r="C2095" s="129" t="s">
        <v>3</v>
      </c>
      <c r="D2095">
        <v>3</v>
      </c>
      <c r="E2095">
        <v>33.000100000000003</v>
      </c>
      <c r="F2095">
        <v>0.01</v>
      </c>
      <c r="G2095" s="129" t="s">
        <v>6</v>
      </c>
      <c r="H2095" s="129" t="s">
        <v>4</v>
      </c>
      <c r="I2095">
        <v>0</v>
      </c>
      <c r="J2095">
        <v>0</v>
      </c>
      <c r="K2095" s="129" t="s">
        <v>1962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s="129" t="s">
        <v>1967</v>
      </c>
      <c r="B2096" s="129" t="s">
        <v>51</v>
      </c>
      <c r="C2096" s="129" t="s">
        <v>3</v>
      </c>
      <c r="D2096">
        <v>33</v>
      </c>
      <c r="E2096">
        <v>330.00099999999998</v>
      </c>
      <c r="F2096">
        <v>0.01</v>
      </c>
      <c r="G2096" s="129" t="s">
        <v>6</v>
      </c>
      <c r="H2096" s="129" t="s">
        <v>4</v>
      </c>
      <c r="I2096">
        <v>0</v>
      </c>
      <c r="J2096">
        <v>0</v>
      </c>
      <c r="K2096" s="129" t="s">
        <v>1962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s="129" t="s">
        <v>597</v>
      </c>
      <c r="B2097" s="129" t="s">
        <v>51</v>
      </c>
      <c r="C2097" s="129" t="s">
        <v>3</v>
      </c>
      <c r="D2097">
        <v>330</v>
      </c>
      <c r="E2097">
        <v>1000.01</v>
      </c>
      <c r="F2097">
        <v>0.01</v>
      </c>
      <c r="G2097" s="129" t="s">
        <v>6</v>
      </c>
      <c r="H2097" s="129" t="s">
        <v>4</v>
      </c>
      <c r="I2097">
        <v>0</v>
      </c>
      <c r="J2097">
        <v>0</v>
      </c>
      <c r="K2097" s="129" t="s">
        <v>1962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s="129" t="s">
        <v>602</v>
      </c>
      <c r="B2098" s="129" t="s">
        <v>51</v>
      </c>
      <c r="C2098" s="129" t="s">
        <v>3</v>
      </c>
      <c r="D2098">
        <v>1000</v>
      </c>
      <c r="E2098">
        <v>1001</v>
      </c>
      <c r="F2098">
        <v>0.01</v>
      </c>
      <c r="G2098" s="129" t="s">
        <v>6</v>
      </c>
      <c r="H2098" s="129" t="s">
        <v>4</v>
      </c>
      <c r="I2098">
        <v>0</v>
      </c>
      <c r="J2098">
        <v>0</v>
      </c>
      <c r="K2098" s="129" t="s">
        <v>1962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s="129" t="s">
        <v>580</v>
      </c>
      <c r="B2099" s="129" t="s">
        <v>51</v>
      </c>
      <c r="C2099" s="129" t="s">
        <v>3</v>
      </c>
      <c r="D2099">
        <v>0</v>
      </c>
      <c r="E2099">
        <v>0.33000099999999999</v>
      </c>
      <c r="F2099">
        <v>0.1</v>
      </c>
      <c r="G2099" s="129" t="s">
        <v>6</v>
      </c>
      <c r="H2099" s="129" t="s">
        <v>4</v>
      </c>
      <c r="I2099">
        <v>0</v>
      </c>
      <c r="J2099">
        <v>0</v>
      </c>
      <c r="K2099" s="129" t="s">
        <v>1962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s="129" t="s">
        <v>588</v>
      </c>
      <c r="B2100" s="129" t="s">
        <v>51</v>
      </c>
      <c r="C2100" s="129" t="s">
        <v>3</v>
      </c>
      <c r="D2100">
        <v>0.33</v>
      </c>
      <c r="E2100">
        <v>3.3000099999999999</v>
      </c>
      <c r="F2100">
        <v>0.1</v>
      </c>
      <c r="G2100" s="129" t="s">
        <v>6</v>
      </c>
      <c r="H2100" s="129" t="s">
        <v>5</v>
      </c>
      <c r="I2100">
        <v>0</v>
      </c>
      <c r="J2100">
        <v>0</v>
      </c>
      <c r="K2100" s="129" t="s">
        <v>1962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s="129" t="s">
        <v>592</v>
      </c>
      <c r="B2101" s="129" t="s">
        <v>51</v>
      </c>
      <c r="C2101" s="129" t="s">
        <v>3</v>
      </c>
      <c r="D2101">
        <v>3</v>
      </c>
      <c r="E2101">
        <v>33.000100000000003</v>
      </c>
      <c r="F2101">
        <v>0.1</v>
      </c>
      <c r="G2101" s="129" t="s">
        <v>6</v>
      </c>
      <c r="H2101" s="129" t="s">
        <v>4</v>
      </c>
      <c r="I2101">
        <v>0</v>
      </c>
      <c r="J2101">
        <v>0</v>
      </c>
      <c r="K2101" s="129" t="s">
        <v>1962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s="129" t="s">
        <v>1968</v>
      </c>
      <c r="B2102" s="129" t="s">
        <v>51</v>
      </c>
      <c r="C2102" s="129" t="s">
        <v>3</v>
      </c>
      <c r="D2102">
        <v>33</v>
      </c>
      <c r="E2102">
        <v>330.00099999999998</v>
      </c>
      <c r="F2102">
        <v>0.1</v>
      </c>
      <c r="G2102" s="129" t="s">
        <v>6</v>
      </c>
      <c r="H2102" s="129" t="s">
        <v>4</v>
      </c>
      <c r="I2102">
        <v>0</v>
      </c>
      <c r="J2102">
        <v>0</v>
      </c>
      <c r="K2102" s="129" t="s">
        <v>1962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s="129" t="s">
        <v>598</v>
      </c>
      <c r="B2103" s="129" t="s">
        <v>51</v>
      </c>
      <c r="C2103" s="129" t="s">
        <v>3</v>
      </c>
      <c r="D2103">
        <v>330</v>
      </c>
      <c r="E2103">
        <v>1000.01</v>
      </c>
      <c r="F2103">
        <v>0.1</v>
      </c>
      <c r="G2103" s="129" t="s">
        <v>6</v>
      </c>
      <c r="H2103" s="129" t="s">
        <v>4</v>
      </c>
      <c r="I2103">
        <v>0</v>
      </c>
      <c r="J2103">
        <v>0</v>
      </c>
      <c r="K2103" s="129" t="s">
        <v>1962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s="129" t="s">
        <v>1970</v>
      </c>
      <c r="B2104" s="129" t="s">
        <v>51</v>
      </c>
      <c r="C2104" s="129" t="s">
        <v>3</v>
      </c>
      <c r="D2104">
        <v>1000</v>
      </c>
      <c r="E2104">
        <v>1001</v>
      </c>
      <c r="F2104">
        <v>0.1</v>
      </c>
      <c r="G2104" s="129" t="s">
        <v>6</v>
      </c>
      <c r="H2104" s="129" t="s">
        <v>4</v>
      </c>
      <c r="I2104">
        <v>0</v>
      </c>
      <c r="J2104">
        <v>0</v>
      </c>
      <c r="K2104" s="129" t="s">
        <v>1962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s="129" t="s">
        <v>581</v>
      </c>
      <c r="B2105" s="129" t="s">
        <v>51</v>
      </c>
      <c r="C2105" s="129" t="s">
        <v>3</v>
      </c>
      <c r="D2105">
        <v>0</v>
      </c>
      <c r="E2105">
        <v>0.33000099999999999</v>
      </c>
      <c r="F2105">
        <v>1</v>
      </c>
      <c r="G2105" s="129" t="s">
        <v>6</v>
      </c>
      <c r="H2105" s="129" t="s">
        <v>4</v>
      </c>
      <c r="I2105">
        <v>0</v>
      </c>
      <c r="J2105">
        <v>0</v>
      </c>
      <c r="K2105" s="129" t="s">
        <v>1962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s="129" t="s">
        <v>1966</v>
      </c>
      <c r="B2106" s="129" t="s">
        <v>51</v>
      </c>
      <c r="C2106" s="129" t="s">
        <v>3</v>
      </c>
      <c r="D2106">
        <v>3</v>
      </c>
      <c r="E2106">
        <v>33.000100000000003</v>
      </c>
      <c r="F2106">
        <v>1</v>
      </c>
      <c r="G2106" s="129" t="s">
        <v>6</v>
      </c>
      <c r="H2106" s="129" t="s">
        <v>4</v>
      </c>
      <c r="I2106">
        <v>0</v>
      </c>
      <c r="J2106">
        <v>0</v>
      </c>
      <c r="K2106" s="129" t="s">
        <v>1962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s="129" t="s">
        <v>595</v>
      </c>
      <c r="B2107" s="129" t="s">
        <v>51</v>
      </c>
      <c r="C2107" s="129" t="s">
        <v>3</v>
      </c>
      <c r="D2107">
        <v>33</v>
      </c>
      <c r="E2107">
        <v>330.00099999999998</v>
      </c>
      <c r="F2107">
        <v>1</v>
      </c>
      <c r="G2107" s="129" t="s">
        <v>6</v>
      </c>
      <c r="H2107" s="129" t="s">
        <v>4</v>
      </c>
      <c r="I2107">
        <v>0</v>
      </c>
      <c r="J2107">
        <v>0</v>
      </c>
      <c r="K2107" s="129" t="s">
        <v>1962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s="129" t="s">
        <v>599</v>
      </c>
      <c r="B2108" s="129" t="s">
        <v>51</v>
      </c>
      <c r="C2108" s="129" t="s">
        <v>3</v>
      </c>
      <c r="D2108">
        <v>330</v>
      </c>
      <c r="E2108">
        <v>1000.01</v>
      </c>
      <c r="F2108">
        <v>1</v>
      </c>
      <c r="G2108" s="129" t="s">
        <v>6</v>
      </c>
      <c r="H2108" s="129" t="s">
        <v>4</v>
      </c>
      <c r="I2108">
        <v>0</v>
      </c>
      <c r="J2108">
        <v>0</v>
      </c>
      <c r="K2108" s="129" t="s">
        <v>1962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s="129" t="s">
        <v>603</v>
      </c>
      <c r="B2109" s="129" t="s">
        <v>51</v>
      </c>
      <c r="C2109" s="129" t="s">
        <v>3</v>
      </c>
      <c r="D2109">
        <v>1000</v>
      </c>
      <c r="E2109">
        <v>1001</v>
      </c>
      <c r="F2109">
        <v>1</v>
      </c>
      <c r="G2109" s="129" t="s">
        <v>6</v>
      </c>
      <c r="H2109" s="129" t="s">
        <v>4</v>
      </c>
      <c r="I2109">
        <v>0</v>
      </c>
      <c r="J2109">
        <v>0</v>
      </c>
      <c r="K2109" s="129" t="s">
        <v>1962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s="129" t="s">
        <v>582</v>
      </c>
      <c r="B2110" s="129" t="s">
        <v>51</v>
      </c>
      <c r="C2110" s="129" t="s">
        <v>3</v>
      </c>
      <c r="D2110">
        <v>0</v>
      </c>
      <c r="E2110">
        <v>0.33000099999999999</v>
      </c>
      <c r="F2110">
        <v>10</v>
      </c>
      <c r="G2110" s="129" t="s">
        <v>6</v>
      </c>
      <c r="H2110" s="129" t="s">
        <v>4</v>
      </c>
      <c r="I2110">
        <v>0</v>
      </c>
      <c r="J2110">
        <v>0</v>
      </c>
      <c r="K2110" s="129" t="s">
        <v>1962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s="129" t="s">
        <v>596</v>
      </c>
      <c r="B2111" s="129" t="s">
        <v>51</v>
      </c>
      <c r="C2111" s="129" t="s">
        <v>3</v>
      </c>
      <c r="D2111">
        <v>33</v>
      </c>
      <c r="E2111">
        <v>330.00099999999998</v>
      </c>
      <c r="F2111">
        <v>10</v>
      </c>
      <c r="G2111" s="129" t="s">
        <v>6</v>
      </c>
      <c r="H2111" s="129" t="s">
        <v>4</v>
      </c>
      <c r="I2111">
        <v>0</v>
      </c>
      <c r="J2111">
        <v>0</v>
      </c>
      <c r="K2111" s="129" t="s">
        <v>1962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s="129" t="s">
        <v>600</v>
      </c>
      <c r="B2112" s="129" t="s">
        <v>51</v>
      </c>
      <c r="C2112" s="129" t="s">
        <v>3</v>
      </c>
      <c r="D2112">
        <v>330</v>
      </c>
      <c r="E2112">
        <v>1000.01</v>
      </c>
      <c r="F2112">
        <v>10</v>
      </c>
      <c r="G2112" s="129" t="s">
        <v>6</v>
      </c>
      <c r="H2112" s="129" t="s">
        <v>4</v>
      </c>
      <c r="I2112">
        <v>0</v>
      </c>
      <c r="J2112">
        <v>0</v>
      </c>
      <c r="K2112" s="129" t="s">
        <v>1962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s="129" t="s">
        <v>604</v>
      </c>
      <c r="B2113" s="129" t="s">
        <v>51</v>
      </c>
      <c r="C2113" s="129" t="s">
        <v>3</v>
      </c>
      <c r="D2113">
        <v>1000</v>
      </c>
      <c r="E2113">
        <v>1001</v>
      </c>
      <c r="F2113">
        <v>10</v>
      </c>
      <c r="G2113" s="129" t="s">
        <v>6</v>
      </c>
      <c r="H2113" s="129" t="s">
        <v>4</v>
      </c>
      <c r="I2113">
        <v>0</v>
      </c>
      <c r="J2113">
        <v>0</v>
      </c>
      <c r="K2113" s="129" t="s">
        <v>1962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s="129" t="s">
        <v>2249</v>
      </c>
      <c r="B2114" s="129" t="s">
        <v>51</v>
      </c>
      <c r="C2114" s="129" t="s">
        <v>95</v>
      </c>
      <c r="D2114">
        <v>0</v>
      </c>
      <c r="E2114">
        <v>1.090001E-4</v>
      </c>
      <c r="F2114">
        <v>1E-10</v>
      </c>
      <c r="G2114" s="129" t="s">
        <v>147</v>
      </c>
      <c r="H2114" s="129" t="s">
        <v>147</v>
      </c>
      <c r="I2114">
        <v>0</v>
      </c>
      <c r="J2114">
        <v>0</v>
      </c>
      <c r="K2114" s="129" t="s">
        <v>1962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s="129" t="s">
        <v>2250</v>
      </c>
      <c r="B2115" s="129" t="s">
        <v>51</v>
      </c>
      <c r="C2115" s="129" t="s">
        <v>95</v>
      </c>
      <c r="D2115">
        <v>0</v>
      </c>
      <c r="E2115">
        <v>1.090001E-4</v>
      </c>
      <c r="F2115">
        <v>1.0000000000000001E-9</v>
      </c>
      <c r="G2115" s="129" t="s">
        <v>147</v>
      </c>
      <c r="H2115" s="129" t="s">
        <v>147</v>
      </c>
      <c r="I2115">
        <v>0</v>
      </c>
      <c r="J2115">
        <v>0</v>
      </c>
      <c r="K2115" s="129" t="s">
        <v>1962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s="129" t="s">
        <v>2251</v>
      </c>
      <c r="B2116" s="129" t="s">
        <v>51</v>
      </c>
      <c r="C2116" s="129" t="s">
        <v>95</v>
      </c>
      <c r="D2116">
        <v>0</v>
      </c>
      <c r="E2116">
        <v>1.090001E-4</v>
      </c>
      <c r="F2116">
        <v>1E-8</v>
      </c>
      <c r="G2116" s="129" t="s">
        <v>147</v>
      </c>
      <c r="H2116" s="129" t="s">
        <v>147</v>
      </c>
      <c r="I2116">
        <v>0</v>
      </c>
      <c r="J2116">
        <v>0</v>
      </c>
      <c r="K2116" s="129" t="s">
        <v>1962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s="129" t="s">
        <v>544</v>
      </c>
      <c r="B2117" s="129" t="s">
        <v>51</v>
      </c>
      <c r="C2117" s="129" t="s">
        <v>95</v>
      </c>
      <c r="D2117">
        <v>1.0900000000000001E-4</v>
      </c>
      <c r="E2117">
        <v>1.0900999999999999E-6</v>
      </c>
      <c r="F2117">
        <v>1E-8</v>
      </c>
      <c r="G2117" s="129" t="s">
        <v>147</v>
      </c>
      <c r="H2117" s="129" t="s">
        <v>147</v>
      </c>
      <c r="I2117">
        <v>0</v>
      </c>
      <c r="J2117">
        <v>0</v>
      </c>
      <c r="K2117" s="129" t="s">
        <v>1962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s="129" t="s">
        <v>2252</v>
      </c>
      <c r="B2118" s="129" t="s">
        <v>51</v>
      </c>
      <c r="C2118" s="129" t="s">
        <v>95</v>
      </c>
      <c r="D2118">
        <v>0</v>
      </c>
      <c r="E2118">
        <v>1.090001E-4</v>
      </c>
      <c r="F2118">
        <v>9.9999999999999995E-8</v>
      </c>
      <c r="G2118" s="129" t="s">
        <v>147</v>
      </c>
      <c r="H2118" s="129" t="s">
        <v>147</v>
      </c>
      <c r="I2118">
        <v>0</v>
      </c>
      <c r="J2118">
        <v>0</v>
      </c>
      <c r="K2118" s="129" t="s">
        <v>1962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s="129" t="s">
        <v>545</v>
      </c>
      <c r="B2119" s="129" t="s">
        <v>51</v>
      </c>
      <c r="C2119" s="129" t="s">
        <v>95</v>
      </c>
      <c r="D2119">
        <v>1.0900000000000001E-4</v>
      </c>
      <c r="E2119">
        <v>1.0900999999999999E-6</v>
      </c>
      <c r="F2119">
        <v>9.9999999999999995E-8</v>
      </c>
      <c r="G2119" s="129" t="s">
        <v>147</v>
      </c>
      <c r="H2119" s="129" t="s">
        <v>147</v>
      </c>
      <c r="I2119">
        <v>0</v>
      </c>
      <c r="J2119">
        <v>0</v>
      </c>
      <c r="K2119" s="129" t="s">
        <v>1962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s="129" t="s">
        <v>2261</v>
      </c>
      <c r="B2120" s="129" t="s">
        <v>51</v>
      </c>
      <c r="C2120" s="129" t="s">
        <v>95</v>
      </c>
      <c r="D2120">
        <v>1.09E-3</v>
      </c>
      <c r="E2120">
        <v>1.0900099999999999E-2</v>
      </c>
      <c r="F2120">
        <v>9.9999999999999995E-8</v>
      </c>
      <c r="G2120" s="129" t="s">
        <v>147</v>
      </c>
      <c r="H2120" s="129" t="s">
        <v>147</v>
      </c>
      <c r="I2120">
        <v>0</v>
      </c>
      <c r="J2120">
        <v>0</v>
      </c>
      <c r="K2120" s="129" t="s">
        <v>1962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s="129" t="s">
        <v>2253</v>
      </c>
      <c r="B2121" s="129" t="s">
        <v>51</v>
      </c>
      <c r="C2121" s="129" t="s">
        <v>95</v>
      </c>
      <c r="D2121">
        <v>0</v>
      </c>
      <c r="E2121">
        <v>1.090001E-4</v>
      </c>
      <c r="F2121">
        <v>9.9999999999999995E-7</v>
      </c>
      <c r="G2121" s="129" t="s">
        <v>147</v>
      </c>
      <c r="H2121" s="129" t="s">
        <v>147</v>
      </c>
      <c r="I2121">
        <v>0</v>
      </c>
      <c r="J2121">
        <v>0</v>
      </c>
      <c r="K2121" s="129" t="s">
        <v>1962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s="129" t="s">
        <v>2258</v>
      </c>
      <c r="B2122" s="129" t="s">
        <v>51</v>
      </c>
      <c r="C2122" s="129" t="s">
        <v>95</v>
      </c>
      <c r="D2122">
        <v>1.0900000000000001E-4</v>
      </c>
      <c r="E2122">
        <v>1.0900999999999999E-6</v>
      </c>
      <c r="F2122">
        <v>9.9999999999999995E-7</v>
      </c>
      <c r="G2122" s="129" t="s">
        <v>147</v>
      </c>
      <c r="H2122" s="129" t="s">
        <v>147</v>
      </c>
      <c r="I2122">
        <v>0</v>
      </c>
      <c r="J2122">
        <v>0</v>
      </c>
      <c r="K2122" s="129" t="s">
        <v>1962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s="129" t="s">
        <v>546</v>
      </c>
      <c r="B2123" s="129" t="s">
        <v>51</v>
      </c>
      <c r="C2123" s="129" t="s">
        <v>95</v>
      </c>
      <c r="D2123">
        <v>1.09E-3</v>
      </c>
      <c r="E2123">
        <v>1.0900099999999999E-2</v>
      </c>
      <c r="F2123">
        <v>9.9999999999999995E-7</v>
      </c>
      <c r="G2123" s="129" t="s">
        <v>147</v>
      </c>
      <c r="H2123" s="129" t="s">
        <v>147</v>
      </c>
      <c r="I2123">
        <v>0</v>
      </c>
      <c r="J2123">
        <v>0</v>
      </c>
      <c r="K2123" s="129" t="s">
        <v>1962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s="129" t="s">
        <v>549</v>
      </c>
      <c r="B2124" s="129" t="s">
        <v>51</v>
      </c>
      <c r="C2124" s="129" t="s">
        <v>95</v>
      </c>
      <c r="D2124">
        <v>1.09E-2</v>
      </c>
      <c r="E2124">
        <v>0.1090001</v>
      </c>
      <c r="F2124">
        <v>9.9999999999999995E-7</v>
      </c>
      <c r="G2124" s="129" t="s">
        <v>147</v>
      </c>
      <c r="H2124" s="129" t="s">
        <v>147</v>
      </c>
      <c r="I2124">
        <v>0</v>
      </c>
      <c r="J2124">
        <v>0</v>
      </c>
      <c r="K2124" s="129" t="s">
        <v>1962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s="129" t="s">
        <v>2254</v>
      </c>
      <c r="B2125" s="129" t="s">
        <v>51</v>
      </c>
      <c r="C2125" s="129" t="s">
        <v>95</v>
      </c>
      <c r="D2125">
        <v>0</v>
      </c>
      <c r="E2125">
        <v>1.090001E-4</v>
      </c>
      <c r="F2125">
        <v>1.0000000000000001E-5</v>
      </c>
      <c r="G2125" s="129" t="s">
        <v>147</v>
      </c>
      <c r="H2125" s="129" t="s">
        <v>147</v>
      </c>
      <c r="I2125">
        <v>0</v>
      </c>
      <c r="J2125">
        <v>0</v>
      </c>
      <c r="K2125" s="129" t="s">
        <v>1962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s="129" t="s">
        <v>2259</v>
      </c>
      <c r="B2126" s="129" t="s">
        <v>51</v>
      </c>
      <c r="C2126" s="129" t="s">
        <v>95</v>
      </c>
      <c r="D2126">
        <v>1.0900000000000001E-4</v>
      </c>
      <c r="E2126">
        <v>1.0900999999999999E-6</v>
      </c>
      <c r="F2126">
        <v>1.0000000000000001E-5</v>
      </c>
      <c r="G2126" s="129" t="s">
        <v>147</v>
      </c>
      <c r="H2126" s="129" t="s">
        <v>147</v>
      </c>
      <c r="I2126">
        <v>0</v>
      </c>
      <c r="J2126">
        <v>0</v>
      </c>
      <c r="K2126" s="129" t="s">
        <v>1962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s="129" t="s">
        <v>2262</v>
      </c>
      <c r="B2127" s="129" t="s">
        <v>51</v>
      </c>
      <c r="C2127" s="129" t="s">
        <v>95</v>
      </c>
      <c r="D2127">
        <v>1.09E-3</v>
      </c>
      <c r="E2127">
        <v>1.0900099999999999E-2</v>
      </c>
      <c r="F2127">
        <v>1.0000000000000001E-5</v>
      </c>
      <c r="G2127" s="129" t="s">
        <v>147</v>
      </c>
      <c r="H2127" s="129" t="s">
        <v>147</v>
      </c>
      <c r="I2127">
        <v>0</v>
      </c>
      <c r="J2127">
        <v>0</v>
      </c>
      <c r="K2127" s="129" t="s">
        <v>1962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s="129" t="s">
        <v>550</v>
      </c>
      <c r="B2128" s="129" t="s">
        <v>51</v>
      </c>
      <c r="C2128" s="129" t="s">
        <v>95</v>
      </c>
      <c r="D2128">
        <v>1.09E-2</v>
      </c>
      <c r="E2128">
        <v>0.1090001</v>
      </c>
      <c r="F2128">
        <v>1.0000000000000001E-5</v>
      </c>
      <c r="G2128" s="129" t="s">
        <v>147</v>
      </c>
      <c r="H2128" s="129" t="s">
        <v>147</v>
      </c>
      <c r="I2128">
        <v>0</v>
      </c>
      <c r="J2128">
        <v>0</v>
      </c>
      <c r="K2128" s="129" t="s">
        <v>1962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s="129" t="s">
        <v>2265</v>
      </c>
      <c r="B2129" s="129" t="s">
        <v>51</v>
      </c>
      <c r="C2129" s="129" t="s">
        <v>95</v>
      </c>
      <c r="D2129">
        <v>0.109</v>
      </c>
      <c r="E2129">
        <v>1.0901000000000001</v>
      </c>
      <c r="F2129">
        <v>1.0000000000000001E-5</v>
      </c>
      <c r="G2129" s="129" t="s">
        <v>147</v>
      </c>
      <c r="H2129" s="129" t="s">
        <v>147</v>
      </c>
      <c r="I2129">
        <v>0</v>
      </c>
      <c r="J2129">
        <v>0</v>
      </c>
      <c r="K2129" s="129" t="s">
        <v>1962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s="129" t="s">
        <v>2255</v>
      </c>
      <c r="B2130" s="129" t="s">
        <v>51</v>
      </c>
      <c r="C2130" s="129" t="s">
        <v>95</v>
      </c>
      <c r="D2130">
        <v>0</v>
      </c>
      <c r="E2130">
        <v>1.090001E-4</v>
      </c>
      <c r="F2130">
        <v>1E-4</v>
      </c>
      <c r="G2130" s="129" t="s">
        <v>147</v>
      </c>
      <c r="H2130" s="129" t="s">
        <v>147</v>
      </c>
      <c r="I2130">
        <v>0</v>
      </c>
      <c r="J2130">
        <v>0</v>
      </c>
      <c r="K2130" s="129" t="s">
        <v>1962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s="129" t="s">
        <v>2260</v>
      </c>
      <c r="B2131" s="129" t="s">
        <v>51</v>
      </c>
      <c r="C2131" s="129" t="s">
        <v>95</v>
      </c>
      <c r="D2131">
        <v>1.0900000000000001E-4</v>
      </c>
      <c r="E2131">
        <v>1.0900999999999999E-6</v>
      </c>
      <c r="F2131">
        <v>1E-4</v>
      </c>
      <c r="G2131" s="129" t="s">
        <v>147</v>
      </c>
      <c r="H2131" s="129" t="s">
        <v>147</v>
      </c>
      <c r="I2131">
        <v>0</v>
      </c>
      <c r="J2131">
        <v>0</v>
      </c>
      <c r="K2131" s="129" t="s">
        <v>1962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s="129" t="s">
        <v>547</v>
      </c>
      <c r="B2132" s="129" t="s">
        <v>51</v>
      </c>
      <c r="C2132" s="129" t="s">
        <v>95</v>
      </c>
      <c r="D2132">
        <v>1.09E-3</v>
      </c>
      <c r="E2132">
        <v>1.0900099999999999E-2</v>
      </c>
      <c r="F2132">
        <v>1E-4</v>
      </c>
      <c r="G2132" s="129" t="s">
        <v>147</v>
      </c>
      <c r="H2132" s="129" t="s">
        <v>147</v>
      </c>
      <c r="I2132">
        <v>0</v>
      </c>
      <c r="J2132">
        <v>0</v>
      </c>
      <c r="K2132" s="129" t="s">
        <v>1962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s="129" t="s">
        <v>551</v>
      </c>
      <c r="B2133" s="129" t="s">
        <v>51</v>
      </c>
      <c r="C2133" s="129" t="s">
        <v>95</v>
      </c>
      <c r="D2133">
        <v>1.09E-2</v>
      </c>
      <c r="E2133">
        <v>0.1090001</v>
      </c>
      <c r="F2133">
        <v>1E-4</v>
      </c>
      <c r="G2133" s="129" t="s">
        <v>147</v>
      </c>
      <c r="H2133" s="129" t="s">
        <v>147</v>
      </c>
      <c r="I2133">
        <v>0</v>
      </c>
      <c r="J2133">
        <v>0</v>
      </c>
      <c r="K2133" s="129" t="s">
        <v>1962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s="129" t="s">
        <v>552</v>
      </c>
      <c r="B2134" s="129" t="s">
        <v>51</v>
      </c>
      <c r="C2134" s="129" t="s">
        <v>95</v>
      </c>
      <c r="D2134">
        <v>0.109</v>
      </c>
      <c r="E2134">
        <v>1.0901000000000001</v>
      </c>
      <c r="F2134">
        <v>1E-4</v>
      </c>
      <c r="G2134" s="129" t="s">
        <v>147</v>
      </c>
      <c r="H2134" s="129" t="s">
        <v>147</v>
      </c>
      <c r="I2134">
        <v>0</v>
      </c>
      <c r="J2134">
        <v>0</v>
      </c>
      <c r="K2134" s="129" t="s">
        <v>1962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s="129" t="s">
        <v>555</v>
      </c>
      <c r="B2135" s="129" t="s">
        <v>51</v>
      </c>
      <c r="C2135" s="129" t="s">
        <v>95</v>
      </c>
      <c r="D2135">
        <v>1.0900000000000001</v>
      </c>
      <c r="E2135">
        <v>10.9001</v>
      </c>
      <c r="F2135">
        <v>1E-4</v>
      </c>
      <c r="G2135" s="129" t="s">
        <v>147</v>
      </c>
      <c r="H2135" s="129" t="s">
        <v>147</v>
      </c>
      <c r="I2135">
        <v>0</v>
      </c>
      <c r="J2135">
        <v>0</v>
      </c>
      <c r="K2135" s="129" t="s">
        <v>1962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s="129" t="s">
        <v>2256</v>
      </c>
      <c r="B2136" s="129" t="s">
        <v>51</v>
      </c>
      <c r="C2136" s="129" t="s">
        <v>95</v>
      </c>
      <c r="D2136">
        <v>0</v>
      </c>
      <c r="E2136">
        <v>1.090001E-4</v>
      </c>
      <c r="F2136">
        <v>1E-3</v>
      </c>
      <c r="G2136" s="129" t="s">
        <v>147</v>
      </c>
      <c r="H2136" s="129" t="s">
        <v>147</v>
      </c>
      <c r="I2136">
        <v>0</v>
      </c>
      <c r="J2136">
        <v>0</v>
      </c>
      <c r="K2136" s="129" t="s">
        <v>1962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s="129" t="s">
        <v>548</v>
      </c>
      <c r="B2137" s="129" t="s">
        <v>51</v>
      </c>
      <c r="C2137" s="129" t="s">
        <v>95</v>
      </c>
      <c r="D2137">
        <v>1.09E-3</v>
      </c>
      <c r="E2137">
        <v>1.0900099999999999E-2</v>
      </c>
      <c r="F2137">
        <v>1E-3</v>
      </c>
      <c r="G2137" s="129" t="s">
        <v>147</v>
      </c>
      <c r="H2137" s="129" t="s">
        <v>147</v>
      </c>
      <c r="I2137">
        <v>0</v>
      </c>
      <c r="J2137">
        <v>0</v>
      </c>
      <c r="K2137" s="129" t="s">
        <v>1962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s="129" t="s">
        <v>2263</v>
      </c>
      <c r="B2138" s="129" t="s">
        <v>51</v>
      </c>
      <c r="C2138" s="129" t="s">
        <v>95</v>
      </c>
      <c r="D2138">
        <v>1.09E-2</v>
      </c>
      <c r="E2138">
        <v>0.1090001</v>
      </c>
      <c r="F2138">
        <v>1E-3</v>
      </c>
      <c r="G2138" s="129" t="s">
        <v>147</v>
      </c>
      <c r="H2138" s="129" t="s">
        <v>147</v>
      </c>
      <c r="I2138">
        <v>0</v>
      </c>
      <c r="J2138">
        <v>0</v>
      </c>
      <c r="K2138" s="129" t="s">
        <v>1962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s="129" t="s">
        <v>553</v>
      </c>
      <c r="B2139" s="129" t="s">
        <v>51</v>
      </c>
      <c r="C2139" s="129" t="s">
        <v>95</v>
      </c>
      <c r="D2139">
        <v>0.109</v>
      </c>
      <c r="E2139">
        <v>1.0901000000000001</v>
      </c>
      <c r="F2139">
        <v>1E-3</v>
      </c>
      <c r="G2139" s="129" t="s">
        <v>147</v>
      </c>
      <c r="H2139" s="129" t="s">
        <v>147</v>
      </c>
      <c r="I2139">
        <v>0</v>
      </c>
      <c r="J2139">
        <v>0</v>
      </c>
      <c r="K2139" s="129" t="s">
        <v>1962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s="129" t="s">
        <v>556</v>
      </c>
      <c r="B2140" s="129" t="s">
        <v>51</v>
      </c>
      <c r="C2140" s="129" t="s">
        <v>95</v>
      </c>
      <c r="D2140">
        <v>1.0900000000000001</v>
      </c>
      <c r="E2140">
        <v>10.9001</v>
      </c>
      <c r="F2140">
        <v>1E-3</v>
      </c>
      <c r="G2140" s="129" t="s">
        <v>147</v>
      </c>
      <c r="H2140" s="129" t="s">
        <v>147</v>
      </c>
      <c r="I2140">
        <v>0</v>
      </c>
      <c r="J2140">
        <v>0</v>
      </c>
      <c r="K2140" s="129" t="s">
        <v>1962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s="129" t="s">
        <v>2267</v>
      </c>
      <c r="B2141" s="129" t="s">
        <v>51</v>
      </c>
      <c r="C2141" s="129" t="s">
        <v>95</v>
      </c>
      <c r="D2141">
        <v>10.9</v>
      </c>
      <c r="E2141">
        <v>109.0001</v>
      </c>
      <c r="F2141">
        <v>1E-3</v>
      </c>
      <c r="G2141" s="129" t="s">
        <v>147</v>
      </c>
      <c r="H2141" s="129" t="s">
        <v>147</v>
      </c>
      <c r="I2141">
        <v>0</v>
      </c>
      <c r="J2141">
        <v>0</v>
      </c>
      <c r="K2141" s="129" t="s">
        <v>1962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s="129" t="s">
        <v>563</v>
      </c>
      <c r="B2142" s="129" t="s">
        <v>51</v>
      </c>
      <c r="C2142" s="129" t="s">
        <v>95</v>
      </c>
      <c r="D2142">
        <v>109</v>
      </c>
      <c r="E2142">
        <v>330.00009999999997</v>
      </c>
      <c r="F2142">
        <v>1E-3</v>
      </c>
      <c r="G2142" s="129" t="s">
        <v>147</v>
      </c>
      <c r="H2142" s="129" t="s">
        <v>147</v>
      </c>
      <c r="I2142">
        <v>0</v>
      </c>
      <c r="J2142">
        <v>0</v>
      </c>
      <c r="K2142" s="129" t="s">
        <v>1962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s="129" t="s">
        <v>2257</v>
      </c>
      <c r="B2143" s="129" t="s">
        <v>51</v>
      </c>
      <c r="C2143" s="129" t="s">
        <v>95</v>
      </c>
      <c r="D2143">
        <v>0</v>
      </c>
      <c r="E2143">
        <v>1.090001E-4</v>
      </c>
      <c r="F2143">
        <v>0.01</v>
      </c>
      <c r="G2143" s="129" t="s">
        <v>147</v>
      </c>
      <c r="H2143" s="129" t="s">
        <v>147</v>
      </c>
      <c r="I2143">
        <v>0</v>
      </c>
      <c r="J2143">
        <v>0</v>
      </c>
      <c r="K2143" s="129" t="s">
        <v>1962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s="129" t="s">
        <v>2264</v>
      </c>
      <c r="B2144" s="129" t="s">
        <v>51</v>
      </c>
      <c r="C2144" s="129" t="s">
        <v>95</v>
      </c>
      <c r="D2144">
        <v>1.09E-2</v>
      </c>
      <c r="E2144">
        <v>0.1090001</v>
      </c>
      <c r="F2144">
        <v>0.01</v>
      </c>
      <c r="G2144" s="129" t="s">
        <v>147</v>
      </c>
      <c r="H2144" s="129" t="s">
        <v>147</v>
      </c>
      <c r="I2144">
        <v>0</v>
      </c>
      <c r="J2144">
        <v>0</v>
      </c>
      <c r="K2144" s="129" t="s">
        <v>1962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s="129" t="s">
        <v>2266</v>
      </c>
      <c r="B2145" s="129" t="s">
        <v>51</v>
      </c>
      <c r="C2145" s="129" t="s">
        <v>95</v>
      </c>
      <c r="D2145">
        <v>0.109</v>
      </c>
      <c r="E2145">
        <v>1.0901000000000001</v>
      </c>
      <c r="F2145">
        <v>0.01</v>
      </c>
      <c r="G2145" s="129" t="s">
        <v>147</v>
      </c>
      <c r="H2145" s="129" t="s">
        <v>147</v>
      </c>
      <c r="I2145">
        <v>0</v>
      </c>
      <c r="J2145">
        <v>0</v>
      </c>
      <c r="K2145" s="129" t="s">
        <v>1962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s="129" t="s">
        <v>557</v>
      </c>
      <c r="B2146" s="129" t="s">
        <v>51</v>
      </c>
      <c r="C2146" s="129" t="s">
        <v>95</v>
      </c>
      <c r="D2146">
        <v>1.0900000000000001</v>
      </c>
      <c r="E2146">
        <v>10.9001</v>
      </c>
      <c r="F2146">
        <v>0.01</v>
      </c>
      <c r="G2146" s="129" t="s">
        <v>147</v>
      </c>
      <c r="H2146" s="129" t="s">
        <v>147</v>
      </c>
      <c r="I2146">
        <v>0</v>
      </c>
      <c r="J2146">
        <v>0</v>
      </c>
      <c r="K2146" s="129" t="s">
        <v>1962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s="129" t="s">
        <v>560</v>
      </c>
      <c r="B2147" s="129" t="s">
        <v>51</v>
      </c>
      <c r="C2147" s="129" t="s">
        <v>95</v>
      </c>
      <c r="D2147">
        <v>10.9</v>
      </c>
      <c r="E2147">
        <v>109.0001</v>
      </c>
      <c r="F2147">
        <v>0.01</v>
      </c>
      <c r="G2147" s="129" t="s">
        <v>147</v>
      </c>
      <c r="H2147" s="129" t="s">
        <v>147</v>
      </c>
      <c r="I2147">
        <v>0</v>
      </c>
      <c r="J2147">
        <v>0</v>
      </c>
      <c r="K2147" s="129" t="s">
        <v>1962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s="129" t="s">
        <v>564</v>
      </c>
      <c r="B2148" s="129" t="s">
        <v>51</v>
      </c>
      <c r="C2148" s="129" t="s">
        <v>95</v>
      </c>
      <c r="D2148">
        <v>109</v>
      </c>
      <c r="E2148">
        <v>330.00009999999997</v>
      </c>
      <c r="F2148">
        <v>0.01</v>
      </c>
      <c r="G2148" s="129" t="s">
        <v>147</v>
      </c>
      <c r="H2148" s="129" t="s">
        <v>147</v>
      </c>
      <c r="I2148">
        <v>0</v>
      </c>
      <c r="J2148">
        <v>0</v>
      </c>
      <c r="K2148" s="129" t="s">
        <v>1962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s="129" t="s">
        <v>2271</v>
      </c>
      <c r="B2149" s="129" t="s">
        <v>51</v>
      </c>
      <c r="C2149" s="129" t="s">
        <v>95</v>
      </c>
      <c r="D2149">
        <v>330</v>
      </c>
      <c r="E2149">
        <v>3000.0001000000002</v>
      </c>
      <c r="F2149">
        <v>0.01</v>
      </c>
      <c r="G2149" s="129" t="s">
        <v>147</v>
      </c>
      <c r="H2149" s="129" t="s">
        <v>147</v>
      </c>
      <c r="I2149">
        <v>0</v>
      </c>
      <c r="J2149">
        <v>0</v>
      </c>
      <c r="K2149" s="129" t="s">
        <v>1962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s="129" t="s">
        <v>554</v>
      </c>
      <c r="B2150" s="129" t="s">
        <v>51</v>
      </c>
      <c r="C2150" s="129" t="s">
        <v>95</v>
      </c>
      <c r="D2150">
        <v>0.109</v>
      </c>
      <c r="E2150">
        <v>1.0901000000000001</v>
      </c>
      <c r="F2150">
        <v>0.1</v>
      </c>
      <c r="G2150" s="129" t="s">
        <v>147</v>
      </c>
      <c r="H2150" s="129" t="s">
        <v>147</v>
      </c>
      <c r="I2150">
        <v>0</v>
      </c>
      <c r="J2150">
        <v>0</v>
      </c>
      <c r="K2150" s="129" t="s">
        <v>1962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s="129" t="s">
        <v>558</v>
      </c>
      <c r="B2151" s="129" t="s">
        <v>51</v>
      </c>
      <c r="C2151" s="129" t="s">
        <v>95</v>
      </c>
      <c r="D2151">
        <v>1.0900000000000001</v>
      </c>
      <c r="E2151">
        <v>10.9001</v>
      </c>
      <c r="F2151">
        <v>0.1</v>
      </c>
      <c r="G2151" s="129" t="s">
        <v>147</v>
      </c>
      <c r="H2151" s="129" t="s">
        <v>147</v>
      </c>
      <c r="I2151">
        <v>0</v>
      </c>
      <c r="J2151">
        <v>0</v>
      </c>
      <c r="K2151" s="129" t="s">
        <v>1962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s="129" t="s">
        <v>561</v>
      </c>
      <c r="B2152" s="129" t="s">
        <v>51</v>
      </c>
      <c r="C2152" s="129" t="s">
        <v>95</v>
      </c>
      <c r="D2152">
        <v>10.9</v>
      </c>
      <c r="E2152">
        <v>109.0001</v>
      </c>
      <c r="F2152">
        <v>0.1</v>
      </c>
      <c r="G2152" s="129" t="s">
        <v>147</v>
      </c>
      <c r="H2152" s="129" t="s">
        <v>147</v>
      </c>
      <c r="I2152">
        <v>0</v>
      </c>
      <c r="J2152">
        <v>0</v>
      </c>
      <c r="K2152" s="129" t="s">
        <v>1962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s="129" t="s">
        <v>2269</v>
      </c>
      <c r="B2153" s="129" t="s">
        <v>51</v>
      </c>
      <c r="C2153" s="129" t="s">
        <v>95</v>
      </c>
      <c r="D2153">
        <v>109</v>
      </c>
      <c r="E2153">
        <v>330.00009999999997</v>
      </c>
      <c r="F2153">
        <v>0.1</v>
      </c>
      <c r="G2153" s="129" t="s">
        <v>147</v>
      </c>
      <c r="H2153" s="129" t="s">
        <v>147</v>
      </c>
      <c r="I2153">
        <v>0</v>
      </c>
      <c r="J2153">
        <v>0</v>
      </c>
      <c r="K2153" s="129" t="s">
        <v>1962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s="129" t="s">
        <v>2272</v>
      </c>
      <c r="B2154" s="129" t="s">
        <v>51</v>
      </c>
      <c r="C2154" s="129" t="s">
        <v>95</v>
      </c>
      <c r="D2154">
        <v>330</v>
      </c>
      <c r="E2154">
        <v>3000.0001000000002</v>
      </c>
      <c r="F2154">
        <v>0.1</v>
      </c>
      <c r="G2154" s="129" t="s">
        <v>147</v>
      </c>
      <c r="H2154" s="129" t="s">
        <v>147</v>
      </c>
      <c r="I2154">
        <v>0</v>
      </c>
      <c r="J2154">
        <v>0</v>
      </c>
      <c r="K2154" s="129" t="s">
        <v>1962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s="129" t="s">
        <v>559</v>
      </c>
      <c r="B2155" s="129" t="s">
        <v>51</v>
      </c>
      <c r="C2155" s="129" t="s">
        <v>95</v>
      </c>
      <c r="D2155">
        <v>1.0900000000000001</v>
      </c>
      <c r="E2155">
        <v>10.9001</v>
      </c>
      <c r="F2155">
        <v>1</v>
      </c>
      <c r="G2155" s="129" t="s">
        <v>147</v>
      </c>
      <c r="H2155" s="129" t="s">
        <v>147</v>
      </c>
      <c r="I2155">
        <v>0</v>
      </c>
      <c r="J2155">
        <v>0</v>
      </c>
      <c r="K2155" s="129" t="s">
        <v>1962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s="129" t="s">
        <v>2268</v>
      </c>
      <c r="B2156" s="129" t="s">
        <v>51</v>
      </c>
      <c r="C2156" s="129" t="s">
        <v>95</v>
      </c>
      <c r="D2156">
        <v>10.9</v>
      </c>
      <c r="E2156">
        <v>109.0001</v>
      </c>
      <c r="F2156">
        <v>1</v>
      </c>
      <c r="G2156" s="129" t="s">
        <v>147</v>
      </c>
      <c r="H2156" s="129" t="s">
        <v>147</v>
      </c>
      <c r="I2156">
        <v>0</v>
      </c>
      <c r="J2156">
        <v>0</v>
      </c>
      <c r="K2156" s="129" t="s">
        <v>1962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s="129" t="s">
        <v>2270</v>
      </c>
      <c r="B2157" s="129" t="s">
        <v>51</v>
      </c>
      <c r="C2157" s="129" t="s">
        <v>95</v>
      </c>
      <c r="D2157">
        <v>109</v>
      </c>
      <c r="E2157">
        <v>330.00009999999997</v>
      </c>
      <c r="F2157">
        <v>1</v>
      </c>
      <c r="G2157" s="129" t="s">
        <v>147</v>
      </c>
      <c r="H2157" s="129" t="s">
        <v>147</v>
      </c>
      <c r="I2157">
        <v>0</v>
      </c>
      <c r="J2157">
        <v>0</v>
      </c>
      <c r="K2157" s="129" t="s">
        <v>1962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s="129" t="s">
        <v>566</v>
      </c>
      <c r="B2158" s="129" t="s">
        <v>51</v>
      </c>
      <c r="C2158" s="129" t="s">
        <v>95</v>
      </c>
      <c r="D2158">
        <v>330</v>
      </c>
      <c r="E2158">
        <v>3000.0001000000002</v>
      </c>
      <c r="F2158">
        <v>1</v>
      </c>
      <c r="G2158" s="129" t="s">
        <v>147</v>
      </c>
      <c r="H2158" s="129" t="s">
        <v>147</v>
      </c>
      <c r="I2158">
        <v>0</v>
      </c>
      <c r="J2158">
        <v>0</v>
      </c>
      <c r="K2158" s="129" t="s">
        <v>1962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s="129" t="s">
        <v>562</v>
      </c>
      <c r="B2159" s="129" t="s">
        <v>51</v>
      </c>
      <c r="C2159" s="129" t="s">
        <v>95</v>
      </c>
      <c r="D2159">
        <v>10.9</v>
      </c>
      <c r="E2159">
        <v>109.0001</v>
      </c>
      <c r="F2159">
        <v>10</v>
      </c>
      <c r="G2159" s="129" t="s">
        <v>147</v>
      </c>
      <c r="H2159" s="129" t="s">
        <v>147</v>
      </c>
      <c r="I2159">
        <v>0</v>
      </c>
      <c r="J2159">
        <v>0</v>
      </c>
      <c r="K2159" s="129" t="s">
        <v>1962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s="129" t="s">
        <v>565</v>
      </c>
      <c r="B2160" s="129" t="s">
        <v>51</v>
      </c>
      <c r="C2160" s="129" t="s">
        <v>95</v>
      </c>
      <c r="D2160">
        <v>109</v>
      </c>
      <c r="E2160">
        <v>330.00009999999997</v>
      </c>
      <c r="F2160">
        <v>10</v>
      </c>
      <c r="G2160" s="129" t="s">
        <v>147</v>
      </c>
      <c r="H2160" s="129" t="s">
        <v>147</v>
      </c>
      <c r="I2160">
        <v>0</v>
      </c>
      <c r="J2160">
        <v>0</v>
      </c>
      <c r="K2160" s="129" t="s">
        <v>1962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s="129" t="s">
        <v>567</v>
      </c>
      <c r="B2161" s="129" t="s">
        <v>51</v>
      </c>
      <c r="C2161" s="129" t="s">
        <v>95</v>
      </c>
      <c r="D2161">
        <v>330</v>
      </c>
      <c r="E2161">
        <v>3000.0001000000002</v>
      </c>
      <c r="F2161">
        <v>10</v>
      </c>
      <c r="G2161" s="129" t="s">
        <v>147</v>
      </c>
      <c r="H2161" s="129" t="s">
        <v>147</v>
      </c>
      <c r="I2161">
        <v>0</v>
      </c>
      <c r="J2161">
        <v>0</v>
      </c>
      <c r="K2161" s="129" t="s">
        <v>1962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s="129" t="s">
        <v>569</v>
      </c>
      <c r="B2162" s="129" t="s">
        <v>51</v>
      </c>
      <c r="C2162" s="129" t="s">
        <v>95</v>
      </c>
      <c r="D2162">
        <v>3000</v>
      </c>
      <c r="E2162">
        <v>11000.1</v>
      </c>
      <c r="F2162">
        <v>10</v>
      </c>
      <c r="G2162" s="129" t="s">
        <v>147</v>
      </c>
      <c r="H2162" s="129" t="s">
        <v>147</v>
      </c>
      <c r="I2162">
        <v>0</v>
      </c>
      <c r="J2162">
        <v>0</v>
      </c>
      <c r="K2162" s="129" t="s">
        <v>1962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s="129" t="s">
        <v>573</v>
      </c>
      <c r="B2163" s="129" t="s">
        <v>51</v>
      </c>
      <c r="C2163" s="129" t="s">
        <v>95</v>
      </c>
      <c r="D2163">
        <v>11000</v>
      </c>
      <c r="E2163">
        <v>24500</v>
      </c>
      <c r="F2163">
        <v>10</v>
      </c>
      <c r="G2163" s="129" t="s">
        <v>147</v>
      </c>
      <c r="H2163" s="129" t="s">
        <v>147</v>
      </c>
      <c r="I2163">
        <v>0</v>
      </c>
      <c r="J2163">
        <v>0</v>
      </c>
      <c r="K2163" s="129" t="s">
        <v>1962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s="129" t="s">
        <v>2276</v>
      </c>
      <c r="B2164" s="129" t="s">
        <v>51</v>
      </c>
      <c r="C2164" s="129" t="s">
        <v>95</v>
      </c>
      <c r="D2164">
        <v>24500</v>
      </c>
      <c r="E2164">
        <v>24501</v>
      </c>
      <c r="F2164">
        <v>10</v>
      </c>
      <c r="G2164" s="129" t="s">
        <v>97</v>
      </c>
      <c r="H2164" s="129" t="s">
        <v>97</v>
      </c>
      <c r="I2164">
        <v>0</v>
      </c>
      <c r="J2164">
        <v>0</v>
      </c>
      <c r="K2164" s="129" t="s">
        <v>1962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s="129" t="s">
        <v>568</v>
      </c>
      <c r="B2165" s="129" t="s">
        <v>51</v>
      </c>
      <c r="C2165" s="129" t="s">
        <v>95</v>
      </c>
      <c r="D2165">
        <v>330</v>
      </c>
      <c r="E2165">
        <v>3000.0001000000002</v>
      </c>
      <c r="F2165">
        <v>100</v>
      </c>
      <c r="G2165" s="129" t="s">
        <v>147</v>
      </c>
      <c r="H2165" s="129" t="s">
        <v>147</v>
      </c>
      <c r="I2165">
        <v>0</v>
      </c>
      <c r="J2165">
        <v>0</v>
      </c>
      <c r="K2165" s="129" t="s">
        <v>1962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s="129" t="s">
        <v>570</v>
      </c>
      <c r="B2166" s="129" t="s">
        <v>51</v>
      </c>
      <c r="C2166" s="129" t="s">
        <v>95</v>
      </c>
      <c r="D2166">
        <v>3000</v>
      </c>
      <c r="E2166">
        <v>11000.1</v>
      </c>
      <c r="F2166">
        <v>100</v>
      </c>
      <c r="G2166" s="129" t="s">
        <v>147</v>
      </c>
      <c r="H2166" s="129" t="s">
        <v>147</v>
      </c>
      <c r="I2166">
        <v>0</v>
      </c>
      <c r="J2166">
        <v>0</v>
      </c>
      <c r="K2166" s="129" t="s">
        <v>1962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s="129" t="s">
        <v>2274</v>
      </c>
      <c r="B2167" s="129" t="s">
        <v>51</v>
      </c>
      <c r="C2167" s="129" t="s">
        <v>95</v>
      </c>
      <c r="D2167">
        <v>11000</v>
      </c>
      <c r="E2167">
        <v>24500</v>
      </c>
      <c r="F2167">
        <v>100</v>
      </c>
      <c r="G2167" s="129" t="s">
        <v>147</v>
      </c>
      <c r="H2167" s="129" t="s">
        <v>147</v>
      </c>
      <c r="I2167">
        <v>0</v>
      </c>
      <c r="J2167">
        <v>0</v>
      </c>
      <c r="K2167" s="129" t="s">
        <v>1962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s="129" t="s">
        <v>2277</v>
      </c>
      <c r="B2168" s="129" t="s">
        <v>51</v>
      </c>
      <c r="C2168" s="129" t="s">
        <v>95</v>
      </c>
      <c r="D2168">
        <v>24500</v>
      </c>
      <c r="E2168">
        <v>24501</v>
      </c>
      <c r="F2168">
        <v>100</v>
      </c>
      <c r="G2168" s="129" t="s">
        <v>97</v>
      </c>
      <c r="H2168" s="129" t="s">
        <v>97</v>
      </c>
      <c r="I2168">
        <v>0</v>
      </c>
      <c r="J2168">
        <v>0</v>
      </c>
      <c r="K2168" s="129" t="s">
        <v>1962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s="129" t="s">
        <v>571</v>
      </c>
      <c r="B2169" s="129" t="s">
        <v>51</v>
      </c>
      <c r="C2169" s="129" t="s">
        <v>95</v>
      </c>
      <c r="D2169">
        <v>3000</v>
      </c>
      <c r="E2169">
        <v>11000.1</v>
      </c>
      <c r="F2169">
        <v>1000</v>
      </c>
      <c r="G2169" s="129" t="s">
        <v>147</v>
      </c>
      <c r="H2169" s="129" t="s">
        <v>147</v>
      </c>
      <c r="I2169">
        <v>0</v>
      </c>
      <c r="J2169">
        <v>0</v>
      </c>
      <c r="K2169" s="129" t="s">
        <v>1962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s="129" t="s">
        <v>574</v>
      </c>
      <c r="B2170" s="129" t="s">
        <v>51</v>
      </c>
      <c r="C2170" s="129" t="s">
        <v>95</v>
      </c>
      <c r="D2170">
        <v>11000</v>
      </c>
      <c r="E2170">
        <v>24500</v>
      </c>
      <c r="F2170">
        <v>1000</v>
      </c>
      <c r="G2170" s="129" t="s">
        <v>147</v>
      </c>
      <c r="H2170" s="129" t="s">
        <v>147</v>
      </c>
      <c r="I2170">
        <v>0</v>
      </c>
      <c r="J2170">
        <v>0</v>
      </c>
      <c r="K2170" s="129" t="s">
        <v>1962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s="129" t="s">
        <v>2278</v>
      </c>
      <c r="B2171" s="129" t="s">
        <v>51</v>
      </c>
      <c r="C2171" s="129" t="s">
        <v>95</v>
      </c>
      <c r="D2171">
        <v>24500</v>
      </c>
      <c r="E2171">
        <v>24501</v>
      </c>
      <c r="F2171">
        <v>1000</v>
      </c>
      <c r="G2171" s="129" t="s">
        <v>97</v>
      </c>
      <c r="H2171" s="129" t="s">
        <v>97</v>
      </c>
      <c r="I2171">
        <v>0</v>
      </c>
      <c r="J2171">
        <v>0</v>
      </c>
      <c r="K2171" s="129" t="s">
        <v>1962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s="129" t="s">
        <v>572</v>
      </c>
      <c r="B2172" s="129" t="s">
        <v>51</v>
      </c>
      <c r="C2172" s="129" t="s">
        <v>95</v>
      </c>
      <c r="D2172">
        <v>3000</v>
      </c>
      <c r="E2172">
        <v>11000.1</v>
      </c>
      <c r="F2172">
        <v>10000</v>
      </c>
      <c r="G2172" s="129" t="s">
        <v>147</v>
      </c>
      <c r="H2172" s="129" t="s">
        <v>147</v>
      </c>
      <c r="I2172">
        <v>0</v>
      </c>
      <c r="J2172">
        <v>0</v>
      </c>
      <c r="K2172" s="129" t="s">
        <v>1962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s="129" t="s">
        <v>575</v>
      </c>
      <c r="B2173" s="129" t="s">
        <v>51</v>
      </c>
      <c r="C2173" s="129" t="s">
        <v>95</v>
      </c>
      <c r="D2173">
        <v>11000</v>
      </c>
      <c r="E2173">
        <v>24500</v>
      </c>
      <c r="F2173">
        <v>10000</v>
      </c>
      <c r="G2173" s="129" t="s">
        <v>147</v>
      </c>
      <c r="H2173" s="129" t="s">
        <v>147</v>
      </c>
      <c r="I2173">
        <v>0</v>
      </c>
      <c r="J2173">
        <v>0</v>
      </c>
      <c r="K2173" s="129" t="s">
        <v>1962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s="129" t="s">
        <v>2279</v>
      </c>
      <c r="B2174" s="129" t="s">
        <v>51</v>
      </c>
      <c r="C2174" s="129" t="s">
        <v>95</v>
      </c>
      <c r="D2174">
        <v>24500</v>
      </c>
      <c r="E2174">
        <v>24501</v>
      </c>
      <c r="F2174">
        <v>10000</v>
      </c>
      <c r="G2174" s="129" t="s">
        <v>97</v>
      </c>
      <c r="H2174" s="129" t="s">
        <v>97</v>
      </c>
      <c r="I2174">
        <v>0</v>
      </c>
      <c r="J2174">
        <v>0</v>
      </c>
      <c r="K2174" s="129" t="s">
        <v>1962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s="129" t="s">
        <v>2273</v>
      </c>
      <c r="B2175" s="129" t="s">
        <v>51</v>
      </c>
      <c r="C2175" s="129" t="s">
        <v>95</v>
      </c>
      <c r="D2175">
        <v>3000</v>
      </c>
      <c r="E2175">
        <v>11000.1</v>
      </c>
      <c r="F2175">
        <v>100000</v>
      </c>
      <c r="G2175" s="129" t="s">
        <v>147</v>
      </c>
      <c r="H2175" s="129" t="s">
        <v>147</v>
      </c>
      <c r="I2175">
        <v>0</v>
      </c>
      <c r="J2175">
        <v>0</v>
      </c>
      <c r="K2175" s="129" t="s">
        <v>1962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s="129" t="s">
        <v>2275</v>
      </c>
      <c r="B2176" s="129" t="s">
        <v>51</v>
      </c>
      <c r="C2176" s="129" t="s">
        <v>95</v>
      </c>
      <c r="D2176">
        <v>11000</v>
      </c>
      <c r="E2176">
        <v>24500</v>
      </c>
      <c r="F2176">
        <v>100000</v>
      </c>
      <c r="G2176" s="129" t="s">
        <v>147</v>
      </c>
      <c r="H2176" s="129" t="s">
        <v>147</v>
      </c>
      <c r="I2176">
        <v>0</v>
      </c>
      <c r="J2176">
        <v>0</v>
      </c>
      <c r="K2176" s="129" t="s">
        <v>1962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s="129" t="s">
        <v>2280</v>
      </c>
      <c r="B2177" s="129" t="s">
        <v>51</v>
      </c>
      <c r="C2177" s="129" t="s">
        <v>95</v>
      </c>
      <c r="D2177">
        <v>24500</v>
      </c>
      <c r="E2177">
        <v>24501</v>
      </c>
      <c r="F2177">
        <v>100000</v>
      </c>
      <c r="G2177" s="129" t="s">
        <v>97</v>
      </c>
      <c r="H2177" s="129" t="s">
        <v>97</v>
      </c>
      <c r="I2177">
        <v>0</v>
      </c>
      <c r="J2177">
        <v>0</v>
      </c>
      <c r="K2177" s="129" t="s">
        <v>1962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s="129" t="s">
        <v>2219</v>
      </c>
      <c r="B2178" s="129" t="s">
        <v>51</v>
      </c>
      <c r="C2178" s="129" t="s">
        <v>77</v>
      </c>
      <c r="D2178">
        <v>-418</v>
      </c>
      <c r="E2178">
        <v>-147.9</v>
      </c>
      <c r="F2178">
        <v>0.1</v>
      </c>
      <c r="G2178" s="129" t="s">
        <v>26</v>
      </c>
      <c r="H2178" s="129" t="s">
        <v>26</v>
      </c>
      <c r="I2178">
        <v>0</v>
      </c>
      <c r="J2178">
        <v>0</v>
      </c>
      <c r="K2178" s="129" t="s">
        <v>1962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s="129" t="s">
        <v>536</v>
      </c>
      <c r="B2179" s="129" t="s">
        <v>51</v>
      </c>
      <c r="C2179" s="129" t="s">
        <v>77</v>
      </c>
      <c r="D2179">
        <v>-148</v>
      </c>
      <c r="E2179">
        <v>-12.9</v>
      </c>
      <c r="F2179">
        <v>0.1</v>
      </c>
      <c r="G2179" s="129" t="s">
        <v>26</v>
      </c>
      <c r="H2179" s="129" t="s">
        <v>26</v>
      </c>
      <c r="I2179">
        <v>0</v>
      </c>
      <c r="J2179">
        <v>0</v>
      </c>
      <c r="K2179" s="129" t="s">
        <v>1962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s="129" t="s">
        <v>538</v>
      </c>
      <c r="B2180" s="129" t="s">
        <v>51</v>
      </c>
      <c r="C2180" s="129" t="s">
        <v>77</v>
      </c>
      <c r="D2180">
        <v>-13</v>
      </c>
      <c r="E2180">
        <v>662.1</v>
      </c>
      <c r="F2180">
        <v>0.1</v>
      </c>
      <c r="G2180" s="129" t="s">
        <v>26</v>
      </c>
      <c r="H2180" s="129" t="s">
        <v>26</v>
      </c>
      <c r="I2180">
        <v>0</v>
      </c>
      <c r="J2180">
        <v>0</v>
      </c>
      <c r="K2180" s="129" t="s">
        <v>1962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s="129" t="s">
        <v>539</v>
      </c>
      <c r="B2181" s="129" t="s">
        <v>51</v>
      </c>
      <c r="C2181" s="129" t="s">
        <v>77</v>
      </c>
      <c r="D2181">
        <v>662</v>
      </c>
      <c r="E2181">
        <v>1202.0999999999999</v>
      </c>
      <c r="F2181">
        <v>0.1</v>
      </c>
      <c r="G2181" s="129" t="s">
        <v>26</v>
      </c>
      <c r="H2181" s="129" t="s">
        <v>26</v>
      </c>
      <c r="I2181">
        <v>0</v>
      </c>
      <c r="J2181">
        <v>0</v>
      </c>
      <c r="K2181" s="129" t="s">
        <v>1962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s="129" t="s">
        <v>541</v>
      </c>
      <c r="B2182" s="129" t="s">
        <v>51</v>
      </c>
      <c r="C2182" s="129" t="s">
        <v>77</v>
      </c>
      <c r="D2182">
        <v>1202</v>
      </c>
      <c r="E2182">
        <v>1832</v>
      </c>
      <c r="F2182">
        <v>0.1</v>
      </c>
      <c r="G2182" s="129" t="s">
        <v>26</v>
      </c>
      <c r="H2182" s="129" t="s">
        <v>26</v>
      </c>
      <c r="I2182">
        <v>0</v>
      </c>
      <c r="J2182">
        <v>0</v>
      </c>
      <c r="K2182" s="129" t="s">
        <v>1962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s="129" t="s">
        <v>2220</v>
      </c>
      <c r="B2183" s="129" t="s">
        <v>51</v>
      </c>
      <c r="C2183" s="129" t="s">
        <v>77</v>
      </c>
      <c r="D2183">
        <v>1832</v>
      </c>
      <c r="E2183">
        <v>1832.1</v>
      </c>
      <c r="F2183">
        <v>0.1</v>
      </c>
      <c r="G2183" s="129" t="s">
        <v>26</v>
      </c>
      <c r="H2183" s="129" t="s">
        <v>26</v>
      </c>
      <c r="I2183">
        <v>0</v>
      </c>
      <c r="J2183">
        <v>0</v>
      </c>
      <c r="K2183" s="129" t="s">
        <v>1962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s="129" t="s">
        <v>535</v>
      </c>
      <c r="B2184" s="129" t="s">
        <v>51</v>
      </c>
      <c r="C2184" s="129" t="s">
        <v>77</v>
      </c>
      <c r="D2184">
        <v>-418</v>
      </c>
      <c r="E2184">
        <v>-147.9</v>
      </c>
      <c r="F2184">
        <v>1</v>
      </c>
      <c r="G2184" s="129" t="s">
        <v>26</v>
      </c>
      <c r="H2184" s="129" t="s">
        <v>26</v>
      </c>
      <c r="I2184">
        <v>0</v>
      </c>
      <c r="J2184">
        <v>0</v>
      </c>
      <c r="K2184" s="129" t="s">
        <v>1962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s="129" t="s">
        <v>537</v>
      </c>
      <c r="B2185" s="129" t="s">
        <v>51</v>
      </c>
      <c r="C2185" s="129" t="s">
        <v>77</v>
      </c>
      <c r="D2185">
        <v>-148</v>
      </c>
      <c r="E2185">
        <v>-12.9</v>
      </c>
      <c r="F2185">
        <v>1</v>
      </c>
      <c r="G2185" s="129" t="s">
        <v>26</v>
      </c>
      <c r="H2185" s="129" t="s">
        <v>26</v>
      </c>
      <c r="I2185">
        <v>0</v>
      </c>
      <c r="J2185">
        <v>0</v>
      </c>
      <c r="K2185" s="129" t="s">
        <v>1962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s="129" t="s">
        <v>2221</v>
      </c>
      <c r="B2186" s="129" t="s">
        <v>51</v>
      </c>
      <c r="C2186" s="129" t="s">
        <v>77</v>
      </c>
      <c r="D2186">
        <v>-13</v>
      </c>
      <c r="E2186">
        <v>662.1</v>
      </c>
      <c r="F2186">
        <v>1</v>
      </c>
      <c r="G2186" s="129" t="s">
        <v>26</v>
      </c>
      <c r="H2186" s="129" t="s">
        <v>26</v>
      </c>
      <c r="I2186">
        <v>0</v>
      </c>
      <c r="J2186">
        <v>0</v>
      </c>
      <c r="K2186" s="129" t="s">
        <v>1962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s="129" t="s">
        <v>540</v>
      </c>
      <c r="B2187" s="129" t="s">
        <v>51</v>
      </c>
      <c r="C2187" s="129" t="s">
        <v>77</v>
      </c>
      <c r="D2187">
        <v>662</v>
      </c>
      <c r="E2187">
        <v>1202.0999999999999</v>
      </c>
      <c r="F2187">
        <v>1</v>
      </c>
      <c r="G2187" s="129" t="s">
        <v>26</v>
      </c>
      <c r="H2187" s="129" t="s">
        <v>26</v>
      </c>
      <c r="I2187">
        <v>0</v>
      </c>
      <c r="J2187">
        <v>0</v>
      </c>
      <c r="K2187" s="129" t="s">
        <v>1962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s="129" t="s">
        <v>542</v>
      </c>
      <c r="B2188" s="129" t="s">
        <v>51</v>
      </c>
      <c r="C2188" s="129" t="s">
        <v>77</v>
      </c>
      <c r="D2188">
        <v>1202</v>
      </c>
      <c r="E2188">
        <v>1832</v>
      </c>
      <c r="F2188">
        <v>1</v>
      </c>
      <c r="G2188" s="129" t="s">
        <v>26</v>
      </c>
      <c r="H2188" s="129" t="s">
        <v>26</v>
      </c>
      <c r="I2188">
        <v>0</v>
      </c>
      <c r="J2188">
        <v>0</v>
      </c>
      <c r="K2188" s="129" t="s">
        <v>1962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s="129" t="s">
        <v>543</v>
      </c>
      <c r="B2189" s="129" t="s">
        <v>51</v>
      </c>
      <c r="C2189" s="129" t="s">
        <v>77</v>
      </c>
      <c r="D2189">
        <v>1832</v>
      </c>
      <c r="E2189">
        <v>1832.1</v>
      </c>
      <c r="F2189">
        <v>1</v>
      </c>
      <c r="G2189" s="129" t="s">
        <v>26</v>
      </c>
      <c r="H2189" s="129" t="s">
        <v>26</v>
      </c>
      <c r="I2189">
        <v>0</v>
      </c>
      <c r="J2189">
        <v>0</v>
      </c>
      <c r="K2189" s="129" t="s">
        <v>1962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s="129" t="s">
        <v>524</v>
      </c>
      <c r="B2190" s="129" t="s">
        <v>51</v>
      </c>
      <c r="C2190" s="129" t="s">
        <v>78</v>
      </c>
      <c r="D2190">
        <v>-346</v>
      </c>
      <c r="E2190">
        <v>-147.9</v>
      </c>
      <c r="F2190">
        <v>0.1</v>
      </c>
      <c r="G2190" s="129" t="s">
        <v>26</v>
      </c>
      <c r="H2190" s="129" t="s">
        <v>26</v>
      </c>
      <c r="I2190">
        <v>0</v>
      </c>
      <c r="J2190">
        <v>0</v>
      </c>
      <c r="K2190" s="129" t="s">
        <v>1962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s="129" t="s">
        <v>525</v>
      </c>
      <c r="B2191" s="129" t="s">
        <v>51</v>
      </c>
      <c r="C2191" s="129" t="s">
        <v>78</v>
      </c>
      <c r="D2191">
        <v>-148</v>
      </c>
      <c r="E2191">
        <v>-21.9</v>
      </c>
      <c r="F2191">
        <v>0.1</v>
      </c>
      <c r="G2191" s="129" t="s">
        <v>26</v>
      </c>
      <c r="H2191" s="129" t="s">
        <v>26</v>
      </c>
      <c r="I2191">
        <v>0</v>
      </c>
      <c r="J2191">
        <v>0</v>
      </c>
      <c r="K2191" s="129" t="s">
        <v>1962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s="129" t="s">
        <v>527</v>
      </c>
      <c r="B2192" s="129" t="s">
        <v>51</v>
      </c>
      <c r="C2192" s="129" t="s">
        <v>78</v>
      </c>
      <c r="D2192">
        <v>-22</v>
      </c>
      <c r="E2192">
        <v>302.10000000000002</v>
      </c>
      <c r="F2192">
        <v>0.1</v>
      </c>
      <c r="G2192" s="129" t="s">
        <v>26</v>
      </c>
      <c r="H2192" s="129" t="s">
        <v>26</v>
      </c>
      <c r="I2192">
        <v>0</v>
      </c>
      <c r="J2192">
        <v>0</v>
      </c>
      <c r="K2192" s="129" t="s">
        <v>1962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s="129" t="s">
        <v>529</v>
      </c>
      <c r="B2193" s="129" t="s">
        <v>51</v>
      </c>
      <c r="C2193" s="129" t="s">
        <v>78</v>
      </c>
      <c r="D2193">
        <v>302</v>
      </c>
      <c r="E2193">
        <v>1400.1</v>
      </c>
      <c r="F2193">
        <v>0.1</v>
      </c>
      <c r="G2193" s="129" t="s">
        <v>26</v>
      </c>
      <c r="H2193" s="129" t="s">
        <v>26</v>
      </c>
      <c r="I2193">
        <v>0</v>
      </c>
      <c r="J2193">
        <v>0</v>
      </c>
      <c r="K2193" s="129" t="s">
        <v>1962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s="129" t="s">
        <v>531</v>
      </c>
      <c r="B2194" s="129" t="s">
        <v>51</v>
      </c>
      <c r="C2194" s="129" t="s">
        <v>78</v>
      </c>
      <c r="D2194">
        <v>1400</v>
      </c>
      <c r="E2194">
        <v>2192</v>
      </c>
      <c r="F2194">
        <v>0.1</v>
      </c>
      <c r="G2194" s="129" t="s">
        <v>26</v>
      </c>
      <c r="H2194" s="129" t="s">
        <v>26</v>
      </c>
      <c r="I2194">
        <v>0</v>
      </c>
      <c r="J2194">
        <v>0</v>
      </c>
      <c r="K2194" s="129" t="s">
        <v>1962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s="129" t="s">
        <v>533</v>
      </c>
      <c r="B2195" s="129" t="s">
        <v>51</v>
      </c>
      <c r="C2195" s="129" t="s">
        <v>78</v>
      </c>
      <c r="D2195">
        <v>2192</v>
      </c>
      <c r="E2195">
        <v>2192.1</v>
      </c>
      <c r="F2195">
        <v>0.1</v>
      </c>
      <c r="G2195" s="129" t="s">
        <v>26</v>
      </c>
      <c r="H2195" s="129" t="s">
        <v>26</v>
      </c>
      <c r="I2195">
        <v>0</v>
      </c>
      <c r="J2195">
        <v>0</v>
      </c>
      <c r="K2195" s="129" t="s">
        <v>1962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s="129" t="s">
        <v>2222</v>
      </c>
      <c r="B2196" s="129" t="s">
        <v>51</v>
      </c>
      <c r="C2196" s="129" t="s">
        <v>78</v>
      </c>
      <c r="D2196">
        <v>-346</v>
      </c>
      <c r="E2196">
        <v>-147.9</v>
      </c>
      <c r="F2196">
        <v>1</v>
      </c>
      <c r="G2196" s="129" t="s">
        <v>26</v>
      </c>
      <c r="H2196" s="129" t="s">
        <v>26</v>
      </c>
      <c r="I2196">
        <v>0</v>
      </c>
      <c r="J2196">
        <v>0</v>
      </c>
      <c r="K2196" s="129" t="s">
        <v>1962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s="129" t="s">
        <v>526</v>
      </c>
      <c r="B2197" s="129" t="s">
        <v>51</v>
      </c>
      <c r="C2197" s="129" t="s">
        <v>78</v>
      </c>
      <c r="D2197">
        <v>-148</v>
      </c>
      <c r="E2197">
        <v>-21.9</v>
      </c>
      <c r="F2197">
        <v>1</v>
      </c>
      <c r="G2197" s="129" t="s">
        <v>26</v>
      </c>
      <c r="H2197" s="129" t="s">
        <v>26</v>
      </c>
      <c r="I2197">
        <v>0</v>
      </c>
      <c r="J2197">
        <v>0</v>
      </c>
      <c r="K2197" s="129" t="s">
        <v>1962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s="129" t="s">
        <v>528</v>
      </c>
      <c r="B2198" s="129" t="s">
        <v>51</v>
      </c>
      <c r="C2198" s="129" t="s">
        <v>78</v>
      </c>
      <c r="D2198">
        <v>-22</v>
      </c>
      <c r="E2198">
        <v>302.10000000000002</v>
      </c>
      <c r="F2198">
        <v>1</v>
      </c>
      <c r="G2198" s="129" t="s">
        <v>26</v>
      </c>
      <c r="H2198" s="129" t="s">
        <v>26</v>
      </c>
      <c r="I2198">
        <v>0</v>
      </c>
      <c r="J2198">
        <v>0</v>
      </c>
      <c r="K2198" s="129" t="s">
        <v>1962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s="129" t="s">
        <v>530</v>
      </c>
      <c r="B2199" s="129" t="s">
        <v>51</v>
      </c>
      <c r="C2199" s="129" t="s">
        <v>78</v>
      </c>
      <c r="D2199">
        <v>302</v>
      </c>
      <c r="E2199">
        <v>1400.1</v>
      </c>
      <c r="F2199">
        <v>1</v>
      </c>
      <c r="G2199" s="129" t="s">
        <v>26</v>
      </c>
      <c r="H2199" s="129" t="s">
        <v>26</v>
      </c>
      <c r="I2199">
        <v>0</v>
      </c>
      <c r="J2199">
        <v>0</v>
      </c>
      <c r="K2199" s="129" t="s">
        <v>1962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s="129" t="s">
        <v>532</v>
      </c>
      <c r="B2200" s="129" t="s">
        <v>51</v>
      </c>
      <c r="C2200" s="129" t="s">
        <v>78</v>
      </c>
      <c r="D2200">
        <v>1400</v>
      </c>
      <c r="E2200">
        <v>2192</v>
      </c>
      <c r="F2200">
        <v>1</v>
      </c>
      <c r="G2200" s="129" t="s">
        <v>26</v>
      </c>
      <c r="H2200" s="129" t="s">
        <v>26</v>
      </c>
      <c r="I2200">
        <v>0</v>
      </c>
      <c r="J2200">
        <v>0</v>
      </c>
      <c r="K2200" s="129" t="s">
        <v>1962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s="129" t="s">
        <v>534</v>
      </c>
      <c r="B2201" s="129" t="s">
        <v>51</v>
      </c>
      <c r="C2201" s="129" t="s">
        <v>78</v>
      </c>
      <c r="D2201">
        <v>2192</v>
      </c>
      <c r="E2201">
        <v>2192.1</v>
      </c>
      <c r="F2201">
        <v>1</v>
      </c>
      <c r="G2201" s="129" t="s">
        <v>26</v>
      </c>
      <c r="H2201" s="129" t="s">
        <v>26</v>
      </c>
      <c r="I2201">
        <v>0</v>
      </c>
      <c r="J2201">
        <v>0</v>
      </c>
      <c r="K2201" s="129" t="s">
        <v>1962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s="129" t="s">
        <v>516</v>
      </c>
      <c r="B2202" s="129" t="s">
        <v>51</v>
      </c>
      <c r="C2202" s="129" t="s">
        <v>79</v>
      </c>
      <c r="D2202">
        <v>-328</v>
      </c>
      <c r="E2202">
        <v>-147.9</v>
      </c>
      <c r="F2202">
        <v>0.1</v>
      </c>
      <c r="G2202" s="129" t="s">
        <v>26</v>
      </c>
      <c r="H2202" s="129" t="s">
        <v>26</v>
      </c>
      <c r="I2202">
        <v>0</v>
      </c>
      <c r="J2202">
        <v>0</v>
      </c>
      <c r="K2202" s="129" t="s">
        <v>1962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s="129" t="s">
        <v>517</v>
      </c>
      <c r="B2203" s="129" t="s">
        <v>51</v>
      </c>
      <c r="C2203" s="129" t="s">
        <v>79</v>
      </c>
      <c r="D2203">
        <v>-148</v>
      </c>
      <c r="E2203">
        <v>-12.9</v>
      </c>
      <c r="F2203">
        <v>0.1</v>
      </c>
      <c r="G2203" s="129" t="s">
        <v>26</v>
      </c>
      <c r="H2203" s="129" t="s">
        <v>26</v>
      </c>
      <c r="I2203">
        <v>0</v>
      </c>
      <c r="J2203">
        <v>0</v>
      </c>
      <c r="K2203" s="129" t="s">
        <v>1962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s="129" t="s">
        <v>2223</v>
      </c>
      <c r="B2204" s="129" t="s">
        <v>51</v>
      </c>
      <c r="C2204" s="129" t="s">
        <v>79</v>
      </c>
      <c r="D2204">
        <v>-13</v>
      </c>
      <c r="E2204">
        <v>248.1</v>
      </c>
      <c r="F2204">
        <v>0.1</v>
      </c>
      <c r="G2204" s="129" t="s">
        <v>26</v>
      </c>
      <c r="H2204" s="129" t="s">
        <v>26</v>
      </c>
      <c r="I2204">
        <v>0</v>
      </c>
      <c r="J2204">
        <v>0</v>
      </c>
      <c r="K2204" s="129" t="s">
        <v>1962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s="129" t="s">
        <v>2224</v>
      </c>
      <c r="B2205" s="129" t="s">
        <v>51</v>
      </c>
      <c r="C2205" s="129" t="s">
        <v>79</v>
      </c>
      <c r="D2205">
        <v>248</v>
      </c>
      <c r="E2205">
        <v>1832.1</v>
      </c>
      <c r="F2205">
        <v>0.1</v>
      </c>
      <c r="G2205" s="129" t="s">
        <v>26</v>
      </c>
      <c r="H2205" s="129" t="s">
        <v>26</v>
      </c>
      <c r="I2205">
        <v>0</v>
      </c>
      <c r="J2205">
        <v>0</v>
      </c>
      <c r="K2205" s="129" t="s">
        <v>1962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s="129" t="s">
        <v>520</v>
      </c>
      <c r="B2206" s="129" t="s">
        <v>51</v>
      </c>
      <c r="C2206" s="129" t="s">
        <v>79</v>
      </c>
      <c r="D2206">
        <v>1832</v>
      </c>
      <c r="E2206">
        <v>2500</v>
      </c>
      <c r="F2206">
        <v>0.1</v>
      </c>
      <c r="G2206" s="129" t="s">
        <v>26</v>
      </c>
      <c r="H2206" s="129" t="s">
        <v>26</v>
      </c>
      <c r="I2206">
        <v>0</v>
      </c>
      <c r="J2206">
        <v>0</v>
      </c>
      <c r="K2206" s="129" t="s">
        <v>1962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s="129" t="s">
        <v>522</v>
      </c>
      <c r="B2207" s="129" t="s">
        <v>51</v>
      </c>
      <c r="C2207" s="129" t="s">
        <v>79</v>
      </c>
      <c r="D2207">
        <v>2500</v>
      </c>
      <c r="E2207">
        <v>2500.1</v>
      </c>
      <c r="F2207">
        <v>0.1</v>
      </c>
      <c r="G2207" s="129" t="s">
        <v>26</v>
      </c>
      <c r="H2207" s="129" t="s">
        <v>26</v>
      </c>
      <c r="I2207">
        <v>0</v>
      </c>
      <c r="J2207">
        <v>0</v>
      </c>
      <c r="K2207" s="129" t="s">
        <v>1962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s="129" t="s">
        <v>2225</v>
      </c>
      <c r="B2208" s="129" t="s">
        <v>51</v>
      </c>
      <c r="C2208" s="129" t="s">
        <v>79</v>
      </c>
      <c r="D2208">
        <v>-328</v>
      </c>
      <c r="E2208">
        <v>-147.9</v>
      </c>
      <c r="F2208">
        <v>1</v>
      </c>
      <c r="G2208" s="129" t="s">
        <v>26</v>
      </c>
      <c r="H2208" s="129" t="s">
        <v>26</v>
      </c>
      <c r="I2208">
        <v>0</v>
      </c>
      <c r="J2208">
        <v>0</v>
      </c>
      <c r="K2208" s="129" t="s">
        <v>1962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s="129" t="s">
        <v>518</v>
      </c>
      <c r="B2209" s="129" t="s">
        <v>51</v>
      </c>
      <c r="C2209" s="129" t="s">
        <v>79</v>
      </c>
      <c r="D2209">
        <v>-148</v>
      </c>
      <c r="E2209">
        <v>-12.9</v>
      </c>
      <c r="F2209">
        <v>1</v>
      </c>
      <c r="G2209" s="129" t="s">
        <v>26</v>
      </c>
      <c r="H2209" s="129" t="s">
        <v>26</v>
      </c>
      <c r="I2209">
        <v>0</v>
      </c>
      <c r="J2209">
        <v>0</v>
      </c>
      <c r="K2209" s="129" t="s">
        <v>1962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s="129" t="s">
        <v>519</v>
      </c>
      <c r="B2210" s="129" t="s">
        <v>51</v>
      </c>
      <c r="C2210" s="129" t="s">
        <v>79</v>
      </c>
      <c r="D2210">
        <v>-13</v>
      </c>
      <c r="E2210">
        <v>248.1</v>
      </c>
      <c r="F2210">
        <v>1</v>
      </c>
      <c r="G2210" s="129" t="s">
        <v>26</v>
      </c>
      <c r="H2210" s="129" t="s">
        <v>26</v>
      </c>
      <c r="I2210">
        <v>0</v>
      </c>
      <c r="J2210">
        <v>0</v>
      </c>
      <c r="K2210" s="129" t="s">
        <v>1962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s="129" t="s">
        <v>2226</v>
      </c>
      <c r="B2211" s="129" t="s">
        <v>51</v>
      </c>
      <c r="C2211" s="129" t="s">
        <v>79</v>
      </c>
      <c r="D2211">
        <v>248</v>
      </c>
      <c r="E2211">
        <v>1832.1</v>
      </c>
      <c r="F2211">
        <v>1</v>
      </c>
      <c r="G2211" s="129" t="s">
        <v>26</v>
      </c>
      <c r="H2211" s="129" t="s">
        <v>26</v>
      </c>
      <c r="I2211">
        <v>0</v>
      </c>
      <c r="J2211">
        <v>0</v>
      </c>
      <c r="K2211" s="129" t="s">
        <v>1962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s="129" t="s">
        <v>521</v>
      </c>
      <c r="B2212" s="129" t="s">
        <v>51</v>
      </c>
      <c r="C2212" s="129" t="s">
        <v>79</v>
      </c>
      <c r="D2212">
        <v>1832</v>
      </c>
      <c r="E2212">
        <v>2500</v>
      </c>
      <c r="F2212">
        <v>1</v>
      </c>
      <c r="G2212" s="129" t="s">
        <v>26</v>
      </c>
      <c r="H2212" s="129" t="s">
        <v>26</v>
      </c>
      <c r="I2212">
        <v>0</v>
      </c>
      <c r="J2212">
        <v>0</v>
      </c>
      <c r="K2212" s="129" t="s">
        <v>1962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s="129" t="s">
        <v>523</v>
      </c>
      <c r="B2213" s="129" t="s">
        <v>51</v>
      </c>
      <c r="C2213" s="129" t="s">
        <v>79</v>
      </c>
      <c r="D2213">
        <v>2500</v>
      </c>
      <c r="E2213">
        <v>2500.1</v>
      </c>
      <c r="F2213">
        <v>1</v>
      </c>
      <c r="G2213" s="129" t="s">
        <v>26</v>
      </c>
      <c r="H2213" s="129" t="s">
        <v>26</v>
      </c>
      <c r="I2213">
        <v>0</v>
      </c>
      <c r="J2213">
        <v>0</v>
      </c>
      <c r="K2213" s="129" t="s">
        <v>1962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s="129" t="s">
        <v>2227</v>
      </c>
      <c r="B2214" s="129" t="s">
        <v>51</v>
      </c>
      <c r="C2214" s="129" t="s">
        <v>80</v>
      </c>
      <c r="D2214">
        <v>-328</v>
      </c>
      <c r="E2214">
        <v>-147.9</v>
      </c>
      <c r="F2214">
        <v>0.1</v>
      </c>
      <c r="G2214" s="129" t="s">
        <v>26</v>
      </c>
      <c r="H2214" s="129" t="s">
        <v>26</v>
      </c>
      <c r="I2214">
        <v>0</v>
      </c>
      <c r="J2214">
        <v>0</v>
      </c>
      <c r="K2214" s="129" t="s">
        <v>1962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s="129" t="s">
        <v>508</v>
      </c>
      <c r="B2215" s="129" t="s">
        <v>51</v>
      </c>
      <c r="C2215" s="129" t="s">
        <v>80</v>
      </c>
      <c r="D2215">
        <v>-148</v>
      </c>
      <c r="E2215">
        <v>-12.9</v>
      </c>
      <c r="F2215">
        <v>0.1</v>
      </c>
      <c r="G2215" s="129" t="s">
        <v>26</v>
      </c>
      <c r="H2215" s="129" t="s">
        <v>26</v>
      </c>
      <c r="I2215">
        <v>0</v>
      </c>
      <c r="J2215">
        <v>0</v>
      </c>
      <c r="K2215" s="129" t="s">
        <v>1962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s="129" t="s">
        <v>509</v>
      </c>
      <c r="B2216" s="129" t="s">
        <v>51</v>
      </c>
      <c r="C2216" s="129" t="s">
        <v>80</v>
      </c>
      <c r="D2216">
        <v>-13</v>
      </c>
      <c r="E2216">
        <v>248.1</v>
      </c>
      <c r="F2216">
        <v>0.1</v>
      </c>
      <c r="G2216" s="129" t="s">
        <v>26</v>
      </c>
      <c r="H2216" s="129" t="s">
        <v>26</v>
      </c>
      <c r="I2216">
        <v>0</v>
      </c>
      <c r="J2216">
        <v>0</v>
      </c>
      <c r="K2216" s="129" t="s">
        <v>1962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s="129" t="s">
        <v>510</v>
      </c>
      <c r="B2217" s="129" t="s">
        <v>51</v>
      </c>
      <c r="C2217" s="129" t="s">
        <v>80</v>
      </c>
      <c r="D2217">
        <v>248</v>
      </c>
      <c r="E2217">
        <v>770.1</v>
      </c>
      <c r="F2217">
        <v>0.1</v>
      </c>
      <c r="G2217" s="129" t="s">
        <v>26</v>
      </c>
      <c r="H2217" s="129" t="s">
        <v>26</v>
      </c>
      <c r="I2217">
        <v>0</v>
      </c>
      <c r="J2217">
        <v>0</v>
      </c>
      <c r="K2217" s="129" t="s">
        <v>1962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s="129" t="s">
        <v>512</v>
      </c>
      <c r="B2218" s="129" t="s">
        <v>51</v>
      </c>
      <c r="C2218" s="129" t="s">
        <v>80</v>
      </c>
      <c r="D2218">
        <v>770</v>
      </c>
      <c r="E2218">
        <v>2372</v>
      </c>
      <c r="F2218">
        <v>0.1</v>
      </c>
      <c r="G2218" s="129" t="s">
        <v>26</v>
      </c>
      <c r="H2218" s="129" t="s">
        <v>26</v>
      </c>
      <c r="I2218">
        <v>0</v>
      </c>
      <c r="J2218">
        <v>0</v>
      </c>
      <c r="K2218" s="129" t="s">
        <v>1962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s="129" t="s">
        <v>514</v>
      </c>
      <c r="B2219" s="129" t="s">
        <v>51</v>
      </c>
      <c r="C2219" s="129" t="s">
        <v>80</v>
      </c>
      <c r="D2219">
        <v>2372</v>
      </c>
      <c r="E2219">
        <v>2372.1</v>
      </c>
      <c r="F2219">
        <v>0.1</v>
      </c>
      <c r="G2219" s="129" t="s">
        <v>26</v>
      </c>
      <c r="H2219" s="129" t="s">
        <v>26</v>
      </c>
      <c r="I2219">
        <v>0</v>
      </c>
      <c r="J2219">
        <v>0</v>
      </c>
      <c r="K2219" s="129" t="s">
        <v>1962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s="129" t="s">
        <v>507</v>
      </c>
      <c r="B2220" s="129" t="s">
        <v>51</v>
      </c>
      <c r="C2220" s="129" t="s">
        <v>80</v>
      </c>
      <c r="D2220">
        <v>-328</v>
      </c>
      <c r="E2220">
        <v>-147.9</v>
      </c>
      <c r="F2220">
        <v>1</v>
      </c>
      <c r="G2220" s="129" t="s">
        <v>26</v>
      </c>
      <c r="H2220" s="129" t="s">
        <v>26</v>
      </c>
      <c r="I2220">
        <v>0</v>
      </c>
      <c r="J2220">
        <v>0</v>
      </c>
      <c r="K2220" s="129" t="s">
        <v>1962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s="129" t="s">
        <v>2228</v>
      </c>
      <c r="B2221" s="129" t="s">
        <v>51</v>
      </c>
      <c r="C2221" s="129" t="s">
        <v>80</v>
      </c>
      <c r="D2221">
        <v>-148</v>
      </c>
      <c r="E2221">
        <v>-12.9</v>
      </c>
      <c r="F2221">
        <v>1</v>
      </c>
      <c r="G2221" s="129" t="s">
        <v>26</v>
      </c>
      <c r="H2221" s="129" t="s">
        <v>26</v>
      </c>
      <c r="I2221">
        <v>0</v>
      </c>
      <c r="J2221">
        <v>0</v>
      </c>
      <c r="K2221" s="129" t="s">
        <v>1962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s="129" t="s">
        <v>2229</v>
      </c>
      <c r="B2222" s="129" t="s">
        <v>51</v>
      </c>
      <c r="C2222" s="129" t="s">
        <v>80</v>
      </c>
      <c r="D2222">
        <v>-13</v>
      </c>
      <c r="E2222">
        <v>248.1</v>
      </c>
      <c r="F2222">
        <v>1</v>
      </c>
      <c r="G2222" s="129" t="s">
        <v>26</v>
      </c>
      <c r="H2222" s="129" t="s">
        <v>26</v>
      </c>
      <c r="I2222">
        <v>0</v>
      </c>
      <c r="J2222">
        <v>0</v>
      </c>
      <c r="K2222" s="129" t="s">
        <v>1962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s="129" t="s">
        <v>511</v>
      </c>
      <c r="B2223" s="129" t="s">
        <v>51</v>
      </c>
      <c r="C2223" s="129" t="s">
        <v>80</v>
      </c>
      <c r="D2223">
        <v>248</v>
      </c>
      <c r="E2223">
        <v>770.1</v>
      </c>
      <c r="F2223">
        <v>1</v>
      </c>
      <c r="G2223" s="129" t="s">
        <v>26</v>
      </c>
      <c r="H2223" s="129" t="s">
        <v>26</v>
      </c>
      <c r="I2223">
        <v>0</v>
      </c>
      <c r="J2223">
        <v>0</v>
      </c>
      <c r="K2223" s="129" t="s">
        <v>1962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s="129" t="s">
        <v>513</v>
      </c>
      <c r="B2224" s="129" t="s">
        <v>51</v>
      </c>
      <c r="C2224" s="129" t="s">
        <v>80</v>
      </c>
      <c r="D2224">
        <v>770</v>
      </c>
      <c r="E2224">
        <v>2372</v>
      </c>
      <c r="F2224">
        <v>1</v>
      </c>
      <c r="G2224" s="129" t="s">
        <v>26</v>
      </c>
      <c r="H2224" s="129" t="s">
        <v>26</v>
      </c>
      <c r="I2224">
        <v>0</v>
      </c>
      <c r="J2224">
        <v>0</v>
      </c>
      <c r="K2224" s="129" t="s">
        <v>1962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s="129" t="s">
        <v>515</v>
      </c>
      <c r="B2225" s="129" t="s">
        <v>51</v>
      </c>
      <c r="C2225" s="129" t="s">
        <v>80</v>
      </c>
      <c r="D2225">
        <v>2372</v>
      </c>
      <c r="E2225">
        <v>2372.1</v>
      </c>
      <c r="F2225">
        <v>1</v>
      </c>
      <c r="G2225" s="129" t="s">
        <v>26</v>
      </c>
      <c r="H2225" s="129" t="s">
        <v>26</v>
      </c>
      <c r="I2225">
        <v>0</v>
      </c>
      <c r="J2225">
        <v>0</v>
      </c>
      <c r="K2225" s="129" t="s">
        <v>1962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s="129" t="s">
        <v>2240</v>
      </c>
      <c r="B2226" s="129" t="s">
        <v>51</v>
      </c>
      <c r="C2226" s="129" t="s">
        <v>84</v>
      </c>
      <c r="D2226">
        <v>-328</v>
      </c>
      <c r="E2226">
        <v>32.1</v>
      </c>
      <c r="F2226">
        <v>0.1</v>
      </c>
      <c r="G2226" s="129" t="s">
        <v>26</v>
      </c>
      <c r="H2226" s="129" t="s">
        <v>26</v>
      </c>
      <c r="I2226">
        <v>0</v>
      </c>
      <c r="J2226">
        <v>0</v>
      </c>
      <c r="K2226" s="129" t="s">
        <v>1962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s="129" t="s">
        <v>2241</v>
      </c>
      <c r="B2227" s="129" t="s">
        <v>51</v>
      </c>
      <c r="C2227" s="129" t="s">
        <v>84</v>
      </c>
      <c r="D2227">
        <v>32</v>
      </c>
      <c r="E2227">
        <v>212.1</v>
      </c>
      <c r="F2227">
        <v>0.1</v>
      </c>
      <c r="G2227" s="129" t="s">
        <v>26</v>
      </c>
      <c r="H2227" s="129" t="s">
        <v>26</v>
      </c>
      <c r="I2227">
        <v>0</v>
      </c>
      <c r="J2227">
        <v>0</v>
      </c>
      <c r="K2227" s="129" t="s">
        <v>1962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s="129" t="s">
        <v>499</v>
      </c>
      <c r="B2228" s="129" t="s">
        <v>51</v>
      </c>
      <c r="C2228" s="129" t="s">
        <v>84</v>
      </c>
      <c r="D2228">
        <v>212</v>
      </c>
      <c r="E2228">
        <v>572.1</v>
      </c>
      <c r="F2228">
        <v>0.1</v>
      </c>
      <c r="G2228" s="129" t="s">
        <v>26</v>
      </c>
      <c r="H2228" s="129" t="s">
        <v>26</v>
      </c>
      <c r="I2228">
        <v>0</v>
      </c>
      <c r="J2228">
        <v>0</v>
      </c>
      <c r="K2228" s="129" t="s">
        <v>1962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s="129" t="s">
        <v>501</v>
      </c>
      <c r="B2229" s="129" t="s">
        <v>51</v>
      </c>
      <c r="C2229" s="129" t="s">
        <v>84</v>
      </c>
      <c r="D2229">
        <v>572</v>
      </c>
      <c r="E2229">
        <v>752.1</v>
      </c>
      <c r="F2229">
        <v>0.1</v>
      </c>
      <c r="G2229" s="129" t="s">
        <v>26</v>
      </c>
      <c r="H2229" s="129" t="s">
        <v>26</v>
      </c>
      <c r="I2229">
        <v>0</v>
      </c>
      <c r="J2229">
        <v>0</v>
      </c>
      <c r="K2229" s="129" t="s">
        <v>1962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s="129" t="s">
        <v>503</v>
      </c>
      <c r="B2230" s="129" t="s">
        <v>51</v>
      </c>
      <c r="C2230" s="129" t="s">
        <v>84</v>
      </c>
      <c r="D2230">
        <v>752</v>
      </c>
      <c r="E2230">
        <v>1166.0999999999999</v>
      </c>
      <c r="F2230">
        <v>0.1</v>
      </c>
      <c r="G2230" s="129" t="s">
        <v>26</v>
      </c>
      <c r="H2230" s="129" t="s">
        <v>26</v>
      </c>
      <c r="I2230">
        <v>0</v>
      </c>
      <c r="J2230">
        <v>0</v>
      </c>
      <c r="K2230" s="129" t="s">
        <v>1962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s="129" t="s">
        <v>504</v>
      </c>
      <c r="B2231" s="129" t="s">
        <v>51</v>
      </c>
      <c r="C2231" s="129" t="s">
        <v>84</v>
      </c>
      <c r="D2231">
        <v>1166</v>
      </c>
      <c r="E2231">
        <v>1472</v>
      </c>
      <c r="F2231">
        <v>0.1</v>
      </c>
      <c r="G2231" s="129" t="s">
        <v>26</v>
      </c>
      <c r="H2231" s="129" t="s">
        <v>26</v>
      </c>
      <c r="I2231">
        <v>0</v>
      </c>
      <c r="J2231">
        <v>0</v>
      </c>
      <c r="K2231" s="129" t="s">
        <v>1962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s="129" t="s">
        <v>505</v>
      </c>
      <c r="B2232" s="129" t="s">
        <v>51</v>
      </c>
      <c r="C2232" s="129" t="s">
        <v>84</v>
      </c>
      <c r="D2232">
        <v>1472</v>
      </c>
      <c r="E2232">
        <v>1472.1</v>
      </c>
      <c r="F2232">
        <v>0.1</v>
      </c>
      <c r="G2232" s="129" t="s">
        <v>26</v>
      </c>
      <c r="H2232" s="129" t="s">
        <v>26</v>
      </c>
      <c r="I2232">
        <v>0</v>
      </c>
      <c r="J2232">
        <v>0</v>
      </c>
      <c r="K2232" s="129" t="s">
        <v>1962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s="129" t="s">
        <v>497</v>
      </c>
      <c r="B2233" s="129" t="s">
        <v>51</v>
      </c>
      <c r="C2233" s="129" t="s">
        <v>84</v>
      </c>
      <c r="D2233">
        <v>-328</v>
      </c>
      <c r="E2233">
        <v>32.1</v>
      </c>
      <c r="F2233">
        <v>1</v>
      </c>
      <c r="G2233" s="129" t="s">
        <v>26</v>
      </c>
      <c r="H2233" s="129" t="s">
        <v>26</v>
      </c>
      <c r="I2233">
        <v>0</v>
      </c>
      <c r="J2233">
        <v>0</v>
      </c>
      <c r="K2233" s="129" t="s">
        <v>1962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s="129" t="s">
        <v>498</v>
      </c>
      <c r="B2234" s="129" t="s">
        <v>51</v>
      </c>
      <c r="C2234" s="129" t="s">
        <v>84</v>
      </c>
      <c r="D2234">
        <v>32</v>
      </c>
      <c r="E2234">
        <v>212.1</v>
      </c>
      <c r="F2234">
        <v>1</v>
      </c>
      <c r="G2234" s="129" t="s">
        <v>26</v>
      </c>
      <c r="H2234" s="129" t="s">
        <v>26</v>
      </c>
      <c r="I2234">
        <v>0</v>
      </c>
      <c r="J2234">
        <v>0</v>
      </c>
      <c r="K2234" s="129" t="s">
        <v>1962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s="129" t="s">
        <v>500</v>
      </c>
      <c r="B2235" s="129" t="s">
        <v>51</v>
      </c>
      <c r="C2235" s="129" t="s">
        <v>84</v>
      </c>
      <c r="D2235">
        <v>212</v>
      </c>
      <c r="E2235">
        <v>572.1</v>
      </c>
      <c r="F2235">
        <v>1</v>
      </c>
      <c r="G2235" s="129" t="s">
        <v>26</v>
      </c>
      <c r="H2235" s="129" t="s">
        <v>26</v>
      </c>
      <c r="I2235">
        <v>0</v>
      </c>
      <c r="J2235">
        <v>0</v>
      </c>
      <c r="K2235" s="129" t="s">
        <v>1962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s="129" t="s">
        <v>502</v>
      </c>
      <c r="B2236" s="129" t="s">
        <v>51</v>
      </c>
      <c r="C2236" s="129" t="s">
        <v>84</v>
      </c>
      <c r="D2236">
        <v>572</v>
      </c>
      <c r="E2236">
        <v>752.1</v>
      </c>
      <c r="F2236">
        <v>1</v>
      </c>
      <c r="G2236" s="129" t="s">
        <v>26</v>
      </c>
      <c r="H2236" s="129" t="s">
        <v>26</v>
      </c>
      <c r="I2236">
        <v>0</v>
      </c>
      <c r="J2236">
        <v>0</v>
      </c>
      <c r="K2236" s="129" t="s">
        <v>1962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s="129" t="s">
        <v>2242</v>
      </c>
      <c r="B2237" s="129" t="s">
        <v>51</v>
      </c>
      <c r="C2237" s="129" t="s">
        <v>84</v>
      </c>
      <c r="D2237">
        <v>752</v>
      </c>
      <c r="E2237">
        <v>1166.0999999999999</v>
      </c>
      <c r="F2237">
        <v>1</v>
      </c>
      <c r="G2237" s="129" t="s">
        <v>26</v>
      </c>
      <c r="H2237" s="129" t="s">
        <v>26</v>
      </c>
      <c r="I2237">
        <v>0</v>
      </c>
      <c r="J2237">
        <v>0</v>
      </c>
      <c r="K2237" s="129" t="s">
        <v>1962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s="129" t="s">
        <v>2243</v>
      </c>
      <c r="B2238" s="129" t="s">
        <v>51</v>
      </c>
      <c r="C2238" s="129" t="s">
        <v>84</v>
      </c>
      <c r="D2238">
        <v>1166</v>
      </c>
      <c r="E2238">
        <v>1472</v>
      </c>
      <c r="F2238">
        <v>1</v>
      </c>
      <c r="G2238" s="129" t="s">
        <v>26</v>
      </c>
      <c r="H2238" s="129" t="s">
        <v>26</v>
      </c>
      <c r="I2238">
        <v>0</v>
      </c>
      <c r="J2238">
        <v>0</v>
      </c>
      <c r="K2238" s="129" t="s">
        <v>1962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s="129" t="s">
        <v>506</v>
      </c>
      <c r="B2239" s="129" t="s">
        <v>51</v>
      </c>
      <c r="C2239" s="129" t="s">
        <v>84</v>
      </c>
      <c r="D2239">
        <v>1472</v>
      </c>
      <c r="E2239">
        <v>1472.1</v>
      </c>
      <c r="F2239">
        <v>1</v>
      </c>
      <c r="G2239" s="129" t="s">
        <v>26</v>
      </c>
      <c r="H2239" s="129" t="s">
        <v>26</v>
      </c>
      <c r="I2239">
        <v>0</v>
      </c>
      <c r="J2239">
        <v>0</v>
      </c>
      <c r="K2239" s="129" t="s">
        <v>1962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s="129" t="s">
        <v>2244</v>
      </c>
      <c r="B2240" s="129" t="s">
        <v>51</v>
      </c>
      <c r="C2240" s="129" t="s">
        <v>85</v>
      </c>
      <c r="D2240">
        <v>-328</v>
      </c>
      <c r="E2240">
        <v>32.1</v>
      </c>
      <c r="F2240">
        <v>0.1</v>
      </c>
      <c r="G2240" s="129" t="s">
        <v>26</v>
      </c>
      <c r="H2240" s="129" t="s">
        <v>26</v>
      </c>
      <c r="I2240">
        <v>0</v>
      </c>
      <c r="J2240">
        <v>0</v>
      </c>
      <c r="K2240" s="129" t="s">
        <v>1962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s="129" t="s">
        <v>2245</v>
      </c>
      <c r="B2241" s="129" t="s">
        <v>51</v>
      </c>
      <c r="C2241" s="129" t="s">
        <v>85</v>
      </c>
      <c r="D2241">
        <v>32</v>
      </c>
      <c r="E2241">
        <v>212.1</v>
      </c>
      <c r="F2241">
        <v>0.1</v>
      </c>
      <c r="G2241" s="129" t="s">
        <v>26</v>
      </c>
      <c r="H2241" s="129" t="s">
        <v>26</v>
      </c>
      <c r="I2241">
        <v>0</v>
      </c>
      <c r="J2241">
        <v>0</v>
      </c>
      <c r="K2241" s="129" t="s">
        <v>1962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s="129" t="s">
        <v>487</v>
      </c>
      <c r="B2242" s="129" t="s">
        <v>51</v>
      </c>
      <c r="C2242" s="129" t="s">
        <v>85</v>
      </c>
      <c r="D2242">
        <v>212</v>
      </c>
      <c r="E2242">
        <v>500.1</v>
      </c>
      <c r="F2242">
        <v>0.1</v>
      </c>
      <c r="G2242" s="129" t="s">
        <v>26</v>
      </c>
      <c r="H2242" s="129" t="s">
        <v>26</v>
      </c>
      <c r="I2242">
        <v>0</v>
      </c>
      <c r="J2242">
        <v>0</v>
      </c>
      <c r="K2242" s="129" t="s">
        <v>1962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s="129" t="s">
        <v>2246</v>
      </c>
      <c r="B2243" s="129" t="s">
        <v>51</v>
      </c>
      <c r="C2243" s="129" t="s">
        <v>85</v>
      </c>
      <c r="D2243">
        <v>500</v>
      </c>
      <c r="E2243">
        <v>572.1</v>
      </c>
      <c r="F2243">
        <v>0.1</v>
      </c>
      <c r="G2243" s="129" t="s">
        <v>26</v>
      </c>
      <c r="H2243" s="129" t="s">
        <v>26</v>
      </c>
      <c r="I2243">
        <v>0</v>
      </c>
      <c r="J2243">
        <v>0</v>
      </c>
      <c r="K2243" s="129" t="s">
        <v>1962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s="129" t="s">
        <v>490</v>
      </c>
      <c r="B2244" s="129" t="s">
        <v>51</v>
      </c>
      <c r="C2244" s="129" t="s">
        <v>85</v>
      </c>
      <c r="D2244">
        <v>572</v>
      </c>
      <c r="E2244">
        <v>752.1</v>
      </c>
      <c r="F2244">
        <v>0.1</v>
      </c>
      <c r="G2244" s="129" t="s">
        <v>26</v>
      </c>
      <c r="H2244" s="129" t="s">
        <v>26</v>
      </c>
      <c r="I2244">
        <v>0</v>
      </c>
      <c r="J2244">
        <v>0</v>
      </c>
      <c r="K2244" s="129" t="s">
        <v>1962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s="129" t="s">
        <v>491</v>
      </c>
      <c r="B2245" s="129" t="s">
        <v>51</v>
      </c>
      <c r="C2245" s="129" t="s">
        <v>85</v>
      </c>
      <c r="D2245">
        <v>752</v>
      </c>
      <c r="E2245">
        <v>1112.0999999999999</v>
      </c>
      <c r="F2245">
        <v>0.1</v>
      </c>
      <c r="G2245" s="129" t="s">
        <v>26</v>
      </c>
      <c r="H2245" s="129" t="s">
        <v>26</v>
      </c>
      <c r="I2245">
        <v>0</v>
      </c>
      <c r="J2245">
        <v>0</v>
      </c>
      <c r="K2245" s="129" t="s">
        <v>1962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s="129" t="s">
        <v>493</v>
      </c>
      <c r="B2246" s="129" t="s">
        <v>51</v>
      </c>
      <c r="C2246" s="129" t="s">
        <v>85</v>
      </c>
      <c r="D2246">
        <v>1112</v>
      </c>
      <c r="E2246">
        <v>1166</v>
      </c>
      <c r="F2246">
        <v>0.1</v>
      </c>
      <c r="G2246" s="129" t="s">
        <v>26</v>
      </c>
      <c r="H2246" s="129" t="s">
        <v>26</v>
      </c>
      <c r="I2246">
        <v>0</v>
      </c>
      <c r="J2246">
        <v>0</v>
      </c>
      <c r="K2246" s="129" t="s">
        <v>1962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s="129" t="s">
        <v>495</v>
      </c>
      <c r="B2247" s="129" t="s">
        <v>51</v>
      </c>
      <c r="C2247" s="129" t="s">
        <v>85</v>
      </c>
      <c r="D2247">
        <v>1166</v>
      </c>
      <c r="E2247">
        <v>1166.0999999999999</v>
      </c>
      <c r="F2247">
        <v>0.1</v>
      </c>
      <c r="G2247" s="129" t="s">
        <v>26</v>
      </c>
      <c r="H2247" s="129" t="s">
        <v>26</v>
      </c>
      <c r="I2247">
        <v>0</v>
      </c>
      <c r="J2247">
        <v>0</v>
      </c>
      <c r="K2247" s="129" t="s">
        <v>1962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s="129" t="s">
        <v>2247</v>
      </c>
      <c r="B2248" s="129" t="s">
        <v>51</v>
      </c>
      <c r="C2248" s="129" t="s">
        <v>85</v>
      </c>
      <c r="D2248">
        <v>-328</v>
      </c>
      <c r="E2248">
        <v>32.1</v>
      </c>
      <c r="F2248">
        <v>1</v>
      </c>
      <c r="G2248" s="129" t="s">
        <v>26</v>
      </c>
      <c r="H2248" s="129" t="s">
        <v>26</v>
      </c>
      <c r="I2248">
        <v>0</v>
      </c>
      <c r="J2248">
        <v>0</v>
      </c>
      <c r="K2248" s="129" t="s">
        <v>1962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s="129" t="s">
        <v>488</v>
      </c>
      <c r="B2249" s="129" t="s">
        <v>51</v>
      </c>
      <c r="C2249" s="129" t="s">
        <v>85</v>
      </c>
      <c r="D2249">
        <v>212</v>
      </c>
      <c r="E2249">
        <v>500.1</v>
      </c>
      <c r="F2249">
        <v>1</v>
      </c>
      <c r="G2249" s="129" t="s">
        <v>26</v>
      </c>
      <c r="H2249" s="129" t="s">
        <v>26</v>
      </c>
      <c r="I2249">
        <v>0</v>
      </c>
      <c r="J2249">
        <v>0</v>
      </c>
      <c r="K2249" s="129" t="s">
        <v>1962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s="129" t="s">
        <v>489</v>
      </c>
      <c r="B2250" s="129" t="s">
        <v>51</v>
      </c>
      <c r="C2250" s="129" t="s">
        <v>85</v>
      </c>
      <c r="D2250">
        <v>500</v>
      </c>
      <c r="E2250">
        <v>572.1</v>
      </c>
      <c r="F2250">
        <v>1</v>
      </c>
      <c r="G2250" s="129" t="s">
        <v>26</v>
      </c>
      <c r="H2250" s="129" t="s">
        <v>26</v>
      </c>
      <c r="I2250">
        <v>0</v>
      </c>
      <c r="J2250">
        <v>0</v>
      </c>
      <c r="K2250" s="129" t="s">
        <v>1962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s="129" t="s">
        <v>2248</v>
      </c>
      <c r="B2251" s="129" t="s">
        <v>51</v>
      </c>
      <c r="C2251" s="129" t="s">
        <v>85</v>
      </c>
      <c r="D2251">
        <v>572</v>
      </c>
      <c r="E2251">
        <v>752.1</v>
      </c>
      <c r="F2251">
        <v>1</v>
      </c>
      <c r="G2251" s="129" t="s">
        <v>26</v>
      </c>
      <c r="H2251" s="129" t="s">
        <v>26</v>
      </c>
      <c r="I2251">
        <v>0</v>
      </c>
      <c r="J2251">
        <v>0</v>
      </c>
      <c r="K2251" s="129" t="s">
        <v>1962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s="129" t="s">
        <v>492</v>
      </c>
      <c r="B2252" s="129" t="s">
        <v>51</v>
      </c>
      <c r="C2252" s="129" t="s">
        <v>85</v>
      </c>
      <c r="D2252">
        <v>752</v>
      </c>
      <c r="E2252">
        <v>1112.0999999999999</v>
      </c>
      <c r="F2252">
        <v>1</v>
      </c>
      <c r="G2252" s="129" t="s">
        <v>26</v>
      </c>
      <c r="H2252" s="129" t="s">
        <v>26</v>
      </c>
      <c r="I2252">
        <v>0</v>
      </c>
      <c r="J2252">
        <v>0</v>
      </c>
      <c r="K2252" s="129" t="s">
        <v>1962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s="129" t="s">
        <v>494</v>
      </c>
      <c r="B2253" s="129" t="s">
        <v>51</v>
      </c>
      <c r="C2253" s="129" t="s">
        <v>85</v>
      </c>
      <c r="D2253">
        <v>1112</v>
      </c>
      <c r="E2253">
        <v>1166</v>
      </c>
      <c r="F2253">
        <v>1</v>
      </c>
      <c r="G2253" s="129" t="s">
        <v>26</v>
      </c>
      <c r="H2253" s="129" t="s">
        <v>26</v>
      </c>
      <c r="I2253">
        <v>0</v>
      </c>
      <c r="J2253">
        <v>0</v>
      </c>
      <c r="K2253" s="129" t="s">
        <v>1962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s="129" t="s">
        <v>496</v>
      </c>
      <c r="B2254" s="129" t="s">
        <v>51</v>
      </c>
      <c r="C2254" s="129" t="s">
        <v>85</v>
      </c>
      <c r="D2254">
        <v>1166</v>
      </c>
      <c r="E2254">
        <v>1166.0999999999999</v>
      </c>
      <c r="F2254">
        <v>1</v>
      </c>
      <c r="G2254" s="129" t="s">
        <v>26</v>
      </c>
      <c r="H2254" s="129" t="s">
        <v>26</v>
      </c>
      <c r="I2254">
        <v>0</v>
      </c>
      <c r="J2254">
        <v>0</v>
      </c>
      <c r="K2254" s="129" t="s">
        <v>1962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s="129" t="s">
        <v>481</v>
      </c>
      <c r="B2255" s="129" t="s">
        <v>51</v>
      </c>
      <c r="C2255" s="129" t="s">
        <v>81</v>
      </c>
      <c r="D2255">
        <v>32</v>
      </c>
      <c r="E2255">
        <v>482.1</v>
      </c>
      <c r="F2255">
        <v>0.1</v>
      </c>
      <c r="G2255" s="129" t="s">
        <v>26</v>
      </c>
      <c r="H2255" s="129" t="s">
        <v>26</v>
      </c>
      <c r="I2255">
        <v>0</v>
      </c>
      <c r="J2255">
        <v>0</v>
      </c>
      <c r="K2255" s="129" t="s">
        <v>1962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s="129" t="s">
        <v>482</v>
      </c>
      <c r="B2256" s="129" t="s">
        <v>51</v>
      </c>
      <c r="C2256" s="129" t="s">
        <v>81</v>
      </c>
      <c r="D2256">
        <v>482</v>
      </c>
      <c r="E2256">
        <v>752.1</v>
      </c>
      <c r="F2256">
        <v>0.1</v>
      </c>
      <c r="G2256" s="129" t="s">
        <v>26</v>
      </c>
      <c r="H2256" s="129" t="s">
        <v>26</v>
      </c>
      <c r="I2256">
        <v>0</v>
      </c>
      <c r="J2256">
        <v>0</v>
      </c>
      <c r="K2256" s="129" t="s">
        <v>1962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s="129" t="s">
        <v>483</v>
      </c>
      <c r="B2257" s="129" t="s">
        <v>51</v>
      </c>
      <c r="C2257" s="129" t="s">
        <v>81</v>
      </c>
      <c r="D2257">
        <v>752</v>
      </c>
      <c r="E2257">
        <v>1832.1</v>
      </c>
      <c r="F2257">
        <v>0.1</v>
      </c>
      <c r="G2257" s="129" t="s">
        <v>26</v>
      </c>
      <c r="H2257" s="129" t="s">
        <v>26</v>
      </c>
      <c r="I2257">
        <v>0</v>
      </c>
      <c r="J2257">
        <v>0</v>
      </c>
      <c r="K2257" s="129" t="s">
        <v>1962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s="129" t="s">
        <v>484</v>
      </c>
      <c r="B2258" s="129" t="s">
        <v>51</v>
      </c>
      <c r="C2258" s="129" t="s">
        <v>81</v>
      </c>
      <c r="D2258">
        <v>1832</v>
      </c>
      <c r="E2258">
        <v>3213</v>
      </c>
      <c r="F2258">
        <v>0.1</v>
      </c>
      <c r="G2258" s="129" t="s">
        <v>26</v>
      </c>
      <c r="H2258" s="129" t="s">
        <v>26</v>
      </c>
      <c r="I2258">
        <v>0</v>
      </c>
      <c r="J2258">
        <v>0</v>
      </c>
      <c r="K2258" s="129" t="s">
        <v>1962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s="129" t="s">
        <v>486</v>
      </c>
      <c r="B2259" s="129" t="s">
        <v>51</v>
      </c>
      <c r="C2259" s="129" t="s">
        <v>81</v>
      </c>
      <c r="D2259">
        <v>3213</v>
      </c>
      <c r="E2259">
        <v>3213.1</v>
      </c>
      <c r="F2259">
        <v>0.1</v>
      </c>
      <c r="G2259" s="129" t="s">
        <v>26</v>
      </c>
      <c r="H2259" s="129" t="s">
        <v>26</v>
      </c>
      <c r="I2259">
        <v>0</v>
      </c>
      <c r="J2259">
        <v>0</v>
      </c>
      <c r="K2259" s="129" t="s">
        <v>1962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s="129" t="s">
        <v>2230</v>
      </c>
      <c r="B2260" s="129" t="s">
        <v>51</v>
      </c>
      <c r="C2260" s="129" t="s">
        <v>81</v>
      </c>
      <c r="D2260">
        <v>32</v>
      </c>
      <c r="E2260">
        <v>482.1</v>
      </c>
      <c r="F2260">
        <v>1</v>
      </c>
      <c r="G2260" s="129" t="s">
        <v>26</v>
      </c>
      <c r="H2260" s="129" t="s">
        <v>26</v>
      </c>
      <c r="I2260">
        <v>0</v>
      </c>
      <c r="J2260">
        <v>0</v>
      </c>
      <c r="K2260" s="129" t="s">
        <v>1962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s="129" t="s">
        <v>2231</v>
      </c>
      <c r="B2261" s="129" t="s">
        <v>51</v>
      </c>
      <c r="C2261" s="129" t="s">
        <v>81</v>
      </c>
      <c r="D2261">
        <v>482</v>
      </c>
      <c r="E2261">
        <v>752.1</v>
      </c>
      <c r="F2261">
        <v>1</v>
      </c>
      <c r="G2261" s="129" t="s">
        <v>26</v>
      </c>
      <c r="H2261" s="129" t="s">
        <v>26</v>
      </c>
      <c r="I2261">
        <v>0</v>
      </c>
      <c r="J2261">
        <v>0</v>
      </c>
      <c r="K2261" s="129" t="s">
        <v>1962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s="129" t="s">
        <v>2232</v>
      </c>
      <c r="B2262" s="129" t="s">
        <v>51</v>
      </c>
      <c r="C2262" s="129" t="s">
        <v>81</v>
      </c>
      <c r="D2262">
        <v>752</v>
      </c>
      <c r="E2262">
        <v>1832.1</v>
      </c>
      <c r="F2262">
        <v>1</v>
      </c>
      <c r="G2262" s="129" t="s">
        <v>26</v>
      </c>
      <c r="H2262" s="129" t="s">
        <v>26</v>
      </c>
      <c r="I2262">
        <v>0</v>
      </c>
      <c r="J2262">
        <v>0</v>
      </c>
      <c r="K2262" s="129" t="s">
        <v>1962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s="129" t="s">
        <v>485</v>
      </c>
      <c r="B2263" s="129" t="s">
        <v>51</v>
      </c>
      <c r="C2263" s="129" t="s">
        <v>81</v>
      </c>
      <c r="D2263">
        <v>1832</v>
      </c>
      <c r="E2263">
        <v>3213</v>
      </c>
      <c r="F2263">
        <v>1</v>
      </c>
      <c r="G2263" s="129" t="s">
        <v>26</v>
      </c>
      <c r="H2263" s="129" t="s">
        <v>26</v>
      </c>
      <c r="I2263">
        <v>0</v>
      </c>
      <c r="J2263">
        <v>0</v>
      </c>
      <c r="K2263" s="129" t="s">
        <v>1962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s="129" t="s">
        <v>2233</v>
      </c>
      <c r="B2264" s="129" t="s">
        <v>51</v>
      </c>
      <c r="C2264" s="129" t="s">
        <v>81</v>
      </c>
      <c r="D2264">
        <v>3213</v>
      </c>
      <c r="E2264">
        <v>3213.1</v>
      </c>
      <c r="F2264">
        <v>1</v>
      </c>
      <c r="G2264" s="129" t="s">
        <v>26</v>
      </c>
      <c r="H2264" s="129" t="s">
        <v>26</v>
      </c>
      <c r="I2264">
        <v>0</v>
      </c>
      <c r="J2264">
        <v>0</v>
      </c>
      <c r="K2264" s="129" t="s">
        <v>1962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s="129" t="s">
        <v>474</v>
      </c>
      <c r="B2265" s="129" t="s">
        <v>51</v>
      </c>
      <c r="C2265" s="129" t="s">
        <v>82</v>
      </c>
      <c r="D2265">
        <v>32</v>
      </c>
      <c r="E2265">
        <v>482.1</v>
      </c>
      <c r="F2265">
        <v>0.1</v>
      </c>
      <c r="G2265" s="129" t="s">
        <v>26</v>
      </c>
      <c r="H2265" s="129" t="s">
        <v>26</v>
      </c>
      <c r="I2265">
        <v>0</v>
      </c>
      <c r="J2265">
        <v>0</v>
      </c>
      <c r="K2265" s="129" t="s">
        <v>1962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s="129" t="s">
        <v>476</v>
      </c>
      <c r="B2266" s="129" t="s">
        <v>51</v>
      </c>
      <c r="C2266" s="129" t="s">
        <v>82</v>
      </c>
      <c r="D2266">
        <v>482</v>
      </c>
      <c r="E2266">
        <v>1832.1</v>
      </c>
      <c r="F2266">
        <v>0.1</v>
      </c>
      <c r="G2266" s="129" t="s">
        <v>26</v>
      </c>
      <c r="H2266" s="129" t="s">
        <v>26</v>
      </c>
      <c r="I2266">
        <v>0</v>
      </c>
      <c r="J2266">
        <v>0</v>
      </c>
      <c r="K2266" s="129" t="s">
        <v>1962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s="129" t="s">
        <v>2234</v>
      </c>
      <c r="B2267" s="129" t="s">
        <v>51</v>
      </c>
      <c r="C2267" s="129" t="s">
        <v>82</v>
      </c>
      <c r="D2267">
        <v>1832</v>
      </c>
      <c r="E2267">
        <v>2552.1</v>
      </c>
      <c r="F2267">
        <v>0.1</v>
      </c>
      <c r="G2267" s="129" t="s">
        <v>26</v>
      </c>
      <c r="H2267" s="129" t="s">
        <v>26</v>
      </c>
      <c r="I2267">
        <v>0</v>
      </c>
      <c r="J2267">
        <v>0</v>
      </c>
      <c r="K2267" s="129" t="s">
        <v>1962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s="129" t="s">
        <v>2235</v>
      </c>
      <c r="B2268" s="129" t="s">
        <v>51</v>
      </c>
      <c r="C2268" s="129" t="s">
        <v>82</v>
      </c>
      <c r="D2268">
        <v>2552</v>
      </c>
      <c r="E2268">
        <v>3213</v>
      </c>
      <c r="F2268">
        <v>0.1</v>
      </c>
      <c r="G2268" s="129" t="s">
        <v>26</v>
      </c>
      <c r="H2268" s="129" t="s">
        <v>26</v>
      </c>
      <c r="I2268">
        <v>0</v>
      </c>
      <c r="J2268">
        <v>0</v>
      </c>
      <c r="K2268" s="129" t="s">
        <v>1962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s="129" t="s">
        <v>479</v>
      </c>
      <c r="B2269" s="129" t="s">
        <v>51</v>
      </c>
      <c r="C2269" s="129" t="s">
        <v>82</v>
      </c>
      <c r="D2269">
        <v>3213</v>
      </c>
      <c r="E2269">
        <v>3213.1</v>
      </c>
      <c r="F2269">
        <v>0.1</v>
      </c>
      <c r="G2269" s="129" t="s">
        <v>26</v>
      </c>
      <c r="H2269" s="129" t="s">
        <v>26</v>
      </c>
      <c r="I2269">
        <v>0</v>
      </c>
      <c r="J2269">
        <v>0</v>
      </c>
      <c r="K2269" s="129" t="s">
        <v>1962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s="129" t="s">
        <v>475</v>
      </c>
      <c r="B2270" s="129" t="s">
        <v>51</v>
      </c>
      <c r="C2270" s="129" t="s">
        <v>82</v>
      </c>
      <c r="D2270">
        <v>32</v>
      </c>
      <c r="E2270">
        <v>482.1</v>
      </c>
      <c r="F2270">
        <v>1</v>
      </c>
      <c r="G2270" s="129" t="s">
        <v>26</v>
      </c>
      <c r="H2270" s="129" t="s">
        <v>26</v>
      </c>
      <c r="I2270">
        <v>0</v>
      </c>
      <c r="J2270">
        <v>0</v>
      </c>
      <c r="K2270" s="129" t="s">
        <v>1962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s="129" t="s">
        <v>2236</v>
      </c>
      <c r="B2271" s="129" t="s">
        <v>51</v>
      </c>
      <c r="C2271" s="129" t="s">
        <v>82</v>
      </c>
      <c r="D2271">
        <v>482</v>
      </c>
      <c r="E2271">
        <v>1832.1</v>
      </c>
      <c r="F2271">
        <v>1</v>
      </c>
      <c r="G2271" s="129" t="s">
        <v>26</v>
      </c>
      <c r="H2271" s="129" t="s">
        <v>26</v>
      </c>
      <c r="I2271">
        <v>0</v>
      </c>
      <c r="J2271">
        <v>0</v>
      </c>
      <c r="K2271" s="129" t="s">
        <v>1962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s="129" t="s">
        <v>477</v>
      </c>
      <c r="B2272" s="129" t="s">
        <v>51</v>
      </c>
      <c r="C2272" s="129" t="s">
        <v>82</v>
      </c>
      <c r="D2272">
        <v>1832</v>
      </c>
      <c r="E2272">
        <v>2552.1</v>
      </c>
      <c r="F2272">
        <v>1</v>
      </c>
      <c r="G2272" s="129" t="s">
        <v>26</v>
      </c>
      <c r="H2272" s="129" t="s">
        <v>26</v>
      </c>
      <c r="I2272">
        <v>0</v>
      </c>
      <c r="J2272">
        <v>0</v>
      </c>
      <c r="K2272" s="129" t="s">
        <v>1962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s="129" t="s">
        <v>478</v>
      </c>
      <c r="B2273" s="129" t="s">
        <v>51</v>
      </c>
      <c r="C2273" s="129" t="s">
        <v>82</v>
      </c>
      <c r="D2273">
        <v>2552</v>
      </c>
      <c r="E2273">
        <v>3213</v>
      </c>
      <c r="F2273">
        <v>1</v>
      </c>
      <c r="G2273" s="129" t="s">
        <v>26</v>
      </c>
      <c r="H2273" s="129" t="s">
        <v>26</v>
      </c>
      <c r="I2273">
        <v>0</v>
      </c>
      <c r="J2273">
        <v>0</v>
      </c>
      <c r="K2273" s="129" t="s">
        <v>1962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s="129" t="s">
        <v>480</v>
      </c>
      <c r="B2274" s="129" t="s">
        <v>51</v>
      </c>
      <c r="C2274" s="129" t="s">
        <v>82</v>
      </c>
      <c r="D2274">
        <v>3213</v>
      </c>
      <c r="E2274">
        <v>3213.1</v>
      </c>
      <c r="F2274">
        <v>1</v>
      </c>
      <c r="G2274" s="129" t="s">
        <v>26</v>
      </c>
      <c r="H2274" s="129" t="s">
        <v>26</v>
      </c>
      <c r="I2274">
        <v>0</v>
      </c>
      <c r="J2274">
        <v>0</v>
      </c>
      <c r="K2274" s="129" t="s">
        <v>1962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s="129" t="s">
        <v>467</v>
      </c>
      <c r="B2275" s="129" t="s">
        <v>51</v>
      </c>
      <c r="C2275" s="129" t="s">
        <v>83</v>
      </c>
      <c r="D2275">
        <v>-418</v>
      </c>
      <c r="E2275">
        <v>-237.9</v>
      </c>
      <c r="F2275">
        <v>0.1</v>
      </c>
      <c r="G2275" s="129" t="s">
        <v>26</v>
      </c>
      <c r="H2275" s="129" t="s">
        <v>26</v>
      </c>
      <c r="I2275">
        <v>0</v>
      </c>
      <c r="J2275">
        <v>0</v>
      </c>
      <c r="K2275" s="129" t="s">
        <v>1962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s="129" t="s">
        <v>2237</v>
      </c>
      <c r="B2276" s="129" t="s">
        <v>51</v>
      </c>
      <c r="C2276" s="129" t="s">
        <v>83</v>
      </c>
      <c r="D2276">
        <v>-238</v>
      </c>
      <c r="E2276">
        <v>32.1</v>
      </c>
      <c r="F2276">
        <v>0.1</v>
      </c>
      <c r="G2276" s="129" t="s">
        <v>26</v>
      </c>
      <c r="H2276" s="129" t="s">
        <v>26</v>
      </c>
      <c r="I2276">
        <v>0</v>
      </c>
      <c r="J2276">
        <v>0</v>
      </c>
      <c r="K2276" s="129" t="s">
        <v>1962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s="129" t="s">
        <v>2238</v>
      </c>
      <c r="B2277" s="129" t="s">
        <v>51</v>
      </c>
      <c r="C2277" s="129" t="s">
        <v>83</v>
      </c>
      <c r="D2277">
        <v>32</v>
      </c>
      <c r="E2277">
        <v>248.1</v>
      </c>
      <c r="F2277">
        <v>0.1</v>
      </c>
      <c r="G2277" s="129" t="s">
        <v>26</v>
      </c>
      <c r="H2277" s="129" t="s">
        <v>26</v>
      </c>
      <c r="I2277">
        <v>0</v>
      </c>
      <c r="J2277">
        <v>0</v>
      </c>
      <c r="K2277" s="129" t="s">
        <v>1962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s="129" t="s">
        <v>470</v>
      </c>
      <c r="B2278" s="129" t="s">
        <v>51</v>
      </c>
      <c r="C2278" s="129" t="s">
        <v>83</v>
      </c>
      <c r="D2278">
        <v>248</v>
      </c>
      <c r="E2278">
        <v>752</v>
      </c>
      <c r="F2278">
        <v>0.1</v>
      </c>
      <c r="G2278" s="129" t="s">
        <v>26</v>
      </c>
      <c r="H2278" s="129" t="s">
        <v>26</v>
      </c>
      <c r="I2278">
        <v>0</v>
      </c>
      <c r="J2278">
        <v>0</v>
      </c>
      <c r="K2278" s="129" t="s">
        <v>1962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s="129" t="s">
        <v>472</v>
      </c>
      <c r="B2279" s="129" t="s">
        <v>51</v>
      </c>
      <c r="C2279" s="129" t="s">
        <v>83</v>
      </c>
      <c r="D2279">
        <v>752</v>
      </c>
      <c r="E2279">
        <v>752.1</v>
      </c>
      <c r="F2279">
        <v>0.1</v>
      </c>
      <c r="G2279" s="129" t="s">
        <v>26</v>
      </c>
      <c r="H2279" s="129" t="s">
        <v>26</v>
      </c>
      <c r="I2279">
        <v>0</v>
      </c>
      <c r="J2279">
        <v>0</v>
      </c>
      <c r="K2279" s="129" t="s">
        <v>1962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s="129" t="s">
        <v>468</v>
      </c>
      <c r="B2280" s="129" t="s">
        <v>51</v>
      </c>
      <c r="C2280" s="129" t="s">
        <v>83</v>
      </c>
      <c r="D2280">
        <v>-418</v>
      </c>
      <c r="E2280">
        <v>-237.9</v>
      </c>
      <c r="F2280">
        <v>1</v>
      </c>
      <c r="G2280" s="129" t="s">
        <v>26</v>
      </c>
      <c r="H2280" s="129" t="s">
        <v>26</v>
      </c>
      <c r="I2280">
        <v>0</v>
      </c>
      <c r="J2280">
        <v>0</v>
      </c>
      <c r="K2280" s="129" t="s">
        <v>1962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s="129" t="s">
        <v>469</v>
      </c>
      <c r="B2281" s="129" t="s">
        <v>51</v>
      </c>
      <c r="C2281" s="129" t="s">
        <v>83</v>
      </c>
      <c r="D2281">
        <v>-238</v>
      </c>
      <c r="E2281">
        <v>32.1</v>
      </c>
      <c r="F2281">
        <v>1</v>
      </c>
      <c r="G2281" s="129" t="s">
        <v>26</v>
      </c>
      <c r="H2281" s="129" t="s">
        <v>26</v>
      </c>
      <c r="I2281">
        <v>0</v>
      </c>
      <c r="J2281">
        <v>0</v>
      </c>
      <c r="K2281" s="129" t="s">
        <v>1962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s="129" t="s">
        <v>2239</v>
      </c>
      <c r="B2282" s="129" t="s">
        <v>51</v>
      </c>
      <c r="C2282" s="129" t="s">
        <v>83</v>
      </c>
      <c r="D2282">
        <v>32</v>
      </c>
      <c r="E2282">
        <v>248.1</v>
      </c>
      <c r="F2282">
        <v>1</v>
      </c>
      <c r="G2282" s="129" t="s">
        <v>26</v>
      </c>
      <c r="H2282" s="129" t="s">
        <v>26</v>
      </c>
      <c r="I2282">
        <v>0</v>
      </c>
      <c r="J2282">
        <v>0</v>
      </c>
      <c r="K2282" s="129" t="s">
        <v>1962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s="129" t="s">
        <v>471</v>
      </c>
      <c r="B2283" s="129" t="s">
        <v>51</v>
      </c>
      <c r="C2283" s="129" t="s">
        <v>83</v>
      </c>
      <c r="D2283">
        <v>248</v>
      </c>
      <c r="E2283">
        <v>752</v>
      </c>
      <c r="F2283">
        <v>1</v>
      </c>
      <c r="G2283" s="129" t="s">
        <v>26</v>
      </c>
      <c r="H2283" s="129" t="s">
        <v>26</v>
      </c>
      <c r="I2283">
        <v>0</v>
      </c>
      <c r="J2283">
        <v>0</v>
      </c>
      <c r="K2283" s="129" t="s">
        <v>1962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s="129" t="s">
        <v>473</v>
      </c>
      <c r="B2284" s="129" t="s">
        <v>51</v>
      </c>
      <c r="C2284" s="129" t="s">
        <v>83</v>
      </c>
      <c r="D2284">
        <v>752</v>
      </c>
      <c r="E2284">
        <v>752.1</v>
      </c>
      <c r="F2284">
        <v>1</v>
      </c>
      <c r="G2284" s="129" t="s">
        <v>26</v>
      </c>
      <c r="H2284" s="129" t="s">
        <v>26</v>
      </c>
      <c r="I2284">
        <v>0</v>
      </c>
      <c r="J2284">
        <v>0</v>
      </c>
      <c r="K2284" s="129" t="s">
        <v>1962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s="129" t="s">
        <v>444</v>
      </c>
      <c r="B2285" s="129" t="s">
        <v>51</v>
      </c>
      <c r="C2285" s="129" t="s">
        <v>17</v>
      </c>
      <c r="D2285">
        <v>0</v>
      </c>
      <c r="E2285">
        <v>120.001</v>
      </c>
      <c r="F2285">
        <v>1E-3</v>
      </c>
      <c r="G2285" s="129" t="s">
        <v>9</v>
      </c>
      <c r="H2285" s="129" t="s">
        <v>9</v>
      </c>
      <c r="I2285">
        <v>0</v>
      </c>
      <c r="J2285">
        <v>0</v>
      </c>
      <c r="K2285" s="129" t="s">
        <v>1962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s="129" t="s">
        <v>445</v>
      </c>
      <c r="B2286" s="129" t="s">
        <v>51</v>
      </c>
      <c r="C2286" s="129" t="s">
        <v>17</v>
      </c>
      <c r="D2286">
        <v>0</v>
      </c>
      <c r="E2286">
        <v>120.001</v>
      </c>
      <c r="F2286">
        <v>0.01</v>
      </c>
      <c r="G2286" s="129" t="s">
        <v>9</v>
      </c>
      <c r="H2286" s="129" t="s">
        <v>9</v>
      </c>
      <c r="I2286">
        <v>0</v>
      </c>
      <c r="J2286">
        <v>0</v>
      </c>
      <c r="K2286" s="129" t="s">
        <v>1962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s="129" t="s">
        <v>2032</v>
      </c>
      <c r="B2287" s="129" t="s">
        <v>51</v>
      </c>
      <c r="C2287" s="129" t="s">
        <v>17</v>
      </c>
      <c r="D2287">
        <v>120</v>
      </c>
      <c r="E2287">
        <v>1200.01</v>
      </c>
      <c r="F2287">
        <v>0.01</v>
      </c>
      <c r="G2287" s="129" t="s">
        <v>9</v>
      </c>
      <c r="H2287" s="129" t="s">
        <v>9</v>
      </c>
      <c r="I2287">
        <v>0</v>
      </c>
      <c r="J2287">
        <v>0</v>
      </c>
      <c r="K2287" s="129" t="s">
        <v>1962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s="129" t="s">
        <v>2030</v>
      </c>
      <c r="B2288" s="129" t="s">
        <v>51</v>
      </c>
      <c r="C2288" s="129" t="s">
        <v>17</v>
      </c>
      <c r="D2288">
        <v>0</v>
      </c>
      <c r="E2288">
        <v>120.001</v>
      </c>
      <c r="F2288">
        <v>0.1</v>
      </c>
      <c r="G2288" s="129" t="s">
        <v>9</v>
      </c>
      <c r="H2288" s="129" t="s">
        <v>9</v>
      </c>
      <c r="I2288">
        <v>0</v>
      </c>
      <c r="J2288">
        <v>0</v>
      </c>
      <c r="K2288" s="129" t="s">
        <v>1962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s="129" t="s">
        <v>2033</v>
      </c>
      <c r="B2289" s="129" t="s">
        <v>51</v>
      </c>
      <c r="C2289" s="129" t="s">
        <v>17</v>
      </c>
      <c r="D2289">
        <v>120</v>
      </c>
      <c r="E2289">
        <v>1200.01</v>
      </c>
      <c r="F2289">
        <v>0.1</v>
      </c>
      <c r="G2289" s="129" t="s">
        <v>9</v>
      </c>
      <c r="H2289" s="129" t="s">
        <v>9</v>
      </c>
      <c r="I2289">
        <v>0</v>
      </c>
      <c r="J2289">
        <v>0</v>
      </c>
      <c r="K2289" s="129" t="s">
        <v>1962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s="129" t="s">
        <v>2369</v>
      </c>
      <c r="B2290" s="129" t="s">
        <v>51</v>
      </c>
      <c r="C2290" s="129" t="s">
        <v>17</v>
      </c>
      <c r="D2290">
        <v>1200</v>
      </c>
      <c r="E2290">
        <v>12001</v>
      </c>
      <c r="F2290">
        <v>0.1</v>
      </c>
      <c r="G2290" s="129" t="s">
        <v>9</v>
      </c>
      <c r="H2290" s="129" t="s">
        <v>9</v>
      </c>
      <c r="I2290">
        <v>0</v>
      </c>
      <c r="J2290">
        <v>0</v>
      </c>
      <c r="K2290" s="129" t="s">
        <v>1962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s="129" t="s">
        <v>446</v>
      </c>
      <c r="B2291" s="129" t="s">
        <v>51</v>
      </c>
      <c r="C2291" s="129" t="s">
        <v>17</v>
      </c>
      <c r="D2291">
        <v>0</v>
      </c>
      <c r="E2291">
        <v>120.001</v>
      </c>
      <c r="F2291">
        <v>1</v>
      </c>
      <c r="G2291" s="129" t="s">
        <v>9</v>
      </c>
      <c r="H2291" s="129" t="s">
        <v>9</v>
      </c>
      <c r="I2291">
        <v>0</v>
      </c>
      <c r="J2291">
        <v>0</v>
      </c>
      <c r="K2291" s="129" t="s">
        <v>1962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s="129" t="s">
        <v>449</v>
      </c>
      <c r="B2292" s="129" t="s">
        <v>51</v>
      </c>
      <c r="C2292" s="129" t="s">
        <v>17</v>
      </c>
      <c r="D2292">
        <v>120</v>
      </c>
      <c r="E2292">
        <v>1200.01</v>
      </c>
      <c r="F2292">
        <v>1</v>
      </c>
      <c r="G2292" s="129" t="s">
        <v>9</v>
      </c>
      <c r="H2292" s="129" t="s">
        <v>9</v>
      </c>
      <c r="I2292">
        <v>0</v>
      </c>
      <c r="J2292">
        <v>0</v>
      </c>
      <c r="K2292" s="129" t="s">
        <v>1962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s="129" t="s">
        <v>2034</v>
      </c>
      <c r="B2293" s="129" t="s">
        <v>51</v>
      </c>
      <c r="C2293" s="129" t="s">
        <v>17</v>
      </c>
      <c r="D2293">
        <v>1200</v>
      </c>
      <c r="E2293">
        <v>12001</v>
      </c>
      <c r="F2293">
        <v>1</v>
      </c>
      <c r="G2293" s="129" t="s">
        <v>9</v>
      </c>
      <c r="H2293" s="129" t="s">
        <v>9</v>
      </c>
      <c r="I2293">
        <v>0</v>
      </c>
      <c r="J2293">
        <v>0</v>
      </c>
      <c r="K2293" s="129" t="s">
        <v>1962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s="129" t="s">
        <v>452</v>
      </c>
      <c r="B2294" s="129" t="s">
        <v>51</v>
      </c>
      <c r="C2294" s="129" t="s">
        <v>17</v>
      </c>
      <c r="D2294">
        <v>12000</v>
      </c>
      <c r="E2294">
        <v>120010</v>
      </c>
      <c r="F2294">
        <v>1</v>
      </c>
      <c r="G2294" s="129" t="s">
        <v>9</v>
      </c>
      <c r="H2294" s="129" t="s">
        <v>9</v>
      </c>
      <c r="I2294">
        <v>0</v>
      </c>
      <c r="J2294">
        <v>0</v>
      </c>
      <c r="K2294" s="129" t="s">
        <v>1962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s="129" t="s">
        <v>447</v>
      </c>
      <c r="B2295" s="129" t="s">
        <v>51</v>
      </c>
      <c r="C2295" s="129" t="s">
        <v>17</v>
      </c>
      <c r="D2295">
        <v>0</v>
      </c>
      <c r="E2295">
        <v>120.001</v>
      </c>
      <c r="F2295">
        <v>10</v>
      </c>
      <c r="G2295" s="129" t="s">
        <v>9</v>
      </c>
      <c r="H2295" s="129" t="s">
        <v>9</v>
      </c>
      <c r="I2295">
        <v>0</v>
      </c>
      <c r="J2295">
        <v>0</v>
      </c>
      <c r="K2295" s="129" t="s">
        <v>1962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s="129" t="s">
        <v>450</v>
      </c>
      <c r="B2296" s="129" t="s">
        <v>51</v>
      </c>
      <c r="C2296" s="129" t="s">
        <v>17</v>
      </c>
      <c r="D2296">
        <v>120</v>
      </c>
      <c r="E2296">
        <v>1200.01</v>
      </c>
      <c r="F2296">
        <v>10</v>
      </c>
      <c r="G2296" s="129" t="s">
        <v>9</v>
      </c>
      <c r="H2296" s="129" t="s">
        <v>9</v>
      </c>
      <c r="I2296">
        <v>0</v>
      </c>
      <c r="J2296">
        <v>0</v>
      </c>
      <c r="K2296" s="129" t="s">
        <v>1962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s="129" t="s">
        <v>451</v>
      </c>
      <c r="B2297" s="129" t="s">
        <v>51</v>
      </c>
      <c r="C2297" s="129" t="s">
        <v>17</v>
      </c>
      <c r="D2297">
        <v>1200</v>
      </c>
      <c r="E2297">
        <v>12001</v>
      </c>
      <c r="F2297">
        <v>10</v>
      </c>
      <c r="G2297" s="129" t="s">
        <v>9</v>
      </c>
      <c r="H2297" s="129" t="s">
        <v>9</v>
      </c>
      <c r="I2297">
        <v>0</v>
      </c>
      <c r="J2297">
        <v>0</v>
      </c>
      <c r="K2297" s="129" t="s">
        <v>1962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s="129" t="s">
        <v>453</v>
      </c>
      <c r="B2298" s="129" t="s">
        <v>51</v>
      </c>
      <c r="C2298" s="129" t="s">
        <v>17</v>
      </c>
      <c r="D2298">
        <v>12000</v>
      </c>
      <c r="E2298">
        <v>120010</v>
      </c>
      <c r="F2298">
        <v>10</v>
      </c>
      <c r="G2298" s="129" t="s">
        <v>9</v>
      </c>
      <c r="H2298" s="129" t="s">
        <v>9</v>
      </c>
      <c r="I2298">
        <v>0</v>
      </c>
      <c r="J2298">
        <v>0</v>
      </c>
      <c r="K2298" s="129" t="s">
        <v>1962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s="129" t="s">
        <v>2035</v>
      </c>
      <c r="B2299" s="129" t="s">
        <v>51</v>
      </c>
      <c r="C2299" s="129" t="s">
        <v>17</v>
      </c>
      <c r="D2299">
        <v>120000</v>
      </c>
      <c r="E2299">
        <v>1200010</v>
      </c>
      <c r="F2299">
        <v>10</v>
      </c>
      <c r="G2299" s="129" t="s">
        <v>9</v>
      </c>
      <c r="H2299" s="129" t="s">
        <v>9</v>
      </c>
      <c r="I2299">
        <v>0</v>
      </c>
      <c r="J2299">
        <v>0</v>
      </c>
      <c r="K2299" s="129" t="s">
        <v>1962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s="129" t="s">
        <v>448</v>
      </c>
      <c r="B2300" s="129" t="s">
        <v>51</v>
      </c>
      <c r="C2300" s="129" t="s">
        <v>17</v>
      </c>
      <c r="D2300">
        <v>0</v>
      </c>
      <c r="E2300">
        <v>120.001</v>
      </c>
      <c r="F2300">
        <v>100</v>
      </c>
      <c r="G2300" s="129" t="s">
        <v>9</v>
      </c>
      <c r="H2300" s="129" t="s">
        <v>9</v>
      </c>
      <c r="I2300">
        <v>0</v>
      </c>
      <c r="J2300">
        <v>0</v>
      </c>
      <c r="K2300" s="129" t="s">
        <v>1962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s="129" t="s">
        <v>454</v>
      </c>
      <c r="B2301" s="129" t="s">
        <v>51</v>
      </c>
      <c r="C2301" s="129" t="s">
        <v>17</v>
      </c>
      <c r="D2301">
        <v>12000</v>
      </c>
      <c r="E2301">
        <v>120010</v>
      </c>
      <c r="F2301">
        <v>100</v>
      </c>
      <c r="G2301" s="129" t="s">
        <v>9</v>
      </c>
      <c r="H2301" s="129" t="s">
        <v>9</v>
      </c>
      <c r="I2301">
        <v>0</v>
      </c>
      <c r="J2301">
        <v>0</v>
      </c>
      <c r="K2301" s="129" t="s">
        <v>1962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s="129" t="s">
        <v>456</v>
      </c>
      <c r="B2302" s="129" t="s">
        <v>51</v>
      </c>
      <c r="C2302" s="129" t="s">
        <v>17</v>
      </c>
      <c r="D2302">
        <v>120000</v>
      </c>
      <c r="E2302">
        <v>1200010</v>
      </c>
      <c r="F2302">
        <v>100</v>
      </c>
      <c r="G2302" s="129" t="s">
        <v>9</v>
      </c>
      <c r="H2302" s="129" t="s">
        <v>9</v>
      </c>
      <c r="I2302">
        <v>0</v>
      </c>
      <c r="J2302">
        <v>0</v>
      </c>
      <c r="K2302" s="129" t="s">
        <v>1962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s="129" t="s">
        <v>459</v>
      </c>
      <c r="B2303" s="129" t="s">
        <v>51</v>
      </c>
      <c r="C2303" s="129" t="s">
        <v>17</v>
      </c>
      <c r="D2303">
        <v>1200000</v>
      </c>
      <c r="E2303">
        <v>2000000</v>
      </c>
      <c r="F2303">
        <v>100</v>
      </c>
      <c r="G2303" s="129" t="s">
        <v>9</v>
      </c>
      <c r="H2303" s="129" t="s">
        <v>10</v>
      </c>
      <c r="I2303">
        <v>0</v>
      </c>
      <c r="J2303">
        <v>0</v>
      </c>
      <c r="K2303" s="129" t="s">
        <v>1962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s="129" t="s">
        <v>463</v>
      </c>
      <c r="B2304" s="129" t="s">
        <v>51</v>
      </c>
      <c r="C2304" s="129" t="s">
        <v>17</v>
      </c>
      <c r="D2304">
        <v>2000000</v>
      </c>
      <c r="E2304">
        <v>2001000</v>
      </c>
      <c r="F2304">
        <v>100</v>
      </c>
      <c r="G2304" s="129" t="s">
        <v>9</v>
      </c>
      <c r="H2304" s="129" t="s">
        <v>10</v>
      </c>
      <c r="I2304">
        <v>0</v>
      </c>
      <c r="J2304">
        <v>0</v>
      </c>
      <c r="K2304" s="129" t="s">
        <v>1962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s="129" t="s">
        <v>2031</v>
      </c>
      <c r="B2305" s="129" t="s">
        <v>51</v>
      </c>
      <c r="C2305" s="129" t="s">
        <v>17</v>
      </c>
      <c r="D2305">
        <v>0</v>
      </c>
      <c r="E2305">
        <v>120.001</v>
      </c>
      <c r="F2305">
        <v>1000</v>
      </c>
      <c r="G2305" s="129" t="s">
        <v>9</v>
      </c>
      <c r="H2305" s="129" t="s">
        <v>9</v>
      </c>
      <c r="I2305">
        <v>0</v>
      </c>
      <c r="J2305">
        <v>0</v>
      </c>
      <c r="K2305" s="129" t="s">
        <v>1962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s="129" t="s">
        <v>455</v>
      </c>
      <c r="B2306" s="129" t="s">
        <v>51</v>
      </c>
      <c r="C2306" s="129" t="s">
        <v>17</v>
      </c>
      <c r="D2306">
        <v>12000</v>
      </c>
      <c r="E2306">
        <v>120010</v>
      </c>
      <c r="F2306">
        <v>1000</v>
      </c>
      <c r="G2306" s="129" t="s">
        <v>9</v>
      </c>
      <c r="H2306" s="129" t="s">
        <v>9</v>
      </c>
      <c r="I2306">
        <v>0</v>
      </c>
      <c r="J2306">
        <v>0</v>
      </c>
      <c r="K2306" s="129" t="s">
        <v>1962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s="129" t="s">
        <v>457</v>
      </c>
      <c r="B2307" s="129" t="s">
        <v>51</v>
      </c>
      <c r="C2307" s="129" t="s">
        <v>17</v>
      </c>
      <c r="D2307">
        <v>120000</v>
      </c>
      <c r="E2307">
        <v>1200010</v>
      </c>
      <c r="F2307">
        <v>1000</v>
      </c>
      <c r="G2307" s="129" t="s">
        <v>9</v>
      </c>
      <c r="H2307" s="129" t="s">
        <v>9</v>
      </c>
      <c r="I2307">
        <v>0</v>
      </c>
      <c r="J2307">
        <v>0</v>
      </c>
      <c r="K2307" s="129" t="s">
        <v>1962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s="129" t="s">
        <v>460</v>
      </c>
      <c r="B2308" s="129" t="s">
        <v>51</v>
      </c>
      <c r="C2308" s="129" t="s">
        <v>17</v>
      </c>
      <c r="D2308">
        <v>1200000</v>
      </c>
      <c r="E2308">
        <v>2000000</v>
      </c>
      <c r="F2308">
        <v>1000</v>
      </c>
      <c r="G2308" s="129" t="s">
        <v>9</v>
      </c>
      <c r="H2308" s="129" t="s">
        <v>10</v>
      </c>
      <c r="I2308">
        <v>0</v>
      </c>
      <c r="J2308">
        <v>0</v>
      </c>
      <c r="K2308" s="129" t="s">
        <v>1962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s="129" t="s">
        <v>464</v>
      </c>
      <c r="B2309" s="129" t="s">
        <v>51</v>
      </c>
      <c r="C2309" s="129" t="s">
        <v>17</v>
      </c>
      <c r="D2309">
        <v>2000000</v>
      </c>
      <c r="E2309">
        <v>2001000</v>
      </c>
      <c r="F2309">
        <v>1000</v>
      </c>
      <c r="G2309" s="129" t="s">
        <v>9</v>
      </c>
      <c r="H2309" s="129" t="s">
        <v>10</v>
      </c>
      <c r="I2309">
        <v>0</v>
      </c>
      <c r="J2309">
        <v>0</v>
      </c>
      <c r="K2309" s="129" t="s">
        <v>1962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s="129" t="s">
        <v>458</v>
      </c>
      <c r="B2310" s="129" t="s">
        <v>51</v>
      </c>
      <c r="C2310" s="129" t="s">
        <v>17</v>
      </c>
      <c r="D2310">
        <v>120000</v>
      </c>
      <c r="E2310">
        <v>1200010</v>
      </c>
      <c r="F2310">
        <v>10000</v>
      </c>
      <c r="G2310" s="129" t="s">
        <v>9</v>
      </c>
      <c r="H2310" s="129" t="s">
        <v>9</v>
      </c>
      <c r="I2310">
        <v>0</v>
      </c>
      <c r="J2310">
        <v>0</v>
      </c>
      <c r="K2310" s="129" t="s">
        <v>1962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s="129" t="s">
        <v>461</v>
      </c>
      <c r="B2311" s="129" t="s">
        <v>51</v>
      </c>
      <c r="C2311" s="129" t="s">
        <v>17</v>
      </c>
      <c r="D2311">
        <v>1200000</v>
      </c>
      <c r="E2311">
        <v>2000000</v>
      </c>
      <c r="F2311">
        <v>10000</v>
      </c>
      <c r="G2311" s="129" t="s">
        <v>9</v>
      </c>
      <c r="H2311" s="129" t="s">
        <v>10</v>
      </c>
      <c r="I2311">
        <v>0</v>
      </c>
      <c r="J2311">
        <v>0</v>
      </c>
      <c r="K2311" s="129" t="s">
        <v>1962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s="129" t="s">
        <v>465</v>
      </c>
      <c r="B2312" s="129" t="s">
        <v>51</v>
      </c>
      <c r="C2312" s="129" t="s">
        <v>17</v>
      </c>
      <c r="D2312">
        <v>2000000</v>
      </c>
      <c r="E2312">
        <v>2001000</v>
      </c>
      <c r="F2312">
        <v>10000</v>
      </c>
      <c r="G2312" s="129" t="s">
        <v>9</v>
      </c>
      <c r="H2312" s="129" t="s">
        <v>10</v>
      </c>
      <c r="I2312">
        <v>0</v>
      </c>
      <c r="J2312">
        <v>0</v>
      </c>
      <c r="K2312" s="129" t="s">
        <v>1962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s="129" t="s">
        <v>462</v>
      </c>
      <c r="B2313" s="129" t="s">
        <v>51</v>
      </c>
      <c r="C2313" s="129" t="s">
        <v>17</v>
      </c>
      <c r="D2313">
        <v>1200000</v>
      </c>
      <c r="E2313">
        <v>2000000</v>
      </c>
      <c r="F2313">
        <v>100000</v>
      </c>
      <c r="G2313" s="129" t="s">
        <v>9</v>
      </c>
      <c r="H2313" s="129" t="s">
        <v>10</v>
      </c>
      <c r="I2313">
        <v>0</v>
      </c>
      <c r="J2313">
        <v>0</v>
      </c>
      <c r="K2313" s="129" t="s">
        <v>1962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s="129" t="s">
        <v>466</v>
      </c>
      <c r="B2314" s="129" t="s">
        <v>51</v>
      </c>
      <c r="C2314" s="129" t="s">
        <v>17</v>
      </c>
      <c r="D2314">
        <v>2000000</v>
      </c>
      <c r="E2314">
        <v>2001000</v>
      </c>
      <c r="F2314">
        <v>100000</v>
      </c>
      <c r="G2314" s="129" t="s">
        <v>9</v>
      </c>
      <c r="H2314" s="129" t="s">
        <v>10</v>
      </c>
      <c r="I2314">
        <v>0</v>
      </c>
      <c r="J2314">
        <v>0</v>
      </c>
      <c r="K2314" s="129" t="s">
        <v>1962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s="129" t="s">
        <v>2758</v>
      </c>
      <c r="B2315" s="129" t="s">
        <v>51</v>
      </c>
      <c r="C2315" s="129" t="s">
        <v>7</v>
      </c>
      <c r="D2315">
        <v>0</v>
      </c>
      <c r="E2315">
        <v>11.000999999999999</v>
      </c>
      <c r="F2315">
        <v>1E-3</v>
      </c>
      <c r="G2315" s="129" t="s">
        <v>46</v>
      </c>
      <c r="H2315" s="129" t="s">
        <v>45</v>
      </c>
      <c r="I2315">
        <v>0</v>
      </c>
      <c r="J2315">
        <v>0</v>
      </c>
      <c r="K2315" s="129" t="s">
        <v>1962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s="129" t="s">
        <v>2759</v>
      </c>
      <c r="B2316" s="129" t="s">
        <v>51</v>
      </c>
      <c r="C2316" s="129" t="s">
        <v>7</v>
      </c>
      <c r="D2316">
        <v>11</v>
      </c>
      <c r="E2316">
        <v>33.000999999999998</v>
      </c>
      <c r="F2316">
        <v>1E-3</v>
      </c>
      <c r="G2316" s="129" t="s">
        <v>46</v>
      </c>
      <c r="H2316" s="129" t="s">
        <v>45</v>
      </c>
      <c r="I2316">
        <v>0</v>
      </c>
      <c r="J2316">
        <v>0</v>
      </c>
      <c r="K2316" s="129" t="s">
        <v>1962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s="129" t="s">
        <v>2760</v>
      </c>
      <c r="B2317" s="129" t="s">
        <v>51</v>
      </c>
      <c r="C2317" s="129" t="s">
        <v>7</v>
      </c>
      <c r="D2317">
        <v>33</v>
      </c>
      <c r="E2317">
        <v>110.01</v>
      </c>
      <c r="F2317">
        <v>1E-3</v>
      </c>
      <c r="G2317" s="129" t="s">
        <v>46</v>
      </c>
      <c r="H2317" s="129" t="s">
        <v>45</v>
      </c>
      <c r="I2317">
        <v>0</v>
      </c>
      <c r="J2317">
        <v>0</v>
      </c>
      <c r="K2317" s="129" t="s">
        <v>1962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s="129" t="s">
        <v>2761</v>
      </c>
      <c r="B2318" s="129" t="s">
        <v>51</v>
      </c>
      <c r="C2318" s="129" t="s">
        <v>7</v>
      </c>
      <c r="D2318">
        <v>110</v>
      </c>
      <c r="E2318">
        <v>330.01</v>
      </c>
      <c r="F2318">
        <v>1E-3</v>
      </c>
      <c r="G2318" s="129" t="s">
        <v>46</v>
      </c>
      <c r="H2318" s="129" t="s">
        <v>45</v>
      </c>
      <c r="I2318">
        <v>0</v>
      </c>
      <c r="J2318">
        <v>0</v>
      </c>
      <c r="K2318" s="129" t="s">
        <v>1962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s="129" t="s">
        <v>2762</v>
      </c>
      <c r="B2319" s="129" t="s">
        <v>51</v>
      </c>
      <c r="C2319" s="129" t="s">
        <v>7</v>
      </c>
      <c r="D2319">
        <v>0</v>
      </c>
      <c r="E2319">
        <v>11.000999999999999</v>
      </c>
      <c r="F2319">
        <v>0.01</v>
      </c>
      <c r="G2319" s="129" t="s">
        <v>46</v>
      </c>
      <c r="H2319" s="129" t="s">
        <v>45</v>
      </c>
      <c r="I2319">
        <v>0</v>
      </c>
      <c r="J2319">
        <v>0</v>
      </c>
      <c r="K2319" s="129" t="s">
        <v>1962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s="129" t="s">
        <v>2763</v>
      </c>
      <c r="B2320" s="129" t="s">
        <v>51</v>
      </c>
      <c r="C2320" s="129" t="s">
        <v>7</v>
      </c>
      <c r="D2320">
        <v>11</v>
      </c>
      <c r="E2320">
        <v>33.000999999999998</v>
      </c>
      <c r="F2320">
        <v>0.01</v>
      </c>
      <c r="G2320" s="129" t="s">
        <v>46</v>
      </c>
      <c r="H2320" s="129" t="s">
        <v>45</v>
      </c>
      <c r="I2320">
        <v>0</v>
      </c>
      <c r="J2320">
        <v>0</v>
      </c>
      <c r="K2320" s="129" t="s">
        <v>1962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s="129" t="s">
        <v>2764</v>
      </c>
      <c r="B2321" s="129" t="s">
        <v>51</v>
      </c>
      <c r="C2321" s="129" t="s">
        <v>7</v>
      </c>
      <c r="D2321">
        <v>33</v>
      </c>
      <c r="E2321">
        <v>110.01</v>
      </c>
      <c r="F2321">
        <v>0.01</v>
      </c>
      <c r="G2321" s="129" t="s">
        <v>46</v>
      </c>
      <c r="H2321" s="129" t="s">
        <v>45</v>
      </c>
      <c r="I2321">
        <v>0</v>
      </c>
      <c r="J2321">
        <v>0</v>
      </c>
      <c r="K2321" s="129" t="s">
        <v>1962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s="129" t="s">
        <v>2765</v>
      </c>
      <c r="B2322" s="129" t="s">
        <v>51</v>
      </c>
      <c r="C2322" s="129" t="s">
        <v>7</v>
      </c>
      <c r="D2322">
        <v>110</v>
      </c>
      <c r="E2322">
        <v>330.01</v>
      </c>
      <c r="F2322">
        <v>0.01</v>
      </c>
      <c r="G2322" s="129" t="s">
        <v>46</v>
      </c>
      <c r="H2322" s="129" t="s">
        <v>45</v>
      </c>
      <c r="I2322">
        <v>0</v>
      </c>
      <c r="J2322">
        <v>0</v>
      </c>
      <c r="K2322" s="129" t="s">
        <v>1962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s="129" t="s">
        <v>2766</v>
      </c>
      <c r="B2323" s="129" t="s">
        <v>51</v>
      </c>
      <c r="C2323" s="129" t="s">
        <v>7</v>
      </c>
      <c r="D2323">
        <v>330</v>
      </c>
      <c r="E2323">
        <v>1100.01</v>
      </c>
      <c r="F2323">
        <v>0.01</v>
      </c>
      <c r="G2323" s="129" t="s">
        <v>46</v>
      </c>
      <c r="H2323" s="129" t="s">
        <v>45</v>
      </c>
      <c r="I2323">
        <v>0</v>
      </c>
      <c r="J2323">
        <v>0</v>
      </c>
      <c r="K2323" s="129" t="s">
        <v>1962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s="129" t="s">
        <v>2767</v>
      </c>
      <c r="B2324" s="129" t="s">
        <v>51</v>
      </c>
      <c r="C2324" s="129" t="s">
        <v>7</v>
      </c>
      <c r="D2324">
        <v>1100</v>
      </c>
      <c r="E2324">
        <v>3300.1</v>
      </c>
      <c r="F2324">
        <v>0.01</v>
      </c>
      <c r="G2324" s="129" t="s">
        <v>46</v>
      </c>
      <c r="H2324" s="129" t="s">
        <v>46</v>
      </c>
      <c r="I2324">
        <v>0</v>
      </c>
      <c r="J2324">
        <v>0</v>
      </c>
      <c r="K2324" s="129" t="s">
        <v>1962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s="129" t="s">
        <v>2768</v>
      </c>
      <c r="B2325" s="129" t="s">
        <v>51</v>
      </c>
      <c r="C2325" s="129" t="s">
        <v>7</v>
      </c>
      <c r="D2325">
        <v>0</v>
      </c>
      <c r="E2325">
        <v>11.000999999999999</v>
      </c>
      <c r="F2325">
        <v>0.1</v>
      </c>
      <c r="G2325" s="129" t="s">
        <v>46</v>
      </c>
      <c r="H2325" s="129" t="s">
        <v>45</v>
      </c>
      <c r="I2325">
        <v>0</v>
      </c>
      <c r="J2325">
        <v>0</v>
      </c>
      <c r="K2325" s="129" t="s">
        <v>1962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s="129" t="s">
        <v>2769</v>
      </c>
      <c r="B2326" s="129" t="s">
        <v>51</v>
      </c>
      <c r="C2326" s="129" t="s">
        <v>7</v>
      </c>
      <c r="D2326">
        <v>11</v>
      </c>
      <c r="E2326">
        <v>33.000999999999998</v>
      </c>
      <c r="F2326">
        <v>0.1</v>
      </c>
      <c r="G2326" s="129" t="s">
        <v>46</v>
      </c>
      <c r="H2326" s="129" t="s">
        <v>45</v>
      </c>
      <c r="I2326">
        <v>0</v>
      </c>
      <c r="J2326">
        <v>0</v>
      </c>
      <c r="K2326" s="129" t="s">
        <v>1962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s="129" t="s">
        <v>2770</v>
      </c>
      <c r="B2327" s="129" t="s">
        <v>51</v>
      </c>
      <c r="C2327" s="129" t="s">
        <v>7</v>
      </c>
      <c r="D2327">
        <v>33</v>
      </c>
      <c r="E2327">
        <v>110.01</v>
      </c>
      <c r="F2327">
        <v>0.1</v>
      </c>
      <c r="G2327" s="129" t="s">
        <v>46</v>
      </c>
      <c r="H2327" s="129" t="s">
        <v>45</v>
      </c>
      <c r="I2327">
        <v>0</v>
      </c>
      <c r="J2327">
        <v>0</v>
      </c>
      <c r="K2327" s="129" t="s">
        <v>1962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s="129" t="s">
        <v>2771</v>
      </c>
      <c r="B2328" s="129" t="s">
        <v>51</v>
      </c>
      <c r="C2328" s="129" t="s">
        <v>7</v>
      </c>
      <c r="D2328">
        <v>110</v>
      </c>
      <c r="E2328">
        <v>330.01</v>
      </c>
      <c r="F2328">
        <v>0.1</v>
      </c>
      <c r="G2328" s="129" t="s">
        <v>46</v>
      </c>
      <c r="H2328" s="129" t="s">
        <v>45</v>
      </c>
      <c r="I2328">
        <v>0</v>
      </c>
      <c r="J2328">
        <v>0</v>
      </c>
      <c r="K2328" s="129" t="s">
        <v>1962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s="129" t="s">
        <v>2772</v>
      </c>
      <c r="B2329" s="129" t="s">
        <v>51</v>
      </c>
      <c r="C2329" s="129" t="s">
        <v>7</v>
      </c>
      <c r="D2329">
        <v>330</v>
      </c>
      <c r="E2329">
        <v>1100.01</v>
      </c>
      <c r="F2329">
        <v>0.1</v>
      </c>
      <c r="G2329" s="129" t="s">
        <v>46</v>
      </c>
      <c r="H2329" s="129" t="s">
        <v>45</v>
      </c>
      <c r="I2329">
        <v>0</v>
      </c>
      <c r="J2329">
        <v>0</v>
      </c>
      <c r="K2329" s="129" t="s">
        <v>1962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s="129" t="s">
        <v>2773</v>
      </c>
      <c r="B2330" s="129" t="s">
        <v>51</v>
      </c>
      <c r="C2330" s="129" t="s">
        <v>7</v>
      </c>
      <c r="D2330">
        <v>1100</v>
      </c>
      <c r="E2330">
        <v>3300.1</v>
      </c>
      <c r="F2330">
        <v>0.1</v>
      </c>
      <c r="G2330" s="129" t="s">
        <v>46</v>
      </c>
      <c r="H2330" s="129" t="s">
        <v>46</v>
      </c>
      <c r="I2330">
        <v>0</v>
      </c>
      <c r="J2330">
        <v>0</v>
      </c>
      <c r="K2330" s="129" t="s">
        <v>1962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s="129" t="s">
        <v>2774</v>
      </c>
      <c r="B2331" s="129" t="s">
        <v>51</v>
      </c>
      <c r="C2331" s="129" t="s">
        <v>7</v>
      </c>
      <c r="D2331">
        <v>3300</v>
      </c>
      <c r="E2331">
        <v>11001</v>
      </c>
      <c r="F2331">
        <v>0.1</v>
      </c>
      <c r="G2331" s="129" t="s">
        <v>46</v>
      </c>
      <c r="H2331" s="129" t="s">
        <v>46</v>
      </c>
      <c r="I2331">
        <v>0</v>
      </c>
      <c r="J2331">
        <v>0</v>
      </c>
      <c r="K2331" s="129" t="s">
        <v>1962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s="129" t="s">
        <v>2775</v>
      </c>
      <c r="B2332" s="129" t="s">
        <v>51</v>
      </c>
      <c r="C2332" s="129" t="s">
        <v>7</v>
      </c>
      <c r="D2332">
        <v>11000</v>
      </c>
      <c r="E2332">
        <v>33001</v>
      </c>
      <c r="F2332">
        <v>0.1</v>
      </c>
      <c r="G2332" s="129" t="s">
        <v>46</v>
      </c>
      <c r="H2332" s="129" t="s">
        <v>46</v>
      </c>
      <c r="I2332">
        <v>0</v>
      </c>
      <c r="J2332">
        <v>0</v>
      </c>
      <c r="K2332" s="129" t="s">
        <v>1962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s="129" t="s">
        <v>2776</v>
      </c>
      <c r="B2333" s="129" t="s">
        <v>51</v>
      </c>
      <c r="C2333" s="129" t="s">
        <v>7</v>
      </c>
      <c r="D2333">
        <v>0</v>
      </c>
      <c r="E2333">
        <v>11.000999999999999</v>
      </c>
      <c r="F2333">
        <v>1</v>
      </c>
      <c r="G2333" s="129" t="s">
        <v>46</v>
      </c>
      <c r="H2333" s="129" t="s">
        <v>45</v>
      </c>
      <c r="I2333">
        <v>0</v>
      </c>
      <c r="J2333">
        <v>0</v>
      </c>
      <c r="K2333" s="129" t="s">
        <v>1962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s="129" t="s">
        <v>2777</v>
      </c>
      <c r="B2334" s="129" t="s">
        <v>51</v>
      </c>
      <c r="C2334" s="129" t="s">
        <v>7</v>
      </c>
      <c r="D2334">
        <v>11</v>
      </c>
      <c r="E2334">
        <v>33.000999999999998</v>
      </c>
      <c r="F2334">
        <v>1</v>
      </c>
      <c r="G2334" s="129" t="s">
        <v>46</v>
      </c>
      <c r="H2334" s="129" t="s">
        <v>45</v>
      </c>
      <c r="I2334">
        <v>0</v>
      </c>
      <c r="J2334">
        <v>0</v>
      </c>
      <c r="K2334" s="129" t="s">
        <v>1962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s="129" t="s">
        <v>2778</v>
      </c>
      <c r="B2335" s="129" t="s">
        <v>51</v>
      </c>
      <c r="C2335" s="129" t="s">
        <v>7</v>
      </c>
      <c r="D2335">
        <v>33</v>
      </c>
      <c r="E2335">
        <v>110.01</v>
      </c>
      <c r="F2335">
        <v>1</v>
      </c>
      <c r="G2335" s="129" t="s">
        <v>46</v>
      </c>
      <c r="H2335" s="129" t="s">
        <v>45</v>
      </c>
      <c r="I2335">
        <v>0</v>
      </c>
      <c r="J2335">
        <v>0</v>
      </c>
      <c r="K2335" s="129" t="s">
        <v>1962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s="129" t="s">
        <v>2779</v>
      </c>
      <c r="B2336" s="129" t="s">
        <v>51</v>
      </c>
      <c r="C2336" s="129" t="s">
        <v>7</v>
      </c>
      <c r="D2336">
        <v>110</v>
      </c>
      <c r="E2336">
        <v>330.01</v>
      </c>
      <c r="F2336">
        <v>1</v>
      </c>
      <c r="G2336" s="129" t="s">
        <v>46</v>
      </c>
      <c r="H2336" s="129" t="s">
        <v>45</v>
      </c>
      <c r="I2336">
        <v>0</v>
      </c>
      <c r="J2336">
        <v>0</v>
      </c>
      <c r="K2336" s="129" t="s">
        <v>1962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s="129" t="s">
        <v>2780</v>
      </c>
      <c r="B2337" s="129" t="s">
        <v>51</v>
      </c>
      <c r="C2337" s="129" t="s">
        <v>7</v>
      </c>
      <c r="D2337">
        <v>330</v>
      </c>
      <c r="E2337">
        <v>1100.01</v>
      </c>
      <c r="F2337">
        <v>1</v>
      </c>
      <c r="G2337" s="129" t="s">
        <v>46</v>
      </c>
      <c r="H2337" s="129" t="s">
        <v>45</v>
      </c>
      <c r="I2337">
        <v>0</v>
      </c>
      <c r="J2337">
        <v>0</v>
      </c>
      <c r="K2337" s="129" t="s">
        <v>1962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s="129" t="s">
        <v>2781</v>
      </c>
      <c r="B2338" s="129" t="s">
        <v>51</v>
      </c>
      <c r="C2338" s="129" t="s">
        <v>7</v>
      </c>
      <c r="D2338">
        <v>1100</v>
      </c>
      <c r="E2338">
        <v>3300.1</v>
      </c>
      <c r="F2338">
        <v>1</v>
      </c>
      <c r="G2338" s="129" t="s">
        <v>46</v>
      </c>
      <c r="H2338" s="129" t="s">
        <v>46</v>
      </c>
      <c r="I2338">
        <v>0</v>
      </c>
      <c r="J2338">
        <v>0</v>
      </c>
      <c r="K2338" s="129" t="s">
        <v>1962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s="129" t="s">
        <v>2782</v>
      </c>
      <c r="B2339" s="129" t="s">
        <v>51</v>
      </c>
      <c r="C2339" s="129" t="s">
        <v>7</v>
      </c>
      <c r="D2339">
        <v>3300</v>
      </c>
      <c r="E2339">
        <v>11001</v>
      </c>
      <c r="F2339">
        <v>1</v>
      </c>
      <c r="G2339" s="129" t="s">
        <v>46</v>
      </c>
      <c r="H2339" s="129" t="s">
        <v>46</v>
      </c>
      <c r="I2339">
        <v>0</v>
      </c>
      <c r="J2339">
        <v>0</v>
      </c>
      <c r="K2339" s="129" t="s">
        <v>1962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s="129" t="s">
        <v>2783</v>
      </c>
      <c r="B2340" s="129" t="s">
        <v>51</v>
      </c>
      <c r="C2340" s="129" t="s">
        <v>7</v>
      </c>
      <c r="D2340">
        <v>11000</v>
      </c>
      <c r="E2340">
        <v>33001</v>
      </c>
      <c r="F2340">
        <v>1</v>
      </c>
      <c r="G2340" s="129" t="s">
        <v>46</v>
      </c>
      <c r="H2340" s="129" t="s">
        <v>46</v>
      </c>
      <c r="I2340">
        <v>0</v>
      </c>
      <c r="J2340">
        <v>0</v>
      </c>
      <c r="K2340" s="129" t="s">
        <v>1962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s="129" t="s">
        <v>2784</v>
      </c>
      <c r="B2341" s="129" t="s">
        <v>51</v>
      </c>
      <c r="C2341" s="129" t="s">
        <v>7</v>
      </c>
      <c r="D2341">
        <v>33000</v>
      </c>
      <c r="E2341">
        <v>110010</v>
      </c>
      <c r="F2341">
        <v>1</v>
      </c>
      <c r="G2341" s="129" t="s">
        <v>46</v>
      </c>
      <c r="H2341" s="129" t="s">
        <v>46</v>
      </c>
      <c r="I2341">
        <v>0</v>
      </c>
      <c r="J2341">
        <v>0</v>
      </c>
      <c r="K2341" s="129" t="s">
        <v>1962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s="129" t="s">
        <v>2785</v>
      </c>
      <c r="B2342" s="129" t="s">
        <v>51</v>
      </c>
      <c r="C2342" s="129" t="s">
        <v>7</v>
      </c>
      <c r="D2342">
        <v>110000</v>
      </c>
      <c r="E2342">
        <v>330010</v>
      </c>
      <c r="F2342">
        <v>1</v>
      </c>
      <c r="G2342" s="129" t="s">
        <v>46</v>
      </c>
      <c r="H2342" s="129" t="s">
        <v>46</v>
      </c>
      <c r="I2342">
        <v>0</v>
      </c>
      <c r="J2342">
        <v>0</v>
      </c>
      <c r="K2342" s="129" t="s">
        <v>1962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s="129" t="s">
        <v>2786</v>
      </c>
      <c r="B2343" s="129" t="s">
        <v>51</v>
      </c>
      <c r="C2343" s="129" t="s">
        <v>7</v>
      </c>
      <c r="D2343">
        <v>0</v>
      </c>
      <c r="E2343">
        <v>11.000999999999999</v>
      </c>
      <c r="F2343">
        <v>10</v>
      </c>
      <c r="G2343" s="129" t="s">
        <v>46</v>
      </c>
      <c r="H2343" s="129" t="s">
        <v>45</v>
      </c>
      <c r="I2343">
        <v>0</v>
      </c>
      <c r="J2343">
        <v>0</v>
      </c>
      <c r="K2343" s="129" t="s">
        <v>1962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s="129" t="s">
        <v>2787</v>
      </c>
      <c r="B2344" s="129" t="s">
        <v>51</v>
      </c>
      <c r="C2344" s="129" t="s">
        <v>7</v>
      </c>
      <c r="D2344">
        <v>330</v>
      </c>
      <c r="E2344">
        <v>1100.01</v>
      </c>
      <c r="F2344">
        <v>10</v>
      </c>
      <c r="G2344" s="129" t="s">
        <v>46</v>
      </c>
      <c r="H2344" s="129" t="s">
        <v>45</v>
      </c>
      <c r="I2344">
        <v>0</v>
      </c>
      <c r="J2344">
        <v>0</v>
      </c>
      <c r="K2344" s="129" t="s">
        <v>1962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s="129" t="s">
        <v>2788</v>
      </c>
      <c r="B2345" s="129" t="s">
        <v>51</v>
      </c>
      <c r="C2345" s="129" t="s">
        <v>7</v>
      </c>
      <c r="D2345">
        <v>1100</v>
      </c>
      <c r="E2345">
        <v>3300.1</v>
      </c>
      <c r="F2345">
        <v>10</v>
      </c>
      <c r="G2345" s="129" t="s">
        <v>46</v>
      </c>
      <c r="H2345" s="129" t="s">
        <v>46</v>
      </c>
      <c r="I2345">
        <v>0</v>
      </c>
      <c r="J2345">
        <v>0</v>
      </c>
      <c r="K2345" s="129" t="s">
        <v>1962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s="129" t="s">
        <v>2789</v>
      </c>
      <c r="B2346" s="129" t="s">
        <v>51</v>
      </c>
      <c r="C2346" s="129" t="s">
        <v>7</v>
      </c>
      <c r="D2346">
        <v>3300</v>
      </c>
      <c r="E2346">
        <v>11001</v>
      </c>
      <c r="F2346">
        <v>10</v>
      </c>
      <c r="G2346" s="129" t="s">
        <v>46</v>
      </c>
      <c r="H2346" s="129" t="s">
        <v>46</v>
      </c>
      <c r="I2346">
        <v>0</v>
      </c>
      <c r="J2346">
        <v>0</v>
      </c>
      <c r="K2346" s="129" t="s">
        <v>1962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s="129" t="s">
        <v>2790</v>
      </c>
      <c r="B2347" s="129" t="s">
        <v>51</v>
      </c>
      <c r="C2347" s="129" t="s">
        <v>7</v>
      </c>
      <c r="D2347">
        <v>11000</v>
      </c>
      <c r="E2347">
        <v>33001</v>
      </c>
      <c r="F2347">
        <v>10</v>
      </c>
      <c r="G2347" s="129" t="s">
        <v>46</v>
      </c>
      <c r="H2347" s="129" t="s">
        <v>46</v>
      </c>
      <c r="I2347">
        <v>0</v>
      </c>
      <c r="J2347">
        <v>0</v>
      </c>
      <c r="K2347" s="129" t="s">
        <v>1962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s="129" t="s">
        <v>2791</v>
      </c>
      <c r="B2348" s="129" t="s">
        <v>51</v>
      </c>
      <c r="C2348" s="129" t="s">
        <v>7</v>
      </c>
      <c r="D2348">
        <v>33000</v>
      </c>
      <c r="E2348">
        <v>110010</v>
      </c>
      <c r="F2348">
        <v>10</v>
      </c>
      <c r="G2348" s="129" t="s">
        <v>46</v>
      </c>
      <c r="H2348" s="129" t="s">
        <v>46</v>
      </c>
      <c r="I2348">
        <v>0</v>
      </c>
      <c r="J2348">
        <v>0</v>
      </c>
      <c r="K2348" s="129" t="s">
        <v>1962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s="129" t="s">
        <v>2792</v>
      </c>
      <c r="B2349" s="129" t="s">
        <v>51</v>
      </c>
      <c r="C2349" s="129" t="s">
        <v>7</v>
      </c>
      <c r="D2349">
        <v>110000</v>
      </c>
      <c r="E2349">
        <v>330010</v>
      </c>
      <c r="F2349">
        <v>10</v>
      </c>
      <c r="G2349" s="129" t="s">
        <v>46</v>
      </c>
      <c r="H2349" s="129" t="s">
        <v>46</v>
      </c>
      <c r="I2349">
        <v>0</v>
      </c>
      <c r="J2349">
        <v>0</v>
      </c>
      <c r="K2349" s="129" t="s">
        <v>1962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s="129" t="s">
        <v>2793</v>
      </c>
      <c r="B2350" s="129" t="s">
        <v>51</v>
      </c>
      <c r="C2350" s="129" t="s">
        <v>7</v>
      </c>
      <c r="D2350">
        <v>330000</v>
      </c>
      <c r="E2350">
        <v>1100010</v>
      </c>
      <c r="F2350">
        <v>10</v>
      </c>
      <c r="G2350" s="129" t="s">
        <v>46</v>
      </c>
      <c r="H2350" s="129" t="s">
        <v>46</v>
      </c>
      <c r="I2350">
        <v>0</v>
      </c>
      <c r="J2350">
        <v>0</v>
      </c>
      <c r="K2350" s="129" t="s">
        <v>1962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s="129" t="s">
        <v>2794</v>
      </c>
      <c r="B2351" s="129" t="s">
        <v>51</v>
      </c>
      <c r="C2351" s="129" t="s">
        <v>7</v>
      </c>
      <c r="D2351">
        <v>1100000</v>
      </c>
      <c r="E2351">
        <v>3301000</v>
      </c>
      <c r="F2351">
        <v>10</v>
      </c>
      <c r="G2351" s="129" t="s">
        <v>46</v>
      </c>
      <c r="H2351" s="129" t="s">
        <v>47</v>
      </c>
      <c r="I2351">
        <v>0</v>
      </c>
      <c r="J2351">
        <v>0</v>
      </c>
      <c r="K2351" s="129" t="s">
        <v>1962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s="129" t="s">
        <v>2795</v>
      </c>
      <c r="B2352" s="129" t="s">
        <v>51</v>
      </c>
      <c r="C2352" s="129" t="s">
        <v>7</v>
      </c>
      <c r="D2352">
        <v>0</v>
      </c>
      <c r="E2352">
        <v>11.000999999999999</v>
      </c>
      <c r="F2352">
        <v>100</v>
      </c>
      <c r="G2352" s="129" t="s">
        <v>46</v>
      </c>
      <c r="H2352" s="129" t="s">
        <v>45</v>
      </c>
      <c r="I2352">
        <v>0</v>
      </c>
      <c r="J2352">
        <v>0</v>
      </c>
      <c r="K2352" s="129" t="s">
        <v>1962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s="129" t="s">
        <v>2796</v>
      </c>
      <c r="B2353" s="129" t="s">
        <v>51</v>
      </c>
      <c r="C2353" s="129" t="s">
        <v>7</v>
      </c>
      <c r="D2353">
        <v>3300</v>
      </c>
      <c r="E2353">
        <v>11001</v>
      </c>
      <c r="F2353">
        <v>100</v>
      </c>
      <c r="G2353" s="129" t="s">
        <v>46</v>
      </c>
      <c r="H2353" s="129" t="s">
        <v>46</v>
      </c>
      <c r="I2353">
        <v>0</v>
      </c>
      <c r="J2353">
        <v>0</v>
      </c>
      <c r="K2353" s="129" t="s">
        <v>1962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s="129" t="s">
        <v>2797</v>
      </c>
      <c r="B2354" s="129" t="s">
        <v>51</v>
      </c>
      <c r="C2354" s="129" t="s">
        <v>7</v>
      </c>
      <c r="D2354">
        <v>11000</v>
      </c>
      <c r="E2354">
        <v>33001</v>
      </c>
      <c r="F2354">
        <v>100</v>
      </c>
      <c r="G2354" s="129" t="s">
        <v>46</v>
      </c>
      <c r="H2354" s="129" t="s">
        <v>46</v>
      </c>
      <c r="I2354">
        <v>0</v>
      </c>
      <c r="J2354">
        <v>0</v>
      </c>
      <c r="K2354" s="129" t="s">
        <v>1962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s="129" t="s">
        <v>2798</v>
      </c>
      <c r="B2355" s="129" t="s">
        <v>51</v>
      </c>
      <c r="C2355" s="129" t="s">
        <v>7</v>
      </c>
      <c r="D2355">
        <v>33000</v>
      </c>
      <c r="E2355">
        <v>110010</v>
      </c>
      <c r="F2355">
        <v>100</v>
      </c>
      <c r="G2355" s="129" t="s">
        <v>46</v>
      </c>
      <c r="H2355" s="129" t="s">
        <v>46</v>
      </c>
      <c r="I2355">
        <v>0</v>
      </c>
      <c r="J2355">
        <v>0</v>
      </c>
      <c r="K2355" s="129" t="s">
        <v>1962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s="129" t="s">
        <v>2799</v>
      </c>
      <c r="B2356" s="129" t="s">
        <v>51</v>
      </c>
      <c r="C2356" s="129" t="s">
        <v>7</v>
      </c>
      <c r="D2356">
        <v>110000</v>
      </c>
      <c r="E2356">
        <v>330010</v>
      </c>
      <c r="F2356">
        <v>100</v>
      </c>
      <c r="G2356" s="129" t="s">
        <v>46</v>
      </c>
      <c r="H2356" s="129" t="s">
        <v>46</v>
      </c>
      <c r="I2356">
        <v>0</v>
      </c>
      <c r="J2356">
        <v>0</v>
      </c>
      <c r="K2356" s="129" t="s">
        <v>1962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s="129" t="s">
        <v>2800</v>
      </c>
      <c r="B2357" s="129" t="s">
        <v>51</v>
      </c>
      <c r="C2357" s="129" t="s">
        <v>7</v>
      </c>
      <c r="D2357">
        <v>330000</v>
      </c>
      <c r="E2357">
        <v>1100010</v>
      </c>
      <c r="F2357">
        <v>100</v>
      </c>
      <c r="G2357" s="129" t="s">
        <v>46</v>
      </c>
      <c r="H2357" s="129" t="s">
        <v>46</v>
      </c>
      <c r="I2357">
        <v>0</v>
      </c>
      <c r="J2357">
        <v>0</v>
      </c>
      <c r="K2357" s="129" t="s">
        <v>1962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s="129" t="s">
        <v>2801</v>
      </c>
      <c r="B2358" s="129" t="s">
        <v>51</v>
      </c>
      <c r="C2358" s="129" t="s">
        <v>7</v>
      </c>
      <c r="D2358">
        <v>1100000</v>
      </c>
      <c r="E2358">
        <v>3301000</v>
      </c>
      <c r="F2358">
        <v>100</v>
      </c>
      <c r="G2358" s="129" t="s">
        <v>46</v>
      </c>
      <c r="H2358" s="129" t="s">
        <v>47</v>
      </c>
      <c r="I2358">
        <v>0</v>
      </c>
      <c r="J2358">
        <v>0</v>
      </c>
      <c r="K2358" s="129" t="s">
        <v>1962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s="129" t="s">
        <v>2802</v>
      </c>
      <c r="B2359" s="129" t="s">
        <v>51</v>
      </c>
      <c r="C2359" s="129" t="s">
        <v>7</v>
      </c>
      <c r="D2359">
        <v>3300000</v>
      </c>
      <c r="E2359">
        <v>11001000</v>
      </c>
      <c r="F2359">
        <v>100</v>
      </c>
      <c r="G2359" s="129" t="s">
        <v>46</v>
      </c>
      <c r="H2359" s="129" t="s">
        <v>47</v>
      </c>
      <c r="I2359">
        <v>0</v>
      </c>
      <c r="J2359">
        <v>0</v>
      </c>
      <c r="K2359" s="129" t="s">
        <v>1962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s="129" t="s">
        <v>2803</v>
      </c>
      <c r="B2360" s="129" t="s">
        <v>51</v>
      </c>
      <c r="C2360" s="129" t="s">
        <v>7</v>
      </c>
      <c r="D2360">
        <v>11000000</v>
      </c>
      <c r="E2360">
        <v>33001000</v>
      </c>
      <c r="F2360">
        <v>100</v>
      </c>
      <c r="G2360" s="129" t="s">
        <v>46</v>
      </c>
      <c r="H2360" s="129" t="s">
        <v>47</v>
      </c>
      <c r="I2360">
        <v>0</v>
      </c>
      <c r="J2360">
        <v>0</v>
      </c>
      <c r="K2360" s="129" t="s">
        <v>1962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s="129" t="s">
        <v>2804</v>
      </c>
      <c r="B2361" s="129" t="s">
        <v>51</v>
      </c>
      <c r="C2361" s="129" t="s">
        <v>7</v>
      </c>
      <c r="D2361">
        <v>0</v>
      </c>
      <c r="E2361">
        <v>11.000999999999999</v>
      </c>
      <c r="F2361">
        <v>1000</v>
      </c>
      <c r="G2361" s="129" t="s">
        <v>46</v>
      </c>
      <c r="H2361" s="129" t="s">
        <v>45</v>
      </c>
      <c r="I2361">
        <v>0</v>
      </c>
      <c r="J2361">
        <v>0</v>
      </c>
      <c r="K2361" s="129" t="s">
        <v>1962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s="129" t="s">
        <v>2805</v>
      </c>
      <c r="B2362" s="129" t="s">
        <v>51</v>
      </c>
      <c r="C2362" s="129" t="s">
        <v>7</v>
      </c>
      <c r="D2362">
        <v>33000</v>
      </c>
      <c r="E2362">
        <v>110010</v>
      </c>
      <c r="F2362">
        <v>1000</v>
      </c>
      <c r="G2362" s="129" t="s">
        <v>46</v>
      </c>
      <c r="H2362" s="129" t="s">
        <v>46</v>
      </c>
      <c r="I2362">
        <v>0</v>
      </c>
      <c r="J2362">
        <v>0</v>
      </c>
      <c r="K2362" s="129" t="s">
        <v>1962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s="129" t="s">
        <v>2806</v>
      </c>
      <c r="B2363" s="129" t="s">
        <v>51</v>
      </c>
      <c r="C2363" s="129" t="s">
        <v>7</v>
      </c>
      <c r="D2363">
        <v>110000</v>
      </c>
      <c r="E2363">
        <v>330010</v>
      </c>
      <c r="F2363">
        <v>1000</v>
      </c>
      <c r="G2363" s="129" t="s">
        <v>46</v>
      </c>
      <c r="H2363" s="129" t="s">
        <v>46</v>
      </c>
      <c r="I2363">
        <v>0</v>
      </c>
      <c r="J2363">
        <v>0</v>
      </c>
      <c r="K2363" s="129" t="s">
        <v>1962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s="129" t="s">
        <v>2807</v>
      </c>
      <c r="B2364" s="129" t="s">
        <v>51</v>
      </c>
      <c r="C2364" s="129" t="s">
        <v>7</v>
      </c>
      <c r="D2364">
        <v>330000</v>
      </c>
      <c r="E2364">
        <v>1100010</v>
      </c>
      <c r="F2364">
        <v>1000</v>
      </c>
      <c r="G2364" s="129" t="s">
        <v>46</v>
      </c>
      <c r="H2364" s="129" t="s">
        <v>46</v>
      </c>
      <c r="I2364">
        <v>0</v>
      </c>
      <c r="J2364">
        <v>0</v>
      </c>
      <c r="K2364" s="129" t="s">
        <v>1962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s="129" t="s">
        <v>2808</v>
      </c>
      <c r="B2365" s="129" t="s">
        <v>51</v>
      </c>
      <c r="C2365" s="129" t="s">
        <v>7</v>
      </c>
      <c r="D2365">
        <v>1100000</v>
      </c>
      <c r="E2365">
        <v>3301000</v>
      </c>
      <c r="F2365">
        <v>1000</v>
      </c>
      <c r="G2365" s="129" t="s">
        <v>46</v>
      </c>
      <c r="H2365" s="129" t="s">
        <v>47</v>
      </c>
      <c r="I2365">
        <v>0</v>
      </c>
      <c r="J2365">
        <v>0</v>
      </c>
      <c r="K2365" s="129" t="s">
        <v>1962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s="129" t="s">
        <v>2809</v>
      </c>
      <c r="B2366" s="129" t="s">
        <v>51</v>
      </c>
      <c r="C2366" s="129" t="s">
        <v>7</v>
      </c>
      <c r="D2366">
        <v>3300000</v>
      </c>
      <c r="E2366">
        <v>11001000</v>
      </c>
      <c r="F2366">
        <v>1000</v>
      </c>
      <c r="G2366" s="129" t="s">
        <v>46</v>
      </c>
      <c r="H2366" s="129" t="s">
        <v>47</v>
      </c>
      <c r="I2366">
        <v>0</v>
      </c>
      <c r="J2366">
        <v>0</v>
      </c>
      <c r="K2366" s="129" t="s">
        <v>1962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s="129" t="s">
        <v>2810</v>
      </c>
      <c r="B2367" s="129" t="s">
        <v>51</v>
      </c>
      <c r="C2367" s="129" t="s">
        <v>7</v>
      </c>
      <c r="D2367">
        <v>11000000</v>
      </c>
      <c r="E2367">
        <v>33001000</v>
      </c>
      <c r="F2367">
        <v>1000</v>
      </c>
      <c r="G2367" s="129" t="s">
        <v>46</v>
      </c>
      <c r="H2367" s="129" t="s">
        <v>47</v>
      </c>
      <c r="I2367">
        <v>0</v>
      </c>
      <c r="J2367">
        <v>0</v>
      </c>
      <c r="K2367" s="129" t="s">
        <v>1962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s="129" t="s">
        <v>2811</v>
      </c>
      <c r="B2368" s="129" t="s">
        <v>51</v>
      </c>
      <c r="C2368" s="129" t="s">
        <v>7</v>
      </c>
      <c r="D2368">
        <v>33000000</v>
      </c>
      <c r="E2368">
        <v>110010000</v>
      </c>
      <c r="F2368">
        <v>1000</v>
      </c>
      <c r="G2368" s="129" t="s">
        <v>46</v>
      </c>
      <c r="H2368" s="129" t="s">
        <v>47</v>
      </c>
      <c r="I2368">
        <v>0</v>
      </c>
      <c r="J2368">
        <v>0</v>
      </c>
      <c r="K2368" s="129" t="s">
        <v>1962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s="129" t="s">
        <v>2812</v>
      </c>
      <c r="B2369" s="129" t="s">
        <v>51</v>
      </c>
      <c r="C2369" s="129" t="s">
        <v>7</v>
      </c>
      <c r="D2369">
        <v>110000000</v>
      </c>
      <c r="E2369">
        <v>330010000</v>
      </c>
      <c r="F2369">
        <v>1000</v>
      </c>
      <c r="G2369" s="129" t="s">
        <v>46</v>
      </c>
      <c r="H2369" s="129" t="s">
        <v>47</v>
      </c>
      <c r="I2369">
        <v>0</v>
      </c>
      <c r="J2369">
        <v>0</v>
      </c>
      <c r="K2369" s="129" t="s">
        <v>1962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s="129" t="s">
        <v>2813</v>
      </c>
      <c r="B2370" s="129" t="s">
        <v>51</v>
      </c>
      <c r="C2370" s="129" t="s">
        <v>7</v>
      </c>
      <c r="D2370">
        <v>0</v>
      </c>
      <c r="E2370">
        <v>11.000999999999999</v>
      </c>
      <c r="F2370">
        <v>10000</v>
      </c>
      <c r="G2370" s="129" t="s">
        <v>46</v>
      </c>
      <c r="H2370" s="129" t="s">
        <v>45</v>
      </c>
      <c r="I2370">
        <v>0</v>
      </c>
      <c r="J2370">
        <v>0</v>
      </c>
      <c r="K2370" s="129" t="s">
        <v>1962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s="129" t="s">
        <v>2814</v>
      </c>
      <c r="B2371" s="129" t="s">
        <v>51</v>
      </c>
      <c r="C2371" s="129" t="s">
        <v>7</v>
      </c>
      <c r="D2371">
        <v>330000</v>
      </c>
      <c r="E2371">
        <v>1100010</v>
      </c>
      <c r="F2371">
        <v>10000</v>
      </c>
      <c r="G2371" s="129" t="s">
        <v>46</v>
      </c>
      <c r="H2371" s="129" t="s">
        <v>46</v>
      </c>
      <c r="I2371">
        <v>0</v>
      </c>
      <c r="J2371">
        <v>0</v>
      </c>
      <c r="K2371" s="129" t="s">
        <v>1962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s="129" t="s">
        <v>2815</v>
      </c>
      <c r="B2372" s="129" t="s">
        <v>51</v>
      </c>
      <c r="C2372" s="129" t="s">
        <v>7</v>
      </c>
      <c r="D2372">
        <v>1100000</v>
      </c>
      <c r="E2372">
        <v>3301000</v>
      </c>
      <c r="F2372">
        <v>10000</v>
      </c>
      <c r="G2372" s="129" t="s">
        <v>46</v>
      </c>
      <c r="H2372" s="129" t="s">
        <v>47</v>
      </c>
      <c r="I2372">
        <v>0</v>
      </c>
      <c r="J2372">
        <v>0</v>
      </c>
      <c r="K2372" s="129" t="s">
        <v>1962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s="129" t="s">
        <v>2816</v>
      </c>
      <c r="B2373" s="129" t="s">
        <v>51</v>
      </c>
      <c r="C2373" s="129" t="s">
        <v>7</v>
      </c>
      <c r="D2373">
        <v>3300000</v>
      </c>
      <c r="E2373">
        <v>11001000</v>
      </c>
      <c r="F2373">
        <v>10000</v>
      </c>
      <c r="G2373" s="129" t="s">
        <v>46</v>
      </c>
      <c r="H2373" s="129" t="s">
        <v>47</v>
      </c>
      <c r="I2373">
        <v>0</v>
      </c>
      <c r="J2373">
        <v>0</v>
      </c>
      <c r="K2373" s="129" t="s">
        <v>1962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s="129" t="s">
        <v>2817</v>
      </c>
      <c r="B2374" s="129" t="s">
        <v>51</v>
      </c>
      <c r="C2374" s="129" t="s">
        <v>7</v>
      </c>
      <c r="D2374">
        <v>11000000</v>
      </c>
      <c r="E2374">
        <v>33001000</v>
      </c>
      <c r="F2374">
        <v>10000</v>
      </c>
      <c r="G2374" s="129" t="s">
        <v>46</v>
      </c>
      <c r="H2374" s="129" t="s">
        <v>47</v>
      </c>
      <c r="I2374">
        <v>0</v>
      </c>
      <c r="J2374">
        <v>0</v>
      </c>
      <c r="K2374" s="129" t="s">
        <v>1962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s="129" t="s">
        <v>2818</v>
      </c>
      <c r="B2375" s="129" t="s">
        <v>51</v>
      </c>
      <c r="C2375" s="129" t="s">
        <v>7</v>
      </c>
      <c r="D2375">
        <v>33000000</v>
      </c>
      <c r="E2375">
        <v>110010000</v>
      </c>
      <c r="F2375">
        <v>10000</v>
      </c>
      <c r="G2375" s="129" t="s">
        <v>46</v>
      </c>
      <c r="H2375" s="129" t="s">
        <v>47</v>
      </c>
      <c r="I2375">
        <v>0</v>
      </c>
      <c r="J2375">
        <v>0</v>
      </c>
      <c r="K2375" s="129" t="s">
        <v>1962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s="129" t="s">
        <v>2819</v>
      </c>
      <c r="B2376" s="129" t="s">
        <v>51</v>
      </c>
      <c r="C2376" s="129" t="s">
        <v>7</v>
      </c>
      <c r="D2376">
        <v>110000000</v>
      </c>
      <c r="E2376">
        <v>330010000</v>
      </c>
      <c r="F2376">
        <v>10000</v>
      </c>
      <c r="G2376" s="129" t="s">
        <v>46</v>
      </c>
      <c r="H2376" s="129" t="s">
        <v>47</v>
      </c>
      <c r="I2376">
        <v>0</v>
      </c>
      <c r="J2376">
        <v>0</v>
      </c>
      <c r="K2376" s="129" t="s">
        <v>1962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s="129" t="s">
        <v>2820</v>
      </c>
      <c r="B2377" s="129" t="s">
        <v>51</v>
      </c>
      <c r="C2377" s="129" t="s">
        <v>7</v>
      </c>
      <c r="D2377">
        <v>330000000</v>
      </c>
      <c r="E2377">
        <v>1100010000</v>
      </c>
      <c r="F2377">
        <v>10000</v>
      </c>
      <c r="G2377" s="129" t="s">
        <v>46</v>
      </c>
      <c r="H2377" s="129" t="s">
        <v>47</v>
      </c>
      <c r="I2377">
        <v>0</v>
      </c>
      <c r="J2377">
        <v>0</v>
      </c>
      <c r="K2377" s="129" t="s">
        <v>1962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s="129" t="s">
        <v>2821</v>
      </c>
      <c r="B2378" s="129" t="s">
        <v>51</v>
      </c>
      <c r="C2378" s="129" t="s">
        <v>7</v>
      </c>
      <c r="D2378">
        <v>1100000000</v>
      </c>
      <c r="E2378">
        <v>1101000000</v>
      </c>
      <c r="F2378">
        <v>10000</v>
      </c>
      <c r="G2378" s="129" t="s">
        <v>46</v>
      </c>
      <c r="H2378" s="129" t="s">
        <v>47</v>
      </c>
      <c r="I2378">
        <v>0</v>
      </c>
      <c r="J2378">
        <v>0</v>
      </c>
      <c r="K2378" s="129" t="s">
        <v>1962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s="129" t="s">
        <v>2822</v>
      </c>
      <c r="B2379" s="129" t="s">
        <v>51</v>
      </c>
      <c r="C2379" s="129" t="s">
        <v>7</v>
      </c>
      <c r="D2379">
        <v>0</v>
      </c>
      <c r="E2379">
        <v>11.000999999999999</v>
      </c>
      <c r="F2379">
        <v>100000</v>
      </c>
      <c r="G2379" s="129" t="s">
        <v>46</v>
      </c>
      <c r="H2379" s="129" t="s">
        <v>45</v>
      </c>
      <c r="I2379">
        <v>0</v>
      </c>
      <c r="J2379">
        <v>0</v>
      </c>
      <c r="K2379" s="129" t="s">
        <v>1962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s="129" t="s">
        <v>2823</v>
      </c>
      <c r="B2380" s="129" t="s">
        <v>51</v>
      </c>
      <c r="C2380" s="129" t="s">
        <v>7</v>
      </c>
      <c r="D2380">
        <v>3300000</v>
      </c>
      <c r="E2380">
        <v>11001000</v>
      </c>
      <c r="F2380">
        <v>100000</v>
      </c>
      <c r="G2380" s="129" t="s">
        <v>46</v>
      </c>
      <c r="H2380" s="129" t="s">
        <v>47</v>
      </c>
      <c r="I2380">
        <v>0</v>
      </c>
      <c r="J2380">
        <v>0</v>
      </c>
      <c r="K2380" s="129" t="s">
        <v>1962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s="129" t="s">
        <v>2824</v>
      </c>
      <c r="B2381" s="129" t="s">
        <v>51</v>
      </c>
      <c r="C2381" s="129" t="s">
        <v>7</v>
      </c>
      <c r="D2381">
        <v>11000000</v>
      </c>
      <c r="E2381">
        <v>33001000</v>
      </c>
      <c r="F2381">
        <v>100000</v>
      </c>
      <c r="G2381" s="129" t="s">
        <v>46</v>
      </c>
      <c r="H2381" s="129" t="s">
        <v>47</v>
      </c>
      <c r="I2381">
        <v>0</v>
      </c>
      <c r="J2381">
        <v>0</v>
      </c>
      <c r="K2381" s="129" t="s">
        <v>1962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s="129" t="s">
        <v>2825</v>
      </c>
      <c r="B2382" s="129" t="s">
        <v>51</v>
      </c>
      <c r="C2382" s="129" t="s">
        <v>7</v>
      </c>
      <c r="D2382">
        <v>33000000</v>
      </c>
      <c r="E2382">
        <v>110010000</v>
      </c>
      <c r="F2382">
        <v>100000</v>
      </c>
      <c r="G2382" s="129" t="s">
        <v>46</v>
      </c>
      <c r="H2382" s="129" t="s">
        <v>47</v>
      </c>
      <c r="I2382">
        <v>0</v>
      </c>
      <c r="J2382">
        <v>0</v>
      </c>
      <c r="K2382" s="129" t="s">
        <v>1962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s="129" t="s">
        <v>2826</v>
      </c>
      <c r="B2383" s="129" t="s">
        <v>51</v>
      </c>
      <c r="C2383" s="129" t="s">
        <v>7</v>
      </c>
      <c r="D2383">
        <v>110000000</v>
      </c>
      <c r="E2383">
        <v>330010000</v>
      </c>
      <c r="F2383">
        <v>100000</v>
      </c>
      <c r="G2383" s="129" t="s">
        <v>46</v>
      </c>
      <c r="H2383" s="129" t="s">
        <v>47</v>
      </c>
      <c r="I2383">
        <v>0</v>
      </c>
      <c r="J2383">
        <v>0</v>
      </c>
      <c r="K2383" s="129" t="s">
        <v>1962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s="129" t="s">
        <v>2827</v>
      </c>
      <c r="B2384" s="129" t="s">
        <v>51</v>
      </c>
      <c r="C2384" s="129" t="s">
        <v>7</v>
      </c>
      <c r="D2384">
        <v>330000000</v>
      </c>
      <c r="E2384">
        <v>1100010000</v>
      </c>
      <c r="F2384">
        <v>100000</v>
      </c>
      <c r="G2384" s="129" t="s">
        <v>46</v>
      </c>
      <c r="H2384" s="129" t="s">
        <v>47</v>
      </c>
      <c r="I2384">
        <v>0</v>
      </c>
      <c r="J2384">
        <v>0</v>
      </c>
      <c r="K2384" s="129" t="s">
        <v>1962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s="129" t="s">
        <v>2828</v>
      </c>
      <c r="B2385" s="129" t="s">
        <v>51</v>
      </c>
      <c r="C2385" s="129" t="s">
        <v>7</v>
      </c>
      <c r="D2385">
        <v>1100000000</v>
      </c>
      <c r="E2385">
        <v>1101000000</v>
      </c>
      <c r="F2385">
        <v>100000</v>
      </c>
      <c r="G2385" s="129" t="s">
        <v>46</v>
      </c>
      <c r="H2385" s="129" t="s">
        <v>47</v>
      </c>
      <c r="I2385">
        <v>0</v>
      </c>
      <c r="J2385">
        <v>0</v>
      </c>
      <c r="K2385" s="129" t="s">
        <v>1962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s="129" t="s">
        <v>2829</v>
      </c>
      <c r="B2386" s="129" t="s">
        <v>51</v>
      </c>
      <c r="C2386" s="129" t="s">
        <v>7</v>
      </c>
      <c r="D2386">
        <v>0</v>
      </c>
      <c r="E2386">
        <v>11.000999999999999</v>
      </c>
      <c r="F2386">
        <v>1000000</v>
      </c>
      <c r="G2386" s="129" t="s">
        <v>46</v>
      </c>
      <c r="H2386" s="129" t="s">
        <v>45</v>
      </c>
      <c r="I2386">
        <v>0</v>
      </c>
      <c r="J2386">
        <v>0</v>
      </c>
      <c r="K2386" s="129" t="s">
        <v>1962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s="129" t="s">
        <v>2830</v>
      </c>
      <c r="B2387" s="129" t="s">
        <v>51</v>
      </c>
      <c r="C2387" s="129" t="s">
        <v>7</v>
      </c>
      <c r="D2387">
        <v>33000000</v>
      </c>
      <c r="E2387">
        <v>110010000</v>
      </c>
      <c r="F2387">
        <v>1000000</v>
      </c>
      <c r="G2387" s="129" t="s">
        <v>46</v>
      </c>
      <c r="H2387" s="129" t="s">
        <v>47</v>
      </c>
      <c r="I2387">
        <v>0</v>
      </c>
      <c r="J2387">
        <v>0</v>
      </c>
      <c r="K2387" s="129" t="s">
        <v>1962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s="129" t="s">
        <v>2831</v>
      </c>
      <c r="B2388" s="129" t="s">
        <v>51</v>
      </c>
      <c r="C2388" s="129" t="s">
        <v>7</v>
      </c>
      <c r="D2388">
        <v>110000000</v>
      </c>
      <c r="E2388">
        <v>330010000</v>
      </c>
      <c r="F2388">
        <v>1000000</v>
      </c>
      <c r="G2388" s="129" t="s">
        <v>46</v>
      </c>
      <c r="H2388" s="129" t="s">
        <v>47</v>
      </c>
      <c r="I2388">
        <v>0</v>
      </c>
      <c r="J2388">
        <v>0</v>
      </c>
      <c r="K2388" s="129" t="s">
        <v>1962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s="129" t="s">
        <v>2832</v>
      </c>
      <c r="B2389" s="129" t="s">
        <v>51</v>
      </c>
      <c r="C2389" s="129" t="s">
        <v>7</v>
      </c>
      <c r="D2389">
        <v>330000000</v>
      </c>
      <c r="E2389">
        <v>1100010000</v>
      </c>
      <c r="F2389">
        <v>1000000</v>
      </c>
      <c r="G2389" s="129" t="s">
        <v>46</v>
      </c>
      <c r="H2389" s="129" t="s">
        <v>47</v>
      </c>
      <c r="I2389">
        <v>0</v>
      </c>
      <c r="J2389">
        <v>0</v>
      </c>
      <c r="K2389" s="129" t="s">
        <v>1962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s="129" t="s">
        <v>2833</v>
      </c>
      <c r="B2390" s="129" t="s">
        <v>51</v>
      </c>
      <c r="C2390" s="129" t="s">
        <v>7</v>
      </c>
      <c r="D2390">
        <v>1100000000</v>
      </c>
      <c r="E2390">
        <v>1101000000</v>
      </c>
      <c r="F2390">
        <v>1000000</v>
      </c>
      <c r="G2390" s="129" t="s">
        <v>46</v>
      </c>
      <c r="H2390" s="129" t="s">
        <v>47</v>
      </c>
      <c r="I2390">
        <v>0</v>
      </c>
      <c r="J2390">
        <v>0</v>
      </c>
      <c r="K2390" s="129" t="s">
        <v>1962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s="129" t="s">
        <v>2834</v>
      </c>
      <c r="B2391" s="129" t="s">
        <v>51</v>
      </c>
      <c r="C2391" s="129" t="s">
        <v>7</v>
      </c>
      <c r="D2391">
        <v>0</v>
      </c>
      <c r="E2391">
        <v>11.000999999999999</v>
      </c>
      <c r="F2391">
        <v>10000000</v>
      </c>
      <c r="G2391" s="129" t="s">
        <v>46</v>
      </c>
      <c r="H2391" s="129" t="s">
        <v>45</v>
      </c>
      <c r="I2391">
        <v>0</v>
      </c>
      <c r="J2391">
        <v>0</v>
      </c>
      <c r="K2391" s="129" t="s">
        <v>1962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s="129" t="s">
        <v>2835</v>
      </c>
      <c r="B2392" s="129" t="s">
        <v>51</v>
      </c>
      <c r="C2392" s="129" t="s">
        <v>7</v>
      </c>
      <c r="D2392">
        <v>330000000</v>
      </c>
      <c r="E2392">
        <v>1100010000</v>
      </c>
      <c r="F2392">
        <v>10000000</v>
      </c>
      <c r="G2392" s="129" t="s">
        <v>46</v>
      </c>
      <c r="H2392" s="129" t="s">
        <v>47</v>
      </c>
      <c r="I2392">
        <v>0</v>
      </c>
      <c r="J2392">
        <v>0</v>
      </c>
      <c r="K2392" s="129" t="s">
        <v>1962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s="129" t="s">
        <v>2836</v>
      </c>
      <c r="B2393" s="129" t="s">
        <v>51</v>
      </c>
      <c r="C2393" s="129" t="s">
        <v>7</v>
      </c>
      <c r="D2393">
        <v>1100000000</v>
      </c>
      <c r="E2393">
        <v>1101000000</v>
      </c>
      <c r="F2393">
        <v>10000000</v>
      </c>
      <c r="G2393" s="129" t="s">
        <v>46</v>
      </c>
      <c r="H2393" s="129" t="s">
        <v>47</v>
      </c>
      <c r="I2393">
        <v>0</v>
      </c>
      <c r="J2393">
        <v>0</v>
      </c>
      <c r="K2393" s="129" t="s">
        <v>1962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s="129" t="s">
        <v>2568</v>
      </c>
      <c r="B2394" s="129" t="s">
        <v>65</v>
      </c>
      <c r="C2394" s="129" t="s">
        <v>44</v>
      </c>
      <c r="D2394">
        <v>1.0000000000000001E-5</v>
      </c>
      <c r="E2394">
        <v>1.0399999999999999E-4</v>
      </c>
      <c r="F2394">
        <v>1.0000000000000001E-9</v>
      </c>
      <c r="G2394" s="129" t="s">
        <v>13</v>
      </c>
      <c r="H2394" s="129" t="s">
        <v>11</v>
      </c>
      <c r="I2394">
        <v>1.0000000000000001E-5</v>
      </c>
      <c r="J2394">
        <v>2E-3</v>
      </c>
      <c r="K2394" s="129" t="s">
        <v>2658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s="129" t="s">
        <v>2569</v>
      </c>
      <c r="B2395" s="129" t="s">
        <v>65</v>
      </c>
      <c r="C2395" s="129" t="s">
        <v>44</v>
      </c>
      <c r="D2395">
        <v>1.0000000000000001E-5</v>
      </c>
      <c r="E2395">
        <v>1.0399999999999999E-4</v>
      </c>
      <c r="F2395">
        <v>1E-8</v>
      </c>
      <c r="G2395" s="129" t="s">
        <v>13</v>
      </c>
      <c r="H2395" s="129" t="s">
        <v>11</v>
      </c>
      <c r="I2395">
        <v>1.0000000000000001E-5</v>
      </c>
      <c r="J2395">
        <v>2E-3</v>
      </c>
      <c r="K2395" s="129" t="s">
        <v>2658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s="129" t="s">
        <v>2573</v>
      </c>
      <c r="B2396" s="129" t="s">
        <v>65</v>
      </c>
      <c r="C2396" s="129" t="s">
        <v>44</v>
      </c>
      <c r="D2396">
        <v>1E-4</v>
      </c>
      <c r="E2396">
        <v>1.0399999999999999E-3</v>
      </c>
      <c r="F2396">
        <v>1E-8</v>
      </c>
      <c r="G2396" s="129" t="s">
        <v>13</v>
      </c>
      <c r="H2396" s="129" t="s">
        <v>11</v>
      </c>
      <c r="I2396">
        <v>1.0000000000000001E-5</v>
      </c>
      <c r="J2396">
        <v>2E-3</v>
      </c>
      <c r="K2396" s="129" t="s">
        <v>2658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s="129" t="s">
        <v>2570</v>
      </c>
      <c r="B2397" s="129" t="s">
        <v>65</v>
      </c>
      <c r="C2397" s="129" t="s">
        <v>44</v>
      </c>
      <c r="D2397">
        <v>1.0000000000000001E-5</v>
      </c>
      <c r="E2397">
        <v>1.0399999999999999E-4</v>
      </c>
      <c r="F2397">
        <v>9.9999999999999995E-8</v>
      </c>
      <c r="G2397" s="129" t="s">
        <v>13</v>
      </c>
      <c r="H2397" s="129" t="s">
        <v>11</v>
      </c>
      <c r="I2397">
        <v>1.0000000000000001E-5</v>
      </c>
      <c r="J2397">
        <v>2E-3</v>
      </c>
      <c r="K2397" s="129" t="s">
        <v>2658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s="129" t="s">
        <v>2574</v>
      </c>
      <c r="B2398" s="129" t="s">
        <v>65</v>
      </c>
      <c r="C2398" s="129" t="s">
        <v>44</v>
      </c>
      <c r="D2398">
        <v>1E-4</v>
      </c>
      <c r="E2398">
        <v>1.0399999999999999E-3</v>
      </c>
      <c r="F2398">
        <v>9.9999999999999995E-8</v>
      </c>
      <c r="G2398" s="129" t="s">
        <v>13</v>
      </c>
      <c r="H2398" s="129" t="s">
        <v>11</v>
      </c>
      <c r="I2398">
        <v>1.0000000000000001E-5</v>
      </c>
      <c r="J2398">
        <v>2E-3</v>
      </c>
      <c r="K2398" s="129" t="s">
        <v>2658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s="129" t="s">
        <v>2578</v>
      </c>
      <c r="B2399" s="129" t="s">
        <v>65</v>
      </c>
      <c r="C2399" s="129" t="s">
        <v>44</v>
      </c>
      <c r="D2399">
        <v>1E-3</v>
      </c>
      <c r="E2399">
        <v>1.04E-2</v>
      </c>
      <c r="F2399">
        <v>9.9999999999999995E-8</v>
      </c>
      <c r="G2399" s="129" t="s">
        <v>13</v>
      </c>
      <c r="H2399" s="129" t="s">
        <v>11</v>
      </c>
      <c r="I2399">
        <v>1.0000000000000001E-5</v>
      </c>
      <c r="J2399">
        <v>2E-3</v>
      </c>
      <c r="K2399" s="129" t="s">
        <v>2658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s="129" t="s">
        <v>2571</v>
      </c>
      <c r="B2400" s="129" t="s">
        <v>65</v>
      </c>
      <c r="C2400" s="129" t="s">
        <v>44</v>
      </c>
      <c r="D2400">
        <v>1.0000000000000001E-5</v>
      </c>
      <c r="E2400">
        <v>1.0399999999999999E-4</v>
      </c>
      <c r="F2400">
        <v>9.9999999999999995E-7</v>
      </c>
      <c r="G2400" s="129" t="s">
        <v>13</v>
      </c>
      <c r="H2400" s="129" t="s">
        <v>11</v>
      </c>
      <c r="I2400">
        <v>1.0000000000000001E-5</v>
      </c>
      <c r="J2400">
        <v>2E-3</v>
      </c>
      <c r="K2400" s="129" t="s">
        <v>2658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s="129" t="s">
        <v>2575</v>
      </c>
      <c r="B2401" s="129" t="s">
        <v>65</v>
      </c>
      <c r="C2401" s="129" t="s">
        <v>44</v>
      </c>
      <c r="D2401">
        <v>1E-4</v>
      </c>
      <c r="E2401">
        <v>1.0399999999999999E-3</v>
      </c>
      <c r="F2401">
        <v>9.9999999999999995E-7</v>
      </c>
      <c r="G2401" s="129" t="s">
        <v>13</v>
      </c>
      <c r="H2401" s="129" t="s">
        <v>11</v>
      </c>
      <c r="I2401">
        <v>1.0000000000000001E-5</v>
      </c>
      <c r="J2401">
        <v>2E-3</v>
      </c>
      <c r="K2401" s="129" t="s">
        <v>2658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s="129" t="s">
        <v>2579</v>
      </c>
      <c r="B2402" s="129" t="s">
        <v>65</v>
      </c>
      <c r="C2402" s="129" t="s">
        <v>44</v>
      </c>
      <c r="D2402">
        <v>1E-3</v>
      </c>
      <c r="E2402">
        <v>1.04E-2</v>
      </c>
      <c r="F2402">
        <v>9.9999999999999995E-7</v>
      </c>
      <c r="G2402" s="129" t="s">
        <v>13</v>
      </c>
      <c r="H2402" s="129" t="s">
        <v>11</v>
      </c>
      <c r="I2402">
        <v>1.0000000000000001E-5</v>
      </c>
      <c r="J2402">
        <v>2E-3</v>
      </c>
      <c r="K2402" s="129" t="s">
        <v>2658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s="129" t="s">
        <v>2583</v>
      </c>
      <c r="B2403" s="129" t="s">
        <v>65</v>
      </c>
      <c r="C2403" s="129" t="s">
        <v>44</v>
      </c>
      <c r="D2403">
        <v>0.01</v>
      </c>
      <c r="E2403">
        <v>0.104</v>
      </c>
      <c r="F2403">
        <v>9.9999999999999995E-7</v>
      </c>
      <c r="G2403" s="129" t="s">
        <v>13</v>
      </c>
      <c r="H2403" s="129" t="s">
        <v>11</v>
      </c>
      <c r="I2403">
        <v>1.0000000000000001E-5</v>
      </c>
      <c r="J2403">
        <v>2E-3</v>
      </c>
      <c r="K2403" s="129" t="s">
        <v>2658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s="129" t="s">
        <v>2572</v>
      </c>
      <c r="B2404" s="129" t="s">
        <v>65</v>
      </c>
      <c r="C2404" s="129" t="s">
        <v>44</v>
      </c>
      <c r="D2404">
        <v>1.0000000000000001E-5</v>
      </c>
      <c r="E2404">
        <v>1.0399999999999999E-4</v>
      </c>
      <c r="F2404">
        <v>1.0000000000000001E-5</v>
      </c>
      <c r="G2404" s="129" t="s">
        <v>13</v>
      </c>
      <c r="H2404" s="129" t="s">
        <v>11</v>
      </c>
      <c r="I2404">
        <v>1.0000000000000001E-5</v>
      </c>
      <c r="J2404">
        <v>2E-3</v>
      </c>
      <c r="K2404" s="129" t="s">
        <v>2658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s="129" t="s">
        <v>2576</v>
      </c>
      <c r="B2405" s="129" t="s">
        <v>65</v>
      </c>
      <c r="C2405" s="129" t="s">
        <v>44</v>
      </c>
      <c r="D2405">
        <v>1E-4</v>
      </c>
      <c r="E2405">
        <v>1.0399999999999999E-3</v>
      </c>
      <c r="F2405">
        <v>1.0000000000000001E-5</v>
      </c>
      <c r="G2405" s="129" t="s">
        <v>13</v>
      </c>
      <c r="H2405" s="129" t="s">
        <v>11</v>
      </c>
      <c r="I2405">
        <v>1.0000000000000001E-5</v>
      </c>
      <c r="J2405">
        <v>2E-3</v>
      </c>
      <c r="K2405" s="129" t="s">
        <v>2658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s="129" t="s">
        <v>2580</v>
      </c>
      <c r="B2406" s="129" t="s">
        <v>65</v>
      </c>
      <c r="C2406" s="129" t="s">
        <v>44</v>
      </c>
      <c r="D2406">
        <v>1E-3</v>
      </c>
      <c r="E2406">
        <v>1.04E-2</v>
      </c>
      <c r="F2406">
        <v>1.0000000000000001E-5</v>
      </c>
      <c r="G2406" s="129" t="s">
        <v>13</v>
      </c>
      <c r="H2406" s="129" t="s">
        <v>11</v>
      </c>
      <c r="I2406">
        <v>1.0000000000000001E-5</v>
      </c>
      <c r="J2406">
        <v>2E-3</v>
      </c>
      <c r="K2406" s="129" t="s">
        <v>2658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s="129" t="s">
        <v>2584</v>
      </c>
      <c r="B2407" s="129" t="s">
        <v>65</v>
      </c>
      <c r="C2407" s="129" t="s">
        <v>44</v>
      </c>
      <c r="D2407">
        <v>0.01</v>
      </c>
      <c r="E2407">
        <v>0.104</v>
      </c>
      <c r="F2407">
        <v>1.0000000000000001E-5</v>
      </c>
      <c r="G2407" s="129" t="s">
        <v>13</v>
      </c>
      <c r="H2407" s="129" t="s">
        <v>11</v>
      </c>
      <c r="I2407">
        <v>1.0000000000000001E-5</v>
      </c>
      <c r="J2407">
        <v>2E-3</v>
      </c>
      <c r="K2407" s="129" t="s">
        <v>2658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s="129" t="s">
        <v>2588</v>
      </c>
      <c r="B2408" s="129" t="s">
        <v>65</v>
      </c>
      <c r="C2408" s="129" t="s">
        <v>44</v>
      </c>
      <c r="D2408">
        <v>0.1</v>
      </c>
      <c r="E2408">
        <v>1.04</v>
      </c>
      <c r="F2408">
        <v>1.0000000000000001E-5</v>
      </c>
      <c r="G2408" s="129" t="s">
        <v>13</v>
      </c>
      <c r="H2408" s="129" t="s">
        <v>12</v>
      </c>
      <c r="I2408">
        <v>1.0000000000000001E-5</v>
      </c>
      <c r="J2408">
        <v>2E-3</v>
      </c>
      <c r="K2408" s="129" t="s">
        <v>2658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s="129" t="s">
        <v>2577</v>
      </c>
      <c r="B2409" s="129" t="s">
        <v>65</v>
      </c>
      <c r="C2409" s="129" t="s">
        <v>44</v>
      </c>
      <c r="D2409">
        <v>1E-4</v>
      </c>
      <c r="E2409">
        <v>1.0399999999999999E-3</v>
      </c>
      <c r="F2409">
        <v>1E-4</v>
      </c>
      <c r="G2409" s="129" t="s">
        <v>13</v>
      </c>
      <c r="H2409" s="129" t="s">
        <v>11</v>
      </c>
      <c r="I2409">
        <v>1.0000000000000001E-5</v>
      </c>
      <c r="J2409">
        <v>2E-3</v>
      </c>
      <c r="K2409" s="129" t="s">
        <v>2658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s="129" t="s">
        <v>2581</v>
      </c>
      <c r="B2410" s="129" t="s">
        <v>65</v>
      </c>
      <c r="C2410" s="129" t="s">
        <v>44</v>
      </c>
      <c r="D2410">
        <v>1E-3</v>
      </c>
      <c r="E2410">
        <v>1.04E-2</v>
      </c>
      <c r="F2410">
        <v>1E-4</v>
      </c>
      <c r="G2410" s="129" t="s">
        <v>13</v>
      </c>
      <c r="H2410" s="129" t="s">
        <v>11</v>
      </c>
      <c r="I2410">
        <v>1.0000000000000001E-5</v>
      </c>
      <c r="J2410">
        <v>2E-3</v>
      </c>
      <c r="K2410" s="129" t="s">
        <v>2658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s="129" t="s">
        <v>2585</v>
      </c>
      <c r="B2411" s="129" t="s">
        <v>65</v>
      </c>
      <c r="C2411" s="129" t="s">
        <v>44</v>
      </c>
      <c r="D2411">
        <v>0.01</v>
      </c>
      <c r="E2411">
        <v>0.104</v>
      </c>
      <c r="F2411">
        <v>1E-4</v>
      </c>
      <c r="G2411" s="129" t="s">
        <v>13</v>
      </c>
      <c r="H2411" s="129" t="s">
        <v>11</v>
      </c>
      <c r="I2411">
        <v>1.0000000000000001E-5</v>
      </c>
      <c r="J2411">
        <v>2E-3</v>
      </c>
      <c r="K2411" s="129" t="s">
        <v>2658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s="129" t="s">
        <v>2589</v>
      </c>
      <c r="B2412" s="129" t="s">
        <v>65</v>
      </c>
      <c r="C2412" s="129" t="s">
        <v>44</v>
      </c>
      <c r="D2412">
        <v>0.1</v>
      </c>
      <c r="E2412">
        <v>1.04</v>
      </c>
      <c r="F2412">
        <v>1E-4</v>
      </c>
      <c r="G2412" s="129" t="s">
        <v>13</v>
      </c>
      <c r="H2412" s="129" t="s">
        <v>12</v>
      </c>
      <c r="I2412">
        <v>1.0000000000000001E-5</v>
      </c>
      <c r="J2412">
        <v>2E-3</v>
      </c>
      <c r="K2412" s="129" t="s">
        <v>2658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s="129" t="s">
        <v>2593</v>
      </c>
      <c r="B2413" s="129" t="s">
        <v>65</v>
      </c>
      <c r="C2413" s="129" t="s">
        <v>44</v>
      </c>
      <c r="D2413">
        <v>1</v>
      </c>
      <c r="E2413">
        <v>10.4</v>
      </c>
      <c r="F2413">
        <v>1E-4</v>
      </c>
      <c r="G2413" s="129" t="s">
        <v>13</v>
      </c>
      <c r="H2413" s="129" t="s">
        <v>12</v>
      </c>
      <c r="I2413">
        <v>1.0000000000000001E-5</v>
      </c>
      <c r="J2413">
        <v>2E-3</v>
      </c>
      <c r="K2413" s="129" t="s">
        <v>2658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s="129" t="s">
        <v>2582</v>
      </c>
      <c r="B2414" s="129" t="s">
        <v>65</v>
      </c>
      <c r="C2414" s="129" t="s">
        <v>44</v>
      </c>
      <c r="D2414">
        <v>1E-3</v>
      </c>
      <c r="E2414">
        <v>1.04E-2</v>
      </c>
      <c r="F2414">
        <v>1E-3</v>
      </c>
      <c r="G2414" s="129" t="s">
        <v>13</v>
      </c>
      <c r="H2414" s="129" t="s">
        <v>11</v>
      </c>
      <c r="I2414">
        <v>1.0000000000000001E-5</v>
      </c>
      <c r="J2414">
        <v>2E-3</v>
      </c>
      <c r="K2414" s="129" t="s">
        <v>2658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s="129" t="s">
        <v>2586</v>
      </c>
      <c r="B2415" s="129" t="s">
        <v>65</v>
      </c>
      <c r="C2415" s="129" t="s">
        <v>44</v>
      </c>
      <c r="D2415">
        <v>0.01</v>
      </c>
      <c r="E2415">
        <v>0.104</v>
      </c>
      <c r="F2415">
        <v>1E-3</v>
      </c>
      <c r="G2415" s="129" t="s">
        <v>13</v>
      </c>
      <c r="H2415" s="129" t="s">
        <v>11</v>
      </c>
      <c r="I2415">
        <v>1.0000000000000001E-5</v>
      </c>
      <c r="J2415">
        <v>2E-3</v>
      </c>
      <c r="K2415" s="129" t="s">
        <v>2658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s="129" t="s">
        <v>2590</v>
      </c>
      <c r="B2416" s="129" t="s">
        <v>65</v>
      </c>
      <c r="C2416" s="129" t="s">
        <v>44</v>
      </c>
      <c r="D2416">
        <v>0.1</v>
      </c>
      <c r="E2416">
        <v>1.04</v>
      </c>
      <c r="F2416">
        <v>1E-3</v>
      </c>
      <c r="G2416" s="129" t="s">
        <v>13</v>
      </c>
      <c r="H2416" s="129" t="s">
        <v>12</v>
      </c>
      <c r="I2416">
        <v>1.0000000000000001E-5</v>
      </c>
      <c r="J2416">
        <v>2E-3</v>
      </c>
      <c r="K2416" s="129" t="s">
        <v>2658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s="129" t="s">
        <v>2594</v>
      </c>
      <c r="B2417" s="129" t="s">
        <v>65</v>
      </c>
      <c r="C2417" s="129" t="s">
        <v>44</v>
      </c>
      <c r="D2417">
        <v>1</v>
      </c>
      <c r="E2417">
        <v>10.4</v>
      </c>
      <c r="F2417">
        <v>1E-3</v>
      </c>
      <c r="G2417" s="129" t="s">
        <v>13</v>
      </c>
      <c r="H2417" s="129" t="s">
        <v>12</v>
      </c>
      <c r="I2417">
        <v>1.0000000000000001E-5</v>
      </c>
      <c r="J2417">
        <v>2E-3</v>
      </c>
      <c r="K2417" s="129" t="s">
        <v>2658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s="129" t="s">
        <v>2587</v>
      </c>
      <c r="B2418" s="129" t="s">
        <v>65</v>
      </c>
      <c r="C2418" s="129" t="s">
        <v>44</v>
      </c>
      <c r="D2418">
        <v>0.01</v>
      </c>
      <c r="E2418">
        <v>0.104</v>
      </c>
      <c r="F2418">
        <v>0.01</v>
      </c>
      <c r="G2418" s="129" t="s">
        <v>13</v>
      </c>
      <c r="H2418" s="129" t="s">
        <v>11</v>
      </c>
      <c r="I2418">
        <v>1.0000000000000001E-5</v>
      </c>
      <c r="J2418">
        <v>2E-3</v>
      </c>
      <c r="K2418" s="129" t="s">
        <v>2658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s="129" t="s">
        <v>2591</v>
      </c>
      <c r="B2419" s="129" t="s">
        <v>65</v>
      </c>
      <c r="C2419" s="129" t="s">
        <v>44</v>
      </c>
      <c r="D2419">
        <v>0.1</v>
      </c>
      <c r="E2419">
        <v>1.04</v>
      </c>
      <c r="F2419">
        <v>0.01</v>
      </c>
      <c r="G2419" s="129" t="s">
        <v>13</v>
      </c>
      <c r="H2419" s="129" t="s">
        <v>12</v>
      </c>
      <c r="I2419">
        <v>1.0000000000000001E-5</v>
      </c>
      <c r="J2419">
        <v>2E-3</v>
      </c>
      <c r="K2419" s="129" t="s">
        <v>2658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s="129" t="s">
        <v>2595</v>
      </c>
      <c r="B2420" s="129" t="s">
        <v>65</v>
      </c>
      <c r="C2420" s="129" t="s">
        <v>44</v>
      </c>
      <c r="D2420">
        <v>1</v>
      </c>
      <c r="E2420">
        <v>10.4</v>
      </c>
      <c r="F2420">
        <v>0.01</v>
      </c>
      <c r="G2420" s="129" t="s">
        <v>13</v>
      </c>
      <c r="H2420" s="129" t="s">
        <v>12</v>
      </c>
      <c r="I2420">
        <v>1.0000000000000001E-5</v>
      </c>
      <c r="J2420">
        <v>2E-3</v>
      </c>
      <c r="K2420" s="129" t="s">
        <v>2658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s="129" t="s">
        <v>2592</v>
      </c>
      <c r="B2421" s="129" t="s">
        <v>65</v>
      </c>
      <c r="C2421" s="129" t="s">
        <v>44</v>
      </c>
      <c r="D2421">
        <v>0.1</v>
      </c>
      <c r="E2421">
        <v>1.04</v>
      </c>
      <c r="F2421">
        <v>0.1</v>
      </c>
      <c r="G2421" s="129" t="s">
        <v>13</v>
      </c>
      <c r="H2421" s="129" t="s">
        <v>12</v>
      </c>
      <c r="I2421">
        <v>1.0000000000000001E-5</v>
      </c>
      <c r="J2421">
        <v>2E-3</v>
      </c>
      <c r="K2421" s="129" t="s">
        <v>2658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s="129" t="s">
        <v>2596</v>
      </c>
      <c r="B2422" s="129" t="s">
        <v>65</v>
      </c>
      <c r="C2422" s="129" t="s">
        <v>44</v>
      </c>
      <c r="D2422">
        <v>1</v>
      </c>
      <c r="E2422">
        <v>10.4</v>
      </c>
      <c r="F2422">
        <v>0.1</v>
      </c>
      <c r="G2422" s="129" t="s">
        <v>13</v>
      </c>
      <c r="H2422" s="129" t="s">
        <v>12</v>
      </c>
      <c r="I2422">
        <v>1.0000000000000001E-5</v>
      </c>
      <c r="J2422">
        <v>2E-3</v>
      </c>
      <c r="K2422" s="129" t="s">
        <v>2658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s="129" t="s">
        <v>2597</v>
      </c>
      <c r="B2423" s="129" t="s">
        <v>65</v>
      </c>
      <c r="C2423" s="129" t="s">
        <v>44</v>
      </c>
      <c r="D2423">
        <v>1</v>
      </c>
      <c r="E2423">
        <v>10.4</v>
      </c>
      <c r="F2423">
        <v>1</v>
      </c>
      <c r="G2423" s="129" t="s">
        <v>13</v>
      </c>
      <c r="H2423" s="129" t="s">
        <v>12</v>
      </c>
      <c r="I2423">
        <v>1.0000000000000001E-5</v>
      </c>
      <c r="J2423">
        <v>2E-3</v>
      </c>
      <c r="K2423" s="129" t="s">
        <v>2658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s="129" t="s">
        <v>2528</v>
      </c>
      <c r="B2424" s="129" t="s">
        <v>65</v>
      </c>
      <c r="C2424" s="129" t="s">
        <v>8</v>
      </c>
      <c r="D2424">
        <v>0</v>
      </c>
      <c r="E2424">
        <v>0.1</v>
      </c>
      <c r="F2424">
        <v>9.9999999999999995E-7</v>
      </c>
      <c r="G2424" s="129" t="s">
        <v>6</v>
      </c>
      <c r="H2424" s="129" t="s">
        <v>5</v>
      </c>
      <c r="I2424">
        <v>1.0000000000000001E-5</v>
      </c>
      <c r="J2424">
        <v>2E-3</v>
      </c>
      <c r="K2424" s="129" t="s">
        <v>2658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s="129" t="s">
        <v>2533</v>
      </c>
      <c r="B2425" s="129" t="s">
        <v>65</v>
      </c>
      <c r="C2425" s="129" t="s">
        <v>8</v>
      </c>
      <c r="D2425">
        <v>0</v>
      </c>
      <c r="E2425">
        <v>0.1</v>
      </c>
      <c r="F2425">
        <v>9.9999999999999995E-7</v>
      </c>
      <c r="G2425" s="129" t="s">
        <v>6</v>
      </c>
      <c r="H2425" s="129" t="s">
        <v>5</v>
      </c>
      <c r="I2425">
        <v>2E-3</v>
      </c>
      <c r="J2425">
        <v>0.02</v>
      </c>
      <c r="K2425" s="129" t="s">
        <v>2658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s="129" t="s">
        <v>2529</v>
      </c>
      <c r="B2426" s="129" t="s">
        <v>65</v>
      </c>
      <c r="C2426" s="129" t="s">
        <v>8</v>
      </c>
      <c r="D2426">
        <v>0</v>
      </c>
      <c r="E2426">
        <v>0.1</v>
      </c>
      <c r="F2426">
        <v>1.0000000000000001E-5</v>
      </c>
      <c r="G2426" s="129" t="s">
        <v>6</v>
      </c>
      <c r="H2426" s="129" t="s">
        <v>5</v>
      </c>
      <c r="I2426">
        <v>1.0000000000000001E-5</v>
      </c>
      <c r="J2426">
        <v>2E-3</v>
      </c>
      <c r="K2426" s="129" t="s">
        <v>2658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s="129" t="s">
        <v>2534</v>
      </c>
      <c r="B2427" s="129" t="s">
        <v>65</v>
      </c>
      <c r="C2427" s="129" t="s">
        <v>8</v>
      </c>
      <c r="D2427">
        <v>0</v>
      </c>
      <c r="E2427">
        <v>0.1</v>
      </c>
      <c r="F2427">
        <v>1.0000000000000001E-5</v>
      </c>
      <c r="G2427" s="129" t="s">
        <v>6</v>
      </c>
      <c r="H2427" s="129" t="s">
        <v>5</v>
      </c>
      <c r="I2427">
        <v>2E-3</v>
      </c>
      <c r="J2427">
        <v>0.02</v>
      </c>
      <c r="K2427" s="129" t="s">
        <v>2658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s="129" t="s">
        <v>2538</v>
      </c>
      <c r="B2428" s="129" t="s">
        <v>65</v>
      </c>
      <c r="C2428" s="129" t="s">
        <v>8</v>
      </c>
      <c r="D2428">
        <v>0.1</v>
      </c>
      <c r="E2428">
        <v>1</v>
      </c>
      <c r="F2428">
        <v>1.0000000000000001E-5</v>
      </c>
      <c r="G2428" s="129" t="s">
        <v>6</v>
      </c>
      <c r="H2428" s="129" t="s">
        <v>5</v>
      </c>
      <c r="I2428">
        <v>1.0000000000000001E-5</v>
      </c>
      <c r="J2428">
        <v>2E-3</v>
      </c>
      <c r="K2428" s="129" t="s">
        <v>2658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s="129" t="s">
        <v>2543</v>
      </c>
      <c r="B2429" s="129" t="s">
        <v>65</v>
      </c>
      <c r="C2429" s="129" t="s">
        <v>8</v>
      </c>
      <c r="D2429">
        <v>0.1</v>
      </c>
      <c r="E2429">
        <v>1</v>
      </c>
      <c r="F2429">
        <v>1.0000000000000001E-5</v>
      </c>
      <c r="G2429" s="129" t="s">
        <v>6</v>
      </c>
      <c r="H2429" s="129" t="s">
        <v>5</v>
      </c>
      <c r="I2429">
        <v>2E-3</v>
      </c>
      <c r="J2429">
        <v>0.02</v>
      </c>
      <c r="K2429" s="129" t="s">
        <v>2658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s="129" t="s">
        <v>2530</v>
      </c>
      <c r="B2430" s="129" t="s">
        <v>65</v>
      </c>
      <c r="C2430" s="129" t="s">
        <v>8</v>
      </c>
      <c r="D2430">
        <v>0</v>
      </c>
      <c r="E2430">
        <v>0.1</v>
      </c>
      <c r="F2430">
        <v>1E-4</v>
      </c>
      <c r="G2430" s="129" t="s">
        <v>6</v>
      </c>
      <c r="H2430" s="129" t="s">
        <v>5</v>
      </c>
      <c r="I2430">
        <v>1.0000000000000001E-5</v>
      </c>
      <c r="J2430">
        <v>2E-3</v>
      </c>
      <c r="K2430" s="129" t="s">
        <v>2658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s="129" t="s">
        <v>2535</v>
      </c>
      <c r="B2431" s="129" t="s">
        <v>65</v>
      </c>
      <c r="C2431" s="129" t="s">
        <v>8</v>
      </c>
      <c r="D2431">
        <v>0</v>
      </c>
      <c r="E2431">
        <v>0.1</v>
      </c>
      <c r="F2431">
        <v>1E-4</v>
      </c>
      <c r="G2431" s="129" t="s">
        <v>6</v>
      </c>
      <c r="H2431" s="129" t="s">
        <v>5</v>
      </c>
      <c r="I2431">
        <v>2E-3</v>
      </c>
      <c r="J2431">
        <v>0.02</v>
      </c>
      <c r="K2431" s="129" t="s">
        <v>2658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s="129" t="s">
        <v>2539</v>
      </c>
      <c r="B2432" s="129" t="s">
        <v>65</v>
      </c>
      <c r="C2432" s="129" t="s">
        <v>8</v>
      </c>
      <c r="D2432">
        <v>0.1</v>
      </c>
      <c r="E2432">
        <v>1</v>
      </c>
      <c r="F2432">
        <v>1E-4</v>
      </c>
      <c r="G2432" s="129" t="s">
        <v>6</v>
      </c>
      <c r="H2432" s="129" t="s">
        <v>5</v>
      </c>
      <c r="I2432">
        <v>1.0000000000000001E-5</v>
      </c>
      <c r="J2432">
        <v>2E-3</v>
      </c>
      <c r="K2432" s="129" t="s">
        <v>2658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s="129" t="s">
        <v>2544</v>
      </c>
      <c r="B2433" s="129" t="s">
        <v>65</v>
      </c>
      <c r="C2433" s="129" t="s">
        <v>8</v>
      </c>
      <c r="D2433">
        <v>0.1</v>
      </c>
      <c r="E2433">
        <v>1</v>
      </c>
      <c r="F2433">
        <v>1E-4</v>
      </c>
      <c r="G2433" s="129" t="s">
        <v>6</v>
      </c>
      <c r="H2433" s="129" t="s">
        <v>5</v>
      </c>
      <c r="I2433">
        <v>2E-3</v>
      </c>
      <c r="J2433">
        <v>0.02</v>
      </c>
      <c r="K2433" s="129" t="s">
        <v>2658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s="129" t="s">
        <v>2548</v>
      </c>
      <c r="B2434" s="129" t="s">
        <v>65</v>
      </c>
      <c r="C2434" s="129" t="s">
        <v>8</v>
      </c>
      <c r="D2434">
        <v>1</v>
      </c>
      <c r="E2434">
        <v>10</v>
      </c>
      <c r="F2434">
        <v>1E-4</v>
      </c>
      <c r="G2434" s="129" t="s">
        <v>6</v>
      </c>
      <c r="H2434" s="129" t="s">
        <v>4</v>
      </c>
      <c r="I2434">
        <v>1.0000000000000001E-5</v>
      </c>
      <c r="J2434">
        <v>2E-3</v>
      </c>
      <c r="K2434" s="129" t="s">
        <v>2658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s="129" t="s">
        <v>2553</v>
      </c>
      <c r="B2435" s="129" t="s">
        <v>65</v>
      </c>
      <c r="C2435" s="129" t="s">
        <v>8</v>
      </c>
      <c r="D2435">
        <v>1</v>
      </c>
      <c r="E2435">
        <v>10</v>
      </c>
      <c r="F2435">
        <v>1E-4</v>
      </c>
      <c r="G2435" s="129" t="s">
        <v>6</v>
      </c>
      <c r="H2435" s="129" t="s">
        <v>4</v>
      </c>
      <c r="I2435">
        <v>2E-3</v>
      </c>
      <c r="J2435">
        <v>0.02</v>
      </c>
      <c r="K2435" s="129" t="s">
        <v>2658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s="129" t="s">
        <v>2531</v>
      </c>
      <c r="B2436" s="129" t="s">
        <v>65</v>
      </c>
      <c r="C2436" s="129" t="s">
        <v>8</v>
      </c>
      <c r="D2436">
        <v>0</v>
      </c>
      <c r="E2436">
        <v>0.1</v>
      </c>
      <c r="F2436">
        <v>1E-3</v>
      </c>
      <c r="G2436" s="129" t="s">
        <v>6</v>
      </c>
      <c r="H2436" s="129" t="s">
        <v>5</v>
      </c>
      <c r="I2436">
        <v>1.0000000000000001E-5</v>
      </c>
      <c r="J2436">
        <v>2E-3</v>
      </c>
      <c r="K2436" s="129" t="s">
        <v>2658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s="129" t="s">
        <v>2536</v>
      </c>
      <c r="B2437" s="129" t="s">
        <v>65</v>
      </c>
      <c r="C2437" s="129" t="s">
        <v>8</v>
      </c>
      <c r="D2437">
        <v>0</v>
      </c>
      <c r="E2437">
        <v>0.1</v>
      </c>
      <c r="F2437">
        <v>1E-3</v>
      </c>
      <c r="G2437" s="129" t="s">
        <v>6</v>
      </c>
      <c r="H2437" s="129" t="s">
        <v>5</v>
      </c>
      <c r="I2437">
        <v>2E-3</v>
      </c>
      <c r="J2437">
        <v>0.02</v>
      </c>
      <c r="K2437" s="129" t="s">
        <v>2658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s="129" t="s">
        <v>2540</v>
      </c>
      <c r="B2438" s="129" t="s">
        <v>65</v>
      </c>
      <c r="C2438" s="129" t="s">
        <v>8</v>
      </c>
      <c r="D2438">
        <v>0.1</v>
      </c>
      <c r="E2438">
        <v>1</v>
      </c>
      <c r="F2438">
        <v>1E-3</v>
      </c>
      <c r="G2438" s="129" t="s">
        <v>6</v>
      </c>
      <c r="H2438" s="129" t="s">
        <v>5</v>
      </c>
      <c r="I2438">
        <v>1.0000000000000001E-5</v>
      </c>
      <c r="J2438">
        <v>2E-3</v>
      </c>
      <c r="K2438" s="129" t="s">
        <v>2658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s="129" t="s">
        <v>2545</v>
      </c>
      <c r="B2439" s="129" t="s">
        <v>65</v>
      </c>
      <c r="C2439" s="129" t="s">
        <v>8</v>
      </c>
      <c r="D2439">
        <v>0.1</v>
      </c>
      <c r="E2439">
        <v>1</v>
      </c>
      <c r="F2439">
        <v>1E-3</v>
      </c>
      <c r="G2439" s="129" t="s">
        <v>6</v>
      </c>
      <c r="H2439" s="129" t="s">
        <v>5</v>
      </c>
      <c r="I2439">
        <v>2E-3</v>
      </c>
      <c r="J2439">
        <v>0.02</v>
      </c>
      <c r="K2439" s="129" t="s">
        <v>2658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s="129" t="s">
        <v>2549</v>
      </c>
      <c r="B2440" s="129" t="s">
        <v>65</v>
      </c>
      <c r="C2440" s="129" t="s">
        <v>8</v>
      </c>
      <c r="D2440">
        <v>1</v>
      </c>
      <c r="E2440">
        <v>10</v>
      </c>
      <c r="F2440">
        <v>1E-3</v>
      </c>
      <c r="G2440" s="129" t="s">
        <v>6</v>
      </c>
      <c r="H2440" s="129" t="s">
        <v>4</v>
      </c>
      <c r="I2440">
        <v>1.0000000000000001E-5</v>
      </c>
      <c r="J2440">
        <v>2E-3</v>
      </c>
      <c r="K2440" s="129" t="s">
        <v>2658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s="129" t="s">
        <v>2554</v>
      </c>
      <c r="B2441" s="129" t="s">
        <v>65</v>
      </c>
      <c r="C2441" s="129" t="s">
        <v>8</v>
      </c>
      <c r="D2441">
        <v>1</v>
      </c>
      <c r="E2441">
        <v>10</v>
      </c>
      <c r="F2441">
        <v>1E-3</v>
      </c>
      <c r="G2441" s="129" t="s">
        <v>6</v>
      </c>
      <c r="H2441" s="129" t="s">
        <v>4</v>
      </c>
      <c r="I2441">
        <v>2E-3</v>
      </c>
      <c r="J2441">
        <v>0.02</v>
      </c>
      <c r="K2441" s="129" t="s">
        <v>2658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s="129" t="s">
        <v>2558</v>
      </c>
      <c r="B2442" s="129" t="s">
        <v>65</v>
      </c>
      <c r="C2442" s="129" t="s">
        <v>8</v>
      </c>
      <c r="D2442">
        <v>10</v>
      </c>
      <c r="E2442">
        <v>100</v>
      </c>
      <c r="F2442">
        <v>1E-3</v>
      </c>
      <c r="G2442" s="129" t="s">
        <v>6</v>
      </c>
      <c r="H2442" s="129" t="s">
        <v>4</v>
      </c>
      <c r="I2442">
        <v>4.0000000000000003E-5</v>
      </c>
      <c r="J2442">
        <v>1E-3</v>
      </c>
      <c r="K2442" s="129" t="s">
        <v>2658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s="129" t="s">
        <v>2532</v>
      </c>
      <c r="B2443" s="129" t="s">
        <v>65</v>
      </c>
      <c r="C2443" s="129" t="s">
        <v>8</v>
      </c>
      <c r="D2443">
        <v>0</v>
      </c>
      <c r="E2443">
        <v>0.1</v>
      </c>
      <c r="F2443">
        <v>0.01</v>
      </c>
      <c r="G2443" s="129" t="s">
        <v>6</v>
      </c>
      <c r="H2443" s="129" t="s">
        <v>5</v>
      </c>
      <c r="I2443">
        <v>1.0000000000000001E-5</v>
      </c>
      <c r="J2443">
        <v>2E-3</v>
      </c>
      <c r="K2443" s="129" t="s">
        <v>2658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s="129" t="s">
        <v>2537</v>
      </c>
      <c r="B2444" s="129" t="s">
        <v>65</v>
      </c>
      <c r="C2444" s="129" t="s">
        <v>8</v>
      </c>
      <c r="D2444">
        <v>0</v>
      </c>
      <c r="E2444">
        <v>0.1</v>
      </c>
      <c r="F2444">
        <v>0.01</v>
      </c>
      <c r="G2444" s="129" t="s">
        <v>6</v>
      </c>
      <c r="H2444" s="129" t="s">
        <v>5</v>
      </c>
      <c r="I2444">
        <v>2E-3</v>
      </c>
      <c r="J2444">
        <v>0.02</v>
      </c>
      <c r="K2444" s="129" t="s">
        <v>2658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s="129" t="s">
        <v>2541</v>
      </c>
      <c r="B2445" s="129" t="s">
        <v>65</v>
      </c>
      <c r="C2445" s="129" t="s">
        <v>8</v>
      </c>
      <c r="D2445">
        <v>0.1</v>
      </c>
      <c r="E2445">
        <v>1</v>
      </c>
      <c r="F2445">
        <v>0.01</v>
      </c>
      <c r="G2445" s="129" t="s">
        <v>6</v>
      </c>
      <c r="H2445" s="129" t="s">
        <v>5</v>
      </c>
      <c r="I2445">
        <v>1.0000000000000001E-5</v>
      </c>
      <c r="J2445">
        <v>2E-3</v>
      </c>
      <c r="K2445" s="129" t="s">
        <v>2658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s="129" t="s">
        <v>2546</v>
      </c>
      <c r="B2446" s="129" t="s">
        <v>65</v>
      </c>
      <c r="C2446" s="129" t="s">
        <v>8</v>
      </c>
      <c r="D2446">
        <v>0.1</v>
      </c>
      <c r="E2446">
        <v>1</v>
      </c>
      <c r="F2446">
        <v>0.01</v>
      </c>
      <c r="G2446" s="129" t="s">
        <v>6</v>
      </c>
      <c r="H2446" s="129" t="s">
        <v>5</v>
      </c>
      <c r="I2446">
        <v>2E-3</v>
      </c>
      <c r="J2446">
        <v>0.02</v>
      </c>
      <c r="K2446" s="129" t="s">
        <v>2658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s="129" t="s">
        <v>2550</v>
      </c>
      <c r="B2447" s="129" t="s">
        <v>65</v>
      </c>
      <c r="C2447" s="129" t="s">
        <v>8</v>
      </c>
      <c r="D2447">
        <v>1</v>
      </c>
      <c r="E2447">
        <v>10</v>
      </c>
      <c r="F2447">
        <v>0.01</v>
      </c>
      <c r="G2447" s="129" t="s">
        <v>6</v>
      </c>
      <c r="H2447" s="129" t="s">
        <v>4</v>
      </c>
      <c r="I2447">
        <v>1.0000000000000001E-5</v>
      </c>
      <c r="J2447">
        <v>2E-3</v>
      </c>
      <c r="K2447" s="129" t="s">
        <v>2658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s="129" t="s">
        <v>2555</v>
      </c>
      <c r="B2448" s="129" t="s">
        <v>65</v>
      </c>
      <c r="C2448" s="129" t="s">
        <v>8</v>
      </c>
      <c r="D2448">
        <v>1</v>
      </c>
      <c r="E2448">
        <v>10</v>
      </c>
      <c r="F2448">
        <v>0.01</v>
      </c>
      <c r="G2448" s="129" t="s">
        <v>6</v>
      </c>
      <c r="H2448" s="129" t="s">
        <v>4</v>
      </c>
      <c r="I2448">
        <v>2E-3</v>
      </c>
      <c r="J2448">
        <v>0.02</v>
      </c>
      <c r="K2448" s="129" t="s">
        <v>2658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s="129" t="s">
        <v>2559</v>
      </c>
      <c r="B2449" s="129" t="s">
        <v>65</v>
      </c>
      <c r="C2449" s="129" t="s">
        <v>8</v>
      </c>
      <c r="D2449">
        <v>10</v>
      </c>
      <c r="E2449">
        <v>100</v>
      </c>
      <c r="F2449">
        <v>0.01</v>
      </c>
      <c r="G2449" s="129" t="s">
        <v>6</v>
      </c>
      <c r="H2449" s="129" t="s">
        <v>4</v>
      </c>
      <c r="I2449">
        <v>4.0000000000000003E-5</v>
      </c>
      <c r="J2449">
        <v>1E-3</v>
      </c>
      <c r="K2449" s="129" t="s">
        <v>2658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s="129" t="s">
        <v>2563</v>
      </c>
      <c r="B2450" s="129" t="s">
        <v>65</v>
      </c>
      <c r="C2450" s="129" t="s">
        <v>8</v>
      </c>
      <c r="D2450">
        <v>100</v>
      </c>
      <c r="E2450">
        <v>1020</v>
      </c>
      <c r="F2450">
        <v>0.01</v>
      </c>
      <c r="G2450" s="129" t="s">
        <v>6</v>
      </c>
      <c r="H2450" s="129" t="s">
        <v>4</v>
      </c>
      <c r="I2450">
        <v>4.0000000000000003E-5</v>
      </c>
      <c r="J2450">
        <v>1E-3</v>
      </c>
      <c r="K2450" s="129" t="s">
        <v>2658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s="129" t="s">
        <v>2542</v>
      </c>
      <c r="B2451" s="129" t="s">
        <v>65</v>
      </c>
      <c r="C2451" s="129" t="s">
        <v>8</v>
      </c>
      <c r="D2451">
        <v>0.1</v>
      </c>
      <c r="E2451">
        <v>1</v>
      </c>
      <c r="F2451">
        <v>0.1</v>
      </c>
      <c r="G2451" s="129" t="s">
        <v>6</v>
      </c>
      <c r="H2451" s="129" t="s">
        <v>5</v>
      </c>
      <c r="I2451">
        <v>1.0000000000000001E-5</v>
      </c>
      <c r="J2451">
        <v>2E-3</v>
      </c>
      <c r="K2451" s="129" t="s">
        <v>2658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s="129" t="s">
        <v>2547</v>
      </c>
      <c r="B2452" s="129" t="s">
        <v>65</v>
      </c>
      <c r="C2452" s="129" t="s">
        <v>8</v>
      </c>
      <c r="D2452">
        <v>0.1</v>
      </c>
      <c r="E2452">
        <v>1</v>
      </c>
      <c r="F2452">
        <v>0.1</v>
      </c>
      <c r="G2452" s="129" t="s">
        <v>6</v>
      </c>
      <c r="H2452" s="129" t="s">
        <v>5</v>
      </c>
      <c r="I2452">
        <v>2E-3</v>
      </c>
      <c r="J2452">
        <v>0.02</v>
      </c>
      <c r="K2452" s="129" t="s">
        <v>2658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s="129" t="s">
        <v>2551</v>
      </c>
      <c r="B2453" s="129" t="s">
        <v>65</v>
      </c>
      <c r="C2453" s="129" t="s">
        <v>8</v>
      </c>
      <c r="D2453">
        <v>1</v>
      </c>
      <c r="E2453">
        <v>10</v>
      </c>
      <c r="F2453">
        <v>0.1</v>
      </c>
      <c r="G2453" s="129" t="s">
        <v>6</v>
      </c>
      <c r="H2453" s="129" t="s">
        <v>4</v>
      </c>
      <c r="I2453">
        <v>1.0000000000000001E-5</v>
      </c>
      <c r="J2453">
        <v>2E-3</v>
      </c>
      <c r="K2453" s="129" t="s">
        <v>2658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s="129" t="s">
        <v>2556</v>
      </c>
      <c r="B2454" s="129" t="s">
        <v>65</v>
      </c>
      <c r="C2454" s="129" t="s">
        <v>8</v>
      </c>
      <c r="D2454">
        <v>1</v>
      </c>
      <c r="E2454">
        <v>10</v>
      </c>
      <c r="F2454">
        <v>0.1</v>
      </c>
      <c r="G2454" s="129" t="s">
        <v>6</v>
      </c>
      <c r="H2454" s="129" t="s">
        <v>4</v>
      </c>
      <c r="I2454">
        <v>2E-3</v>
      </c>
      <c r="J2454">
        <v>0.02</v>
      </c>
      <c r="K2454" s="129" t="s">
        <v>2658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s="129" t="s">
        <v>2560</v>
      </c>
      <c r="B2455" s="129" t="s">
        <v>65</v>
      </c>
      <c r="C2455" s="129" t="s">
        <v>8</v>
      </c>
      <c r="D2455">
        <v>10</v>
      </c>
      <c r="E2455">
        <v>100</v>
      </c>
      <c r="F2455">
        <v>0.1</v>
      </c>
      <c r="G2455" s="129" t="s">
        <v>6</v>
      </c>
      <c r="H2455" s="129" t="s">
        <v>4</v>
      </c>
      <c r="I2455">
        <v>4.0000000000000003E-5</v>
      </c>
      <c r="J2455">
        <v>1E-3</v>
      </c>
      <c r="K2455" s="129" t="s">
        <v>2658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s="129" t="s">
        <v>2564</v>
      </c>
      <c r="B2456" s="129" t="s">
        <v>65</v>
      </c>
      <c r="C2456" s="129" t="s">
        <v>8</v>
      </c>
      <c r="D2456">
        <v>100</v>
      </c>
      <c r="E2456">
        <v>1020</v>
      </c>
      <c r="F2456">
        <v>0.1</v>
      </c>
      <c r="G2456" s="129" t="s">
        <v>6</v>
      </c>
      <c r="H2456" s="129" t="s">
        <v>4</v>
      </c>
      <c r="I2456">
        <v>4.0000000000000003E-5</v>
      </c>
      <c r="J2456">
        <v>1E-3</v>
      </c>
      <c r="K2456" s="129" t="s">
        <v>2658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s="129" t="s">
        <v>2552</v>
      </c>
      <c r="B2457" s="129" t="s">
        <v>65</v>
      </c>
      <c r="C2457" s="129" t="s">
        <v>8</v>
      </c>
      <c r="D2457">
        <v>1</v>
      </c>
      <c r="E2457">
        <v>10</v>
      </c>
      <c r="F2457">
        <v>1</v>
      </c>
      <c r="G2457" s="129" t="s">
        <v>6</v>
      </c>
      <c r="H2457" s="129" t="s">
        <v>4</v>
      </c>
      <c r="I2457">
        <v>1.0000000000000001E-5</v>
      </c>
      <c r="J2457">
        <v>2E-3</v>
      </c>
      <c r="K2457" s="129" t="s">
        <v>2658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s="129" t="s">
        <v>2557</v>
      </c>
      <c r="B2458" s="129" t="s">
        <v>65</v>
      </c>
      <c r="C2458" s="129" t="s">
        <v>8</v>
      </c>
      <c r="D2458">
        <v>1</v>
      </c>
      <c r="E2458">
        <v>10</v>
      </c>
      <c r="F2458">
        <v>1</v>
      </c>
      <c r="G2458" s="129" t="s">
        <v>6</v>
      </c>
      <c r="H2458" s="129" t="s">
        <v>4</v>
      </c>
      <c r="I2458">
        <v>2E-3</v>
      </c>
      <c r="J2458">
        <v>0.02</v>
      </c>
      <c r="K2458" s="129" t="s">
        <v>2658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s="129" t="s">
        <v>2561</v>
      </c>
      <c r="B2459" s="129" t="s">
        <v>65</v>
      </c>
      <c r="C2459" s="129" t="s">
        <v>8</v>
      </c>
      <c r="D2459">
        <v>10</v>
      </c>
      <c r="E2459">
        <v>100</v>
      </c>
      <c r="F2459">
        <v>1</v>
      </c>
      <c r="G2459" s="129" t="s">
        <v>6</v>
      </c>
      <c r="H2459" s="129" t="s">
        <v>4</v>
      </c>
      <c r="I2459">
        <v>4.0000000000000003E-5</v>
      </c>
      <c r="J2459">
        <v>1E-3</v>
      </c>
      <c r="K2459" s="129" t="s">
        <v>2658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s="129" t="s">
        <v>2565</v>
      </c>
      <c r="B2460" s="129" t="s">
        <v>65</v>
      </c>
      <c r="C2460" s="129" t="s">
        <v>8</v>
      </c>
      <c r="D2460">
        <v>100</v>
      </c>
      <c r="E2460">
        <v>1020</v>
      </c>
      <c r="F2460">
        <v>1</v>
      </c>
      <c r="G2460" s="129" t="s">
        <v>6</v>
      </c>
      <c r="H2460" s="129" t="s">
        <v>4</v>
      </c>
      <c r="I2460">
        <v>4.0000000000000003E-5</v>
      </c>
      <c r="J2460">
        <v>1E-3</v>
      </c>
      <c r="K2460" s="129" t="s">
        <v>2658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s="129" t="s">
        <v>2562</v>
      </c>
      <c r="B2461" s="129" t="s">
        <v>65</v>
      </c>
      <c r="C2461" s="129" t="s">
        <v>8</v>
      </c>
      <c r="D2461">
        <v>10</v>
      </c>
      <c r="E2461">
        <v>100</v>
      </c>
      <c r="F2461">
        <v>10</v>
      </c>
      <c r="G2461" s="129" t="s">
        <v>6</v>
      </c>
      <c r="H2461" s="129" t="s">
        <v>4</v>
      </c>
      <c r="I2461">
        <v>4.0000000000000003E-5</v>
      </c>
      <c r="J2461">
        <v>1E-3</v>
      </c>
      <c r="K2461" s="129" t="s">
        <v>2658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s="129" t="s">
        <v>2566</v>
      </c>
      <c r="B2462" s="129" t="s">
        <v>65</v>
      </c>
      <c r="C2462" s="129" t="s">
        <v>8</v>
      </c>
      <c r="D2462">
        <v>100</v>
      </c>
      <c r="E2462">
        <v>1020</v>
      </c>
      <c r="F2462">
        <v>10</v>
      </c>
      <c r="G2462" s="129" t="s">
        <v>6</v>
      </c>
      <c r="H2462" s="129" t="s">
        <v>4</v>
      </c>
      <c r="I2462">
        <v>4.0000000000000003E-5</v>
      </c>
      <c r="J2462">
        <v>1E-3</v>
      </c>
      <c r="K2462" s="129" t="s">
        <v>2658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s="129" t="s">
        <v>2567</v>
      </c>
      <c r="B2463" s="129" t="s">
        <v>65</v>
      </c>
      <c r="C2463" s="129" t="s">
        <v>8</v>
      </c>
      <c r="D2463">
        <v>100</v>
      </c>
      <c r="E2463">
        <v>1020</v>
      </c>
      <c r="F2463">
        <v>100</v>
      </c>
      <c r="G2463" s="129" t="s">
        <v>6</v>
      </c>
      <c r="H2463" s="129" t="s">
        <v>4</v>
      </c>
      <c r="I2463">
        <v>4.0000000000000003E-5</v>
      </c>
      <c r="J2463">
        <v>1E-3</v>
      </c>
      <c r="K2463" s="129" t="s">
        <v>2658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s="129" t="s">
        <v>957</v>
      </c>
      <c r="B2464" s="129" t="s">
        <v>65</v>
      </c>
      <c r="C2464" s="129" t="s">
        <v>14</v>
      </c>
      <c r="D2464">
        <v>1.0000000000000001E-9</v>
      </c>
      <c r="E2464">
        <v>1E-8</v>
      </c>
      <c r="F2464">
        <v>9.9999999999999998E-13</v>
      </c>
      <c r="G2464" s="129" t="s">
        <v>135</v>
      </c>
      <c r="H2464" s="129" t="s">
        <v>15</v>
      </c>
      <c r="I2464">
        <v>0</v>
      </c>
      <c r="J2464">
        <v>0</v>
      </c>
      <c r="K2464" s="129" t="s">
        <v>1962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s="129" t="s">
        <v>2598</v>
      </c>
      <c r="B2465" s="129" t="s">
        <v>65</v>
      </c>
      <c r="C2465" s="129" t="s">
        <v>14</v>
      </c>
      <c r="D2465">
        <v>1.0000000000000001E-9</v>
      </c>
      <c r="E2465">
        <v>1E-8</v>
      </c>
      <c r="F2465">
        <v>9.9999999999999994E-12</v>
      </c>
      <c r="G2465" s="129" t="s">
        <v>135</v>
      </c>
      <c r="H2465" s="129" t="s">
        <v>15</v>
      </c>
      <c r="I2465">
        <v>0</v>
      </c>
      <c r="J2465">
        <v>0</v>
      </c>
      <c r="K2465" s="129" t="s">
        <v>1962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s="129" t="s">
        <v>959</v>
      </c>
      <c r="B2466" s="129" t="s">
        <v>65</v>
      </c>
      <c r="C2466" s="129" t="s">
        <v>14</v>
      </c>
      <c r="D2466">
        <v>1E-8</v>
      </c>
      <c r="E2466">
        <v>9.9999999999999995E-8</v>
      </c>
      <c r="F2466">
        <v>9.9999999999999994E-12</v>
      </c>
      <c r="G2466" s="129" t="s">
        <v>135</v>
      </c>
      <c r="H2466" s="129" t="s">
        <v>15</v>
      </c>
      <c r="I2466">
        <v>0</v>
      </c>
      <c r="J2466">
        <v>0</v>
      </c>
      <c r="K2466" s="129" t="s">
        <v>1962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s="129" t="s">
        <v>2599</v>
      </c>
      <c r="B2467" s="129" t="s">
        <v>65</v>
      </c>
      <c r="C2467" s="129" t="s">
        <v>14</v>
      </c>
      <c r="D2467">
        <v>1.0000000000000001E-9</v>
      </c>
      <c r="E2467">
        <v>1E-8</v>
      </c>
      <c r="F2467">
        <v>1E-10</v>
      </c>
      <c r="G2467" s="129" t="s">
        <v>135</v>
      </c>
      <c r="H2467" s="129" t="s">
        <v>15</v>
      </c>
      <c r="I2467">
        <v>0</v>
      </c>
      <c r="J2467">
        <v>0</v>
      </c>
      <c r="K2467" s="129" t="s">
        <v>1962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s="129" t="s">
        <v>2601</v>
      </c>
      <c r="B2468" s="129" t="s">
        <v>65</v>
      </c>
      <c r="C2468" s="129" t="s">
        <v>14</v>
      </c>
      <c r="D2468">
        <v>1E-8</v>
      </c>
      <c r="E2468">
        <v>9.9999999999999995E-8</v>
      </c>
      <c r="F2468">
        <v>1E-10</v>
      </c>
      <c r="G2468" s="129" t="s">
        <v>135</v>
      </c>
      <c r="H2468" s="129" t="s">
        <v>15</v>
      </c>
      <c r="I2468">
        <v>0</v>
      </c>
      <c r="J2468">
        <v>0</v>
      </c>
      <c r="K2468" s="129" t="s">
        <v>1962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s="129" t="s">
        <v>963</v>
      </c>
      <c r="B2469" s="129" t="s">
        <v>65</v>
      </c>
      <c r="C2469" s="129" t="s">
        <v>14</v>
      </c>
      <c r="D2469">
        <v>9.9999999999999995E-8</v>
      </c>
      <c r="E2469">
        <v>9.9999999999999995E-7</v>
      </c>
      <c r="F2469">
        <v>1E-10</v>
      </c>
      <c r="G2469" s="129" t="s">
        <v>135</v>
      </c>
      <c r="H2469" s="129" t="s">
        <v>15</v>
      </c>
      <c r="I2469">
        <v>0</v>
      </c>
      <c r="J2469">
        <v>0</v>
      </c>
      <c r="K2469" s="129" t="s">
        <v>1962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s="129" t="s">
        <v>2600</v>
      </c>
      <c r="B2470" s="129" t="s">
        <v>65</v>
      </c>
      <c r="C2470" s="129" t="s">
        <v>14</v>
      </c>
      <c r="D2470">
        <v>1.0000000000000001E-9</v>
      </c>
      <c r="E2470">
        <v>1E-8</v>
      </c>
      <c r="F2470">
        <v>1.0000000000000001E-9</v>
      </c>
      <c r="G2470" s="129" t="s">
        <v>135</v>
      </c>
      <c r="H2470" s="129" t="s">
        <v>15</v>
      </c>
      <c r="I2470">
        <v>0</v>
      </c>
      <c r="J2470">
        <v>0</v>
      </c>
      <c r="K2470" s="129" t="s">
        <v>1962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s="129" t="s">
        <v>960</v>
      </c>
      <c r="B2471" s="129" t="s">
        <v>65</v>
      </c>
      <c r="C2471" s="129" t="s">
        <v>14</v>
      </c>
      <c r="D2471">
        <v>1E-8</v>
      </c>
      <c r="E2471">
        <v>9.9999999999999995E-8</v>
      </c>
      <c r="F2471">
        <v>1.0000000000000001E-9</v>
      </c>
      <c r="G2471" s="129" t="s">
        <v>135</v>
      </c>
      <c r="H2471" s="129" t="s">
        <v>15</v>
      </c>
      <c r="I2471">
        <v>0</v>
      </c>
      <c r="J2471">
        <v>0</v>
      </c>
      <c r="K2471" s="129" t="s">
        <v>1962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s="129" t="s">
        <v>964</v>
      </c>
      <c r="B2472" s="129" t="s">
        <v>65</v>
      </c>
      <c r="C2472" s="129" t="s">
        <v>14</v>
      </c>
      <c r="D2472">
        <v>9.9999999999999995E-8</v>
      </c>
      <c r="E2472">
        <v>9.9999999999999995E-7</v>
      </c>
      <c r="F2472">
        <v>1.0000000000000001E-9</v>
      </c>
      <c r="G2472" s="129" t="s">
        <v>135</v>
      </c>
      <c r="H2472" s="129" t="s">
        <v>15</v>
      </c>
      <c r="I2472">
        <v>0</v>
      </c>
      <c r="J2472">
        <v>0</v>
      </c>
      <c r="K2472" s="129" t="s">
        <v>1962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s="129" t="s">
        <v>958</v>
      </c>
      <c r="B2473" s="129" t="s">
        <v>65</v>
      </c>
      <c r="C2473" s="129" t="s">
        <v>14</v>
      </c>
      <c r="D2473">
        <v>1.0000000000000001E-9</v>
      </c>
      <c r="E2473">
        <v>1E-8</v>
      </c>
      <c r="F2473">
        <v>1E-8</v>
      </c>
      <c r="G2473" s="129" t="s">
        <v>135</v>
      </c>
      <c r="H2473" s="129" t="s">
        <v>15</v>
      </c>
      <c r="I2473">
        <v>0</v>
      </c>
      <c r="J2473">
        <v>0</v>
      </c>
      <c r="K2473" s="129" t="s">
        <v>1962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s="129" t="s">
        <v>961</v>
      </c>
      <c r="B2474" s="129" t="s">
        <v>65</v>
      </c>
      <c r="C2474" s="129" t="s">
        <v>14</v>
      </c>
      <c r="D2474">
        <v>1E-8</v>
      </c>
      <c r="E2474">
        <v>9.9999999999999995E-8</v>
      </c>
      <c r="F2474">
        <v>1E-8</v>
      </c>
      <c r="G2474" s="129" t="s">
        <v>135</v>
      </c>
      <c r="H2474" s="129" t="s">
        <v>15</v>
      </c>
      <c r="I2474">
        <v>0</v>
      </c>
      <c r="J2474">
        <v>0</v>
      </c>
      <c r="K2474" s="129" t="s">
        <v>1962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s="129" t="s">
        <v>965</v>
      </c>
      <c r="B2475" s="129" t="s">
        <v>65</v>
      </c>
      <c r="C2475" s="129" t="s">
        <v>14</v>
      </c>
      <c r="D2475">
        <v>9.9999999999999995E-8</v>
      </c>
      <c r="E2475">
        <v>9.9999999999999995E-7</v>
      </c>
      <c r="F2475">
        <v>1E-8</v>
      </c>
      <c r="G2475" s="129" t="s">
        <v>135</v>
      </c>
      <c r="H2475" s="129" t="s">
        <v>15</v>
      </c>
      <c r="I2475">
        <v>0</v>
      </c>
      <c r="J2475">
        <v>0</v>
      </c>
      <c r="K2475" s="129" t="s">
        <v>1962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s="129" t="s">
        <v>962</v>
      </c>
      <c r="B2476" s="129" t="s">
        <v>65</v>
      </c>
      <c r="C2476" s="129" t="s">
        <v>14</v>
      </c>
      <c r="D2476">
        <v>1E-8</v>
      </c>
      <c r="E2476">
        <v>9.9999999999999995E-8</v>
      </c>
      <c r="F2476">
        <v>9.9999999999999995E-8</v>
      </c>
      <c r="G2476" s="129" t="s">
        <v>135</v>
      </c>
      <c r="H2476" s="129" t="s">
        <v>15</v>
      </c>
      <c r="I2476">
        <v>0</v>
      </c>
      <c r="J2476">
        <v>0</v>
      </c>
      <c r="K2476" s="129" t="s">
        <v>1962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s="129" t="s">
        <v>966</v>
      </c>
      <c r="B2477" s="129" t="s">
        <v>65</v>
      </c>
      <c r="C2477" s="129" t="s">
        <v>14</v>
      </c>
      <c r="D2477">
        <v>9.9999999999999995E-8</v>
      </c>
      <c r="E2477">
        <v>9.9999999999999995E-7</v>
      </c>
      <c r="F2477">
        <v>9.9999999999999995E-8</v>
      </c>
      <c r="G2477" s="129" t="s">
        <v>135</v>
      </c>
      <c r="H2477" s="129" t="s">
        <v>15</v>
      </c>
      <c r="I2477">
        <v>0</v>
      </c>
      <c r="J2477">
        <v>0</v>
      </c>
      <c r="K2477" s="129" t="s">
        <v>1962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s="129" t="s">
        <v>967</v>
      </c>
      <c r="B2478" s="129" t="s">
        <v>65</v>
      </c>
      <c r="C2478" s="129" t="s">
        <v>14</v>
      </c>
      <c r="D2478">
        <v>9.9999999999999995E-8</v>
      </c>
      <c r="E2478">
        <v>9.9999999999999995E-7</v>
      </c>
      <c r="F2478">
        <v>9.9999999999999995E-7</v>
      </c>
      <c r="G2478" s="129" t="s">
        <v>135</v>
      </c>
      <c r="H2478" s="129" t="s">
        <v>15</v>
      </c>
      <c r="I2478">
        <v>0</v>
      </c>
      <c r="J2478">
        <v>0</v>
      </c>
      <c r="K2478" s="129" t="s">
        <v>1962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s="129" t="s">
        <v>2505</v>
      </c>
      <c r="B2479" s="129" t="s">
        <v>65</v>
      </c>
      <c r="C2479" s="129" t="s">
        <v>43</v>
      </c>
      <c r="D2479">
        <v>0</v>
      </c>
      <c r="E2479">
        <v>1E-4</v>
      </c>
      <c r="F2479">
        <v>1.0000000000000001E-9</v>
      </c>
      <c r="G2479" s="129" t="s">
        <v>13</v>
      </c>
      <c r="H2479" s="129" t="s">
        <v>67</v>
      </c>
      <c r="I2479">
        <v>0</v>
      </c>
      <c r="J2479">
        <v>0</v>
      </c>
      <c r="K2479" s="129" t="s">
        <v>1962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s="129" t="s">
        <v>946</v>
      </c>
      <c r="B2480" s="129" t="s">
        <v>65</v>
      </c>
      <c r="C2480" s="129" t="s">
        <v>43</v>
      </c>
      <c r="D2480">
        <v>0</v>
      </c>
      <c r="E2480">
        <v>1E-4</v>
      </c>
      <c r="F2480">
        <v>1E-8</v>
      </c>
      <c r="G2480" s="129" t="s">
        <v>13</v>
      </c>
      <c r="H2480" s="129" t="s">
        <v>67</v>
      </c>
      <c r="I2480">
        <v>0</v>
      </c>
      <c r="J2480">
        <v>0</v>
      </c>
      <c r="K2480" s="129" t="s">
        <v>1962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s="129" t="s">
        <v>2509</v>
      </c>
      <c r="B2481" s="129" t="s">
        <v>65</v>
      </c>
      <c r="C2481" s="129" t="s">
        <v>43</v>
      </c>
      <c r="D2481">
        <v>1E-4</v>
      </c>
      <c r="E2481">
        <v>1E-3</v>
      </c>
      <c r="F2481">
        <v>1E-8</v>
      </c>
      <c r="G2481" s="129" t="s">
        <v>13</v>
      </c>
      <c r="H2481" s="129" t="s">
        <v>67</v>
      </c>
      <c r="I2481">
        <v>0</v>
      </c>
      <c r="J2481">
        <v>0</v>
      </c>
      <c r="K2481" s="129" t="s">
        <v>1962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s="129" t="s">
        <v>2506</v>
      </c>
      <c r="B2482" s="129" t="s">
        <v>65</v>
      </c>
      <c r="C2482" s="129" t="s">
        <v>43</v>
      </c>
      <c r="D2482">
        <v>0</v>
      </c>
      <c r="E2482">
        <v>1E-4</v>
      </c>
      <c r="F2482">
        <v>9.9999999999999995E-8</v>
      </c>
      <c r="G2482" s="129" t="s">
        <v>13</v>
      </c>
      <c r="H2482" s="129" t="s">
        <v>67</v>
      </c>
      <c r="I2482">
        <v>0</v>
      </c>
      <c r="J2482">
        <v>0</v>
      </c>
      <c r="K2482" s="129" t="s">
        <v>1962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s="129" t="s">
        <v>2510</v>
      </c>
      <c r="B2483" s="129" t="s">
        <v>65</v>
      </c>
      <c r="C2483" s="129" t="s">
        <v>43</v>
      </c>
      <c r="D2483">
        <v>1E-4</v>
      </c>
      <c r="E2483">
        <v>1E-3</v>
      </c>
      <c r="F2483">
        <v>9.9999999999999995E-8</v>
      </c>
      <c r="G2483" s="129" t="s">
        <v>13</v>
      </c>
      <c r="H2483" s="129" t="s">
        <v>67</v>
      </c>
      <c r="I2483">
        <v>0</v>
      </c>
      <c r="J2483">
        <v>0</v>
      </c>
      <c r="K2483" s="129" t="s">
        <v>1962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s="129" t="s">
        <v>2513</v>
      </c>
      <c r="B2484" s="129" t="s">
        <v>65</v>
      </c>
      <c r="C2484" s="129" t="s">
        <v>43</v>
      </c>
      <c r="D2484">
        <v>1E-3</v>
      </c>
      <c r="E2484">
        <v>0.01</v>
      </c>
      <c r="F2484">
        <v>9.9999999999999995E-8</v>
      </c>
      <c r="G2484" s="129" t="s">
        <v>13</v>
      </c>
      <c r="H2484" s="129" t="s">
        <v>11</v>
      </c>
      <c r="I2484">
        <v>0</v>
      </c>
      <c r="J2484">
        <v>0</v>
      </c>
      <c r="K2484" s="129" t="s">
        <v>1962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s="129" t="s">
        <v>2507</v>
      </c>
      <c r="B2485" s="129" t="s">
        <v>65</v>
      </c>
      <c r="C2485" s="129" t="s">
        <v>43</v>
      </c>
      <c r="D2485">
        <v>0</v>
      </c>
      <c r="E2485">
        <v>1E-4</v>
      </c>
      <c r="F2485">
        <v>9.9999999999999995E-7</v>
      </c>
      <c r="G2485" s="129" t="s">
        <v>13</v>
      </c>
      <c r="H2485" s="129" t="s">
        <v>67</v>
      </c>
      <c r="I2485">
        <v>0</v>
      </c>
      <c r="J2485">
        <v>0</v>
      </c>
      <c r="K2485" s="129" t="s">
        <v>1962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s="129" t="s">
        <v>947</v>
      </c>
      <c r="B2486" s="129" t="s">
        <v>65</v>
      </c>
      <c r="C2486" s="129" t="s">
        <v>43</v>
      </c>
      <c r="D2486">
        <v>1E-4</v>
      </c>
      <c r="E2486">
        <v>1E-3</v>
      </c>
      <c r="F2486">
        <v>9.9999999999999995E-7</v>
      </c>
      <c r="G2486" s="129" t="s">
        <v>13</v>
      </c>
      <c r="H2486" s="129" t="s">
        <v>67</v>
      </c>
      <c r="I2486">
        <v>0</v>
      </c>
      <c r="J2486">
        <v>0</v>
      </c>
      <c r="K2486" s="129" t="s">
        <v>1962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s="129" t="s">
        <v>948</v>
      </c>
      <c r="B2487" s="129" t="s">
        <v>65</v>
      </c>
      <c r="C2487" s="129" t="s">
        <v>43</v>
      </c>
      <c r="D2487">
        <v>1E-3</v>
      </c>
      <c r="E2487">
        <v>0.01</v>
      </c>
      <c r="F2487">
        <v>9.9999999999999995E-7</v>
      </c>
      <c r="G2487" s="129" t="s">
        <v>13</v>
      </c>
      <c r="H2487" s="129" t="s">
        <v>11</v>
      </c>
      <c r="I2487">
        <v>0</v>
      </c>
      <c r="J2487">
        <v>0</v>
      </c>
      <c r="K2487" s="129" t="s">
        <v>1962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s="129" t="s">
        <v>950</v>
      </c>
      <c r="B2488" s="129" t="s">
        <v>65</v>
      </c>
      <c r="C2488" s="129" t="s">
        <v>43</v>
      </c>
      <c r="D2488">
        <v>0.01</v>
      </c>
      <c r="E2488">
        <v>0.1</v>
      </c>
      <c r="F2488">
        <v>9.9999999999999995E-7</v>
      </c>
      <c r="G2488" s="129" t="s">
        <v>13</v>
      </c>
      <c r="H2488" s="129" t="s">
        <v>11</v>
      </c>
      <c r="I2488">
        <v>0</v>
      </c>
      <c r="J2488">
        <v>0</v>
      </c>
      <c r="K2488" s="129" t="s">
        <v>1962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s="129" t="s">
        <v>2508</v>
      </c>
      <c r="B2489" s="129" t="s">
        <v>65</v>
      </c>
      <c r="C2489" s="129" t="s">
        <v>43</v>
      </c>
      <c r="D2489">
        <v>0</v>
      </c>
      <c r="E2489">
        <v>1E-4</v>
      </c>
      <c r="F2489">
        <v>1.0000000000000001E-5</v>
      </c>
      <c r="G2489" s="129" t="s">
        <v>13</v>
      </c>
      <c r="H2489" s="129" t="s">
        <v>67</v>
      </c>
      <c r="I2489">
        <v>0</v>
      </c>
      <c r="J2489">
        <v>0</v>
      </c>
      <c r="K2489" s="129" t="s">
        <v>1962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s="129" t="s">
        <v>2511</v>
      </c>
      <c r="B2490" s="129" t="s">
        <v>65</v>
      </c>
      <c r="C2490" s="129" t="s">
        <v>43</v>
      </c>
      <c r="D2490">
        <v>1E-4</v>
      </c>
      <c r="E2490">
        <v>1E-3</v>
      </c>
      <c r="F2490">
        <v>1.0000000000000001E-5</v>
      </c>
      <c r="G2490" s="129" t="s">
        <v>13</v>
      </c>
      <c r="H2490" s="129" t="s">
        <v>67</v>
      </c>
      <c r="I2490">
        <v>0</v>
      </c>
      <c r="J2490">
        <v>0</v>
      </c>
      <c r="K2490" s="129" t="s">
        <v>1962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s="129" t="s">
        <v>949</v>
      </c>
      <c r="B2491" s="129" t="s">
        <v>65</v>
      </c>
      <c r="C2491" s="129" t="s">
        <v>43</v>
      </c>
      <c r="D2491">
        <v>1E-3</v>
      </c>
      <c r="E2491">
        <v>0.01</v>
      </c>
      <c r="F2491">
        <v>1.0000000000000001E-5</v>
      </c>
      <c r="G2491" s="129" t="s">
        <v>13</v>
      </c>
      <c r="H2491" s="129" t="s">
        <v>11</v>
      </c>
      <c r="I2491">
        <v>0</v>
      </c>
      <c r="J2491">
        <v>0</v>
      </c>
      <c r="K2491" s="129" t="s">
        <v>1962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s="129" t="s">
        <v>2516</v>
      </c>
      <c r="B2492" s="129" t="s">
        <v>65</v>
      </c>
      <c r="C2492" s="129" t="s">
        <v>43</v>
      </c>
      <c r="D2492">
        <v>0.01</v>
      </c>
      <c r="E2492">
        <v>0.1</v>
      </c>
      <c r="F2492">
        <v>1.0000000000000001E-5</v>
      </c>
      <c r="G2492" s="129" t="s">
        <v>13</v>
      </c>
      <c r="H2492" s="129" t="s">
        <v>11</v>
      </c>
      <c r="I2492">
        <v>0</v>
      </c>
      <c r="J2492">
        <v>0</v>
      </c>
      <c r="K2492" s="129" t="s">
        <v>1962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s="129" t="s">
        <v>952</v>
      </c>
      <c r="B2493" s="129" t="s">
        <v>65</v>
      </c>
      <c r="C2493" s="129" t="s">
        <v>43</v>
      </c>
      <c r="D2493">
        <v>0.1</v>
      </c>
      <c r="E2493">
        <v>1</v>
      </c>
      <c r="F2493">
        <v>1.0000000000000001E-5</v>
      </c>
      <c r="G2493" s="129" t="s">
        <v>13</v>
      </c>
      <c r="H2493" s="129" t="s">
        <v>11</v>
      </c>
      <c r="I2493">
        <v>0</v>
      </c>
      <c r="J2493">
        <v>0</v>
      </c>
      <c r="K2493" s="129" t="s">
        <v>1962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s="129" t="s">
        <v>2512</v>
      </c>
      <c r="B2494" s="129" t="s">
        <v>65</v>
      </c>
      <c r="C2494" s="129" t="s">
        <v>43</v>
      </c>
      <c r="D2494">
        <v>1E-4</v>
      </c>
      <c r="E2494">
        <v>1E-3</v>
      </c>
      <c r="F2494">
        <v>1E-4</v>
      </c>
      <c r="G2494" s="129" t="s">
        <v>13</v>
      </c>
      <c r="H2494" s="129" t="s">
        <v>67</v>
      </c>
      <c r="I2494">
        <v>0</v>
      </c>
      <c r="J2494">
        <v>0</v>
      </c>
      <c r="K2494" s="129" t="s">
        <v>1962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s="129" t="s">
        <v>2514</v>
      </c>
      <c r="B2495" s="129" t="s">
        <v>65</v>
      </c>
      <c r="C2495" s="129" t="s">
        <v>43</v>
      </c>
      <c r="D2495">
        <v>1E-3</v>
      </c>
      <c r="E2495">
        <v>0.01</v>
      </c>
      <c r="F2495">
        <v>1E-4</v>
      </c>
      <c r="G2495" s="129" t="s">
        <v>13</v>
      </c>
      <c r="H2495" s="129" t="s">
        <v>11</v>
      </c>
      <c r="I2495">
        <v>0</v>
      </c>
      <c r="J2495">
        <v>0</v>
      </c>
      <c r="K2495" s="129" t="s">
        <v>1962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s="129" t="s">
        <v>2517</v>
      </c>
      <c r="B2496" s="129" t="s">
        <v>65</v>
      </c>
      <c r="C2496" s="129" t="s">
        <v>43</v>
      </c>
      <c r="D2496">
        <v>0.01</v>
      </c>
      <c r="E2496">
        <v>0.1</v>
      </c>
      <c r="F2496">
        <v>1E-4</v>
      </c>
      <c r="G2496" s="129" t="s">
        <v>13</v>
      </c>
      <c r="H2496" s="129" t="s">
        <v>11</v>
      </c>
      <c r="I2496">
        <v>0</v>
      </c>
      <c r="J2496">
        <v>0</v>
      </c>
      <c r="K2496" s="129" t="s">
        <v>1962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s="129" t="s">
        <v>953</v>
      </c>
      <c r="B2497" s="129" t="s">
        <v>65</v>
      </c>
      <c r="C2497" s="129" t="s">
        <v>43</v>
      </c>
      <c r="D2497">
        <v>0.1</v>
      </c>
      <c r="E2497">
        <v>1</v>
      </c>
      <c r="F2497">
        <v>1E-4</v>
      </c>
      <c r="G2497" s="129" t="s">
        <v>13</v>
      </c>
      <c r="H2497" s="129" t="s">
        <v>11</v>
      </c>
      <c r="I2497">
        <v>0</v>
      </c>
      <c r="J2497">
        <v>0</v>
      </c>
      <c r="K2497" s="129" t="s">
        <v>1962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s="129" t="s">
        <v>2522</v>
      </c>
      <c r="B2498" s="129" t="s">
        <v>65</v>
      </c>
      <c r="C2498" s="129" t="s">
        <v>43</v>
      </c>
      <c r="D2498">
        <v>1</v>
      </c>
      <c r="E2498">
        <v>10.199999999999999</v>
      </c>
      <c r="F2498">
        <v>1E-4</v>
      </c>
      <c r="G2498" s="129" t="s">
        <v>13</v>
      </c>
      <c r="H2498" s="129" t="s">
        <v>11</v>
      </c>
      <c r="I2498">
        <v>0</v>
      </c>
      <c r="J2498">
        <v>0</v>
      </c>
      <c r="K2498" s="129" t="s">
        <v>1962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s="129" t="s">
        <v>2515</v>
      </c>
      <c r="B2499" s="129" t="s">
        <v>65</v>
      </c>
      <c r="C2499" s="129" t="s">
        <v>43</v>
      </c>
      <c r="D2499">
        <v>1E-3</v>
      </c>
      <c r="E2499">
        <v>0.01</v>
      </c>
      <c r="F2499">
        <v>1E-3</v>
      </c>
      <c r="G2499" s="129" t="s">
        <v>13</v>
      </c>
      <c r="H2499" s="129" t="s">
        <v>11</v>
      </c>
      <c r="I2499">
        <v>0</v>
      </c>
      <c r="J2499">
        <v>0</v>
      </c>
      <c r="K2499" s="129" t="s">
        <v>1962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s="129" t="s">
        <v>2518</v>
      </c>
      <c r="B2500" s="129" t="s">
        <v>65</v>
      </c>
      <c r="C2500" s="129" t="s">
        <v>43</v>
      </c>
      <c r="D2500">
        <v>0.01</v>
      </c>
      <c r="E2500">
        <v>0.1</v>
      </c>
      <c r="F2500">
        <v>1E-3</v>
      </c>
      <c r="G2500" s="129" t="s">
        <v>13</v>
      </c>
      <c r="H2500" s="129" t="s">
        <v>11</v>
      </c>
      <c r="I2500">
        <v>0</v>
      </c>
      <c r="J2500">
        <v>0</v>
      </c>
      <c r="K2500" s="129" t="s">
        <v>1962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s="129" t="s">
        <v>2519</v>
      </c>
      <c r="B2501" s="129" t="s">
        <v>65</v>
      </c>
      <c r="C2501" s="129" t="s">
        <v>43</v>
      </c>
      <c r="D2501">
        <v>0.1</v>
      </c>
      <c r="E2501">
        <v>1</v>
      </c>
      <c r="F2501">
        <v>1E-3</v>
      </c>
      <c r="G2501" s="129" t="s">
        <v>13</v>
      </c>
      <c r="H2501" s="129" t="s">
        <v>11</v>
      </c>
      <c r="I2501">
        <v>0</v>
      </c>
      <c r="J2501">
        <v>0</v>
      </c>
      <c r="K2501" s="129" t="s">
        <v>1962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s="129" t="s">
        <v>954</v>
      </c>
      <c r="B2502" s="129" t="s">
        <v>65</v>
      </c>
      <c r="C2502" s="129" t="s">
        <v>43</v>
      </c>
      <c r="D2502">
        <v>1</v>
      </c>
      <c r="E2502">
        <v>10.199999999999999</v>
      </c>
      <c r="F2502">
        <v>1E-3</v>
      </c>
      <c r="G2502" s="129" t="s">
        <v>13</v>
      </c>
      <c r="H2502" s="129" t="s">
        <v>11</v>
      </c>
      <c r="I2502">
        <v>0</v>
      </c>
      <c r="J2502">
        <v>0</v>
      </c>
      <c r="K2502" s="129" t="s">
        <v>1962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s="129" t="s">
        <v>951</v>
      </c>
      <c r="B2503" s="129" t="s">
        <v>65</v>
      </c>
      <c r="C2503" s="129" t="s">
        <v>43</v>
      </c>
      <c r="D2503">
        <v>0.01</v>
      </c>
      <c r="E2503">
        <v>0.1</v>
      </c>
      <c r="F2503">
        <v>0.01</v>
      </c>
      <c r="G2503" s="129" t="s">
        <v>13</v>
      </c>
      <c r="H2503" s="129" t="s">
        <v>11</v>
      </c>
      <c r="I2503">
        <v>0</v>
      </c>
      <c r="J2503">
        <v>0</v>
      </c>
      <c r="K2503" s="129" t="s">
        <v>1962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s="129" t="s">
        <v>2520</v>
      </c>
      <c r="B2504" s="129" t="s">
        <v>65</v>
      </c>
      <c r="C2504" s="129" t="s">
        <v>43</v>
      </c>
      <c r="D2504">
        <v>0.1</v>
      </c>
      <c r="E2504">
        <v>1</v>
      </c>
      <c r="F2504">
        <v>0.01</v>
      </c>
      <c r="G2504" s="129" t="s">
        <v>13</v>
      </c>
      <c r="H2504" s="129" t="s">
        <v>11</v>
      </c>
      <c r="I2504">
        <v>0</v>
      </c>
      <c r="J2504">
        <v>0</v>
      </c>
      <c r="K2504" s="129" t="s">
        <v>1962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s="129" t="s">
        <v>2523</v>
      </c>
      <c r="B2505" s="129" t="s">
        <v>65</v>
      </c>
      <c r="C2505" s="129" t="s">
        <v>43</v>
      </c>
      <c r="D2505">
        <v>1</v>
      </c>
      <c r="E2505">
        <v>10.199999999999999</v>
      </c>
      <c r="F2505">
        <v>0.01</v>
      </c>
      <c r="G2505" s="129" t="s">
        <v>13</v>
      </c>
      <c r="H2505" s="129" t="s">
        <v>11</v>
      </c>
      <c r="I2505">
        <v>0</v>
      </c>
      <c r="J2505">
        <v>0</v>
      </c>
      <c r="K2505" s="129" t="s">
        <v>1962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s="129" t="s">
        <v>2521</v>
      </c>
      <c r="B2506" s="129" t="s">
        <v>65</v>
      </c>
      <c r="C2506" s="129" t="s">
        <v>43</v>
      </c>
      <c r="D2506">
        <v>0.1</v>
      </c>
      <c r="E2506">
        <v>1</v>
      </c>
      <c r="F2506">
        <v>0.1</v>
      </c>
      <c r="G2506" s="129" t="s">
        <v>13</v>
      </c>
      <c r="H2506" s="129" t="s">
        <v>11</v>
      </c>
      <c r="I2506">
        <v>0</v>
      </c>
      <c r="J2506">
        <v>0</v>
      </c>
      <c r="K2506" s="129" t="s">
        <v>1962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s="129" t="s">
        <v>955</v>
      </c>
      <c r="B2507" s="129" t="s">
        <v>65</v>
      </c>
      <c r="C2507" s="129" t="s">
        <v>43</v>
      </c>
      <c r="D2507">
        <v>1</v>
      </c>
      <c r="E2507">
        <v>10.199999999999999</v>
      </c>
      <c r="F2507">
        <v>0.1</v>
      </c>
      <c r="G2507" s="129" t="s">
        <v>13</v>
      </c>
      <c r="H2507" s="129" t="s">
        <v>11</v>
      </c>
      <c r="I2507">
        <v>0</v>
      </c>
      <c r="J2507">
        <v>0</v>
      </c>
      <c r="K2507" s="129" t="s">
        <v>1962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s="129" t="s">
        <v>956</v>
      </c>
      <c r="B2508" s="129" t="s">
        <v>65</v>
      </c>
      <c r="C2508" s="129" t="s">
        <v>43</v>
      </c>
      <c r="D2508">
        <v>1</v>
      </c>
      <c r="E2508">
        <v>10.199999999999999</v>
      </c>
      <c r="F2508">
        <v>1</v>
      </c>
      <c r="G2508" s="129" t="s">
        <v>13</v>
      </c>
      <c r="H2508" s="129" t="s">
        <v>11</v>
      </c>
      <c r="I2508">
        <v>0</v>
      </c>
      <c r="J2508">
        <v>0</v>
      </c>
      <c r="K2508" s="129" t="s">
        <v>1962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s="129" t="s">
        <v>942</v>
      </c>
      <c r="B2509" s="129" t="s">
        <v>65</v>
      </c>
      <c r="C2509" s="129" t="s">
        <v>55</v>
      </c>
      <c r="D2509">
        <v>10</v>
      </c>
      <c r="E2509">
        <v>102</v>
      </c>
      <c r="F2509">
        <v>1E-4</v>
      </c>
      <c r="G2509" s="129" t="s">
        <v>13</v>
      </c>
      <c r="H2509" s="129" t="s">
        <v>12</v>
      </c>
      <c r="I2509">
        <v>0</v>
      </c>
      <c r="J2509">
        <v>0</v>
      </c>
      <c r="K2509" s="129" t="s">
        <v>1962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s="129" t="s">
        <v>2524</v>
      </c>
      <c r="B2510" s="129" t="s">
        <v>65</v>
      </c>
      <c r="C2510" s="129" t="s">
        <v>55</v>
      </c>
      <c r="D2510">
        <v>10</v>
      </c>
      <c r="E2510">
        <v>102</v>
      </c>
      <c r="F2510">
        <v>1E-3</v>
      </c>
      <c r="G2510" s="129" t="s">
        <v>13</v>
      </c>
      <c r="H2510" s="129" t="s">
        <v>12</v>
      </c>
      <c r="I2510">
        <v>0</v>
      </c>
      <c r="J2510">
        <v>0</v>
      </c>
      <c r="K2510" s="129" t="s">
        <v>1962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s="129" t="s">
        <v>943</v>
      </c>
      <c r="B2511" s="129" t="s">
        <v>65</v>
      </c>
      <c r="C2511" s="129" t="s">
        <v>55</v>
      </c>
      <c r="D2511">
        <v>10</v>
      </c>
      <c r="E2511">
        <v>102</v>
      </c>
      <c r="F2511">
        <v>0.01</v>
      </c>
      <c r="G2511" s="129" t="s">
        <v>13</v>
      </c>
      <c r="H2511" s="129" t="s">
        <v>12</v>
      </c>
      <c r="I2511">
        <v>0</v>
      </c>
      <c r="J2511">
        <v>0</v>
      </c>
      <c r="K2511" s="129" t="s">
        <v>1962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s="129" t="s">
        <v>944</v>
      </c>
      <c r="B2512" s="129" t="s">
        <v>65</v>
      </c>
      <c r="C2512" s="129" t="s">
        <v>55</v>
      </c>
      <c r="D2512">
        <v>10</v>
      </c>
      <c r="E2512">
        <v>102</v>
      </c>
      <c r="F2512">
        <v>0.1</v>
      </c>
      <c r="G2512" s="129" t="s">
        <v>13</v>
      </c>
      <c r="H2512" s="129" t="s">
        <v>12</v>
      </c>
      <c r="I2512">
        <v>0</v>
      </c>
      <c r="J2512">
        <v>0</v>
      </c>
      <c r="K2512" s="129" t="s">
        <v>1962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s="129" t="s">
        <v>945</v>
      </c>
      <c r="B2513" s="129" t="s">
        <v>65</v>
      </c>
      <c r="C2513" s="129" t="s">
        <v>55</v>
      </c>
      <c r="D2513">
        <v>10</v>
      </c>
      <c r="E2513">
        <v>102</v>
      </c>
      <c r="F2513">
        <v>1</v>
      </c>
      <c r="G2513" s="129" t="s">
        <v>13</v>
      </c>
      <c r="H2513" s="129" t="s">
        <v>12</v>
      </c>
      <c r="I2513">
        <v>0</v>
      </c>
      <c r="J2513">
        <v>0</v>
      </c>
      <c r="K2513" s="129" t="s">
        <v>1962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s="129" t="s">
        <v>2525</v>
      </c>
      <c r="B2514" s="129" t="s">
        <v>65</v>
      </c>
      <c r="C2514" s="129" t="s">
        <v>55</v>
      </c>
      <c r="D2514">
        <v>10</v>
      </c>
      <c r="E2514">
        <v>102</v>
      </c>
      <c r="F2514">
        <v>10</v>
      </c>
      <c r="G2514" s="129" t="s">
        <v>13</v>
      </c>
      <c r="H2514" s="129" t="s">
        <v>12</v>
      </c>
      <c r="I2514">
        <v>0</v>
      </c>
      <c r="J2514">
        <v>0</v>
      </c>
      <c r="K2514" s="129" t="s">
        <v>1962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s="129" t="s">
        <v>937</v>
      </c>
      <c r="B2515" s="129" t="s">
        <v>65</v>
      </c>
      <c r="C2515" s="129" t="s">
        <v>56</v>
      </c>
      <c r="D2515">
        <v>20</v>
      </c>
      <c r="E2515">
        <v>204</v>
      </c>
      <c r="F2515">
        <v>1E-3</v>
      </c>
      <c r="G2515" s="129" t="s">
        <v>13</v>
      </c>
      <c r="H2515" s="129" t="s">
        <v>12</v>
      </c>
      <c r="I2515">
        <v>0</v>
      </c>
      <c r="J2515">
        <v>0</v>
      </c>
      <c r="K2515" s="129" t="s">
        <v>1962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s="129" t="s">
        <v>938</v>
      </c>
      <c r="B2516" s="129" t="s">
        <v>65</v>
      </c>
      <c r="C2516" s="129" t="s">
        <v>56</v>
      </c>
      <c r="D2516">
        <v>20</v>
      </c>
      <c r="E2516">
        <v>204</v>
      </c>
      <c r="F2516">
        <v>0.01</v>
      </c>
      <c r="G2516" s="129" t="s">
        <v>13</v>
      </c>
      <c r="H2516" s="129" t="s">
        <v>12</v>
      </c>
      <c r="I2516">
        <v>0</v>
      </c>
      <c r="J2516">
        <v>0</v>
      </c>
      <c r="K2516" s="129" t="s">
        <v>1962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s="129" t="s">
        <v>939</v>
      </c>
      <c r="B2517" s="129" t="s">
        <v>65</v>
      </c>
      <c r="C2517" s="129" t="s">
        <v>56</v>
      </c>
      <c r="D2517">
        <v>20</v>
      </c>
      <c r="E2517">
        <v>204</v>
      </c>
      <c r="F2517">
        <v>0.1</v>
      </c>
      <c r="G2517" s="129" t="s">
        <v>13</v>
      </c>
      <c r="H2517" s="129" t="s">
        <v>12</v>
      </c>
      <c r="I2517">
        <v>0</v>
      </c>
      <c r="J2517">
        <v>0</v>
      </c>
      <c r="K2517" s="129" t="s">
        <v>1962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s="129" t="s">
        <v>940</v>
      </c>
      <c r="B2518" s="129" t="s">
        <v>65</v>
      </c>
      <c r="C2518" s="129" t="s">
        <v>56</v>
      </c>
      <c r="D2518">
        <v>20</v>
      </c>
      <c r="E2518">
        <v>204</v>
      </c>
      <c r="F2518">
        <v>1</v>
      </c>
      <c r="G2518" s="129" t="s">
        <v>13</v>
      </c>
      <c r="H2518" s="129" t="s">
        <v>12</v>
      </c>
      <c r="I2518">
        <v>0</v>
      </c>
      <c r="J2518">
        <v>0</v>
      </c>
      <c r="K2518" s="129" t="s">
        <v>1962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s="129" t="s">
        <v>941</v>
      </c>
      <c r="B2519" s="129" t="s">
        <v>65</v>
      </c>
      <c r="C2519" s="129" t="s">
        <v>56</v>
      </c>
      <c r="D2519">
        <v>20</v>
      </c>
      <c r="E2519">
        <v>204</v>
      </c>
      <c r="F2519">
        <v>10</v>
      </c>
      <c r="G2519" s="129" t="s">
        <v>13</v>
      </c>
      <c r="H2519" s="129" t="s">
        <v>12</v>
      </c>
      <c r="I2519">
        <v>0</v>
      </c>
      <c r="J2519">
        <v>0</v>
      </c>
      <c r="K2519" s="129" t="s">
        <v>1962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s="129" t="s">
        <v>929</v>
      </c>
      <c r="B2520" s="129" t="s">
        <v>65</v>
      </c>
      <c r="C2520" s="129" t="s">
        <v>57</v>
      </c>
      <c r="D2520">
        <v>5</v>
      </c>
      <c r="E2520">
        <v>51</v>
      </c>
      <c r="F2520">
        <v>1E-3</v>
      </c>
      <c r="G2520" s="129" t="s">
        <v>13</v>
      </c>
      <c r="H2520" s="129" t="s">
        <v>12</v>
      </c>
      <c r="I2520">
        <v>0</v>
      </c>
      <c r="J2520">
        <v>0</v>
      </c>
      <c r="K2520" s="129" t="s">
        <v>1962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s="129" t="s">
        <v>933</v>
      </c>
      <c r="B2521" s="129" t="s">
        <v>65</v>
      </c>
      <c r="C2521" s="129" t="s">
        <v>57</v>
      </c>
      <c r="D2521">
        <v>50</v>
      </c>
      <c r="E2521">
        <v>510</v>
      </c>
      <c r="F2521">
        <v>1E-3</v>
      </c>
      <c r="G2521" s="129" t="s">
        <v>13</v>
      </c>
      <c r="H2521" s="129" t="s">
        <v>12</v>
      </c>
      <c r="I2521">
        <v>0</v>
      </c>
      <c r="J2521">
        <v>0</v>
      </c>
      <c r="K2521" s="129" t="s">
        <v>1962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s="129" t="s">
        <v>2526</v>
      </c>
      <c r="B2522" s="129" t="s">
        <v>65</v>
      </c>
      <c r="C2522" s="129" t="s">
        <v>57</v>
      </c>
      <c r="D2522">
        <v>5</v>
      </c>
      <c r="E2522">
        <v>51</v>
      </c>
      <c r="F2522">
        <v>0.01</v>
      </c>
      <c r="G2522" s="129" t="s">
        <v>13</v>
      </c>
      <c r="H2522" s="129" t="s">
        <v>12</v>
      </c>
      <c r="I2522">
        <v>0</v>
      </c>
      <c r="J2522">
        <v>0</v>
      </c>
      <c r="K2522" s="129" t="s">
        <v>1962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s="129" t="s">
        <v>934</v>
      </c>
      <c r="B2523" s="129" t="s">
        <v>65</v>
      </c>
      <c r="C2523" s="129" t="s">
        <v>57</v>
      </c>
      <c r="D2523">
        <v>50</v>
      </c>
      <c r="E2523">
        <v>510</v>
      </c>
      <c r="F2523">
        <v>0.01</v>
      </c>
      <c r="G2523" s="129" t="s">
        <v>13</v>
      </c>
      <c r="H2523" s="129" t="s">
        <v>12</v>
      </c>
      <c r="I2523">
        <v>0</v>
      </c>
      <c r="J2523">
        <v>0</v>
      </c>
      <c r="K2523" s="129" t="s">
        <v>1962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s="129" t="s">
        <v>930</v>
      </c>
      <c r="B2524" s="129" t="s">
        <v>65</v>
      </c>
      <c r="C2524" s="129" t="s">
        <v>57</v>
      </c>
      <c r="D2524">
        <v>5</v>
      </c>
      <c r="E2524">
        <v>51</v>
      </c>
      <c r="F2524">
        <v>0.1</v>
      </c>
      <c r="G2524" s="129" t="s">
        <v>13</v>
      </c>
      <c r="H2524" s="129" t="s">
        <v>12</v>
      </c>
      <c r="I2524">
        <v>0</v>
      </c>
      <c r="J2524">
        <v>0</v>
      </c>
      <c r="K2524" s="129" t="s">
        <v>1962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s="129" t="s">
        <v>2527</v>
      </c>
      <c r="B2525" s="129" t="s">
        <v>65</v>
      </c>
      <c r="C2525" s="129" t="s">
        <v>57</v>
      </c>
      <c r="D2525">
        <v>50</v>
      </c>
      <c r="E2525">
        <v>510</v>
      </c>
      <c r="F2525">
        <v>0.1</v>
      </c>
      <c r="G2525" s="129" t="s">
        <v>13</v>
      </c>
      <c r="H2525" s="129" t="s">
        <v>12</v>
      </c>
      <c r="I2525">
        <v>0</v>
      </c>
      <c r="J2525">
        <v>0</v>
      </c>
      <c r="K2525" s="129" t="s">
        <v>1962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s="129" t="s">
        <v>931</v>
      </c>
      <c r="B2526" s="129" t="s">
        <v>65</v>
      </c>
      <c r="C2526" s="129" t="s">
        <v>57</v>
      </c>
      <c r="D2526">
        <v>5</v>
      </c>
      <c r="E2526">
        <v>51</v>
      </c>
      <c r="F2526">
        <v>1</v>
      </c>
      <c r="G2526" s="129" t="s">
        <v>13</v>
      </c>
      <c r="H2526" s="129" t="s">
        <v>12</v>
      </c>
      <c r="I2526">
        <v>0</v>
      </c>
      <c r="J2526">
        <v>0</v>
      </c>
      <c r="K2526" s="129" t="s">
        <v>1962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s="129" t="s">
        <v>935</v>
      </c>
      <c r="B2527" s="129" t="s">
        <v>65</v>
      </c>
      <c r="C2527" s="129" t="s">
        <v>57</v>
      </c>
      <c r="D2527">
        <v>50</v>
      </c>
      <c r="E2527">
        <v>510</v>
      </c>
      <c r="F2527">
        <v>1</v>
      </c>
      <c r="G2527" s="129" t="s">
        <v>13</v>
      </c>
      <c r="H2527" s="129" t="s">
        <v>12</v>
      </c>
      <c r="I2527">
        <v>0</v>
      </c>
      <c r="J2527">
        <v>0</v>
      </c>
      <c r="K2527" s="129" t="s">
        <v>1962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s="129" t="s">
        <v>932</v>
      </c>
      <c r="B2528" s="129" t="s">
        <v>65</v>
      </c>
      <c r="C2528" s="129" t="s">
        <v>57</v>
      </c>
      <c r="D2528">
        <v>5</v>
      </c>
      <c r="E2528">
        <v>51</v>
      </c>
      <c r="F2528">
        <v>10</v>
      </c>
      <c r="G2528" s="129" t="s">
        <v>13</v>
      </c>
      <c r="H2528" s="129" t="s">
        <v>12</v>
      </c>
      <c r="I2528">
        <v>0</v>
      </c>
      <c r="J2528">
        <v>0</v>
      </c>
      <c r="K2528" s="129" t="s">
        <v>1962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s="129" t="s">
        <v>936</v>
      </c>
      <c r="B2529" s="129" t="s">
        <v>65</v>
      </c>
      <c r="C2529" s="129" t="s">
        <v>57</v>
      </c>
      <c r="D2529">
        <v>50</v>
      </c>
      <c r="E2529">
        <v>510</v>
      </c>
      <c r="F2529">
        <v>10</v>
      </c>
      <c r="G2529" s="129" t="s">
        <v>13</v>
      </c>
      <c r="H2529" s="129" t="s">
        <v>12</v>
      </c>
      <c r="I2529">
        <v>0</v>
      </c>
      <c r="J2529">
        <v>0</v>
      </c>
      <c r="K2529" s="129" t="s">
        <v>1962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s="129" t="s">
        <v>2498</v>
      </c>
      <c r="B2530" s="129" t="s">
        <v>65</v>
      </c>
      <c r="C2530" s="129" t="s">
        <v>3</v>
      </c>
      <c r="D2530">
        <v>0</v>
      </c>
      <c r="E2530">
        <v>0.1</v>
      </c>
      <c r="F2530">
        <v>9.9999999999999995E-7</v>
      </c>
      <c r="G2530" s="129" t="s">
        <v>6</v>
      </c>
      <c r="H2530" s="129" t="s">
        <v>5</v>
      </c>
      <c r="I2530">
        <v>0</v>
      </c>
      <c r="J2530">
        <v>0</v>
      </c>
      <c r="K2530" s="129" t="s">
        <v>1962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s="129" t="s">
        <v>911</v>
      </c>
      <c r="B2531" s="129" t="s">
        <v>65</v>
      </c>
      <c r="C2531" s="129" t="s">
        <v>3</v>
      </c>
      <c r="D2531">
        <v>0</v>
      </c>
      <c r="E2531">
        <v>0.1</v>
      </c>
      <c r="F2531">
        <v>1.0000000000000001E-5</v>
      </c>
      <c r="G2531" s="129" t="s">
        <v>6</v>
      </c>
      <c r="H2531" s="129" t="s">
        <v>5</v>
      </c>
      <c r="I2531">
        <v>0</v>
      </c>
      <c r="J2531">
        <v>0</v>
      </c>
      <c r="K2531" s="129" t="s">
        <v>1962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s="129" t="s">
        <v>914</v>
      </c>
      <c r="B2532" s="129" t="s">
        <v>65</v>
      </c>
      <c r="C2532" s="129" t="s">
        <v>3</v>
      </c>
      <c r="D2532">
        <v>0.1</v>
      </c>
      <c r="E2532">
        <v>1</v>
      </c>
      <c r="F2532">
        <v>1.0000000000000001E-5</v>
      </c>
      <c r="G2532" s="129" t="s">
        <v>6</v>
      </c>
      <c r="H2532" s="129" t="s">
        <v>5</v>
      </c>
      <c r="I2532">
        <v>0</v>
      </c>
      <c r="J2532">
        <v>0</v>
      </c>
      <c r="K2532" s="129" t="s">
        <v>1962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s="129" t="s">
        <v>912</v>
      </c>
      <c r="B2533" s="129" t="s">
        <v>65</v>
      </c>
      <c r="C2533" s="129" t="s">
        <v>3</v>
      </c>
      <c r="D2533">
        <v>0</v>
      </c>
      <c r="E2533">
        <v>0.1</v>
      </c>
      <c r="F2533">
        <v>1E-4</v>
      </c>
      <c r="G2533" s="129" t="s">
        <v>6</v>
      </c>
      <c r="H2533" s="129" t="s">
        <v>5</v>
      </c>
      <c r="I2533">
        <v>0</v>
      </c>
      <c r="J2533">
        <v>0</v>
      </c>
      <c r="K2533" s="129" t="s">
        <v>1962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s="129" t="s">
        <v>2500</v>
      </c>
      <c r="B2534" s="129" t="s">
        <v>65</v>
      </c>
      <c r="C2534" s="129" t="s">
        <v>3</v>
      </c>
      <c r="D2534">
        <v>0.1</v>
      </c>
      <c r="E2534">
        <v>1</v>
      </c>
      <c r="F2534">
        <v>1E-4</v>
      </c>
      <c r="G2534" s="129" t="s">
        <v>6</v>
      </c>
      <c r="H2534" s="129" t="s">
        <v>5</v>
      </c>
      <c r="I2534">
        <v>0</v>
      </c>
      <c r="J2534">
        <v>0</v>
      </c>
      <c r="K2534" s="129" t="s">
        <v>1962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s="129" t="s">
        <v>917</v>
      </c>
      <c r="B2535" s="129" t="s">
        <v>65</v>
      </c>
      <c r="C2535" s="129" t="s">
        <v>3</v>
      </c>
      <c r="D2535">
        <v>1</v>
      </c>
      <c r="E2535">
        <v>10</v>
      </c>
      <c r="F2535">
        <v>1E-4</v>
      </c>
      <c r="G2535" s="129" t="s">
        <v>6</v>
      </c>
      <c r="H2535" s="129" t="s">
        <v>5</v>
      </c>
      <c r="I2535">
        <v>0</v>
      </c>
      <c r="J2535">
        <v>0</v>
      </c>
      <c r="K2535" s="129" t="s">
        <v>1962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s="129" t="s">
        <v>913</v>
      </c>
      <c r="B2536" s="129" t="s">
        <v>65</v>
      </c>
      <c r="C2536" s="129" t="s">
        <v>3</v>
      </c>
      <c r="D2536">
        <v>0</v>
      </c>
      <c r="E2536">
        <v>0.1</v>
      </c>
      <c r="F2536">
        <v>1E-3</v>
      </c>
      <c r="G2536" s="129" t="s">
        <v>6</v>
      </c>
      <c r="H2536" s="129" t="s">
        <v>5</v>
      </c>
      <c r="I2536">
        <v>0</v>
      </c>
      <c r="J2536">
        <v>0</v>
      </c>
      <c r="K2536" s="129" t="s">
        <v>1962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s="129" t="s">
        <v>2501</v>
      </c>
      <c r="B2537" s="129" t="s">
        <v>65</v>
      </c>
      <c r="C2537" s="129" t="s">
        <v>3</v>
      </c>
      <c r="D2537">
        <v>0.1</v>
      </c>
      <c r="E2537">
        <v>1</v>
      </c>
      <c r="F2537">
        <v>1E-3</v>
      </c>
      <c r="G2537" s="129" t="s">
        <v>6</v>
      </c>
      <c r="H2537" s="129" t="s">
        <v>5</v>
      </c>
      <c r="I2537">
        <v>0</v>
      </c>
      <c r="J2537">
        <v>0</v>
      </c>
      <c r="K2537" s="129" t="s">
        <v>1962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s="129" t="s">
        <v>918</v>
      </c>
      <c r="B2538" s="129" t="s">
        <v>65</v>
      </c>
      <c r="C2538" s="129" t="s">
        <v>3</v>
      </c>
      <c r="D2538">
        <v>1</v>
      </c>
      <c r="E2538">
        <v>10</v>
      </c>
      <c r="F2538">
        <v>1E-3</v>
      </c>
      <c r="G2538" s="129" t="s">
        <v>6</v>
      </c>
      <c r="H2538" s="129" t="s">
        <v>5</v>
      </c>
      <c r="I2538">
        <v>0</v>
      </c>
      <c r="J2538">
        <v>0</v>
      </c>
      <c r="K2538" s="129" t="s">
        <v>1962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s="129" t="s">
        <v>922</v>
      </c>
      <c r="B2539" s="129" t="s">
        <v>65</v>
      </c>
      <c r="C2539" s="129" t="s">
        <v>3</v>
      </c>
      <c r="D2539">
        <v>10</v>
      </c>
      <c r="E2539">
        <v>100</v>
      </c>
      <c r="F2539">
        <v>1E-3</v>
      </c>
      <c r="G2539" s="129" t="s">
        <v>6</v>
      </c>
      <c r="H2539" s="129" t="s">
        <v>4</v>
      </c>
      <c r="I2539">
        <v>0</v>
      </c>
      <c r="J2539">
        <v>0</v>
      </c>
      <c r="K2539" s="129" t="s">
        <v>1962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s="129" t="s">
        <v>2499</v>
      </c>
      <c r="B2540" s="129" t="s">
        <v>65</v>
      </c>
      <c r="C2540" s="129" t="s">
        <v>3</v>
      </c>
      <c r="D2540">
        <v>0</v>
      </c>
      <c r="E2540">
        <v>0.1</v>
      </c>
      <c r="F2540">
        <v>0.01</v>
      </c>
      <c r="G2540" s="129" t="s">
        <v>6</v>
      </c>
      <c r="H2540" s="129" t="s">
        <v>5</v>
      </c>
      <c r="I2540">
        <v>0</v>
      </c>
      <c r="J2540">
        <v>0</v>
      </c>
      <c r="K2540" s="129" t="s">
        <v>1962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s="129" t="s">
        <v>915</v>
      </c>
      <c r="B2541" s="129" t="s">
        <v>65</v>
      </c>
      <c r="C2541" s="129" t="s">
        <v>3</v>
      </c>
      <c r="D2541">
        <v>0.1</v>
      </c>
      <c r="E2541">
        <v>1</v>
      </c>
      <c r="F2541">
        <v>0.01</v>
      </c>
      <c r="G2541" s="129" t="s">
        <v>6</v>
      </c>
      <c r="H2541" s="129" t="s">
        <v>5</v>
      </c>
      <c r="I2541">
        <v>0</v>
      </c>
      <c r="J2541">
        <v>0</v>
      </c>
      <c r="K2541" s="129" t="s">
        <v>1962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s="129" t="s">
        <v>919</v>
      </c>
      <c r="B2542" s="129" t="s">
        <v>65</v>
      </c>
      <c r="C2542" s="129" t="s">
        <v>3</v>
      </c>
      <c r="D2542">
        <v>1</v>
      </c>
      <c r="E2542">
        <v>10</v>
      </c>
      <c r="F2542">
        <v>0.01</v>
      </c>
      <c r="G2542" s="129" t="s">
        <v>6</v>
      </c>
      <c r="H2542" s="129" t="s">
        <v>5</v>
      </c>
      <c r="I2542">
        <v>0</v>
      </c>
      <c r="J2542">
        <v>0</v>
      </c>
      <c r="K2542" s="129" t="s">
        <v>1962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s="129" t="s">
        <v>923</v>
      </c>
      <c r="B2543" s="129" t="s">
        <v>65</v>
      </c>
      <c r="C2543" s="129" t="s">
        <v>3</v>
      </c>
      <c r="D2543">
        <v>10</v>
      </c>
      <c r="E2543">
        <v>100</v>
      </c>
      <c r="F2543">
        <v>0.01</v>
      </c>
      <c r="G2543" s="129" t="s">
        <v>6</v>
      </c>
      <c r="H2543" s="129" t="s">
        <v>4</v>
      </c>
      <c r="I2543">
        <v>0</v>
      </c>
      <c r="J2543">
        <v>0</v>
      </c>
      <c r="K2543" s="129" t="s">
        <v>1962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s="129" t="s">
        <v>925</v>
      </c>
      <c r="B2544" s="129" t="s">
        <v>65</v>
      </c>
      <c r="C2544" s="129" t="s">
        <v>3</v>
      </c>
      <c r="D2544">
        <v>100</v>
      </c>
      <c r="E2544">
        <v>1020</v>
      </c>
      <c r="F2544">
        <v>0.01</v>
      </c>
      <c r="G2544" s="129" t="s">
        <v>6</v>
      </c>
      <c r="H2544" s="129" t="s">
        <v>4</v>
      </c>
      <c r="I2544">
        <v>0</v>
      </c>
      <c r="J2544">
        <v>0</v>
      </c>
      <c r="K2544" s="129" t="s">
        <v>1962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s="129" t="s">
        <v>916</v>
      </c>
      <c r="B2545" s="129" t="s">
        <v>65</v>
      </c>
      <c r="C2545" s="129" t="s">
        <v>3</v>
      </c>
      <c r="D2545">
        <v>0.1</v>
      </c>
      <c r="E2545">
        <v>1</v>
      </c>
      <c r="F2545">
        <v>0.1</v>
      </c>
      <c r="G2545" s="129" t="s">
        <v>6</v>
      </c>
      <c r="H2545" s="129" t="s">
        <v>5</v>
      </c>
      <c r="I2545">
        <v>0</v>
      </c>
      <c r="J2545">
        <v>0</v>
      </c>
      <c r="K2545" s="129" t="s">
        <v>1962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s="129" t="s">
        <v>920</v>
      </c>
      <c r="B2546" s="129" t="s">
        <v>65</v>
      </c>
      <c r="C2546" s="129" t="s">
        <v>3</v>
      </c>
      <c r="D2546">
        <v>1</v>
      </c>
      <c r="E2546">
        <v>10</v>
      </c>
      <c r="F2546">
        <v>0.1</v>
      </c>
      <c r="G2546" s="129" t="s">
        <v>6</v>
      </c>
      <c r="H2546" s="129" t="s">
        <v>5</v>
      </c>
      <c r="I2546">
        <v>0</v>
      </c>
      <c r="J2546">
        <v>0</v>
      </c>
      <c r="K2546" s="129" t="s">
        <v>1962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s="129" t="s">
        <v>924</v>
      </c>
      <c r="B2547" s="129" t="s">
        <v>65</v>
      </c>
      <c r="C2547" s="129" t="s">
        <v>3</v>
      </c>
      <c r="D2547">
        <v>10</v>
      </c>
      <c r="E2547">
        <v>100</v>
      </c>
      <c r="F2547">
        <v>0.1</v>
      </c>
      <c r="G2547" s="129" t="s">
        <v>6</v>
      </c>
      <c r="H2547" s="129" t="s">
        <v>4</v>
      </c>
      <c r="I2547">
        <v>0</v>
      </c>
      <c r="J2547">
        <v>0</v>
      </c>
      <c r="K2547" s="129" t="s">
        <v>1962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s="129" t="s">
        <v>2504</v>
      </c>
      <c r="B2548" s="129" t="s">
        <v>65</v>
      </c>
      <c r="C2548" s="129" t="s">
        <v>3</v>
      </c>
      <c r="D2548">
        <v>100</v>
      </c>
      <c r="E2548">
        <v>1020</v>
      </c>
      <c r="F2548">
        <v>0.1</v>
      </c>
      <c r="G2548" s="129" t="s">
        <v>6</v>
      </c>
      <c r="H2548" s="129" t="s">
        <v>4</v>
      </c>
      <c r="I2548">
        <v>0</v>
      </c>
      <c r="J2548">
        <v>0</v>
      </c>
      <c r="K2548" s="129" t="s">
        <v>1962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s="129" t="s">
        <v>921</v>
      </c>
      <c r="B2549" s="129" t="s">
        <v>65</v>
      </c>
      <c r="C2549" s="129" t="s">
        <v>3</v>
      </c>
      <c r="D2549">
        <v>1</v>
      </c>
      <c r="E2549">
        <v>10</v>
      </c>
      <c r="F2549">
        <v>1</v>
      </c>
      <c r="G2549" s="129" t="s">
        <v>6</v>
      </c>
      <c r="H2549" s="129" t="s">
        <v>5</v>
      </c>
      <c r="I2549">
        <v>0</v>
      </c>
      <c r="J2549">
        <v>0</v>
      </c>
      <c r="K2549" s="129" t="s">
        <v>1962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s="129" t="s">
        <v>2502</v>
      </c>
      <c r="B2550" s="129" t="s">
        <v>65</v>
      </c>
      <c r="C2550" s="129" t="s">
        <v>3</v>
      </c>
      <c r="D2550">
        <v>10</v>
      </c>
      <c r="E2550">
        <v>100</v>
      </c>
      <c r="F2550">
        <v>1</v>
      </c>
      <c r="G2550" s="129" t="s">
        <v>6</v>
      </c>
      <c r="H2550" s="129" t="s">
        <v>4</v>
      </c>
      <c r="I2550">
        <v>0</v>
      </c>
      <c r="J2550">
        <v>0</v>
      </c>
      <c r="K2550" s="129" t="s">
        <v>1962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s="129" t="s">
        <v>926</v>
      </c>
      <c r="B2551" s="129" t="s">
        <v>65</v>
      </c>
      <c r="C2551" s="129" t="s">
        <v>3</v>
      </c>
      <c r="D2551">
        <v>100</v>
      </c>
      <c r="E2551">
        <v>1020</v>
      </c>
      <c r="F2551">
        <v>1</v>
      </c>
      <c r="G2551" s="129" t="s">
        <v>6</v>
      </c>
      <c r="H2551" s="129" t="s">
        <v>4</v>
      </c>
      <c r="I2551">
        <v>0</v>
      </c>
      <c r="J2551">
        <v>0</v>
      </c>
      <c r="K2551" s="129" t="s">
        <v>1962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s="129" t="s">
        <v>2503</v>
      </c>
      <c r="B2552" s="129" t="s">
        <v>65</v>
      </c>
      <c r="C2552" s="129" t="s">
        <v>3</v>
      </c>
      <c r="D2552">
        <v>10</v>
      </c>
      <c r="E2552">
        <v>100</v>
      </c>
      <c r="F2552">
        <v>10</v>
      </c>
      <c r="G2552" s="129" t="s">
        <v>6</v>
      </c>
      <c r="H2552" s="129" t="s">
        <v>4</v>
      </c>
      <c r="I2552">
        <v>0</v>
      </c>
      <c r="J2552">
        <v>0</v>
      </c>
      <c r="K2552" s="129" t="s">
        <v>1962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s="129" t="s">
        <v>927</v>
      </c>
      <c r="B2553" s="129" t="s">
        <v>65</v>
      </c>
      <c r="C2553" s="129" t="s">
        <v>3</v>
      </c>
      <c r="D2553">
        <v>100</v>
      </c>
      <c r="E2553">
        <v>1020</v>
      </c>
      <c r="F2553">
        <v>10</v>
      </c>
      <c r="G2553" s="129" t="s">
        <v>6</v>
      </c>
      <c r="H2553" s="129" t="s">
        <v>4</v>
      </c>
      <c r="I2553">
        <v>0</v>
      </c>
      <c r="J2553">
        <v>0</v>
      </c>
      <c r="K2553" s="129" t="s">
        <v>1962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s="129" t="s">
        <v>928</v>
      </c>
      <c r="B2554" s="129" t="s">
        <v>65</v>
      </c>
      <c r="C2554" s="129" t="s">
        <v>3</v>
      </c>
      <c r="D2554">
        <v>100</v>
      </c>
      <c r="E2554">
        <v>1020</v>
      </c>
      <c r="F2554">
        <v>100</v>
      </c>
      <c r="G2554" s="129" t="s">
        <v>6</v>
      </c>
      <c r="H2554" s="129" t="s">
        <v>4</v>
      </c>
      <c r="I2554">
        <v>0</v>
      </c>
      <c r="J2554">
        <v>0</v>
      </c>
      <c r="K2554" s="129" t="s">
        <v>1962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s="129" t="s">
        <v>2602</v>
      </c>
      <c r="B2555" s="129" t="s">
        <v>65</v>
      </c>
      <c r="C2555" s="129" t="s">
        <v>17</v>
      </c>
      <c r="D2555">
        <v>1</v>
      </c>
      <c r="E2555">
        <v>100000</v>
      </c>
      <c r="F2555">
        <v>1</v>
      </c>
      <c r="G2555" s="129" t="s">
        <v>9</v>
      </c>
      <c r="H2555" s="129" t="s">
        <v>9</v>
      </c>
      <c r="I2555">
        <v>0</v>
      </c>
      <c r="J2555">
        <v>0</v>
      </c>
      <c r="K2555" s="129" t="s">
        <v>1962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s="129" t="s">
        <v>908</v>
      </c>
      <c r="B2556" s="129" t="s">
        <v>65</v>
      </c>
      <c r="C2556" s="129" t="s">
        <v>17</v>
      </c>
      <c r="D2556">
        <v>1</v>
      </c>
      <c r="E2556">
        <v>100000</v>
      </c>
      <c r="F2556">
        <v>10</v>
      </c>
      <c r="G2556" s="129" t="s">
        <v>9</v>
      </c>
      <c r="H2556" s="129" t="s">
        <v>9</v>
      </c>
      <c r="I2556">
        <v>0</v>
      </c>
      <c r="J2556">
        <v>0</v>
      </c>
      <c r="K2556" s="129" t="s">
        <v>1962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s="129" t="s">
        <v>2603</v>
      </c>
      <c r="B2557" s="129" t="s">
        <v>65</v>
      </c>
      <c r="C2557" s="129" t="s">
        <v>17</v>
      </c>
      <c r="D2557">
        <v>1</v>
      </c>
      <c r="E2557">
        <v>100000</v>
      </c>
      <c r="F2557">
        <v>100</v>
      </c>
      <c r="G2557" s="129" t="s">
        <v>9</v>
      </c>
      <c r="H2557" s="129" t="s">
        <v>9</v>
      </c>
      <c r="I2557">
        <v>0</v>
      </c>
      <c r="J2557">
        <v>0</v>
      </c>
      <c r="K2557" s="129" t="s">
        <v>1962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s="129" t="s">
        <v>909</v>
      </c>
      <c r="B2558" s="129" t="s">
        <v>65</v>
      </c>
      <c r="C2558" s="129" t="s">
        <v>17</v>
      </c>
      <c r="D2558">
        <v>1</v>
      </c>
      <c r="E2558">
        <v>100000</v>
      </c>
      <c r="F2558">
        <v>1000</v>
      </c>
      <c r="G2558" s="129" t="s">
        <v>9</v>
      </c>
      <c r="H2558" s="129" t="s">
        <v>9</v>
      </c>
      <c r="I2558">
        <v>0</v>
      </c>
      <c r="J2558">
        <v>0</v>
      </c>
      <c r="K2558" s="129" t="s">
        <v>1962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s="129" t="s">
        <v>910</v>
      </c>
      <c r="B2559" s="129" t="s">
        <v>65</v>
      </c>
      <c r="C2559" s="129" t="s">
        <v>17</v>
      </c>
      <c r="D2559">
        <v>1</v>
      </c>
      <c r="E2559">
        <v>100000</v>
      </c>
      <c r="F2559">
        <v>10000</v>
      </c>
      <c r="G2559" s="129" t="s">
        <v>9</v>
      </c>
      <c r="H2559" s="129" t="s">
        <v>9</v>
      </c>
      <c r="I2559">
        <v>0</v>
      </c>
      <c r="J2559">
        <v>0</v>
      </c>
      <c r="K2559" s="129" t="s">
        <v>1962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s="129" t="s">
        <v>900</v>
      </c>
      <c r="B2560" s="129" t="s">
        <v>65</v>
      </c>
      <c r="C2560" s="129" t="s">
        <v>69</v>
      </c>
      <c r="D2560">
        <v>1</v>
      </c>
      <c r="E2560">
        <v>100</v>
      </c>
      <c r="F2560">
        <v>1</v>
      </c>
      <c r="G2560" s="129" t="s">
        <v>6</v>
      </c>
      <c r="H2560" s="129" t="s">
        <v>6</v>
      </c>
      <c r="I2560">
        <v>0</v>
      </c>
      <c r="J2560">
        <v>0</v>
      </c>
      <c r="K2560" s="129" t="s">
        <v>1962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s="129" t="s">
        <v>903</v>
      </c>
      <c r="B2561" s="129" t="s">
        <v>65</v>
      </c>
      <c r="C2561" s="129" t="s">
        <v>69</v>
      </c>
      <c r="D2561">
        <v>100</v>
      </c>
      <c r="E2561">
        <v>250</v>
      </c>
      <c r="F2561">
        <v>1</v>
      </c>
      <c r="G2561" s="129" t="s">
        <v>6</v>
      </c>
      <c r="H2561" s="129" t="s">
        <v>6</v>
      </c>
      <c r="I2561">
        <v>0</v>
      </c>
      <c r="J2561">
        <v>0</v>
      </c>
      <c r="K2561" s="129" t="s">
        <v>1962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s="129" t="s">
        <v>2605</v>
      </c>
      <c r="B2562" s="129" t="s">
        <v>65</v>
      </c>
      <c r="C2562" s="129" t="s">
        <v>69</v>
      </c>
      <c r="D2562">
        <v>250</v>
      </c>
      <c r="E2562">
        <v>500</v>
      </c>
      <c r="F2562">
        <v>1</v>
      </c>
      <c r="G2562" s="129" t="s">
        <v>6</v>
      </c>
      <c r="H2562" s="129" t="s">
        <v>6</v>
      </c>
      <c r="I2562">
        <v>0</v>
      </c>
      <c r="J2562">
        <v>0</v>
      </c>
      <c r="K2562" s="129" t="s">
        <v>1962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s="129" t="s">
        <v>2652</v>
      </c>
      <c r="B2563" s="129" t="s">
        <v>65</v>
      </c>
      <c r="C2563" s="129" t="s">
        <v>69</v>
      </c>
      <c r="D2563">
        <v>500</v>
      </c>
      <c r="E2563">
        <v>1000</v>
      </c>
      <c r="F2563">
        <v>1</v>
      </c>
      <c r="G2563" s="129" t="s">
        <v>6</v>
      </c>
      <c r="H2563" s="129" t="s">
        <v>6</v>
      </c>
      <c r="I2563">
        <v>0</v>
      </c>
      <c r="J2563">
        <v>0</v>
      </c>
      <c r="K2563" s="129" t="s">
        <v>1962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s="129" t="s">
        <v>901</v>
      </c>
      <c r="B2564" s="129" t="s">
        <v>65</v>
      </c>
      <c r="C2564" s="129" t="s">
        <v>69</v>
      </c>
      <c r="D2564">
        <v>1</v>
      </c>
      <c r="E2564">
        <v>100</v>
      </c>
      <c r="F2564">
        <v>10</v>
      </c>
      <c r="G2564" s="129" t="s">
        <v>6</v>
      </c>
      <c r="H2564" s="129" t="s">
        <v>6</v>
      </c>
      <c r="I2564">
        <v>0</v>
      </c>
      <c r="J2564">
        <v>0</v>
      </c>
      <c r="K2564" s="129" t="s">
        <v>1962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s="129" t="s">
        <v>2604</v>
      </c>
      <c r="B2565" s="129" t="s">
        <v>65</v>
      </c>
      <c r="C2565" s="129" t="s">
        <v>69</v>
      </c>
      <c r="D2565">
        <v>100</v>
      </c>
      <c r="E2565">
        <v>250</v>
      </c>
      <c r="F2565">
        <v>10</v>
      </c>
      <c r="G2565" s="129" t="s">
        <v>6</v>
      </c>
      <c r="H2565" s="129" t="s">
        <v>6</v>
      </c>
      <c r="I2565">
        <v>0</v>
      </c>
      <c r="J2565">
        <v>0</v>
      </c>
      <c r="K2565" s="129" t="s">
        <v>1962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s="129" t="s">
        <v>2606</v>
      </c>
      <c r="B2566" s="129" t="s">
        <v>65</v>
      </c>
      <c r="C2566" s="129" t="s">
        <v>69</v>
      </c>
      <c r="D2566">
        <v>250</v>
      </c>
      <c r="E2566">
        <v>500</v>
      </c>
      <c r="F2566">
        <v>10</v>
      </c>
      <c r="G2566" s="129" t="s">
        <v>6</v>
      </c>
      <c r="H2566" s="129" t="s">
        <v>6</v>
      </c>
      <c r="I2566">
        <v>0</v>
      </c>
      <c r="J2566">
        <v>0</v>
      </c>
      <c r="K2566" s="129" t="s">
        <v>1962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s="129" t="s">
        <v>906</v>
      </c>
      <c r="B2567" s="129" t="s">
        <v>65</v>
      </c>
      <c r="C2567" s="129" t="s">
        <v>69</v>
      </c>
      <c r="D2567">
        <v>500</v>
      </c>
      <c r="E2567">
        <v>1000</v>
      </c>
      <c r="F2567">
        <v>10</v>
      </c>
      <c r="G2567" s="129" t="s">
        <v>6</v>
      </c>
      <c r="H2567" s="129" t="s">
        <v>6</v>
      </c>
      <c r="I2567">
        <v>0</v>
      </c>
      <c r="J2567">
        <v>0</v>
      </c>
      <c r="K2567" s="129" t="s">
        <v>1962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s="129" t="s">
        <v>902</v>
      </c>
      <c r="B2568" s="129" t="s">
        <v>65</v>
      </c>
      <c r="C2568" s="129" t="s">
        <v>69</v>
      </c>
      <c r="D2568">
        <v>1</v>
      </c>
      <c r="E2568">
        <v>100</v>
      </c>
      <c r="F2568">
        <v>100</v>
      </c>
      <c r="G2568" s="129" t="s">
        <v>6</v>
      </c>
      <c r="H2568" s="129" t="s">
        <v>6</v>
      </c>
      <c r="I2568">
        <v>0</v>
      </c>
      <c r="J2568">
        <v>0</v>
      </c>
      <c r="K2568" s="129" t="s">
        <v>1962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s="129" t="s">
        <v>904</v>
      </c>
      <c r="B2569" s="129" t="s">
        <v>65</v>
      </c>
      <c r="C2569" s="129" t="s">
        <v>69</v>
      </c>
      <c r="D2569">
        <v>100</v>
      </c>
      <c r="E2569">
        <v>250</v>
      </c>
      <c r="F2569">
        <v>100</v>
      </c>
      <c r="G2569" s="129" t="s">
        <v>6</v>
      </c>
      <c r="H2569" s="129" t="s">
        <v>6</v>
      </c>
      <c r="I2569">
        <v>0</v>
      </c>
      <c r="J2569">
        <v>0</v>
      </c>
      <c r="K2569" s="129" t="s">
        <v>1962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s="129" t="s">
        <v>905</v>
      </c>
      <c r="B2570" s="129" t="s">
        <v>65</v>
      </c>
      <c r="C2570" s="129" t="s">
        <v>69</v>
      </c>
      <c r="D2570">
        <v>250</v>
      </c>
      <c r="E2570">
        <v>500</v>
      </c>
      <c r="F2570">
        <v>100</v>
      </c>
      <c r="G2570" s="129" t="s">
        <v>6</v>
      </c>
      <c r="H2570" s="129" t="s">
        <v>6</v>
      </c>
      <c r="I2570">
        <v>0</v>
      </c>
      <c r="J2570">
        <v>0</v>
      </c>
      <c r="K2570" s="129" t="s">
        <v>1962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s="129" t="s">
        <v>907</v>
      </c>
      <c r="B2571" s="129" t="s">
        <v>65</v>
      </c>
      <c r="C2571" s="129" t="s">
        <v>69</v>
      </c>
      <c r="D2571">
        <v>500</v>
      </c>
      <c r="E2571">
        <v>1000</v>
      </c>
      <c r="F2571">
        <v>100</v>
      </c>
      <c r="G2571" s="129" t="s">
        <v>6</v>
      </c>
      <c r="H2571" s="129" t="s">
        <v>6</v>
      </c>
      <c r="I2571">
        <v>0</v>
      </c>
      <c r="J2571">
        <v>0</v>
      </c>
      <c r="K2571" s="129" t="s">
        <v>1962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s="129" t="s">
        <v>2607</v>
      </c>
      <c r="B2572" s="129" t="s">
        <v>65</v>
      </c>
      <c r="C2572" s="129" t="s">
        <v>70</v>
      </c>
      <c r="D2572">
        <v>250000</v>
      </c>
      <c r="E2572">
        <v>100000000</v>
      </c>
      <c r="F2572">
        <v>10000</v>
      </c>
      <c r="G2572" s="129" t="s">
        <v>46</v>
      </c>
      <c r="H2572" s="129" t="s">
        <v>47</v>
      </c>
      <c r="I2572">
        <v>0</v>
      </c>
      <c r="J2572">
        <v>0</v>
      </c>
      <c r="K2572" s="129" t="s">
        <v>1962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s="129" t="s">
        <v>2611</v>
      </c>
      <c r="B2573" s="129" t="s">
        <v>65</v>
      </c>
      <c r="C2573" s="129" t="s">
        <v>70</v>
      </c>
      <c r="D2573">
        <v>100000000</v>
      </c>
      <c r="E2573">
        <v>250000000</v>
      </c>
      <c r="F2573">
        <v>10000</v>
      </c>
      <c r="G2573" s="129" t="s">
        <v>46</v>
      </c>
      <c r="H2573" s="129" t="s">
        <v>47</v>
      </c>
      <c r="I2573">
        <v>0</v>
      </c>
      <c r="J2573">
        <v>0</v>
      </c>
      <c r="K2573" s="129" t="s">
        <v>1962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s="129" t="s">
        <v>2616</v>
      </c>
      <c r="B2574" s="129" t="s">
        <v>65</v>
      </c>
      <c r="C2574" s="129" t="s">
        <v>70</v>
      </c>
      <c r="D2574">
        <v>250000000</v>
      </c>
      <c r="E2574">
        <v>500000000</v>
      </c>
      <c r="F2574">
        <v>10000</v>
      </c>
      <c r="G2574" s="129" t="s">
        <v>46</v>
      </c>
      <c r="H2574" s="129" t="s">
        <v>47</v>
      </c>
      <c r="I2574">
        <v>0</v>
      </c>
      <c r="J2574">
        <v>0</v>
      </c>
      <c r="K2574" s="129" t="s">
        <v>1962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s="129" t="s">
        <v>2620</v>
      </c>
      <c r="B2575" s="129" t="s">
        <v>65</v>
      </c>
      <c r="C2575" s="129" t="s">
        <v>70</v>
      </c>
      <c r="D2575">
        <v>500000000</v>
      </c>
      <c r="E2575">
        <v>1000000000</v>
      </c>
      <c r="F2575">
        <v>10000</v>
      </c>
      <c r="G2575" s="129" t="s">
        <v>46</v>
      </c>
      <c r="H2575" s="129" t="s">
        <v>47</v>
      </c>
      <c r="I2575">
        <v>0</v>
      </c>
      <c r="J2575">
        <v>0</v>
      </c>
      <c r="K2575" s="129" t="s">
        <v>1962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s="129" t="s">
        <v>2608</v>
      </c>
      <c r="B2576" s="129" t="s">
        <v>65</v>
      </c>
      <c r="C2576" s="129" t="s">
        <v>70</v>
      </c>
      <c r="D2576">
        <v>250000</v>
      </c>
      <c r="E2576">
        <v>100000000</v>
      </c>
      <c r="F2576">
        <v>100000</v>
      </c>
      <c r="G2576" s="129" t="s">
        <v>46</v>
      </c>
      <c r="H2576" s="129" t="s">
        <v>47</v>
      </c>
      <c r="I2576">
        <v>0</v>
      </c>
      <c r="J2576">
        <v>0</v>
      </c>
      <c r="K2576" s="129" t="s">
        <v>1962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s="129" t="s">
        <v>2612</v>
      </c>
      <c r="B2577" s="129" t="s">
        <v>65</v>
      </c>
      <c r="C2577" s="129" t="s">
        <v>70</v>
      </c>
      <c r="D2577">
        <v>100000000</v>
      </c>
      <c r="E2577">
        <v>250000000</v>
      </c>
      <c r="F2577">
        <v>100000</v>
      </c>
      <c r="G2577" s="129" t="s">
        <v>46</v>
      </c>
      <c r="H2577" s="129" t="s">
        <v>47</v>
      </c>
      <c r="I2577">
        <v>0</v>
      </c>
      <c r="J2577">
        <v>0</v>
      </c>
      <c r="K2577" s="129" t="s">
        <v>1962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s="129" t="s">
        <v>2617</v>
      </c>
      <c r="B2578" s="129" t="s">
        <v>65</v>
      </c>
      <c r="C2578" s="129" t="s">
        <v>70</v>
      </c>
      <c r="D2578">
        <v>250000000</v>
      </c>
      <c r="E2578">
        <v>500000000</v>
      </c>
      <c r="F2578">
        <v>100000</v>
      </c>
      <c r="G2578" s="129" t="s">
        <v>46</v>
      </c>
      <c r="H2578" s="129" t="s">
        <v>47</v>
      </c>
      <c r="I2578">
        <v>0</v>
      </c>
      <c r="J2578">
        <v>0</v>
      </c>
      <c r="K2578" s="129" t="s">
        <v>1962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s="129" t="s">
        <v>2621</v>
      </c>
      <c r="B2579" s="129" t="s">
        <v>65</v>
      </c>
      <c r="C2579" s="129" t="s">
        <v>70</v>
      </c>
      <c r="D2579">
        <v>500000000</v>
      </c>
      <c r="E2579">
        <v>1000000000</v>
      </c>
      <c r="F2579">
        <v>100000</v>
      </c>
      <c r="G2579" s="129" t="s">
        <v>46</v>
      </c>
      <c r="H2579" s="129" t="s">
        <v>47</v>
      </c>
      <c r="I2579">
        <v>0</v>
      </c>
      <c r="J2579">
        <v>0</v>
      </c>
      <c r="K2579" s="129" t="s">
        <v>1962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s="129" t="s">
        <v>2609</v>
      </c>
      <c r="B2580" s="129" t="s">
        <v>65</v>
      </c>
      <c r="C2580" s="129" t="s">
        <v>70</v>
      </c>
      <c r="D2580">
        <v>250000</v>
      </c>
      <c r="E2580">
        <v>100000000</v>
      </c>
      <c r="F2580">
        <v>1000000</v>
      </c>
      <c r="G2580" s="129" t="s">
        <v>46</v>
      </c>
      <c r="H2580" s="129" t="s">
        <v>47</v>
      </c>
      <c r="I2580">
        <v>0</v>
      </c>
      <c r="J2580">
        <v>0</v>
      </c>
      <c r="K2580" s="129" t="s">
        <v>1962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s="129" t="s">
        <v>2613</v>
      </c>
      <c r="B2581" s="129" t="s">
        <v>65</v>
      </c>
      <c r="C2581" s="129" t="s">
        <v>70</v>
      </c>
      <c r="D2581">
        <v>100000000</v>
      </c>
      <c r="E2581">
        <v>250000000</v>
      </c>
      <c r="F2581">
        <v>1000000</v>
      </c>
      <c r="G2581" s="129" t="s">
        <v>46</v>
      </c>
      <c r="H2581" s="129" t="s">
        <v>47</v>
      </c>
      <c r="I2581">
        <v>0</v>
      </c>
      <c r="J2581">
        <v>0</v>
      </c>
      <c r="K2581" s="129" t="s">
        <v>1962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s="129" t="s">
        <v>2618</v>
      </c>
      <c r="B2582" s="129" t="s">
        <v>65</v>
      </c>
      <c r="C2582" s="129" t="s">
        <v>70</v>
      </c>
      <c r="D2582">
        <v>250000000</v>
      </c>
      <c r="E2582">
        <v>500000000</v>
      </c>
      <c r="F2582">
        <v>1000000</v>
      </c>
      <c r="G2582" s="129" t="s">
        <v>46</v>
      </c>
      <c r="H2582" s="129" t="s">
        <v>47</v>
      </c>
      <c r="I2582">
        <v>0</v>
      </c>
      <c r="J2582">
        <v>0</v>
      </c>
      <c r="K2582" s="129" t="s">
        <v>1962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s="129" t="s">
        <v>2622</v>
      </c>
      <c r="B2583" s="129" t="s">
        <v>65</v>
      </c>
      <c r="C2583" s="129" t="s">
        <v>70</v>
      </c>
      <c r="D2583">
        <v>500000000</v>
      </c>
      <c r="E2583">
        <v>1000000000</v>
      </c>
      <c r="F2583">
        <v>1000000</v>
      </c>
      <c r="G2583" s="129" t="s">
        <v>46</v>
      </c>
      <c r="H2583" s="129" t="s">
        <v>47</v>
      </c>
      <c r="I2583">
        <v>0</v>
      </c>
      <c r="J2583">
        <v>0</v>
      </c>
      <c r="K2583" s="129" t="s">
        <v>1962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s="129" t="s">
        <v>2610</v>
      </c>
      <c r="B2584" s="129" t="s">
        <v>65</v>
      </c>
      <c r="C2584" s="129" t="s">
        <v>70</v>
      </c>
      <c r="D2584">
        <v>250000</v>
      </c>
      <c r="E2584">
        <v>100000000</v>
      </c>
      <c r="F2584">
        <v>10000000</v>
      </c>
      <c r="G2584" s="129" t="s">
        <v>46</v>
      </c>
      <c r="H2584" s="129" t="s">
        <v>47</v>
      </c>
      <c r="I2584">
        <v>0</v>
      </c>
      <c r="J2584">
        <v>0</v>
      </c>
      <c r="K2584" s="129" t="s">
        <v>1962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s="129" t="s">
        <v>2614</v>
      </c>
      <c r="B2585" s="129" t="s">
        <v>65</v>
      </c>
      <c r="C2585" s="129" t="s">
        <v>70</v>
      </c>
      <c r="D2585">
        <v>100000000</v>
      </c>
      <c r="E2585">
        <v>250000000</v>
      </c>
      <c r="F2585">
        <v>10000000</v>
      </c>
      <c r="G2585" s="129" t="s">
        <v>46</v>
      </c>
      <c r="H2585" s="129" t="s">
        <v>47</v>
      </c>
      <c r="I2585">
        <v>0</v>
      </c>
      <c r="J2585">
        <v>0</v>
      </c>
      <c r="K2585" s="129" t="s">
        <v>1962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s="129" t="s">
        <v>2619</v>
      </c>
      <c r="B2586" s="129" t="s">
        <v>65</v>
      </c>
      <c r="C2586" s="129" t="s">
        <v>70</v>
      </c>
      <c r="D2586">
        <v>250000000</v>
      </c>
      <c r="E2586">
        <v>500000000</v>
      </c>
      <c r="F2586">
        <v>10000000</v>
      </c>
      <c r="G2586" s="129" t="s">
        <v>46</v>
      </c>
      <c r="H2586" s="129" t="s">
        <v>47</v>
      </c>
      <c r="I2586">
        <v>0</v>
      </c>
      <c r="J2586">
        <v>0</v>
      </c>
      <c r="K2586" s="129" t="s">
        <v>1962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s="129" t="s">
        <v>2623</v>
      </c>
      <c r="B2587" s="129" t="s">
        <v>65</v>
      </c>
      <c r="C2587" s="129" t="s">
        <v>70</v>
      </c>
      <c r="D2587">
        <v>500000000</v>
      </c>
      <c r="E2587">
        <v>1000000000</v>
      </c>
      <c r="F2587">
        <v>10000000</v>
      </c>
      <c r="G2587" s="129" t="s">
        <v>46</v>
      </c>
      <c r="H2587" s="129" t="s">
        <v>47</v>
      </c>
      <c r="I2587">
        <v>0</v>
      </c>
      <c r="J2587">
        <v>0</v>
      </c>
      <c r="K2587" s="129" t="s">
        <v>1962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s="129" t="s">
        <v>2615</v>
      </c>
      <c r="B2588" s="129" t="s">
        <v>65</v>
      </c>
      <c r="C2588" s="129" t="s">
        <v>70</v>
      </c>
      <c r="D2588">
        <v>100000000</v>
      </c>
      <c r="E2588">
        <v>250000000</v>
      </c>
      <c r="F2588">
        <v>100000000</v>
      </c>
      <c r="G2588" s="129" t="s">
        <v>46</v>
      </c>
      <c r="H2588" s="129" t="s">
        <v>47</v>
      </c>
      <c r="I2588">
        <v>0</v>
      </c>
      <c r="J2588">
        <v>0</v>
      </c>
      <c r="K2588" s="129" t="s">
        <v>1962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s="129" t="s">
        <v>2624</v>
      </c>
      <c r="B2589" s="129" t="s">
        <v>65</v>
      </c>
      <c r="C2589" s="129" t="s">
        <v>70</v>
      </c>
      <c r="D2589">
        <v>500000000</v>
      </c>
      <c r="E2589">
        <v>1000000000</v>
      </c>
      <c r="F2589">
        <v>100000000</v>
      </c>
      <c r="G2589" s="129" t="s">
        <v>46</v>
      </c>
      <c r="H2589" s="129" t="s">
        <v>47</v>
      </c>
      <c r="I2589">
        <v>0</v>
      </c>
      <c r="J2589">
        <v>0</v>
      </c>
      <c r="K2589" s="129" t="s">
        <v>1962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s="129" t="s">
        <v>891</v>
      </c>
      <c r="B2590" s="129" t="s">
        <v>65</v>
      </c>
      <c r="C2590" s="129" t="s">
        <v>71</v>
      </c>
      <c r="D2590">
        <v>-210</v>
      </c>
      <c r="E2590">
        <v>-100</v>
      </c>
      <c r="F2590">
        <v>0.1</v>
      </c>
      <c r="G2590" s="129" t="s">
        <v>23</v>
      </c>
      <c r="H2590" s="129" t="s">
        <v>23</v>
      </c>
      <c r="I2590">
        <v>0</v>
      </c>
      <c r="J2590">
        <v>0</v>
      </c>
      <c r="K2590" s="129" t="s">
        <v>1962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s="129" t="s">
        <v>894</v>
      </c>
      <c r="B2591" s="129" t="s">
        <v>65</v>
      </c>
      <c r="C2591" s="129" t="s">
        <v>71</v>
      </c>
      <c r="D2591">
        <v>-100</v>
      </c>
      <c r="E2591">
        <v>150</v>
      </c>
      <c r="F2591">
        <v>0.1</v>
      </c>
      <c r="G2591" s="129" t="s">
        <v>23</v>
      </c>
      <c r="H2591" s="129" t="s">
        <v>23</v>
      </c>
      <c r="I2591">
        <v>0</v>
      </c>
      <c r="J2591">
        <v>0</v>
      </c>
      <c r="K2591" s="129" t="s">
        <v>1962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s="129" t="s">
        <v>2626</v>
      </c>
      <c r="B2592" s="129" t="s">
        <v>65</v>
      </c>
      <c r="C2592" s="129" t="s">
        <v>71</v>
      </c>
      <c r="D2592">
        <v>150</v>
      </c>
      <c r="E2592">
        <v>760</v>
      </c>
      <c r="F2592">
        <v>0.1</v>
      </c>
      <c r="G2592" s="129" t="s">
        <v>23</v>
      </c>
      <c r="H2592" s="129" t="s">
        <v>23</v>
      </c>
      <c r="I2592">
        <v>0</v>
      </c>
      <c r="J2592">
        <v>0</v>
      </c>
      <c r="K2592" s="129" t="s">
        <v>1962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s="129" t="s">
        <v>898</v>
      </c>
      <c r="B2593" s="129" t="s">
        <v>65</v>
      </c>
      <c r="C2593" s="129" t="s">
        <v>71</v>
      </c>
      <c r="D2593">
        <v>760</v>
      </c>
      <c r="E2593">
        <v>1200</v>
      </c>
      <c r="F2593">
        <v>0.1</v>
      </c>
      <c r="G2593" s="129" t="s">
        <v>23</v>
      </c>
      <c r="H2593" s="129" t="s">
        <v>23</v>
      </c>
      <c r="I2593">
        <v>0</v>
      </c>
      <c r="J2593">
        <v>0</v>
      </c>
      <c r="K2593" s="129" t="s">
        <v>1962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s="129" t="s">
        <v>889</v>
      </c>
      <c r="B2594" s="129" t="s">
        <v>65</v>
      </c>
      <c r="C2594" s="129" t="s">
        <v>71</v>
      </c>
      <c r="D2594">
        <v>-346</v>
      </c>
      <c r="E2594">
        <v>-148</v>
      </c>
      <c r="F2594">
        <v>0.1</v>
      </c>
      <c r="G2594" s="129" t="s">
        <v>26</v>
      </c>
      <c r="H2594" s="129" t="s">
        <v>26</v>
      </c>
      <c r="I2594">
        <v>0</v>
      </c>
      <c r="J2594">
        <v>0</v>
      </c>
      <c r="K2594" s="129" t="s">
        <v>1962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s="129" t="s">
        <v>892</v>
      </c>
      <c r="B2595" s="129" t="s">
        <v>65</v>
      </c>
      <c r="C2595" s="129" t="s">
        <v>71</v>
      </c>
      <c r="D2595">
        <v>-148</v>
      </c>
      <c r="E2595">
        <v>302</v>
      </c>
      <c r="F2595">
        <v>0.1</v>
      </c>
      <c r="G2595" s="129" t="s">
        <v>26</v>
      </c>
      <c r="H2595" s="129" t="s">
        <v>26</v>
      </c>
      <c r="I2595">
        <v>0</v>
      </c>
      <c r="J2595">
        <v>0</v>
      </c>
      <c r="K2595" s="129" t="s">
        <v>1962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s="129" t="s">
        <v>896</v>
      </c>
      <c r="B2596" s="129" t="s">
        <v>65</v>
      </c>
      <c r="C2596" s="129" t="s">
        <v>71</v>
      </c>
      <c r="D2596">
        <v>302</v>
      </c>
      <c r="E2596">
        <v>1400</v>
      </c>
      <c r="F2596">
        <v>0.1</v>
      </c>
      <c r="G2596" s="129" t="s">
        <v>26</v>
      </c>
      <c r="H2596" s="129" t="s">
        <v>26</v>
      </c>
      <c r="I2596">
        <v>0</v>
      </c>
      <c r="J2596">
        <v>0</v>
      </c>
      <c r="K2596" s="129" t="s">
        <v>1962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s="129" t="s">
        <v>899</v>
      </c>
      <c r="B2597" s="129" t="s">
        <v>65</v>
      </c>
      <c r="C2597" s="129" t="s">
        <v>71</v>
      </c>
      <c r="D2597">
        <v>1400</v>
      </c>
      <c r="E2597">
        <v>2192</v>
      </c>
      <c r="F2597">
        <v>0.1</v>
      </c>
      <c r="G2597" s="129" t="s">
        <v>26</v>
      </c>
      <c r="H2597" s="129" t="s">
        <v>26</v>
      </c>
      <c r="I2597">
        <v>0</v>
      </c>
      <c r="J2597">
        <v>0</v>
      </c>
      <c r="K2597" s="129" t="s">
        <v>1962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s="129" t="s">
        <v>2627</v>
      </c>
      <c r="B2598" s="129" t="s">
        <v>65</v>
      </c>
      <c r="C2598" s="129" t="s">
        <v>71</v>
      </c>
      <c r="D2598">
        <v>-210</v>
      </c>
      <c r="E2598">
        <v>-100</v>
      </c>
      <c r="F2598">
        <v>1</v>
      </c>
      <c r="G2598" s="129" t="s">
        <v>23</v>
      </c>
      <c r="H2598" s="129" t="s">
        <v>23</v>
      </c>
      <c r="I2598">
        <v>0</v>
      </c>
      <c r="J2598">
        <v>0</v>
      </c>
      <c r="K2598" s="129" t="s">
        <v>1962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s="129" t="s">
        <v>895</v>
      </c>
      <c r="B2599" s="129" t="s">
        <v>65</v>
      </c>
      <c r="C2599" s="129" t="s">
        <v>71</v>
      </c>
      <c r="D2599">
        <v>-100</v>
      </c>
      <c r="E2599">
        <v>150</v>
      </c>
      <c r="F2599">
        <v>1</v>
      </c>
      <c r="G2599" s="129" t="s">
        <v>23</v>
      </c>
      <c r="H2599" s="129" t="s">
        <v>23</v>
      </c>
      <c r="I2599">
        <v>0</v>
      </c>
      <c r="J2599">
        <v>0</v>
      </c>
      <c r="K2599" s="129" t="s">
        <v>1962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s="129" t="s">
        <v>2628</v>
      </c>
      <c r="B2600" s="129" t="s">
        <v>65</v>
      </c>
      <c r="C2600" s="129" t="s">
        <v>71</v>
      </c>
      <c r="D2600">
        <v>150</v>
      </c>
      <c r="E2600">
        <v>760</v>
      </c>
      <c r="F2600">
        <v>1</v>
      </c>
      <c r="G2600" s="129" t="s">
        <v>23</v>
      </c>
      <c r="H2600" s="129" t="s">
        <v>23</v>
      </c>
      <c r="I2600">
        <v>0</v>
      </c>
      <c r="J2600">
        <v>0</v>
      </c>
      <c r="K2600" s="129" t="s">
        <v>1962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s="129" t="s">
        <v>2629</v>
      </c>
      <c r="B2601" s="129" t="s">
        <v>65</v>
      </c>
      <c r="C2601" s="129" t="s">
        <v>71</v>
      </c>
      <c r="D2601">
        <v>760</v>
      </c>
      <c r="E2601">
        <v>1200</v>
      </c>
      <c r="F2601">
        <v>1</v>
      </c>
      <c r="G2601" s="129" t="s">
        <v>23</v>
      </c>
      <c r="H2601" s="129" t="s">
        <v>23</v>
      </c>
      <c r="I2601">
        <v>0</v>
      </c>
      <c r="J2601">
        <v>0</v>
      </c>
      <c r="K2601" s="129" t="s">
        <v>1962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s="129" t="s">
        <v>890</v>
      </c>
      <c r="B2602" s="129" t="s">
        <v>65</v>
      </c>
      <c r="C2602" s="129" t="s">
        <v>71</v>
      </c>
      <c r="D2602">
        <v>-346</v>
      </c>
      <c r="E2602">
        <v>-148</v>
      </c>
      <c r="F2602">
        <v>1</v>
      </c>
      <c r="G2602" s="129" t="s">
        <v>26</v>
      </c>
      <c r="H2602" s="129" t="s">
        <v>26</v>
      </c>
      <c r="I2602">
        <v>0</v>
      </c>
      <c r="J2602">
        <v>0</v>
      </c>
      <c r="K2602" s="129" t="s">
        <v>1962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s="129" t="s">
        <v>893</v>
      </c>
      <c r="B2603" s="129" t="s">
        <v>65</v>
      </c>
      <c r="C2603" s="129" t="s">
        <v>71</v>
      </c>
      <c r="D2603">
        <v>-148</v>
      </c>
      <c r="E2603">
        <v>302</v>
      </c>
      <c r="F2603">
        <v>1</v>
      </c>
      <c r="G2603" s="129" t="s">
        <v>26</v>
      </c>
      <c r="H2603" s="129" t="s">
        <v>26</v>
      </c>
      <c r="I2603">
        <v>0</v>
      </c>
      <c r="J2603">
        <v>0</v>
      </c>
      <c r="K2603" s="129" t="s">
        <v>1962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s="129" t="s">
        <v>897</v>
      </c>
      <c r="B2604" s="129" t="s">
        <v>65</v>
      </c>
      <c r="C2604" s="129" t="s">
        <v>71</v>
      </c>
      <c r="D2604">
        <v>302</v>
      </c>
      <c r="E2604">
        <v>1400</v>
      </c>
      <c r="F2604">
        <v>1</v>
      </c>
      <c r="G2604" s="129" t="s">
        <v>26</v>
      </c>
      <c r="H2604" s="129" t="s">
        <v>26</v>
      </c>
      <c r="I2604">
        <v>0</v>
      </c>
      <c r="J2604">
        <v>0</v>
      </c>
      <c r="K2604" s="129" t="s">
        <v>1962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s="129" t="s">
        <v>2625</v>
      </c>
      <c r="B2605" s="129" t="s">
        <v>65</v>
      </c>
      <c r="C2605" s="129" t="s">
        <v>71</v>
      </c>
      <c r="D2605">
        <v>1400</v>
      </c>
      <c r="E2605">
        <v>2192</v>
      </c>
      <c r="F2605">
        <v>1</v>
      </c>
      <c r="G2605" s="129" t="s">
        <v>26</v>
      </c>
      <c r="H2605" s="129" t="s">
        <v>26</v>
      </c>
      <c r="I2605">
        <v>0</v>
      </c>
      <c r="J2605">
        <v>0</v>
      </c>
      <c r="K2605" s="129" t="s">
        <v>1962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s="129" t="s">
        <v>2630</v>
      </c>
      <c r="B2606" s="129" t="s">
        <v>65</v>
      </c>
      <c r="C2606" s="129" t="s">
        <v>72</v>
      </c>
      <c r="D2606">
        <v>-200</v>
      </c>
      <c r="E2606">
        <v>-100</v>
      </c>
      <c r="F2606">
        <v>0.1</v>
      </c>
      <c r="G2606" s="129" t="s">
        <v>23</v>
      </c>
      <c r="H2606" s="129" t="s">
        <v>23</v>
      </c>
      <c r="I2606">
        <v>0</v>
      </c>
      <c r="J2606">
        <v>0</v>
      </c>
      <c r="K2606" s="129" t="s">
        <v>1962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s="129" t="s">
        <v>883</v>
      </c>
      <c r="B2607" s="129" t="s">
        <v>65</v>
      </c>
      <c r="C2607" s="129" t="s">
        <v>72</v>
      </c>
      <c r="D2607">
        <v>-100</v>
      </c>
      <c r="E2607">
        <v>120</v>
      </c>
      <c r="F2607">
        <v>0.1</v>
      </c>
      <c r="G2607" s="129" t="s">
        <v>23</v>
      </c>
      <c r="H2607" s="129" t="s">
        <v>23</v>
      </c>
      <c r="I2607">
        <v>0</v>
      </c>
      <c r="J2607">
        <v>0</v>
      </c>
      <c r="K2607" s="129" t="s">
        <v>1962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s="129" t="s">
        <v>885</v>
      </c>
      <c r="B2608" s="129" t="s">
        <v>65</v>
      </c>
      <c r="C2608" s="129" t="s">
        <v>72</v>
      </c>
      <c r="D2608">
        <v>120</v>
      </c>
      <c r="E2608">
        <v>1370</v>
      </c>
      <c r="F2608">
        <v>0.1</v>
      </c>
      <c r="G2608" s="129" t="s">
        <v>23</v>
      </c>
      <c r="H2608" s="129" t="s">
        <v>23</v>
      </c>
      <c r="I2608">
        <v>0</v>
      </c>
      <c r="J2608">
        <v>0</v>
      </c>
      <c r="K2608" s="129" t="s">
        <v>1962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s="129" t="s">
        <v>878</v>
      </c>
      <c r="B2609" s="129" t="s">
        <v>65</v>
      </c>
      <c r="C2609" s="129" t="s">
        <v>72</v>
      </c>
      <c r="D2609">
        <v>-328</v>
      </c>
      <c r="E2609">
        <v>-148</v>
      </c>
      <c r="F2609">
        <v>0.1</v>
      </c>
      <c r="G2609" s="129" t="s">
        <v>26</v>
      </c>
      <c r="H2609" s="129" t="s">
        <v>26</v>
      </c>
      <c r="I2609">
        <v>0</v>
      </c>
      <c r="J2609">
        <v>0</v>
      </c>
      <c r="K2609" s="129" t="s">
        <v>1962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s="129" t="s">
        <v>881</v>
      </c>
      <c r="B2610" s="129" t="s">
        <v>65</v>
      </c>
      <c r="C2610" s="129" t="s">
        <v>72</v>
      </c>
      <c r="D2610">
        <v>-148</v>
      </c>
      <c r="E2610">
        <v>248</v>
      </c>
      <c r="F2610">
        <v>0.1</v>
      </c>
      <c r="G2610" s="129" t="s">
        <v>26</v>
      </c>
      <c r="H2610" s="129" t="s">
        <v>26</v>
      </c>
      <c r="I2610">
        <v>0</v>
      </c>
      <c r="J2610">
        <v>0</v>
      </c>
      <c r="K2610" s="129" t="s">
        <v>1962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s="129" t="s">
        <v>887</v>
      </c>
      <c r="B2611" s="129" t="s">
        <v>65</v>
      </c>
      <c r="C2611" s="129" t="s">
        <v>72</v>
      </c>
      <c r="D2611">
        <v>248</v>
      </c>
      <c r="E2611">
        <v>2500</v>
      </c>
      <c r="F2611">
        <v>0.1</v>
      </c>
      <c r="G2611" s="129" t="s">
        <v>26</v>
      </c>
      <c r="H2611" s="129" t="s">
        <v>26</v>
      </c>
      <c r="I2611">
        <v>0</v>
      </c>
      <c r="J2611">
        <v>0</v>
      </c>
      <c r="K2611" s="129" t="s">
        <v>1962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s="129" t="s">
        <v>880</v>
      </c>
      <c r="B2612" s="129" t="s">
        <v>65</v>
      </c>
      <c r="C2612" s="129" t="s">
        <v>72</v>
      </c>
      <c r="D2612">
        <v>-200</v>
      </c>
      <c r="E2612">
        <v>-100</v>
      </c>
      <c r="F2612">
        <v>1</v>
      </c>
      <c r="G2612" s="129" t="s">
        <v>23</v>
      </c>
      <c r="H2612" s="129" t="s">
        <v>23</v>
      </c>
      <c r="I2612">
        <v>0</v>
      </c>
      <c r="J2612">
        <v>0</v>
      </c>
      <c r="K2612" s="129" t="s">
        <v>1962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s="129" t="s">
        <v>884</v>
      </c>
      <c r="B2613" s="129" t="s">
        <v>65</v>
      </c>
      <c r="C2613" s="129" t="s">
        <v>72</v>
      </c>
      <c r="D2613">
        <v>-100</v>
      </c>
      <c r="E2613">
        <v>120</v>
      </c>
      <c r="F2613">
        <v>1</v>
      </c>
      <c r="G2613" s="129" t="s">
        <v>23</v>
      </c>
      <c r="H2613" s="129" t="s">
        <v>23</v>
      </c>
      <c r="I2613">
        <v>0</v>
      </c>
      <c r="J2613">
        <v>0</v>
      </c>
      <c r="K2613" s="129" t="s">
        <v>1962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s="129" t="s">
        <v>886</v>
      </c>
      <c r="B2614" s="129" t="s">
        <v>65</v>
      </c>
      <c r="C2614" s="129" t="s">
        <v>72</v>
      </c>
      <c r="D2614">
        <v>120</v>
      </c>
      <c r="E2614">
        <v>1370</v>
      </c>
      <c r="F2614">
        <v>1</v>
      </c>
      <c r="G2614" s="129" t="s">
        <v>23</v>
      </c>
      <c r="H2614" s="129" t="s">
        <v>23</v>
      </c>
      <c r="I2614">
        <v>0</v>
      </c>
      <c r="J2614">
        <v>0</v>
      </c>
      <c r="K2614" s="129" t="s">
        <v>1962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s="129" t="s">
        <v>879</v>
      </c>
      <c r="B2615" s="129" t="s">
        <v>65</v>
      </c>
      <c r="C2615" s="129" t="s">
        <v>72</v>
      </c>
      <c r="D2615">
        <v>-328</v>
      </c>
      <c r="E2615">
        <v>-148</v>
      </c>
      <c r="F2615">
        <v>1</v>
      </c>
      <c r="G2615" s="129" t="s">
        <v>26</v>
      </c>
      <c r="H2615" s="129" t="s">
        <v>26</v>
      </c>
      <c r="I2615">
        <v>0</v>
      </c>
      <c r="J2615">
        <v>0</v>
      </c>
      <c r="K2615" s="129" t="s">
        <v>1962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s="129" t="s">
        <v>882</v>
      </c>
      <c r="B2616" s="129" t="s">
        <v>65</v>
      </c>
      <c r="C2616" s="129" t="s">
        <v>72</v>
      </c>
      <c r="D2616">
        <v>-148</v>
      </c>
      <c r="E2616">
        <v>248</v>
      </c>
      <c r="F2616">
        <v>1</v>
      </c>
      <c r="G2616" s="129" t="s">
        <v>26</v>
      </c>
      <c r="H2616" s="129" t="s">
        <v>26</v>
      </c>
      <c r="I2616">
        <v>0</v>
      </c>
      <c r="J2616">
        <v>0</v>
      </c>
      <c r="K2616" s="129" t="s">
        <v>1962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s="129" t="s">
        <v>888</v>
      </c>
      <c r="B2617" s="129" t="s">
        <v>65</v>
      </c>
      <c r="C2617" s="129" t="s">
        <v>72</v>
      </c>
      <c r="D2617">
        <v>248</v>
      </c>
      <c r="E2617">
        <v>2500</v>
      </c>
      <c r="F2617">
        <v>1</v>
      </c>
      <c r="G2617" s="129" t="s">
        <v>26</v>
      </c>
      <c r="H2617" s="129" t="s">
        <v>26</v>
      </c>
      <c r="I2617">
        <v>0</v>
      </c>
      <c r="J2617">
        <v>0</v>
      </c>
      <c r="K2617" s="129" t="s">
        <v>1962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s="129" t="s">
        <v>870</v>
      </c>
      <c r="B2618" s="129" t="s">
        <v>65</v>
      </c>
      <c r="C2618" s="129" t="s">
        <v>73</v>
      </c>
      <c r="D2618">
        <v>-200</v>
      </c>
      <c r="E2618">
        <v>-100</v>
      </c>
      <c r="F2618">
        <v>0.1</v>
      </c>
      <c r="G2618" s="129" t="s">
        <v>23</v>
      </c>
      <c r="H2618" s="129" t="s">
        <v>23</v>
      </c>
      <c r="I2618">
        <v>0</v>
      </c>
      <c r="J2618">
        <v>0</v>
      </c>
      <c r="K2618" s="129" t="s">
        <v>1962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s="129" t="s">
        <v>873</v>
      </c>
      <c r="B2619" s="129" t="s">
        <v>65</v>
      </c>
      <c r="C2619" s="129" t="s">
        <v>73</v>
      </c>
      <c r="D2619">
        <v>-100</v>
      </c>
      <c r="E2619">
        <v>410</v>
      </c>
      <c r="F2619">
        <v>0.1</v>
      </c>
      <c r="G2619" s="129" t="s">
        <v>23</v>
      </c>
      <c r="H2619" s="129" t="s">
        <v>23</v>
      </c>
      <c r="I2619">
        <v>0</v>
      </c>
      <c r="J2619">
        <v>0</v>
      </c>
      <c r="K2619" s="129" t="s">
        <v>1962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s="129" t="s">
        <v>875</v>
      </c>
      <c r="B2620" s="129" t="s">
        <v>65</v>
      </c>
      <c r="C2620" s="129" t="s">
        <v>73</v>
      </c>
      <c r="D2620">
        <v>410</v>
      </c>
      <c r="E2620">
        <v>1300</v>
      </c>
      <c r="F2620">
        <v>0.1</v>
      </c>
      <c r="G2620" s="129" t="s">
        <v>23</v>
      </c>
      <c r="H2620" s="129" t="s">
        <v>23</v>
      </c>
      <c r="I2620">
        <v>0</v>
      </c>
      <c r="J2620">
        <v>0</v>
      </c>
      <c r="K2620" s="129" t="s">
        <v>1962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s="129" t="s">
        <v>868</v>
      </c>
      <c r="B2621" s="129" t="s">
        <v>65</v>
      </c>
      <c r="C2621" s="129" t="s">
        <v>73</v>
      </c>
      <c r="D2621">
        <v>-328</v>
      </c>
      <c r="E2621">
        <v>-148</v>
      </c>
      <c r="F2621">
        <v>0.1</v>
      </c>
      <c r="G2621" s="129" t="s">
        <v>26</v>
      </c>
      <c r="H2621" s="129" t="s">
        <v>26</v>
      </c>
      <c r="I2621">
        <v>0</v>
      </c>
      <c r="J2621">
        <v>0</v>
      </c>
      <c r="K2621" s="129" t="s">
        <v>1962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s="129" t="s">
        <v>871</v>
      </c>
      <c r="B2622" s="129" t="s">
        <v>65</v>
      </c>
      <c r="C2622" s="129" t="s">
        <v>73</v>
      </c>
      <c r="D2622">
        <v>-148</v>
      </c>
      <c r="E2622">
        <v>770</v>
      </c>
      <c r="F2622">
        <v>0.1</v>
      </c>
      <c r="G2622" s="129" t="s">
        <v>26</v>
      </c>
      <c r="H2622" s="129" t="s">
        <v>26</v>
      </c>
      <c r="I2622">
        <v>0</v>
      </c>
      <c r="J2622">
        <v>0</v>
      </c>
      <c r="K2622" s="129" t="s">
        <v>1962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s="129" t="s">
        <v>2631</v>
      </c>
      <c r="B2623" s="129" t="s">
        <v>65</v>
      </c>
      <c r="C2623" s="129" t="s">
        <v>73</v>
      </c>
      <c r="D2623">
        <v>770</v>
      </c>
      <c r="E2623">
        <v>2372</v>
      </c>
      <c r="F2623">
        <v>0.1</v>
      </c>
      <c r="G2623" s="129" t="s">
        <v>26</v>
      </c>
      <c r="H2623" s="129" t="s">
        <v>26</v>
      </c>
      <c r="I2623">
        <v>0</v>
      </c>
      <c r="J2623">
        <v>0</v>
      </c>
      <c r="K2623" s="129" t="s">
        <v>1962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s="129" t="s">
        <v>2632</v>
      </c>
      <c r="B2624" s="129" t="s">
        <v>65</v>
      </c>
      <c r="C2624" s="129" t="s">
        <v>73</v>
      </c>
      <c r="D2624">
        <v>-200</v>
      </c>
      <c r="E2624">
        <v>-100</v>
      </c>
      <c r="F2624">
        <v>1</v>
      </c>
      <c r="G2624" s="129" t="s">
        <v>23</v>
      </c>
      <c r="H2624" s="129" t="s">
        <v>23</v>
      </c>
      <c r="I2624">
        <v>0</v>
      </c>
      <c r="J2624">
        <v>0</v>
      </c>
      <c r="K2624" s="129" t="s">
        <v>1962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s="129" t="s">
        <v>874</v>
      </c>
      <c r="B2625" s="129" t="s">
        <v>65</v>
      </c>
      <c r="C2625" s="129" t="s">
        <v>73</v>
      </c>
      <c r="D2625">
        <v>-100</v>
      </c>
      <c r="E2625">
        <v>410</v>
      </c>
      <c r="F2625">
        <v>1</v>
      </c>
      <c r="G2625" s="129" t="s">
        <v>23</v>
      </c>
      <c r="H2625" s="129" t="s">
        <v>23</v>
      </c>
      <c r="I2625">
        <v>0</v>
      </c>
      <c r="J2625">
        <v>0</v>
      </c>
      <c r="K2625" s="129" t="s">
        <v>1962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s="129" t="s">
        <v>876</v>
      </c>
      <c r="B2626" s="129" t="s">
        <v>65</v>
      </c>
      <c r="C2626" s="129" t="s">
        <v>73</v>
      </c>
      <c r="D2626">
        <v>410</v>
      </c>
      <c r="E2626">
        <v>1300</v>
      </c>
      <c r="F2626">
        <v>1</v>
      </c>
      <c r="G2626" s="129" t="s">
        <v>23</v>
      </c>
      <c r="H2626" s="129" t="s">
        <v>23</v>
      </c>
      <c r="I2626">
        <v>0</v>
      </c>
      <c r="J2626">
        <v>0</v>
      </c>
      <c r="K2626" s="129" t="s">
        <v>1962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s="129" t="s">
        <v>869</v>
      </c>
      <c r="B2627" s="129" t="s">
        <v>65</v>
      </c>
      <c r="C2627" s="129" t="s">
        <v>73</v>
      </c>
      <c r="D2627">
        <v>-328</v>
      </c>
      <c r="E2627">
        <v>-148</v>
      </c>
      <c r="F2627">
        <v>1</v>
      </c>
      <c r="G2627" s="129" t="s">
        <v>26</v>
      </c>
      <c r="H2627" s="129" t="s">
        <v>26</v>
      </c>
      <c r="I2627">
        <v>0</v>
      </c>
      <c r="J2627">
        <v>0</v>
      </c>
      <c r="K2627" s="129" t="s">
        <v>1962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s="129" t="s">
        <v>872</v>
      </c>
      <c r="B2628" s="129" t="s">
        <v>65</v>
      </c>
      <c r="C2628" s="129" t="s">
        <v>73</v>
      </c>
      <c r="D2628">
        <v>-148</v>
      </c>
      <c r="E2628">
        <v>770</v>
      </c>
      <c r="F2628">
        <v>1</v>
      </c>
      <c r="G2628" s="129" t="s">
        <v>26</v>
      </c>
      <c r="H2628" s="129" t="s">
        <v>26</v>
      </c>
      <c r="I2628">
        <v>0</v>
      </c>
      <c r="J2628">
        <v>0</v>
      </c>
      <c r="K2628" s="129" t="s">
        <v>1962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s="129" t="s">
        <v>877</v>
      </c>
      <c r="B2629" s="129" t="s">
        <v>65</v>
      </c>
      <c r="C2629" s="129" t="s">
        <v>73</v>
      </c>
      <c r="D2629">
        <v>770</v>
      </c>
      <c r="E2629">
        <v>2372</v>
      </c>
      <c r="F2629">
        <v>1</v>
      </c>
      <c r="G2629" s="129" t="s">
        <v>26</v>
      </c>
      <c r="H2629" s="129" t="s">
        <v>26</v>
      </c>
      <c r="I2629">
        <v>0</v>
      </c>
      <c r="J2629">
        <v>0</v>
      </c>
      <c r="K2629" s="129" t="s">
        <v>1962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s="129" t="s">
        <v>863</v>
      </c>
      <c r="B2630" s="129" t="s">
        <v>65</v>
      </c>
      <c r="C2630" s="129" t="s">
        <v>74</v>
      </c>
      <c r="D2630">
        <v>0</v>
      </c>
      <c r="E2630">
        <v>250</v>
      </c>
      <c r="F2630">
        <v>0.1</v>
      </c>
      <c r="G2630" s="129" t="s">
        <v>23</v>
      </c>
      <c r="H2630" s="129" t="s">
        <v>23</v>
      </c>
      <c r="I2630">
        <v>0</v>
      </c>
      <c r="J2630">
        <v>0</v>
      </c>
      <c r="K2630" s="129" t="s">
        <v>1962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s="129" t="s">
        <v>865</v>
      </c>
      <c r="B2631" s="129" t="s">
        <v>65</v>
      </c>
      <c r="C2631" s="129" t="s">
        <v>74</v>
      </c>
      <c r="D2631">
        <v>250</v>
      </c>
      <c r="E2631">
        <v>1760</v>
      </c>
      <c r="F2631">
        <v>0.1</v>
      </c>
      <c r="G2631" s="129" t="s">
        <v>23</v>
      </c>
      <c r="H2631" s="129" t="s">
        <v>23</v>
      </c>
      <c r="I2631">
        <v>0</v>
      </c>
      <c r="J2631">
        <v>0</v>
      </c>
      <c r="K2631" s="129" t="s">
        <v>1962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s="129" t="s">
        <v>2633</v>
      </c>
      <c r="B2632" s="129" t="s">
        <v>65</v>
      </c>
      <c r="C2632" s="129" t="s">
        <v>74</v>
      </c>
      <c r="D2632">
        <v>32</v>
      </c>
      <c r="E2632">
        <v>482</v>
      </c>
      <c r="F2632">
        <v>0.1</v>
      </c>
      <c r="G2632" s="129" t="s">
        <v>26</v>
      </c>
      <c r="H2632" s="129" t="s">
        <v>26</v>
      </c>
      <c r="I2632">
        <v>0</v>
      </c>
      <c r="J2632">
        <v>0</v>
      </c>
      <c r="K2632" s="129" t="s">
        <v>1962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s="129" t="s">
        <v>2634</v>
      </c>
      <c r="B2633" s="129" t="s">
        <v>65</v>
      </c>
      <c r="C2633" s="129" t="s">
        <v>74</v>
      </c>
      <c r="D2633">
        <v>482</v>
      </c>
      <c r="E2633">
        <v>3200</v>
      </c>
      <c r="F2633">
        <v>0.1</v>
      </c>
      <c r="G2633" s="129" t="s">
        <v>26</v>
      </c>
      <c r="H2633" s="129" t="s">
        <v>26</v>
      </c>
      <c r="I2633">
        <v>0</v>
      </c>
      <c r="J2633">
        <v>0</v>
      </c>
      <c r="K2633" s="129" t="s">
        <v>1962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s="129" t="s">
        <v>2635</v>
      </c>
      <c r="B2634" s="129" t="s">
        <v>65</v>
      </c>
      <c r="C2634" s="129" t="s">
        <v>74</v>
      </c>
      <c r="D2634">
        <v>0</v>
      </c>
      <c r="E2634">
        <v>250</v>
      </c>
      <c r="F2634">
        <v>1</v>
      </c>
      <c r="G2634" s="129" t="s">
        <v>23</v>
      </c>
      <c r="H2634" s="129" t="s">
        <v>23</v>
      </c>
      <c r="I2634">
        <v>0</v>
      </c>
      <c r="J2634">
        <v>0</v>
      </c>
      <c r="K2634" s="129" t="s">
        <v>1962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s="129" t="s">
        <v>866</v>
      </c>
      <c r="B2635" s="129" t="s">
        <v>65</v>
      </c>
      <c r="C2635" s="129" t="s">
        <v>74</v>
      </c>
      <c r="D2635">
        <v>250</v>
      </c>
      <c r="E2635">
        <v>1760</v>
      </c>
      <c r="F2635">
        <v>1</v>
      </c>
      <c r="G2635" s="129" t="s">
        <v>23</v>
      </c>
      <c r="H2635" s="129" t="s">
        <v>23</v>
      </c>
      <c r="I2635">
        <v>0</v>
      </c>
      <c r="J2635">
        <v>0</v>
      </c>
      <c r="K2635" s="129" t="s">
        <v>1962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s="129" t="s">
        <v>864</v>
      </c>
      <c r="B2636" s="129" t="s">
        <v>65</v>
      </c>
      <c r="C2636" s="129" t="s">
        <v>74</v>
      </c>
      <c r="D2636">
        <v>32</v>
      </c>
      <c r="E2636">
        <v>482</v>
      </c>
      <c r="F2636">
        <v>1</v>
      </c>
      <c r="G2636" s="129" t="s">
        <v>26</v>
      </c>
      <c r="H2636" s="129" t="s">
        <v>26</v>
      </c>
      <c r="I2636">
        <v>0</v>
      </c>
      <c r="J2636">
        <v>0</v>
      </c>
      <c r="K2636" s="129" t="s">
        <v>1962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s="129" t="s">
        <v>867</v>
      </c>
      <c r="B2637" s="129" t="s">
        <v>65</v>
      </c>
      <c r="C2637" s="129" t="s">
        <v>74</v>
      </c>
      <c r="D2637">
        <v>482</v>
      </c>
      <c r="E2637">
        <v>3200</v>
      </c>
      <c r="F2637">
        <v>1</v>
      </c>
      <c r="G2637" s="129" t="s">
        <v>26</v>
      </c>
      <c r="H2637" s="129" t="s">
        <v>26</v>
      </c>
      <c r="I2637">
        <v>0</v>
      </c>
      <c r="J2637">
        <v>0</v>
      </c>
      <c r="K2637" s="129" t="s">
        <v>1962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s="129" t="s">
        <v>857</v>
      </c>
      <c r="B2638" s="129" t="s">
        <v>65</v>
      </c>
      <c r="C2638" s="129" t="s">
        <v>75</v>
      </c>
      <c r="D2638">
        <v>0</v>
      </c>
      <c r="E2638">
        <v>250</v>
      </c>
      <c r="F2638">
        <v>0.1</v>
      </c>
      <c r="G2638" s="129" t="s">
        <v>23</v>
      </c>
      <c r="H2638" s="129" t="s">
        <v>23</v>
      </c>
      <c r="I2638">
        <v>0</v>
      </c>
      <c r="J2638">
        <v>0</v>
      </c>
      <c r="K2638" s="129" t="s">
        <v>1962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s="129" t="s">
        <v>861</v>
      </c>
      <c r="B2639" s="129" t="s">
        <v>65</v>
      </c>
      <c r="C2639" s="129" t="s">
        <v>75</v>
      </c>
      <c r="D2639">
        <v>250</v>
      </c>
      <c r="E2639">
        <v>1760</v>
      </c>
      <c r="F2639">
        <v>0.1</v>
      </c>
      <c r="G2639" s="129" t="s">
        <v>23</v>
      </c>
      <c r="H2639" s="129" t="s">
        <v>23</v>
      </c>
      <c r="I2639">
        <v>0</v>
      </c>
      <c r="J2639">
        <v>0</v>
      </c>
      <c r="K2639" s="129" t="s">
        <v>1962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s="129" t="s">
        <v>859</v>
      </c>
      <c r="B2640" s="129" t="s">
        <v>65</v>
      </c>
      <c r="C2640" s="129" t="s">
        <v>75</v>
      </c>
      <c r="D2640">
        <v>32</v>
      </c>
      <c r="E2640">
        <v>482</v>
      </c>
      <c r="F2640">
        <v>0.1</v>
      </c>
      <c r="G2640" s="129" t="s">
        <v>26</v>
      </c>
      <c r="H2640" s="129" t="s">
        <v>26</v>
      </c>
      <c r="I2640">
        <v>0</v>
      </c>
      <c r="J2640">
        <v>0</v>
      </c>
      <c r="K2640" s="129" t="s">
        <v>1962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s="129" t="s">
        <v>862</v>
      </c>
      <c r="B2641" s="129" t="s">
        <v>65</v>
      </c>
      <c r="C2641" s="129" t="s">
        <v>75</v>
      </c>
      <c r="D2641">
        <v>482</v>
      </c>
      <c r="E2641">
        <v>3200</v>
      </c>
      <c r="F2641">
        <v>0.1</v>
      </c>
      <c r="G2641" s="129" t="s">
        <v>26</v>
      </c>
      <c r="H2641" s="129" t="s">
        <v>26</v>
      </c>
      <c r="I2641">
        <v>0</v>
      </c>
      <c r="J2641">
        <v>0</v>
      </c>
      <c r="K2641" s="129" t="s">
        <v>1962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s="129" t="s">
        <v>858</v>
      </c>
      <c r="B2642" s="129" t="s">
        <v>65</v>
      </c>
      <c r="C2642" s="129" t="s">
        <v>75</v>
      </c>
      <c r="D2642">
        <v>0</v>
      </c>
      <c r="E2642">
        <v>250</v>
      </c>
      <c r="F2642">
        <v>1</v>
      </c>
      <c r="G2642" s="129" t="s">
        <v>23</v>
      </c>
      <c r="H2642" s="129" t="s">
        <v>23</v>
      </c>
      <c r="I2642">
        <v>0</v>
      </c>
      <c r="J2642">
        <v>0</v>
      </c>
      <c r="K2642" s="129" t="s">
        <v>1962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s="129" t="s">
        <v>2637</v>
      </c>
      <c r="B2643" s="129" t="s">
        <v>65</v>
      </c>
      <c r="C2643" s="129" t="s">
        <v>75</v>
      </c>
      <c r="D2643">
        <v>250</v>
      </c>
      <c r="E2643">
        <v>1760</v>
      </c>
      <c r="F2643">
        <v>1</v>
      </c>
      <c r="G2643" s="129" t="s">
        <v>23</v>
      </c>
      <c r="H2643" s="129" t="s">
        <v>23</v>
      </c>
      <c r="I2643">
        <v>0</v>
      </c>
      <c r="J2643">
        <v>0</v>
      </c>
      <c r="K2643" s="129" t="s">
        <v>1962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s="129" t="s">
        <v>860</v>
      </c>
      <c r="B2644" s="129" t="s">
        <v>65</v>
      </c>
      <c r="C2644" s="129" t="s">
        <v>75</v>
      </c>
      <c r="D2644">
        <v>32</v>
      </c>
      <c r="E2644">
        <v>482</v>
      </c>
      <c r="F2644">
        <v>1</v>
      </c>
      <c r="G2644" s="129" t="s">
        <v>26</v>
      </c>
      <c r="H2644" s="129" t="s">
        <v>26</v>
      </c>
      <c r="I2644">
        <v>0</v>
      </c>
      <c r="J2644">
        <v>0</v>
      </c>
      <c r="K2644" s="129" t="s">
        <v>1962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s="129" t="s">
        <v>2636</v>
      </c>
      <c r="B2645" s="129" t="s">
        <v>65</v>
      </c>
      <c r="C2645" s="129" t="s">
        <v>75</v>
      </c>
      <c r="D2645">
        <v>482</v>
      </c>
      <c r="E2645">
        <v>3200</v>
      </c>
      <c r="F2645">
        <v>1</v>
      </c>
      <c r="G2645" s="129" t="s">
        <v>26</v>
      </c>
      <c r="H2645" s="129" t="s">
        <v>26</v>
      </c>
      <c r="I2645">
        <v>0</v>
      </c>
      <c r="J2645">
        <v>0</v>
      </c>
      <c r="K2645" s="129" t="s">
        <v>1962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s="129" t="s">
        <v>2639</v>
      </c>
      <c r="B2646" s="129" t="s">
        <v>65</v>
      </c>
      <c r="C2646" s="129" t="s">
        <v>76</v>
      </c>
      <c r="D2646">
        <v>-250</v>
      </c>
      <c r="E2646">
        <v>-150</v>
      </c>
      <c r="F2646">
        <v>0.1</v>
      </c>
      <c r="G2646" s="129" t="s">
        <v>23</v>
      </c>
      <c r="H2646" s="129" t="s">
        <v>23</v>
      </c>
      <c r="I2646">
        <v>0</v>
      </c>
      <c r="J2646">
        <v>0</v>
      </c>
      <c r="K2646" s="129" t="s">
        <v>1962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s="129" t="s">
        <v>855</v>
      </c>
      <c r="B2647" s="129" t="s">
        <v>65</v>
      </c>
      <c r="C2647" s="129" t="s">
        <v>76</v>
      </c>
      <c r="D2647">
        <v>-150</v>
      </c>
      <c r="E2647">
        <v>400</v>
      </c>
      <c r="F2647">
        <v>0.1</v>
      </c>
      <c r="G2647" s="129" t="s">
        <v>23</v>
      </c>
      <c r="H2647" s="129" t="s">
        <v>23</v>
      </c>
      <c r="I2647">
        <v>0</v>
      </c>
      <c r="J2647">
        <v>0</v>
      </c>
      <c r="K2647" s="129" t="s">
        <v>1962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s="129" t="s">
        <v>851</v>
      </c>
      <c r="B2648" s="129" t="s">
        <v>65</v>
      </c>
      <c r="C2648" s="129" t="s">
        <v>76</v>
      </c>
      <c r="D2648">
        <v>-418</v>
      </c>
      <c r="E2648">
        <v>-238</v>
      </c>
      <c r="F2648">
        <v>0.1</v>
      </c>
      <c r="G2648" s="129" t="s">
        <v>26</v>
      </c>
      <c r="H2648" s="129" t="s">
        <v>26</v>
      </c>
      <c r="I2648">
        <v>0</v>
      </c>
      <c r="J2648">
        <v>0</v>
      </c>
      <c r="K2648" s="129" t="s">
        <v>1962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s="129" t="s">
        <v>854</v>
      </c>
      <c r="B2649" s="129" t="s">
        <v>65</v>
      </c>
      <c r="C2649" s="129" t="s">
        <v>76</v>
      </c>
      <c r="D2649">
        <v>-238</v>
      </c>
      <c r="E2649">
        <v>752</v>
      </c>
      <c r="F2649">
        <v>0.1</v>
      </c>
      <c r="G2649" s="129" t="s">
        <v>26</v>
      </c>
      <c r="H2649" s="129" t="s">
        <v>26</v>
      </c>
      <c r="I2649">
        <v>0</v>
      </c>
      <c r="J2649">
        <v>0</v>
      </c>
      <c r="K2649" s="129" t="s">
        <v>1962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s="129" t="s">
        <v>853</v>
      </c>
      <c r="B2650" s="129" t="s">
        <v>65</v>
      </c>
      <c r="C2650" s="129" t="s">
        <v>76</v>
      </c>
      <c r="D2650">
        <v>-250</v>
      </c>
      <c r="E2650">
        <v>-150</v>
      </c>
      <c r="F2650">
        <v>1</v>
      </c>
      <c r="G2650" s="129" t="s">
        <v>23</v>
      </c>
      <c r="H2650" s="129" t="s">
        <v>23</v>
      </c>
      <c r="I2650">
        <v>0</v>
      </c>
      <c r="J2650">
        <v>0</v>
      </c>
      <c r="K2650" s="129" t="s">
        <v>1962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s="129" t="s">
        <v>856</v>
      </c>
      <c r="B2651" s="129" t="s">
        <v>65</v>
      </c>
      <c r="C2651" s="129" t="s">
        <v>76</v>
      </c>
      <c r="D2651">
        <v>-150</v>
      </c>
      <c r="E2651">
        <v>400</v>
      </c>
      <c r="F2651">
        <v>1</v>
      </c>
      <c r="G2651" s="129" t="s">
        <v>23</v>
      </c>
      <c r="H2651" s="129" t="s">
        <v>23</v>
      </c>
      <c r="I2651">
        <v>0</v>
      </c>
      <c r="J2651">
        <v>0</v>
      </c>
      <c r="K2651" s="129" t="s">
        <v>1962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s="129" t="s">
        <v>852</v>
      </c>
      <c r="B2652" s="129" t="s">
        <v>65</v>
      </c>
      <c r="C2652" s="129" t="s">
        <v>76</v>
      </c>
      <c r="D2652">
        <v>-418</v>
      </c>
      <c r="E2652">
        <v>-238</v>
      </c>
      <c r="F2652">
        <v>1</v>
      </c>
      <c r="G2652" s="129" t="s">
        <v>26</v>
      </c>
      <c r="H2652" s="129" t="s">
        <v>26</v>
      </c>
      <c r="I2652">
        <v>0</v>
      </c>
      <c r="J2652">
        <v>0</v>
      </c>
      <c r="K2652" s="129" t="s">
        <v>1962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s="129" t="s">
        <v>2638</v>
      </c>
      <c r="B2653" s="129" t="s">
        <v>65</v>
      </c>
      <c r="C2653" s="129" t="s">
        <v>76</v>
      </c>
      <c r="D2653">
        <v>-238</v>
      </c>
      <c r="E2653">
        <v>752</v>
      </c>
      <c r="F2653">
        <v>1</v>
      </c>
      <c r="G2653" s="129" t="s">
        <v>26</v>
      </c>
      <c r="H2653" s="129" t="s">
        <v>26</v>
      </c>
      <c r="I2653">
        <v>0</v>
      </c>
      <c r="J2653">
        <v>0</v>
      </c>
      <c r="K2653" s="129" t="s">
        <v>1962</v>
      </c>
      <c r="L2653">
        <v>2.014053237738</v>
      </c>
      <c r="M2653">
        <v>0</v>
      </c>
      <c r="N2653">
        <v>1.999886996808</v>
      </c>
      <c r="O265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Print</vt:lpstr>
      <vt:lpstr>Worksheet</vt:lpstr>
      <vt:lpstr>Items</vt:lpstr>
      <vt:lpstr>Mult Dummy Readings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2023-09-06T21:36:55Z</dcterms:modified>
</cp:coreProperties>
</file>