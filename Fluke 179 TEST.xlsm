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72" documentId="8_{48F41D1E-5263-4887-9ECE-EBE37047B84F}" xr6:coauthVersionLast="47" xr6:coauthVersionMax="47" xr10:uidLastSave="{891DA7EC-197F-4FA7-9999-CE9AC27A797C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AF6" i="3" a="1"/>
  <c r="AF95" i="3" a="1"/>
  <c r="AF109" i="3" a="1"/>
  <c r="AF44" i="3" a="1"/>
  <c r="AF66" i="3" a="1"/>
  <c r="AF86" i="3" a="1"/>
  <c r="AF106" i="3" a="1"/>
  <c r="AF13" i="3" a="1"/>
  <c r="AF21" i="3" a="1"/>
  <c r="AF29" i="3" a="1"/>
  <c r="AF37" i="3" a="1"/>
  <c r="AF45" i="3" a="1"/>
  <c r="AF53" i="3" a="1"/>
  <c r="AF61" i="3" a="1"/>
  <c r="AF71" i="3" a="1"/>
  <c r="AF79" i="3" a="1"/>
  <c r="AF89" i="3" a="1"/>
  <c r="AF107" i="3" a="1"/>
  <c r="AF46" i="3" a="1"/>
  <c r="AF72" i="3" a="1"/>
  <c r="AF98" i="3" a="1"/>
  <c r="AF10" i="3" a="1"/>
  <c r="AF18" i="3" a="1"/>
  <c r="AF30" i="3" a="1"/>
  <c r="AF56" i="3" a="1"/>
  <c r="AF82" i="3" a="1"/>
  <c r="AF108" i="3" a="1"/>
  <c r="AF69" i="3" a="1"/>
  <c r="AF97" i="3" a="1"/>
  <c r="AF20" i="3" a="1"/>
  <c r="AF50" i="3" a="1"/>
  <c r="AF70" i="3" a="1"/>
  <c r="AF92" i="3" a="1"/>
  <c r="AF7" i="3" a="1"/>
  <c r="AF15" i="3" a="1"/>
  <c r="AF23" i="3" a="1"/>
  <c r="AF31" i="3" a="1"/>
  <c r="AF39" i="3" a="1"/>
  <c r="AF47" i="3" a="1"/>
  <c r="AF55" i="3" a="1"/>
  <c r="AF63" i="3" a="1"/>
  <c r="AF73" i="3" a="1"/>
  <c r="AF81" i="3" a="1"/>
  <c r="AF93" i="3" a="1"/>
  <c r="AF22" i="3" a="1"/>
  <c r="AF52" i="3" a="1"/>
  <c r="AF78" i="3" a="1"/>
  <c r="AF104" i="3" a="1"/>
  <c r="AF12" i="3" a="1"/>
  <c r="AF24" i="3" a="1"/>
  <c r="AF36" i="3" a="1"/>
  <c r="AF62" i="3" a="1"/>
  <c r="AF88" i="3" a="1"/>
  <c r="AF83" i="3" a="1"/>
  <c r="AF101" i="3" a="1"/>
  <c r="AF34" i="3" a="1"/>
  <c r="AF54" i="3" a="1"/>
  <c r="AF76" i="3" a="1"/>
  <c r="AF96" i="3" a="1"/>
  <c r="AF9" i="3" a="1"/>
  <c r="AF17" i="3" a="1"/>
  <c r="AF25" i="3" a="1"/>
  <c r="AF33" i="3" a="1"/>
  <c r="AF41" i="3" a="1"/>
  <c r="AF49" i="3" a="1"/>
  <c r="AF57" i="3" a="1"/>
  <c r="AF65" i="3" a="1"/>
  <c r="AF75" i="3" a="1"/>
  <c r="AF85" i="3" a="1"/>
  <c r="AF99" i="3" a="1"/>
  <c r="AF32" i="3" a="1"/>
  <c r="AF58" i="3" a="1"/>
  <c r="AF84" i="3" a="1"/>
  <c r="AF110" i="3" a="1"/>
  <c r="AF14" i="3" a="1"/>
  <c r="AF26" i="3" a="1"/>
  <c r="AF42" i="3" a="1"/>
  <c r="AF68" i="3" a="1"/>
  <c r="AF94" i="3" a="1"/>
  <c r="AF91" i="3" a="1"/>
  <c r="AF105" i="3" a="1"/>
  <c r="AF40" i="3" a="1"/>
  <c r="AF60" i="3" a="1"/>
  <c r="AF80" i="3" a="1"/>
  <c r="AF100" i="3" a="1"/>
  <c r="AF11" i="3" a="1"/>
  <c r="AF19" i="3" a="1"/>
  <c r="AF27" i="3" a="1"/>
  <c r="AF35" i="3" a="1"/>
  <c r="AF43" i="3" a="1"/>
  <c r="AF51" i="3" a="1"/>
  <c r="AF59" i="3" a="1"/>
  <c r="AF67" i="3" a="1"/>
  <c r="AF77" i="3" a="1"/>
  <c r="AF87" i="3" a="1"/>
  <c r="AF103" i="3" a="1"/>
  <c r="AF38" i="3" a="1"/>
  <c r="AF64" i="3" a="1"/>
  <c r="AF90" i="3" a="1"/>
  <c r="AF8" i="3" a="1"/>
  <c r="AF16" i="3" a="1"/>
  <c r="AF28" i="3" a="1"/>
  <c r="AF48" i="3" a="1"/>
  <c r="AF74" i="3" a="1"/>
  <c r="AF102" i="3" a="1"/>
  <c r="AF6" i="3" l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C6" i="3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37" i="3" a="1"/>
  <c r="B80" i="3" a="1"/>
  <c r="B14" i="3" a="1"/>
  <c r="B43" i="3" a="1"/>
  <c r="B15" i="3" a="1"/>
  <c r="B92" i="3" a="1"/>
  <c r="F15" i="3" a="1"/>
  <c r="F45" i="3" a="1"/>
  <c r="F26" i="3" a="1"/>
  <c r="E27" i="3" a="1"/>
  <c r="F17" i="3" a="1"/>
  <c r="B103" i="3" a="1"/>
  <c r="F47" i="3" a="1"/>
  <c r="F23" i="3" a="1"/>
  <c r="B46" i="3" a="1"/>
  <c r="B105" i="3" a="1"/>
  <c r="B39" i="3" a="1"/>
  <c r="B61" i="3" a="1"/>
  <c r="B25" i="3" a="1"/>
  <c r="B30" i="3" a="1"/>
  <c r="E21" i="3" a="1"/>
  <c r="E16" i="3" a="1"/>
  <c r="E46" i="3" a="1"/>
  <c r="F31" i="3" a="1"/>
  <c r="F32" i="3" a="1"/>
  <c r="F36" i="3" a="1"/>
  <c r="B50" i="3" a="1"/>
  <c r="B35" i="3" a="1"/>
  <c r="E20" i="3" a="1"/>
  <c r="F41" i="3" a="1"/>
  <c r="B71" i="3" a="1"/>
  <c r="B58" i="3" a="1"/>
  <c r="B24" i="3" a="1"/>
  <c r="B73" i="3" a="1"/>
  <c r="B10" i="3" a="1"/>
  <c r="B87" i="3" a="1"/>
  <c r="F30" i="3" a="1"/>
  <c r="E29" i="3" a="1"/>
  <c r="F18" i="3" a="1"/>
  <c r="B63" i="3" a="1"/>
  <c r="B49" i="3" a="1"/>
  <c r="B18" i="3" a="1"/>
  <c r="E30" i="3" a="1"/>
  <c r="X129" i="12" a="1"/>
  <c r="X7" i="12" a="1"/>
  <c r="X17" i="12" a="1"/>
  <c r="X195" i="12" a="1"/>
  <c r="X170" i="12" a="1"/>
  <c r="X1145" i="12" a="1"/>
  <c r="X296" i="12" a="1"/>
  <c r="X305" i="12" a="1"/>
  <c r="X420" i="12" a="1"/>
  <c r="X842" i="12" a="1"/>
  <c r="X648" i="12" a="1"/>
  <c r="X603" i="12" a="1"/>
  <c r="X619" i="12" a="1"/>
  <c r="X99" i="12" a="1"/>
  <c r="X65" i="12" a="1"/>
  <c r="X84" i="12" a="1"/>
  <c r="X187" i="12" a="1"/>
  <c r="X324" i="12" a="1"/>
  <c r="X108" i="12" a="1"/>
  <c r="X10" i="12" a="1"/>
  <c r="X1191" i="12" a="1"/>
  <c r="X175" i="12" a="1"/>
  <c r="X218" i="12" a="1"/>
  <c r="X277" i="12" a="1"/>
  <c r="X102" i="12" a="1"/>
  <c r="X566" i="12" a="1"/>
  <c r="X1140" i="12" a="1"/>
  <c r="X308" i="12" a="1"/>
  <c r="X157" i="12" a="1"/>
  <c r="X759" i="12" a="1"/>
  <c r="X1279" i="12" a="1"/>
  <c r="X896" i="12" a="1"/>
  <c r="X472" i="12" a="1"/>
  <c r="X230" i="12" a="1"/>
  <c r="X399" i="12" a="1"/>
  <c r="X628" i="12" a="1"/>
  <c r="X132" i="12" a="1"/>
  <c r="X168" i="12" a="1"/>
  <c r="X8" i="12" a="1"/>
  <c r="X159" i="12" a="1"/>
  <c r="X109" i="12" a="1"/>
  <c r="X90" i="12" a="1"/>
  <c r="X351" i="12" a="1"/>
  <c r="X181" i="12" a="1"/>
  <c r="X112" i="12" a="1"/>
  <c r="X530" i="12" a="1"/>
  <c r="X417" i="12" a="1"/>
  <c r="X169" i="12" a="1"/>
  <c r="X969" i="12" a="1"/>
  <c r="X537" i="12" a="1"/>
  <c r="X299" i="12" a="1"/>
  <c r="X238" i="12" a="1"/>
  <c r="X67" i="12" a="1"/>
  <c r="X548" i="12" a="1"/>
  <c r="X257" i="12" a="1"/>
  <c r="X886" i="12" a="1"/>
  <c r="X34" i="12" a="1"/>
  <c r="X564" i="12" a="1"/>
  <c r="X920" i="12" a="1"/>
  <c r="X982" i="12" a="1"/>
  <c r="X447" i="12" a="1"/>
  <c r="X11" i="12" a="1"/>
  <c r="X51" i="12" a="1"/>
  <c r="X694" i="12" a="1"/>
  <c r="X237" i="12" a="1"/>
  <c r="X220" i="12" a="1"/>
  <c r="X418" i="12" a="1"/>
  <c r="X236" i="12" a="1"/>
  <c r="X239" i="12" a="1"/>
  <c r="X626" i="12" a="1"/>
  <c r="X359" i="12" a="1"/>
  <c r="X301" i="12" a="1"/>
  <c r="X463" i="12" a="1"/>
  <c r="X5" i="12" a="1"/>
  <c r="X268" i="12" a="1"/>
  <c r="X266" i="12" a="1"/>
  <c r="X326" i="12" a="1"/>
  <c r="X768" i="12" a="1"/>
  <c r="X1092" i="12" a="1"/>
  <c r="X412" i="12" a="1"/>
  <c r="X869" i="12" a="1"/>
  <c r="X520" i="12" a="1"/>
  <c r="X126" i="12" a="1"/>
  <c r="X206" i="12" a="1"/>
  <c r="E6" i="3" a="1"/>
  <c r="B81" i="3" a="1"/>
  <c r="B76" i="3" a="1"/>
  <c r="B27" i="3" a="1"/>
  <c r="B13" i="3" a="1"/>
  <c r="B28" i="3" a="1"/>
  <c r="B22" i="3" a="1"/>
  <c r="E17" i="3" a="1"/>
  <c r="F22" i="3" a="1"/>
  <c r="F29" i="3" a="1"/>
  <c r="F33" i="3" a="1"/>
  <c r="B12" i="3" a="1"/>
  <c r="B77" i="3" a="1"/>
  <c r="F40" i="3" a="1"/>
  <c r="E44" i="3" a="1"/>
  <c r="B34" i="3" a="1"/>
  <c r="B101" i="3" a="1"/>
  <c r="B20" i="3" a="1"/>
  <c r="B86" i="3" a="1"/>
  <c r="B55" i="3" a="1"/>
  <c r="B32" i="3" a="1"/>
  <c r="E41" i="3" a="1"/>
  <c r="E22" i="3" a="1"/>
  <c r="E15" i="3" a="1"/>
  <c r="E43" i="3" a="1"/>
  <c r="F34" i="3" a="1"/>
  <c r="F44" i="3" a="1"/>
  <c r="B83" i="3" a="1"/>
  <c r="B99" i="3" a="1"/>
  <c r="E47" i="3" a="1"/>
  <c r="B8" i="3" a="1"/>
  <c r="B59" i="3" a="1"/>
  <c r="B110" i="3" a="1"/>
  <c r="B45" i="3" a="1"/>
  <c r="B96" i="3" a="1"/>
  <c r="B95" i="3" a="1"/>
  <c r="B62" i="3" a="1"/>
  <c r="F42" i="3" a="1"/>
  <c r="F16" i="3" a="1"/>
  <c r="E28" i="3" a="1"/>
  <c r="B40" i="3" a="1"/>
  <c r="B94" i="3" a="1"/>
  <c r="F21" i="3" a="1"/>
  <c r="E34" i="3" a="1"/>
  <c r="X86" i="12" a="1"/>
  <c r="X368" i="12" a="1"/>
  <c r="X114" i="12" a="1"/>
  <c r="X205" i="12" a="1"/>
  <c r="X55" i="12" a="1"/>
  <c r="X362" i="12" a="1"/>
  <c r="X276" i="12" a="1"/>
  <c r="X214" i="12" a="1"/>
  <c r="X333" i="12" a="1"/>
  <c r="X425" i="12" a="1"/>
  <c r="X444" i="12" a="1"/>
  <c r="X40" i="12" a="1"/>
  <c r="X526" i="12" a="1"/>
  <c r="X136" i="12" a="1"/>
  <c r="X282" i="12" a="1"/>
  <c r="X787" i="12" a="1"/>
  <c r="X267" i="12" a="1"/>
  <c r="X259" i="12" a="1"/>
  <c r="X53" i="12" a="1"/>
  <c r="X966" i="12" a="1"/>
  <c r="X1210" i="12" a="1"/>
  <c r="X475" i="12" a="1"/>
  <c r="X390" i="12" a="1"/>
  <c r="X747" i="12" a="1"/>
  <c r="X733" i="12" a="1"/>
  <c r="X809" i="12" a="1"/>
  <c r="X967" i="12" a="1"/>
  <c r="X860" i="12" a="1"/>
  <c r="X545" i="12" a="1"/>
  <c r="X615" i="12" a="1"/>
  <c r="X659" i="12" a="1"/>
  <c r="X213" i="12" a="1"/>
  <c r="X544" i="12" a="1"/>
  <c r="X309" i="12" a="1"/>
  <c r="X441" i="12" a="1"/>
  <c r="X302" i="12" a="1"/>
  <c r="X764" i="12" a="1"/>
  <c r="X66" i="12" a="1"/>
  <c r="X64" i="12" a="1"/>
  <c r="X811" i="12" a="1"/>
  <c r="X76" i="12" a="1"/>
  <c r="X9" i="12" a="1"/>
  <c r="X908" i="12" a="1"/>
  <c r="X404" i="12" a="1"/>
  <c r="X413" i="12" a="1"/>
  <c r="X134" i="12" a="1"/>
  <c r="X1081" i="12" a="1"/>
  <c r="X462" i="12" a="1"/>
  <c r="X369" i="12" a="1"/>
  <c r="X154" i="12" a="1"/>
  <c r="X174" i="12" a="1"/>
  <c r="X757" i="12" a="1"/>
  <c r="X641" i="12" a="1"/>
  <c r="X448" i="12" a="1"/>
  <c r="X264" i="12" a="1"/>
  <c r="X426" i="12" a="1"/>
  <c r="X50" i="12" a="1"/>
  <c r="X211" i="12" a="1"/>
  <c r="X261" i="12" a="1"/>
  <c r="X1619" i="12" a="1"/>
  <c r="X574" i="12" a="1"/>
  <c r="X13" i="12" a="1"/>
  <c r="X123" i="12" a="1"/>
  <c r="X121" i="12" a="1"/>
  <c r="X74" i="12" a="1"/>
  <c r="X240" i="12" a="1"/>
  <c r="X223" i="12" a="1"/>
  <c r="X271" i="12" a="1"/>
  <c r="X388" i="12" a="1"/>
  <c r="X340" i="12" a="1"/>
  <c r="X353" i="12" a="1"/>
  <c r="X361" i="12" a="1"/>
  <c r="X505" i="12" a="1"/>
  <c r="X77" i="12" a="1"/>
  <c r="X605" i="12" a="1"/>
  <c r="X97" i="12" a="1"/>
  <c r="X78" i="12" a="1"/>
  <c r="X773" i="12" a="1"/>
  <c r="X47" i="12" a="1"/>
  <c r="X334" i="12" a="1"/>
  <c r="X189" i="12" a="1"/>
  <c r="B11" i="3" a="1"/>
  <c r="B65" i="3" a="1"/>
  <c r="B82" i="3" a="1"/>
  <c r="B79" i="3" a="1"/>
  <c r="B53" i="3" a="1"/>
  <c r="B69" i="3" a="1"/>
  <c r="B106" i="3" a="1"/>
  <c r="E19" i="3" a="1"/>
  <c r="E31" i="3" a="1"/>
  <c r="F25" i="3" a="1"/>
  <c r="E45" i="3" a="1"/>
  <c r="B6" i="3" a="1"/>
  <c r="B52" i="3" a="1"/>
  <c r="E32" i="3" a="1"/>
  <c r="B29" i="3" a="1"/>
  <c r="B72" i="3" a="1"/>
  <c r="B107" i="3" a="1"/>
  <c r="B64" i="3" a="1"/>
  <c r="B23" i="3" a="1"/>
  <c r="B17" i="3" a="1"/>
  <c r="B36" i="3" a="1"/>
  <c r="E24" i="3" a="1"/>
  <c r="E18" i="3" a="1"/>
  <c r="F38" i="3" a="1"/>
  <c r="F19" i="3" a="1"/>
  <c r="F39" i="3" a="1"/>
  <c r="B33" i="3" a="1"/>
  <c r="B108" i="3" a="1"/>
  <c r="B74" i="3" a="1"/>
  <c r="E39" i="3" a="1"/>
  <c r="B38" i="3" a="1"/>
  <c r="B97" i="3" a="1"/>
  <c r="B100" i="3" a="1"/>
  <c r="B89" i="3" a="1"/>
  <c r="B70" i="3" a="1"/>
  <c r="B98" i="3" a="1"/>
  <c r="B48" i="3" a="1"/>
  <c r="F35" i="3" a="1"/>
  <c r="F28" i="3" a="1"/>
  <c r="F20" i="3" a="1"/>
  <c r="B102" i="3" a="1"/>
  <c r="B26" i="3" a="1"/>
  <c r="F24" i="3" a="1"/>
  <c r="E26" i="3" a="1"/>
  <c r="X142" i="12" a="1"/>
  <c r="X156" i="12" a="1"/>
  <c r="X244" i="12" a="1"/>
  <c r="X135" i="12" a="1"/>
  <c r="X436" i="12" a="1"/>
  <c r="X227" i="12" a="1"/>
  <c r="X370" i="12" a="1"/>
  <c r="X997" i="12" a="1"/>
  <c r="X298" i="12" a="1"/>
  <c r="X338" i="12" a="1"/>
  <c r="X484" i="12" a="1"/>
  <c r="X221" i="12" a="1"/>
  <c r="X440" i="12" a="1"/>
  <c r="X91" i="12" a="1"/>
  <c r="X179" i="12" a="1"/>
  <c r="X1132" i="12" a="1"/>
  <c r="X358" i="12" a="1"/>
  <c r="X167" i="12" a="1"/>
  <c r="X443" i="12" a="1"/>
  <c r="X320" i="12" a="1"/>
  <c r="X1215" i="12" a="1"/>
  <c r="X437" i="12" a="1"/>
  <c r="X693" i="12" a="1"/>
  <c r="X337" i="12" a="1"/>
  <c r="X2166" i="12" a="1"/>
  <c r="X469" i="12" a="1"/>
  <c r="X983" i="12" a="1"/>
  <c r="X900" i="12" a="1"/>
  <c r="X1075" i="12" a="1"/>
  <c r="X805" i="12" a="1"/>
  <c r="X565" i="12" a="1"/>
  <c r="X349" i="12" a="1"/>
  <c r="X609" i="12" a="1"/>
  <c r="X571" i="12" a="1"/>
  <c r="X504" i="12" a="1"/>
  <c r="X69" i="12" a="1"/>
  <c r="X598" i="12" a="1"/>
  <c r="X149" i="12" a="1"/>
  <c r="X147" i="12" a="1"/>
  <c r="X70" i="12" a="1"/>
  <c r="X152" i="12" a="1"/>
  <c r="X81" i="12" a="1"/>
  <c r="X283" i="12" a="1"/>
  <c r="X71" i="12" a="1"/>
  <c r="X572" i="12" a="1"/>
  <c r="X173" i="12" a="1"/>
  <c r="X163" i="12" a="1"/>
  <c r="X933" i="12" a="1"/>
  <c r="X1061" i="12" a="1"/>
  <c r="X219" i="12" a="1"/>
  <c r="X485" i="12" a="1"/>
  <c r="X146" i="12" a="1"/>
  <c r="X2038" i="12" a="1"/>
  <c r="X591" i="12" a="1"/>
  <c r="X354" i="12" a="1"/>
  <c r="X165" i="12" a="1"/>
  <c r="X527" i="12" a="1"/>
  <c r="X423" i="12" a="1"/>
  <c r="X678" i="12" a="1"/>
  <c r="X1629" i="12" a="1"/>
  <c r="X415" i="12" a="1"/>
  <c r="X292" i="12" a="1"/>
  <c r="X208" i="12" a="1"/>
  <c r="X182" i="12" a="1"/>
  <c r="X400" i="12" a="1"/>
  <c r="X311" i="12" a="1"/>
  <c r="X373" i="12" a="1"/>
  <c r="X260" i="12" a="1"/>
  <c r="X269" i="12" a="1"/>
  <c r="X402" i="12" a="1"/>
  <c r="X822" i="12" a="1"/>
  <c r="X630" i="12" a="1"/>
  <c r="X568" i="12" a="1"/>
  <c r="X68" i="12" a="1"/>
  <c r="X171" i="12" a="1"/>
  <c r="X714" i="12" a="1"/>
  <c r="X644" i="12" a="1"/>
  <c r="X797" i="12" a="1"/>
  <c r="X1017" i="12" a="1"/>
  <c r="X105" i="12" a="1"/>
  <c r="X327" i="12" a="1"/>
  <c r="X561" i="12" a="1"/>
  <c r="X439" i="12" a="1"/>
  <c r="B16" i="3" a="1"/>
  <c r="B44" i="3" a="1"/>
  <c r="E37" i="3" a="1"/>
  <c r="B7" i="3" a="1"/>
  <c r="B9" i="3" a="1"/>
  <c r="B84" i="3" a="1"/>
  <c r="F27" i="3" a="1"/>
  <c r="B78" i="3" a="1"/>
  <c r="B90" i="3" a="1"/>
  <c r="B21" i="3" a="1"/>
  <c r="B104" i="3" a="1"/>
  <c r="X143" i="12" a="1"/>
  <c r="X228" i="12" a="1"/>
  <c r="X254" i="12" a="1"/>
  <c r="X94" i="12" a="1"/>
  <c r="X263" i="12" a="1"/>
  <c r="X377" i="12" a="1"/>
  <c r="X2176" i="12" a="1"/>
  <c r="X1016" i="12" a="1"/>
  <c r="X397" i="12" a="1"/>
  <c r="X457" i="12" a="1"/>
  <c r="X501" i="12" a="1"/>
  <c r="X512" i="12" a="1"/>
  <c r="X137" i="12" a="1"/>
  <c r="X2048" i="12" a="1"/>
  <c r="X524" i="12" a="1"/>
  <c r="X445" i="12" a="1"/>
  <c r="X864" i="12" a="1"/>
  <c r="X341" i="12" a="1"/>
  <c r="X632" i="12" a="1"/>
  <c r="X248" i="12" a="1"/>
  <c r="X204" i="12" a="1"/>
  <c r="X455" i="12" a="1"/>
  <c r="X54" i="12" a="1"/>
  <c r="X357" i="12" a="1"/>
  <c r="X988" i="12" a="1"/>
  <c r="X681" i="12" a="1"/>
  <c r="X887" i="12" a="1"/>
  <c r="X1954" i="12" a="1"/>
  <c r="X21" i="12" a="1"/>
  <c r="X446" i="12" a="1"/>
  <c r="X2208" i="12" a="1"/>
  <c r="X507" i="12" a="1"/>
  <c r="X27" i="12" a="1"/>
  <c r="X42" i="12" a="1"/>
  <c r="X127" i="12" a="1"/>
  <c r="X769" i="12" a="1"/>
  <c r="X543" i="12" a="1"/>
  <c r="X1004" i="12" a="1"/>
  <c r="X451" i="12" a="1"/>
  <c r="X85" i="12" a="1"/>
  <c r="X389" i="12" a="1"/>
  <c r="X1403" i="12" a="1"/>
  <c r="X837" i="12" a="1"/>
  <c r="X981" i="12" a="1"/>
  <c r="X795" i="12" a="1"/>
  <c r="X688" i="12" a="1"/>
  <c r="X1492" i="12" a="1"/>
  <c r="X778" i="12" a="1"/>
  <c r="X1036" i="12" a="1"/>
  <c r="X689" i="12" a="1"/>
  <c r="X1974" i="12" a="1"/>
  <c r="X313" i="12" a="1"/>
  <c r="X2262" i="12" a="1"/>
  <c r="X975" i="12" a="1"/>
  <c r="X2122" i="12" a="1"/>
  <c r="X1463" i="12" a="1"/>
  <c r="X2282" i="12" a="1"/>
  <c r="X919" i="12" a="1"/>
  <c r="X272" i="12" a="1"/>
  <c r="X188" i="12" a="1"/>
  <c r="X3" i="12" a="1"/>
  <c r="X2102" i="12" a="1"/>
  <c r="X515" i="12" a="1"/>
  <c r="X2390" i="12" a="1"/>
  <c r="X608" i="12" a="1"/>
  <c r="X586" i="12" a="1"/>
  <c r="X386" i="12" a="1"/>
  <c r="X151" i="12" a="1"/>
  <c r="X398" i="12" a="1"/>
  <c r="X584" i="12" a="1"/>
  <c r="X1471" i="12" a="1"/>
  <c r="X1536" i="12" a="1"/>
  <c r="X647" i="12" a="1"/>
  <c r="X726" i="12" a="1"/>
  <c r="X868" i="12" a="1"/>
  <c r="X1057" i="12" a="1"/>
  <c r="X1762" i="12" a="1"/>
  <c r="X944" i="12" a="1"/>
  <c r="X2144" i="12" a="1"/>
  <c r="X1561" i="12" a="1"/>
  <c r="X639" i="12" a="1"/>
  <c r="X2294" i="12" a="1"/>
  <c r="X955" i="12" a="1"/>
  <c r="X656" i="12" a="1"/>
  <c r="X2496" i="12" a="1"/>
  <c r="X671" i="12" a="1"/>
  <c r="X898" i="12" a="1"/>
  <c r="X2024" i="12" a="1"/>
  <c r="W50" i="12" a="1"/>
  <c r="X2184" i="12" a="1"/>
  <c r="W123" i="12" a="1"/>
  <c r="X89" i="12" a="1"/>
  <c r="X601" i="12" a="1"/>
  <c r="X2080" i="12" a="1"/>
  <c r="X122" i="12" a="1"/>
  <c r="X379" i="12" a="1"/>
  <c r="X270" i="12" a="1"/>
  <c r="X128" i="12" a="1"/>
  <c r="X422" i="12" a="1"/>
  <c r="X235" i="12" a="1"/>
  <c r="X704" i="12" a="1"/>
  <c r="X563" i="12" a="1"/>
  <c r="X395" i="12" a="1"/>
  <c r="X498" i="12" a="1"/>
  <c r="X876" i="12" a="1"/>
  <c r="X363" i="12" a="1"/>
  <c r="X138" i="12" a="1"/>
  <c r="X75" i="12" a="1"/>
  <c r="X2358" i="12" a="1"/>
  <c r="X460" i="12" a="1"/>
  <c r="B75" i="3" a="1"/>
  <c r="B109" i="3" a="1"/>
  <c r="E38" i="3" a="1"/>
  <c r="E33" i="3" a="1"/>
  <c r="B60" i="3" a="1"/>
  <c r="E42" i="3" a="1"/>
  <c r="F43" i="3" a="1"/>
  <c r="E35" i="3" a="1"/>
  <c r="B85" i="3" a="1"/>
  <c r="E40" i="3" a="1"/>
  <c r="B51" i="3" a="1"/>
  <c r="X115" i="12" a="1"/>
  <c r="X207" i="12" a="1"/>
  <c r="X600" i="12" a="1"/>
  <c r="X481" i="12" a="1"/>
  <c r="X322" i="12" a="1"/>
  <c r="X198" i="12" a="1"/>
  <c r="X577" i="12" a="1"/>
  <c r="X1046" i="12" a="1"/>
  <c r="X542" i="12" a="1"/>
  <c r="X43" i="12" a="1"/>
  <c r="X177" i="12" a="1"/>
  <c r="X19" i="12" a="1"/>
  <c r="X394" i="12" a="1"/>
  <c r="X790" i="12" a="1"/>
  <c r="X904" i="12" a="1"/>
  <c r="X92" i="12" a="1"/>
  <c r="X209" i="12" a="1"/>
  <c r="X438" i="12" a="1"/>
  <c r="X700" i="12" a="1"/>
  <c r="X449" i="12" a="1"/>
  <c r="X950" i="12" a="1"/>
  <c r="X616" i="12" a="1"/>
  <c r="X433" i="12" a="1"/>
  <c r="X26" i="12" a="1"/>
  <c r="X1013" i="12" a="1"/>
  <c r="X766" i="12" a="1"/>
  <c r="X617" i="12" a="1"/>
  <c r="X468" i="12" a="1"/>
  <c r="X499" i="12" a="1"/>
  <c r="X1035" i="12" a="1"/>
  <c r="X483" i="12" a="1"/>
  <c r="X536" i="12" a="1"/>
  <c r="X801" i="12" a="1"/>
  <c r="X546" i="12" a="1"/>
  <c r="X1587" i="12" a="1"/>
  <c r="X1315" i="12" a="1"/>
  <c r="X1466" i="12" a="1"/>
  <c r="X332" i="12" a="1"/>
  <c r="X203" i="12" a="1"/>
  <c r="X480" i="12" a="1"/>
  <c r="X836" i="12" a="1"/>
  <c r="X912" i="12" a="1"/>
  <c r="X1460" i="12" a="1"/>
  <c r="X32" i="12" a="1"/>
  <c r="X1383" i="12" a="1"/>
  <c r="X1060" i="12" a="1"/>
  <c r="X1404" i="12" a="1"/>
  <c r="X1103" i="12" a="1"/>
  <c r="X557" i="12" a="1"/>
  <c r="X821" i="12" a="1"/>
  <c r="X1984" i="12" a="1"/>
  <c r="X1099" i="12" a="1"/>
  <c r="X2272" i="12" a="1"/>
  <c r="X1162" i="12" a="1"/>
  <c r="X2511" i="12" a="1"/>
  <c r="X1482" i="12" a="1"/>
  <c r="X1610" i="12" a="1"/>
  <c r="X329" i="12" a="1"/>
  <c r="X1332" i="12" a="1"/>
  <c r="X660" i="12" a="1"/>
  <c r="X838" i="12" a="1"/>
  <c r="X2112" i="12" a="1"/>
  <c r="X905" i="12" a="1"/>
  <c r="X210" i="12" a="1"/>
  <c r="X539" i="12" a="1"/>
  <c r="X197" i="12" a="1"/>
  <c r="X552" i="12" a="1"/>
  <c r="X949" i="12" a="1"/>
  <c r="X763" i="12" a="1"/>
  <c r="X356" i="12" a="1"/>
  <c r="X1101" i="12" a="1"/>
  <c r="X290" i="12" a="1"/>
  <c r="X416" i="12" a="1"/>
  <c r="X1144" i="12" a="1"/>
  <c r="X1398" i="12" a="1"/>
  <c r="X1068" i="12" a="1"/>
  <c r="X1766" i="12" a="1"/>
  <c r="X636" i="12" a="1"/>
  <c r="X166" i="12" a="1"/>
  <c r="X430" i="12" a="1"/>
  <c r="X60" i="12" a="1"/>
  <c r="X364" i="12" a="1"/>
  <c r="X1698" i="12" a="1"/>
  <c r="X590" i="12" a="1"/>
  <c r="X160" i="12" a="1"/>
  <c r="X284" i="12" a="1"/>
  <c r="X281" i="12" a="1"/>
  <c r="X746" i="12" a="1"/>
  <c r="X1214" i="12" a="1"/>
  <c r="X938" i="12" a="1"/>
  <c r="X1346" i="12" a="1"/>
  <c r="X4" i="12" a="1"/>
  <c r="X812" i="12" a="1"/>
  <c r="X424" i="12" a="1"/>
  <c r="X846" i="12" a="1"/>
  <c r="X87" i="12" a="1"/>
  <c r="X45" i="12" a="1"/>
  <c r="X41" i="12" a="1"/>
  <c r="X638" i="12" a="1"/>
  <c r="X989" i="12" a="1"/>
  <c r="X118" i="12" a="1"/>
  <c r="X672" i="12" a="1"/>
  <c r="X486" i="12" a="1"/>
  <c r="X2198" i="12" a="1"/>
  <c r="X629" i="12" a="1"/>
  <c r="X1870" i="12" a="1"/>
  <c r="X1379" i="12" a="1"/>
  <c r="X666" i="12" a="1"/>
  <c r="X2368" i="12" a="1"/>
  <c r="X500" i="12" a="1"/>
  <c r="X696" i="12" a="1"/>
  <c r="X1842" i="12" a="1"/>
  <c r="X570" i="12" a="1"/>
  <c r="X148" i="12" a="1"/>
  <c r="X538" i="12" a="1"/>
  <c r="X411" i="12" a="1"/>
  <c r="B31" i="3" a="1"/>
  <c r="B91" i="3" a="1"/>
  <c r="E25" i="3" a="1"/>
  <c r="B41" i="3" a="1"/>
  <c r="B88" i="3" a="1"/>
  <c r="E36" i="3" a="1"/>
  <c r="B56" i="3" a="1"/>
  <c r="B19" i="3" a="1"/>
  <c r="B66" i="3" a="1"/>
  <c r="F46" i="3" a="1"/>
  <c r="E14" i="3" a="1"/>
  <c r="X844" i="12" a="1"/>
  <c r="X406" i="12" a="1"/>
  <c r="X470" i="12" a="1"/>
  <c r="X508" i="12" a="1"/>
  <c r="X252" i="12" a="1"/>
  <c r="X59" i="12" a="1"/>
  <c r="X427" i="12" a="1"/>
  <c r="X718" i="12" a="1"/>
  <c r="X569" i="12" a="1"/>
  <c r="X49" i="12" a="1"/>
  <c r="X103" i="12" a="1"/>
  <c r="X374" i="12" a="1"/>
  <c r="X585" i="12" a="1"/>
  <c r="X317" i="12" a="1"/>
  <c r="X808" i="12" a="1"/>
  <c r="X315" i="12" a="1"/>
  <c r="X380" i="12" a="1"/>
  <c r="X459" i="12" a="1"/>
  <c r="X558" i="12" a="1"/>
  <c r="X1049" i="12" a="1"/>
  <c r="X986" i="12" a="1"/>
  <c r="X518" i="12" a="1"/>
  <c r="X1091" i="12" a="1"/>
  <c r="X96" i="12" a="1"/>
  <c r="X651" i="12" a="1"/>
  <c r="X185" i="12" a="1"/>
  <c r="X1934" i="12" a="1"/>
  <c r="X408" i="12" a="1"/>
  <c r="X716" i="12" a="1"/>
  <c r="X250" i="12" a="1"/>
  <c r="X110" i="12" a="1"/>
  <c r="X39" i="12" a="1"/>
  <c r="X233" i="12" a="1"/>
  <c r="X454" i="12" a="1"/>
  <c r="X582" i="12" a="1"/>
  <c r="X117" i="12" a="1"/>
  <c r="X624" i="12" a="1"/>
  <c r="X732" i="12" a="1"/>
  <c r="X172" i="12" a="1"/>
  <c r="X139" i="12" a="1"/>
  <c r="X621" i="12" a="1"/>
  <c r="X328" i="12" a="1"/>
  <c r="X1481" i="12" a="1"/>
  <c r="X479" i="12" a="1"/>
  <c r="X1402" i="12" a="1"/>
  <c r="X1118" i="12" a="1"/>
  <c r="X288" i="12" a="1"/>
  <c r="X1356" i="12" a="1"/>
  <c r="X1161" i="12" a="1"/>
  <c r="X1187" i="12" a="1"/>
  <c r="X1986" i="12" a="1"/>
  <c r="X194" i="12" a="1"/>
  <c r="X33" i="12" a="1"/>
  <c r="X232" i="12" a="1"/>
  <c r="W757" i="12" a="1"/>
  <c r="X513" i="12" a="1"/>
  <c r="W1076" i="12" a="1"/>
  <c r="X140" i="12" a="1"/>
  <c r="X1599" i="12" a="1"/>
  <c r="X1417" i="12" a="1"/>
  <c r="X335" i="12" a="1"/>
  <c r="X339" i="12" a="1"/>
  <c r="X312" i="12" a="1"/>
  <c r="X215" i="12" a="1"/>
  <c r="X184" i="12" a="1"/>
  <c r="X212" i="12" a="1"/>
  <c r="X365" i="12" a="1"/>
  <c r="X295" i="12" a="1"/>
  <c r="X1334" i="12" a="1"/>
  <c r="X286" i="12" a="1"/>
  <c r="X1027" i="12" a="1"/>
  <c r="X977" i="12" a="1"/>
  <c r="X316" i="12" a="1"/>
  <c r="X758" i="12" a="1"/>
  <c r="X1535" i="12" a="1"/>
  <c r="X857" i="12" a="1"/>
  <c r="X514" i="12" a="1"/>
  <c r="X653" i="12" a="1"/>
  <c r="X765" i="12" a="1"/>
  <c r="X2374" i="12" a="1"/>
  <c r="X2" i="12" a="1"/>
  <c r="X780" i="12" a="1"/>
  <c r="X183" i="12" a="1"/>
  <c r="X1149" i="12" a="1"/>
  <c r="X970" i="12" a="1"/>
  <c r="X888" i="12" a="1"/>
  <c r="X314" i="12" a="1"/>
  <c r="X1370" i="12" a="1"/>
  <c r="X614" i="12" a="1"/>
  <c r="X1922" i="12" a="1"/>
  <c r="X1918" i="12" a="1"/>
  <c r="X1121" i="12" a="1"/>
  <c r="X352" i="12" a="1"/>
  <c r="X231" i="12" a="1"/>
  <c r="X690" i="12" a="1"/>
  <c r="X646" i="12" a="1"/>
  <c r="X12" i="12" a="1"/>
  <c r="X432" i="12" a="1"/>
  <c r="X101" i="12" a="1"/>
  <c r="X106" i="12" a="1"/>
  <c r="X662" i="12" a="1"/>
  <c r="X634" i="12" a="1"/>
  <c r="X155" i="12" a="1"/>
  <c r="X698" i="12" a="1"/>
  <c r="X162" i="12" a="1"/>
  <c r="X953" i="12" a="1"/>
  <c r="X1530" i="12" a="1"/>
  <c r="X366" i="12" a="1"/>
  <c r="X343" i="12" a="1"/>
  <c r="X31" i="12" a="1"/>
  <c r="X243" i="12" a="1"/>
  <c r="X901" i="12" a="1"/>
  <c r="X409" i="12" a="1"/>
  <c r="X371" i="12" a="1"/>
  <c r="X892" i="12" a="1"/>
  <c r="X1155" i="12" a="1"/>
  <c r="X161" i="12" a="1"/>
  <c r="B67" i="3" a="1"/>
  <c r="B47" i="3" a="1"/>
  <c r="B57" i="3" a="1"/>
  <c r="X304" i="12" a="1"/>
  <c r="X1003" i="12" a="1"/>
  <c r="X37" i="12" a="1"/>
  <c r="X385" i="12" a="1"/>
  <c r="X16" i="12" a="1"/>
  <c r="X825" i="12" a="1"/>
  <c r="X819" i="12" a="1"/>
  <c r="X1255" i="12" a="1"/>
  <c r="X553" i="12" a="1"/>
  <c r="X1048" i="12" a="1"/>
  <c r="X1077" i="12" a="1"/>
  <c r="X1120" i="12" a="1"/>
  <c r="X452" i="12" a="1"/>
  <c r="X799" i="12" a="1"/>
  <c r="X550" i="12" a="1"/>
  <c r="X669" i="12" a="1"/>
  <c r="X63" i="12" a="1"/>
  <c r="X824" i="12" a="1"/>
  <c r="X1039" i="12" a="1"/>
  <c r="X2134" i="12" a="1"/>
  <c r="X100" i="12" a="1"/>
  <c r="X882" i="12" a="1"/>
  <c r="X1202" i="12" a="1"/>
  <c r="X1067" i="12" a="1"/>
  <c r="X247" i="12" a="1"/>
  <c r="X2454" i="12" a="1"/>
  <c r="X607" i="12" a="1"/>
  <c r="X926" i="12" a="1"/>
  <c r="X1513" i="12" a="1"/>
  <c r="X779" i="12" a="1"/>
  <c r="X1206" i="12" a="1"/>
  <c r="X1109" i="12" a="1"/>
  <c r="X1292" i="12" a="1"/>
  <c r="X2536" i="12" a="1"/>
  <c r="W217" i="12" a="1"/>
  <c r="X984" i="12" a="1"/>
  <c r="W181" i="12" a="1"/>
  <c r="X889" i="12" a="1"/>
  <c r="X376" i="12" a="1"/>
  <c r="X1087" i="12" a="1"/>
  <c r="X661" i="12" a="1"/>
  <c r="X113" i="12" a="1"/>
  <c r="X435" i="12" a="1"/>
  <c r="X686" i="12" a="1"/>
  <c r="X1507" i="12" a="1"/>
  <c r="X2304" i="12" a="1"/>
  <c r="X784" i="12" a="1"/>
  <c r="X859" i="12" a="1"/>
  <c r="X767" i="12" a="1"/>
  <c r="X709" i="12" a="1"/>
  <c r="X1112" i="12" a="1"/>
  <c r="X2152" i="12" a="1"/>
  <c r="W24" i="12" a="1"/>
  <c r="X2312" i="12" a="1"/>
  <c r="X791" i="12" a="1"/>
  <c r="X2128" i="12" a="1"/>
  <c r="X1183" i="12" a="1"/>
  <c r="X604" i="12" a="1"/>
  <c r="X697" i="12" a="1"/>
  <c r="X80" i="12" a="1"/>
  <c r="X1758" i="12" a="1"/>
  <c r="X2474" i="12" a="1"/>
  <c r="X1225" i="12" a="1"/>
  <c r="X1882" i="12" a="1"/>
  <c r="X2542" i="12" a="1"/>
  <c r="X771" i="12" a="1"/>
  <c r="X1152" i="12" a="1"/>
  <c r="X976" i="12" a="1"/>
  <c r="X2494" i="12" a="1"/>
  <c r="X2606" i="12" a="1"/>
  <c r="X2098" i="12" a="1"/>
  <c r="X502" i="12" a="1"/>
  <c r="X434" i="12" a="1"/>
  <c r="X38" i="12" a="1"/>
  <c r="X1078" i="12" a="1"/>
  <c r="X285" i="12" a="1"/>
  <c r="X575" i="12" a="1"/>
  <c r="X762" i="12" a="1"/>
  <c r="X655" i="12" a="1"/>
  <c r="X342" i="12" a="1"/>
  <c r="X1545" i="12" a="1"/>
  <c r="X744" i="12" a="1"/>
  <c r="X1731" i="12" a="1"/>
  <c r="X1022" i="12" a="1"/>
  <c r="X1488" i="12" a="1"/>
  <c r="X2270" i="12" a="1"/>
  <c r="X736" i="12" a="1"/>
  <c r="X2290" i="12" a="1"/>
  <c r="X1163" i="12" a="1"/>
  <c r="W724" i="12" a="1"/>
  <c r="X813" i="12" a="1"/>
  <c r="X2320" i="12" a="1"/>
  <c r="X2318" i="12" a="1"/>
  <c r="X962" i="12" a="1"/>
  <c r="X2438" i="12" a="1"/>
  <c r="X2076" i="12" a="1"/>
  <c r="X202" i="12" a="1"/>
  <c r="W884" i="12" a="1"/>
  <c r="X1171" i="12" a="1"/>
  <c r="X1623" i="12" a="1"/>
  <c r="X1258" i="12" a="1"/>
  <c r="X1179" i="12" a="1"/>
  <c r="X29" i="12" a="1"/>
  <c r="X753" i="12" a="1"/>
  <c r="X1142" i="12" a="1"/>
  <c r="X964" i="12" a="1"/>
  <c r="X1045" i="12" a="1"/>
  <c r="X1280" i="12" a="1"/>
  <c r="X1519" i="12" a="1"/>
  <c r="X1079" i="12" a="1"/>
  <c r="X414" i="12" a="1"/>
  <c r="X1826" i="12" a="1"/>
  <c r="X1542" i="12" a="1"/>
  <c r="X2127" i="12" a="1"/>
  <c r="X1369" i="12" a="1"/>
  <c r="X2287" i="12" a="1"/>
  <c r="X2280" i="12" a="1"/>
  <c r="X1479" i="12" a="1"/>
  <c r="X1266" i="12" a="1"/>
  <c r="X48" i="12" a="1"/>
  <c r="W1230" i="12" a="1"/>
  <c r="X1020" i="12" a="1"/>
  <c r="X1324" i="12" a="1"/>
  <c r="X1401" i="12" a="1"/>
  <c r="X1475" i="12" a="1"/>
  <c r="X2448" i="12" a="1"/>
  <c r="X61" i="12" a="1"/>
  <c r="X960" i="12" a="1"/>
  <c r="X1233" i="12" a="1"/>
  <c r="X1659" i="12" a="1"/>
  <c r="X2090" i="12" a="1"/>
  <c r="X635" i="12" a="1"/>
  <c r="X1567" i="12" a="1"/>
  <c r="X1251" i="12" a="1"/>
  <c r="X2464" i="12" a="1"/>
  <c r="X2159" i="12" a="1"/>
  <c r="X1094" i="12" a="1"/>
  <c r="X593" i="12" a="1"/>
  <c r="X1591" i="12" a="1"/>
  <c r="X1595" i="12" a="1"/>
  <c r="X2194" i="12" a="1"/>
  <c r="X1968" i="12" a="1"/>
  <c r="X393" i="12" a="1"/>
  <c r="X1015" i="12" a="1"/>
  <c r="X2550" i="12" a="1"/>
  <c r="X476" i="12" a="1"/>
  <c r="W1140" i="12" a="1"/>
  <c r="X1459" i="12" a="1"/>
  <c r="X1359" i="12" a="1"/>
  <c r="X1682" i="12" a="1"/>
  <c r="X1196" i="12" a="1"/>
  <c r="W1233" i="12" a="1"/>
  <c r="X1054" i="12" a="1"/>
  <c r="X79" i="12" a="1"/>
  <c r="X2577" i="12" a="1"/>
  <c r="W69" i="12" a="1"/>
  <c r="X1510" i="12" a="1"/>
  <c r="X1620" i="12" a="1"/>
  <c r="X1050" i="12" a="1"/>
  <c r="X1342" i="12" a="1"/>
  <c r="X1635" i="12" a="1"/>
  <c r="X2641" i="12" a="1"/>
  <c r="X2457" i="12" a="1"/>
  <c r="X2497" i="12" a="1"/>
  <c r="X1281" i="12" a="1"/>
  <c r="X2362" i="12" a="1"/>
  <c r="X2434" i="12" a="1"/>
  <c r="W1029" i="12" a="1"/>
  <c r="X429" i="12" a="1"/>
  <c r="X1382" i="12" a="1"/>
  <c r="W120" i="12" a="1"/>
  <c r="W544" i="12" a="1"/>
  <c r="X1946" i="12" a="1"/>
  <c r="X1732" i="12" a="1"/>
  <c r="X1815" i="12" a="1"/>
  <c r="X1895" i="12" a="1"/>
  <c r="X1062" i="12" a="1"/>
  <c r="W202" i="12" a="1"/>
  <c r="W78" i="12" a="1"/>
  <c r="W220" i="12" a="1"/>
  <c r="X2119" i="12" a="1"/>
  <c r="X1808" i="12" a="1"/>
  <c r="X190" i="12" a="1"/>
  <c r="X2223" i="12" a="1"/>
  <c r="X1517" i="12" a="1"/>
  <c r="X2265" i="12" a="1"/>
  <c r="X2305" i="12" a="1"/>
  <c r="W587" i="12" a="1"/>
  <c r="W748" i="12" a="1"/>
  <c r="W305" i="12" a="1"/>
  <c r="X2460" i="12" a="1"/>
  <c r="X1796" i="12" a="1"/>
  <c r="X1879" i="12" a="1"/>
  <c r="X899" i="12" a="1"/>
  <c r="X1322" i="12" a="1"/>
  <c r="X2158" i="12" a="1"/>
  <c r="X2478" i="12" a="1"/>
  <c r="X2254" i="12" a="1"/>
  <c r="X30" i="12" a="1"/>
  <c r="X193" i="12" a="1"/>
  <c r="X1399" i="12" a="1"/>
  <c r="X323" i="12" a="1"/>
  <c r="W116" i="12" a="1"/>
  <c r="X952" i="12" a="1"/>
  <c r="W397" i="12" a="1"/>
  <c r="X1810" i="12" a="1"/>
  <c r="X649" i="12" a="1"/>
  <c r="X519" i="12" a="1"/>
  <c r="X987" i="12" a="1"/>
  <c r="X2216" i="12" a="1"/>
  <c r="W233" i="12" a="1"/>
  <c r="X775" i="12" a="1"/>
  <c r="X1030" i="12" a="1"/>
  <c r="X913" i="12" a="1"/>
  <c r="X2214" i="12" a="1"/>
  <c r="W119" i="12" a="1"/>
  <c r="X2162" i="12" a="1"/>
  <c r="X2064" i="12" a="1"/>
  <c r="W225" i="12" a="1"/>
  <c r="X2648" i="12" a="1"/>
  <c r="X1389" i="12" a="1"/>
  <c r="W268" i="12" a="1"/>
  <c r="W164" i="12" a="1"/>
  <c r="W82" i="12" a="1"/>
  <c r="X2382" i="12" a="1"/>
  <c r="X1361" i="12" a="1"/>
  <c r="W930" i="12" a="1"/>
  <c r="X471" i="12" a="1"/>
  <c r="X1487" i="12" a="1"/>
  <c r="W821" i="12" a="1"/>
  <c r="W967" i="12" a="1"/>
  <c r="W413" i="12" a="1"/>
  <c r="X1007" i="12" a="1"/>
  <c r="X1923" i="12" a="1"/>
  <c r="X1410" i="12" a="1"/>
  <c r="X2137" i="12" a="1"/>
  <c r="X2177" i="12" a="1"/>
  <c r="W492" i="12" a="1"/>
  <c r="W550" i="12" a="1"/>
  <c r="W500" i="12" a="1"/>
  <c r="X2514" i="12" a="1"/>
  <c r="X1253" i="12" a="1"/>
  <c r="X1581" i="12" a="1"/>
  <c r="X1703" i="12" a="1"/>
  <c r="X509" i="12" a="1"/>
  <c r="X1555" i="12" a="1"/>
  <c r="E23" i="3" a="1"/>
  <c r="F37" i="3" a="1"/>
  <c r="F14" i="3" a="1"/>
  <c r="X679" i="12" a="1"/>
  <c r="X15" i="12" a="1"/>
  <c r="X1113" i="12" a="1"/>
  <c r="X1631" i="12" a="1"/>
  <c r="X488" i="12" a="1"/>
  <c r="X28" i="12" a="1"/>
  <c r="X1952" i="12" a="1"/>
  <c r="X245" i="12" a="1"/>
  <c r="X120" i="12" a="1"/>
  <c r="X521" i="12" a="1"/>
  <c r="X1484" i="12" a="1"/>
  <c r="X73" i="12" a="1"/>
  <c r="X596" i="12" a="1"/>
  <c r="X910" i="12" a="1"/>
  <c r="X461" i="12" a="1"/>
  <c r="X1021" i="12" a="1"/>
  <c r="X372" i="12" a="1"/>
  <c r="X303" i="12" a="1"/>
  <c r="X980" i="12" a="1"/>
  <c r="X1540" i="12" a="1"/>
  <c r="X350" i="12" a="1"/>
  <c r="X2014" i="12" a="1"/>
  <c r="X1551" i="12" a="1"/>
  <c r="X199" i="12" a="1"/>
  <c r="X200" i="12" a="1"/>
  <c r="X1604" i="12" a="1"/>
  <c r="X382" i="12" a="1"/>
  <c r="X680" i="12" a="1"/>
  <c r="X93" i="12" a="1"/>
  <c r="X1678" i="12" a="1"/>
  <c r="X1211" i="12" a="1"/>
  <c r="X1001" i="12" a="1"/>
  <c r="X1073" i="12" a="1"/>
  <c r="X894" i="12" a="1"/>
  <c r="X18" i="12" a="1"/>
  <c r="X1116" i="12" a="1"/>
  <c r="X529" i="12" a="1"/>
  <c r="X241" i="12" a="1"/>
  <c r="X625" i="12" a="1"/>
  <c r="X853" i="12" a="1"/>
  <c r="X1443" i="12" a="1"/>
  <c r="X44" i="12" a="1"/>
  <c r="X1274" i="12" a="1"/>
  <c r="X677" i="12" a="1"/>
  <c r="X884" i="12" a="1"/>
  <c r="X474" i="12" a="1"/>
  <c r="X1376" i="12" a="1"/>
  <c r="W581" i="12" a="1"/>
  <c r="X1319" i="12" a="1"/>
  <c r="X925" i="12" a="1"/>
  <c r="X465" i="12" a="1"/>
  <c r="X921" i="12" a="1"/>
  <c r="X482" i="12" a="1"/>
  <c r="X781" i="12" a="1"/>
  <c r="X124" i="12" a="1"/>
  <c r="W609" i="12" a="1"/>
  <c r="W518" i="12" a="1"/>
  <c r="X1117" i="12" a="1"/>
  <c r="X2512" i="12" a="1"/>
  <c r="X2510" i="12" a="1"/>
  <c r="X1778" i="12" a="1"/>
  <c r="X1181" i="12" a="1"/>
  <c r="X902" i="12" a="1"/>
  <c r="X456" i="12" a="1"/>
  <c r="W820" i="12" a="1"/>
  <c r="X1395" i="12" a="1"/>
  <c r="X1263" i="12" a="1"/>
  <c r="X1301" i="12" a="1"/>
  <c r="X2504" i="12" a="1"/>
  <c r="W562" i="12" a="1"/>
  <c r="X534" i="12" a="1"/>
  <c r="X928" i="12" a="1"/>
  <c r="X381" i="12" a="1"/>
  <c r="X1131" i="12" a="1"/>
  <c r="X924" i="12" a="1"/>
  <c r="X130" i="12" a="1"/>
  <c r="X1011" i="12" a="1"/>
  <c r="X1902" i="12" a="1"/>
  <c r="X594" i="12" a="1"/>
  <c r="X885" i="12" a="1"/>
  <c r="X1548" i="12" a="1"/>
  <c r="X760" i="12" a="1"/>
  <c r="W525" i="12" a="1"/>
  <c r="X1024" i="12" a="1"/>
  <c r="X865" i="12" a="1"/>
  <c r="X2506" i="12" a="1"/>
  <c r="X1326" i="12" a="1"/>
  <c r="X612" i="12" a="1"/>
  <c r="X734" i="12" a="1"/>
  <c r="X511" i="12" a="1"/>
  <c r="X2366" i="12" a="1"/>
  <c r="X2300" i="12" a="1"/>
  <c r="X1228" i="12" a="1"/>
  <c r="X2255" i="12" a="1"/>
  <c r="X2415" i="12" a="1"/>
  <c r="X1300" i="12" a="1"/>
  <c r="X993" i="12" a="1"/>
  <c r="X493" i="12" a="1"/>
  <c r="X1222" i="12" a="1"/>
  <c r="X1967" i="12" a="1"/>
  <c r="X1042" i="12" a="1"/>
  <c r="X959" i="12" a="1"/>
  <c r="X321" i="12" a="1"/>
  <c r="X992" i="12" a="1"/>
  <c r="X1511" i="12" a="1"/>
  <c r="X1531" i="12" a="1"/>
  <c r="X873" i="12" a="1"/>
  <c r="X1267" i="12" a="1"/>
  <c r="X1938" i="12" a="1"/>
  <c r="X878" i="12" a="1"/>
  <c r="X730" i="12" a="1"/>
  <c r="X1830" i="12" a="1"/>
  <c r="X1547" i="12" a="1"/>
  <c r="W323" i="12" a="1"/>
  <c r="X180" i="12" a="1"/>
  <c r="X881" i="12" a="1"/>
  <c r="X1792" i="12" a="1"/>
  <c r="X2031" i="12" a="1"/>
  <c r="X1283" i="12" a="1"/>
  <c r="X2502" i="12" a="1"/>
  <c r="X806" i="12" a="1"/>
  <c r="X1086" i="12" a="1"/>
  <c r="X1728" i="12" a="1"/>
  <c r="X1009" i="12" a="1"/>
  <c r="W198" i="12" a="1"/>
  <c r="W274" i="12" a="1"/>
  <c r="X727" i="12" a="1"/>
  <c r="X1237" i="12" a="1"/>
  <c r="X1216" i="12" a="1"/>
  <c r="X777" i="12" a="1"/>
  <c r="X2479" i="12" a="1"/>
  <c r="X2614" i="12" a="1"/>
  <c r="X1991" i="12" a="1"/>
  <c r="X131" i="12" a="1"/>
  <c r="X611" i="12" a="1"/>
  <c r="X706" i="12" a="1"/>
  <c r="X1894" i="12" a="1"/>
  <c r="X731" i="12" a="1"/>
  <c r="X111" i="12" a="1"/>
  <c r="X262" i="12" a="1"/>
  <c r="X668" i="12" a="1"/>
  <c r="W229" i="12" a="1"/>
  <c r="X2383" i="12" a="1"/>
  <c r="X2543" i="12" a="1"/>
  <c r="X1159" i="12" a="1"/>
  <c r="X1238" i="12" a="1"/>
  <c r="X1219" i="12" a="1"/>
  <c r="X1478" i="12" a="1"/>
  <c r="X2095" i="12" a="1"/>
  <c r="X1409" i="12" a="1"/>
  <c r="X2524" i="12" a="1"/>
  <c r="X2518" i="12" a="1"/>
  <c r="X1664" i="12" a="1"/>
  <c r="X24" i="12" a="1"/>
  <c r="X792" i="12" a="1"/>
  <c r="X848" i="12" a="1"/>
  <c r="X998" i="12" a="1"/>
  <c r="W27" i="12" a="1"/>
  <c r="W133" i="12" a="1"/>
  <c r="W110" i="12" a="1"/>
  <c r="X1647" i="12" a="1"/>
  <c r="W1015" i="12" a="1"/>
  <c r="W380" i="12" a="1"/>
  <c r="X1817" i="12" a="1"/>
  <c r="W740" i="12" a="1"/>
  <c r="W374" i="12" a="1"/>
  <c r="W486" i="12" a="1"/>
  <c r="X1429" i="12" a="1"/>
  <c r="W974" i="12" a="1"/>
  <c r="X1037" i="12" a="1"/>
  <c r="X2424" i="12" a="1"/>
  <c r="X814" i="12" a="1"/>
  <c r="X2032" i="12" a="1"/>
  <c r="W457" i="12" a="1"/>
  <c r="W232" i="12" a="1"/>
  <c r="W363" i="12" a="1"/>
  <c r="X1444" i="12" a="1"/>
  <c r="X826" i="12" a="1"/>
  <c r="X533" i="12" a="1"/>
  <c r="X1780" i="12" a="1"/>
  <c r="W834" i="12" a="1"/>
  <c r="X473" i="12" a="1"/>
  <c r="X1257" i="12" a="1"/>
  <c r="X1568" i="12" a="1"/>
  <c r="W104" i="12" a="1"/>
  <c r="W865" i="12" a="1"/>
  <c r="X930" i="12" a="1"/>
  <c r="X2481" i="12" a="1"/>
  <c r="X2297" i="12" a="1"/>
  <c r="X2337" i="12" a="1"/>
  <c r="X2096" i="12" a="1"/>
  <c r="W614" i="12" a="1"/>
  <c r="W347" i="12" a="1"/>
  <c r="W427" i="12" a="1"/>
  <c r="W148" i="12" a="1"/>
  <c r="X1586" i="12" a="1"/>
  <c r="X1594" i="12" a="1"/>
  <c r="X22" i="12" a="1"/>
  <c r="X785" i="12" a="1"/>
  <c r="X588" i="12" a="1"/>
  <c r="X2250" i="12" a="1"/>
  <c r="X2056" i="12" a="1"/>
  <c r="X164" i="12" a="1"/>
  <c r="X496" i="12" a="1"/>
  <c r="X360" i="12" a="1"/>
  <c r="X1726" i="12" a="1"/>
  <c r="X2118" i="12" a="1"/>
  <c r="X1023" i="12" a="1"/>
  <c r="X46" i="12" a="1"/>
  <c r="X516" i="12" a="1"/>
  <c r="X995" i="12" a="1"/>
  <c r="X1335" i="12" a="1"/>
  <c r="X2218" i="12" a="1"/>
  <c r="X1040" i="12" a="1"/>
  <c r="X421" i="12" a="1"/>
  <c r="X1127" i="12" a="1"/>
  <c r="X1056" i="12" a="1"/>
  <c r="X2062" i="12" a="1"/>
  <c r="W237" i="12" a="1"/>
  <c r="W267" i="12" a="1"/>
  <c r="X2386" i="12" a="1"/>
  <c r="X1927" i="12" a="1"/>
  <c r="X1325" i="12" a="1"/>
  <c r="X1614" i="12" a="1"/>
  <c r="X740" i="12" a="1"/>
  <c r="W33" i="12" a="1"/>
  <c r="W135" i="12" a="1"/>
  <c r="W21" i="12" a="1"/>
  <c r="X1951" i="12" a="1"/>
  <c r="X1907" i="12" a="1"/>
  <c r="X1360" i="12" a="1"/>
  <c r="X2240" i="12" a="1"/>
  <c r="X2246" i="12" a="1"/>
  <c r="X1340" i="12" a="1"/>
  <c r="W612" i="12" a="1"/>
  <c r="W409" i="12" a="1"/>
  <c r="X916" i="12" a="1"/>
  <c r="X2353" i="12" a="1"/>
  <c r="X2169" i="12" a="1"/>
  <c r="X2209" i="12" a="1"/>
  <c r="X1730" i="12" a="1"/>
  <c r="W459" i="12" a="1"/>
  <c r="W416" i="12" a="1"/>
  <c r="W496" i="12" a="1"/>
  <c r="X1821" i="12" a="1"/>
  <c r="X2559" i="12" a="1"/>
  <c r="X1694" i="12" a="1"/>
  <c r="W680" i="12" a="1"/>
  <c r="X2193" i="12" a="1"/>
  <c r="X1384" i="12" a="1"/>
  <c r="X1491" i="12" a="1"/>
  <c r="W994" i="12" a="1"/>
  <c r="B54" i="3" a="1"/>
  <c r="B42" i="3" a="1"/>
  <c r="X57" i="12" a="1"/>
  <c r="X874" i="12" a="1"/>
  <c r="X119" i="12" a="1"/>
  <c r="X579" i="12" a="1"/>
  <c r="X150" i="12" a="1"/>
  <c r="X25" i="12" a="1"/>
  <c r="X306" i="12" a="1"/>
  <c r="X880" i="12" a="1"/>
  <c r="X743" i="12" a="1"/>
  <c r="X297" i="12" a="1"/>
  <c r="X1890" i="12" a="1"/>
  <c r="X294" i="12" a="1"/>
  <c r="X1025" i="12" a="1"/>
  <c r="X723" i="12" a="1"/>
  <c r="X839" i="12" a="1"/>
  <c r="X253" i="12" a="1"/>
  <c r="X336" i="12" a="1"/>
  <c r="X14" i="12" a="1"/>
  <c r="X289" i="12" a="1"/>
  <c r="X1742" i="12" a="1"/>
  <c r="X1994" i="12" a="1"/>
  <c r="X2486" i="12" a="1"/>
  <c r="X1138" i="12" a="1"/>
  <c r="X2422" i="12" a="1"/>
  <c r="X104" i="12" a="1"/>
  <c r="X1059" i="12" a="1"/>
  <c r="X841" i="12" a="1"/>
  <c r="X948" i="12" a="1"/>
  <c r="X196" i="12" a="1"/>
  <c r="X735" i="12" a="1"/>
  <c r="X98" i="12" a="1"/>
  <c r="X556" i="12" a="1"/>
  <c r="X1268" i="12" a="1"/>
  <c r="X845" i="12" a="1"/>
  <c r="X807" i="12" a="1"/>
  <c r="X487" i="12" a="1"/>
  <c r="X855" i="12" a="1"/>
  <c r="X903" i="12" a="1"/>
  <c r="X1141" i="12" a="1"/>
  <c r="X1129" i="12" a="1"/>
  <c r="X249" i="12" a="1"/>
  <c r="X319" i="12" a="1"/>
  <c r="X906" i="12" a="1"/>
  <c r="X56" i="12" a="1"/>
  <c r="X1012" i="12" a="1"/>
  <c r="X2384" i="12" a="1"/>
  <c r="X861" i="12" a="1"/>
  <c r="X1291" i="12" a="1"/>
  <c r="X82" i="12" a="1"/>
  <c r="X1467" i="12" a="1"/>
  <c r="X985" i="12" a="1"/>
  <c r="X1137" i="12" a="1"/>
  <c r="X1794" i="12" a="1"/>
  <c r="X242" i="12" a="1"/>
  <c r="X2192" i="12" a="1"/>
  <c r="X1235" i="12" a="1"/>
  <c r="X1331" i="12" a="1"/>
  <c r="X1093" i="12" a="1"/>
  <c r="X2462" i="12" a="1"/>
  <c r="X2574" i="12" a="1"/>
  <c r="X2066" i="12" a="1"/>
  <c r="X1097" i="12" a="1"/>
  <c r="W946" i="12" a="1"/>
  <c r="X991" i="12" a="1"/>
  <c r="X2430" i="12" a="1"/>
  <c r="X2190" i="12" a="1"/>
  <c r="X1414" i="12" a="1"/>
  <c r="X2063" i="12" a="1"/>
  <c r="X1153" i="12" a="1"/>
  <c r="X957" i="12" a="1"/>
  <c r="X52" i="12" a="1"/>
  <c r="X494" i="12" a="1"/>
  <c r="X355" i="12" a="1"/>
  <c r="X1447" i="12" a="1"/>
  <c r="X711" i="12" a="1"/>
  <c r="X1526" i="12" a="1"/>
  <c r="X1164" i="12" a="1"/>
  <c r="X1083" i="12" a="1"/>
  <c r="X954" i="12" a="1"/>
  <c r="X1462" i="12" a="1"/>
  <c r="X1100" i="12" a="1"/>
  <c r="X870" i="12" a="1"/>
  <c r="X1028" i="12" a="1"/>
  <c r="X547" i="12" a="1"/>
  <c r="X827" i="12" a="1"/>
  <c r="X699" i="12" a="1"/>
  <c r="W1010" i="12" a="1"/>
  <c r="W1166" i="12" a="1"/>
  <c r="X1148" i="12" a="1"/>
  <c r="X1580" i="12" a="1"/>
  <c r="X927" i="12" a="1"/>
  <c r="X2376" i="12" a="1"/>
  <c r="W297" i="12" a="1"/>
  <c r="X942" i="12" a="1"/>
  <c r="X562" i="12" a="1"/>
  <c r="X192" i="12" a="1"/>
  <c r="X1271" i="12" a="1"/>
  <c r="X2186" i="12" a="1"/>
  <c r="X834" i="12" a="1"/>
  <c r="X1227" i="12" a="1"/>
  <c r="W756" i="12" a="1"/>
  <c r="X974" i="12" a="1"/>
  <c r="W780" i="12" a="1"/>
  <c r="X256" i="12" a="1"/>
  <c r="X675" i="12" a="1"/>
  <c r="X858" i="12" a="1"/>
  <c r="X2408" i="12" a="1"/>
  <c r="X1651" i="12" a="1"/>
  <c r="X810" i="12" a="1"/>
  <c r="X224" i="12" a="1"/>
  <c r="X1338" i="12" a="1"/>
  <c r="X595" i="12" a="1"/>
  <c r="X890" i="12" a="1"/>
  <c r="X1774" i="12" a="1"/>
  <c r="X937" i="12" a="1"/>
  <c r="X2182" i="12" a="1"/>
  <c r="X739" i="12" a="1"/>
  <c r="X917" i="12" a="1"/>
  <c r="X1470" i="12" a="1"/>
  <c r="X1627" i="12" a="1"/>
  <c r="X2058" i="12" a="1"/>
  <c r="X2520" i="12" a="1"/>
  <c r="X1088" i="12" a="1"/>
  <c r="W436" i="12" a="1"/>
  <c r="X559" i="12" a="1"/>
  <c r="X1029" i="12" a="1"/>
  <c r="X934" i="12" a="1"/>
  <c r="X2078" i="12" a="1"/>
  <c r="X1582" i="12" a="1"/>
  <c r="X1295" i="12" a="1"/>
  <c r="X36" i="12" a="1"/>
  <c r="W677" i="12" a="1"/>
  <c r="X1415" i="12" a="1"/>
  <c r="W1092" i="12" a="1"/>
  <c r="X273" i="12" a="1"/>
  <c r="X1139" i="12" a="1"/>
  <c r="X965" i="12" a="1"/>
  <c r="X907" i="12" a="1"/>
  <c r="X1950" i="12" a="1"/>
  <c r="W1038" i="12" a="1"/>
  <c r="X676" i="12" a="1"/>
  <c r="X1082" i="12" a="1"/>
  <c r="X275" i="12" a="1"/>
  <c r="X1005" i="12" a="1"/>
  <c r="X528" i="12" a="1"/>
  <c r="X1527" i="12" a="1"/>
  <c r="X2314" i="12" a="1"/>
  <c r="X1259" i="12" a="1"/>
  <c r="X1483" i="12" a="1"/>
  <c r="W671" i="12" a="1"/>
  <c r="X1076" i="12" a="1"/>
  <c r="W597" i="12" a="1"/>
  <c r="X1886" i="12" a="1"/>
  <c r="X2450" i="12" a="1"/>
  <c r="X2470" i="12" a="1"/>
  <c r="X2263" i="12" a="1"/>
  <c r="X2311" i="12" a="1"/>
  <c r="X1427" i="12" a="1"/>
  <c r="X522" i="12" a="1"/>
  <c r="X403" i="12" a="1"/>
  <c r="X1189" i="12" a="1"/>
  <c r="X1168" i="12" a="1"/>
  <c r="X2558" i="12" a="1"/>
  <c r="X2630" i="12" a="1"/>
  <c r="X703" i="12" a="1"/>
  <c r="X2289" i="12" a="1"/>
  <c r="X2105" i="12" a="1"/>
  <c r="X2145" i="12" a="1"/>
  <c r="X1603" i="12" a="1"/>
  <c r="X664" i="12" a="1"/>
  <c r="X310" i="12" a="1"/>
  <c r="W137" i="12" a="1"/>
  <c r="W86" i="12" a="1"/>
  <c r="X1440" i="12" a="1"/>
  <c r="X856" i="12" a="1"/>
  <c r="X1195" i="12" a="1"/>
  <c r="W580" i="12" a="1"/>
  <c r="X2591" i="12" a="1"/>
  <c r="X2343" i="12" a="1"/>
  <c r="X2399" i="12" a="1"/>
  <c r="X2150" i="12" a="1"/>
  <c r="W55" i="12" a="1"/>
  <c r="X1945" i="12" a="1"/>
  <c r="X1252" i="12" a="1"/>
  <c r="X1455" i="12" a="1"/>
  <c r="X1454" i="12" a="1"/>
  <c r="X1537" i="12" a="1"/>
  <c r="X1276" i="12" a="1"/>
  <c r="W682" i="12" a="1"/>
  <c r="W929" i="12" a="1"/>
  <c r="X1840" i="12" a="1"/>
  <c r="X1750" i="12" a="1"/>
  <c r="X1136" i="12" a="1"/>
  <c r="X1212" i="12" a="1"/>
  <c r="X879" i="12" a="1"/>
  <c r="X1261" i="12" a="1"/>
  <c r="X2340" i="12" a="1"/>
  <c r="X2500" i="12" a="1"/>
  <c r="X587" i="12" a="1"/>
  <c r="X637" i="12" a="1"/>
  <c r="X793" i="12" a="1"/>
  <c r="X1596" i="12" a="1"/>
  <c r="X2456" i="12" a="1"/>
  <c r="X2310" i="12" a="1"/>
  <c r="X1798" i="12" a="1"/>
  <c r="X1242" i="12" a="1"/>
  <c r="X2180" i="12" a="1"/>
  <c r="W370" i="12" a="1"/>
  <c r="W434" i="12" a="1"/>
  <c r="X748" i="12" a="1"/>
  <c r="X2000" i="12" a="1"/>
  <c r="X1998" i="12" a="1"/>
  <c r="X1354" i="12" a="1"/>
  <c r="X2607" i="12" a="1"/>
  <c r="X1683" i="12" a="1"/>
  <c r="X2167" i="12" a="1"/>
  <c r="X1344" i="12" a="1"/>
  <c r="W573" i="12" a="1"/>
  <c r="X701" i="12" a="1"/>
  <c r="X1589" i="12" a="1"/>
  <c r="X1578" i="12" a="1"/>
  <c r="X1493" i="12" a="1"/>
  <c r="W395" i="12" a="1"/>
  <c r="W352" i="12" a="1"/>
  <c r="W432" i="12" a="1"/>
  <c r="X932" i="12" a="1"/>
  <c r="X650" i="12" a="1"/>
  <c r="X828" i="12" a="1"/>
  <c r="X2404" i="12" a="1"/>
  <c r="W996" i="12" a="1"/>
  <c r="W1118" i="12" a="1"/>
  <c r="W1214" i="12" a="1"/>
  <c r="X1232" i="12" a="1"/>
  <c r="X707" i="12" a="1"/>
  <c r="X1102" i="12" a="1"/>
  <c r="X2426" i="12" a="1"/>
  <c r="X2498" i="12" a="1"/>
  <c r="X1307" i="12" a="1"/>
  <c r="W1041" i="12" a="1"/>
  <c r="W602" i="12" a="1"/>
  <c r="X1198" i="12" a="1"/>
  <c r="X1388" i="12" a="1"/>
  <c r="X1874" i="12" a="1"/>
  <c r="X2232" i="12" a="1"/>
  <c r="X554" i="12" a="1"/>
  <c r="X2544" i="12" a="1"/>
  <c r="X144" i="12" a="1"/>
  <c r="X2442" i="12" a="1"/>
  <c r="X1690" i="12" a="1"/>
  <c r="W885" i="12" a="1"/>
  <c r="W667" i="12" a="1"/>
  <c r="X2278" i="12" a="1"/>
  <c r="W178" i="12" a="1"/>
  <c r="B68" i="3" a="1"/>
  <c r="B93" i="3" a="1"/>
  <c r="X345" i="12" a="1"/>
  <c r="X442" i="12" a="1"/>
  <c r="X141" i="12" a="1"/>
  <c r="X246" i="12" a="1"/>
  <c r="X318" i="12" a="1"/>
  <c r="X909" i="12" a="1"/>
  <c r="X1571" i="12" a="1"/>
  <c r="X1014" i="12" a="1"/>
  <c r="X178" i="12" a="1"/>
  <c r="X606" i="12" a="1"/>
  <c r="X2326" i="12" a="1"/>
  <c r="X1407" i="12" a="1"/>
  <c r="X1702" i="12" a="1"/>
  <c r="X788" i="12" a="1"/>
  <c r="X1124" i="12" a="1"/>
  <c r="X751" i="12" a="1"/>
  <c r="X72" i="12" a="1"/>
  <c r="X489" i="12" a="1"/>
  <c r="X972" i="12" a="1"/>
  <c r="X23" i="12" a="1"/>
  <c r="X695" i="12" a="1"/>
  <c r="X549" i="12" a="1"/>
  <c r="X2174" i="12" a="1"/>
  <c r="X1396" i="12" a="1"/>
  <c r="X35" i="12" a="1"/>
  <c r="X1339" i="12" a="1"/>
  <c r="X145" i="12" a="1"/>
  <c r="X1123" i="12" a="1"/>
  <c r="X1822" i="12" a="1"/>
  <c r="X1353" i="12" a="1"/>
  <c r="X453" i="12" a="1"/>
  <c r="X1089" i="12" a="1"/>
  <c r="X1289" i="12" a="1"/>
  <c r="X2526" i="12" a="1"/>
  <c r="X2638" i="12" a="1"/>
  <c r="X968" i="12" a="1"/>
  <c r="X1795" i="12" a="1"/>
  <c r="X222" i="12" a="1"/>
  <c r="X1597" i="12" a="1"/>
  <c r="X2070" i="12" a="1"/>
  <c r="X685" i="12" a="1"/>
  <c r="X419" i="12" a="1"/>
  <c r="X280" i="12" a="1"/>
  <c r="X83" i="12" a="1"/>
  <c r="X347" i="12" a="1"/>
  <c r="X576" i="12" a="1"/>
  <c r="X1663" i="12" a="1"/>
  <c r="W788" i="12" a="1"/>
  <c r="X761" i="12" a="1"/>
  <c r="X803" i="12" a="1"/>
  <c r="X1110" i="12" a="1"/>
  <c r="X2142" i="12" a="1"/>
  <c r="X1593" i="12" a="1"/>
  <c r="X2302" i="12" a="1"/>
  <c r="X2044" i="12" a="1"/>
  <c r="X1147" i="12" a="1"/>
  <c r="X1355" i="12" a="1"/>
  <c r="X1199" i="12" a="1"/>
  <c r="X2472" i="12" a="1"/>
  <c r="W498" i="12" a="1"/>
  <c r="X251" i="12" a="1"/>
  <c r="X1385" i="12" a="1"/>
  <c r="X1380" i="12" a="1"/>
  <c r="X946" i="12" a="1"/>
  <c r="X1085" i="12" a="1"/>
  <c r="X2418" i="12" a="1"/>
  <c r="X1419" i="12" a="1"/>
  <c r="W607" i="12" a="1"/>
  <c r="X589" i="12" a="1"/>
  <c r="X583" i="12" a="1"/>
  <c r="X627" i="12" a="1"/>
  <c r="X133" i="12" a="1"/>
  <c r="X560" i="12" a="1"/>
  <c r="X431" i="12" a="1"/>
  <c r="X1052" i="12" a="1"/>
  <c r="X923" i="12" a="1"/>
  <c r="X1158" i="12" a="1"/>
  <c r="X229" i="12" a="1"/>
  <c r="X1290" i="12" a="1"/>
  <c r="X684" i="12" a="1"/>
  <c r="X683" i="12" a="1"/>
  <c r="X610" i="12" a="1"/>
  <c r="X1523" i="12" a="1"/>
  <c r="X1275" i="12" a="1"/>
  <c r="X2447" i="12" a="1"/>
  <c r="X506" i="12" a="1"/>
  <c r="W41" i="12" a="1"/>
  <c r="X1958" i="12" a="1"/>
  <c r="X1069" i="12" a="1"/>
  <c r="X1496" i="12" a="1"/>
  <c r="X1514" i="12" a="1"/>
  <c r="X1628" i="12" a="1"/>
  <c r="X1611" i="12" a="1"/>
  <c r="X1114" i="12" a="1"/>
  <c r="X1768" i="12" a="1"/>
  <c r="X1128" i="12" a="1"/>
  <c r="X1390" i="12" a="1"/>
  <c r="X1831" i="12" a="1"/>
  <c r="X1529" i="12" a="1"/>
  <c r="X176" i="12" a="1"/>
  <c r="X1746" i="12" a="1"/>
  <c r="X1473" i="12" a="1"/>
  <c r="W190" i="12" a="1"/>
  <c r="W327" i="12" a="1"/>
  <c r="X1806" i="12" a="1"/>
  <c r="X692" i="12" a="1"/>
  <c r="X752" i="12" a="1"/>
  <c r="X330" i="12" a="1"/>
  <c r="X918" i="12" a="1"/>
  <c r="W184" i="12" a="1"/>
  <c r="W443" i="12" a="1"/>
  <c r="X1838" i="12" a="1"/>
  <c r="X1856" i="12" a="1"/>
  <c r="W565" i="12" a="1"/>
  <c r="X1026" i="12" a="1"/>
  <c r="X1558" i="12" a="1"/>
  <c r="X1260" i="12" a="1"/>
  <c r="X1888" i="12" a="1"/>
  <c r="X466" i="12" a="1"/>
  <c r="W1028" i="12" a="1"/>
  <c r="W1124" i="12" a="1"/>
  <c r="X1125" i="12" a="1"/>
  <c r="X2385" i="12" a="1"/>
  <c r="X2201" i="12" a="1"/>
  <c r="X2241" i="12" a="1"/>
  <c r="X597" i="12" a="1"/>
  <c r="X1999" i="12" a="1"/>
  <c r="X1418" i="12" a="1"/>
  <c r="X278" i="12" a="1"/>
  <c r="X897" i="12" a="1"/>
  <c r="X1499" i="12" a="1"/>
  <c r="X234" i="12" a="1"/>
  <c r="X1625" i="12" a="1"/>
  <c r="X1284" i="12" a="1"/>
  <c r="X291" i="12" a="1"/>
  <c r="X2034" i="12" a="1"/>
  <c r="X1119" i="12" a="1"/>
  <c r="W318" i="12" a="1"/>
  <c r="X578" i="12" a="1"/>
  <c r="X1666" i="12" a="1"/>
  <c r="X1660" i="12" a="1"/>
  <c r="X1193" i="12" a="1"/>
  <c r="W503" i="12" a="1"/>
  <c r="X1043" i="12" a="1"/>
  <c r="X1588" i="12" a="1"/>
  <c r="X1150" i="12" a="1"/>
  <c r="X2009" i="12" a="1"/>
  <c r="X2049" i="12" a="1"/>
  <c r="W593" i="12" a="1"/>
  <c r="W541" i="12" a="1"/>
  <c r="W294" i="12" a="1"/>
  <c r="X2002" i="12" a="1"/>
  <c r="X1735" i="12" a="1"/>
  <c r="X2584" i="12" a="1"/>
  <c r="X2624" i="12" a="1"/>
  <c r="X1303" i="12" a="1"/>
  <c r="X717" i="12" a="1"/>
  <c r="X1133" i="12" a="1"/>
  <c r="X1993" i="12" a="1"/>
  <c r="X1412" i="12" a="1"/>
  <c r="W390" i="12" a="1"/>
  <c r="X2065" i="12" a="1"/>
  <c r="X2649" i="12" a="1"/>
  <c r="X1781" i="12" a="1"/>
  <c r="W1172" i="12" a="1"/>
  <c r="W643" i="12" a="1"/>
  <c r="W789" i="12" a="1"/>
  <c r="X387" i="12" a="1"/>
  <c r="X2257" i="12" a="1"/>
  <c r="X2073" i="12" a="1"/>
  <c r="X2113" i="12" a="1"/>
  <c r="X1926" i="12" a="1"/>
  <c r="X1579" i="12" a="1"/>
  <c r="X2200" i="12" a="1"/>
  <c r="X2054" i="12" a="1"/>
  <c r="W34" i="12" a="1"/>
  <c r="X1956" i="12" a="1"/>
  <c r="X2116" i="12" a="1"/>
  <c r="W9" i="12" a="1"/>
  <c r="X2647" i="12" a="1"/>
  <c r="X1829" i="12" a="1"/>
  <c r="X2115" i="12" a="1"/>
  <c r="W433" i="12" a="1"/>
  <c r="W773" i="12" a="1"/>
  <c r="W1012" i="12" a="1"/>
  <c r="X1992" i="12" a="1"/>
  <c r="X877" i="12" a="1"/>
  <c r="X1667" i="12" a="1"/>
  <c r="X1244" i="12" a="1"/>
  <c r="X1408" i="12" a="1"/>
  <c r="X756" i="12" a="1"/>
  <c r="W290" i="12" a="1"/>
  <c r="X2319" i="12" a="1"/>
  <c r="X1302" i="12" a="1"/>
  <c r="X1391" i="12" a="1"/>
  <c r="W221" i="12" a="1"/>
  <c r="W400" i="12" a="1"/>
  <c r="X1573" i="12" a="1"/>
  <c r="W255" i="12" a="1"/>
  <c r="X541" i="12" a="1"/>
  <c r="W386" i="12" a="1"/>
  <c r="X2401" i="12" a="1"/>
  <c r="X2396" i="12" a="1"/>
  <c r="X2583" i="12" a="1"/>
  <c r="X592" i="12" a="1"/>
  <c r="X1351" i="12" a="1"/>
  <c r="X958" i="12" a="1"/>
  <c r="X1270" i="12" a="1"/>
  <c r="X1920" i="12" a="1"/>
  <c r="X1151" i="12" a="1"/>
  <c r="X2575" i="12" a="1"/>
  <c r="X226" i="12" a="1"/>
  <c r="X1080" i="12" a="1"/>
  <c r="X2432" i="12" a="1"/>
  <c r="X1439" i="12" a="1"/>
  <c r="X1350" i="12" a="1"/>
  <c r="X2582" i="12" a="1"/>
  <c r="X2440" i="12" a="1"/>
  <c r="X405" i="12" a="1"/>
  <c r="X931" i="12" a="1"/>
  <c r="X540" i="12" a="1"/>
  <c r="X458" i="12" a="1"/>
  <c r="X1546" i="12" a="1"/>
  <c r="X1115" i="12" a="1"/>
  <c r="X517" i="12" a="1"/>
  <c r="X2551" i="12" a="1"/>
  <c r="W1182" i="12" a="1"/>
  <c r="W913" i="12" a="1"/>
  <c r="X1371" i="12" a="1"/>
  <c r="W354" i="12" a="1"/>
  <c r="X1898" i="12" a="1"/>
  <c r="X708" i="12" a="1"/>
  <c r="W705" i="12" a="1"/>
  <c r="X1394" i="12" a="1"/>
  <c r="W72" i="12" a="1"/>
  <c r="W454" i="12" a="1"/>
  <c r="X2410" i="12" a="1"/>
  <c r="X1239" i="12" a="1"/>
  <c r="X2206" i="12" a="1"/>
  <c r="W948" i="12" a="1"/>
  <c r="X705" i="12" a="1"/>
  <c r="X1451" i="12" a="1"/>
  <c r="X2423" i="12" a="1"/>
  <c r="X1773" i="12" a="1"/>
  <c r="X929" i="12" a="1"/>
  <c r="X1333" i="12" a="1"/>
  <c r="W166" i="12" a="1"/>
  <c r="W439" i="12" a="1"/>
  <c r="X153" i="12" a="1"/>
  <c r="W932" i="12" a="1"/>
  <c r="X2207" i="12" a="1"/>
  <c r="X1837" i="12" a="1"/>
  <c r="X1634" i="12" a="1"/>
  <c r="X1435" i="12" a="1"/>
  <c r="W1105" i="12" a="1"/>
  <c r="W497" i="12" a="1"/>
  <c r="X1980" i="12" a="1"/>
  <c r="X2336" i="12" a="1"/>
  <c r="X1420" i="12" a="1"/>
  <c r="X2639" i="12" a="1"/>
  <c r="X1498" i="12" a="1"/>
  <c r="X1476" i="12" a="1"/>
  <c r="X2026" i="12" a="1"/>
  <c r="X1982" i="12" a="1"/>
  <c r="X1423" i="12" a="1"/>
  <c r="X1686" i="12" a="1"/>
  <c r="X2154" i="12" a="1"/>
  <c r="X623" i="12" a="1"/>
  <c r="X1203" i="12" a="1"/>
  <c r="X492" i="12" a="1"/>
  <c r="X2110" i="12" a="1"/>
  <c r="X1345" i="12" a="1"/>
  <c r="X1375" i="12" a="1"/>
  <c r="X1070" i="12" a="1"/>
  <c r="X2230" i="12" a="1"/>
  <c r="X1236" i="12" a="1"/>
  <c r="X1387" i="12" a="1"/>
  <c r="W575" i="12" a="1"/>
  <c r="W185" i="12" a="1"/>
  <c r="X750" i="12" a="1"/>
  <c r="X2225" i="12" a="1"/>
  <c r="X2041" i="12" a="1"/>
  <c r="X2081" i="12" a="1"/>
  <c r="X1306" i="12" a="1"/>
  <c r="W528" i="12" a="1"/>
  <c r="W519" i="12" a="1"/>
  <c r="W96" i="12" a="1"/>
  <c r="X2631" i="12" a="1"/>
  <c r="X2391" i="12" a="1"/>
  <c r="X2439" i="12" a="1"/>
  <c r="X922" i="12" a="1"/>
  <c r="X1862" i="12" a="1"/>
  <c r="X2482" i="12" a="1"/>
  <c r="W1143" i="12" a="1"/>
  <c r="W1031" i="12" a="1"/>
  <c r="X2022" i="12" a="1"/>
  <c r="X1352" i="12" a="1"/>
  <c r="X1717" i="12" a="1"/>
  <c r="X1416" i="12" a="1"/>
  <c r="X1064" i="12" a="1"/>
  <c r="W849" i="12" a="1"/>
  <c r="W628" i="12" a="1"/>
  <c r="X1734" i="12" a="1"/>
  <c r="W530" i="12" a="1"/>
  <c r="W284" i="12" a="1"/>
  <c r="X1714" i="12" a="1"/>
  <c r="X581" i="12" a="1"/>
  <c r="X1761" i="12" a="1"/>
  <c r="W227" i="12" a="1"/>
  <c r="X1515" i="12" a="1"/>
  <c r="X2608" i="12" a="1"/>
  <c r="X2084" i="12" a="1"/>
  <c r="X2244" i="12" a="1"/>
  <c r="X2086" i="12" a="1"/>
  <c r="W10" i="12" a="1"/>
  <c r="X1160" i="12" a="1"/>
  <c r="W114" i="12" a="1"/>
  <c r="X1701" i="12" a="1"/>
  <c r="X1990" i="12" a="1"/>
  <c r="X2226" i="12" a="1"/>
  <c r="X2354" i="12" a="1"/>
  <c r="X1705" i="12" a="1"/>
  <c r="W345" i="12" a="1"/>
  <c r="W146" i="12" a="1"/>
  <c r="X293" i="12" a="1"/>
  <c r="W302" i="12" a="1"/>
  <c r="W624" i="12" a="1"/>
  <c r="W625" i="12" a="1"/>
  <c r="W475" i="12" a="1"/>
  <c r="X1700" i="12" a="1"/>
  <c r="X2567" i="12" a="1"/>
  <c r="X58" i="12" a="1"/>
  <c r="X1065" i="12" a="1"/>
  <c r="X1096" i="12" a="1"/>
  <c r="X2046" i="12" a="1"/>
  <c r="X1063" i="12" a="1"/>
  <c r="X1605" i="12" a="1"/>
  <c r="X1560" i="12" a="1"/>
  <c r="X867" i="12" a="1"/>
  <c r="X555" i="12" a="1"/>
  <c r="X95" i="12" a="1"/>
  <c r="X1348" i="12" a="1"/>
  <c r="X971" i="12" a="1"/>
  <c r="X1364" i="12" a="1"/>
  <c r="X1055" i="12" a="1"/>
  <c r="X567" i="12" a="1"/>
  <c r="X854" i="12" a="1"/>
  <c r="X872" i="12" a="1"/>
  <c r="X2016" i="12" a="1"/>
  <c r="X1893" i="12" a="1"/>
  <c r="X674" i="12" a="1"/>
  <c r="X2335" i="12" a="1"/>
  <c r="X2303" i="12" a="1"/>
  <c r="W613" i="12" a="1"/>
  <c r="W692" i="12" a="1"/>
  <c r="W280" i="12" a="1"/>
  <c r="W54" i="12" a="1"/>
  <c r="X1278" i="12" a="1"/>
  <c r="W52" i="12" a="1"/>
  <c r="W764" i="12" a="1"/>
  <c r="X1505" i="12" a="1"/>
  <c r="X1577" i="12" a="1"/>
  <c r="X225" i="12" a="1"/>
  <c r="X1960" i="12" a="1"/>
  <c r="X720" i="12" a="1"/>
  <c r="X1458" i="12" a="1"/>
  <c r="X1044" i="12" a="1"/>
  <c r="X2480" i="12" a="1"/>
  <c r="X1450" i="12" a="1"/>
  <c r="X2175" i="12" a="1"/>
  <c r="X2617" i="12" a="1"/>
  <c r="X994" i="12" a="1"/>
  <c r="X2490" i="12" a="1"/>
  <c r="W66" i="12" a="1"/>
  <c r="X640" i="12" a="1"/>
  <c r="X1172" i="12" a="1"/>
  <c r="X1975" i="12" a="1"/>
  <c r="X1058" i="12" a="1"/>
  <c r="W837" i="12" a="1"/>
  <c r="W900" i="12" a="1"/>
  <c r="X2012" i="12" a="1"/>
  <c r="X658" i="12" a="1"/>
  <c r="X1106" i="12" a="1"/>
  <c r="X279" i="12" a="1"/>
  <c r="X667" i="12" a="1"/>
  <c r="X216" i="12" a="1"/>
  <c r="X1636" i="12" a="1"/>
  <c r="X1811" i="12" a="1"/>
  <c r="X1942" i="12" a="1"/>
  <c r="X1033" i="12" a="1"/>
  <c r="X1010" i="12" a="1"/>
  <c r="X1575" i="12" a="1"/>
  <c r="W1102" i="12" a="1"/>
  <c r="W428" i="12" a="1"/>
  <c r="X724" i="12" a="1"/>
  <c r="X1243" i="12" a="1"/>
  <c r="X1254" i="12" a="1"/>
  <c r="X2120" i="12" a="1"/>
  <c r="W169" i="12" a="1"/>
  <c r="X642" i="12" a="1"/>
  <c r="X1480" i="12" a="1"/>
  <c r="X2378" i="12" a="1"/>
  <c r="X956" i="12" a="1"/>
  <c r="X1790" i="12" a="1"/>
  <c r="X2170" i="12" a="1"/>
  <c r="X2242" i="12" a="1"/>
  <c r="X1000" i="12" a="1"/>
  <c r="W691" i="12" a="1"/>
  <c r="W513" i="12" a="1"/>
  <c r="X1308" i="12" a="1"/>
  <c r="X2360" i="12" a="1"/>
  <c r="X1134" i="12" a="1"/>
  <c r="X1209" i="12" a="1"/>
  <c r="X1386" i="12" a="1"/>
  <c r="X2052" i="12" a="1"/>
  <c r="X802" i="12" a="1"/>
  <c r="X1553" i="12" a="1"/>
  <c r="X741" i="12" a="1"/>
  <c r="X2264" i="12" a="1"/>
  <c r="X832" i="12" a="1"/>
  <c r="X1296" i="12" a="1"/>
  <c r="X1632" i="12" a="1"/>
  <c r="X410" i="12" a="1"/>
  <c r="W949" i="12" a="1"/>
  <c r="W1095" i="12" a="1"/>
  <c r="W657" i="12" a="1"/>
  <c r="X1262" i="12" a="1"/>
  <c r="X2298" i="12" a="1"/>
  <c r="X2370" i="12" a="1"/>
  <c r="X2646" i="12" a="1"/>
  <c r="X1860" i="12" a="1"/>
  <c r="X158" i="12" a="1"/>
  <c r="X1697" i="12" a="1"/>
  <c r="X817" i="12" a="1"/>
  <c r="X1572" i="12" a="1"/>
  <c r="X1559" i="12" a="1"/>
  <c r="X1321" i="12" a="1"/>
  <c r="W564" i="12" a="1"/>
  <c r="W293" i="12" a="1"/>
  <c r="W243" i="12" a="1"/>
  <c r="X287" i="12" a="1"/>
  <c r="X2398" i="12" a="1"/>
  <c r="X1343" i="12" a="1"/>
  <c r="X1135" i="12" a="1"/>
  <c r="X1495" i="12" a="1"/>
  <c r="X820" i="12" a="1"/>
  <c r="X1621" i="12" a="1"/>
  <c r="X1223" i="12" a="1"/>
  <c r="X645" i="12" a="1"/>
  <c r="X20" i="12" a="1"/>
  <c r="X1524" i="12" a="1"/>
  <c r="X1782" i="12" a="1"/>
  <c r="X1637" i="12" a="1"/>
  <c r="X1105" i="12" a="1"/>
  <c r="X2088" i="12" a="1"/>
  <c r="X973" i="12" a="1"/>
  <c r="X1365" i="12" a="1"/>
  <c r="X911" i="12" a="1"/>
  <c r="X1226" i="12" a="1"/>
  <c r="X378" i="12" a="1"/>
  <c r="X2449" i="12" a="1"/>
  <c r="X936" i="12" a="1"/>
  <c r="X2359" i="12" a="1"/>
  <c r="W798" i="12" a="1"/>
  <c r="X2138" i="12" a="1"/>
  <c r="X1751" i="12" a="1"/>
  <c r="W208" i="12" a="1"/>
  <c r="X1169" i="12" a="1"/>
  <c r="X1241" i="12" a="1"/>
  <c r="X2598" i="12" a="1"/>
  <c r="W450" i="12" a="1"/>
  <c r="W336" i="12" a="1"/>
  <c r="X1286" i="12" a="1"/>
  <c r="X852" i="12" a="1"/>
  <c r="X941" i="12" a="1"/>
  <c r="X1248" i="12" a="1"/>
  <c r="W914" i="12" a="1"/>
  <c r="W84" i="12" a="1"/>
  <c r="X1976" i="12" a="1"/>
  <c r="X2231" i="12" a="1"/>
  <c r="X1192" i="12" a="1"/>
  <c r="W470" i="12" a="1"/>
  <c r="X618" i="12" a="1"/>
  <c r="W162" i="12" a="1"/>
  <c r="X307" i="12" a="1"/>
  <c r="X1779" i="12" a="1"/>
  <c r="W1044" i="12" a="1"/>
  <c r="X1959" i="12" a="1"/>
  <c r="X2015" i="12" a="1"/>
  <c r="X1707" i="12" a="1"/>
  <c r="W639" i="12" a="1"/>
  <c r="W372" i="12" a="1"/>
  <c r="W641" i="12" a="1"/>
  <c r="X107" i="12" a="1"/>
  <c r="X1661" i="12" a="1"/>
  <c r="X2400" i="12" a="1"/>
  <c r="X1757" i="12" a="1"/>
  <c r="X495" i="12" a="1"/>
  <c r="X1204" i="12" a="1"/>
  <c r="X728" i="12" a="1"/>
  <c r="X1639" i="12" a="1"/>
  <c r="X580" i="12" a="1"/>
  <c r="X1207" i="12" a="1"/>
  <c r="X891" i="12" a="1"/>
  <c r="X1111" i="12" a="1"/>
  <c r="X1859" i="12" a="1"/>
  <c r="X2322" i="12" a="1"/>
  <c r="X1107" i="12" a="1"/>
  <c r="X1489" i="12" a="1"/>
  <c r="X1104" i="12" a="1"/>
  <c r="X2576" i="12" a="1"/>
  <c r="X407" i="12" a="1"/>
  <c r="X2238" i="12" a="1"/>
  <c r="X798" i="12" a="1"/>
  <c r="W445" i="12" a="1"/>
  <c r="W557" i="12" a="1"/>
  <c r="X850" i="12" a="1"/>
  <c r="X2234" i="12" a="1"/>
  <c r="X2306" i="12" a="1"/>
  <c r="W853" i="12" a="1"/>
  <c r="W105" i="12" a="1"/>
  <c r="X1841" i="12" a="1"/>
  <c r="W20" i="12" a="1"/>
  <c r="X1126" i="12" a="1"/>
  <c r="W277" i="12" a="1"/>
  <c r="W204" i="12" a="1"/>
  <c r="W97" i="12" a="1"/>
  <c r="X722" i="12" a="1"/>
  <c r="X945" i="12" a="1"/>
  <c r="X2530" i="12" a="1"/>
  <c r="W1198" i="12" a="1"/>
  <c r="W709" i="12" a="1"/>
  <c r="X2039" i="12" a="1"/>
  <c r="X1600" i="12" a="1"/>
  <c r="X1744" i="12" a="1"/>
  <c r="X2626" i="12" a="1"/>
  <c r="W689" i="12" a="1"/>
  <c r="W262" i="12" a="1"/>
  <c r="W406" i="12" a="1"/>
  <c r="X2160" i="12" a="1"/>
  <c r="W678" i="12" a="1"/>
  <c r="X1906" i="12" a="1"/>
  <c r="X255" i="12" a="1"/>
  <c r="X1645" i="12" a="1"/>
  <c r="X2599" i="12" a="1"/>
  <c r="X745" i="12" a="1"/>
  <c r="X1446" i="12" a="1"/>
  <c r="X1431" i="12" a="1"/>
  <c r="X1966" i="12" a="1"/>
  <c r="X1897" i="12" a="1"/>
  <c r="X2079" i="12" a="1"/>
  <c r="X1712" i="12" a="1"/>
  <c r="X682" i="12" a="1"/>
  <c r="W673" i="12" a="1"/>
  <c r="X1240" i="12" a="1"/>
  <c r="X754" i="12" a="1"/>
  <c r="X497" i="12" a="1"/>
  <c r="W777" i="12" a="1"/>
  <c r="X2593" i="12" a="1"/>
  <c r="X2286" i="12" a="1"/>
  <c r="X2528" i="12" a="1"/>
  <c r="X738" i="12" a="1"/>
  <c r="W271" i="12" a="1"/>
  <c r="W418" i="12" a="1"/>
  <c r="X2072" i="12" a="1"/>
  <c r="X1969" i="12" a="1"/>
  <c r="W375" i="12" a="1"/>
  <c r="X1411" i="12" a="1"/>
  <c r="W1013" i="12" a="1"/>
  <c r="X532" i="12" a="1"/>
  <c r="W734" i="12" a="1"/>
  <c r="W903" i="12" a="1"/>
  <c r="W145" i="12" a="1"/>
  <c r="X2361" i="12" a="1"/>
  <c r="X2258" i="12" a="1"/>
  <c r="W1185" i="12" a="1"/>
  <c r="X2130" i="12" a="1"/>
  <c r="X1095" i="12" a="1"/>
  <c r="X2595" i="12" a="1"/>
  <c r="X1533" i="12" a="1"/>
  <c r="W60" i="12" a="1"/>
  <c r="W1020" i="12" a="1"/>
  <c r="W2254" i="12" a="1"/>
  <c r="X1051" i="12" a="1"/>
  <c r="X2074" i="12" a="1"/>
  <c r="W588" i="12" a="1"/>
  <c r="W2414" i="12" a="1"/>
  <c r="X1008" i="12" a="1"/>
  <c r="X325" i="12" a="1"/>
  <c r="W71" i="12" a="1"/>
  <c r="W993" i="12" a="1"/>
  <c r="W801" i="12" a="1"/>
  <c r="W201" i="12" a="1"/>
  <c r="W423" i="12" a="1"/>
  <c r="W473" i="12" a="1"/>
  <c r="W1958" i="12" a="1"/>
  <c r="X2349" i="12" a="1"/>
  <c r="X1221" i="12" a="1"/>
  <c r="X1741" i="12" a="1"/>
  <c r="W2048" i="12" a="1"/>
  <c r="W174" i="12" a="1"/>
  <c r="X2381" i="12" a="1"/>
  <c r="W431" i="12" a="1"/>
  <c r="X1341" i="12" a="1"/>
  <c r="X1190" i="12" a="1"/>
  <c r="X2055" i="12" a="1"/>
  <c r="X1653" i="12" a="1"/>
  <c r="W555" i="12" a="1"/>
  <c r="W965" i="12" a="1"/>
  <c r="X1234" i="12" a="1"/>
  <c r="W1397" i="12" a="1"/>
  <c r="W1033" i="12" a="1"/>
  <c r="W545" i="12" a="1"/>
  <c r="W879" i="12" a="1"/>
  <c r="W2107" i="12" a="1"/>
  <c r="W1071" i="12" a="1"/>
  <c r="W1065" i="12" a="1"/>
  <c r="W1005" i="12" a="1"/>
  <c r="W1433" i="12" a="1"/>
  <c r="W852" i="12" a="1"/>
  <c r="X1809" i="12" a="1"/>
  <c r="W728" i="12" a="1"/>
  <c r="W1851" i="12" a="1"/>
  <c r="W1843" i="12" a="1"/>
  <c r="W961" i="12" a="1"/>
  <c r="W901" i="12" a="1"/>
  <c r="X715" i="12" a="1"/>
  <c r="W176" i="12" a="1"/>
  <c r="X1156" i="12" a="1"/>
  <c r="W461" i="12" a="1"/>
  <c r="X1273" i="12" a="1"/>
  <c r="X1311" i="12" a="1"/>
  <c r="X2402" i="12" a="1"/>
  <c r="X1509" i="12" a="1"/>
  <c r="X2204" i="12" a="1"/>
  <c r="X2094" i="12" a="1"/>
  <c r="X1872" i="12" a="1"/>
  <c r="X2417" i="12" a="1"/>
  <c r="X1468" i="12" a="1"/>
  <c r="W539" i="12" a="1"/>
  <c r="W1159" i="12" a="1"/>
  <c r="X2210" i="12" a="1"/>
  <c r="W556" i="12" a="1"/>
  <c r="X755" i="12" a="1"/>
  <c r="W452" i="12" a="1"/>
  <c r="X1786" i="12" a="1"/>
  <c r="X1434" i="12" a="1"/>
  <c r="X2017" i="12" a="1"/>
  <c r="W152" i="12" a="1"/>
  <c r="W91" i="12" a="1"/>
  <c r="W442" i="12" a="1"/>
  <c r="W1343" i="12" a="1"/>
  <c r="X2202" i="12" a="1"/>
  <c r="X2327" i="12" a="1"/>
  <c r="W997" i="12" a="1"/>
  <c r="W1210" i="12" a="1"/>
  <c r="X1424" i="12" a="1"/>
  <c r="W59" i="12" a="1"/>
  <c r="X2087" i="12" a="1"/>
  <c r="X331" i="12" a="1"/>
  <c r="X1818" i="12" a="1"/>
  <c r="X1643" i="12" a="1"/>
  <c r="W309" i="12" a="1"/>
  <c r="W999" i="12" a="1"/>
  <c r="X1358" i="12" a="1"/>
  <c r="W2133" i="12" a="1"/>
  <c r="W668" i="12" a="1"/>
  <c r="W451" i="12" a="1"/>
  <c r="W969" i="12" a="1"/>
  <c r="W2562" i="12" a="1"/>
  <c r="W1161" i="12" a="1"/>
  <c r="W700" i="12" a="1"/>
  <c r="W1007" i="12" a="1"/>
  <c r="X2468" i="12" a="1"/>
  <c r="X1793" i="12" a="1"/>
  <c r="W1220" i="12" a="1"/>
  <c r="X1432" i="12" a="1"/>
  <c r="W359" i="12" a="1"/>
  <c r="X2538" i="12" a="1"/>
  <c r="X1803" i="12" a="1"/>
  <c r="W1762" i="12" a="1"/>
  <c r="W775" i="12" a="1"/>
  <c r="W1202" i="12" a="1"/>
  <c r="W1274" i="12" a="1"/>
  <c r="W1470" i="12" a="1"/>
  <c r="W1371" i="12" a="1"/>
  <c r="W835" i="12" a="1"/>
  <c r="W1595" i="12" a="1"/>
  <c r="W1798" i="12" a="1"/>
  <c r="W1223" i="12" a="1"/>
  <c r="X265" i="12" a="1"/>
  <c r="X464" i="12" a="1"/>
  <c r="X503" i="12" a="1"/>
  <c r="X1522" i="12" a="1"/>
  <c r="X1924" i="12" a="1"/>
  <c r="W862" i="12" a="1"/>
  <c r="X1843" i="12" a="1"/>
  <c r="W381" i="12" a="1"/>
  <c r="W560" i="12" a="1"/>
  <c r="X1425" i="12" a="1"/>
  <c r="X2527" i="12" a="1"/>
  <c r="W1134" i="12" a="1"/>
  <c r="X1220" i="12" a="1"/>
  <c r="X2082" i="12" a="1"/>
  <c r="X1881" i="12" a="1"/>
  <c r="X1367" i="12" a="1"/>
  <c r="W449" i="12" a="1"/>
  <c r="X2140" i="12" a="1"/>
  <c r="X1863" i="12" a="1"/>
  <c r="W388" i="12" a="1"/>
  <c r="X1684" i="12" a="1"/>
  <c r="W4" i="12" a="1"/>
  <c r="X2563" i="12" a="1"/>
  <c r="W802" i="12" a="1"/>
  <c r="X1908" i="12" a="1"/>
  <c r="W542" i="12" a="1"/>
  <c r="W437" i="12" a="1"/>
  <c r="W490" i="12" a="1"/>
  <c r="W334" i="12" a="1"/>
  <c r="W1879" i="12" a="1"/>
  <c r="W430" i="12" a="1"/>
  <c r="W453" i="12" a="1"/>
  <c r="X613" i="12" a="1"/>
  <c r="X2375" i="12" a="1"/>
  <c r="W830" i="12" a="1"/>
  <c r="W586" i="12" a="1"/>
  <c r="X2632" i="12" a="1"/>
  <c r="W1083" i="12" a="1"/>
  <c r="W1032" i="12" a="1"/>
  <c r="W1467" i="12" a="1"/>
  <c r="X2407" i="12" a="1"/>
  <c r="X1550" i="12" a="1"/>
  <c r="X2188" i="12" a="1"/>
  <c r="W1717" i="12" a="1"/>
  <c r="X1719" i="12" a="1"/>
  <c r="X1461" i="12" a="1"/>
  <c r="X2610" i="12" a="1"/>
  <c r="X1363" i="12" a="1"/>
  <c r="X1671" i="12" a="1"/>
  <c r="W53" i="12" a="1"/>
  <c r="X2622" i="12" a="1"/>
  <c r="W1201" i="12" a="1"/>
  <c r="W1564" i="12" a="1"/>
  <c r="W1195" i="12" a="1"/>
  <c r="W1788" i="12" a="1"/>
  <c r="W1239" i="12" a="1"/>
  <c r="X1851" i="12" a="1"/>
  <c r="X1928" i="12" a="1"/>
  <c r="X1293" i="12" a="1"/>
  <c r="X831" i="12" a="1"/>
  <c r="X1720" i="12" a="1"/>
  <c r="X2099" i="12" a="1"/>
  <c r="X1174" i="12" a="1"/>
  <c r="W836" i="12" a="1"/>
  <c r="X2308" i="12" a="1"/>
  <c r="W320" i="12" a="1"/>
  <c r="X687" i="12" a="1"/>
  <c r="W299" i="12" a="1"/>
  <c r="W2144" i="12" a="1"/>
  <c r="W1844" i="12" a="1"/>
  <c r="W962" i="12" a="1"/>
  <c r="X1456" i="12" a="1"/>
  <c r="W1515" i="12" a="1"/>
  <c r="W1835" i="12" a="1"/>
  <c r="W1236" i="12" a="1"/>
  <c r="X1669" i="12" a="1"/>
  <c r="W2110" i="12" a="1"/>
  <c r="W2270" i="12" a="1"/>
  <c r="X1337" i="12" a="1"/>
  <c r="X1929" i="12" a="1"/>
  <c r="W398" i="12" a="1"/>
  <c r="X1899" i="12" a="1"/>
  <c r="W1074" i="12" a="1"/>
  <c r="W978" i="12" a="1"/>
  <c r="W1209" i="12" a="1"/>
  <c r="W1544" i="12" a="1"/>
  <c r="W2376" i="12" a="1"/>
  <c r="W1761" i="12" a="1"/>
  <c r="W1064" i="12" a="1"/>
  <c r="W2584" i="12" a="1"/>
  <c r="W2598" i="12" a="1"/>
  <c r="W2648" i="12" a="1"/>
  <c r="W129" i="12" a="1"/>
  <c r="W1096" i="12" a="1"/>
  <c r="W763" i="12" a="1"/>
  <c r="W1097" i="12" a="1"/>
  <c r="W867" i="12" a="1"/>
  <c r="W261" i="12" a="1"/>
  <c r="W644" i="12" a="1"/>
  <c r="W1804" i="12" a="1"/>
  <c r="W2170" i="12" a="1"/>
  <c r="W661" i="12" a="1"/>
  <c r="X2557" i="12" a="1"/>
  <c r="W1816" i="12" a="1"/>
  <c r="W1222" i="12" a="1"/>
  <c r="W649" i="12" a="1"/>
  <c r="W2332" i="12" a="1"/>
  <c r="W760" i="12" a="1"/>
  <c r="X1769" i="12" a="1"/>
  <c r="W298" i="12" a="1"/>
  <c r="W1663" i="12" a="1"/>
  <c r="W1404" i="12" a="1"/>
  <c r="W273" i="12" a="1"/>
  <c r="W869" i="12" a="1"/>
  <c r="X1609" i="12" a="1"/>
  <c r="W1333" i="12" a="1"/>
  <c r="W1357" i="12" a="1"/>
  <c r="X843" i="12" a="1"/>
  <c r="X2018" i="12" a="1"/>
  <c r="W199" i="12" a="1"/>
  <c r="X940" i="12" a="1"/>
  <c r="W509" i="12" a="1"/>
  <c r="X510" i="12" a="1"/>
  <c r="X2108" i="12" a="1"/>
  <c r="X2146" i="12" a="1"/>
  <c r="X1799" i="12" a="1"/>
  <c r="X818" i="12" a="1"/>
  <c r="W905" i="12" a="1"/>
  <c r="W770" i="12" a="1"/>
  <c r="W753" i="12" a="1"/>
  <c r="W1963" i="12" a="1"/>
  <c r="W718" i="12" a="1"/>
  <c r="W600" i="12" a="1"/>
  <c r="W2310" i="12" a="1"/>
  <c r="W2362" i="12" a="1"/>
  <c r="W833" i="12" a="1"/>
  <c r="X829" i="12" a="1"/>
  <c r="X392" i="12" a="1"/>
  <c r="W151" i="12" a="1"/>
  <c r="X2071" i="12" a="1"/>
  <c r="W716" i="12" a="1"/>
  <c r="X2019" i="12" a="1"/>
  <c r="X2283" i="12" a="1"/>
  <c r="X2547" i="12" a="1"/>
  <c r="W617" i="12" a="1"/>
  <c r="W1870" i="12" a="1"/>
  <c r="W1580" i="12" a="1"/>
  <c r="W1982" i="12" a="1"/>
  <c r="X1512" i="12" a="1"/>
  <c r="W2030" i="12" a="1"/>
  <c r="W1878" i="12" a="1"/>
  <c r="X713" i="12" a="1"/>
  <c r="X1949" i="12" a="1"/>
  <c r="W173" i="12" a="1"/>
  <c r="X1287" i="12" a="1"/>
  <c r="X883" i="12" a="1"/>
  <c r="W28" i="12" a="1"/>
  <c r="W44" i="12" a="1"/>
  <c r="W136" i="12" a="1"/>
  <c r="W1273" i="12" a="1"/>
  <c r="X631" i="12" a="1"/>
  <c r="X2266" i="12" a="1"/>
  <c r="X1961" i="12" a="1"/>
  <c r="W863" i="12" a="1"/>
  <c r="X391" i="12" a="1"/>
  <c r="X1680" i="12" a="1"/>
  <c r="W537" i="12" a="1"/>
  <c r="X1556" i="12" a="1"/>
  <c r="X2562" i="12" a="1"/>
  <c r="X2083" i="12" a="1"/>
  <c r="X2339" i="12" a="1"/>
  <c r="W1483" i="12" a="1"/>
  <c r="X2531" i="12" a="1"/>
  <c r="X2635" i="12" a="1"/>
  <c r="W14" i="12" a="1"/>
  <c r="X116" i="12" a="1"/>
  <c r="X1019" i="12" a="1"/>
  <c r="X1184" i="12" a="1"/>
  <c r="X800" i="12" a="1"/>
  <c r="X274" i="12" a="1"/>
  <c r="W1207" i="12" a="1"/>
  <c r="X2042" i="12" a="1"/>
  <c r="X1687" i="12" a="1"/>
  <c r="X1143" i="12" a="1"/>
  <c r="X990" i="12" a="1"/>
  <c r="X1827" i="12" a="1"/>
  <c r="X725" i="12" a="1"/>
  <c r="X1247" i="12" a="1"/>
  <c r="W329" i="12" a="1"/>
  <c r="W868" i="12" a="1"/>
  <c r="W926" i="12" a="1"/>
  <c r="X1857" i="12" a="1"/>
  <c r="X1173" i="12" a="1"/>
  <c r="X1891" i="12" a="1"/>
  <c r="W429" i="12" a="1"/>
  <c r="W197" i="12" a="1"/>
  <c r="X602" i="12" a="1"/>
  <c r="W1224" i="12" a="1"/>
  <c r="W1138" i="12" a="1"/>
  <c r="W827" i="12" a="1"/>
  <c r="X450" i="12" a="1"/>
  <c r="W1045" i="12" a="1"/>
  <c r="X1490" i="12" a="1"/>
  <c r="W1461" i="12" a="1"/>
  <c r="W73" i="12" a="1"/>
  <c r="X1313" i="12" a="1"/>
  <c r="X1108" i="12" a="1"/>
  <c r="X2143" i="12" a="1"/>
  <c r="X1834" i="12" a="1"/>
  <c r="X477" i="12" a="1"/>
  <c r="X1988" i="12" a="1"/>
  <c r="X1849" i="12" a="1"/>
  <c r="X1725" i="12" a="1"/>
  <c r="W122" i="12" a="1"/>
  <c r="W1018" i="12" a="1"/>
  <c r="W2382" i="12" a="1"/>
  <c r="X1557" i="12" a="1"/>
  <c r="W310" i="12" a="1"/>
  <c r="W953" i="12" a="1"/>
  <c r="X893" i="12" a="1"/>
  <c r="X2522" i="12" a="1"/>
  <c r="X1516" i="12" a="1"/>
  <c r="X2560" i="12" a="1"/>
  <c r="X1508" i="12" a="1"/>
  <c r="X943" i="12" a="1"/>
  <c r="X2529" i="12" a="1"/>
  <c r="W373" i="12" a="1"/>
  <c r="W426" i="12" a="1"/>
  <c r="W211" i="12" a="1"/>
  <c r="W1855" i="12" a="1"/>
  <c r="X2279" i="12" a="1"/>
  <c r="W99" i="12" a="1"/>
  <c r="X1880" i="12" a="1"/>
  <c r="W1243" i="12" a="1"/>
  <c r="W215" i="12" a="1"/>
  <c r="W725" i="12" a="1"/>
  <c r="X2555" i="12" a="1"/>
  <c r="X1814" i="12" a="1"/>
  <c r="X6" i="12" a="1"/>
  <c r="X401" i="12" a="1"/>
  <c r="X657" i="12" a="1"/>
  <c r="X2446" i="12" a="1"/>
  <c r="X849" i="12" a="1"/>
  <c r="W910" i="12" a="1"/>
  <c r="W958" i="12" a="1"/>
  <c r="X2380" i="12" a="1"/>
  <c r="X1858" i="12" a="1"/>
  <c r="X1047" i="12" a="1"/>
  <c r="X1218" i="12" a="1"/>
  <c r="X1987" i="12" a="1"/>
  <c r="X1563" i="12" a="1"/>
  <c r="X1532" i="12" a="1"/>
  <c r="X1167" i="12" a="1"/>
  <c r="X2519" i="12" a="1"/>
  <c r="X2416" i="12" a="1"/>
  <c r="X1754" i="12" a="1"/>
  <c r="W688" i="12" a="1"/>
  <c r="X2393" i="12" a="1"/>
  <c r="W629" i="12" a="1"/>
  <c r="X1764" i="12" a="1"/>
  <c r="X2271" i="12" a="1"/>
  <c r="W983" i="12" a="1"/>
  <c r="X1787" i="12" a="1"/>
  <c r="X1864" i="12" a="1"/>
  <c r="X2548" i="12" a="1"/>
  <c r="W1563" i="12" a="1"/>
  <c r="W1211" i="12" a="1"/>
  <c r="W1787" i="12" a="1"/>
  <c r="W2003" i="12" a="1"/>
  <c r="W2620" i="12" a="1"/>
  <c r="W1579" i="12" a="1"/>
  <c r="X1696" i="12" a="1"/>
  <c r="X2135" i="12" a="1"/>
  <c r="W64" i="12" a="1"/>
  <c r="X2233" i="12" a="1"/>
  <c r="X2179" i="12" a="1"/>
  <c r="X1693" i="12" a="1"/>
  <c r="W516" i="12" a="1"/>
  <c r="X2299" i="12" a="1"/>
  <c r="W223" i="12" a="1"/>
  <c r="W170" i="12" a="1"/>
  <c r="W134" i="12" a="1"/>
  <c r="W1176" i="12" a="1"/>
  <c r="W249" i="12" a="1"/>
  <c r="W292" i="12" a="1"/>
  <c r="W566" i="12" a="1"/>
  <c r="W46" i="12" a="1"/>
  <c r="X2552" i="12" a="1"/>
  <c r="X1745" i="12" a="1"/>
  <c r="W572" i="12" a="1"/>
  <c r="X1917" i="12" a="1"/>
  <c r="X1844" i="12" a="1"/>
  <c r="W103" i="12" a="1"/>
  <c r="W873" i="12" a="1"/>
  <c r="W340" i="12" a="1"/>
  <c r="W311" i="12" a="1"/>
  <c r="X2036" i="12" a="1"/>
  <c r="W1472" i="12" a="1"/>
  <c r="X2604" i="12" a="1"/>
  <c r="W404" i="12" a="1"/>
  <c r="X1852" i="12" a="1"/>
  <c r="X1180" i="12" a="1"/>
  <c r="X2129" i="12" a="1"/>
  <c r="X915" i="12" a="1"/>
  <c r="X1824" i="12" a="1"/>
  <c r="X1428" i="12" a="1"/>
  <c r="X1673" i="12" a="1"/>
  <c r="X2025" i="12" a="1"/>
  <c r="X1448" i="12" a="1"/>
  <c r="X2369" i="12" a="1"/>
  <c r="X2035" i="12" a="1"/>
  <c r="W2055" i="12" a="1"/>
  <c r="X1612" i="12" a="1"/>
  <c r="W878" i="12" a="1"/>
  <c r="W356" i="12" a="1"/>
  <c r="W234" i="12" a="1"/>
  <c r="W792" i="12" a="1"/>
  <c r="W248" i="12" a="1"/>
  <c r="W2238" i="12" a="1"/>
  <c r="W138" i="12" a="1"/>
  <c r="W968" i="12" a="1"/>
  <c r="X1640" i="12" a="1"/>
  <c r="W2544" i="12" a="1"/>
  <c r="W2556" i="12" a="1"/>
  <c r="X633" i="12" a="1"/>
  <c r="W730" i="12" a="1"/>
  <c r="X1323" i="12" a="1"/>
  <c r="W2558" i="12" a="1"/>
  <c r="W1052" i="12" a="1"/>
  <c r="W2653" i="12" a="1"/>
  <c r="X786" i="12" a="1"/>
  <c r="W814" i="12" a="1"/>
  <c r="W471" i="12" a="1"/>
  <c r="X2296" i="12" a="1"/>
  <c r="W357" i="12" a="1"/>
  <c r="X1955" i="12" a="1"/>
  <c r="X2251" i="12" a="1"/>
  <c r="X2515" i="12" a="1"/>
  <c r="W531" i="12" a="1"/>
  <c r="W2172" i="12" a="1"/>
  <c r="W1234" i="12" a="1"/>
  <c r="W1922" i="12" a="1"/>
  <c r="W963" i="12" a="1"/>
  <c r="W1735" i="12" a="1"/>
  <c r="W2280" i="12" a="1"/>
  <c r="W1881" i="12" a="1"/>
  <c r="W741" i="12" a="1"/>
  <c r="X2435" i="12" a="1"/>
  <c r="W538" i="12" a="1"/>
  <c r="W501" i="12" a="1"/>
  <c r="W2358" i="12" a="1"/>
  <c r="X1497" i="12" a="1"/>
  <c r="W887" i="12" a="1"/>
  <c r="X1053" i="12" a="1"/>
  <c r="X396" i="12" a="1"/>
  <c r="X2545" i="12" a="1"/>
  <c r="W482" i="12" a="1"/>
  <c r="X1607" i="12" a="1"/>
  <c r="X1503" i="12" a="1"/>
  <c r="W1026" i="12" a="1"/>
  <c r="X1400" i="12" a="1"/>
  <c r="X62" i="12" a="1"/>
  <c r="X2010" i="12" a="1"/>
  <c r="X2600" i="12" a="1"/>
  <c r="X2275" i="12" a="1"/>
  <c r="X2443" i="12" a="1"/>
  <c r="X1925" i="12" a="1"/>
  <c r="W326" i="12" a="1"/>
  <c r="X2499" i="12" a="1"/>
  <c r="X2603" i="12" a="1"/>
  <c r="X2172" i="12" a="1"/>
  <c r="X2534" i="12" a="1"/>
  <c r="X1372" i="12" a="1"/>
  <c r="W534" i="12" a="1"/>
  <c r="W491" i="12" a="1"/>
  <c r="W295" i="12" a="1"/>
  <c r="X2637" i="12" a="1"/>
  <c r="W171" i="12" a="1"/>
  <c r="W2272" i="12" a="1"/>
  <c r="X2537" i="12" a="1"/>
  <c r="W384" i="12" a="1"/>
  <c r="W955" i="12" a="1"/>
  <c r="W1978" i="12" a="1"/>
  <c r="W80" i="12" a="1"/>
  <c r="W319" i="12" a="1"/>
  <c r="X665" i="12" a="1"/>
  <c r="X2104" i="12" a="1"/>
  <c r="X2247" i="12" a="1"/>
  <c r="X1642" i="12" a="1"/>
  <c r="W36" i="12" a="1"/>
  <c r="W813" i="12" a="1"/>
  <c r="W721" i="12" a="1"/>
  <c r="W1154" i="12" a="1"/>
  <c r="W87" i="12" a="1"/>
  <c r="W1217" i="12" a="1"/>
  <c r="X535" i="12" a="1"/>
  <c r="W2618" i="12" a="1"/>
  <c r="W368" i="12" a="1"/>
  <c r="W476" i="12" a="1"/>
  <c r="X1377" i="12" a="1"/>
  <c r="W1246" i="12" a="1"/>
  <c r="W676" i="12" a="1"/>
  <c r="W2350" i="12" a="1"/>
  <c r="X2315" i="12" a="1"/>
  <c r="X2475" i="12" a="1"/>
  <c r="W635" i="12" a="1"/>
  <c r="W675" i="12" a="1"/>
  <c r="W702" i="12" a="1"/>
  <c r="X467" i="12" a="1"/>
  <c r="X2351" i="12" a="1"/>
  <c r="X191" i="12" a="1"/>
  <c r="X2008" i="12" a="1"/>
  <c r="W168" i="12" a="1"/>
  <c r="X1368" i="12" a="1"/>
  <c r="W839" i="12" a="1"/>
  <c r="X2114" i="12" a="1"/>
  <c r="X1767" i="12" a="1"/>
  <c r="X2431" i="12" a="1"/>
  <c r="X951" i="12" a="1"/>
  <c r="X1939" i="12" a="1"/>
  <c r="W882" i="12" a="1"/>
  <c r="X2288" i="12" a="1"/>
  <c r="X2350" i="12" a="1"/>
  <c r="W623" i="12" a="1"/>
  <c r="W117" i="12" a="1"/>
  <c r="X1846" i="12" a="1"/>
  <c r="X1072" i="12" a="1"/>
  <c r="X2364" i="12" a="1"/>
  <c r="W265" i="12" a="1"/>
  <c r="X1977" i="12" a="1"/>
  <c r="X2051" i="12" a="1"/>
  <c r="X2111" i="12" a="1"/>
  <c r="W75" i="12" a="1"/>
  <c r="X1584" i="12" a="1"/>
  <c r="W156" i="12" a="1"/>
  <c r="W108" i="12" a="1"/>
  <c r="W240" i="12" a="1"/>
  <c r="W851" i="12" a="1"/>
  <c r="W16" i="12" a="1"/>
  <c r="W153" i="12" a="1"/>
  <c r="X1878" i="12" a="1"/>
  <c r="X719" i="12" a="1"/>
  <c r="X1176" i="12" a="1"/>
  <c r="X2161" i="12" a="1"/>
  <c r="X2239" i="12" a="1"/>
  <c r="W815" i="12" a="1"/>
  <c r="W809" i="12" a="1"/>
  <c r="W592" i="12" a="1"/>
  <c r="W1305" i="12" a="1"/>
  <c r="W634" i="12" a="1"/>
  <c r="W1175" i="12" a="1"/>
  <c r="W2480" i="12" a="1"/>
  <c r="W149" i="12" a="1"/>
  <c r="W745" i="12" a="1"/>
  <c r="X961" i="12" a="1"/>
  <c r="X1366" i="12" a="1"/>
  <c r="W130" i="12" a="1"/>
  <c r="X712" i="12" a="1"/>
  <c r="W1079" i="12" a="1"/>
  <c r="X2505" i="12" a="1"/>
  <c r="W1499" i="12" a="1"/>
  <c r="W674" i="12" a="1"/>
  <c r="W1723" i="12" a="1"/>
  <c r="X1297" i="12" a="1"/>
  <c r="X1426" i="12" a="1"/>
  <c r="X2578" i="12" a="1"/>
  <c r="W1306" i="12" a="1"/>
  <c r="W11" i="12" a="1"/>
  <c r="X2284" i="12" a="1"/>
  <c r="X1675" i="12" a="1"/>
  <c r="W1634" i="12" a="1"/>
  <c r="W694" i="12" a="1"/>
  <c r="X523" i="12" a="1"/>
  <c r="X300" i="12" a="1"/>
  <c r="X201" i="12" a="1"/>
  <c r="X1177" i="12" a="1"/>
  <c r="X346" i="12" a="1"/>
  <c r="X2248" i="12" a="1"/>
  <c r="X1776" i="12" a="1"/>
  <c r="W438" i="12" a="1"/>
  <c r="W523" i="12" a="1"/>
  <c r="X1347" i="12" a="1"/>
  <c r="X1373" i="12" a="1"/>
  <c r="W916" i="12" a="1"/>
  <c r="W1169" i="12" a="1"/>
  <c r="W216" i="12" a="1"/>
  <c r="X1583" i="12" a="1"/>
  <c r="X1188" i="12" a="1"/>
  <c r="X1638" i="12" a="1"/>
  <c r="W1188" i="12" a="1"/>
  <c r="W333" i="12" a="1"/>
  <c r="X2433" i="12" a="1"/>
  <c r="X478" i="12" a="1"/>
  <c r="X573" i="12" a="1"/>
  <c r="W23" i="12" a="1"/>
  <c r="W558" i="12" a="1"/>
  <c r="W128" i="12" a="1"/>
  <c r="X1186" i="12" a="1"/>
  <c r="W1408" i="12" a="1"/>
  <c r="W493" i="12" a="1"/>
  <c r="X1146" i="12" a="1"/>
  <c r="W76" i="12" a="1"/>
  <c r="W1779" i="12" a="1"/>
  <c r="W337" i="12" a="1"/>
  <c r="X1847" i="12" a="1"/>
  <c r="W656" i="12" a="1"/>
  <c r="X2183" i="12" a="1"/>
  <c r="W591" i="12" a="1"/>
  <c r="X1518" i="12" a="1"/>
  <c r="X2377" i="12" a="1"/>
  <c r="X2028" i="12" a="1"/>
  <c r="X1272" i="12" a="1"/>
  <c r="W1498" i="12" a="1"/>
  <c r="W1250" i="12" a="1"/>
  <c r="W845" i="12" a="1"/>
  <c r="W312" i="12" a="1"/>
  <c r="W864" i="12" a="1"/>
  <c r="W1027" i="12" a="1"/>
  <c r="W1263" i="12" a="1"/>
  <c r="W1339" i="12" a="1"/>
  <c r="W391" i="12" a="1"/>
  <c r="X2592" i="12" a="1"/>
  <c r="W3" i="12" a="1"/>
  <c r="W100" i="12" a="1"/>
  <c r="X1996" i="12" a="1"/>
  <c r="X1848" i="12" a="1"/>
  <c r="X2163" i="12" a="1"/>
  <c r="X2421" i="12" a="1"/>
  <c r="W2103" i="12" a="1"/>
  <c r="W1771" i="12" a="1"/>
  <c r="W1340" i="12" a="1"/>
  <c r="X1972" i="12" a="1"/>
  <c r="W1436" i="12" a="1"/>
  <c r="W2123" i="12" a="1"/>
  <c r="W1660" i="12" a="1"/>
  <c r="X1038" i="12" a="1"/>
  <c r="X2168" i="12" a="1"/>
  <c r="X1074" i="12" a="1"/>
  <c r="X2295" i="12" a="1"/>
  <c r="X2352" i="12" a="1"/>
  <c r="X2125" i="12" a="1"/>
  <c r="W165" i="12" a="1"/>
  <c r="W304" i="12" a="1"/>
  <c r="X2615" i="12" a="1"/>
  <c r="X1868" i="12" a="1"/>
  <c r="W2493" i="12" a="1"/>
  <c r="X782" i="12" a="1"/>
  <c r="X2243" i="12" a="1"/>
  <c r="W1998" i="12" a="1"/>
  <c r="W2158" i="12" a="1"/>
  <c r="X491" i="12" a="1"/>
  <c r="X1789" i="12" a="1"/>
  <c r="W2234" i="12" a="1"/>
  <c r="W1985" i="12" a="1"/>
  <c r="W980" i="12" a="1"/>
  <c r="X2387" i="12" a="1"/>
  <c r="W892" i="12" a="1"/>
  <c r="X2141" i="12" a="1"/>
  <c r="W2214" i="12" a="1"/>
  <c r="W2306" i="12" a="1"/>
  <c r="W2294" i="12" a="1"/>
  <c r="W1441" i="12" a="1"/>
  <c r="W1987" i="12" a="1"/>
  <c r="W2415" i="12" a="1"/>
  <c r="X2338" i="12" a="1"/>
  <c r="W1186" i="12" a="1"/>
  <c r="W1127" i="12" a="1"/>
  <c r="X999" i="12" a="1"/>
  <c r="W218" i="12" a="1"/>
  <c r="W158" i="12" a="1"/>
  <c r="X2509" i="12" a="1"/>
  <c r="W328" i="12" a="1"/>
  <c r="W2240" i="12" a="1"/>
  <c r="W1893" i="12" a="1"/>
  <c r="X1889" i="12" a="1"/>
  <c r="W1463" i="12" a="1"/>
  <c r="W182" i="12" a="1"/>
  <c r="W1496" i="12" a="1"/>
  <c r="W257" i="12" a="1"/>
  <c r="W1713" i="12" a="1"/>
  <c r="W546" i="12" a="1"/>
  <c r="W703" i="12" a="1"/>
  <c r="W67" i="12" a="1"/>
  <c r="X2428" i="12" a="1"/>
  <c r="X2553" i="12" a="1"/>
  <c r="W177" i="12" a="1"/>
  <c r="X1430" i="12" a="1"/>
  <c r="X88" i="12" a="1"/>
  <c r="X2256" i="12" a="1"/>
  <c r="W951" i="12" a="1"/>
  <c r="X1670" i="12" a="1"/>
  <c r="X383" i="12" a="1"/>
  <c r="X1901" i="12" a="1"/>
  <c r="W1089" i="12" a="1"/>
  <c r="W981" i="12" a="1"/>
  <c r="W2576" i="12" a="1"/>
  <c r="W425" i="12" a="1"/>
  <c r="W195" i="12" a="1"/>
  <c r="W604" i="12" a="1"/>
  <c r="W2432" i="12" a="1"/>
  <c r="W578" i="12" a="1"/>
  <c r="W553" i="12" a="1"/>
  <c r="X2332" i="12" a="1"/>
  <c r="W188" i="12" a="1"/>
  <c r="W761" i="12" a="1"/>
  <c r="W365" i="12" a="1"/>
  <c r="X1362" i="12" a="1"/>
  <c r="W2094" i="12" a="1"/>
  <c r="W1942" i="12" a="1"/>
  <c r="W2206" i="12" a="1"/>
  <c r="X1622" i="12" a="1"/>
  <c r="X2059" i="12" a="1"/>
  <c r="X2323" i="12" a="1"/>
  <c r="W125" i="12" a="1"/>
  <c r="X1832" i="12" a="1"/>
  <c r="X2219" i="12" a="1"/>
  <c r="X2483" i="12" a="1"/>
  <c r="X1562" i="12" a="1"/>
  <c r="X840" i="12" a="1"/>
  <c r="X2007" i="12" a="1"/>
  <c r="X2616" i="12" a="1"/>
  <c r="X1616" i="12" a="1"/>
  <c r="X1910" i="12" a="1"/>
  <c r="X2151" i="12" a="1"/>
  <c r="W1063" i="12" a="1"/>
  <c r="X2627" i="12" a="1"/>
  <c r="X1861" i="12" a="1"/>
  <c r="W124" i="12" a="1"/>
  <c r="W1148" i="12" a="1"/>
  <c r="X1713" i="12" a="1"/>
  <c r="X1224" i="12" a="1"/>
  <c r="W191" i="12" a="1"/>
  <c r="W1157" i="12" a="1"/>
  <c r="X1854" i="12" a="1"/>
  <c r="X1006" i="12" a="1"/>
  <c r="X2579" i="12" a="1"/>
  <c r="X1931" i="12" a="1"/>
  <c r="W2075" i="12" a="1"/>
  <c r="W2448" i="12" a="1"/>
  <c r="X1327" i="12" a="1"/>
  <c r="X749" i="12" a="1"/>
  <c r="X710" i="12" a="1"/>
  <c r="W818" i="12" a="1"/>
  <c r="X770" i="12" a="1"/>
  <c r="W603" i="12" a="1"/>
  <c r="X1715" i="12" a="1"/>
  <c r="W139" i="12" a="1"/>
  <c r="X935" i="12" a="1"/>
  <c r="X670" i="12" a="1"/>
  <c r="X2487" i="12" a="1"/>
  <c r="X2249" i="12" a="1"/>
  <c r="X774" i="12" a="1"/>
  <c r="X1539" i="12" a="1"/>
  <c r="W758" i="12" a="1"/>
  <c r="X1084" i="12" a="1"/>
  <c r="X2406" i="12" a="1"/>
  <c r="X1644" i="12" a="1"/>
  <c r="W687" i="12" a="1"/>
  <c r="W655" i="12" a="1"/>
  <c r="X2566" i="12" a="1"/>
  <c r="W402" i="12" a="1"/>
  <c r="X2178" i="12" a="1"/>
  <c r="W1150" i="12" a="1"/>
  <c r="X1170" i="12" a="1"/>
  <c r="X2546" i="12" a="1"/>
  <c r="W1099" i="12" a="1"/>
  <c r="W941" i="12" a="1"/>
  <c r="W847" i="12" a="1"/>
  <c r="W1218" i="12" a="1"/>
  <c r="W1625" i="12" a="1"/>
  <c r="W701" i="12" a="1"/>
  <c r="W973" i="12" a="1"/>
  <c r="X1543" i="12" a="1"/>
  <c r="X217" i="12" a="1"/>
  <c r="X1330" i="12" a="1"/>
  <c r="X1706" i="12" a="1"/>
  <c r="X1835" i="12" a="1"/>
  <c r="X375" i="12" a="1"/>
  <c r="X2492" i="12" a="1"/>
  <c r="W551" i="12" a="1"/>
  <c r="X2467" i="12" a="1"/>
  <c r="X2571" i="12" a="1"/>
  <c r="X1825" i="12" a="1"/>
  <c r="W161" i="12" a="1"/>
  <c r="X1277" i="12" a="1"/>
  <c r="X1650" i="12" a="1"/>
  <c r="W180" i="12" a="1"/>
  <c r="W150" i="12" a="1"/>
  <c r="X1885" i="12" a="1"/>
  <c r="W1108" i="12" a="1"/>
  <c r="X2489" i="12" a="1"/>
  <c r="X2307" i="12" a="1"/>
  <c r="W514" i="12" a="1"/>
  <c r="W898" i="12" a="1"/>
  <c r="X1853" i="12" a="1"/>
  <c r="W250" i="12" a="1"/>
  <c r="W222" i="12" a="1"/>
  <c r="W506" i="12" a="1"/>
  <c r="W1407" i="12" a="1"/>
  <c r="W112" i="12" a="1"/>
  <c r="W281" i="12" a="1"/>
  <c r="W469" i="12" a="1"/>
  <c r="W1727" i="12" a="1"/>
  <c r="X2222" i="12" a="1"/>
  <c r="X996" i="12" a="1"/>
  <c r="X863" i="12" a="1"/>
  <c r="X2006" i="12" a="1"/>
  <c r="X2191" i="12" a="1"/>
  <c r="X1747" i="12" a="1"/>
  <c r="X2274" i="12" a="1"/>
  <c r="X1699" i="12" a="1"/>
  <c r="W256" i="12" a="1"/>
  <c r="W480" i="12" a="1"/>
  <c r="X2503" i="12" a="1"/>
  <c r="X2471" i="12" a="1"/>
  <c r="W1022" i="12" a="1"/>
  <c r="X1613" i="12" a="1"/>
  <c r="W322" i="12" a="1"/>
  <c r="W945" i="12" a="1"/>
  <c r="X1770" i="12" a="1"/>
  <c r="X1018" i="12" a="1"/>
  <c r="W521" i="12" a="1"/>
  <c r="X1689" i="12" a="1"/>
  <c r="W1086" i="12" a="1"/>
  <c r="X2001" i="12" a="1"/>
  <c r="X1574" i="12" a="1"/>
  <c r="W189" i="12" a="1"/>
  <c r="W2017" i="12" a="1"/>
  <c r="W1707" i="12" a="1"/>
  <c r="W1270" i="12" a="1"/>
  <c r="W512" i="12" a="1"/>
  <c r="X2570" i="12" a="1"/>
  <c r="X1867" i="12" a="1"/>
  <c r="W1826" i="12" a="1"/>
  <c r="W1073" i="12" a="1"/>
  <c r="X1654" i="12" a="1"/>
  <c r="X789" i="12" a="1"/>
  <c r="W866" i="12" a="1"/>
  <c r="X963" i="12" a="1"/>
  <c r="X737" i="12" a="1"/>
  <c r="X2273" i="12" a="1"/>
  <c r="W410" i="12" a="1"/>
  <c r="W266" i="12" a="1"/>
  <c r="W341" i="12" a="1"/>
  <c r="W1599" i="12" a="1"/>
  <c r="X1606" i="12" a="1"/>
  <c r="W18" i="12" a="1"/>
  <c r="X2554" i="12" a="1"/>
  <c r="W1264" i="12" a="1"/>
  <c r="X2455" i="12" a="1"/>
  <c r="W175" i="12" a="1"/>
  <c r="X2344" i="12" a="1"/>
  <c r="X1718" i="12" a="1"/>
  <c r="X2342" i="12" a="1"/>
  <c r="X1552" i="12" a="1"/>
  <c r="W245" i="12" a="1"/>
  <c r="X1919" i="12" a="1"/>
  <c r="X1585" i="12" a="1"/>
  <c r="X2157" i="12" a="1"/>
  <c r="W1888" i="12" a="1"/>
  <c r="X914" i="12" a="1"/>
  <c r="X2057" i="12" a="1"/>
  <c r="X1442" i="12" a="1"/>
  <c r="W1332" i="12" a="1"/>
  <c r="X1783" i="12" a="1"/>
  <c r="X1845" i="12" a="1"/>
  <c r="W6" i="12" a="1"/>
  <c r="W300" i="12" a="1"/>
  <c r="X663" i="12" a="1"/>
  <c r="X1317" i="12" a="1"/>
  <c r="X1748" i="12" a="1"/>
  <c r="W231" i="12" a="1"/>
  <c r="W115" i="12" a="1"/>
  <c r="W785" i="12" a="1"/>
  <c r="W25" i="12" a="1"/>
  <c r="X1230" i="12" a="1"/>
  <c r="W1819" i="12" a="1"/>
  <c r="W2175" i="12" a="1"/>
  <c r="W535" i="12" a="1"/>
  <c r="X2411" i="12" a="1"/>
  <c r="W1836" i="12" a="1"/>
  <c r="W2006" i="12" a="1"/>
  <c r="X1465" i="12" a="1"/>
  <c r="W2530" i="12" a="1"/>
  <c r="W367" i="12" a="1"/>
  <c r="W192" i="12" a="1"/>
  <c r="X2123" i="12" a="1"/>
  <c r="W1225" i="12" a="1"/>
  <c r="W2652" i="12" a="1"/>
  <c r="W1144" i="12" a="1"/>
  <c r="W647" i="12" a="1"/>
  <c r="W2163" i="12" a="1"/>
  <c r="W589" i="12" a="1"/>
  <c r="X1646" i="12" a="1"/>
  <c r="W769" i="12" a="1"/>
  <c r="X2217" i="12" a="1"/>
  <c r="W68" i="12" a="1"/>
  <c r="W1231" i="12" a="1"/>
  <c r="X875" i="12" a="1"/>
  <c r="W699" i="12" a="1"/>
  <c r="W1689" i="12" a="1"/>
  <c r="W2062" i="12" a="1"/>
  <c r="W1910" i="12" a="1"/>
  <c r="W2174" i="12" a="1"/>
  <c r="W283" i="12" a="1"/>
  <c r="W289" i="12" a="1"/>
  <c r="W1992" i="12" a="1"/>
  <c r="W2073" i="12" a="1"/>
  <c r="W2365" i="12" a="1"/>
  <c r="W1990" i="12" a="1"/>
  <c r="W2210" i="12" a="1"/>
  <c r="W2102" i="12" a="1"/>
  <c r="X2212" i="12" a="1"/>
  <c r="X2568" i="12" a="1"/>
  <c r="W405" i="12" a="1"/>
  <c r="X2227" i="12" a="1"/>
  <c r="X2484" i="12" a="1"/>
  <c r="X1615" i="12" a="1"/>
  <c r="X1983" i="12" a="1"/>
  <c r="W1153" i="12" a="1"/>
  <c r="W1082" i="12" a="1"/>
  <c r="W2185" i="12" a="1"/>
  <c r="W1895" i="12" a="1"/>
  <c r="W2287" i="12" a="1"/>
  <c r="W1524" i="12" a="1"/>
  <c r="W1413" i="12" a="1"/>
  <c r="W1437" i="12" a="1"/>
  <c r="W1493" i="12" a="1"/>
  <c r="W1517" i="12" a="1"/>
  <c r="W750" i="12" a="1"/>
  <c r="W219" i="12" a="1"/>
  <c r="W1918" i="12" a="1"/>
  <c r="W998" i="12" a="1"/>
  <c r="W1355" i="12" a="1"/>
  <c r="W93" i="12" a="1"/>
  <c r="W960" i="12" a="1"/>
  <c r="X1624" i="12" a="1"/>
  <c r="W1312" i="12" a="1"/>
  <c r="W554" i="12" a="1"/>
  <c r="W13" i="12" a="1"/>
  <c r="W1221" i="12" a="1"/>
  <c r="X1406" i="12" a="1"/>
  <c r="W2564" i="12" a="1"/>
  <c r="W1084" i="12" a="1"/>
  <c r="W584" i="12" a="1"/>
  <c r="X2628" i="12" a="1"/>
  <c r="W1242" i="12" a="1"/>
  <c r="X1449" i="12" a="1"/>
  <c r="W1756" i="12" a="1"/>
  <c r="W1616" i="12" a="1"/>
  <c r="W2320" i="12" a="1"/>
  <c r="W522" i="12" a="1"/>
  <c r="W2245" i="12" a="1"/>
  <c r="X847" i="12" a="1"/>
  <c r="X1668" i="12" a="1"/>
  <c r="X1909" i="12" a="1"/>
  <c r="X1608" i="12" a="1"/>
  <c r="W1057" i="12" a="1"/>
  <c r="W22" i="12" a="1"/>
  <c r="W2078" i="12" a="1"/>
  <c r="X2549" i="12" a="1"/>
  <c r="X2126" i="12" a="1"/>
  <c r="X1525" i="12" a="1"/>
  <c r="W894" i="12" a="1"/>
  <c r="X1601" i="12" a="1"/>
  <c r="X729" i="12" a="1"/>
  <c r="W244" i="12" a="1"/>
  <c r="W742" i="12" a="1"/>
  <c r="W881" i="12" a="1"/>
  <c r="X490" i="12" a="1"/>
  <c r="W286" i="12" a="1"/>
  <c r="X1071" i="12" a="1"/>
  <c r="W1267" i="12" a="1"/>
  <c r="W239" i="12" a="1"/>
  <c r="W1155" i="12" a="1"/>
  <c r="W1342" i="12" a="1"/>
  <c r="W1995" i="12" a="1"/>
  <c r="W1237" i="12" a="1"/>
  <c r="W2489" i="12" a="1"/>
  <c r="W719" i="12" a="1"/>
  <c r="X1688" i="12" a="1"/>
  <c r="W891" i="12" a="1"/>
  <c r="X1979" i="12" a="1"/>
  <c r="X1765" i="12" a="1"/>
  <c r="X1681" i="12" a="1"/>
  <c r="W57" i="12" a="1"/>
  <c r="X1736" i="12" a="1"/>
  <c r="W2621" i="12" a="1"/>
  <c r="X1175" i="12" a="1"/>
  <c r="X1657" i="12" a="1"/>
  <c r="W167" i="12" a="1"/>
  <c r="W1119" i="12" a="1"/>
  <c r="W2212" i="12" a="1"/>
  <c r="W2506" i="12" a="1"/>
  <c r="W2093" i="12" a="1"/>
  <c r="W1967" i="12" a="1"/>
  <c r="W2149" i="12" a="1"/>
  <c r="W2179" i="12" a="1"/>
  <c r="W1008" i="12" a="1"/>
  <c r="X2372" i="12" a="1"/>
  <c r="X1520" i="12" a="1"/>
  <c r="W1531" i="12" a="1"/>
  <c r="W40" i="12" a="1"/>
  <c r="W399" i="12" a="1"/>
  <c r="W258" i="12" a="1"/>
  <c r="W1060" i="12" a="1"/>
  <c r="X1733" i="12" a="1"/>
  <c r="W1651" i="12" a="1"/>
  <c r="W2283" i="12" a="1"/>
  <c r="W1358" i="12" a="1"/>
  <c r="W1703" i="12" a="1"/>
  <c r="W2640" i="12" a="1"/>
  <c r="W1778" i="12" a="1"/>
  <c r="W1802" i="12" a="1"/>
  <c r="W1857" i="12" a="1"/>
  <c r="W1869" i="12" a="1"/>
  <c r="X2459" i="12" a="1"/>
  <c r="W47" i="12" a="1"/>
  <c r="W1170" i="12" a="1"/>
  <c r="W1181" i="12" a="1"/>
  <c r="W196" i="12" a="1"/>
  <c r="W2445" i="12" a="1"/>
  <c r="W2056" i="12" a="1"/>
  <c r="W726" i="12" a="1"/>
  <c r="W710" i="12" a="1"/>
  <c r="X1504" i="12" a="1"/>
  <c r="W823" i="12" a="1"/>
  <c r="W206" i="12" a="1"/>
  <c r="W646" i="12" a="1"/>
  <c r="X2285" i="12" a="1"/>
  <c r="W1204" i="12" a="1"/>
  <c r="W618" i="12" a="1"/>
  <c r="W817" i="12" a="1"/>
  <c r="W933" i="12" a="1"/>
  <c r="W464" i="12" a="1"/>
  <c r="W2222" i="12" a="1"/>
  <c r="X2187" i="12" a="1"/>
  <c r="X2347" i="12" a="1"/>
  <c r="X622" i="12" a="1"/>
  <c r="W2440" i="12" a="1"/>
  <c r="W2286" i="12" a="1"/>
  <c r="W2173" i="12" a="1"/>
  <c r="X1569" i="12" a="1"/>
  <c r="X1310" i="12" a="1"/>
  <c r="W1344" i="12" a="1"/>
  <c r="W2588" i="12" a="1"/>
  <c r="W1714" i="12" a="1"/>
  <c r="W1738" i="12" a="1"/>
  <c r="W1794" i="12" a="1"/>
  <c r="W2211" i="12" a="1"/>
  <c r="X1314" i="12" a="1"/>
  <c r="W902" i="12" a="1"/>
  <c r="X2050" i="12" a="1"/>
  <c r="X1294" i="12" a="1"/>
  <c r="W937" i="12" a="1"/>
  <c r="W975" i="12" a="1"/>
  <c r="W1280" i="12" a="1"/>
  <c r="W1268" i="12" a="1"/>
  <c r="W767" i="12" a="1"/>
  <c r="W1403" i="12" a="1"/>
  <c r="W1606" i="12" a="1"/>
  <c r="W2215" i="12" a="1"/>
  <c r="W727" i="12" a="1"/>
  <c r="W2433" i="12" a="1"/>
  <c r="W1048" i="12" a="1"/>
  <c r="X2331" i="12" a="1"/>
  <c r="W1475" i="12" a="1"/>
  <c r="X2491" i="12" a="1"/>
  <c r="X1436" i="12" a="1"/>
  <c r="W324" i="12" a="1"/>
  <c r="W990" i="12" a="1"/>
  <c r="X1282" i="12" a="1"/>
  <c r="W2466" i="12" a="1"/>
  <c r="W1500" i="12" a="1"/>
  <c r="W685" i="12" a="1"/>
  <c r="W1724" i="12" a="1"/>
  <c r="X2013" i="12" a="1"/>
  <c r="W1184" i="12" a="1"/>
  <c r="W1360" i="12" a="1"/>
  <c r="X1933" i="12" a="1"/>
  <c r="W1440" i="12" a="1"/>
  <c r="W1001" i="12" a="1"/>
  <c r="W1796" i="12" a="1"/>
  <c r="W1039" i="12" a="1"/>
  <c r="W1866" i="12" a="1"/>
  <c r="X2085" i="12" a="1"/>
  <c r="X652" i="12" a="1"/>
  <c r="W1006" i="12" a="1"/>
  <c r="W1852" i="12" a="1"/>
  <c r="X1002" i="12" a="1"/>
  <c r="W2" i="12" a="1"/>
  <c r="X2397" i="12" a="1"/>
  <c r="W1594" i="12" a="1"/>
  <c r="W1431" i="12" a="1"/>
  <c r="W106" i="12" a="1"/>
  <c r="W1067" i="12" a="1"/>
  <c r="W1261" i="12" a="1"/>
  <c r="X1602" i="12" a="1"/>
  <c r="W1451" i="12" a="1"/>
  <c r="W2190" i="12" a="1"/>
  <c r="W672" i="12" a="1"/>
  <c r="W2278" i="12" a="1"/>
  <c r="W1752" i="12" a="1"/>
  <c r="W1399" i="12" a="1"/>
  <c r="X2228" i="12" a="1"/>
  <c r="X1869" i="12" a="1"/>
  <c r="W2528" i="12" a="1"/>
  <c r="W1805" i="12" a="1"/>
  <c r="X1871" i="12" a="1"/>
  <c r="W48" i="12" a="1"/>
  <c r="X1740" i="12" a="1"/>
  <c r="W2416" i="12" a="1"/>
  <c r="W762" i="12" a="1"/>
  <c r="W2563" i="12" a="1"/>
  <c r="W1576" i="12" a="1"/>
  <c r="W1192" i="12" a="1"/>
  <c r="W1661" i="12" a="1"/>
  <c r="X721" i="12" a="1"/>
  <c r="W1927" i="12" a="1"/>
  <c r="W1213" i="12" a="1"/>
  <c r="W2156" i="12" a="1"/>
  <c r="W213" i="12" a="1"/>
  <c r="W2531" i="12" a="1"/>
  <c r="W1298" i="12" a="1"/>
  <c r="W2209" i="12" a="1"/>
  <c r="W1928" i="12" a="1"/>
  <c r="X2067" i="12" a="1"/>
  <c r="X1472" i="12" a="1"/>
  <c r="W2248" i="12" a="1"/>
  <c r="W2468" i="12" a="1"/>
  <c r="W966" i="12" a="1"/>
  <c r="X1549" i="12" a="1"/>
  <c r="X1320" i="12" a="1"/>
  <c r="X1935" i="12" a="1"/>
  <c r="W1522" i="12" a="1"/>
  <c r="X2197" i="12" a="1"/>
  <c r="W749" i="12" a="1"/>
  <c r="X2357" i="12" a="1"/>
  <c r="W1593" i="12" a="1"/>
  <c r="W1130" i="12" a="1"/>
  <c r="W1729" i="12" a="1"/>
  <c r="W1382" i="12" a="1"/>
  <c r="W2393" i="12" a="1"/>
  <c r="W2582" i="12" a="1"/>
  <c r="W2438" i="12" a="1"/>
  <c r="W1831" i="12" a="1"/>
  <c r="W2020" i="12" a="1"/>
  <c r="W2290" i="12" a="1"/>
  <c r="W1865" i="12" a="1"/>
  <c r="W2268" i="12" a="1"/>
  <c r="W1351" i="12" a="1"/>
  <c r="W2557" i="12" a="1"/>
  <c r="X1876" i="12" a="1"/>
  <c r="W1471" i="12" a="1"/>
  <c r="W1753" i="12" a="1"/>
  <c r="W1061" i="12" a="1"/>
  <c r="W2064" i="12" a="1"/>
  <c r="W2470" i="12" a="1"/>
  <c r="W1750" i="12" a="1"/>
  <c r="W1710" i="12" a="1"/>
  <c r="W1830" i="12" a="1"/>
  <c r="W2193" i="12" a="1"/>
  <c r="W2099" i="12" a="1"/>
  <c r="X1903" i="12" a="1"/>
  <c r="W2301" i="12" a="1"/>
  <c r="W1034" i="12" a="1"/>
  <c r="W923" i="12" a="1"/>
  <c r="W1484" i="12" a="1"/>
  <c r="W1506" i="12" a="1"/>
  <c r="W2596" i="12" a="1"/>
  <c r="W594" i="12" a="1"/>
  <c r="W1136" i="12" a="1"/>
  <c r="W2145" i="12" a="1"/>
  <c r="W1126" i="12" a="1"/>
  <c r="W2104" i="12" a="1"/>
  <c r="W1167" i="12" a="1"/>
  <c r="W1654" i="12" a="1"/>
  <c r="W1537" i="12" a="1"/>
  <c r="W241" i="12" a="1"/>
  <c r="W774" i="12" a="1"/>
  <c r="W2275" i="12" a="1"/>
  <c r="W200" i="12" a="1"/>
  <c r="X2581" i="12" a="1"/>
  <c r="W947" i="12" a="1"/>
  <c r="W1678" i="12" a="1"/>
  <c r="X816" i="12" a="1"/>
  <c r="X1828" i="12" a="1"/>
  <c r="W850" i="12" a="1"/>
  <c r="X428" i="12" a="1"/>
  <c r="W964" i="12" a="1"/>
  <c r="X1997" i="12" a="1"/>
  <c r="W1864" i="12" a="1"/>
  <c r="W2082" i="12" a="1"/>
  <c r="W848" i="12" a="1"/>
  <c r="W1193" i="12" a="1"/>
  <c r="W1497" i="12" a="1"/>
  <c r="W2552" i="12" a="1"/>
  <c r="W2485" i="12" a="1"/>
  <c r="W2253" i="12" a="1"/>
  <c r="W1577" i="12" a="1"/>
  <c r="X978" i="12" a="1"/>
  <c r="W2131" i="12" a="1"/>
  <c r="X1727" i="12" a="1"/>
  <c r="W1452" i="12" a="1"/>
  <c r="W1696" i="12" a="1"/>
  <c r="W743" i="12" a="1"/>
  <c r="X939" i="12" a="1"/>
  <c r="W279" i="12" a="1"/>
  <c r="X1305" i="12" a="1"/>
  <c r="W942" i="12" a="1"/>
  <c r="X1154" i="12" a="1"/>
  <c r="X2392" i="12" a="1"/>
  <c r="X1962" i="12" a="1"/>
  <c r="X1486" i="12" a="1"/>
  <c r="X2252" i="12" a="1"/>
  <c r="X1771" i="12" a="1"/>
  <c r="X823" i="12" a="1"/>
  <c r="W510" i="12" a="1"/>
  <c r="X1453" i="12" a="1"/>
  <c r="X2185" i="12" a="1"/>
  <c r="W579" i="12" a="1"/>
  <c r="W786" i="12" a="1"/>
  <c r="W1292" i="12" a="1"/>
  <c r="W315" i="12" a="1"/>
  <c r="W474" i="12" a="1"/>
  <c r="W1974" i="12" a="1"/>
  <c r="W308" i="12" a="1"/>
  <c r="W276" i="12" a="1"/>
  <c r="W1643" i="12" a="1"/>
  <c r="X1819" i="12" a="1"/>
  <c r="W1123" i="12" a="1"/>
  <c r="W2501" i="12" a="1"/>
  <c r="W1513" i="12" a="1"/>
  <c r="W2451" i="12" a="1"/>
  <c r="W2202" i="12" a="1"/>
  <c r="W1227" i="12" a="1"/>
  <c r="W1282" i="12" a="1"/>
  <c r="W1338" i="12" a="1"/>
  <c r="X1943" i="12" a="1"/>
  <c r="X2092" i="12" a="1"/>
  <c r="W1093" i="12" a="1"/>
  <c r="W2139" i="12" a="1"/>
  <c r="W194" i="12" a="1"/>
  <c r="W871" i="12" a="1"/>
  <c r="X1122" i="12" a="1"/>
  <c r="W2051" i="12" a="1"/>
  <c r="W2089" i="12" a="1"/>
  <c r="X2367" i="12" a="1"/>
  <c r="W369" i="12" a="1"/>
  <c r="W252" i="12" a="1"/>
  <c r="W800" i="12" a="1"/>
  <c r="W1042" i="12" a="1"/>
  <c r="W2631" i="12" a="1"/>
  <c r="W1125" i="12" a="1"/>
  <c r="X1904" i="12" a="1"/>
  <c r="X599" i="12" a="1"/>
  <c r="W1734" i="12" a="1"/>
  <c r="X2590" i="12" a="1"/>
  <c r="W236" i="12" a="1"/>
  <c r="X2412" i="12" a="1"/>
  <c r="X1739" i="12" a="1"/>
  <c r="W1698" i="12" a="1"/>
  <c r="W1722" i="12" a="1"/>
  <c r="X1883" i="12" a="1"/>
  <c r="W1187" i="12" a="1"/>
  <c r="X1752" i="12" a="1"/>
  <c r="W2419" i="12" a="1"/>
  <c r="W2608" i="12" a="1"/>
  <c r="W2303" i="12" a="1"/>
  <c r="W1937" i="12" a="1"/>
  <c r="W2492" i="12" a="1"/>
  <c r="X2463" i="12" a="1"/>
  <c r="W989" i="12" a="1"/>
  <c r="W1914" i="12" a="1"/>
  <c r="W2057" i="12" a="1"/>
  <c r="W1120" i="12" a="1"/>
  <c r="W2454" i="12" a="1"/>
  <c r="W846" i="12" a="1"/>
  <c r="X2521" i="12" a="1"/>
  <c r="W65" i="12" a="1"/>
  <c r="W349" i="12" a="1"/>
  <c r="X2103" i="12" a="1"/>
  <c r="W766" i="12" a="1"/>
  <c r="W2001" i="12" a="1"/>
  <c r="W1920" i="12" a="1"/>
  <c r="X1534" i="12" a="1"/>
  <c r="W1308" i="12" a="1"/>
  <c r="X1464" i="12" a="1"/>
  <c r="X1915" i="12" a="1"/>
  <c r="X1166" i="12" a="1"/>
  <c r="X186" i="12" a="1"/>
  <c r="X2451" i="12" a="1"/>
  <c r="X2611" i="12" a="1"/>
  <c r="X1633" i="12" a="1"/>
  <c r="W2126" i="12" a="1"/>
  <c r="W793" i="12" a="1"/>
  <c r="W422" i="12" a="1"/>
  <c r="W517" i="12" a="1"/>
  <c r="W811" i="12" a="1"/>
  <c r="X1182" i="12" a="1"/>
  <c r="W2603" i="12" a="1"/>
  <c r="W1807" i="12" a="1"/>
  <c r="W2565" i="12" a="1"/>
  <c r="W2626" i="12" a="1"/>
  <c r="W235" i="12" a="1"/>
  <c r="W1284" i="12" a="1"/>
  <c r="X2572" i="12" a="1"/>
  <c r="X1753" i="12" a="1"/>
  <c r="X2060" i="12" a="1"/>
  <c r="W877" i="12" a="1"/>
  <c r="X1665" i="12" a="1"/>
  <c r="W15" i="12" a="1"/>
  <c r="X2623" i="12" a="1"/>
  <c r="W772" i="12" a="1"/>
  <c r="X2171" i="12" a="1"/>
  <c r="W1395" i="12" a="1"/>
  <c r="W2511" i="12" a="1"/>
  <c r="W1769" i="12" a="1"/>
  <c r="W160" i="12" a="1"/>
  <c r="W2460" i="12" a="1"/>
  <c r="W1514" i="12" a="1"/>
  <c r="W1538" i="12" a="1"/>
  <c r="W1602" i="12" a="1"/>
  <c r="X830" i="12" a="1"/>
  <c r="W526" i="12" a="1"/>
  <c r="X2427" i="12" a="1"/>
  <c r="X2413" i="12" a="1"/>
  <c r="W991" i="12" a="1"/>
  <c r="X1445" i="12" a="1"/>
  <c r="X979" i="12" a="1"/>
  <c r="W264" i="12" a="1"/>
  <c r="W1716" i="12" a="1"/>
  <c r="W1510" i="12" a="1"/>
  <c r="X1438" i="12" a="1"/>
  <c r="W396" i="12" a="1"/>
  <c r="W1658" i="12" a="1"/>
  <c r="X2453" i="12" a="1"/>
  <c r="W1149" i="12" a="1"/>
  <c r="X2613" i="12" a="1"/>
  <c r="W1272" i="12" a="1"/>
  <c r="X691" i="12" a="1"/>
  <c r="X531" i="12" a="1"/>
  <c r="X2047" i="12" a="1"/>
  <c r="X2321" i="12" a="1"/>
  <c r="W455" i="12" a="1"/>
  <c r="X1316" i="12" a="1"/>
  <c r="X1723" i="12" a="1"/>
  <c r="X2325" i="12" a="1"/>
  <c r="W187" i="12" a="1"/>
  <c r="X1763" i="12" a="1"/>
  <c r="W2638" i="12" a="1"/>
  <c r="W2085" i="12" a="1"/>
  <c r="W1540" i="12" a="1"/>
  <c r="X1528" i="12" a="1"/>
  <c r="W2038" i="12" a="1"/>
  <c r="W2120" i="12" a="1"/>
  <c r="W2338" i="12" a="1"/>
  <c r="W1588" i="12" a="1"/>
  <c r="W1476" i="12" a="1"/>
  <c r="W1652" i="12" a="1"/>
  <c r="W2500" i="12" a="1"/>
  <c r="W1104" i="12" a="1"/>
  <c r="W2239" i="12" a="1"/>
  <c r="W1552" i="12" a="1"/>
  <c r="W631" i="12" a="1"/>
  <c r="W1632" i="12" a="1"/>
  <c r="W1527" i="12" a="1"/>
  <c r="W2510" i="12" a="1"/>
  <c r="W1205" i="12" a="1"/>
  <c r="W2100" i="12" a="1"/>
  <c r="W2407" i="12" a="1"/>
  <c r="W1767" i="12" a="1"/>
  <c r="W2439" i="12" a="1"/>
  <c r="W972" i="12" a="1"/>
  <c r="W2151" i="12" a="1"/>
  <c r="W1066" i="12" a="1"/>
  <c r="W1509" i="12" a="1"/>
  <c r="W2141" i="12" a="1"/>
  <c r="X2564" i="12" a="1"/>
  <c r="W2237" i="12" a="1"/>
  <c r="W1075" i="12" a="1"/>
  <c r="X2316" i="12" a="1"/>
  <c r="X2199" i="12" a="1"/>
  <c r="W2502" i="12" a="1"/>
  <c r="W2496" i="12" a="1"/>
  <c r="W2650" i="12" a="1"/>
  <c r="W1488" i="12" a="1"/>
  <c r="W563" i="12" a="1"/>
  <c r="W1568" i="12" a="1"/>
  <c r="X1378" i="12" a="1"/>
  <c r="W1808" i="12" a="1"/>
  <c r="W1229" i="12" a="1"/>
  <c r="W1872" i="12" a="1"/>
  <c r="W1848" i="12" a="1"/>
  <c r="W1430" i="12" a="1"/>
  <c r="W2232" i="12" a="1"/>
  <c r="W2065" i="12" a="1"/>
  <c r="W2633" i="12" a="1"/>
  <c r="W2117" i="12" a="1"/>
  <c r="W2328" i="12" a="1"/>
  <c r="W2418" i="12" a="1"/>
  <c r="X2276" i="12" a="1"/>
  <c r="W1112" i="12" a="1"/>
  <c r="W1877" i="12" a="1"/>
  <c r="W2180" i="12" a="1"/>
  <c r="W488" i="12" a="1"/>
  <c r="W2095" i="12" a="1"/>
  <c r="X2409" i="12" a="1"/>
  <c r="W1122" i="12" a="1"/>
  <c r="W1617" i="12" a="1"/>
  <c r="X2220" i="12" a="1"/>
  <c r="W927" i="12" a="1"/>
  <c r="X1944" i="12" a="1"/>
  <c r="W1539" i="12" a="1"/>
  <c r="X2619" i="12" a="1"/>
  <c r="W1619" i="12" a="1"/>
  <c r="W89" i="12" a="1"/>
  <c r="W2436" i="12" a="1"/>
  <c r="W102" i="12" a="1"/>
  <c r="W1919" i="12" a="1"/>
  <c r="W1303" i="12" a="1"/>
  <c r="X2005" i="12" a="1"/>
  <c r="W2130" i="12" a="1"/>
  <c r="W1158" i="12" a="1"/>
  <c r="W1624" i="12" a="1"/>
  <c r="W621" i="12" a="1"/>
  <c r="W1266" i="12" a="1"/>
  <c r="W1521" i="12" a="1"/>
  <c r="W1245" i="12" a="1"/>
  <c r="X871" i="12" a="1"/>
  <c r="W1874" i="12" a="1"/>
  <c r="W831" i="12" a="1"/>
  <c r="W270" i="12" a="1"/>
  <c r="W63" i="12" a="1"/>
  <c r="X2634" i="12" a="1"/>
  <c r="W1551" i="12" a="1"/>
  <c r="W1991" i="12" a="1"/>
  <c r="W1858" i="12" a="1"/>
  <c r="W79" i="12" a="1"/>
  <c r="W1924" i="12" a="1"/>
  <c r="X2561" i="12" a="1"/>
  <c r="W477" i="12" a="1"/>
  <c r="X2532" i="12" a="1"/>
  <c r="W1137" i="12" a="1"/>
  <c r="W321" i="12" a="1"/>
  <c r="W2046" i="12" a="1"/>
  <c r="W690" i="12" a="1"/>
  <c r="W1420" i="12" a="1"/>
  <c r="X258" i="12" a="1"/>
  <c r="X2189" i="12" a="1"/>
  <c r="X2213" i="12" a="1"/>
  <c r="X2101" i="12" a="1"/>
  <c r="W1271" i="12" a="1"/>
  <c r="W2198" i="12" a="1"/>
  <c r="W2348" i="12" a="1"/>
  <c r="W696" i="12" a="1"/>
  <c r="W5" i="12" a="1"/>
  <c r="W38" i="12" a="1"/>
  <c r="W1146" i="12" a="1"/>
  <c r="W924" i="12" a="1"/>
  <c r="X1911" i="12" a="1"/>
  <c r="W2219" i="12" a="1"/>
  <c r="W1162" i="12" a="1"/>
  <c r="W979" i="12" a="1"/>
  <c r="W1462" i="12" a="1"/>
  <c r="X2569" i="12" a="1"/>
  <c r="X2525" i="12" a="1"/>
  <c r="W711" i="12" a="1"/>
  <c r="X1677" i="12" a="1"/>
  <c r="W2525" i="12" a="1"/>
  <c r="W485" i="12" a="1"/>
  <c r="W645" i="12" a="1"/>
  <c r="X1940" i="12" a="1"/>
  <c r="X2585" i="12" a="1"/>
  <c r="X1833" i="12" a="1"/>
  <c r="X2609" i="12" a="1"/>
  <c r="W1966" i="12" a="1"/>
  <c r="X1912" i="12" a="1"/>
  <c r="X2091" i="12" a="1"/>
  <c r="X2466" i="12" a="1"/>
  <c r="X1791" i="12" a="1"/>
  <c r="W458" i="12" a="1"/>
  <c r="W107" i="12" a="1"/>
  <c r="X1041" i="12" a="1"/>
  <c r="W2400" i="12" a="1"/>
  <c r="W2106" i="12" a="1"/>
  <c r="W1792" i="12" a="1"/>
  <c r="X2539" i="12" a="1"/>
  <c r="W2070" i="12" a="1"/>
  <c r="W1911" i="12" a="1"/>
  <c r="W1931" i="12" a="1"/>
  <c r="W567" i="12" a="1"/>
  <c r="W1845" i="12" a="1"/>
  <c r="W771" i="12" a="1"/>
  <c r="W650" i="12" a="1"/>
  <c r="W1098" i="12" a="1"/>
  <c r="W805" i="12" a="1"/>
  <c r="W2329" i="12" a="1"/>
  <c r="W1359" i="12" a="1"/>
  <c r="W844" i="12" a="1"/>
  <c r="X1231" i="12" a="1"/>
  <c r="X1896" i="12" a="1"/>
  <c r="X1658" i="12" a="1"/>
  <c r="W26" i="12" a="1"/>
  <c r="W1548" i="12" a="1"/>
  <c r="X1501" i="12" a="1"/>
  <c r="X1913" i="12" a="1"/>
  <c r="W58" i="12" a="1"/>
  <c r="W890" i="12" a="1"/>
  <c r="W778" i="12" a="1"/>
  <c r="W2406" i="12" a="1"/>
  <c r="W2434" i="12" a="1"/>
  <c r="W2464" i="12" a="1"/>
  <c r="W1806" i="12" a="1"/>
  <c r="W1321" i="12" a="1"/>
  <c r="W2497" i="12" a="1"/>
  <c r="X1812" i="12" a="1"/>
  <c r="W708" i="12" a="1"/>
  <c r="W1307" i="12" a="1"/>
  <c r="W1627" i="12" a="1"/>
  <c r="W1781" i="12" a="1"/>
  <c r="W303" i="12" a="1"/>
  <c r="W362" i="12" a="1"/>
  <c r="W533" i="12" a="1"/>
  <c r="W1791" i="12" a="1"/>
  <c r="W2138" i="12" a="1"/>
  <c r="W706" i="12" a="1"/>
  <c r="W907" i="12" a="1"/>
  <c r="W1262" i="12" a="1"/>
  <c r="W751" i="12" a="1"/>
  <c r="W1933" i="12" a="1"/>
  <c r="W2475" i="12" a="1"/>
  <c r="W2035" i="12" a="1"/>
  <c r="W2305" i="12" a="1"/>
  <c r="X1576" i="12" a="1"/>
  <c r="X2281" i="12" a="1"/>
  <c r="X1265" i="12" a="1"/>
  <c r="W127" i="12" a="1"/>
  <c r="W1364" i="12" a="1"/>
  <c r="W1291" i="12" a="1"/>
  <c r="X551" i="12" a="1"/>
  <c r="W1054" i="12" a="1"/>
  <c r="X1538" i="12" a="1"/>
  <c r="X2436" i="12" a="1"/>
  <c r="W977" i="12" a="1"/>
  <c r="W154" i="12" a="1"/>
  <c r="X1724" i="12" a="1"/>
  <c r="X2477" i="12" a="1"/>
  <c r="X2513" i="12" a="1"/>
  <c r="W1955" i="12" a="1"/>
  <c r="X1672" i="12" a="1"/>
  <c r="X1971" i="12" a="1"/>
  <c r="W648" i="12" a="1"/>
  <c r="X1318" i="12" a="1"/>
  <c r="W344" i="12" a="1"/>
  <c r="W2134" i="12" a="1"/>
  <c r="X2403" i="12" a="1"/>
  <c r="W608" i="12" a="1"/>
  <c r="W2014" i="12" a="1"/>
  <c r="W494" i="12" a="1"/>
  <c r="W1708" i="12" a="1"/>
  <c r="W246" i="12" a="1"/>
  <c r="W755" i="12" a="1"/>
  <c r="W1190" i="12" a="1"/>
  <c r="W1867" i="12" a="1"/>
  <c r="W2577" i="12" a="1"/>
  <c r="W1677" i="12" a="1"/>
  <c r="X2580" i="12" a="1"/>
  <c r="X2149" i="12" a="1"/>
  <c r="X1679" i="12" a="1"/>
  <c r="X1564" i="12" a="1"/>
  <c r="W1653" i="12" a="1"/>
  <c r="W1369" i="12" a="1"/>
  <c r="W2142" i="12" a="1"/>
  <c r="X2121" i="12" a="1"/>
  <c r="X1850" i="12" a="1"/>
  <c r="X2642" i="12" a="1"/>
  <c r="W1434" i="12" a="1"/>
  <c r="W1458" i="12" a="1"/>
  <c r="X1554" i="12" a="1"/>
  <c r="W872" i="12" a="1"/>
  <c r="X2348" i="12" a="1"/>
  <c r="W2403" i="12" a="1"/>
  <c r="W1615" i="12" a="1"/>
  <c r="W1409" i="12" a="1"/>
  <c r="X348" i="12" a="1"/>
  <c r="X1626" i="12" a="1"/>
  <c r="W2143" i="12" a="1"/>
  <c r="W1523" i="12" a="1"/>
  <c r="X1336" i="12" a="1"/>
  <c r="X1205" i="12" a="1"/>
  <c r="X1784" i="12" a="1"/>
  <c r="X2131" i="12" a="1"/>
  <c r="X2293" i="12" a="1"/>
  <c r="W1132" i="12" a="1"/>
  <c r="W350" i="12" a="1"/>
  <c r="W875" i="12" a="1"/>
  <c r="X796" i="12" a="1"/>
  <c r="X2181" i="12" a="1"/>
  <c r="W1896" i="12" a="1"/>
  <c r="W1287" i="12" a="1"/>
  <c r="W1936" i="12" a="1"/>
  <c r="W1394" i="12" a="1"/>
  <c r="W407" i="12" a="1"/>
  <c r="X866" i="12" a="1"/>
  <c r="X125" i="12" a="1"/>
  <c r="X1797" i="12" a="1"/>
  <c r="W598" i="12" a="1"/>
  <c r="W1110" i="12" a="1"/>
  <c r="W109" i="12" a="1"/>
  <c r="W561" i="12" a="1"/>
  <c r="W2478" i="12" a="1"/>
  <c r="X2495" i="12" a="1"/>
  <c r="W1468" i="12" a="1"/>
  <c r="W2427" i="12" a="1"/>
  <c r="W495" i="12" a="1"/>
  <c r="X1652" i="12" a="1"/>
  <c r="X620" i="12" a="1"/>
  <c r="W1988" i="12" a="1"/>
  <c r="W2334" i="12" a="1"/>
  <c r="X2594" i="12" a="1"/>
  <c r="W242" i="12" a="1"/>
  <c r="W1687" i="12" a="1"/>
  <c r="W2569" i="12" a="1"/>
  <c r="X654" i="12" a="1"/>
  <c r="W2363" i="12" a="1"/>
  <c r="X2556" i="12" a="1"/>
  <c r="W810" i="12" a="1"/>
  <c r="X1598" i="12" a="1"/>
  <c r="W1672" i="12" a="1"/>
  <c r="W2187" i="12" a="1"/>
  <c r="W1354" i="12" a="1"/>
  <c r="W2360" i="12" a="1"/>
  <c r="W2587" i="12" a="1"/>
  <c r="W2549" i="12" a="1"/>
  <c r="W1776" i="12" a="1"/>
  <c r="W950" i="12" a="1"/>
  <c r="W1868" i="12" a="1"/>
  <c r="W1206" i="12" a="1"/>
  <c r="W1533" i="12" a="1"/>
  <c r="W1884" i="12" a="1"/>
  <c r="W1583" i="12" a="1"/>
  <c r="W925" i="12" a="1"/>
  <c r="W224" i="12" a="1"/>
  <c r="W1534" i="12" a="1"/>
  <c r="W626" i="12" a="1"/>
  <c r="W825" i="12" a="1"/>
  <c r="W2578" i="12" a="1"/>
  <c r="W2241" i="12" a="1"/>
  <c r="X2100" i="12" a="1"/>
  <c r="W812" i="12" a="1"/>
  <c r="X2588" i="12" a="1"/>
  <c r="X2597" i="12" a="1"/>
  <c r="X1884" i="12" a="1"/>
  <c r="W1495" i="12" a="1"/>
  <c r="X2077" i="12" a="1"/>
  <c r="W2276" i="12" a="1"/>
  <c r="W1853" i="12" a="1"/>
  <c r="X1743" i="12" a="1"/>
  <c r="W733" i="12" a="1"/>
  <c r="W2015" i="12" a="1"/>
  <c r="X2237" i="12" a="1"/>
  <c r="W1377" i="12" a="1"/>
  <c r="W2059" i="12" a="1"/>
  <c r="W698" i="12" a="1"/>
  <c r="W2411" i="12" a="1"/>
  <c r="W2388" i="12" a="1"/>
  <c r="W2387" i="12" a="1"/>
  <c r="W2207" i="12" a="1"/>
  <c r="W1842" i="12" a="1"/>
  <c r="W569" i="12" a="1"/>
  <c r="W1103" i="12" a="1"/>
  <c r="W922" i="12" a="1"/>
  <c r="W1128" i="12" a="1"/>
  <c r="W1626" i="12" a="1"/>
  <c r="W1586" i="12" a="1"/>
  <c r="W1610" i="12" a="1"/>
  <c r="W1666" i="12" a="1"/>
  <c r="W2157" i="12" a="1"/>
  <c r="W1885" i="12" a="1"/>
  <c r="W1915" i="12" a="1"/>
  <c r="W1999" i="12" a="1"/>
  <c r="W2023" i="12" a="1"/>
  <c r="W1887" i="12" a="1"/>
  <c r="W291" i="12" a="1"/>
  <c r="W2249" i="12" a="1"/>
  <c r="W2032" i="12" a="1"/>
  <c r="X2621" i="12" a="1"/>
  <c r="W1553" i="12" a="1"/>
  <c r="W1197" i="12" a="1"/>
  <c r="W467" i="12" a="1"/>
  <c r="W1390" i="12" a="1"/>
  <c r="W2183" i="12" a="1"/>
  <c r="W2519" i="12" a="1"/>
  <c r="W1199" i="12" a="1"/>
  <c r="W1090" i="12" a="1"/>
  <c r="W2428" i="12" a="1"/>
  <c r="W275" i="12" a="1"/>
  <c r="W2592" i="12" a="1"/>
  <c r="W1191" i="12" a="1"/>
  <c r="W2617" i="12" a="1"/>
  <c r="W1657" i="12" a="1"/>
  <c r="W2047" i="12" a="1"/>
  <c r="W2594" i="12" a="1"/>
  <c r="W2527" i="12" a="1"/>
  <c r="W1954" i="12" a="1"/>
  <c r="W2255" i="12" a="1"/>
  <c r="W2067" i="12" a="1"/>
  <c r="X1674" i="12" a="1"/>
  <c r="X2224" i="12" a="1"/>
  <c r="X2488" i="12" a="1"/>
  <c r="X1304" i="12" a="1"/>
  <c r="X2033" i="12" a="1"/>
  <c r="W790" i="12" a="1"/>
  <c r="W1772" i="12" a="1"/>
  <c r="X2195" i="12" a="1"/>
  <c r="X2334" i="12" a="1"/>
  <c r="W85" i="12" a="1"/>
  <c r="W1664" i="12" a="1"/>
  <c r="W2043" i="12" a="1"/>
  <c r="X1178" i="12" a="1"/>
  <c r="W387" i="12" a="1"/>
  <c r="W101" i="12" a="1"/>
  <c r="W113" i="12" a="1"/>
  <c r="X1978" i="12" a="1"/>
  <c r="W841" i="12" a="1"/>
  <c r="W670" i="12" a="1"/>
  <c r="W2080" i="12" a="1"/>
  <c r="X1709" i="12" a="1"/>
  <c r="W378" i="12" a="1"/>
  <c r="W1279" i="12" a="1"/>
  <c r="W1396" i="12" a="1"/>
  <c r="W1349" i="12" a="1"/>
  <c r="W1373" i="12" a="1"/>
  <c r="W1429" i="12" a="1"/>
  <c r="W2443" i="12" a="1"/>
  <c r="W1422" i="12" a="1"/>
  <c r="W1320" i="12" a="1"/>
  <c r="X1970" i="12" a="1"/>
  <c r="X2236" i="12" a="1"/>
  <c r="X1437" i="12" a="1"/>
  <c r="W172" i="12" a="1"/>
  <c r="W1107" i="12" a="1"/>
  <c r="W666" i="12" a="1"/>
  <c r="W610" i="12" a="1"/>
  <c r="W1135" i="12" a="1"/>
  <c r="W1051" i="12" a="1"/>
  <c r="W1720" i="12" a="1"/>
  <c r="W1014" i="12" a="1"/>
  <c r="W1526" i="12" a="1"/>
  <c r="W1174" i="12" a="1"/>
  <c r="W448" i="12" a="1"/>
  <c r="W651" i="12" a="1"/>
  <c r="W385" i="12" a="1"/>
  <c r="W288" i="12" a="1"/>
  <c r="X1208" i="12" a="1"/>
  <c r="W1251" i="12" a="1"/>
  <c r="W1323" i="12" a="1"/>
  <c r="W1536" i="12" a="1"/>
  <c r="W1435" i="12" a="1"/>
  <c r="W1091" i="12" a="1"/>
  <c r="W1659" i="12" a="1"/>
  <c r="W1859" i="12" a="1"/>
  <c r="W2201" i="12" a="1"/>
  <c r="W1295" i="12" a="1"/>
  <c r="W532" i="12" a="1"/>
  <c r="W1375" i="12" a="1"/>
  <c r="X1937" i="12" a="1"/>
  <c r="W1731" i="12" a="1"/>
  <c r="W8" i="12" a="1"/>
  <c r="W1811" i="12" a="1"/>
  <c r="W29" i="12" a="1"/>
  <c r="W226" i="12" a="1"/>
  <c r="W325" i="12" a="1"/>
  <c r="X1357" i="12" a="1"/>
  <c r="W1719" i="12" a="1"/>
  <c r="W1406" i="12" a="1"/>
  <c r="W62" i="12" a="1"/>
  <c r="X862" i="12" a="1"/>
  <c r="X1985" i="12" a="1"/>
  <c r="X2625" i="12" a="1"/>
  <c r="X384" i="12" a="1"/>
  <c r="X2425" i="12" a="1"/>
  <c r="W39" i="12" a="1"/>
  <c r="X1866" i="12" a="1"/>
  <c r="X1788" i="12" a="1"/>
  <c r="X2106" i="12" a="1"/>
  <c r="W1532" i="12" a="1"/>
  <c r="X1374" i="12" a="1"/>
  <c r="X742" i="12" a="1"/>
  <c r="X2124" i="12" a="1"/>
  <c r="X1704" i="12" a="1"/>
  <c r="X2147" i="12" a="1"/>
  <c r="W2336" i="12" a="1"/>
  <c r="W520" i="12" a="1"/>
  <c r="W2304" i="12" a="1"/>
  <c r="W1873" i="12" a="1"/>
  <c r="W1934" i="12" a="1"/>
  <c r="X2444" i="12" a="1"/>
  <c r="X2068" i="12" a="1"/>
  <c r="X1165" i="12" a="1"/>
  <c r="X1245" i="12" a="1"/>
  <c r="W1667" i="12" a="1"/>
  <c r="X1921" i="12" a="1"/>
  <c r="W2031" i="12" a="1"/>
  <c r="W1424" i="12" a="1"/>
  <c r="W317" i="12" a="1"/>
  <c r="W466" i="12" a="1"/>
  <c r="X835" i="12" a="1"/>
  <c r="W943" i="12" a="1"/>
  <c r="W1058" i="12" a="1"/>
  <c r="W1525" i="12" a="1"/>
  <c r="W346" i="12" a="1"/>
  <c r="W179" i="12" a="1"/>
  <c r="W238" i="12" a="1"/>
  <c r="W1535" i="12" a="1"/>
  <c r="W1882" i="12" a="1"/>
  <c r="W1605" i="12" a="1"/>
  <c r="W1629" i="12" a="1"/>
  <c r="W1685" i="12" a="1"/>
  <c r="X2501" i="12" a="1"/>
  <c r="W1686" i="12" a="1"/>
  <c r="W1601" i="12" a="1"/>
  <c r="X1892" i="12" a="1"/>
  <c r="W278" i="12" a="1"/>
  <c r="W132" i="12" a="1"/>
  <c r="W502" i="12" a="1"/>
  <c r="X1807" i="12" a="1"/>
  <c r="X1662" i="12" a="1"/>
  <c r="X1130" i="12" a="1"/>
  <c r="X2029" i="12" a="1"/>
  <c r="W1856" i="12" a="1"/>
  <c r="W1549" i="12" a="1"/>
  <c r="X2196" i="12" a="1"/>
  <c r="X1775" i="12" a="1"/>
  <c r="X2612" i="12" a="1"/>
  <c r="W440" i="12" a="1"/>
  <c r="X2173" i="12" a="1"/>
  <c r="W2013" i="12" a="1"/>
  <c r="X2333" i="12" a="1"/>
  <c r="W2331" i="12" a="1"/>
  <c r="W2016" i="12" a="1"/>
  <c r="X1433" i="12" a="1"/>
  <c r="X2419" i="12" a="1"/>
  <c r="W366" i="12" a="1"/>
  <c r="X2253" i="12" a="1"/>
  <c r="W782" i="12" a="1"/>
  <c r="W2112" i="12" a="1"/>
  <c r="X2485" i="12" a="1"/>
  <c r="W855" i="12" a="1"/>
  <c r="W2208" i="12" a="1"/>
  <c r="X2652" i="12" a="1"/>
  <c r="W2181" i="12" a="1"/>
  <c r="X2640" i="12" a="1"/>
  <c r="W1278" i="12" a="1"/>
  <c r="W714" i="12" a="1"/>
  <c r="X2653" i="12" a="1"/>
  <c r="W2378" i="12" a="1"/>
  <c r="X2259" i="12" a="1"/>
  <c r="W1352" i="12" a="1"/>
  <c r="W611" i="12" a="1"/>
  <c r="W2092" i="12" a="1"/>
  <c r="W2165" i="12" a="1"/>
  <c r="X1656" i="12" a="1"/>
  <c r="W1412" i="12" a="1"/>
  <c r="X2445" i="12" a="1"/>
  <c r="W1492" i="12" a="1"/>
  <c r="X2030" i="12" a="1"/>
  <c r="W1077" i="12" a="1"/>
  <c r="W1378" i="12" a="1"/>
  <c r="W1419" i="12" a="1"/>
  <c r="W1637" i="12" a="1"/>
  <c r="W1983" i="12" a="1"/>
  <c r="W1101" i="12" a="1"/>
  <c r="W2160" i="12" a="1"/>
  <c r="W212" i="12" a="1"/>
  <c r="W1897" i="12" a="1"/>
  <c r="W1511" i="12" a="1"/>
  <c r="W1822" i="12" a="1"/>
  <c r="W2027" i="12" a="1"/>
  <c r="W1575" i="12" a="1"/>
  <c r="W1516" i="12" a="1"/>
  <c r="W2318" i="12" a="1"/>
  <c r="W1479" i="12" a="1"/>
  <c r="W2456" i="12" a="1"/>
  <c r="W1299" i="12" a="1"/>
  <c r="X2164" i="12" a="1"/>
  <c r="W1348" i="12" a="1"/>
  <c r="X1916" i="12" a="1"/>
  <c r="W1428" i="12" a="1"/>
  <c r="W571" i="12" a="1"/>
  <c r="W1668" i="12" a="1"/>
  <c r="W441" i="12" a="1"/>
  <c r="W1748" i="12" a="1"/>
  <c r="W935" i="12" a="1"/>
  <c r="W1647" i="12" a="1"/>
  <c r="W31" i="12" a="1"/>
  <c r="W2009" i="12" a="1"/>
  <c r="W2039" i="12" a="1"/>
  <c r="W2169" i="12" a="1"/>
  <c r="W1254" i="12" a="1"/>
  <c r="W1336" i="12" a="1"/>
  <c r="W1393" i="12" a="1"/>
  <c r="W2037" i="12" a="1"/>
  <c r="W2335" i="12" a="1"/>
  <c r="W1818" i="12" a="1"/>
  <c r="W2555" i="12" a="1"/>
  <c r="W1795" i="12" a="1"/>
  <c r="X2420" i="12" a="1"/>
  <c r="W840" i="12" a="1"/>
  <c r="W2503" i="12" a="1"/>
  <c r="X2618" i="12" a="1"/>
  <c r="W1786" i="12" a="1"/>
  <c r="W1679" i="12" a="1"/>
  <c r="W1446" i="12" a="1"/>
  <c r="W1759" i="12" a="1"/>
  <c r="W1062" i="12" a="1"/>
  <c r="W2005" i="12" a="1"/>
  <c r="W2449" i="12" a="1"/>
  <c r="W2109" i="12" a="1"/>
  <c r="X2277" i="12" a="1"/>
  <c r="W2267" i="12" a="1"/>
  <c r="W738" i="12" a="1"/>
  <c r="W1329" i="12" a="1"/>
  <c r="W874" i="12" a="1"/>
  <c r="W1900" i="12" a="1"/>
  <c r="X1285" i="12" a="1"/>
  <c r="W2409" i="12" a="1"/>
  <c r="X2004" i="12" a="1"/>
  <c r="W2029" i="12" a="1"/>
  <c r="X2651" i="12" a="1"/>
  <c r="W1623" i="12" a="1"/>
  <c r="W2610" i="12" a="1"/>
  <c r="W1981" i="12" a="1"/>
  <c r="W412" i="12" a="1"/>
  <c r="W1953" i="12" a="1"/>
  <c r="W1631" i="12" a="1"/>
  <c r="W2213" i="12" a="1"/>
  <c r="X2461" i="12" a="1"/>
  <c r="W94" i="12" a="1"/>
  <c r="W2523" i="12" a="1"/>
  <c r="W306" i="12" a="1"/>
  <c r="X2269" i="12" a="1"/>
  <c r="W382" i="12" a="1"/>
  <c r="W606" i="12" a="1"/>
  <c r="W729" i="12" a="1"/>
  <c r="X1839" i="12" a="1"/>
  <c r="W2079" i="12" a="1"/>
  <c r="W282" i="12" a="1"/>
  <c r="X2020" i="12" a="1"/>
  <c r="W1640" i="12" a="1"/>
  <c r="X1932" i="12" a="1"/>
  <c r="W1979" i="12" a="1"/>
  <c r="W507" i="12" a="1"/>
  <c r="W1256" i="12" a="1"/>
  <c r="W484" i="12" a="1"/>
  <c r="X804" i="12" a="1"/>
  <c r="W1248" i="12" a="1"/>
  <c r="W259" i="12" a="1"/>
  <c r="W985" i="12" a="1"/>
  <c r="W1813" i="12" a="1"/>
  <c r="W720" i="12" a="1"/>
  <c r="W339" i="12" a="1"/>
  <c r="W2076" i="12" a="1"/>
  <c r="W2323" i="12" a="1"/>
  <c r="W2420" i="12" a="1"/>
  <c r="W296" i="12" a="1"/>
  <c r="W269" i="12" a="1"/>
  <c r="X673" i="12" a="1"/>
  <c r="W1460" i="12" a="1"/>
  <c r="X344" i="12" a="1"/>
  <c r="W2298" i="12" a="1"/>
  <c r="X1649" i="12" a="1"/>
  <c r="W56" i="12" a="1"/>
  <c r="X783" i="12" a="1"/>
  <c r="W804" i="12" a="1"/>
  <c r="W912" i="12" a="1"/>
  <c r="W463" i="12" a="1"/>
  <c r="W1894" i="12" a="1"/>
  <c r="W2186" i="12" a="1"/>
  <c r="W2246" i="12" a="1"/>
  <c r="W1353" i="12" a="1"/>
  <c r="W1168" i="12" a="1"/>
  <c r="W2516" i="12" a="1"/>
  <c r="W856" i="12" a="1"/>
  <c r="W1763" i="12" a="1"/>
  <c r="W1367" i="12" a="1"/>
  <c r="W263" i="12" a="1"/>
  <c r="W2066" i="12" a="1"/>
  <c r="W2453" i="12" a="1"/>
  <c r="X1755" i="12" a="1"/>
  <c r="W1257" i="12" a="1"/>
  <c r="W2284" i="12" a="1"/>
  <c r="W2019" i="12" a="1"/>
  <c r="X2037" i="12" a="1"/>
  <c r="W919" i="12" a="1"/>
  <c r="W360" i="12" a="1"/>
  <c r="W1790" i="12" a="1"/>
  <c r="W81" i="12" a="1"/>
  <c r="W408" i="12" a="1"/>
  <c r="W1948" i="12" a="1"/>
  <c r="W403" i="12" a="1"/>
  <c r="W819" i="12" a="1"/>
  <c r="W332" i="12" a="1"/>
  <c r="W2590" i="12" a="1"/>
  <c r="W679" i="12" a="1"/>
  <c r="W1178" i="12" a="1"/>
  <c r="W1405" i="12" a="1"/>
  <c r="W1318" i="12" a="1"/>
  <c r="W1829" i="12" a="1"/>
  <c r="W653" i="12" a="1"/>
  <c r="X1502" i="12" a="1"/>
  <c r="W2487" i="12" a="1"/>
  <c r="W1597" i="12" a="1"/>
  <c r="W2533" i="12" a="1"/>
  <c r="X1157" i="12" a="1"/>
  <c r="X2516" i="12" a="1"/>
  <c r="W1774" i="12" a="1"/>
  <c r="W2413" i="12" a="1"/>
  <c r="W2091" i="12" a="1"/>
  <c r="W193" i="12" a="1"/>
  <c r="X1820" i="12" a="1"/>
  <c r="W808" i="12" a="1"/>
  <c r="W1946" i="12" a="1"/>
  <c r="W2137" i="12" a="1"/>
  <c r="W2355" i="12" a="1"/>
  <c r="X1592" i="12" a="1"/>
  <c r="W1040" i="12" a="1"/>
  <c r="X1948" i="12" a="1"/>
  <c r="W664" i="12" a="1"/>
  <c r="X2429" i="12" a="1"/>
  <c r="W1560" i="12" a="1"/>
  <c r="X2589" i="12" a="1"/>
  <c r="W1313" i="12" a="1"/>
  <c r="W2405" i="12" a="1"/>
  <c r="W536" i="12" a="1"/>
  <c r="W1335" i="12" a="1"/>
  <c r="W904" i="12" a="1"/>
  <c r="W2424" i="12" a="1"/>
  <c r="W2297" i="12" a="1"/>
  <c r="W1438" i="12" a="1"/>
  <c r="W401" i="12" a="1"/>
  <c r="X1421" i="12" a="1"/>
  <c r="W2517" i="12" a="1"/>
  <c r="X1413" i="12" a="1"/>
  <c r="W630" i="12" a="1"/>
  <c r="W1370" i="12" a="1"/>
  <c r="W2061" i="12" a="1"/>
  <c r="W1293" i="12" a="1"/>
  <c r="W870" i="12" a="1"/>
  <c r="W1898" i="12" a="1"/>
  <c r="W2058" i="12" a="1"/>
  <c r="W889" i="12" a="1"/>
  <c r="W499" i="12" a="1"/>
  <c r="W2374" i="12" a="1"/>
  <c r="W2560" i="12" a="1"/>
  <c r="W2607" i="12" a="1"/>
  <c r="W2463" i="12" a="1"/>
  <c r="W7" i="12" a="1"/>
  <c r="W2627" i="12" a="1"/>
  <c r="W2345" i="12" a="1"/>
  <c r="W2292" i="12" a="1"/>
  <c r="W2028" i="12" a="1"/>
  <c r="W1682" i="12" a="1"/>
  <c r="W1970" i="12" a="1"/>
  <c r="W2217" i="12" a="1"/>
  <c r="W2147" i="12" a="1"/>
  <c r="W934" i="12" a="1"/>
  <c r="W1926" i="12" a="1"/>
  <c r="W2461" i="12" a="1"/>
  <c r="W479" i="12" a="1"/>
  <c r="W2364" i="12" a="1"/>
  <c r="W2228" i="12" a="1"/>
  <c r="W1388" i="12" a="1"/>
  <c r="W1989" i="12" a="1"/>
  <c r="W2161" i="12" a="1"/>
  <c r="W247" i="12" a="1"/>
  <c r="W2601" i="12" a="1"/>
  <c r="W2316" i="12" a="1"/>
  <c r="W1002" i="12" a="1"/>
  <c r="W2199" i="12" a="1"/>
  <c r="W1374" i="12" a="1"/>
  <c r="X2523" i="12" a="1"/>
  <c r="X1474" i="12" a="1"/>
  <c r="W1902" i="12" a="1"/>
  <c r="X2540" i="12" a="1"/>
  <c r="X2165" i="12" a="1"/>
  <c r="X2605" i="12" a="1"/>
  <c r="W126" i="12" a="1"/>
  <c r="W511" i="12" a="1"/>
  <c r="W920" i="12" a="1"/>
  <c r="X1200" i="12" a="1"/>
  <c r="W260" i="12" a="1"/>
  <c r="W1680" i="12" a="1"/>
  <c r="X2633" i="12" a="1"/>
  <c r="X2379" i="12" a="1"/>
  <c r="W1803" i="12" a="1"/>
  <c r="W2408" i="12" a="1"/>
  <c r="X2221" i="12" a="1"/>
  <c r="X2317" i="12" a="1"/>
  <c r="W2250" i="12" a="1"/>
  <c r="W669" i="12" a="1"/>
  <c r="W51" i="12" a="1"/>
  <c r="W1361" i="12" a="1"/>
  <c r="W704" i="12" a="1"/>
  <c r="W2375" i="12" a="1"/>
  <c r="W954" i="12" a="1"/>
  <c r="W2154" i="12" a="1"/>
  <c r="W1297" i="12" a="1"/>
  <c r="W1841" i="12" a="1"/>
  <c r="X1066" i="12" a="1"/>
  <c r="W2105" i="12" a="1"/>
  <c r="W155" i="12" a="1"/>
  <c r="W1156" i="12" a="1"/>
  <c r="X1957" i="12" a="1"/>
  <c r="W2026" i="12" a="1"/>
  <c r="W1656" i="12" a="1"/>
  <c r="W2129" i="12" a="1"/>
  <c r="W1481" i="12" a="1"/>
  <c r="W355" i="12" a="1"/>
  <c r="W2002" i="12" a="1"/>
  <c r="W1477" i="12" a="1"/>
  <c r="X1249" i="12" a="1"/>
  <c r="X2507" i="12" a="1"/>
  <c r="W1862" i="12" a="1"/>
  <c r="W2538" i="12" a="1"/>
  <c r="W2508" i="12" a="1"/>
  <c r="W2632" i="12" a="1"/>
  <c r="W1550" i="12" a="1"/>
  <c r="W1957" i="12" a="1"/>
  <c r="W1244" i="12" a="1"/>
  <c r="W1285" i="12" a="1"/>
  <c r="W1309" i="12" a="1"/>
  <c r="W1365" i="12" a="1"/>
  <c r="W1389" i="12" a="1"/>
  <c r="W1265" i="12" a="1"/>
  <c r="W1507" i="12" a="1"/>
  <c r="W1068" i="12" a="1"/>
  <c r="X2139" i="12" a="1"/>
  <c r="W2333" i="12" a="1"/>
  <c r="W1269" i="12" a="1"/>
  <c r="W2377" i="12" a="1"/>
  <c r="W2309" i="12" a="1"/>
  <c r="W988" i="12" a="1"/>
  <c r="W1240" i="12" a="1"/>
  <c r="X2596" i="12" a="1"/>
  <c r="X1617" i="12" a="1"/>
  <c r="X1716" i="12" a="1"/>
  <c r="X2089" i="12" a="1"/>
  <c r="W1160" i="12" a="1"/>
  <c r="X1090" i="12" a="1"/>
  <c r="W142" i="12" a="1"/>
  <c r="W984" i="12" a="1"/>
  <c r="W1994" i="12" a="1"/>
  <c r="W2086" i="12" a="1"/>
  <c r="W2242" i="12" a="1"/>
  <c r="W2166" i="12" a="1"/>
  <c r="W552" i="12" a="1"/>
  <c r="W2366" i="12" a="1"/>
  <c r="W2402" i="12" a="1"/>
  <c r="W2422" i="12" a="1"/>
  <c r="W2444" i="12" a="1"/>
  <c r="W1746" i="12" a="1"/>
  <c r="X702" i="12" a="1"/>
  <c r="W2308" i="12" a="1"/>
  <c r="W1962" i="12" a="1"/>
  <c r="W1591" i="12" a="1"/>
  <c r="W2542" i="12" a="1"/>
  <c r="W1036" i="12" a="1"/>
  <c r="W2535" i="12" a="1"/>
  <c r="W159" i="12" a="1"/>
  <c r="X2132" i="12" a="1"/>
  <c r="W1259" i="12" a="1"/>
  <c r="W1777" i="12" a="1"/>
  <c r="W2619" i="12" a="1"/>
  <c r="W1088" i="12" a="1"/>
  <c r="X2136" i="12" a="1"/>
  <c r="X1721" i="12" a="1"/>
  <c r="W662" i="12" a="1"/>
  <c r="W2269" i="12" a="1"/>
  <c r="W1570" i="12" a="1"/>
  <c r="W141" i="12" a="1"/>
  <c r="X2153" i="12" a="1"/>
  <c r="W1196" i="12" a="1"/>
  <c r="W1249" i="12" a="1"/>
  <c r="W2096" i="12" a="1"/>
  <c r="W1925" i="12" a="1"/>
  <c r="W2146" i="12" a="1"/>
  <c r="W468" i="12" a="1"/>
  <c r="W353" i="12" a="1"/>
  <c r="W2322" i="12" a="1"/>
  <c r="W2203" i="12" a="1"/>
  <c r="W70" i="12" a="1"/>
  <c r="W2476" i="12" a="1"/>
  <c r="W2529" i="12" a="1"/>
  <c r="W2469" i="12" a="1"/>
  <c r="W1635" i="12" a="1"/>
  <c r="W1598" i="12" a="1"/>
  <c r="W2611" i="12" a="1"/>
  <c r="W2034" i="12" a="1"/>
  <c r="W2313" i="12" a="1"/>
  <c r="W1975" i="12" a="1"/>
  <c r="X1544" i="12" a="1"/>
  <c r="W2591" i="12" a="1"/>
  <c r="W899" i="12" a="1"/>
  <c r="W2398" i="12" a="1"/>
  <c r="W1457" i="12" a="1"/>
  <c r="W472" i="12" a="1"/>
  <c r="W2471" i="12" a="1"/>
  <c r="W2184" i="12" a="1"/>
  <c r="W2244" i="12" a="1"/>
  <c r="W2224" i="12" a="1"/>
  <c r="W1288" i="12" a="1"/>
  <c r="W2344" i="12" a="1"/>
  <c r="W1505" i="12" a="1"/>
  <c r="W2384" i="12" a="1"/>
  <c r="W2279" i="12" a="1"/>
  <c r="W616" i="12" a="1"/>
  <c r="W1951" i="12" a="1"/>
  <c r="X2267" i="12" a="1"/>
  <c r="W2293" i="12" a="1"/>
  <c r="W2299" i="12" a="1"/>
  <c r="W2481" i="12" a="1"/>
  <c r="W2229" i="12" a="1"/>
  <c r="W2319" i="12" a="1"/>
  <c r="W2446" i="12" a="1"/>
  <c r="W1961" i="12" a="1"/>
  <c r="W1059" i="12" a="1"/>
  <c r="W2327" i="12" a="1"/>
  <c r="W1697" i="12" a="1"/>
  <c r="W487" i="12" a="1"/>
  <c r="X1217" i="12" a="1"/>
  <c r="W1546" i="12" a="1"/>
  <c r="W1669" i="12" a="1"/>
  <c r="W1555" i="12" a="1"/>
  <c r="W88" i="12" a="1"/>
  <c r="W1604" i="12" a="1"/>
  <c r="W638" i="12" a="1"/>
  <c r="W1684" i="12" a="1"/>
  <c r="W909" i="12" a="1"/>
  <c r="W1890" i="12" a="1"/>
  <c r="W444" i="12" a="1"/>
  <c r="W1930" i="12" a="1"/>
  <c r="X1469" i="12" a="1"/>
  <c r="W1712" i="12" a="1"/>
  <c r="W2012" i="12" a="1"/>
  <c r="X1288" i="12" a="1"/>
  <c r="W1938" i="12" a="1"/>
  <c r="W1478" i="12" a="1"/>
  <c r="X1641" i="12" a="1"/>
  <c r="W2236" i="12" a="1"/>
  <c r="W1945" i="12" a="1"/>
  <c r="W1737" i="12" a="1"/>
  <c r="W2566" i="12" a="1"/>
  <c r="W1416" i="12" a="1"/>
  <c r="X947" i="12" a="1"/>
  <c r="W35" i="12" a="1"/>
  <c r="X1989" i="12" a="1"/>
  <c r="X1031" i="12" a="1"/>
  <c r="W1913" i="12" a="1"/>
  <c r="W1547" i="12" a="1"/>
  <c r="W576" i="12" a="1"/>
  <c r="W2452" i="12" a="1"/>
  <c r="W548" i="12" a="1"/>
  <c r="W348" i="12" a="1"/>
  <c r="W2572" i="12" a="1"/>
  <c r="W1049" i="12" a="1"/>
  <c r="X1570" i="12" a="1"/>
  <c r="W1235" i="12" a="1"/>
  <c r="W1311" i="12" a="1"/>
  <c r="W1400" i="12" a="1"/>
  <c r="W1899" i="12" a="1"/>
  <c r="W1775" i="12" a="1"/>
  <c r="W1783" i="12" a="1"/>
  <c r="X2644" i="12" a="1"/>
  <c r="W207" i="12" a="1"/>
  <c r="W414" i="12" a="1"/>
  <c r="W707" i="12" a="1"/>
  <c r="W2379" i="12" a="1"/>
  <c r="W228" i="12" a="1"/>
  <c r="X2061" i="12" a="1"/>
  <c r="W2447" i="12" a="1"/>
  <c r="X1953" i="12" a="1"/>
  <c r="W1952" i="12" a="1"/>
  <c r="X2203" i="12" a="1"/>
  <c r="W2122" i="12" a="1"/>
  <c r="W316" i="12" a="1"/>
  <c r="W1442" i="12" a="1"/>
  <c r="W2300" i="12" a="1"/>
  <c r="W1976" i="12" a="1"/>
  <c r="W1177" i="12" a="1"/>
  <c r="W2539" i="12" a="1"/>
  <c r="X643" i="12" a="1"/>
  <c r="W1121" i="12" a="1"/>
  <c r="X2329" i="12" a="1"/>
  <c r="W713" i="12" a="1"/>
  <c r="W417" i="12" a="1"/>
  <c r="W186" i="12" a="1"/>
  <c r="X2045" i="12" a="1"/>
  <c r="W1784" i="12" a="1"/>
  <c r="W861" i="12" a="1"/>
  <c r="X2003" i="12" a="1"/>
  <c r="W1891" i="12" a="1"/>
  <c r="W908" i="12" a="1"/>
  <c r="W582" i="12" a="1"/>
  <c r="X2643" i="12" a="1"/>
  <c r="W2050" i="12" a="1"/>
  <c r="W1350" i="12" a="1"/>
  <c r="X2043" i="12" a="1"/>
  <c r="W111" i="12" a="1"/>
  <c r="W2324" i="12" a="1"/>
  <c r="W1973" i="12" a="1"/>
  <c r="W2622" i="12" a="1"/>
  <c r="W1286" i="12" a="1"/>
  <c r="W2197" i="12" a="1"/>
  <c r="W2499" i="12" a="1"/>
  <c r="W1260" i="12" a="1"/>
  <c r="W2227" i="12" a="1"/>
  <c r="W2641" i="12" a="1"/>
  <c r="W1366" i="12" a="1"/>
  <c r="W1289" i="12" a="1"/>
  <c r="W420" i="12" a="1"/>
  <c r="W1328" i="12" a="1"/>
  <c r="W392" i="12" a="1"/>
  <c r="X1804" i="12" a="1"/>
  <c r="W2465" i="12" a="1"/>
  <c r="W2399" i="12" a="1"/>
  <c r="W2124" i="12" a="1"/>
  <c r="W1030" i="12" a="1"/>
  <c r="W1854" i="12" a="1"/>
  <c r="W2571" i="12" a="1"/>
  <c r="W1226" i="12" a="1"/>
  <c r="X2508" i="12" a="1"/>
  <c r="X1213" i="12" a="1"/>
  <c r="W2178" i="12" a="1"/>
  <c r="W2373" i="12" a="1"/>
  <c r="W2010" i="12" a="1"/>
  <c r="W1180" i="12" a="1"/>
  <c r="W2247" i="12" a="1"/>
  <c r="W826" i="12" a="1"/>
  <c r="W1726" i="12" a="1"/>
  <c r="W1173" i="12" a="1"/>
  <c r="W2361" i="12" a="1"/>
  <c r="W1253" i="12" a="1"/>
  <c r="W2410" i="12" a="1"/>
  <c r="W2553" i="12" a="1"/>
  <c r="W2285" i="12" a="1"/>
  <c r="W735" i="12" a="1"/>
  <c r="W253" i="12" a="1"/>
  <c r="X2469" i="12" a="1"/>
  <c r="W1740" i="12" a="1"/>
  <c r="W1630" i="12" a="1"/>
  <c r="W2282" i="12" a="1"/>
  <c r="W2573" i="12" a="1"/>
  <c r="W1758" i="12" a="1"/>
  <c r="W686" i="12" a="1"/>
  <c r="W797" i="12" a="1"/>
  <c r="W2189" i="12" a="1"/>
  <c r="W2442" i="12" a="1"/>
  <c r="W1728" i="12" a="1"/>
  <c r="X1914" i="12" a="1"/>
  <c r="W1151" i="12" a="1"/>
  <c r="W2625" i="12" a="1"/>
  <c r="W737" i="12" a="1"/>
  <c r="W744" i="12" a="1"/>
  <c r="W2462" i="12" a="1"/>
  <c r="W460" i="12" a="1"/>
  <c r="W787" i="12" a="1"/>
  <c r="W886" i="12" a="1"/>
  <c r="W1255" i="12" a="1"/>
  <c r="W1046" i="12" a="1"/>
  <c r="W1747" i="12" a="1"/>
  <c r="W1770" i="12" a="1"/>
  <c r="W1016" i="12" a="1"/>
  <c r="W860" i="12" a="1"/>
  <c r="W2483" i="12" a="1"/>
  <c r="W2491" i="12" a="1"/>
  <c r="W1053" i="12" a="1"/>
  <c r="W939" i="12" a="1"/>
  <c r="W2337" i="12" a="1"/>
  <c r="W1944" i="12" a="1"/>
  <c r="W1117" i="12" a="1"/>
  <c r="X2205" i="12" a="1"/>
  <c r="W2205" i="12" a="1"/>
  <c r="W1812" i="12" a="1"/>
  <c r="W987" i="12" a="1"/>
  <c r="W1675" i="12" a="1"/>
  <c r="X1032" i="12" a="1"/>
  <c r="W1047" i="12" a="1"/>
  <c r="X2458" i="12" a="1"/>
  <c r="X2602" i="12" a="1"/>
  <c r="X1685" i="12" a="1"/>
  <c r="W1310" i="12" a="1"/>
  <c r="W1638" i="12" a="1"/>
  <c r="W2369" i="12" a="1"/>
  <c r="W2647" i="12" a="1"/>
  <c r="W1456" i="12" a="1"/>
  <c r="W765" i="12" a="1"/>
  <c r="W1956" i="12" a="1"/>
  <c r="W435" i="12" a="1"/>
  <c r="W633" i="12" a="1"/>
  <c r="W2597" i="12" a="1"/>
  <c r="W1701" i="12" a="1"/>
  <c r="W2192" i="12" a="1"/>
  <c r="W2167" i="12" a="1"/>
  <c r="W2315" i="12" a="1"/>
  <c r="X2629" i="12" a="1"/>
  <c r="W2605" i="12" a="1"/>
  <c r="W1056" i="12" a="1"/>
  <c r="X2365" i="12" a="1"/>
  <c r="W732" i="12" a="1"/>
  <c r="W2088" i="12" a="1"/>
  <c r="X1457" i="12" a="1"/>
  <c r="W2600" i="12" a="1"/>
  <c r="X1521" i="12" a="1"/>
  <c r="W627" i="12" a="1"/>
  <c r="W1147" i="12" a="1"/>
  <c r="W2223" i="12" a="1"/>
  <c r="W2041" i="12" a="1"/>
  <c r="W1133" i="12" a="1"/>
  <c r="X895" i="12" a="1"/>
  <c r="W2243" i="12" a="1"/>
  <c r="W2395" i="12" a="1"/>
  <c r="W1596" i="12" a="1"/>
  <c r="W1383" i="12" a="1"/>
  <c r="W2153" i="12" a="1"/>
  <c r="W2226" i="12" a="1"/>
  <c r="W415" i="12" a="1"/>
  <c r="W2177" i="12" a="1"/>
  <c r="W1219" i="12" a="1"/>
  <c r="W559" i="12" a="1"/>
  <c r="W1755" i="12" a="1"/>
  <c r="W1611" i="12" a="1"/>
  <c r="W2063" i="12" a="1"/>
  <c r="X794" i="12" a="1"/>
  <c r="W857" i="12" a="1"/>
  <c r="W1730" i="12" a="1"/>
  <c r="W1690" i="12" a="1"/>
  <c r="W42" i="12" a="1"/>
  <c r="W1541" i="12" a="1"/>
  <c r="W1572" i="12" a="1"/>
  <c r="W2637" i="12" a="1"/>
  <c r="W1980" i="12" a="1"/>
  <c r="W2482" i="12" a="1"/>
  <c r="X2260" i="12" a="1"/>
  <c r="W2231" i="12" a="1"/>
  <c r="W371" i="12" a="1"/>
  <c r="W1644" i="12" a="1"/>
  <c r="W446" i="12" a="1"/>
  <c r="X1676" i="12" a="1"/>
  <c r="W1426" i="12" a="1"/>
  <c r="X2341" i="12" a="1"/>
  <c r="W2204" i="12" a="1"/>
  <c r="W2171" i="12" a="1"/>
  <c r="W1415" i="12" a="1"/>
  <c r="X2301" i="12" a="1"/>
  <c r="W1189" i="12" a="1"/>
  <c r="W2548" i="12" a="1"/>
  <c r="W1704" i="12" a="1"/>
  <c r="W2326" i="12" a="1"/>
  <c r="W1113" i="12" a="1"/>
  <c r="W1557" i="12" a="1"/>
  <c r="X1801" i="12" a="1"/>
  <c r="W1903" i="12" a="1"/>
  <c r="W2574" i="12" a="1"/>
  <c r="X1873" i="12" a="1"/>
  <c r="W570" i="12" a="1"/>
  <c r="W358" i="12" a="1"/>
  <c r="W652" i="12" a="1"/>
  <c r="W1100" i="12" a="1"/>
  <c r="X2235" i="12" a="1"/>
  <c r="W1315" i="12" a="1"/>
  <c r="W1094" i="12" a="1"/>
  <c r="W2425" i="12" a="1"/>
  <c r="W1820" i="12" a="1"/>
  <c r="W1017" i="12" a="1"/>
  <c r="W1363" i="12" a="1"/>
  <c r="W1683" i="12" a="1"/>
  <c r="W2221" i="12" a="1"/>
  <c r="X2023" i="12" a="1"/>
  <c r="W1454" i="12" a="1"/>
  <c r="W90" i="12" a="1"/>
  <c r="W342" i="12" a="1"/>
  <c r="X1185" i="12" a="1"/>
  <c r="W1883" i="12" a="1"/>
  <c r="W2291" i="12" a="1"/>
  <c r="W2025" i="12" a="1"/>
  <c r="W1860" i="12" a="1"/>
  <c r="X2245" i="12" a="1"/>
  <c r="W1035" i="12" a="1"/>
  <c r="W1904" i="12" a="1"/>
  <c r="X2309" i="12" a="1"/>
  <c r="X2268" i="12" a="1"/>
  <c r="X1329" i="12" a="1"/>
  <c r="W1984" i="12" a="1"/>
  <c r="W1490" i="12" a="1"/>
  <c r="W601" i="12" a="1"/>
  <c r="W210" i="12" a="1"/>
  <c r="W1674" i="12" a="1"/>
  <c r="W1912" i="12" a="1"/>
  <c r="W2098" i="12" a="1"/>
  <c r="W1072" i="12" a="1"/>
  <c r="W2545" i="12" a="1"/>
  <c r="W313" i="12" a="1"/>
  <c r="W1087" i="12" a="1"/>
  <c r="W2473" i="12" a="1"/>
  <c r="W959" i="12" a="1"/>
  <c r="W2616" i="12" a="1"/>
  <c r="W876" i="12" a="1"/>
  <c r="W465" i="12" a="1"/>
  <c r="X1194" i="12" a="1"/>
  <c r="X1197" i="12" a="1"/>
  <c r="W1567" i="12" a="1"/>
  <c r="W1069" i="12" a="1"/>
  <c r="W642" i="12" a="1"/>
  <c r="W1743" i="12" a="1"/>
  <c r="W1943" i="12" a="1"/>
  <c r="W1281" i="12" a="1"/>
  <c r="W2233" i="12" a="1"/>
  <c r="W2359" i="12" a="1"/>
  <c r="W1971" i="12" a="1"/>
  <c r="W781" i="12" a="1"/>
  <c r="W632" i="12" a="1"/>
  <c r="W1880" i="12" a="1"/>
  <c r="W712" i="12" a="1"/>
  <c r="X2324" i="12" a="1"/>
  <c r="W928" i="12" a="1"/>
  <c r="W1823" i="12" a="1"/>
  <c r="X1965" i="12" a="1"/>
  <c r="W2083" i="12" a="1"/>
  <c r="W2629" i="12" a="1"/>
  <c r="X1816" i="12" a="1"/>
  <c r="W1582" i="12" a="1"/>
  <c r="W2585" i="12" a="1"/>
  <c r="W1711" i="12" a="1"/>
  <c r="X851" i="12" a="1"/>
  <c r="W285" i="12" a="1"/>
  <c r="W2368" i="12" a="1"/>
  <c r="X1964" i="12" a="1"/>
  <c r="W637" i="12" a="1"/>
  <c r="W1554" i="12" a="1"/>
  <c r="W1947" i="12" a="1"/>
  <c r="X1722" i="12" a="1"/>
  <c r="X2148" i="12" a="1"/>
  <c r="W1665" i="12" a="1"/>
  <c r="W144" i="12" a="1"/>
  <c r="W1849" i="12" a="1"/>
  <c r="W1578" i="12" a="1"/>
  <c r="W1621" i="12" a="1"/>
  <c r="W1968" i="12" a="1"/>
  <c r="W2486" i="12" a="1"/>
  <c r="X1494" i="12" a="1"/>
  <c r="W828" i="12" a="1"/>
  <c r="W1423" i="12" a="1"/>
  <c r="W2111" i="12" a="1"/>
  <c r="W1815" i="12" a="1"/>
  <c r="W364" i="12" a="1"/>
  <c r="W1325" i="12" a="1"/>
  <c r="W1080" i="12" a="1"/>
  <c r="W1203" i="12" a="1"/>
  <c r="X2011" i="12" a="1"/>
  <c r="X2097" i="12" a="1"/>
  <c r="W1574" i="12" a="1"/>
  <c r="W1228" i="12" a="1"/>
  <c r="W1705" i="12" a="1"/>
  <c r="W394" i="12" a="1"/>
  <c r="W1838" i="12" a="1"/>
  <c r="W822" i="12" a="1"/>
  <c r="W1923" i="12" a="1"/>
  <c r="W2567" i="12" a="1"/>
  <c r="W2630" i="12" a="1"/>
  <c r="W2458" i="12" a="1"/>
  <c r="W1324" i="12" a="1"/>
  <c r="W2392" i="12" a="1"/>
  <c r="W1650" i="12" a="1"/>
  <c r="W1780" i="12" a="1"/>
  <c r="W183" i="12" a="1"/>
  <c r="W1742" i="12" a="1"/>
  <c r="W2152" i="12" a="1"/>
  <c r="W2636" i="12" a="1"/>
  <c r="W2429" i="12" a="1"/>
  <c r="W2518" i="12" a="1"/>
  <c r="W2040" i="12" a="1"/>
  <c r="W1906" i="12" a="1"/>
  <c r="X1034" i="12" a="1"/>
  <c r="W1347" i="12" a="1"/>
  <c r="W697" i="12" a="1"/>
  <c r="X2107" i="12" a="1"/>
  <c r="X1785" i="12" a="1"/>
  <c r="W2509" i="12" a="1"/>
  <c r="W1050" i="12" a="1"/>
  <c r="W1327" i="12" a="1"/>
  <c r="W2074" i="12" a="1"/>
  <c r="W2367" i="12" a="1"/>
  <c r="W1410" i="12" a="1"/>
  <c r="W2524" i="12" a="1"/>
  <c r="W1901" i="12" a="1"/>
  <c r="W1917" i="12" a="1"/>
  <c r="W1296" i="12" a="1"/>
  <c r="W163" i="12" a="1"/>
  <c r="W2370" i="12" a="1"/>
  <c r="W74" i="12" a="1"/>
  <c r="X1695" i="12" a="1"/>
  <c r="W1797" i="12" a="1"/>
  <c r="X1349" i="12" a="1"/>
  <c r="W1304" i="12" a="1"/>
  <c r="W447" i="12" a="1"/>
  <c r="W77" i="12" a="1"/>
  <c r="W1081" i="12" a="1"/>
  <c r="W1330" i="12" a="1"/>
  <c r="W1331" i="12" a="1"/>
  <c r="W1655" i="12" a="1"/>
  <c r="X2093" i="12" a="1"/>
  <c r="W1964" i="12" a="1"/>
  <c r="W1757" i="12" a="1"/>
  <c r="W143" i="12" a="1"/>
  <c r="W1612" i="12" a="1"/>
  <c r="W2372" i="12" a="1"/>
  <c r="W2256" i="12" a="1"/>
  <c r="W2087" i="12" a="1"/>
  <c r="W2441" i="12" a="1"/>
  <c r="W1341" i="12" a="1"/>
  <c r="W1414" i="12" a="1"/>
  <c r="W2132" i="12" a="1"/>
  <c r="W2071" i="12" a="1"/>
  <c r="W1247" i="12" a="1"/>
  <c r="W2356" i="12" a="1"/>
  <c r="W2195" i="12" a="1"/>
  <c r="W2259" i="12" a="1"/>
  <c r="W1043" i="12" a="1"/>
  <c r="W1573" i="12" a="1"/>
  <c r="W658" i="12" a="1"/>
  <c r="W1200" i="12" a="1"/>
  <c r="X2215" i="12" a="1"/>
  <c r="W1587" i="12" a="1"/>
  <c r="W2426" i="12" a="1"/>
  <c r="W1916" i="12" a="1"/>
  <c r="W1502" i="12" a="1"/>
  <c r="W2513" i="12" a="1"/>
  <c r="W301" i="12" a="1"/>
  <c r="W2614" i="12" a="1"/>
  <c r="W527" i="12" a="1"/>
  <c r="W1932" i="12" a="1"/>
  <c r="W622" i="12" a="1"/>
  <c r="X1299" i="12" a="1"/>
  <c r="W746" i="12" a="1"/>
  <c r="W2575" i="12" a="1"/>
  <c r="W1871" i="12" a="1"/>
  <c r="W1520" i="12" a="1"/>
  <c r="W1116" i="12" a="1"/>
  <c r="W2321" i="12" a="1"/>
  <c r="W508" i="12" a="1"/>
  <c r="W489" i="12" a="1"/>
  <c r="W49" i="12" a="1"/>
  <c r="W2568" i="12" a="1"/>
  <c r="W739" i="12" a="1"/>
  <c r="W2257" i="12" a="1"/>
  <c r="W1337" i="12" a="1"/>
  <c r="W1765" i="12" a="1"/>
  <c r="W915" i="12" a="1"/>
  <c r="X1477" i="12" a="1"/>
  <c r="X1405" i="12" a="1"/>
  <c r="W1179" i="12" a="1"/>
  <c r="W1693" i="12" a="1"/>
  <c r="W2049" i="12" a="1"/>
  <c r="X2069" i="12" a="1"/>
  <c r="W838" i="12" a="1"/>
  <c r="X2229" i="12" a="1"/>
  <c r="W1850" i="12" a="1"/>
  <c r="X1941" i="12" a="1"/>
  <c r="W779" i="12" a="1"/>
  <c r="X1729" i="12" a="1"/>
  <c r="W1959" i="12" a="1"/>
  <c r="W1699" i="12" a="1"/>
  <c r="W1164" i="12" a="1"/>
  <c r="W2559" i="12" a="1"/>
  <c r="W1334" i="12" a="1"/>
  <c r="W2583" i="12" a="1"/>
  <c r="W1700" i="12" a="1"/>
  <c r="W1418" i="12" a="1"/>
  <c r="W2534" i="12" a="1"/>
  <c r="W1004" i="12" a="1"/>
  <c r="X2645" i="12" a="1"/>
  <c r="W2188" i="12" a="1"/>
  <c r="W2194" i="12" a="1"/>
  <c r="W1372" i="12" a="1"/>
  <c r="W203" i="12" a="1"/>
  <c r="W1622" i="12" a="1"/>
  <c r="W2081" i="12" a="1"/>
  <c r="W1861" i="12" a="1"/>
  <c r="W2018" i="12" a="1"/>
  <c r="W2296" i="12" a="1"/>
  <c r="X1772" i="12" a="1"/>
  <c r="W2536" i="12" a="1"/>
  <c r="W2520" i="12" a="1"/>
  <c r="X2389" i="12" a="1"/>
  <c r="W1078" i="12" a="1"/>
  <c r="W1131" i="12" a="1"/>
  <c r="W2599" i="12" a="1"/>
  <c r="W1581" i="12" a="1"/>
  <c r="W1562" i="12" a="1"/>
  <c r="W1300" i="12" a="1"/>
  <c r="X1887" i="12" a="1"/>
  <c r="W1232" i="12" a="1"/>
  <c r="W1639" i="12" a="1"/>
  <c r="W2612" i="12" a="1"/>
  <c r="W1003" i="12" a="1"/>
  <c r="W2004" i="12" a="1"/>
  <c r="W971" i="12" a="1"/>
  <c r="W1671" i="12" a="1"/>
  <c r="W2235" i="12" a="1"/>
  <c r="W2635" i="12" a="1"/>
  <c r="X2027" i="12" a="1"/>
  <c r="W1691" i="12" a="1"/>
  <c r="W1411" i="12" a="1"/>
  <c r="W1641" i="12" a="1"/>
  <c r="W1764" i="12" a="1"/>
  <c r="W952" i="12" a="1"/>
  <c r="W2317" i="12" a="1"/>
  <c r="W1662" i="12" a="1"/>
  <c r="W1721" i="12" a="1"/>
  <c r="X2345" i="12" a="1"/>
  <c r="X367" i="12" a="1"/>
  <c r="X1392" i="12" a="1"/>
  <c r="X2441" i="12" a="1"/>
  <c r="W2262" i="12" a="1"/>
  <c r="W515" i="12" a="1"/>
  <c r="W1739" i="12" a="1"/>
  <c r="W1751" i="12" a="1"/>
  <c r="X1500" i="12" a="1"/>
  <c r="X1422" i="12" a="1"/>
  <c r="X1541" i="12" a="1"/>
  <c r="W330" i="12" a="1"/>
  <c r="X2346" i="12" a="1"/>
  <c r="X1855" i="12" a="1"/>
  <c r="W615" i="12" a="1"/>
  <c r="W2155" i="12" a="1"/>
  <c r="W2450" i="12" a="1"/>
  <c r="X1995" i="12" a="1"/>
  <c r="W2024" i="12" a="1"/>
  <c r="W2488" i="12" a="1"/>
  <c r="W2541" i="12" a="1"/>
  <c r="W1145" i="12" a="1"/>
  <c r="X2601" i="12" a="1"/>
  <c r="W1023" i="12" a="1"/>
  <c r="W287" i="12" a="1"/>
  <c r="W1183" i="12" a="1"/>
  <c r="W970" i="12" a="1"/>
  <c r="W393" i="12" a="1"/>
  <c r="W1518" i="12" a="1"/>
  <c r="W1314" i="12" a="1"/>
  <c r="W938" i="12" a="1"/>
  <c r="W1810" i="12" a="1"/>
  <c r="W1636" i="12" a="1"/>
  <c r="W2168" i="12" a="1"/>
  <c r="W351" i="12" a="1"/>
  <c r="W338" i="12" a="1"/>
  <c r="W1673" i="12" a="1"/>
  <c r="W540" i="12" a="1"/>
  <c r="X1711" i="12" a="1"/>
  <c r="W1212" i="12" a="1"/>
  <c r="X2328" i="12" a="1"/>
  <c r="W683" i="12" a="1"/>
  <c r="W982" i="12" a="1"/>
  <c r="W2022" i="12" a="1"/>
  <c r="W1439" i="12" a="1"/>
  <c r="W2477" i="12" a="1"/>
  <c r="W2121" i="12" a="1"/>
  <c r="W2543" i="12" a="1"/>
  <c r="W795" i="12" a="1"/>
  <c r="W2325" i="12" a="1"/>
  <c r="W1449" i="12" a="1"/>
  <c r="W2507" i="12" a="1"/>
  <c r="W1529" i="12" a="1"/>
  <c r="W824" i="12" a="1"/>
  <c r="W1940" i="12" a="1"/>
  <c r="W2537" i="12" a="1"/>
  <c r="W1443" i="12" a="1"/>
  <c r="W1277" i="12" a="1"/>
  <c r="W1326" i="12" a="1"/>
  <c r="W2118" i="12" a="1"/>
  <c r="W2264" i="12" a="1"/>
  <c r="W524" i="12" a="1"/>
  <c r="W842" i="12" a="1"/>
  <c r="W2295" i="12" a="1"/>
  <c r="W2097" i="12" a="1"/>
  <c r="W2515" i="12" a="1"/>
  <c r="W574" i="12" a="1"/>
  <c r="W2307" i="12" a="1"/>
  <c r="W1886" i="12" a="1"/>
  <c r="W1589" i="12" a="1"/>
  <c r="W379" i="12" a="1"/>
  <c r="W693" i="12" a="1"/>
  <c r="W2457" i="12" a="1"/>
  <c r="W2312" i="12" a="1"/>
  <c r="W1115" i="12" a="1"/>
  <c r="W2352" i="12" a="1"/>
  <c r="W2084" i="12" a="1"/>
  <c r="W2474" i="12" a="1"/>
  <c r="W1863" i="12" a="1"/>
  <c r="W2514" i="12" a="1"/>
  <c r="W2265" i="12" a="1"/>
  <c r="W2196" i="12" a="1"/>
  <c r="W883" i="12" a="1"/>
  <c r="W1649" i="12" a="1"/>
  <c r="X1865" i="12" a="1"/>
  <c r="X1312" i="12" a="1"/>
  <c r="W1417" i="12" a="1"/>
  <c r="W2072" i="12" a="1"/>
  <c r="W1163" i="12" a="1"/>
  <c r="W1542" i="12" a="1"/>
  <c r="W1681" i="12" a="1"/>
  <c r="W2115" i="12" a="1"/>
  <c r="W1215" i="12" a="1"/>
  <c r="W2380" i="12" a="1"/>
  <c r="X2117" i="12" a="1"/>
  <c r="W986" i="12" a="1"/>
  <c r="X2465" i="12" a="1"/>
  <c r="X1800" i="12" a="1"/>
  <c r="X1229" i="12" a="1"/>
  <c r="W722" i="12" a="1"/>
  <c r="X1973" i="12" a="1"/>
  <c r="X2388" i="12" a="1"/>
  <c r="X1900" i="12" a="1"/>
  <c r="W2404" i="12" a="1"/>
  <c r="W2136" i="12" a="1"/>
  <c r="X1777" i="12" a="1"/>
  <c r="W2498" i="12" a="1"/>
  <c r="W1486" i="12" a="1"/>
  <c r="W1814" i="12" a="1"/>
  <c r="W1519" i="12" a="1"/>
  <c r="W12" i="12" a="1"/>
  <c r="W1827" i="12" a="1"/>
  <c r="W331" i="12" a="1"/>
  <c r="W1695" i="12" a="1"/>
  <c r="W1465" i="12" a="1"/>
  <c r="W1785" i="12" a="1"/>
  <c r="W1736" i="12" a="1"/>
  <c r="W1316" i="12" a="1"/>
  <c r="W1996" i="12" a="1"/>
  <c r="W1450" i="12" a="1"/>
  <c r="W2455" i="12" a="1"/>
  <c r="W2505" i="12" a="1"/>
  <c r="W2547" i="12" a="1"/>
  <c r="W2159" i="12" a="1"/>
  <c r="W931" i="12" a="1"/>
  <c r="W1445" i="12" a="1"/>
  <c r="X1981" i="12" a="1"/>
  <c r="X2405" i="12" a="1"/>
  <c r="W2148" i="12" a="1"/>
  <c r="W1376" i="12" a="1"/>
  <c r="W2609" i="12" a="1"/>
  <c r="W335" i="12" a="1"/>
  <c r="W1474" i="12" a="1"/>
  <c r="W61" i="12" a="1"/>
  <c r="W1782" i="12" a="1"/>
  <c r="W1469" i="12" a="1"/>
  <c r="W2551" i="12" a="1"/>
  <c r="X1506" i="12" a="1"/>
  <c r="W2651" i="12" a="1"/>
  <c r="W1464" i="12" a="1"/>
  <c r="X2021" i="12" a="1"/>
  <c r="W1386" i="12" a="1"/>
  <c r="W1000" i="12" a="1"/>
  <c r="W2467" i="12" a="1"/>
  <c r="W1322" i="12" a="1"/>
  <c r="W1545" i="12" a="1"/>
  <c r="W595" i="12" a="1"/>
  <c r="W1833" i="12" a="1"/>
  <c r="W1565" i="12" a="1"/>
  <c r="W1482" i="12" a="1"/>
  <c r="W1444" i="12" a="1"/>
  <c r="W2128" i="12" a="1"/>
  <c r="W2349" i="12" a="1"/>
  <c r="W361" i="12" a="1"/>
  <c r="W1392" i="12" a="1"/>
  <c r="W1892" i="12" a="1"/>
  <c r="X2414" i="12" a="1"/>
  <c r="X1823" i="12" a="1"/>
  <c r="W1986" i="12" a="1"/>
  <c r="W1384" i="12" a="1"/>
  <c r="W1258" i="12" a="1"/>
  <c r="W1741" i="12" a="1"/>
  <c r="W1939" i="12" a="1"/>
  <c r="W2628" i="12" a="1"/>
  <c r="W209" i="12" a="1"/>
  <c r="W1171" i="12" a="1"/>
  <c r="X1708" i="12" a="1"/>
  <c r="W1491" i="12" a="1"/>
  <c r="W1745" i="12" a="1"/>
  <c r="W2623" i="12" a="1"/>
  <c r="W843" i="12" a="1"/>
  <c r="W2593" i="12" a="1"/>
  <c r="X772" i="12" a="1"/>
  <c r="X1655" i="12" a="1"/>
  <c r="W483" i="12" a="1"/>
  <c r="X1250" i="12" a="1"/>
  <c r="W854" i="12" a="1"/>
  <c r="X2636" i="12" a="1"/>
  <c r="W995" i="12" a="1"/>
  <c r="W1427" i="12" a="1"/>
  <c r="W549" i="12" a="1"/>
  <c r="W1837" i="12" a="1"/>
  <c r="W803" i="12" a="1"/>
  <c r="W754" i="12" a="1"/>
  <c r="X2586" i="12" a="1"/>
  <c r="X2587" i="12" a="1"/>
  <c r="W940" i="12" a="1"/>
  <c r="W1569" i="12" a="1"/>
  <c r="W1941" i="12" a="1"/>
  <c r="W759" i="12" a="1"/>
  <c r="W1715" i="12" a="1"/>
  <c r="W893" i="12" a="1"/>
  <c r="W1275" i="12" a="1"/>
  <c r="W19" i="12" a="1"/>
  <c r="W1398" i="12" a="1"/>
  <c r="X1566" i="12" a="1"/>
  <c r="W1688" i="12" a="1"/>
  <c r="W1319" i="12" a="1"/>
  <c r="W2060" i="12" a="1"/>
  <c r="W783" i="12" a="1"/>
  <c r="W32" i="12" a="1"/>
  <c r="W832" i="12" a="1"/>
  <c r="X1630" i="12" a="1"/>
  <c r="W992" i="12" a="1"/>
  <c r="W816" i="12" a="1"/>
  <c r="W1317" i="12" a="1"/>
  <c r="W1362" i="12" a="1"/>
  <c r="W1754" i="12" a="1"/>
  <c r="W2526" i="12" a="1"/>
  <c r="X2292" i="12" a="1"/>
  <c r="W1301" i="12" a="1"/>
  <c r="W660" i="12" a="1"/>
  <c r="W1530" i="12" a="1"/>
  <c r="W2479" i="12" a="1"/>
  <c r="W1379" i="12" a="1"/>
  <c r="W1571" i="12" a="1"/>
  <c r="W1642" i="12" a="1"/>
  <c r="W2396" i="12" a="1"/>
  <c r="X1452" i="12" a="1"/>
  <c r="W1977" i="12" a="1"/>
  <c r="W1773" i="12" a="1"/>
  <c r="W2472" i="12" a="1"/>
  <c r="W577" i="12" a="1"/>
  <c r="W2385" i="12" a="1"/>
  <c r="W2613" i="12" a="1"/>
  <c r="W2643" i="12" a="1"/>
  <c r="W2522" i="12" a="1"/>
  <c r="W1889" i="12" a="1"/>
  <c r="W2251" i="12" a="1"/>
  <c r="W768" i="12" a="1"/>
  <c r="W957" i="12" a="1"/>
  <c r="W917" i="12" a="1"/>
  <c r="W1607" i="12" a="1"/>
  <c r="W1600" i="12" a="1"/>
  <c r="X1749" i="12" a="1"/>
  <c r="W254" i="12" a="1"/>
  <c r="W131" i="12" a="1"/>
  <c r="W1603" i="12" a="1"/>
  <c r="W1725" i="12" a="1"/>
  <c r="W897" i="12" a="1"/>
  <c r="X2053" i="12" a="1"/>
  <c r="W478" i="12" a="1"/>
  <c r="W1618" i="12" a="1"/>
  <c r="W2330" i="12" a="1"/>
  <c r="W1346" i="12" a="1"/>
  <c r="W2351" i="12" a="1"/>
  <c r="W605" i="12" a="1"/>
  <c r="X1441" i="12" a="1"/>
  <c r="W1508" i="12" a="1"/>
  <c r="X2565" i="12" a="1"/>
  <c r="X1802" i="12" a="1"/>
  <c r="W2435" i="12" a="1"/>
  <c r="W590" i="12" a="1"/>
  <c r="W1241" i="12" a="1"/>
  <c r="W796" i="12" a="1"/>
  <c r="W2116" i="12" a="1"/>
  <c r="W2045" i="12" a="1"/>
  <c r="X2133" i="12" a="1"/>
  <c r="W1875" i="12" a="1"/>
  <c r="W663" i="12" a="1"/>
  <c r="W1385" i="12" a="1"/>
  <c r="W2495" i="12" a="1"/>
  <c r="X2291" i="12" a="1"/>
  <c r="W1614" i="12" a="1"/>
  <c r="W2054" i="12" a="1"/>
  <c r="W2649" i="12" a="1"/>
  <c r="W2624" i="12" a="1"/>
  <c r="X1397" i="12" a="1"/>
  <c r="W2546" i="12" a="1"/>
  <c r="W1504" i="12" a="1"/>
  <c r="W118" i="12" a="1"/>
  <c r="W911" i="12" a="1"/>
  <c r="W2540" i="12" a="1"/>
  <c r="X1590" i="12" a="1"/>
  <c r="W1584" i="12" a="1"/>
  <c r="W2036" i="12" a="1"/>
  <c r="W2561" i="12" a="1"/>
  <c r="W1109" i="12" a="1"/>
  <c r="W2394" i="12" a="1"/>
  <c r="W2341" i="12" a="1"/>
  <c r="W1129" i="12" a="1"/>
  <c r="W1733" i="12" a="1"/>
  <c r="W2642" i="12" a="1"/>
  <c r="W98" i="12" a="1"/>
  <c r="W776" i="12" a="1"/>
  <c r="X1309" i="12" a="1"/>
  <c r="W896" i="12" a="1"/>
  <c r="W1070" i="12" a="1"/>
  <c r="W2162" i="12" a="1"/>
  <c r="X2040" i="12" a="1"/>
  <c r="W619" i="12" a="1"/>
  <c r="W1633" i="12" a="1"/>
  <c r="W2602" i="12" a="1"/>
  <c r="X1947" i="12" a="1"/>
  <c r="W1238" i="12" a="1"/>
  <c r="W1487" i="12" a="1"/>
  <c r="W1503" i="12" a="1"/>
  <c r="W2266" i="12" a="1"/>
  <c r="W505" i="12" a="1"/>
  <c r="W859" i="12" a="1"/>
  <c r="X1264" i="12" a="1"/>
  <c r="W2220" i="12" a="1"/>
  <c r="W389" i="12" a="1"/>
  <c r="W1817" i="12" a="1"/>
  <c r="X2313" i="12" a="1"/>
  <c r="W784" i="12" a="1"/>
  <c r="W1009" i="12" a="1"/>
  <c r="W1425" i="12" a="1"/>
  <c r="X2541" i="12" a="1"/>
  <c r="W1421" i="12" a="1"/>
  <c r="W1608" i="12" a="1"/>
  <c r="W1670" i="12" a="1"/>
  <c r="W2216" i="12" a="1"/>
  <c r="W731" i="12" a="1"/>
  <c r="W424" i="12" a="1"/>
  <c r="W2581" i="12" a="1"/>
  <c r="W665" i="12" a="1"/>
  <c r="W1455" i="12" a="1"/>
  <c r="W1290" i="12" a="1"/>
  <c r="W2260" i="12" a="1"/>
  <c r="W30" i="12" a="1"/>
  <c r="X1756" i="12" a="1"/>
  <c r="W2504" i="12" a="1"/>
  <c r="W1905" i="12" a="1"/>
  <c r="W2554" i="12" a="1"/>
  <c r="W2371" i="12" a="1"/>
  <c r="W2288" i="12" a="1"/>
  <c r="X2650" i="12" a="1"/>
  <c r="W140" i="12" a="1"/>
  <c r="W1950" i="12" a="1"/>
  <c r="W596" i="12" a="1"/>
  <c r="W1024" i="12" a="1"/>
  <c r="W1142" i="12" a="1"/>
  <c r="W1620" i="12" a="1"/>
  <c r="W1356" i="12" a="1"/>
  <c r="W2114" i="12" a="1"/>
  <c r="W1676" i="12" a="1"/>
  <c r="X1759" i="12" a="1"/>
  <c r="W2150" i="12" a="1"/>
  <c r="W2274" i="12" a="1"/>
  <c r="W2230" i="12" a="1"/>
  <c r="W2314" i="12" a="1"/>
  <c r="W1381" i="12" a="1"/>
  <c r="W1718" i="12" a="1"/>
  <c r="W736" i="12" a="1"/>
  <c r="W2135" i="12" a="1"/>
  <c r="W2127" i="12" a="1"/>
  <c r="W1828" i="12" a="1"/>
  <c r="W2412" i="12" a="1"/>
  <c r="W799" i="12" a="1"/>
  <c r="W2580" i="12" a="1"/>
  <c r="W806" i="12" a="1"/>
  <c r="W2182" i="12" a="1"/>
  <c r="W1592" i="12" a="1"/>
  <c r="W2646" i="12" a="1"/>
  <c r="W1501" i="12" a="1"/>
  <c r="X2355" i="12" a="1"/>
  <c r="X1298" i="12" a="1"/>
  <c r="W2273" i="12" a="1"/>
  <c r="W1749" i="12" a="1"/>
  <c r="W2044" i="12" a="1"/>
  <c r="W1744" i="12" a="1"/>
  <c r="W906" i="12" a="1"/>
  <c r="W1824" i="12" a="1"/>
  <c r="W205" i="12" a="1"/>
  <c r="W1960" i="12" a="1"/>
  <c r="W1799" i="12" a="1"/>
  <c r="W2000" i="12" a="1"/>
  <c r="W2494" i="12" a="1"/>
  <c r="W2421" i="12" a="1"/>
  <c r="X2620" i="12" a="1"/>
  <c r="W1832" i="12" a="1"/>
  <c r="W1921" i="12" a="1"/>
  <c r="W2011" i="12" a="1"/>
  <c r="W1141" i="12" a="1"/>
  <c r="W1907" i="12" a="1"/>
  <c r="X1328" i="12" a="1"/>
  <c r="W723" i="12" a="1"/>
  <c r="W888" i="12" a="1"/>
  <c r="W2271" i="12" a="1"/>
  <c r="W1846" i="12" a="1"/>
  <c r="W1692" i="12" a="1"/>
  <c r="W462" i="12" a="1"/>
  <c r="W2550" i="12" a="1"/>
  <c r="W214" i="12" a="1"/>
  <c r="W1037" i="12" a="1"/>
  <c r="W2604" i="12" a="1"/>
  <c r="W2311" i="12" a="1"/>
  <c r="W1106" i="12" a="1"/>
  <c r="W2381" i="12" a="1"/>
  <c r="W2532" i="12" a="1"/>
  <c r="W419" i="12" a="1"/>
  <c r="W1194" i="12" a="1"/>
  <c r="W1480" i="12" a="1"/>
  <c r="W976" i="12" a="1"/>
  <c r="W1208" i="12" a="1"/>
  <c r="W2261" i="12" a="1"/>
  <c r="X1836" i="12" a="1"/>
  <c r="W2589" i="12" a="1"/>
  <c r="W543" i="12" a="1"/>
  <c r="W2119" i="12" a="1"/>
  <c r="W421" i="12" a="1"/>
  <c r="X2109" i="12" a="1"/>
  <c r="W157" i="12" a="1"/>
  <c r="W1152" i="12" a="1"/>
  <c r="X2261" i="12" a="1"/>
  <c r="W1702" i="12" a="1"/>
  <c r="W715" i="12" a="1"/>
  <c r="W2033" i="12" a="1"/>
  <c r="W1387" i="12" a="1"/>
  <c r="X2363" i="12" a="1"/>
  <c r="X1737" i="12" a="1"/>
  <c r="W1025" i="12" a="1"/>
  <c r="W2342" i="12" a="1"/>
  <c r="W956" i="12" a="1"/>
  <c r="X2493" i="12" a="1"/>
  <c r="W1294" i="12" a="1"/>
  <c r="X2437" i="12" a="1"/>
  <c r="X1710" i="12" a="1"/>
  <c r="W1628" i="12" a="1"/>
  <c r="W43" i="12" a="1"/>
  <c r="W2176" i="12" a="1"/>
  <c r="X2473" i="12" a="1"/>
  <c r="W2042" i="12" a="1"/>
  <c r="X2533" i="12" a="1"/>
  <c r="X1381" i="12" a="1"/>
  <c r="X776" i="12" a="1"/>
  <c r="W307" i="12" a="1"/>
  <c r="W2353" i="12" a="1"/>
  <c r="W37" i="12" a="1"/>
  <c r="X2211" i="12" a="1"/>
  <c r="W1561" i="12" a="1"/>
  <c r="W1800" i="12" a="1"/>
  <c r="W1085" i="12" a="1"/>
  <c r="X1805" i="12" a="1"/>
  <c r="W1276" i="12" a="1"/>
  <c r="W2570" i="12" a="1"/>
  <c r="X1691" i="12" a="1"/>
  <c r="W1459" i="12" a="1"/>
  <c r="W1935" i="12" a="1"/>
  <c r="W1969" i="12" a="1"/>
  <c r="W2101" i="12" a="1"/>
  <c r="W2125" i="12" a="1"/>
  <c r="W147" i="12" a="1"/>
  <c r="W829" i="12" a="1"/>
  <c r="W1972" i="12" a="1"/>
  <c r="W1949" i="12" a="1"/>
  <c r="W1801" i="12" a="1"/>
  <c r="W1834" i="12" a="1"/>
  <c r="W2391" i="12" a="1"/>
  <c r="W2113" i="12" a="1"/>
  <c r="W383" i="12" a="1"/>
  <c r="W921" i="12" a="1"/>
  <c r="X2373" i="12" a="1"/>
  <c r="W272" i="12" a="1"/>
  <c r="W2140" i="12" a="1"/>
  <c r="W747" i="12" a="1"/>
  <c r="W1111" i="12" a="1"/>
  <c r="X2371" i="12" a="1"/>
  <c r="W1909" i="12" a="1"/>
  <c r="W2340" i="12" a="1"/>
  <c r="X1692" i="12" a="1"/>
  <c r="X2330" i="12" a="1"/>
  <c r="W895" i="12" a="1"/>
  <c r="X1618" i="12" a="1"/>
  <c r="W1055" i="12" a="1"/>
  <c r="W659" i="12" a="1"/>
  <c r="W1021" i="12" a="1"/>
  <c r="W807" i="12" a="1"/>
  <c r="W1114" i="12" a="1"/>
  <c r="W1908" i="12" a="1"/>
  <c r="X2395" i="12" a="1"/>
  <c r="X2356" i="12" a="1"/>
  <c r="W376" i="12" a="1"/>
  <c r="W1559" i="12" a="1"/>
  <c r="X2517" i="12" a="1"/>
  <c r="W2258" i="12" a="1"/>
  <c r="X1738" i="12" a="1"/>
  <c r="W2634" i="12" a="1"/>
  <c r="X2476" i="12" a="1"/>
  <c r="W2053" i="12" a="1"/>
  <c r="W2281" i="12" a="1"/>
  <c r="W695" i="12" a="1"/>
  <c r="W2277" i="12" a="1"/>
  <c r="W411" i="12" a="1"/>
  <c r="X2394" i="12" a="1"/>
  <c r="W1613" i="12" a="1"/>
  <c r="W2343" i="12" a="1"/>
  <c r="W1766" i="12" a="1"/>
  <c r="W752" i="12" a="1"/>
  <c r="W547" i="12" a="1"/>
  <c r="W1302" i="12" a="1"/>
  <c r="W654" i="12" a="1"/>
  <c r="X1875" i="12" a="1"/>
  <c r="W377" i="12" a="1"/>
  <c r="X2535" i="12" a="1"/>
  <c r="W640" i="12" a="1"/>
  <c r="W2347" i="12" a="1"/>
  <c r="W717" i="12" a="1"/>
  <c r="W2200" i="12" a="1"/>
  <c r="W2586" i="12" a="1"/>
  <c r="W17" i="12" a="1"/>
  <c r="W481" i="12" a="1"/>
  <c r="W2490" i="12" a="1"/>
  <c r="W1019" i="12" a="1"/>
  <c r="W2423" i="12" a="1"/>
  <c r="W1876" i="12" a="1"/>
  <c r="X1246" i="12" a="1"/>
  <c r="W2357" i="12" a="1"/>
  <c r="W918" i="12" a="1"/>
  <c r="W2218" i="12" a="1"/>
  <c r="W2401" i="12" a="1"/>
  <c r="X1256" i="12" a="1"/>
  <c r="W83" i="12" a="1"/>
  <c r="W1732" i="12" a="1"/>
  <c r="W2007" i="12" a="1"/>
  <c r="W1528" i="12" a="1"/>
  <c r="W1139" i="12" a="1"/>
  <c r="W1558" i="12" a="1"/>
  <c r="X1930" i="12" a="1"/>
  <c r="W1965" i="12" a="1"/>
  <c r="W2484" i="12" a="1"/>
  <c r="W1401" i="12" a="1"/>
  <c r="W681" i="12" a="1"/>
  <c r="W1768" i="12" a="1"/>
  <c r="W2225" i="12" a="1"/>
  <c r="X1485" i="12" a="1"/>
  <c r="W1512" i="12" a="1"/>
  <c r="W1648" i="12" a="1"/>
  <c r="W2512" i="12" a="1"/>
  <c r="X1813" i="12" a="1"/>
  <c r="W2383" i="12" a="1"/>
  <c r="W1646" i="12" a="1"/>
  <c r="W2008" i="12" a="1"/>
  <c r="W1929" i="12" a="1"/>
  <c r="W2459" i="12" a="1"/>
  <c r="W2397" i="12" a="1"/>
  <c r="W2430" i="12" a="1"/>
  <c r="W599" i="12" a="1"/>
  <c r="W2339" i="12" a="1"/>
  <c r="W1825" i="12" a="1"/>
  <c r="W1252" i="12" a="1"/>
  <c r="W251" i="12" a="1"/>
  <c r="W858" i="12" a="1"/>
  <c r="W2615" i="12" a="1"/>
  <c r="W2021" i="12" a="1"/>
  <c r="W1368" i="12" a="1"/>
  <c r="W1556" i="12" a="1"/>
  <c r="W1432" i="12" a="1"/>
  <c r="W1543" i="12" a="1"/>
  <c r="X1760" i="12" a="1"/>
  <c r="W1809" i="12" a="1"/>
  <c r="X1565" i="12" a="1"/>
  <c r="W2645" i="12" a="1"/>
  <c r="X1201" i="12" a="1"/>
  <c r="W1590" i="12" a="1"/>
  <c r="W121" i="12" a="1"/>
  <c r="W1997" i="12" a="1"/>
  <c r="W1466" i="12" a="1"/>
  <c r="W2069" i="12" a="1"/>
  <c r="X1648" i="12" a="1"/>
  <c r="W1402" i="12" a="1"/>
  <c r="W2263" i="12" a="1"/>
  <c r="W1789" i="12" a="1"/>
  <c r="W880" i="12" a="1"/>
  <c r="W1645" i="12" a="1"/>
  <c r="W2390" i="12" a="1"/>
  <c r="W1216" i="12" a="1"/>
  <c r="W1609" i="12" a="1"/>
  <c r="W2389" i="12" a="1"/>
  <c r="W2521" i="12" a="1"/>
  <c r="W1706" i="12" a="1"/>
  <c r="X525" i="12" a="1"/>
  <c r="X1936" i="12" a="1"/>
  <c r="W45" i="12" a="1"/>
  <c r="W2108" i="12" a="1"/>
  <c r="W1011" i="12" a="1"/>
  <c r="W2289" i="12" a="1"/>
  <c r="W583" i="12" a="1"/>
  <c r="W791" i="12" a="1"/>
  <c r="W343" i="12" a="1"/>
  <c r="W1585" i="12" a="1"/>
  <c r="X2155" i="12" a="1"/>
  <c r="X2075" i="12" a="1"/>
  <c r="W2052" i="12" a="1"/>
  <c r="W1283" i="12" a="1"/>
  <c r="W2579" i="12" a="1"/>
  <c r="W2639" i="12" a="1"/>
  <c r="W1709" i="12" a="1"/>
  <c r="W1453" i="12" a="1"/>
  <c r="W684" i="12" a="1"/>
  <c r="W456" i="12" a="1"/>
  <c r="W2090" i="12" a="1"/>
  <c r="W2077" i="12" a="1"/>
  <c r="W2606" i="12" a="1"/>
  <c r="X1269" i="12" a="1"/>
  <c r="X2156" i="12" a="1"/>
  <c r="W585" i="12" a="1"/>
  <c r="W95" i="12" a="1"/>
  <c r="W2302" i="12" a="1"/>
  <c r="X1098" i="12" a="1"/>
  <c r="W1494" i="12" a="1"/>
  <c r="X2573" i="12" a="1"/>
  <c r="W314" i="12" a="1"/>
  <c r="X833" i="12" a="1"/>
  <c r="W2164" i="12" a="1"/>
  <c r="W1566" i="12" a="1"/>
  <c r="W1760" i="12" a="1"/>
  <c r="W2644" i="12" a="1"/>
  <c r="W529" i="12" a="1"/>
  <c r="W2354" i="12" a="1"/>
  <c r="W620" i="12" a="1"/>
  <c r="W2417" i="12" a="1"/>
  <c r="X2452" i="12" a="1"/>
  <c r="W1345" i="12" a="1"/>
  <c r="W1448" i="12" a="1"/>
  <c r="W1821" i="12" a="1"/>
  <c r="W1391" i="12" a="1"/>
  <c r="W944" i="12" a="1"/>
  <c r="X815" i="12" a="1"/>
  <c r="W230" i="12" a="1"/>
  <c r="W1839" i="12" a="1"/>
  <c r="W1847" i="12" a="1"/>
  <c r="W1485" i="12" a="1"/>
  <c r="W794" i="12" a="1"/>
  <c r="X1963" i="12" a="1"/>
  <c r="W2346" i="12" a="1"/>
  <c r="W2595" i="12" a="1"/>
  <c r="W2386" i="12" a="1"/>
  <c r="X1905" i="12" a="1"/>
  <c r="X1877" i="12" a="1"/>
  <c r="W568" i="12" a="1"/>
  <c r="W2191" i="12" a="1"/>
  <c r="W504" i="12" a="1"/>
  <c r="W1380" i="12" a="1"/>
  <c r="W92" i="12" a="1"/>
  <c r="W936" i="12" a="1"/>
  <c r="X1393" i="12" a="1"/>
  <c r="W1473" i="12" a="1"/>
  <c r="W1165" i="12" a="1"/>
  <c r="W2431" i="12" a="1"/>
  <c r="W1840" i="12" a="1"/>
  <c r="W2252" i="12" a="1"/>
  <c r="W2437" i="12" a="1"/>
  <c r="W1489" i="12" a="1"/>
  <c r="W636" i="12" a="1"/>
  <c r="W1694" i="12" a="1"/>
  <c r="W1447" i="12" a="1"/>
  <c r="W1993" i="12" a="1"/>
  <c r="W2068" i="12" a="1"/>
  <c r="W1793" i="12" a="1"/>
  <c r="F83" i="3" a="1"/>
  <c r="F65" i="3" a="1"/>
  <c r="F92" i="3" a="1"/>
  <c r="E75" i="3" a="1"/>
  <c r="F110" i="3" a="1"/>
  <c r="F70" i="3" a="1"/>
  <c r="E72" i="3" a="1"/>
  <c r="F64" i="3" a="1"/>
  <c r="E84" i="3" a="1"/>
  <c r="F100" i="3" a="1"/>
  <c r="F67" i="3" a="1"/>
  <c r="F87" i="3" a="1"/>
  <c r="F75" i="3" a="1"/>
  <c r="E90" i="3" a="1"/>
  <c r="E107" i="3" a="1"/>
  <c r="E74" i="3" a="1"/>
  <c r="E95" i="3" a="1"/>
  <c r="F103" i="3" a="1"/>
  <c r="F69" i="3" a="1"/>
  <c r="F107" i="3" a="1"/>
  <c r="E63" i="3" a="1"/>
  <c r="E61" i="3" a="1"/>
  <c r="E58" i="3" a="1"/>
  <c r="E92" i="3" a="1"/>
  <c r="E103" i="3" a="1"/>
  <c r="E67" i="3" a="1"/>
  <c r="F109" i="3" a="1"/>
  <c r="F56" i="3" a="1"/>
  <c r="E102" i="3" a="1"/>
  <c r="F95" i="3" a="1"/>
  <c r="F62" i="3" a="1"/>
  <c r="E105" i="3" a="1"/>
  <c r="E73" i="3" a="1"/>
  <c r="F57" i="3" a="1"/>
  <c r="F84" i="3" a="1"/>
  <c r="E94" i="3" a="1"/>
  <c r="E83" i="3" a="1"/>
  <c r="F59" i="3" a="1"/>
  <c r="F89" i="3" a="1"/>
  <c r="E66" i="3" a="1"/>
  <c r="E97" i="3" a="1"/>
  <c r="E100" i="3" a="1"/>
  <c r="F106" i="3" a="1"/>
  <c r="F93" i="3" a="1"/>
  <c r="F104" i="3" a="1"/>
  <c r="E98" i="3" a="1"/>
  <c r="F80" i="3" a="1"/>
  <c r="E70" i="3" a="1"/>
  <c r="F86" i="3" a="1"/>
  <c r="E99" i="3" a="1"/>
  <c r="E106" i="3" a="1"/>
  <c r="E56" i="3" a="1"/>
  <c r="F108" i="3" a="1"/>
  <c r="F60" i="3" a="1"/>
  <c r="F94" i="3" a="1"/>
  <c r="F98" i="3" a="1"/>
  <c r="E86" i="3" a="1"/>
  <c r="F72" i="3" a="1"/>
  <c r="E59" i="3" a="1"/>
  <c r="E76" i="3" a="1"/>
  <c r="F91" i="3" a="1"/>
  <c r="E81" i="3" a="1"/>
  <c r="F99" i="3" a="1"/>
  <c r="E85" i="3" a="1"/>
  <c r="F81" i="3" a="1"/>
  <c r="E64" i="3" a="1"/>
  <c r="F88" i="3" a="1"/>
  <c r="F82" i="3" a="1"/>
  <c r="E109" i="3" a="1"/>
  <c r="E101" i="3" a="1"/>
  <c r="E57" i="3" a="1"/>
  <c r="E88" i="3" a="1"/>
  <c r="F76" i="3" a="1"/>
  <c r="F78" i="3" a="1"/>
  <c r="F66" i="3" a="1"/>
  <c r="F77" i="3" a="1"/>
  <c r="E93" i="3" a="1"/>
  <c r="E69" i="3" a="1"/>
  <c r="E87" i="3" a="1"/>
  <c r="F79" i="3" a="1"/>
  <c r="F63" i="3" a="1"/>
  <c r="F58" i="3" a="1"/>
  <c r="E82" i="3" a="1"/>
  <c r="F71" i="3" a="1"/>
  <c r="F73" i="3" a="1"/>
  <c r="E89" i="3" a="1"/>
  <c r="F61" i="3" a="1"/>
  <c r="E80" i="3" a="1"/>
  <c r="F90" i="3" a="1"/>
  <c r="E104" i="3" a="1"/>
  <c r="E60" i="3" a="1"/>
  <c r="F102" i="3" a="1"/>
  <c r="E68" i="3" a="1"/>
  <c r="F74" i="3" a="1"/>
  <c r="E77" i="3" a="1"/>
  <c r="F85" i="3" a="1"/>
  <c r="F68" i="3" a="1"/>
  <c r="E79" i="3" a="1"/>
  <c r="E65" i="3" a="1"/>
  <c r="F96" i="3" a="1"/>
  <c r="E71" i="3" a="1"/>
  <c r="E110" i="3" a="1"/>
  <c r="F101" i="3" a="1"/>
  <c r="E62" i="3" a="1"/>
  <c r="E78" i="3" a="1"/>
  <c r="F97" i="3" a="1"/>
  <c r="F105" i="3" a="1"/>
  <c r="E108" i="3" a="1"/>
  <c r="E91" i="3" a="1"/>
  <c r="E96" i="3" a="1"/>
  <c r="E55" i="3" a="1"/>
  <c r="E48" i="3" a="1"/>
  <c r="F54" i="3" a="1"/>
  <c r="E53" i="3" a="1"/>
  <c r="E50" i="3" a="1"/>
  <c r="F49" i="3" a="1"/>
  <c r="F51" i="3" a="1"/>
  <c r="F52" i="3" a="1"/>
  <c r="E54" i="3" a="1"/>
  <c r="F48" i="3" a="1"/>
  <c r="F50" i="3" a="1"/>
  <c r="F55" i="3" a="1"/>
  <c r="E51" i="3" a="1"/>
  <c r="E52" i="3" a="1"/>
  <c r="F53" i="3" a="1"/>
  <c r="E49" i="3" a="1"/>
  <c r="E9" i="3" a="1"/>
  <c r="F6" i="3" a="1"/>
  <c r="E10" i="3" a="1"/>
  <c r="E13" i="3" a="1"/>
  <c r="F11" i="3" a="1"/>
  <c r="E11" i="3" a="1"/>
  <c r="F8" i="3" a="1"/>
  <c r="F9" i="3" a="1"/>
  <c r="F7" i="3" a="1"/>
  <c r="F13" i="3" a="1"/>
  <c r="E8" i="3" a="1"/>
  <c r="E12" i="3" a="1"/>
  <c r="F10" i="3" a="1"/>
  <c r="F12" i="3" a="1"/>
  <c r="E7" i="3" a="1"/>
  <c r="E7" i="3" l="1"/>
  <c r="F12" i="3"/>
  <c r="F10" i="3"/>
  <c r="E12" i="3"/>
  <c r="E8" i="3"/>
  <c r="F13" i="3"/>
  <c r="F7" i="3"/>
  <c r="F9" i="3"/>
  <c r="F8" i="3"/>
  <c r="E11" i="3"/>
  <c r="F11" i="3"/>
  <c r="E13" i="3"/>
  <c r="E10" i="3"/>
  <c r="F6" i="3"/>
  <c r="E9" i="3"/>
  <c r="E49" i="3"/>
  <c r="F53" i="3"/>
  <c r="E52" i="3"/>
  <c r="E51" i="3"/>
  <c r="F55" i="3"/>
  <c r="F50" i="3"/>
  <c r="F48" i="3"/>
  <c r="E54" i="3"/>
  <c r="F52" i="3"/>
  <c r="F51" i="3"/>
  <c r="F49" i="3"/>
  <c r="E50" i="3"/>
  <c r="E53" i="3"/>
  <c r="F54" i="3"/>
  <c r="E48" i="3"/>
  <c r="E55" i="3"/>
  <c r="E96" i="3"/>
  <c r="E91" i="3"/>
  <c r="E108" i="3"/>
  <c r="F105" i="3"/>
  <c r="F97" i="3"/>
  <c r="E78" i="3"/>
  <c r="E62" i="3"/>
  <c r="F101" i="3"/>
  <c r="E110" i="3"/>
  <c r="E71" i="3"/>
  <c r="F96" i="3"/>
  <c r="E65" i="3"/>
  <c r="E79" i="3"/>
  <c r="F68" i="3"/>
  <c r="F85" i="3"/>
  <c r="E77" i="3"/>
  <c r="F74" i="3"/>
  <c r="E68" i="3"/>
  <c r="F102" i="3"/>
  <c r="E60" i="3"/>
  <c r="E104" i="3"/>
  <c r="F90" i="3"/>
  <c r="E80" i="3"/>
  <c r="F61" i="3"/>
  <c r="E89" i="3"/>
  <c r="F73" i="3"/>
  <c r="F71" i="3"/>
  <c r="E82" i="3"/>
  <c r="F58" i="3"/>
  <c r="F63" i="3"/>
  <c r="F79" i="3"/>
  <c r="E87" i="3"/>
  <c r="E69" i="3"/>
  <c r="E93" i="3"/>
  <c r="F77" i="3"/>
  <c r="F66" i="3"/>
  <c r="F78" i="3"/>
  <c r="F76" i="3"/>
  <c r="E88" i="3"/>
  <c r="E57" i="3"/>
  <c r="E101" i="3"/>
  <c r="E109" i="3"/>
  <c r="F82" i="3"/>
  <c r="F88" i="3"/>
  <c r="E64" i="3"/>
  <c r="F81" i="3"/>
  <c r="E85" i="3"/>
  <c r="F99" i="3"/>
  <c r="E81" i="3"/>
  <c r="F91" i="3"/>
  <c r="E76" i="3"/>
  <c r="E59" i="3"/>
  <c r="F72" i="3"/>
  <c r="E86" i="3"/>
  <c r="F98" i="3"/>
  <c r="F94" i="3"/>
  <c r="F60" i="3"/>
  <c r="F108" i="3"/>
  <c r="E56" i="3"/>
  <c r="E106" i="3"/>
  <c r="E99" i="3"/>
  <c r="F86" i="3"/>
  <c r="E70" i="3"/>
  <c r="F80" i="3"/>
  <c r="E98" i="3"/>
  <c r="F104" i="3"/>
  <c r="F93" i="3"/>
  <c r="F106" i="3"/>
  <c r="E100" i="3"/>
  <c r="E97" i="3"/>
  <c r="E66" i="3"/>
  <c r="F89" i="3"/>
  <c r="F59" i="3"/>
  <c r="E83" i="3"/>
  <c r="E94" i="3"/>
  <c r="F84" i="3"/>
  <c r="F57" i="3"/>
  <c r="E73" i="3"/>
  <c r="E105" i="3"/>
  <c r="F62" i="3"/>
  <c r="F95" i="3"/>
  <c r="E102" i="3"/>
  <c r="F56" i="3"/>
  <c r="F109" i="3"/>
  <c r="E67" i="3"/>
  <c r="E103" i="3"/>
  <c r="E92" i="3"/>
  <c r="E58" i="3"/>
  <c r="E61" i="3"/>
  <c r="E63" i="3"/>
  <c r="F107" i="3"/>
  <c r="F69" i="3"/>
  <c r="F103" i="3"/>
  <c r="E95" i="3"/>
  <c r="E74" i="3"/>
  <c r="E107" i="3"/>
  <c r="E90" i="3"/>
  <c r="F75" i="3"/>
  <c r="F87" i="3"/>
  <c r="F67" i="3"/>
  <c r="F100" i="3"/>
  <c r="E84" i="3"/>
  <c r="F64" i="3"/>
  <c r="E72" i="3"/>
  <c r="F70" i="3"/>
  <c r="F110" i="3"/>
  <c r="E75" i="3"/>
  <c r="F92" i="3"/>
  <c r="F65" i="3"/>
  <c r="F83" i="3"/>
  <c r="W1793" i="12"/>
  <c r="W2068" i="12"/>
  <c r="W1993" i="12"/>
  <c r="W1447" i="12"/>
  <c r="W1694" i="12"/>
  <c r="W636" i="12"/>
  <c r="W1489" i="12"/>
  <c r="W2437" i="12"/>
  <c r="W2252" i="12"/>
  <c r="W1840" i="12"/>
  <c r="W2431" i="12"/>
  <c r="W1165" i="12"/>
  <c r="W1473" i="12"/>
  <c r="X1393" i="12"/>
  <c r="W936" i="12"/>
  <c r="W92" i="12"/>
  <c r="W1380" i="12"/>
  <c r="W504" i="12"/>
  <c r="W2191" i="12"/>
  <c r="W568" i="12"/>
  <c r="X1877" i="12"/>
  <c r="X1905" i="12"/>
  <c r="W2386" i="12"/>
  <c r="W2595" i="12"/>
  <c r="W2346" i="12"/>
  <c r="X1963" i="12"/>
  <c r="W794" i="12"/>
  <c r="W1485" i="12"/>
  <c r="W1847" i="12"/>
  <c r="W1839" i="12"/>
  <c r="W230" i="12"/>
  <c r="X815" i="12"/>
  <c r="W944" i="12"/>
  <c r="W1391" i="12"/>
  <c r="W1821" i="12"/>
  <c r="W1448" i="12"/>
  <c r="W1345" i="12"/>
  <c r="X2452" i="12"/>
  <c r="W2417" i="12"/>
  <c r="W620" i="12"/>
  <c r="W2354" i="12"/>
  <c r="W529" i="12"/>
  <c r="W2644" i="12"/>
  <c r="W1760" i="12"/>
  <c r="W1566" i="12"/>
  <c r="W2164" i="12"/>
  <c r="X833" i="12"/>
  <c r="W314" i="12"/>
  <c r="X2573" i="12"/>
  <c r="W1494" i="12"/>
  <c r="X1098" i="12"/>
  <c r="W2302" i="12"/>
  <c r="W95" i="12"/>
  <c r="W585" i="12"/>
  <c r="X2156" i="12"/>
  <c r="X1269" i="12"/>
  <c r="W2606" i="12"/>
  <c r="W2077" i="12"/>
  <c r="W2090" i="12"/>
  <c r="W456" i="12"/>
  <c r="W684" i="12"/>
  <c r="W1453" i="12"/>
  <c r="W1709" i="12"/>
  <c r="W2639" i="12"/>
  <c r="W2579" i="12"/>
  <c r="W1283" i="12"/>
  <c r="W2052" i="12"/>
  <c r="X2075" i="12"/>
  <c r="X2155" i="12"/>
  <c r="W1585" i="12"/>
  <c r="W343" i="12"/>
  <c r="W791" i="12"/>
  <c r="W583" i="12"/>
  <c r="W2289" i="12"/>
  <c r="W1011" i="12"/>
  <c r="W2108" i="12"/>
  <c r="W45" i="12"/>
  <c r="X1936" i="12"/>
  <c r="X525" i="12"/>
  <c r="W1706" i="12"/>
  <c r="W2521" i="12"/>
  <c r="W2389" i="12"/>
  <c r="W1609" i="12"/>
  <c r="W1216" i="12"/>
  <c r="W2390" i="12"/>
  <c r="W1645" i="12"/>
  <c r="W880" i="12"/>
  <c r="W1789" i="12"/>
  <c r="W2263" i="12"/>
  <c r="W1402" i="12"/>
  <c r="X1648" i="12"/>
  <c r="W2069" i="12"/>
  <c r="W1466" i="12"/>
  <c r="W1997" i="12"/>
  <c r="W121" i="12"/>
  <c r="W1590" i="12"/>
  <c r="X1201" i="12"/>
  <c r="W2645" i="12"/>
  <c r="X1565" i="12"/>
  <c r="W1809" i="12"/>
  <c r="X1760" i="12"/>
  <c r="W1543" i="12"/>
  <c r="W1432" i="12"/>
  <c r="W1556" i="12"/>
  <c r="W1368" i="12"/>
  <c r="W2021" i="12"/>
  <c r="W2615" i="12"/>
  <c r="W858" i="12"/>
  <c r="W251" i="12"/>
  <c r="W1252" i="12"/>
  <c r="W1825" i="12"/>
  <c r="W2339" i="12"/>
  <c r="W599" i="12"/>
  <c r="W2430" i="12"/>
  <c r="W2397" i="12"/>
  <c r="W2459" i="12"/>
  <c r="W1929" i="12"/>
  <c r="W2008" i="12"/>
  <c r="W1646" i="12"/>
  <c r="W2383" i="12"/>
  <c r="X1813" i="12"/>
  <c r="W2512" i="12"/>
  <c r="W1648" i="12"/>
  <c r="Y1648" i="12" s="1"/>
  <c r="W1512" i="12"/>
  <c r="X1485" i="12"/>
  <c r="W2225" i="12"/>
  <c r="W1768" i="12"/>
  <c r="W681" i="12"/>
  <c r="W1401" i="12"/>
  <c r="W2484" i="12"/>
  <c r="W1965" i="12"/>
  <c r="X1930" i="12"/>
  <c r="W1558" i="12"/>
  <c r="W1139" i="12"/>
  <c r="W1528" i="12"/>
  <c r="W2007" i="12"/>
  <c r="W1732" i="12"/>
  <c r="W83" i="12"/>
  <c r="X1256" i="12"/>
  <c r="W2401" i="12"/>
  <c r="W2218" i="12"/>
  <c r="W918" i="12"/>
  <c r="W2357" i="12"/>
  <c r="X1246" i="12"/>
  <c r="W1876" i="12"/>
  <c r="W2423" i="12"/>
  <c r="W1019" i="12"/>
  <c r="W2490" i="12"/>
  <c r="W481" i="12"/>
  <c r="W17" i="12"/>
  <c r="W2586" i="12"/>
  <c r="W2200" i="12"/>
  <c r="W717" i="12"/>
  <c r="W2347" i="12"/>
  <c r="W640" i="12"/>
  <c r="X2535" i="12"/>
  <c r="W377" i="12"/>
  <c r="X1875" i="12"/>
  <c r="W654" i="12"/>
  <c r="W1302" i="12"/>
  <c r="W547" i="12"/>
  <c r="W752" i="12"/>
  <c r="W1766" i="12"/>
  <c r="W2343" i="12"/>
  <c r="W1613" i="12"/>
  <c r="X2394" i="12"/>
  <c r="W411" i="12"/>
  <c r="W2277" i="12"/>
  <c r="W695" i="12"/>
  <c r="W2281" i="12"/>
  <c r="W2053" i="12"/>
  <c r="X2476" i="12"/>
  <c r="W2634" i="12"/>
  <c r="X1738" i="12"/>
  <c r="W2258" i="12"/>
  <c r="X2517" i="12"/>
  <c r="W1559" i="12"/>
  <c r="W376" i="12"/>
  <c r="X2356" i="12"/>
  <c r="X2395" i="12"/>
  <c r="W1908" i="12"/>
  <c r="W1114" i="12"/>
  <c r="W807" i="12"/>
  <c r="W1021" i="12"/>
  <c r="W659" i="12"/>
  <c r="W1055" i="12"/>
  <c r="X1618" i="12"/>
  <c r="W895" i="12"/>
  <c r="X2330" i="12"/>
  <c r="X1692" i="12"/>
  <c r="W2340" i="12"/>
  <c r="W1909" i="12"/>
  <c r="X2371" i="12"/>
  <c r="W1111" i="12"/>
  <c r="W747" i="12"/>
  <c r="W2140" i="12"/>
  <c r="W272" i="12"/>
  <c r="X2373" i="12"/>
  <c r="W921" i="12"/>
  <c r="W383" i="12"/>
  <c r="W2113" i="12"/>
  <c r="W2391" i="12"/>
  <c r="W1834" i="12"/>
  <c r="W1801" i="12"/>
  <c r="W1949" i="12"/>
  <c r="W1972" i="12"/>
  <c r="W829" i="12"/>
  <c r="W147" i="12"/>
  <c r="W2125" i="12"/>
  <c r="W2101" i="12"/>
  <c r="W1969" i="12"/>
  <c r="W1935" i="12"/>
  <c r="W1459" i="12"/>
  <c r="X1691" i="12"/>
  <c r="W2570" i="12"/>
  <c r="W1276" i="12"/>
  <c r="X1805" i="12"/>
  <c r="W1085" i="12"/>
  <c r="W1800" i="12"/>
  <c r="W1561" i="12"/>
  <c r="X2211" i="12"/>
  <c r="W37" i="12"/>
  <c r="W2353" i="12"/>
  <c r="W307" i="12"/>
  <c r="X776" i="12"/>
  <c r="X1381" i="12"/>
  <c r="X2533" i="12"/>
  <c r="W2042" i="12"/>
  <c r="X2473" i="12"/>
  <c r="W2176" i="12"/>
  <c r="W43" i="12"/>
  <c r="W1628" i="12"/>
  <c r="X1710" i="12"/>
  <c r="X2437" i="12"/>
  <c r="W1294" i="12"/>
  <c r="X2493" i="12"/>
  <c r="W956" i="12"/>
  <c r="W2342" i="12"/>
  <c r="W1025" i="12"/>
  <c r="X1737" i="12"/>
  <c r="X2363" i="12"/>
  <c r="W1387" i="12"/>
  <c r="W2033" i="12"/>
  <c r="W715" i="12"/>
  <c r="W1702" i="12"/>
  <c r="X2261" i="12"/>
  <c r="W1152" i="12"/>
  <c r="W157" i="12"/>
  <c r="X2109" i="12"/>
  <c r="W421" i="12"/>
  <c r="W2119" i="12"/>
  <c r="W543" i="12"/>
  <c r="W2589" i="12"/>
  <c r="X1836" i="12"/>
  <c r="W2261" i="12"/>
  <c r="Y2261" i="12" s="1"/>
  <c r="W1208" i="12"/>
  <c r="W976" i="12"/>
  <c r="W1480" i="12"/>
  <c r="W1194" i="12"/>
  <c r="W419" i="12"/>
  <c r="W2532" i="12"/>
  <c r="W2381" i="12"/>
  <c r="W1106" i="12"/>
  <c r="W2311" i="12"/>
  <c r="W2604" i="12"/>
  <c r="W1037" i="12"/>
  <c r="W214" i="12"/>
  <c r="W2550" i="12"/>
  <c r="W462" i="12"/>
  <c r="W1692" i="12"/>
  <c r="Y1692" i="12" s="1"/>
  <c r="W1846" i="12"/>
  <c r="W2271" i="12"/>
  <c r="W888" i="12"/>
  <c r="W723" i="12"/>
  <c r="X1328" i="12"/>
  <c r="W1907" i="12"/>
  <c r="W1141" i="12"/>
  <c r="W2011" i="12"/>
  <c r="W1921" i="12"/>
  <c r="W1832" i="12"/>
  <c r="X2620" i="12"/>
  <c r="W2421" i="12"/>
  <c r="W2494" i="12"/>
  <c r="W2000" i="12"/>
  <c r="W1799" i="12"/>
  <c r="W1960" i="12"/>
  <c r="W205" i="12"/>
  <c r="W1824" i="12"/>
  <c r="W906" i="12"/>
  <c r="W1744" i="12"/>
  <c r="W2044" i="12"/>
  <c r="W1749" i="12"/>
  <c r="W2273" i="12"/>
  <c r="X1298" i="12"/>
  <c r="X2355" i="12"/>
  <c r="W1501" i="12"/>
  <c r="W2646" i="12"/>
  <c r="W1592" i="12"/>
  <c r="W2182" i="12"/>
  <c r="W806" i="12"/>
  <c r="W2580" i="12"/>
  <c r="W799" i="12"/>
  <c r="W2412" i="12"/>
  <c r="W1828" i="12"/>
  <c r="W2127" i="12"/>
  <c r="W2135" i="12"/>
  <c r="W736" i="12"/>
  <c r="W1718" i="12"/>
  <c r="W1381" i="12"/>
  <c r="W2314" i="12"/>
  <c r="W2230" i="12"/>
  <c r="W2274" i="12"/>
  <c r="W2150" i="12"/>
  <c r="X1759" i="12"/>
  <c r="W1676" i="12"/>
  <c r="W2114" i="12"/>
  <c r="W1356" i="12"/>
  <c r="W1620" i="12"/>
  <c r="W1142" i="12"/>
  <c r="W1024" i="12"/>
  <c r="W596" i="12"/>
  <c r="W1950" i="12"/>
  <c r="W140" i="12"/>
  <c r="X2650" i="12"/>
  <c r="W2288" i="12"/>
  <c r="W2371" i="12"/>
  <c r="Y2371" i="12" s="1"/>
  <c r="W2554" i="12"/>
  <c r="W1905" i="12"/>
  <c r="W2504" i="12"/>
  <c r="X1756" i="12"/>
  <c r="W30" i="12"/>
  <c r="W2260" i="12"/>
  <c r="W1290" i="12"/>
  <c r="W1455" i="12"/>
  <c r="W665" i="12"/>
  <c r="W2581" i="12"/>
  <c r="W424" i="12"/>
  <c r="W731" i="12"/>
  <c r="W2216" i="12"/>
  <c r="W1670" i="12"/>
  <c r="W1608" i="12"/>
  <c r="W1421" i="12"/>
  <c r="X2541" i="12"/>
  <c r="W1425" i="12"/>
  <c r="W1009" i="12"/>
  <c r="W784" i="12"/>
  <c r="X2313" i="12"/>
  <c r="W1817" i="12"/>
  <c r="W389" i="12"/>
  <c r="W2220" i="12"/>
  <c r="X1264" i="12"/>
  <c r="W859" i="12"/>
  <c r="W505" i="12"/>
  <c r="W2266" i="12"/>
  <c r="W1503" i="12"/>
  <c r="W1487" i="12"/>
  <c r="W1238" i="12"/>
  <c r="X1947" i="12"/>
  <c r="W2602" i="12"/>
  <c r="W1633" i="12"/>
  <c r="W619" i="12"/>
  <c r="X2040" i="12"/>
  <c r="W2162" i="12"/>
  <c r="W1070" i="12"/>
  <c r="W896" i="12"/>
  <c r="X1309" i="12"/>
  <c r="W776" i="12"/>
  <c r="Y776" i="12" s="1"/>
  <c r="W98" i="12"/>
  <c r="W2642" i="12"/>
  <c r="W1733" i="12"/>
  <c r="W1129" i="12"/>
  <c r="W2341" i="12"/>
  <c r="W2394" i="12"/>
  <c r="W1109" i="12"/>
  <c r="W2561" i="12"/>
  <c r="W2036" i="12"/>
  <c r="W1584" i="12"/>
  <c r="X1590" i="12"/>
  <c r="W2540" i="12"/>
  <c r="W911" i="12"/>
  <c r="W118" i="12"/>
  <c r="W1504" i="12"/>
  <c r="W2546" i="12"/>
  <c r="X1397" i="12"/>
  <c r="W2624" i="12"/>
  <c r="W2649" i="12"/>
  <c r="W2054" i="12"/>
  <c r="W1614" i="12"/>
  <c r="X2291" i="12"/>
  <c r="W2495" i="12"/>
  <c r="W1385" i="12"/>
  <c r="W663" i="12"/>
  <c r="W1875" i="12"/>
  <c r="X2133" i="12"/>
  <c r="W2045" i="12"/>
  <c r="W2116" i="12"/>
  <c r="W796" i="12"/>
  <c r="W1241" i="12"/>
  <c r="W590" i="12"/>
  <c r="W2435" i="12"/>
  <c r="X1802" i="12"/>
  <c r="X2565" i="12"/>
  <c r="W1508" i="12"/>
  <c r="X1441" i="12"/>
  <c r="W605" i="12"/>
  <c r="W2351" i="12"/>
  <c r="W1346" i="12"/>
  <c r="W2330" i="12"/>
  <c r="Y2330" i="12" s="1"/>
  <c r="W1618" i="12"/>
  <c r="W478" i="12"/>
  <c r="X2053" i="12"/>
  <c r="W897" i="12"/>
  <c r="W1725" i="12"/>
  <c r="W1603" i="12"/>
  <c r="W131" i="12"/>
  <c r="W254" i="12"/>
  <c r="X1749" i="12"/>
  <c r="W1600" i="12"/>
  <c r="W1607" i="12"/>
  <c r="W917" i="12"/>
  <c r="W957" i="12"/>
  <c r="W768" i="12"/>
  <c r="W2251" i="12"/>
  <c r="W1889" i="12"/>
  <c r="W2522" i="12"/>
  <c r="W2643" i="12"/>
  <c r="W2613" i="12"/>
  <c r="W2385" i="12"/>
  <c r="W577" i="12"/>
  <c r="W2472" i="12"/>
  <c r="W1773" i="12"/>
  <c r="W1977" i="12"/>
  <c r="X1452" i="12"/>
  <c r="W2396" i="12"/>
  <c r="W1642" i="12"/>
  <c r="W1571" i="12"/>
  <c r="W1379" i="12"/>
  <c r="W2479" i="12"/>
  <c r="W1530" i="12"/>
  <c r="W660" i="12"/>
  <c r="W1301" i="12"/>
  <c r="X2292" i="12"/>
  <c r="W2526" i="12"/>
  <c r="W1754" i="12"/>
  <c r="W1362" i="12"/>
  <c r="W1317" i="12"/>
  <c r="W816" i="12"/>
  <c r="W992" i="12"/>
  <c r="X1630" i="12"/>
  <c r="W832" i="12"/>
  <c r="W32" i="12"/>
  <c r="W783" i="12"/>
  <c r="W2060" i="12"/>
  <c r="W1319" i="12"/>
  <c r="W1688" i="12"/>
  <c r="X1566" i="12"/>
  <c r="W1398" i="12"/>
  <c r="W19" i="12"/>
  <c r="W1275" i="12"/>
  <c r="W893" i="12"/>
  <c r="W1715" i="12"/>
  <c r="W759" i="12"/>
  <c r="W1941" i="12"/>
  <c r="W1569" i="12"/>
  <c r="W940" i="12"/>
  <c r="X2587" i="12"/>
  <c r="X2586" i="12"/>
  <c r="W754" i="12"/>
  <c r="W803" i="12"/>
  <c r="W1837" i="12"/>
  <c r="W549" i="12"/>
  <c r="W1427" i="12"/>
  <c r="W995" i="12"/>
  <c r="X2636" i="12"/>
  <c r="W854" i="12"/>
  <c r="X1250" i="12"/>
  <c r="W483" i="12"/>
  <c r="X1655" i="12"/>
  <c r="X772" i="12"/>
  <c r="W2593" i="12"/>
  <c r="W843" i="12"/>
  <c r="W2623" i="12"/>
  <c r="W1745" i="12"/>
  <c r="W1491" i="12"/>
  <c r="X1708" i="12"/>
  <c r="W1171" i="12"/>
  <c r="W209" i="12"/>
  <c r="W2628" i="12"/>
  <c r="W1939" i="12"/>
  <c r="W1741" i="12"/>
  <c r="W1258" i="12"/>
  <c r="W1384" i="12"/>
  <c r="W1986" i="12"/>
  <c r="X1823" i="12"/>
  <c r="X2414" i="12"/>
  <c r="W1892" i="12"/>
  <c r="W1392" i="12"/>
  <c r="W361" i="12"/>
  <c r="W2349" i="12"/>
  <c r="W2128" i="12"/>
  <c r="W1444" i="12"/>
  <c r="W1482" i="12"/>
  <c r="W1565" i="12"/>
  <c r="Y1565" i="12" s="1"/>
  <c r="W1833" i="12"/>
  <c r="W595" i="12"/>
  <c r="W1545" i="12"/>
  <c r="W1322" i="12"/>
  <c r="W2467" i="12"/>
  <c r="W1000" i="12"/>
  <c r="W1386" i="12"/>
  <c r="X2021" i="12"/>
  <c r="W1464" i="12"/>
  <c r="W2651" i="12"/>
  <c r="X1506" i="12"/>
  <c r="W2551" i="12"/>
  <c r="W1469" i="12"/>
  <c r="W1782" i="12"/>
  <c r="W61" i="12"/>
  <c r="W1474" i="12"/>
  <c r="W335" i="12"/>
  <c r="W2609" i="12"/>
  <c r="W1376" i="12"/>
  <c r="W2148" i="12"/>
  <c r="X2405" i="12"/>
  <c r="X1981" i="12"/>
  <c r="W1445" i="12"/>
  <c r="W931" i="12"/>
  <c r="W2159" i="12"/>
  <c r="W2547" i="12"/>
  <c r="W2505" i="12"/>
  <c r="W2455" i="12"/>
  <c r="W1450" i="12"/>
  <c r="W1996" i="12"/>
  <c r="W1316" i="12"/>
  <c r="W1736" i="12"/>
  <c r="W1785" i="12"/>
  <c r="W1465" i="12"/>
  <c r="W1695" i="12"/>
  <c r="W331" i="12"/>
  <c r="W1827" i="12"/>
  <c r="W12" i="12"/>
  <c r="W1519" i="12"/>
  <c r="W1814" i="12"/>
  <c r="W1486" i="12"/>
  <c r="W2498" i="12"/>
  <c r="X1777" i="12"/>
  <c r="W2136" i="12"/>
  <c r="W2404" i="12"/>
  <c r="X1900" i="12"/>
  <c r="X2388" i="12"/>
  <c r="X1973" i="12"/>
  <c r="W722" i="12"/>
  <c r="X1229" i="12"/>
  <c r="X1800" i="12"/>
  <c r="X2465" i="12"/>
  <c r="W986" i="12"/>
  <c r="X2117" i="12"/>
  <c r="W2380" i="12"/>
  <c r="W1215" i="12"/>
  <c r="W2115" i="12"/>
  <c r="W1681" i="12"/>
  <c r="W1542" i="12"/>
  <c r="W1163" i="12"/>
  <c r="W2072" i="12"/>
  <c r="W1417" i="12"/>
  <c r="X1312" i="12"/>
  <c r="X1865" i="12"/>
  <c r="W1649" i="12"/>
  <c r="W883" i="12"/>
  <c r="W2196" i="12"/>
  <c r="W2265" i="12"/>
  <c r="W2514" i="12"/>
  <c r="W1863" i="12"/>
  <c r="W2474" i="12"/>
  <c r="W2084" i="12"/>
  <c r="W2352" i="12"/>
  <c r="W1115" i="12"/>
  <c r="W2312" i="12"/>
  <c r="W2457" i="12"/>
  <c r="W693" i="12"/>
  <c r="W379" i="12"/>
  <c r="W1589" i="12"/>
  <c r="W1886" i="12"/>
  <c r="W2307" i="12"/>
  <c r="W574" i="12"/>
  <c r="W2515" i="12"/>
  <c r="W2097" i="12"/>
  <c r="W2295" i="12"/>
  <c r="W842" i="12"/>
  <c r="W524" i="12"/>
  <c r="W2264" i="12"/>
  <c r="W2118" i="12"/>
  <c r="W1326" i="12"/>
  <c r="W1277" i="12"/>
  <c r="W1443" i="12"/>
  <c r="W2537" i="12"/>
  <c r="W1940" i="12"/>
  <c r="W824" i="12"/>
  <c r="W1529" i="12"/>
  <c r="W2507" i="12"/>
  <c r="W1449" i="12"/>
  <c r="W2325" i="12"/>
  <c r="W795" i="12"/>
  <c r="W2543" i="12"/>
  <c r="W2121" i="12"/>
  <c r="W2477" i="12"/>
  <c r="W1439" i="12"/>
  <c r="W2022" i="12"/>
  <c r="W982" i="12"/>
  <c r="W683" i="12"/>
  <c r="X2328" i="12"/>
  <c r="W1212" i="12"/>
  <c r="X1711" i="12"/>
  <c r="W540" i="12"/>
  <c r="W1673" i="12"/>
  <c r="W338" i="12"/>
  <c r="W351" i="12"/>
  <c r="W2168" i="12"/>
  <c r="W1636" i="12"/>
  <c r="W1810" i="12"/>
  <c r="W938" i="12"/>
  <c r="W1314" i="12"/>
  <c r="W1518" i="12"/>
  <c r="W393" i="12"/>
  <c r="W970" i="12"/>
  <c r="W1183" i="12"/>
  <c r="W287" i="12"/>
  <c r="W1023" i="12"/>
  <c r="X2601" i="12"/>
  <c r="W1145" i="12"/>
  <c r="W2541" i="12"/>
  <c r="Y2541" i="12" s="1"/>
  <c r="W2488" i="12"/>
  <c r="W2024" i="12"/>
  <c r="X1995" i="12"/>
  <c r="W2450" i="12"/>
  <c r="W2155" i="12"/>
  <c r="Y2155" i="12" s="1"/>
  <c r="W615" i="12"/>
  <c r="X1855" i="12"/>
  <c r="X2346" i="12"/>
  <c r="W330" i="12"/>
  <c r="X1541" i="12"/>
  <c r="X1422" i="12"/>
  <c r="X1500" i="12"/>
  <c r="W1751" i="12"/>
  <c r="W1739" i="12"/>
  <c r="W515" i="12"/>
  <c r="W2262" i="12"/>
  <c r="X2441" i="12"/>
  <c r="X1392" i="12"/>
  <c r="X367" i="12"/>
  <c r="X2345" i="12"/>
  <c r="W1721" i="12"/>
  <c r="W1662" i="12"/>
  <c r="W2317" i="12"/>
  <c r="W952" i="12"/>
  <c r="W1764" i="12"/>
  <c r="W1641" i="12"/>
  <c r="W1411" i="12"/>
  <c r="W1691" i="12"/>
  <c r="Y1691" i="12" s="1"/>
  <c r="X2027" i="12"/>
  <c r="W2635" i="12"/>
  <c r="W2235" i="12"/>
  <c r="W1671" i="12"/>
  <c r="W971" i="12"/>
  <c r="W2004" i="12"/>
  <c r="W1003" i="12"/>
  <c r="W2612" i="12"/>
  <c r="W1639" i="12"/>
  <c r="W1232" i="12"/>
  <c r="X1887" i="12"/>
  <c r="W1300" i="12"/>
  <c r="W1562" i="12"/>
  <c r="W1581" i="12"/>
  <c r="W2599" i="12"/>
  <c r="W1131" i="12"/>
  <c r="W1078" i="12"/>
  <c r="X2389" i="12"/>
  <c r="W2520" i="12"/>
  <c r="W2536" i="12"/>
  <c r="X1772" i="12"/>
  <c r="W2296" i="12"/>
  <c r="W2018" i="12"/>
  <c r="W1861" i="12"/>
  <c r="W2081" i="12"/>
  <c r="W1622" i="12"/>
  <c r="W203" i="12"/>
  <c r="W1372" i="12"/>
  <c r="W2194" i="12"/>
  <c r="W2188" i="12"/>
  <c r="X2645" i="12"/>
  <c r="W1004" i="12"/>
  <c r="W2534" i="12"/>
  <c r="W1418" i="12"/>
  <c r="W1700" i="12"/>
  <c r="W2583" i="12"/>
  <c r="W1334" i="12"/>
  <c r="W2559" i="12"/>
  <c r="W1164" i="12"/>
  <c r="W1699" i="12"/>
  <c r="W1959" i="12"/>
  <c r="X1729" i="12"/>
  <c r="W779" i="12"/>
  <c r="X1941" i="12"/>
  <c r="W1850" i="12"/>
  <c r="X2229" i="12"/>
  <c r="W838" i="12"/>
  <c r="X2069" i="12"/>
  <c r="W2049" i="12"/>
  <c r="W1693" i="12"/>
  <c r="W1179" i="12"/>
  <c r="X1405" i="12"/>
  <c r="X1477" i="12"/>
  <c r="W915" i="12"/>
  <c r="W1765" i="12"/>
  <c r="W1337" i="12"/>
  <c r="W2257" i="12"/>
  <c r="W739" i="12"/>
  <c r="W2568" i="12"/>
  <c r="W49" i="12"/>
  <c r="W489" i="12"/>
  <c r="W508" i="12"/>
  <c r="W2321" i="12"/>
  <c r="W1116" i="12"/>
  <c r="W1520" i="12"/>
  <c r="W1871" i="12"/>
  <c r="W2575" i="12"/>
  <c r="W746" i="12"/>
  <c r="X1299" i="12"/>
  <c r="W622" i="12"/>
  <c r="W1932" i="12"/>
  <c r="W527" i="12"/>
  <c r="W2614" i="12"/>
  <c r="W301" i="12"/>
  <c r="W2513" i="12"/>
  <c r="W1502" i="12"/>
  <c r="W1916" i="12"/>
  <c r="W2426" i="12"/>
  <c r="W1587" i="12"/>
  <c r="X2215" i="12"/>
  <c r="W1200" i="12"/>
  <c r="W658" i="12"/>
  <c r="W1573" i="12"/>
  <c r="W1043" i="12"/>
  <c r="W2259" i="12"/>
  <c r="W2195" i="12"/>
  <c r="W2356" i="12"/>
  <c r="W1247" i="12"/>
  <c r="W2071" i="12"/>
  <c r="W2132" i="12"/>
  <c r="W1414" i="12"/>
  <c r="W1341" i="12"/>
  <c r="W2441" i="12"/>
  <c r="Y2441" i="12" s="1"/>
  <c r="W2087" i="12"/>
  <c r="W2256" i="12"/>
  <c r="W2372" i="12"/>
  <c r="W1612" i="12"/>
  <c r="W143" i="12"/>
  <c r="W1757" i="12"/>
  <c r="W1964" i="12"/>
  <c r="Y1964" i="12" s="1"/>
  <c r="X2093" i="12"/>
  <c r="W1655" i="12"/>
  <c r="Y1655" i="12" s="1"/>
  <c r="W1331" i="12"/>
  <c r="W1330" i="12"/>
  <c r="W1081" i="12"/>
  <c r="W77" i="12"/>
  <c r="W447" i="12"/>
  <c r="W1304" i="12"/>
  <c r="X1349" i="12"/>
  <c r="W1797" i="12"/>
  <c r="X1695" i="12"/>
  <c r="W74" i="12"/>
  <c r="W2370" i="12"/>
  <c r="W163" i="12"/>
  <c r="W1296" i="12"/>
  <c r="W1917" i="12"/>
  <c r="W1901" i="12"/>
  <c r="W2524" i="12"/>
  <c r="W1410" i="12"/>
  <c r="W2367" i="12"/>
  <c r="W2074" i="12"/>
  <c r="W1327" i="12"/>
  <c r="W1050" i="12"/>
  <c r="W2509" i="12"/>
  <c r="X1785" i="12"/>
  <c r="X2107" i="12"/>
  <c r="W697" i="12"/>
  <c r="W1347" i="12"/>
  <c r="X1034" i="12"/>
  <c r="W1906" i="12"/>
  <c r="W2040" i="12"/>
  <c r="W2518" i="12"/>
  <c r="W2429" i="12"/>
  <c r="W2636" i="12"/>
  <c r="Y2636" i="12" s="1"/>
  <c r="W2152" i="12"/>
  <c r="W1742" i="12"/>
  <c r="W183" i="12"/>
  <c r="W1780" i="12"/>
  <c r="W1650" i="12"/>
  <c r="W2392" i="12"/>
  <c r="W1324" i="12"/>
  <c r="W2458" i="12"/>
  <c r="W2630" i="12"/>
  <c r="W2567" i="12"/>
  <c r="W1923" i="12"/>
  <c r="W822" i="12"/>
  <c r="W1838" i="12"/>
  <c r="W394" i="12"/>
  <c r="W1705" i="12"/>
  <c r="W1228" i="12"/>
  <c r="W1574" i="12"/>
  <c r="X2097" i="12"/>
  <c r="X2011" i="12"/>
  <c r="W1203" i="12"/>
  <c r="W1080" i="12"/>
  <c r="W1325" i="12"/>
  <c r="W364" i="12"/>
  <c r="W1815" i="12"/>
  <c r="W2111" i="12"/>
  <c r="W1423" i="12"/>
  <c r="W828" i="12"/>
  <c r="X1494" i="12"/>
  <c r="W2486" i="12"/>
  <c r="W1968" i="12"/>
  <c r="W1621" i="12"/>
  <c r="W1578" i="12"/>
  <c r="W1849" i="12"/>
  <c r="W144" i="12"/>
  <c r="W1665" i="12"/>
  <c r="X2148" i="12"/>
  <c r="X1722" i="12"/>
  <c r="W1947" i="12"/>
  <c r="Y1947" i="12" s="1"/>
  <c r="W1554" i="12"/>
  <c r="W637" i="12"/>
  <c r="X1964" i="12"/>
  <c r="W2368" i="12"/>
  <c r="W285" i="12"/>
  <c r="X851" i="12"/>
  <c r="W1711" i="12"/>
  <c r="W2585" i="12"/>
  <c r="W1582" i="12"/>
  <c r="X1816" i="12"/>
  <c r="W2629" i="12"/>
  <c r="W2083" i="12"/>
  <c r="X1965" i="12"/>
  <c r="W1823" i="12"/>
  <c r="Y1823" i="12" s="1"/>
  <c r="W928" i="12"/>
  <c r="X2324" i="12"/>
  <c r="W712" i="12"/>
  <c r="W1880" i="12"/>
  <c r="W632" i="12"/>
  <c r="W781" i="12"/>
  <c r="W1971" i="12"/>
  <c r="W2359" i="12"/>
  <c r="W2233" i="12"/>
  <c r="W1281" i="12"/>
  <c r="W1943" i="12"/>
  <c r="W1743" i="12"/>
  <c r="W642" i="12"/>
  <c r="W1069" i="12"/>
  <c r="W1567" i="12"/>
  <c r="X1197" i="12"/>
  <c r="X1194" i="12"/>
  <c r="W465" i="12"/>
  <c r="W876" i="12"/>
  <c r="W2616" i="12"/>
  <c r="W959" i="12"/>
  <c r="W2473" i="12"/>
  <c r="W1087" i="12"/>
  <c r="W313" i="12"/>
  <c r="W2545" i="12"/>
  <c r="W1072" i="12"/>
  <c r="W2098" i="12"/>
  <c r="W1912" i="12"/>
  <c r="W1674" i="12"/>
  <c r="W210" i="12"/>
  <c r="W601" i="12"/>
  <c r="W1490" i="12"/>
  <c r="W1984" i="12"/>
  <c r="X1329" i="12"/>
  <c r="X2268" i="12"/>
  <c r="X2309" i="12"/>
  <c r="W1904" i="12"/>
  <c r="W1035" i="12"/>
  <c r="X2245" i="12"/>
  <c r="W1860" i="12"/>
  <c r="W2025" i="12"/>
  <c r="W2291" i="12"/>
  <c r="Y2291" i="12" s="1"/>
  <c r="W1883" i="12"/>
  <c r="X1185" i="12"/>
  <c r="W342" i="12"/>
  <c r="W90" i="12"/>
  <c r="W1454" i="12"/>
  <c r="X2023" i="12"/>
  <c r="W2221" i="12"/>
  <c r="W1683" i="12"/>
  <c r="W1363" i="12"/>
  <c r="W1017" i="12"/>
  <c r="W1820" i="12"/>
  <c r="W2425" i="12"/>
  <c r="W1094" i="12"/>
  <c r="W1315" i="12"/>
  <c r="X2235" i="12"/>
  <c r="W1100" i="12"/>
  <c r="W652" i="12"/>
  <c r="W358" i="12"/>
  <c r="W570" i="12"/>
  <c r="X1873" i="12"/>
  <c r="W2574" i="12"/>
  <c r="W1903" i="12"/>
  <c r="X1801" i="12"/>
  <c r="W1557" i="12"/>
  <c r="W1113" i="12"/>
  <c r="W2326" i="12"/>
  <c r="W1704" i="12"/>
  <c r="W2548" i="12"/>
  <c r="W1189" i="12"/>
  <c r="X2301" i="12"/>
  <c r="W1415" i="12"/>
  <c r="W2171" i="12"/>
  <c r="W2204" i="12"/>
  <c r="X2341" i="12"/>
  <c r="W1426" i="12"/>
  <c r="X1676" i="12"/>
  <c r="W446" i="12"/>
  <c r="W1644" i="12"/>
  <c r="W371" i="12"/>
  <c r="W2231" i="12"/>
  <c r="X2260" i="12"/>
  <c r="W2482" i="12"/>
  <c r="W1980" i="12"/>
  <c r="W2637" i="12"/>
  <c r="W1572" i="12"/>
  <c r="W1541" i="12"/>
  <c r="Y1541" i="12" s="1"/>
  <c r="W42" i="12"/>
  <c r="W1690" i="12"/>
  <c r="W1730" i="12"/>
  <c r="W857" i="12"/>
  <c r="X794" i="12"/>
  <c r="W2063" i="12"/>
  <c r="W1611" i="12"/>
  <c r="W1755" i="12"/>
  <c r="W559" i="12"/>
  <c r="W1219" i="12"/>
  <c r="W2177" i="12"/>
  <c r="W415" i="12"/>
  <c r="W2226" i="12"/>
  <c r="W2153" i="12"/>
  <c r="W1383" i="12"/>
  <c r="W1596" i="12"/>
  <c r="W2395" i="12"/>
  <c r="Y2395" i="12" s="1"/>
  <c r="W2243" i="12"/>
  <c r="X895" i="12"/>
  <c r="W1133" i="12"/>
  <c r="W2041" i="12"/>
  <c r="W2223" i="12"/>
  <c r="W1147" i="12"/>
  <c r="W627" i="12"/>
  <c r="X1521" i="12"/>
  <c r="W2600" i="12"/>
  <c r="X1457" i="12"/>
  <c r="W2088" i="12"/>
  <c r="W732" i="12"/>
  <c r="X2365" i="12"/>
  <c r="W1056" i="12"/>
  <c r="W2605" i="12"/>
  <c r="X2629" i="12"/>
  <c r="W2315" i="12"/>
  <c r="W2167" i="12"/>
  <c r="W2192" i="12"/>
  <c r="W1701" i="12"/>
  <c r="W2597" i="12"/>
  <c r="W633" i="12"/>
  <c r="W435" i="12"/>
  <c r="W1956" i="12"/>
  <c r="W765" i="12"/>
  <c r="W1456" i="12"/>
  <c r="W2647" i="12"/>
  <c r="W2369" i="12"/>
  <c r="W1638" i="12"/>
  <c r="W1310" i="12"/>
  <c r="X1685" i="12"/>
  <c r="X2602" i="12"/>
  <c r="X2458" i="12"/>
  <c r="Y2458" i="12" s="1"/>
  <c r="W1047" i="12"/>
  <c r="X1032" i="12"/>
  <c r="W1675" i="12"/>
  <c r="W987" i="12"/>
  <c r="W1812" i="12"/>
  <c r="W2205" i="12"/>
  <c r="X2205" i="12"/>
  <c r="W1117" i="12"/>
  <c r="W1944" i="12"/>
  <c r="W2337" i="12"/>
  <c r="W939" i="12"/>
  <c r="W1053" i="12"/>
  <c r="W2491" i="12"/>
  <c r="W2483" i="12"/>
  <c r="W860" i="12"/>
  <c r="W1016" i="12"/>
  <c r="W1770" i="12"/>
  <c r="W1747" i="12"/>
  <c r="W1046" i="12"/>
  <c r="W1255" i="12"/>
  <c r="W886" i="12"/>
  <c r="W787" i="12"/>
  <c r="W460" i="12"/>
  <c r="W2462" i="12"/>
  <c r="W744" i="12"/>
  <c r="W737" i="12"/>
  <c r="W2625" i="12"/>
  <c r="W1151" i="12"/>
  <c r="X1914" i="12"/>
  <c r="W1728" i="12"/>
  <c r="W2442" i="12"/>
  <c r="W2189" i="12"/>
  <c r="W797" i="12"/>
  <c r="W686" i="12"/>
  <c r="W1758" i="12"/>
  <c r="W2573" i="12"/>
  <c r="Y2573" i="12" s="1"/>
  <c r="W2282" i="12"/>
  <c r="W1630" i="12"/>
  <c r="Y1630" i="12" s="1"/>
  <c r="W1740" i="12"/>
  <c r="X2469" i="12"/>
  <c r="W253" i="12"/>
  <c r="W735" i="12"/>
  <c r="W2285" i="12"/>
  <c r="W2553" i="12"/>
  <c r="W2410" i="12"/>
  <c r="W1253" i="12"/>
  <c r="W2361" i="12"/>
  <c r="W1173" i="12"/>
  <c r="W1726" i="12"/>
  <c r="W826" i="12"/>
  <c r="W2247" i="12"/>
  <c r="W1180" i="12"/>
  <c r="W2010" i="12"/>
  <c r="W2373" i="12"/>
  <c r="Y2373" i="12" s="1"/>
  <c r="W2178" i="12"/>
  <c r="X1213" i="12"/>
  <c r="X2508" i="12"/>
  <c r="W1226" i="12"/>
  <c r="W2571" i="12"/>
  <c r="W1854" i="12"/>
  <c r="W1030" i="12"/>
  <c r="W2124" i="12"/>
  <c r="W2399" i="12"/>
  <c r="W2465" i="12"/>
  <c r="Y2465" i="12" s="1"/>
  <c r="X1804" i="12"/>
  <c r="W392" i="12"/>
  <c r="W1328" i="12"/>
  <c r="W420" i="12"/>
  <c r="W1289" i="12"/>
  <c r="W1366" i="12"/>
  <c r="W2641" i="12"/>
  <c r="W2227" i="12"/>
  <c r="W1260" i="12"/>
  <c r="W2499" i="12"/>
  <c r="W2197" i="12"/>
  <c r="W1286" i="12"/>
  <c r="W2622" i="12"/>
  <c r="W1973" i="12"/>
  <c r="W2324" i="12"/>
  <c r="W111" i="12"/>
  <c r="X2043" i="12"/>
  <c r="W1350" i="12"/>
  <c r="W2050" i="12"/>
  <c r="X2643" i="12"/>
  <c r="W582" i="12"/>
  <c r="W908" i="12"/>
  <c r="W1891" i="12"/>
  <c r="X2003" i="12"/>
  <c r="W861" i="12"/>
  <c r="W1784" i="12"/>
  <c r="X2045" i="12"/>
  <c r="W186" i="12"/>
  <c r="W417" i="12"/>
  <c r="W713" i="12"/>
  <c r="X2329" i="12"/>
  <c r="W1121" i="12"/>
  <c r="X643" i="12"/>
  <c r="W2539" i="12"/>
  <c r="W1177" i="12"/>
  <c r="W1976" i="12"/>
  <c r="W2300" i="12"/>
  <c r="W1442" i="12"/>
  <c r="W316" i="12"/>
  <c r="W2122" i="12"/>
  <c r="X2203" i="12"/>
  <c r="W1952" i="12"/>
  <c r="X1953" i="12"/>
  <c r="W2447" i="12"/>
  <c r="X2061" i="12"/>
  <c r="W228" i="12"/>
  <c r="W2379" i="12"/>
  <c r="W707" i="12"/>
  <c r="W414" i="12"/>
  <c r="W207" i="12"/>
  <c r="X2644" i="12"/>
  <c r="W1783" i="12"/>
  <c r="W1775" i="12"/>
  <c r="W1899" i="12"/>
  <c r="W1400" i="12"/>
  <c r="W1311" i="12"/>
  <c r="W1235" i="12"/>
  <c r="X1570" i="12"/>
  <c r="W1049" i="12"/>
  <c r="W2572" i="12"/>
  <c r="W348" i="12"/>
  <c r="W548" i="12"/>
  <c r="W2452" i="12"/>
  <c r="Y2452" i="12" s="1"/>
  <c r="W576" i="12"/>
  <c r="W1547" i="12"/>
  <c r="W1913" i="12"/>
  <c r="X1031" i="12"/>
  <c r="X1989" i="12"/>
  <c r="W35" i="12"/>
  <c r="X947" i="12"/>
  <c r="W1416" i="12"/>
  <c r="W2566" i="12"/>
  <c r="W1737" i="12"/>
  <c r="Y1737" i="12" s="1"/>
  <c r="W1945" i="12"/>
  <c r="W2236" i="12"/>
  <c r="X1641" i="12"/>
  <c r="W1478" i="12"/>
  <c r="W1938" i="12"/>
  <c r="X1288" i="12"/>
  <c r="W2012" i="12"/>
  <c r="W1712" i="12"/>
  <c r="X1469" i="12"/>
  <c r="W1930" i="12"/>
  <c r="Y1930" i="12" s="1"/>
  <c r="W444" i="12"/>
  <c r="W1890" i="12"/>
  <c r="W909" i="12"/>
  <c r="W1684" i="12"/>
  <c r="W638" i="12"/>
  <c r="W1604" i="12"/>
  <c r="W88" i="12"/>
  <c r="W1555" i="12"/>
  <c r="W1669" i="12"/>
  <c r="W1546" i="12"/>
  <c r="X1217" i="12"/>
  <c r="W487" i="12"/>
  <c r="W1697" i="12"/>
  <c r="W2327" i="12"/>
  <c r="W1059" i="12"/>
  <c r="W1961" i="12"/>
  <c r="W2446" i="12"/>
  <c r="W2319" i="12"/>
  <c r="W2229" i="12"/>
  <c r="Y2229" i="12" s="1"/>
  <c r="W2481" i="12"/>
  <c r="W2299" i="12"/>
  <c r="W2293" i="12"/>
  <c r="X2267" i="12"/>
  <c r="W1951" i="12"/>
  <c r="W616" i="12"/>
  <c r="W2279" i="12"/>
  <c r="W2384" i="12"/>
  <c r="W1505" i="12"/>
  <c r="W2344" i="12"/>
  <c r="W1288" i="12"/>
  <c r="W2224" i="12"/>
  <c r="W2244" i="12"/>
  <c r="W2184" i="12"/>
  <c r="W2471" i="12"/>
  <c r="W472" i="12"/>
  <c r="W1457" i="12"/>
  <c r="Y1457" i="12" s="1"/>
  <c r="W2398" i="12"/>
  <c r="W899" i="12"/>
  <c r="W2591" i="12"/>
  <c r="X1544" i="12"/>
  <c r="W1975" i="12"/>
  <c r="W2313" i="12"/>
  <c r="W2034" i="12"/>
  <c r="W2611" i="12"/>
  <c r="W1598" i="12"/>
  <c r="W1635" i="12"/>
  <c r="W2469" i="12"/>
  <c r="W2529" i="12"/>
  <c r="W2476" i="12"/>
  <c r="Y2476" i="12" s="1"/>
  <c r="W70" i="12"/>
  <c r="W2203" i="12"/>
  <c r="Y2203" i="12" s="1"/>
  <c r="W2322" i="12"/>
  <c r="W353" i="12"/>
  <c r="W468" i="12"/>
  <c r="W2146" i="12"/>
  <c r="W1925" i="12"/>
  <c r="W2096" i="12"/>
  <c r="W1249" i="12"/>
  <c r="W1196" i="12"/>
  <c r="X2153" i="12"/>
  <c r="W141" i="12"/>
  <c r="W1570" i="12"/>
  <c r="W2269" i="12"/>
  <c r="W662" i="12"/>
  <c r="X1721" i="12"/>
  <c r="X2136" i="12"/>
  <c r="W1088" i="12"/>
  <c r="W2619" i="12"/>
  <c r="W1777" i="12"/>
  <c r="Y1777" i="12" s="1"/>
  <c r="W1259" i="12"/>
  <c r="X2132" i="12"/>
  <c r="W159" i="12"/>
  <c r="W2535" i="12"/>
  <c r="Y2535" i="12" s="1"/>
  <c r="W1036" i="12"/>
  <c r="W2542" i="12"/>
  <c r="W1591" i="12"/>
  <c r="W1962" i="12"/>
  <c r="W2308" i="12"/>
  <c r="X702" i="12"/>
  <c r="W1746" i="12"/>
  <c r="W2444" i="12"/>
  <c r="W2422" i="12"/>
  <c r="W2402" i="12"/>
  <c r="W2366" i="12"/>
  <c r="W552" i="12"/>
  <c r="W2166" i="12"/>
  <c r="W2242" i="12"/>
  <c r="W2086" i="12"/>
  <c r="W1994" i="12"/>
  <c r="W984" i="12"/>
  <c r="W142" i="12"/>
  <c r="X1090" i="12"/>
  <c r="W1160" i="12"/>
  <c r="X2089" i="12"/>
  <c r="X1716" i="12"/>
  <c r="X1617" i="12"/>
  <c r="X2596" i="12"/>
  <c r="W1240" i="12"/>
  <c r="W988" i="12"/>
  <c r="W2309" i="12"/>
  <c r="W2377" i="12"/>
  <c r="W1269" i="12"/>
  <c r="Y1269" i="12" s="1"/>
  <c r="W2333" i="12"/>
  <c r="X2139" i="12"/>
  <c r="W1068" i="12"/>
  <c r="W1507" i="12"/>
  <c r="W1265" i="12"/>
  <c r="W1389" i="12"/>
  <c r="W1365" i="12"/>
  <c r="W1309" i="12"/>
  <c r="W1285" i="12"/>
  <c r="W1244" i="12"/>
  <c r="W1957" i="12"/>
  <c r="Y1957" i="12" s="1"/>
  <c r="W1550" i="12"/>
  <c r="W2632" i="12"/>
  <c r="W2508" i="12"/>
  <c r="Y2508" i="12" s="1"/>
  <c r="W2538" i="12"/>
  <c r="W1862" i="12"/>
  <c r="X2507" i="12"/>
  <c r="X1249" i="12"/>
  <c r="W1477" i="12"/>
  <c r="Y1477" i="12" s="1"/>
  <c r="W2002" i="12"/>
  <c r="W355" i="12"/>
  <c r="W1481" i="12"/>
  <c r="W2129" i="12"/>
  <c r="W1656" i="12"/>
  <c r="W2026" i="12"/>
  <c r="X1957" i="12"/>
  <c r="W1156" i="12"/>
  <c r="W155" i="12"/>
  <c r="W2105" i="12"/>
  <c r="X1066" i="12"/>
  <c r="W1841" i="12"/>
  <c r="W1297" i="12"/>
  <c r="W2154" i="12"/>
  <c r="W954" i="12"/>
  <c r="W2375" i="12"/>
  <c r="W704" i="12"/>
  <c r="W1361" i="12"/>
  <c r="W51" i="12"/>
  <c r="W669" i="12"/>
  <c r="W2250" i="12"/>
  <c r="X2317" i="12"/>
  <c r="X2221" i="12"/>
  <c r="W2408" i="12"/>
  <c r="W1803" i="12"/>
  <c r="X2379" i="12"/>
  <c r="X2633" i="12"/>
  <c r="W1680" i="12"/>
  <c r="W260" i="12"/>
  <c r="X1200" i="12"/>
  <c r="W920" i="12"/>
  <c r="W511" i="12"/>
  <c r="W126" i="12"/>
  <c r="X2605" i="12"/>
  <c r="X2165" i="12"/>
  <c r="X2540" i="12"/>
  <c r="Y2540" i="12" s="1"/>
  <c r="W1902" i="12"/>
  <c r="X1474" i="12"/>
  <c r="X2523" i="12"/>
  <c r="W1374" i="12"/>
  <c r="W2199" i="12"/>
  <c r="W1002" i="12"/>
  <c r="W2316" i="12"/>
  <c r="W2601" i="12"/>
  <c r="Y2601" i="12" s="1"/>
  <c r="W247" i="12"/>
  <c r="W2161" i="12"/>
  <c r="W1989" i="12"/>
  <c r="W1388" i="12"/>
  <c r="W2228" i="12"/>
  <c r="W2364" i="12"/>
  <c r="W479" i="12"/>
  <c r="W2461" i="12"/>
  <c r="W1926" i="12"/>
  <c r="W934" i="12"/>
  <c r="W2147" i="12"/>
  <c r="W2217" i="12"/>
  <c r="W1970" i="12"/>
  <c r="W1682" i="12"/>
  <c r="W2028" i="12"/>
  <c r="W2292" i="12"/>
  <c r="Y2292" i="12" s="1"/>
  <c r="W2345" i="12"/>
  <c r="W2627" i="12"/>
  <c r="W7" i="12"/>
  <c r="W2463" i="12"/>
  <c r="W2607" i="12"/>
  <c r="W2560" i="12"/>
  <c r="W2374" i="12"/>
  <c r="W499" i="12"/>
  <c r="W889" i="12"/>
  <c r="W2058" i="12"/>
  <c r="W1898" i="12"/>
  <c r="W870" i="12"/>
  <c r="W1293" i="12"/>
  <c r="W2061" i="12"/>
  <c r="Y2061" i="12" s="1"/>
  <c r="W1370" i="12"/>
  <c r="W630" i="12"/>
  <c r="X1413" i="12"/>
  <c r="W2517" i="12"/>
  <c r="Y2517" i="12" s="1"/>
  <c r="X1421" i="12"/>
  <c r="W401" i="12"/>
  <c r="W1438" i="12"/>
  <c r="W2297" i="12"/>
  <c r="W2424" i="12"/>
  <c r="W904" i="12"/>
  <c r="W1335" i="12"/>
  <c r="W536" i="12"/>
  <c r="W2405" i="12"/>
  <c r="Y2405" i="12" s="1"/>
  <c r="W1313" i="12"/>
  <c r="X2589" i="12"/>
  <c r="W1560" i="12"/>
  <c r="X2429" i="12"/>
  <c r="W664" i="12"/>
  <c r="X1948" i="12"/>
  <c r="W1040" i="12"/>
  <c r="X1592" i="12"/>
  <c r="W2355" i="12"/>
  <c r="W2137" i="12"/>
  <c r="W1946" i="12"/>
  <c r="W808" i="12"/>
  <c r="X1820" i="12"/>
  <c r="W193" i="12"/>
  <c r="W2091" i="12"/>
  <c r="W2413" i="12"/>
  <c r="W1774" i="12"/>
  <c r="X2516" i="12"/>
  <c r="X1157" i="12"/>
  <c r="W2533" i="12"/>
  <c r="W1597" i="12"/>
  <c r="W2487" i="12"/>
  <c r="X1502" i="12"/>
  <c r="W653" i="12"/>
  <c r="W1829" i="12"/>
  <c r="W1318" i="12"/>
  <c r="W1405" i="12"/>
  <c r="W1178" i="12"/>
  <c r="W679" i="12"/>
  <c r="W2590" i="12"/>
  <c r="W332" i="12"/>
  <c r="W819" i="12"/>
  <c r="W403" i="12"/>
  <c r="W1948" i="12"/>
  <c r="Y1948" i="12" s="1"/>
  <c r="W408" i="12"/>
  <c r="W81" i="12"/>
  <c r="W1790" i="12"/>
  <c r="W360" i="12"/>
  <c r="W919" i="12"/>
  <c r="X2037" i="12"/>
  <c r="W2019" i="12"/>
  <c r="W2284" i="12"/>
  <c r="W1257" i="12"/>
  <c r="X1755" i="12"/>
  <c r="W2453" i="12"/>
  <c r="W2066" i="12"/>
  <c r="W263" i="12"/>
  <c r="W1367" i="12"/>
  <c r="W1763" i="12"/>
  <c r="W856" i="12"/>
  <c r="W2516" i="12"/>
  <c r="W1168" i="12"/>
  <c r="W1353" i="12"/>
  <c r="W2246" i="12"/>
  <c r="W2186" i="12"/>
  <c r="W1894" i="12"/>
  <c r="W463" i="12"/>
  <c r="W912" i="12"/>
  <c r="W804" i="12"/>
  <c r="X783" i="12"/>
  <c r="W56" i="12"/>
  <c r="X1649" i="12"/>
  <c r="W2298" i="12"/>
  <c r="X344" i="12"/>
  <c r="W1460" i="12"/>
  <c r="X673" i="12"/>
  <c r="W269" i="12"/>
  <c r="W296" i="12"/>
  <c r="W2420" i="12"/>
  <c r="Y2420" i="12" s="1"/>
  <c r="W2323" i="12"/>
  <c r="W2076" i="12"/>
  <c r="W339" i="12"/>
  <c r="W720" i="12"/>
  <c r="W1813" i="12"/>
  <c r="Y1813" i="12" s="1"/>
  <c r="W985" i="12"/>
  <c r="W259" i="12"/>
  <c r="W1248" i="12"/>
  <c r="X804" i="12"/>
  <c r="W484" i="12"/>
  <c r="W1256" i="12"/>
  <c r="W507" i="12"/>
  <c r="W1979" i="12"/>
  <c r="X1932" i="12"/>
  <c r="W1640" i="12"/>
  <c r="X2020" i="12"/>
  <c r="W282" i="12"/>
  <c r="W2079" i="12"/>
  <c r="X1839" i="12"/>
  <c r="W729" i="12"/>
  <c r="W606" i="12"/>
  <c r="W382" i="12"/>
  <c r="X2269" i="12"/>
  <c r="W306" i="12"/>
  <c r="W2523" i="12"/>
  <c r="W94" i="12"/>
  <c r="X2461" i="12"/>
  <c r="W2213" i="12"/>
  <c r="W1631" i="12"/>
  <c r="W1953" i="12"/>
  <c r="Y1953" i="12" s="1"/>
  <c r="W412" i="12"/>
  <c r="W1981" i="12"/>
  <c r="Y1981" i="12" s="1"/>
  <c r="W2610" i="12"/>
  <c r="W1623" i="12"/>
  <c r="X2651" i="12"/>
  <c r="W2029" i="12"/>
  <c r="Y2029" i="12" s="1"/>
  <c r="X2004" i="12"/>
  <c r="W2409" i="12"/>
  <c r="X1285" i="12"/>
  <c r="W1900" i="12"/>
  <c r="Y1900" i="12" s="1"/>
  <c r="W874" i="12"/>
  <c r="W1329" i="12"/>
  <c r="Y1329" i="12" s="1"/>
  <c r="W738" i="12"/>
  <c r="W2267" i="12"/>
  <c r="X2277" i="12"/>
  <c r="W2109" i="12"/>
  <c r="Y2109" i="12" s="1"/>
  <c r="W2449" i="12"/>
  <c r="W2005" i="12"/>
  <c r="W1062" i="12"/>
  <c r="W1759" i="12"/>
  <c r="Y1759" i="12" s="1"/>
  <c r="W1446" i="12"/>
  <c r="W1679" i="12"/>
  <c r="W1786" i="12"/>
  <c r="X2618" i="12"/>
  <c r="W2503" i="12"/>
  <c r="W840" i="12"/>
  <c r="X2420" i="12"/>
  <c r="W1795" i="12"/>
  <c r="W2555" i="12"/>
  <c r="W1818" i="12"/>
  <c r="W2335" i="12"/>
  <c r="W2037" i="12"/>
  <c r="Y2037" i="12" s="1"/>
  <c r="W1393" i="12"/>
  <c r="Y1393" i="12" s="1"/>
  <c r="W1336" i="12"/>
  <c r="W1254" i="12"/>
  <c r="W2169" i="12"/>
  <c r="W2039" i="12"/>
  <c r="W2009" i="12"/>
  <c r="W31" i="12"/>
  <c r="W1647" i="12"/>
  <c r="W935" i="12"/>
  <c r="W1748" i="12"/>
  <c r="W441" i="12"/>
  <c r="W1668" i="12"/>
  <c r="W571" i="12"/>
  <c r="W1428" i="12"/>
  <c r="X1916" i="12"/>
  <c r="W1348" i="12"/>
  <c r="X2164" i="12"/>
  <c r="W1299" i="12"/>
  <c r="Y1299" i="12" s="1"/>
  <c r="W2456" i="12"/>
  <c r="W1479" i="12"/>
  <c r="W2318" i="12"/>
  <c r="W1516" i="12"/>
  <c r="W1575" i="12"/>
  <c r="W2027" i="12"/>
  <c r="Y2027" i="12" s="1"/>
  <c r="W1822" i="12"/>
  <c r="W1511" i="12"/>
  <c r="W1897" i="12"/>
  <c r="W212" i="12"/>
  <c r="W2160" i="12"/>
  <c r="W1101" i="12"/>
  <c r="W1983" i="12"/>
  <c r="W1637" i="12"/>
  <c r="W1419" i="12"/>
  <c r="W1378" i="12"/>
  <c r="W1077" i="12"/>
  <c r="X2030" i="12"/>
  <c r="W1492" i="12"/>
  <c r="X2445" i="12"/>
  <c r="W1412" i="12"/>
  <c r="X1656" i="12"/>
  <c r="W2165" i="12"/>
  <c r="Y2165" i="12" s="1"/>
  <c r="W2092" i="12"/>
  <c r="W611" i="12"/>
  <c r="W1352" i="12"/>
  <c r="X2259" i="12"/>
  <c r="W2378" i="12"/>
  <c r="X2653" i="12"/>
  <c r="W714" i="12"/>
  <c r="W1278" i="12"/>
  <c r="X2640" i="12"/>
  <c r="W2181" i="12"/>
  <c r="X2652" i="12"/>
  <c r="W2208" i="12"/>
  <c r="W855" i="12"/>
  <c r="X2485" i="12"/>
  <c r="W2112" i="12"/>
  <c r="W782" i="12"/>
  <c r="X2253" i="12"/>
  <c r="W366" i="12"/>
  <c r="X2419" i="12"/>
  <c r="X1433" i="12"/>
  <c r="W2016" i="12"/>
  <c r="W2331" i="12"/>
  <c r="X2333" i="12"/>
  <c r="W2013" i="12"/>
  <c r="X2173" i="12"/>
  <c r="W440" i="12"/>
  <c r="X2612" i="12"/>
  <c r="X1775" i="12"/>
  <c r="X2196" i="12"/>
  <c r="W1549" i="12"/>
  <c r="W1856" i="12"/>
  <c r="X2029" i="12"/>
  <c r="X1130" i="12"/>
  <c r="X1662" i="12"/>
  <c r="X1807" i="12"/>
  <c r="W502" i="12"/>
  <c r="W132" i="12"/>
  <c r="W278" i="12"/>
  <c r="X1892" i="12"/>
  <c r="W1601" i="12"/>
  <c r="W1686" i="12"/>
  <c r="X2501" i="12"/>
  <c r="W1685" i="12"/>
  <c r="Y1685" i="12" s="1"/>
  <c r="W1629" i="12"/>
  <c r="W1605" i="12"/>
  <c r="W1882" i="12"/>
  <c r="W1535" i="12"/>
  <c r="W238" i="12"/>
  <c r="W179" i="12"/>
  <c r="W346" i="12"/>
  <c r="W1525" i="12"/>
  <c r="W1058" i="12"/>
  <c r="W943" i="12"/>
  <c r="X835" i="12"/>
  <c r="W466" i="12"/>
  <c r="W317" i="12"/>
  <c r="W1424" i="12"/>
  <c r="W2031" i="12"/>
  <c r="X1921" i="12"/>
  <c r="W1667" i="12"/>
  <c r="X1245" i="12"/>
  <c r="X1165" i="12"/>
  <c r="X2068" i="12"/>
  <c r="X2444" i="12"/>
  <c r="W1934" i="12"/>
  <c r="W1873" i="12"/>
  <c r="W2304" i="12"/>
  <c r="W520" i="12"/>
  <c r="W2336" i="12"/>
  <c r="X2147" i="12"/>
  <c r="X1704" i="12"/>
  <c r="X2124" i="12"/>
  <c r="X742" i="12"/>
  <c r="X1374" i="12"/>
  <c r="W1532" i="12"/>
  <c r="X2106" i="12"/>
  <c r="X1788" i="12"/>
  <c r="X1866" i="12"/>
  <c r="W39" i="12"/>
  <c r="X2425" i="12"/>
  <c r="X384" i="12"/>
  <c r="X2625" i="12"/>
  <c r="X1985" i="12"/>
  <c r="X862" i="12"/>
  <c r="W62" i="12"/>
  <c r="W1406" i="12"/>
  <c r="W1719" i="12"/>
  <c r="X1357" i="12"/>
  <c r="W325" i="12"/>
  <c r="W226" i="12"/>
  <c r="W29" i="12"/>
  <c r="W1811" i="12"/>
  <c r="W8" i="12"/>
  <c r="W1731" i="12"/>
  <c r="X1937" i="12"/>
  <c r="W1375" i="12"/>
  <c r="W532" i="12"/>
  <c r="W1295" i="12"/>
  <c r="W2201" i="12"/>
  <c r="W1859" i="12"/>
  <c r="W1659" i="12"/>
  <c r="W1091" i="12"/>
  <c r="W1435" i="12"/>
  <c r="W1536" i="12"/>
  <c r="W1323" i="12"/>
  <c r="W1251" i="12"/>
  <c r="X1208" i="12"/>
  <c r="W288" i="12"/>
  <c r="W385" i="12"/>
  <c r="W651" i="12"/>
  <c r="W448" i="12"/>
  <c r="W1174" i="12"/>
  <c r="W1526" i="12"/>
  <c r="W1014" i="12"/>
  <c r="W1720" i="12"/>
  <c r="W1051" i="12"/>
  <c r="W1135" i="12"/>
  <c r="W610" i="12"/>
  <c r="W666" i="12"/>
  <c r="W1107" i="12"/>
  <c r="W172" i="12"/>
  <c r="X1437" i="12"/>
  <c r="X2236" i="12"/>
  <c r="X1970" i="12"/>
  <c r="Y1970" i="12" s="1"/>
  <c r="W1320" i="12"/>
  <c r="W1422" i="12"/>
  <c r="Y1422" i="12" s="1"/>
  <c r="W2443" i="12"/>
  <c r="W1429" i="12"/>
  <c r="W1373" i="12"/>
  <c r="W1349" i="12"/>
  <c r="Y1349" i="12" s="1"/>
  <c r="W1396" i="12"/>
  <c r="W1279" i="12"/>
  <c r="W378" i="12"/>
  <c r="X1709" i="12"/>
  <c r="W2080" i="12"/>
  <c r="W670" i="12"/>
  <c r="W841" i="12"/>
  <c r="X1978" i="12"/>
  <c r="W113" i="12"/>
  <c r="W101" i="12"/>
  <c r="W387" i="12"/>
  <c r="X1178" i="12"/>
  <c r="W2043" i="12"/>
  <c r="Y2043" i="12" s="1"/>
  <c r="W1664" i="12"/>
  <c r="W85" i="12"/>
  <c r="X2334" i="12"/>
  <c r="X2195" i="12"/>
  <c r="W1772" i="12"/>
  <c r="Y1772" i="12" s="1"/>
  <c r="W790" i="12"/>
  <c r="X2033" i="12"/>
  <c r="X1304" i="12"/>
  <c r="X2488" i="12"/>
  <c r="X2224" i="12"/>
  <c r="X1674" i="12"/>
  <c r="W2067" i="12"/>
  <c r="W2255" i="12"/>
  <c r="W1954" i="12"/>
  <c r="W2527" i="12"/>
  <c r="W2594" i="12"/>
  <c r="W2047" i="12"/>
  <c r="W1657" i="12"/>
  <c r="W2617" i="12"/>
  <c r="W1191" i="12"/>
  <c r="W2592" i="12"/>
  <c r="W275" i="12"/>
  <c r="W2428" i="12"/>
  <c r="W1090" i="12"/>
  <c r="Y1090" i="12" s="1"/>
  <c r="W1199" i="12"/>
  <c r="W2519" i="12"/>
  <c r="W2183" i="12"/>
  <c r="W1390" i="12"/>
  <c r="W467" i="12"/>
  <c r="W1197" i="12"/>
  <c r="Y1197" i="12" s="1"/>
  <c r="W1553" i="12"/>
  <c r="X2621" i="12"/>
  <c r="W2032" i="12"/>
  <c r="W2249" i="12"/>
  <c r="W291" i="12"/>
  <c r="W1887" i="12"/>
  <c r="Y1887" i="12" s="1"/>
  <c r="W2023" i="12"/>
  <c r="W1999" i="12"/>
  <c r="W1915" i="12"/>
  <c r="W1885" i="12"/>
  <c r="W2157" i="12"/>
  <c r="W1666" i="12"/>
  <c r="W1610" i="12"/>
  <c r="W1586" i="12"/>
  <c r="W1626" i="12"/>
  <c r="W1128" i="12"/>
  <c r="W922" i="12"/>
  <c r="W1103" i="12"/>
  <c r="W569" i="12"/>
  <c r="W1842" i="12"/>
  <c r="W2207" i="12"/>
  <c r="W2387" i="12"/>
  <c r="W2388" i="12"/>
  <c r="Y2388" i="12" s="1"/>
  <c r="W2411" i="12"/>
  <c r="W698" i="12"/>
  <c r="W2059" i="12"/>
  <c r="W1377" i="12"/>
  <c r="X2237" i="12"/>
  <c r="W2015" i="12"/>
  <c r="W733" i="12"/>
  <c r="X1743" i="12"/>
  <c r="W1853" i="12"/>
  <c r="W2276" i="12"/>
  <c r="X2077" i="12"/>
  <c r="W1495" i="12"/>
  <c r="X1884" i="12"/>
  <c r="X2597" i="12"/>
  <c r="X2588" i="12"/>
  <c r="W812" i="12"/>
  <c r="X2100" i="12"/>
  <c r="W2241" i="12"/>
  <c r="W2578" i="12"/>
  <c r="W825" i="12"/>
  <c r="W626" i="12"/>
  <c r="W1534" i="12"/>
  <c r="W224" i="12"/>
  <c r="W925" i="12"/>
  <c r="W1583" i="12"/>
  <c r="W1884" i="12"/>
  <c r="W1533" i="12"/>
  <c r="W1206" i="12"/>
  <c r="W1868" i="12"/>
  <c r="W950" i="12"/>
  <c r="W1776" i="12"/>
  <c r="W2549" i="12"/>
  <c r="W2587" i="12"/>
  <c r="Y2587" i="12" s="1"/>
  <c r="W2360" i="12"/>
  <c r="W1354" i="12"/>
  <c r="W2187" i="12"/>
  <c r="W1672" i="12"/>
  <c r="Y1672" i="12" s="1"/>
  <c r="X1598" i="12"/>
  <c r="W810" i="12"/>
  <c r="X2556" i="12"/>
  <c r="W2363" i="12"/>
  <c r="Y2363" i="12" s="1"/>
  <c r="X654" i="12"/>
  <c r="W2569" i="12"/>
  <c r="W1687" i="12"/>
  <c r="W242" i="12"/>
  <c r="X2594" i="12"/>
  <c r="W2334" i="12"/>
  <c r="Y2334" i="12" s="1"/>
  <c r="W1988" i="12"/>
  <c r="X620" i="12"/>
  <c r="X1652" i="12"/>
  <c r="W495" i="12"/>
  <c r="W2427" i="12"/>
  <c r="W1468" i="12"/>
  <c r="X2495" i="12"/>
  <c r="W2478" i="12"/>
  <c r="W561" i="12"/>
  <c r="W109" i="12"/>
  <c r="W1110" i="12"/>
  <c r="W598" i="12"/>
  <c r="X1797" i="12"/>
  <c r="X125" i="12"/>
  <c r="X866" i="12"/>
  <c r="W407" i="12"/>
  <c r="W1394" i="12"/>
  <c r="W1936" i="12"/>
  <c r="Y1936" i="12" s="1"/>
  <c r="W1287" i="12"/>
  <c r="W1896" i="12"/>
  <c r="X2181" i="12"/>
  <c r="X796" i="12"/>
  <c r="W875" i="12"/>
  <c r="W350" i="12"/>
  <c r="W1132" i="12"/>
  <c r="X2293" i="12"/>
  <c r="X2131" i="12"/>
  <c r="X1784" i="12"/>
  <c r="X1205" i="12"/>
  <c r="X1336" i="12"/>
  <c r="Y1336" i="12" s="1"/>
  <c r="W1523" i="12"/>
  <c r="W2143" i="12"/>
  <c r="X1626" i="12"/>
  <c r="X348" i="12"/>
  <c r="W1409" i="12"/>
  <c r="W1615" i="12"/>
  <c r="W2403" i="12"/>
  <c r="X2348" i="12"/>
  <c r="W872" i="12"/>
  <c r="X1554" i="12"/>
  <c r="W1458" i="12"/>
  <c r="W1434" i="12"/>
  <c r="X2642" i="12"/>
  <c r="X1850" i="12"/>
  <c r="X2121" i="12"/>
  <c r="W2142" i="12"/>
  <c r="W1369" i="12"/>
  <c r="W1653" i="12"/>
  <c r="X1564" i="12"/>
  <c r="X1679" i="12"/>
  <c r="X2149" i="12"/>
  <c r="X2580" i="12"/>
  <c r="W1677" i="12"/>
  <c r="W2577" i="12"/>
  <c r="W1867" i="12"/>
  <c r="W1190" i="12"/>
  <c r="W755" i="12"/>
  <c r="W246" i="12"/>
  <c r="W1708" i="12"/>
  <c r="Y1708" i="12" s="1"/>
  <c r="W494" i="12"/>
  <c r="W2014" i="12"/>
  <c r="W608" i="12"/>
  <c r="X2403" i="12"/>
  <c r="W2134" i="12"/>
  <c r="W344" i="12"/>
  <c r="Y344" i="12" s="1"/>
  <c r="X1318" i="12"/>
  <c r="W648" i="12"/>
  <c r="X1971" i="12"/>
  <c r="Y1971" i="12" s="1"/>
  <c r="X1672" i="12"/>
  <c r="W1955" i="12"/>
  <c r="X2513" i="12"/>
  <c r="X2477" i="12"/>
  <c r="X1724" i="12"/>
  <c r="W154" i="12"/>
  <c r="W977" i="12"/>
  <c r="X2436" i="12"/>
  <c r="X1538" i="12"/>
  <c r="W1054" i="12"/>
  <c r="X551" i="12"/>
  <c r="W1291" i="12"/>
  <c r="W1364" i="12"/>
  <c r="W127" i="12"/>
  <c r="X1265" i="12"/>
  <c r="X2281" i="12"/>
  <c r="X1576" i="12"/>
  <c r="W2305" i="12"/>
  <c r="W2035" i="12"/>
  <c r="W2475" i="12"/>
  <c r="W1933" i="12"/>
  <c r="W751" i="12"/>
  <c r="W1262" i="12"/>
  <c r="W907" i="12"/>
  <c r="W706" i="12"/>
  <c r="W2138" i="12"/>
  <c r="W1791" i="12"/>
  <c r="W533" i="12"/>
  <c r="W362" i="12"/>
  <c r="W303" i="12"/>
  <c r="W1781" i="12"/>
  <c r="W1627" i="12"/>
  <c r="W1307" i="12"/>
  <c r="W708" i="12"/>
  <c r="X1812" i="12"/>
  <c r="W2497" i="12"/>
  <c r="W1321" i="12"/>
  <c r="W1806" i="12"/>
  <c r="W2464" i="12"/>
  <c r="W2434" i="12"/>
  <c r="W2406" i="12"/>
  <c r="W778" i="12"/>
  <c r="W890" i="12"/>
  <c r="W58" i="12"/>
  <c r="X1913" i="12"/>
  <c r="X1501" i="12"/>
  <c r="W1548" i="12"/>
  <c r="W26" i="12"/>
  <c r="X1658" i="12"/>
  <c r="X1896" i="12"/>
  <c r="X1231" i="12"/>
  <c r="W844" i="12"/>
  <c r="W1359" i="12"/>
  <c r="W2329" i="12"/>
  <c r="Y2329" i="12" s="1"/>
  <c r="W805" i="12"/>
  <c r="W1098" i="12"/>
  <c r="Y1098" i="12" s="1"/>
  <c r="W650" i="12"/>
  <c r="W771" i="12"/>
  <c r="W1845" i="12"/>
  <c r="W567" i="12"/>
  <c r="W1931" i="12"/>
  <c r="W1911" i="12"/>
  <c r="Y1911" i="12" s="1"/>
  <c r="W2070" i="12"/>
  <c r="X2539" i="12"/>
  <c r="W1792" i="12"/>
  <c r="W2106" i="12"/>
  <c r="Y2106" i="12" s="1"/>
  <c r="W2400" i="12"/>
  <c r="X1041" i="12"/>
  <c r="W107" i="12"/>
  <c r="W458" i="12"/>
  <c r="X1791" i="12"/>
  <c r="X2466" i="12"/>
  <c r="X2091" i="12"/>
  <c r="X1912" i="12"/>
  <c r="W1966" i="12"/>
  <c r="X2609" i="12"/>
  <c r="Y2609" i="12" s="1"/>
  <c r="X1833" i="12"/>
  <c r="X2585" i="12"/>
  <c r="X1940" i="12"/>
  <c r="W645" i="12"/>
  <c r="W485" i="12"/>
  <c r="W2525" i="12"/>
  <c r="Y2525" i="12" s="1"/>
  <c r="X1677" i="12"/>
  <c r="W711" i="12"/>
  <c r="X2525" i="12"/>
  <c r="X2569" i="12"/>
  <c r="W1462" i="12"/>
  <c r="W979" i="12"/>
  <c r="W1162" i="12"/>
  <c r="W2219" i="12"/>
  <c r="X1911" i="12"/>
  <c r="W924" i="12"/>
  <c r="W1146" i="12"/>
  <c r="W38" i="12"/>
  <c r="W5" i="12"/>
  <c r="W696" i="12"/>
  <c r="W2348" i="12"/>
  <c r="W2198" i="12"/>
  <c r="W1271" i="12"/>
  <c r="X2101" i="12"/>
  <c r="X2213" i="12"/>
  <c r="X2189" i="12"/>
  <c r="X258" i="12"/>
  <c r="W1420" i="12"/>
  <c r="W690" i="12"/>
  <c r="W2046" i="12"/>
  <c r="W321" i="12"/>
  <c r="W1137" i="12"/>
  <c r="X2532" i="12"/>
  <c r="W477" i="12"/>
  <c r="X2561" i="12"/>
  <c r="W1924" i="12"/>
  <c r="W79" i="12"/>
  <c r="W1858" i="12"/>
  <c r="W1991" i="12"/>
  <c r="W1551" i="12"/>
  <c r="X2634" i="12"/>
  <c r="W63" i="12"/>
  <c r="W270" i="12"/>
  <c r="W831" i="12"/>
  <c r="W1874" i="12"/>
  <c r="X871" i="12"/>
  <c r="W1245" i="12"/>
  <c r="W1521" i="12"/>
  <c r="Y1521" i="12" s="1"/>
  <c r="W1266" i="12"/>
  <c r="W621" i="12"/>
  <c r="W1624" i="12"/>
  <c r="W1158" i="12"/>
  <c r="W2130" i="12"/>
  <c r="X2005" i="12"/>
  <c r="W1303" i="12"/>
  <c r="W1919" i="12"/>
  <c r="W102" i="12"/>
  <c r="W2436" i="12"/>
  <c r="W89" i="12"/>
  <c r="W1619" i="12"/>
  <c r="X2619" i="12"/>
  <c r="W1539" i="12"/>
  <c r="X1944" i="12"/>
  <c r="W927" i="12"/>
  <c r="X2220" i="12"/>
  <c r="W1617" i="12"/>
  <c r="Y1617" i="12" s="1"/>
  <c r="W1122" i="12"/>
  <c r="X2409" i="12"/>
  <c r="W2095" i="12"/>
  <c r="W488" i="12"/>
  <c r="W2180" i="12"/>
  <c r="W1877" i="12"/>
  <c r="Y1877" i="12" s="1"/>
  <c r="W1112" i="12"/>
  <c r="X2276" i="12"/>
  <c r="W2418" i="12"/>
  <c r="W2328" i="12"/>
  <c r="Y2328" i="12" s="1"/>
  <c r="W2117" i="12"/>
  <c r="W2633" i="12"/>
  <c r="Y2633" i="12" s="1"/>
  <c r="W2065" i="12"/>
  <c r="W2232" i="12"/>
  <c r="W1430" i="12"/>
  <c r="W1848" i="12"/>
  <c r="W1872" i="12"/>
  <c r="W1229" i="12"/>
  <c r="Y1229" i="12" s="1"/>
  <c r="W1808" i="12"/>
  <c r="X1378" i="12"/>
  <c r="W1568" i="12"/>
  <c r="W563" i="12"/>
  <c r="W1488" i="12"/>
  <c r="W2650" i="12"/>
  <c r="Y2650" i="12" s="1"/>
  <c r="W2496" i="12"/>
  <c r="W2502" i="12"/>
  <c r="X2199" i="12"/>
  <c r="X2316" i="12"/>
  <c r="W1075" i="12"/>
  <c r="W2237" i="12"/>
  <c r="Y2237" i="12" s="1"/>
  <c r="X2564" i="12"/>
  <c r="W2141" i="12"/>
  <c r="W1509" i="12"/>
  <c r="W1066" i="12"/>
  <c r="Y1066" i="12" s="1"/>
  <c r="W2151" i="12"/>
  <c r="W972" i="12"/>
  <c r="W2439" i="12"/>
  <c r="W1767" i="12"/>
  <c r="W2407" i="12"/>
  <c r="W2100" i="12"/>
  <c r="Y2100" i="12" s="1"/>
  <c r="W1205" i="12"/>
  <c r="W2510" i="12"/>
  <c r="W1527" i="12"/>
  <c r="W1632" i="12"/>
  <c r="W631" i="12"/>
  <c r="W1552" i="12"/>
  <c r="W2239" i="12"/>
  <c r="W1104" i="12"/>
  <c r="W2500" i="12"/>
  <c r="W1652" i="12"/>
  <c r="Y1652" i="12" s="1"/>
  <c r="W1476" i="12"/>
  <c r="W1588" i="12"/>
  <c r="W2338" i="12"/>
  <c r="W2120" i="12"/>
  <c r="W2038" i="12"/>
  <c r="X1528" i="12"/>
  <c r="W1540" i="12"/>
  <c r="W2085" i="12"/>
  <c r="W2638" i="12"/>
  <c r="X1763" i="12"/>
  <c r="W187" i="12"/>
  <c r="X2325" i="12"/>
  <c r="X1723" i="12"/>
  <c r="X1316" i="12"/>
  <c r="Y1316" i="12" s="1"/>
  <c r="W455" i="12"/>
  <c r="X2321" i="12"/>
  <c r="X2047" i="12"/>
  <c r="X531" i="12"/>
  <c r="X691" i="12"/>
  <c r="W1272" i="12"/>
  <c r="X2613" i="12"/>
  <c r="W1149" i="12"/>
  <c r="X2453" i="12"/>
  <c r="W1658" i="12"/>
  <c r="Y1658" i="12" s="1"/>
  <c r="W396" i="12"/>
  <c r="X1438" i="12"/>
  <c r="W1510" i="12"/>
  <c r="W1716" i="12"/>
  <c r="Y1716" i="12" s="1"/>
  <c r="W264" i="12"/>
  <c r="X979" i="12"/>
  <c r="X1445" i="12"/>
  <c r="W991" i="12"/>
  <c r="X2413" i="12"/>
  <c r="X2427" i="12"/>
  <c r="W526" i="12"/>
  <c r="X830" i="12"/>
  <c r="W1602" i="12"/>
  <c r="W1538" i="12"/>
  <c r="Y1538" i="12" s="1"/>
  <c r="W1514" i="12"/>
  <c r="W2460" i="12"/>
  <c r="W160" i="12"/>
  <c r="W1769" i="12"/>
  <c r="W2511" i="12"/>
  <c r="W1395" i="12"/>
  <c r="X2171" i="12"/>
  <c r="W772" i="12"/>
  <c r="Y772" i="12" s="1"/>
  <c r="X2623" i="12"/>
  <c r="W15" i="12"/>
  <c r="X1665" i="12"/>
  <c r="W877" i="12"/>
  <c r="X2060" i="12"/>
  <c r="X1753" i="12"/>
  <c r="X2572" i="12"/>
  <c r="W1284" i="12"/>
  <c r="W235" i="12"/>
  <c r="W2626" i="12"/>
  <c r="W2565" i="12"/>
  <c r="Y2565" i="12" s="1"/>
  <c r="W1807" i="12"/>
  <c r="W2603" i="12"/>
  <c r="X1182" i="12"/>
  <c r="W811" i="12"/>
  <c r="W517" i="12"/>
  <c r="W422" i="12"/>
  <c r="W793" i="12"/>
  <c r="W2126" i="12"/>
  <c r="X1633" i="12"/>
  <c r="X2611" i="12"/>
  <c r="X2451" i="12"/>
  <c r="X186" i="12"/>
  <c r="X1166" i="12"/>
  <c r="X1915" i="12"/>
  <c r="Y1915" i="12" s="1"/>
  <c r="X1464" i="12"/>
  <c r="W1308" i="12"/>
  <c r="X1534" i="12"/>
  <c r="W1920" i="12"/>
  <c r="W2001" i="12"/>
  <c r="W766" i="12"/>
  <c r="X2103" i="12"/>
  <c r="W349" i="12"/>
  <c r="W65" i="12"/>
  <c r="X2521" i="12"/>
  <c r="W846" i="12"/>
  <c r="W2454" i="12"/>
  <c r="W1120" i="12"/>
  <c r="W2057" i="12"/>
  <c r="W1914" i="12"/>
  <c r="Y1914" i="12" s="1"/>
  <c r="W989" i="12"/>
  <c r="X2463" i="12"/>
  <c r="W2492" i="12"/>
  <c r="W1937" i="12"/>
  <c r="W2303" i="12"/>
  <c r="W2608" i="12"/>
  <c r="W2419" i="12"/>
  <c r="X1752" i="12"/>
  <c r="W1187" i="12"/>
  <c r="X1883" i="12"/>
  <c r="W1722" i="12"/>
  <c r="Y1722" i="12" s="1"/>
  <c r="W1698" i="12"/>
  <c r="X1739" i="12"/>
  <c r="X2412" i="12"/>
  <c r="W236" i="12"/>
  <c r="X2590" i="12"/>
  <c r="W1734" i="12"/>
  <c r="X599" i="12"/>
  <c r="X1904" i="12"/>
  <c r="W1125" i="12"/>
  <c r="W2631" i="12"/>
  <c r="W1042" i="12"/>
  <c r="W800" i="12"/>
  <c r="W252" i="12"/>
  <c r="W369" i="12"/>
  <c r="X2367" i="12"/>
  <c r="W2089" i="12"/>
  <c r="Y2089" i="12" s="1"/>
  <c r="W2051" i="12"/>
  <c r="X1122" i="12"/>
  <c r="W871" i="12"/>
  <c r="Y871" i="12" s="1"/>
  <c r="W194" i="12"/>
  <c r="W2139" i="12"/>
  <c r="Y2139" i="12" s="1"/>
  <c r="W1093" i="12"/>
  <c r="X2092" i="12"/>
  <c r="X1943" i="12"/>
  <c r="W1338" i="12"/>
  <c r="W1282" i="12"/>
  <c r="W1227" i="12"/>
  <c r="W2202" i="12"/>
  <c r="W2451" i="12"/>
  <c r="W1513" i="12"/>
  <c r="W2501" i="12"/>
  <c r="Y2501" i="12" s="1"/>
  <c r="W1123" i="12"/>
  <c r="X1819" i="12"/>
  <c r="W1643" i="12"/>
  <c r="W276" i="12"/>
  <c r="W308" i="12"/>
  <c r="W1974" i="12"/>
  <c r="W474" i="12"/>
  <c r="W315" i="12"/>
  <c r="W1292" i="12"/>
  <c r="W786" i="12"/>
  <c r="W579" i="12"/>
  <c r="X2185" i="12"/>
  <c r="X1453" i="12"/>
  <c r="W510" i="12"/>
  <c r="X823" i="12"/>
  <c r="X1771" i="12"/>
  <c r="X2252" i="12"/>
  <c r="X1486" i="12"/>
  <c r="X1962" i="12"/>
  <c r="X2392" i="12"/>
  <c r="X1154" i="12"/>
  <c r="W942" i="12"/>
  <c r="X1305" i="12"/>
  <c r="W279" i="12"/>
  <c r="X939" i="12"/>
  <c r="W743" i="12"/>
  <c r="W1696" i="12"/>
  <c r="W1452" i="12"/>
  <c r="Y1452" i="12" s="1"/>
  <c r="X1727" i="12"/>
  <c r="W2131" i="12"/>
  <c r="Y2131" i="12" s="1"/>
  <c r="X978" i="12"/>
  <c r="W1577" i="12"/>
  <c r="W2253" i="12"/>
  <c r="W2485" i="12"/>
  <c r="Y2485" i="12" s="1"/>
  <c r="W2552" i="12"/>
  <c r="W1497" i="12"/>
  <c r="W1193" i="12"/>
  <c r="W848" i="12"/>
  <c r="W2082" i="12"/>
  <c r="W1864" i="12"/>
  <c r="X1997" i="12"/>
  <c r="W964" i="12"/>
  <c r="X428" i="12"/>
  <c r="W850" i="12"/>
  <c r="X1828" i="12"/>
  <c r="X816" i="12"/>
  <c r="W1678" i="12"/>
  <c r="W947" i="12"/>
  <c r="Y947" i="12" s="1"/>
  <c r="X2581" i="12"/>
  <c r="W200" i="12"/>
  <c r="W2275" i="12"/>
  <c r="W774" i="12"/>
  <c r="W241" i="12"/>
  <c r="W1537" i="12"/>
  <c r="W1654" i="12"/>
  <c r="W1167" i="12"/>
  <c r="W2104" i="12"/>
  <c r="W1126" i="12"/>
  <c r="W2145" i="12"/>
  <c r="W1136" i="12"/>
  <c r="W594" i="12"/>
  <c r="W2596" i="12"/>
  <c r="Y2596" i="12" s="1"/>
  <c r="W1506" i="12"/>
  <c r="Y1506" i="12" s="1"/>
  <c r="W1484" i="12"/>
  <c r="W923" i="12"/>
  <c r="W1034" i="12"/>
  <c r="Y1034" i="12" s="1"/>
  <c r="W2301" i="12"/>
  <c r="X1903" i="12"/>
  <c r="W2099" i="12"/>
  <c r="W2193" i="12"/>
  <c r="W1830" i="12"/>
  <c r="W1710" i="12"/>
  <c r="Y1710" i="12" s="1"/>
  <c r="W1750" i="12"/>
  <c r="W2470" i="12"/>
  <c r="W2064" i="12"/>
  <c r="W1061" i="12"/>
  <c r="W1753" i="12"/>
  <c r="W1471" i="12"/>
  <c r="X1876" i="12"/>
  <c r="W2557" i="12"/>
  <c r="W1351" i="12"/>
  <c r="W2268" i="12"/>
  <c r="Y2268" i="12" s="1"/>
  <c r="W1865" i="12"/>
  <c r="W2290" i="12"/>
  <c r="W2020" i="12"/>
  <c r="W1831" i="12"/>
  <c r="W2438" i="12"/>
  <c r="W2582" i="12"/>
  <c r="W2393" i="12"/>
  <c r="W1382" i="12"/>
  <c r="W1729" i="12"/>
  <c r="W1130" i="12"/>
  <c r="Y1130" i="12" s="1"/>
  <c r="W1593" i="12"/>
  <c r="X2357" i="12"/>
  <c r="W749" i="12"/>
  <c r="X2197" i="12"/>
  <c r="W1522" i="12"/>
  <c r="X1935" i="12"/>
  <c r="X1320" i="12"/>
  <c r="X1549" i="12"/>
  <c r="W966" i="12"/>
  <c r="W2468" i="12"/>
  <c r="W2248" i="12"/>
  <c r="X1472" i="12"/>
  <c r="X2067" i="12"/>
  <c r="W1928" i="12"/>
  <c r="W2209" i="12"/>
  <c r="W1298" i="12"/>
  <c r="Y1298" i="12" s="1"/>
  <c r="W2531" i="12"/>
  <c r="W213" i="12"/>
  <c r="W2156" i="12"/>
  <c r="W1213" i="12"/>
  <c r="Y1213" i="12" s="1"/>
  <c r="W1927" i="12"/>
  <c r="X721" i="12"/>
  <c r="W1661" i="12"/>
  <c r="W1192" i="12"/>
  <c r="W1576" i="12"/>
  <c r="Y1576" i="12" s="1"/>
  <c r="W2563" i="12"/>
  <c r="W762" i="12"/>
  <c r="W2416" i="12"/>
  <c r="X1740" i="12"/>
  <c r="W48" i="12"/>
  <c r="X1871" i="12"/>
  <c r="W1805" i="12"/>
  <c r="Y1805" i="12" s="1"/>
  <c r="W2528" i="12"/>
  <c r="X1869" i="12"/>
  <c r="X2228" i="12"/>
  <c r="Y2228" i="12" s="1"/>
  <c r="W1399" i="12"/>
  <c r="W1752" i="12"/>
  <c r="W2278" i="12"/>
  <c r="W672" i="12"/>
  <c r="W2190" i="12"/>
  <c r="W1451" i="12"/>
  <c r="X1602" i="12"/>
  <c r="W1261" i="12"/>
  <c r="W1067" i="12"/>
  <c r="W106" i="12"/>
  <c r="W1431" i="12"/>
  <c r="W1594" i="12"/>
  <c r="X2397" i="12"/>
  <c r="W2" i="12"/>
  <c r="X1002" i="12"/>
  <c r="W1852" i="12"/>
  <c r="W1006" i="12"/>
  <c r="X652" i="12"/>
  <c r="X2085" i="12"/>
  <c r="W1866" i="12"/>
  <c r="Y1866" i="12" s="1"/>
  <c r="W1039" i="12"/>
  <c r="W1796" i="12"/>
  <c r="W1001" i="12"/>
  <c r="W1440" i="12"/>
  <c r="X1933" i="12"/>
  <c r="W1360" i="12"/>
  <c r="W1184" i="12"/>
  <c r="X2013" i="12"/>
  <c r="W1724" i="12"/>
  <c r="Y1724" i="12" s="1"/>
  <c r="W685" i="12"/>
  <c r="W1500" i="12"/>
  <c r="Y1500" i="12" s="1"/>
  <c r="W2466" i="12"/>
  <c r="X1282" i="12"/>
  <c r="W990" i="12"/>
  <c r="W324" i="12"/>
  <c r="X1436" i="12"/>
  <c r="X2491" i="12"/>
  <c r="W1475" i="12"/>
  <c r="X2331" i="12"/>
  <c r="W1048" i="12"/>
  <c r="W2433" i="12"/>
  <c r="W727" i="12"/>
  <c r="W2215" i="12"/>
  <c r="Y2215" i="12" s="1"/>
  <c r="W1606" i="12"/>
  <c r="W1403" i="12"/>
  <c r="W767" i="12"/>
  <c r="W1268" i="12"/>
  <c r="W1280" i="12"/>
  <c r="W975" i="12"/>
  <c r="W937" i="12"/>
  <c r="X1294" i="12"/>
  <c r="X2050" i="12"/>
  <c r="W902" i="12"/>
  <c r="X1314" i="12"/>
  <c r="W2211" i="12"/>
  <c r="Y2211" i="12" s="1"/>
  <c r="W1794" i="12"/>
  <c r="W1738" i="12"/>
  <c r="Y1738" i="12" s="1"/>
  <c r="W1714" i="12"/>
  <c r="W2588" i="12"/>
  <c r="W1344" i="12"/>
  <c r="X1310" i="12"/>
  <c r="X1569" i="12"/>
  <c r="W2173" i="12"/>
  <c r="Y2173" i="12" s="1"/>
  <c r="W2286" i="12"/>
  <c r="W2440" i="12"/>
  <c r="X622" i="12"/>
  <c r="X2347" i="12"/>
  <c r="X2187" i="12"/>
  <c r="W2222" i="12"/>
  <c r="W464" i="12"/>
  <c r="W933" i="12"/>
  <c r="W817" i="12"/>
  <c r="W618" i="12"/>
  <c r="W1204" i="12"/>
  <c r="X2285" i="12"/>
  <c r="W646" i="12"/>
  <c r="W206" i="12"/>
  <c r="W823" i="12"/>
  <c r="Y823" i="12" s="1"/>
  <c r="X1504" i="12"/>
  <c r="W710" i="12"/>
  <c r="W726" i="12"/>
  <c r="W2056" i="12"/>
  <c r="W2445" i="12"/>
  <c r="Y2445" i="12" s="1"/>
  <c r="W196" i="12"/>
  <c r="W1181" i="12"/>
  <c r="W1170" i="12"/>
  <c r="W47" i="12"/>
  <c r="X2459" i="12"/>
  <c r="W1869" i="12"/>
  <c r="W1857" i="12"/>
  <c r="W1802" i="12"/>
  <c r="Y1802" i="12" s="1"/>
  <c r="W1778" i="12"/>
  <c r="W2640" i="12"/>
  <c r="Y2640" i="12" s="1"/>
  <c r="W1703" i="12"/>
  <c r="W1358" i="12"/>
  <c r="W2283" i="12"/>
  <c r="W1651" i="12"/>
  <c r="X1733" i="12"/>
  <c r="W1060" i="12"/>
  <c r="W258" i="12"/>
  <c r="Y258" i="12" s="1"/>
  <c r="W399" i="12"/>
  <c r="W40" i="12"/>
  <c r="W1531" i="12"/>
  <c r="X1520" i="12"/>
  <c r="X2372" i="12"/>
  <c r="W1008" i="12"/>
  <c r="W2179" i="12"/>
  <c r="W2149" i="12"/>
  <c r="Y2149" i="12" s="1"/>
  <c r="W1967" i="12"/>
  <c r="W2093" i="12"/>
  <c r="Y2093" i="12" s="1"/>
  <c r="W2506" i="12"/>
  <c r="W2212" i="12"/>
  <c r="W1119" i="12"/>
  <c r="W167" i="12"/>
  <c r="X1657" i="12"/>
  <c r="X1175" i="12"/>
  <c r="W2621" i="12"/>
  <c r="Y2621" i="12" s="1"/>
  <c r="X1736" i="12"/>
  <c r="W57" i="12"/>
  <c r="X1681" i="12"/>
  <c r="X1765" i="12"/>
  <c r="X1979" i="12"/>
  <c r="W891" i="12"/>
  <c r="X1688" i="12"/>
  <c r="W719" i="12"/>
  <c r="W2489" i="12"/>
  <c r="W1237" i="12"/>
  <c r="W1995" i="12"/>
  <c r="Y1995" i="12" s="1"/>
  <c r="W1342" i="12"/>
  <c r="W1155" i="12"/>
  <c r="W239" i="12"/>
  <c r="W1267" i="12"/>
  <c r="X1071" i="12"/>
  <c r="W286" i="12"/>
  <c r="X490" i="12"/>
  <c r="W881" i="12"/>
  <c r="W742" i="12"/>
  <c r="Y742" i="12" s="1"/>
  <c r="W244" i="12"/>
  <c r="X729" i="12"/>
  <c r="X1601" i="12"/>
  <c r="W894" i="12"/>
  <c r="X1525" i="12"/>
  <c r="X2126" i="12"/>
  <c r="X2549" i="12"/>
  <c r="W2078" i="12"/>
  <c r="W22" i="12"/>
  <c r="W1057" i="12"/>
  <c r="X1608" i="12"/>
  <c r="X1909" i="12"/>
  <c r="X1668" i="12"/>
  <c r="X847" i="12"/>
  <c r="W2245" i="12"/>
  <c r="Y2245" i="12" s="1"/>
  <c r="W522" i="12"/>
  <c r="W2320" i="12"/>
  <c r="W1616" i="12"/>
  <c r="W1756" i="12"/>
  <c r="Y1756" i="12" s="1"/>
  <c r="X1449" i="12"/>
  <c r="W1242" i="12"/>
  <c r="X2628" i="12"/>
  <c r="Y2628" i="12" s="1"/>
  <c r="W584" i="12"/>
  <c r="W1084" i="12"/>
  <c r="W2564" i="12"/>
  <c r="Y2564" i="12" s="1"/>
  <c r="X1406" i="12"/>
  <c r="W1221" i="12"/>
  <c r="W13" i="12"/>
  <c r="W554" i="12"/>
  <c r="W1312" i="12"/>
  <c r="Y1312" i="12" s="1"/>
  <c r="X1624" i="12"/>
  <c r="W960" i="12"/>
  <c r="W93" i="12"/>
  <c r="W1355" i="12"/>
  <c r="W998" i="12"/>
  <c r="W1918" i="12"/>
  <c r="W219" i="12"/>
  <c r="W750" i="12"/>
  <c r="W1517" i="12"/>
  <c r="W1493" i="12"/>
  <c r="W1437" i="12"/>
  <c r="Y1437" i="12" s="1"/>
  <c r="W1413" i="12"/>
  <c r="Y1413" i="12" s="1"/>
  <c r="W1524" i="12"/>
  <c r="W2287" i="12"/>
  <c r="W1895" i="12"/>
  <c r="W2185" i="12"/>
  <c r="W1082" i="12"/>
  <c r="W1153" i="12"/>
  <c r="X1983" i="12"/>
  <c r="X1615" i="12"/>
  <c r="X2484" i="12"/>
  <c r="Y2484" i="12" s="1"/>
  <c r="X2227" i="12"/>
  <c r="W405" i="12"/>
  <c r="X2568" i="12"/>
  <c r="X2212" i="12"/>
  <c r="W2102" i="12"/>
  <c r="W2210" i="12"/>
  <c r="W1990" i="12"/>
  <c r="W2365" i="12"/>
  <c r="W2073" i="12"/>
  <c r="W1992" i="12"/>
  <c r="W289" i="12"/>
  <c r="W283" i="12"/>
  <c r="W2174" i="12"/>
  <c r="W1910" i="12"/>
  <c r="W2062" i="12"/>
  <c r="W1689" i="12"/>
  <c r="W699" i="12"/>
  <c r="X875" i="12"/>
  <c r="W1231" i="12"/>
  <c r="Y1231" i="12" s="1"/>
  <c r="W68" i="12"/>
  <c r="X2217" i="12"/>
  <c r="W769" i="12"/>
  <c r="X1646" i="12"/>
  <c r="W589" i="12"/>
  <c r="W2163" i="12"/>
  <c r="W647" i="12"/>
  <c r="W1144" i="12"/>
  <c r="W2652" i="12"/>
  <c r="W1225" i="12"/>
  <c r="X2123" i="12"/>
  <c r="W192" i="12"/>
  <c r="W367" i="12"/>
  <c r="Y367" i="12" s="1"/>
  <c r="W2530" i="12"/>
  <c r="X1465" i="12"/>
  <c r="W2006" i="12"/>
  <c r="Y2006" i="12" s="1"/>
  <c r="W1836" i="12"/>
  <c r="Y1836" i="12" s="1"/>
  <c r="X2411" i="12"/>
  <c r="W535" i="12"/>
  <c r="W2175" i="12"/>
  <c r="W1819" i="12"/>
  <c r="X1230" i="12"/>
  <c r="W25" i="12"/>
  <c r="W785" i="12"/>
  <c r="W115" i="12"/>
  <c r="W231" i="12"/>
  <c r="X1748" i="12"/>
  <c r="X1317" i="12"/>
  <c r="X663" i="12"/>
  <c r="W300" i="12"/>
  <c r="W6" i="12"/>
  <c r="X1845" i="12"/>
  <c r="X1783" i="12"/>
  <c r="W1332" i="12"/>
  <c r="X1442" i="12"/>
  <c r="X2057" i="12"/>
  <c r="X914" i="12"/>
  <c r="W1888" i="12"/>
  <c r="X2157" i="12"/>
  <c r="X1585" i="12"/>
  <c r="X1919" i="12"/>
  <c r="W245" i="12"/>
  <c r="X1552" i="12"/>
  <c r="X2342" i="12"/>
  <c r="X1718" i="12"/>
  <c r="X2344" i="12"/>
  <c r="W175" i="12"/>
  <c r="X2455" i="12"/>
  <c r="Y2455" i="12" s="1"/>
  <c r="W1264" i="12"/>
  <c r="X2554" i="12"/>
  <c r="W18" i="12"/>
  <c r="X1606" i="12"/>
  <c r="W1599" i="12"/>
  <c r="W341" i="12"/>
  <c r="W266" i="12"/>
  <c r="W410" i="12"/>
  <c r="X2273" i="12"/>
  <c r="X737" i="12"/>
  <c r="X963" i="12"/>
  <c r="W866" i="12"/>
  <c r="Y866" i="12" s="1"/>
  <c r="X789" i="12"/>
  <c r="X1654" i="12"/>
  <c r="Y1654" i="12" s="1"/>
  <c r="W1073" i="12"/>
  <c r="W1826" i="12"/>
  <c r="X1867" i="12"/>
  <c r="X2570" i="12"/>
  <c r="W512" i="12"/>
  <c r="W1270" i="12"/>
  <c r="W1707" i="12"/>
  <c r="W2017" i="12"/>
  <c r="W189" i="12"/>
  <c r="X1574" i="12"/>
  <c r="X2001" i="12"/>
  <c r="W1086" i="12"/>
  <c r="X1689" i="12"/>
  <c r="W521" i="12"/>
  <c r="X1018" i="12"/>
  <c r="X1770" i="12"/>
  <c r="W945" i="12"/>
  <c r="W322" i="12"/>
  <c r="X1613" i="12"/>
  <c r="W1022" i="12"/>
  <c r="X2471" i="12"/>
  <c r="X2503" i="12"/>
  <c r="W480" i="12"/>
  <c r="W256" i="12"/>
  <c r="X1699" i="12"/>
  <c r="X2274" i="12"/>
  <c r="X1747" i="12"/>
  <c r="X2191" i="12"/>
  <c r="X2006" i="12"/>
  <c r="X863" i="12"/>
  <c r="X996" i="12"/>
  <c r="X2222" i="12"/>
  <c r="W1727" i="12"/>
  <c r="Y1727" i="12" s="1"/>
  <c r="W469" i="12"/>
  <c r="W281" i="12"/>
  <c r="W112" i="12"/>
  <c r="W1407" i="12"/>
  <c r="W506" i="12"/>
  <c r="W222" i="12"/>
  <c r="W250" i="12"/>
  <c r="X1853" i="12"/>
  <c r="W898" i="12"/>
  <c r="W514" i="12"/>
  <c r="X2307" i="12"/>
  <c r="X2489" i="12"/>
  <c r="W1108" i="12"/>
  <c r="X1885" i="12"/>
  <c r="W150" i="12"/>
  <c r="W180" i="12"/>
  <c r="X1650" i="12"/>
  <c r="X1277" i="12"/>
  <c r="W161" i="12"/>
  <c r="X1825" i="12"/>
  <c r="X2571" i="12"/>
  <c r="X2467" i="12"/>
  <c r="W551" i="12"/>
  <c r="X2492" i="12"/>
  <c r="X375" i="12"/>
  <c r="X1835" i="12"/>
  <c r="X1706" i="12"/>
  <c r="X1330" i="12"/>
  <c r="X217" i="12"/>
  <c r="X1543" i="12"/>
  <c r="W973" i="12"/>
  <c r="W701" i="12"/>
  <c r="W1625" i="12"/>
  <c r="W1218" i="12"/>
  <c r="W847" i="12"/>
  <c r="W941" i="12"/>
  <c r="W1099" i="12"/>
  <c r="X2546" i="12"/>
  <c r="X1170" i="12"/>
  <c r="W1150" i="12"/>
  <c r="X2178" i="12"/>
  <c r="W402" i="12"/>
  <c r="X2566" i="12"/>
  <c r="Y2566" i="12" s="1"/>
  <c r="W655" i="12"/>
  <c r="W687" i="12"/>
  <c r="X1644" i="12"/>
  <c r="X2406" i="12"/>
  <c r="X1084" i="12"/>
  <c r="W758" i="12"/>
  <c r="X1539" i="12"/>
  <c r="X774" i="12"/>
  <c r="X2249" i="12"/>
  <c r="X2487" i="12"/>
  <c r="X670" i="12"/>
  <c r="X935" i="12"/>
  <c r="W139" i="12"/>
  <c r="X1715" i="12"/>
  <c r="W603" i="12"/>
  <c r="X770" i="12"/>
  <c r="W818" i="12"/>
  <c r="X710" i="12"/>
  <c r="X749" i="12"/>
  <c r="Y749" i="12" s="1"/>
  <c r="X1327" i="12"/>
  <c r="W2448" i="12"/>
  <c r="W2075" i="12"/>
  <c r="Y2075" i="12" s="1"/>
  <c r="X1931" i="12"/>
  <c r="X2579" i="12"/>
  <c r="X1006" i="12"/>
  <c r="X1854" i="12"/>
  <c r="W1157" i="12"/>
  <c r="W191" i="12"/>
  <c r="X1224" i="12"/>
  <c r="X1713" i="12"/>
  <c r="W1148" i="12"/>
  <c r="W124" i="12"/>
  <c r="X1861" i="12"/>
  <c r="X2627" i="12"/>
  <c r="W1063" i="12"/>
  <c r="X2151" i="12"/>
  <c r="X1910" i="12"/>
  <c r="X1616" i="12"/>
  <c r="X2616" i="12"/>
  <c r="X2007" i="12"/>
  <c r="X840" i="12"/>
  <c r="X1562" i="12"/>
  <c r="X2483" i="12"/>
  <c r="X2219" i="12"/>
  <c r="Y2219" i="12" s="1"/>
  <c r="X1832" i="12"/>
  <c r="W125" i="12"/>
  <c r="Y125" i="12" s="1"/>
  <c r="X2323" i="12"/>
  <c r="X2059" i="12"/>
  <c r="X1622" i="12"/>
  <c r="W2206" i="12"/>
  <c r="W1942" i="12"/>
  <c r="W2094" i="12"/>
  <c r="X1362" i="12"/>
  <c r="W365" i="12"/>
  <c r="W761" i="12"/>
  <c r="W188" i="12"/>
  <c r="X2332" i="12"/>
  <c r="W553" i="12"/>
  <c r="W578" i="12"/>
  <c r="W2432" i="12"/>
  <c r="W604" i="12"/>
  <c r="W195" i="12"/>
  <c r="W425" i="12"/>
  <c r="W2576" i="12"/>
  <c r="W981" i="12"/>
  <c r="W1089" i="12"/>
  <c r="X1901" i="12"/>
  <c r="X383" i="12"/>
  <c r="X1670" i="12"/>
  <c r="W951" i="12"/>
  <c r="X2256" i="12"/>
  <c r="X88" i="12"/>
  <c r="X1430" i="12"/>
  <c r="W177" i="12"/>
  <c r="X2553" i="12"/>
  <c r="X2428" i="12"/>
  <c r="W67" i="12"/>
  <c r="W703" i="12"/>
  <c r="W546" i="12"/>
  <c r="W1713" i="12"/>
  <c r="W257" i="12"/>
  <c r="W1496" i="12"/>
  <c r="W182" i="12"/>
  <c r="W1463" i="12"/>
  <c r="X1889" i="12"/>
  <c r="W1893" i="12"/>
  <c r="W2240" i="12"/>
  <c r="W328" i="12"/>
  <c r="X2509" i="12"/>
  <c r="W158" i="12"/>
  <c r="W218" i="12"/>
  <c r="X999" i="12"/>
  <c r="W1127" i="12"/>
  <c r="W1186" i="12"/>
  <c r="X2338" i="12"/>
  <c r="W2415" i="12"/>
  <c r="W1987" i="12"/>
  <c r="W1441" i="12"/>
  <c r="Y1441" i="12" s="1"/>
  <c r="W2294" i="12"/>
  <c r="W2306" i="12"/>
  <c r="W2214" i="12"/>
  <c r="X2141" i="12"/>
  <c r="W892" i="12"/>
  <c r="X2387" i="12"/>
  <c r="W980" i="12"/>
  <c r="W1985" i="12"/>
  <c r="W2234" i="12"/>
  <c r="X1789" i="12"/>
  <c r="X491" i="12"/>
  <c r="W2158" i="12"/>
  <c r="W1998" i="12"/>
  <c r="X2243" i="12"/>
  <c r="Y2243" i="12" s="1"/>
  <c r="X782" i="12"/>
  <c r="W2493" i="12"/>
  <c r="Y2493" i="12" s="1"/>
  <c r="X1868" i="12"/>
  <c r="X2615" i="12"/>
  <c r="W304" i="12"/>
  <c r="W165" i="12"/>
  <c r="X2125" i="12"/>
  <c r="X2352" i="12"/>
  <c r="X2295" i="12"/>
  <c r="X1074" i="12"/>
  <c r="X2168" i="12"/>
  <c r="X1038" i="12"/>
  <c r="W1660" i="12"/>
  <c r="W2123" i="12"/>
  <c r="Y2123" i="12" s="1"/>
  <c r="W1436" i="12"/>
  <c r="Y1436" i="12" s="1"/>
  <c r="X1972" i="12"/>
  <c r="W1340" i="12"/>
  <c r="W1771" i="12"/>
  <c r="W2103" i="12"/>
  <c r="X2421" i="12"/>
  <c r="X2163" i="12"/>
  <c r="X1848" i="12"/>
  <c r="X1996" i="12"/>
  <c r="W100" i="12"/>
  <c r="W3" i="12"/>
  <c r="X2592" i="12"/>
  <c r="W391" i="12"/>
  <c r="W1339" i="12"/>
  <c r="W1263" i="12"/>
  <c r="W1027" i="12"/>
  <c r="W864" i="12"/>
  <c r="W312" i="12"/>
  <c r="W845" i="12"/>
  <c r="W1250" i="12"/>
  <c r="Y1250" i="12" s="1"/>
  <c r="W1498" i="12"/>
  <c r="X1272" i="12"/>
  <c r="X2028" i="12"/>
  <c r="X2377" i="12"/>
  <c r="X1518" i="12"/>
  <c r="W591" i="12"/>
  <c r="X2183" i="12"/>
  <c r="Y2183" i="12" s="1"/>
  <c r="W656" i="12"/>
  <c r="X1847" i="12"/>
  <c r="Y1847" i="12" s="1"/>
  <c r="W337" i="12"/>
  <c r="W1779" i="12"/>
  <c r="W76" i="12"/>
  <c r="X1146" i="12"/>
  <c r="W493" i="12"/>
  <c r="W1408" i="12"/>
  <c r="X1186" i="12"/>
  <c r="W128" i="12"/>
  <c r="W558" i="12"/>
  <c r="W23" i="12"/>
  <c r="X573" i="12"/>
  <c r="X478" i="12"/>
  <c r="X2433" i="12"/>
  <c r="W333" i="12"/>
  <c r="W1188" i="12"/>
  <c r="X1638" i="12"/>
  <c r="X1188" i="12"/>
  <c r="X1583" i="12"/>
  <c r="W216" i="12"/>
  <c r="W1169" i="12"/>
  <c r="W916" i="12"/>
  <c r="X1373" i="12"/>
  <c r="X1347" i="12"/>
  <c r="W523" i="12"/>
  <c r="W438" i="12"/>
  <c r="X1776" i="12"/>
  <c r="X2248" i="12"/>
  <c r="X346" i="12"/>
  <c r="X1177" i="12"/>
  <c r="X201" i="12"/>
  <c r="X300" i="12"/>
  <c r="X523" i="12"/>
  <c r="Y523" i="12" s="1"/>
  <c r="W694" i="12"/>
  <c r="W1634" i="12"/>
  <c r="X1675" i="12"/>
  <c r="X2284" i="12"/>
  <c r="W11" i="12"/>
  <c r="W1306" i="12"/>
  <c r="X2578" i="12"/>
  <c r="X1426" i="12"/>
  <c r="X1297" i="12"/>
  <c r="W1723" i="12"/>
  <c r="Y1723" i="12" s="1"/>
  <c r="W674" i="12"/>
  <c r="W1499" i="12"/>
  <c r="X2505" i="12"/>
  <c r="W1079" i="12"/>
  <c r="X712" i="12"/>
  <c r="W130" i="12"/>
  <c r="X1366" i="12"/>
  <c r="X961" i="12"/>
  <c r="W745" i="12"/>
  <c r="W149" i="12"/>
  <c r="W2480" i="12"/>
  <c r="W1175" i="12"/>
  <c r="Y1175" i="12" s="1"/>
  <c r="W634" i="12"/>
  <c r="W1305" i="12"/>
  <c r="Y1305" i="12" s="1"/>
  <c r="W592" i="12"/>
  <c r="W809" i="12"/>
  <c r="W815" i="12"/>
  <c r="Y815" i="12" s="1"/>
  <c r="X2239" i="12"/>
  <c r="X2161" i="12"/>
  <c r="X1176" i="12"/>
  <c r="X719" i="12"/>
  <c r="X1878" i="12"/>
  <c r="W153" i="12"/>
  <c r="W16" i="12"/>
  <c r="W851" i="12"/>
  <c r="Y851" i="12" s="1"/>
  <c r="W240" i="12"/>
  <c r="W108" i="12"/>
  <c r="W156" i="12"/>
  <c r="X1584" i="12"/>
  <c r="W75" i="12"/>
  <c r="X2111" i="12"/>
  <c r="X2051" i="12"/>
  <c r="X1977" i="12"/>
  <c r="W265" i="12"/>
  <c r="X2364" i="12"/>
  <c r="X1072" i="12"/>
  <c r="X1846" i="12"/>
  <c r="W117" i="12"/>
  <c r="W623" i="12"/>
  <c r="X2350" i="12"/>
  <c r="X2288" i="12"/>
  <c r="W882" i="12"/>
  <c r="X1939" i="12"/>
  <c r="X951" i="12"/>
  <c r="X2431" i="12"/>
  <c r="X1767" i="12"/>
  <c r="X2114" i="12"/>
  <c r="W839" i="12"/>
  <c r="X1368" i="12"/>
  <c r="W168" i="12"/>
  <c r="X2008" i="12"/>
  <c r="X191" i="12"/>
  <c r="X2351" i="12"/>
  <c r="X467" i="12"/>
  <c r="W702" i="12"/>
  <c r="Y702" i="12" s="1"/>
  <c r="W675" i="12"/>
  <c r="W635" i="12"/>
  <c r="X2475" i="12"/>
  <c r="X2315" i="12"/>
  <c r="W2350" i="12"/>
  <c r="Y2350" i="12" s="1"/>
  <c r="W676" i="12"/>
  <c r="W1246" i="12"/>
  <c r="Y1246" i="12" s="1"/>
  <c r="X1377" i="12"/>
  <c r="W476" i="12"/>
  <c r="W368" i="12"/>
  <c r="W2618" i="12"/>
  <c r="X535" i="12"/>
  <c r="W1217" i="12"/>
  <c r="W87" i="12"/>
  <c r="W1154" i="12"/>
  <c r="Y1154" i="12" s="1"/>
  <c r="W721" i="12"/>
  <c r="Y721" i="12" s="1"/>
  <c r="W813" i="12"/>
  <c r="W36" i="12"/>
  <c r="X1642" i="12"/>
  <c r="X2247" i="12"/>
  <c r="X2104" i="12"/>
  <c r="X665" i="12"/>
  <c r="W319" i="12"/>
  <c r="W80" i="12"/>
  <c r="W1978" i="12"/>
  <c r="Y1978" i="12" s="1"/>
  <c r="W955" i="12"/>
  <c r="W384" i="12"/>
  <c r="X2537" i="12"/>
  <c r="W2272" i="12"/>
  <c r="W171" i="12"/>
  <c r="X2637" i="12"/>
  <c r="W295" i="12"/>
  <c r="W491" i="12"/>
  <c r="Y491" i="12" s="1"/>
  <c r="W534" i="12"/>
  <c r="X1372" i="12"/>
  <c r="X2534" i="12"/>
  <c r="X2172" i="12"/>
  <c r="X2603" i="12"/>
  <c r="X2499" i="12"/>
  <c r="W326" i="12"/>
  <c r="X1925" i="12"/>
  <c r="X2443" i="12"/>
  <c r="X2275" i="12"/>
  <c r="X2600" i="12"/>
  <c r="X2010" i="12"/>
  <c r="X62" i="12"/>
  <c r="X1400" i="12"/>
  <c r="W1026" i="12"/>
  <c r="X1503" i="12"/>
  <c r="X1607" i="12"/>
  <c r="W482" i="12"/>
  <c r="X2545" i="12"/>
  <c r="X396" i="12"/>
  <c r="X1053" i="12"/>
  <c r="W887" i="12"/>
  <c r="X1497" i="12"/>
  <c r="W2358" i="12"/>
  <c r="W501" i="12"/>
  <c r="W538" i="12"/>
  <c r="X2435" i="12"/>
  <c r="W741" i="12"/>
  <c r="W1881" i="12"/>
  <c r="W2280" i="12"/>
  <c r="W1735" i="12"/>
  <c r="W963" i="12"/>
  <c r="Y963" i="12" s="1"/>
  <c r="W1922" i="12"/>
  <c r="W1234" i="12"/>
  <c r="W2172" i="12"/>
  <c r="W531" i="12"/>
  <c r="X2515" i="12"/>
  <c r="X2251" i="12"/>
  <c r="X1955" i="12"/>
  <c r="W357" i="12"/>
  <c r="X2296" i="12"/>
  <c r="W471" i="12"/>
  <c r="W814" i="12"/>
  <c r="X786" i="12"/>
  <c r="W2653" i="12"/>
  <c r="Y2653" i="12" s="1"/>
  <c r="W1052" i="12"/>
  <c r="W2558" i="12"/>
  <c r="X1323" i="12"/>
  <c r="W730" i="12"/>
  <c r="X633" i="12"/>
  <c r="W2556" i="12"/>
  <c r="Y2556" i="12" s="1"/>
  <c r="W2544" i="12"/>
  <c r="X1640" i="12"/>
  <c r="W968" i="12"/>
  <c r="W138" i="12"/>
  <c r="W2238" i="12"/>
  <c r="W248" i="12"/>
  <c r="W792" i="12"/>
  <c r="W234" i="12"/>
  <c r="W356" i="12"/>
  <c r="W878" i="12"/>
  <c r="X1612" i="12"/>
  <c r="W2055" i="12"/>
  <c r="X2035" i="12"/>
  <c r="X2369" i="12"/>
  <c r="X1448" i="12"/>
  <c r="Y1448" i="12" s="1"/>
  <c r="X2025" i="12"/>
  <c r="X1673" i="12"/>
  <c r="X1428" i="12"/>
  <c r="X1824" i="12"/>
  <c r="X915" i="12"/>
  <c r="X2129" i="12"/>
  <c r="X1180" i="12"/>
  <c r="X1852" i="12"/>
  <c r="W404" i="12"/>
  <c r="X2604" i="12"/>
  <c r="W1472" i="12"/>
  <c r="X2036" i="12"/>
  <c r="W311" i="12"/>
  <c r="W340" i="12"/>
  <c r="W873" i="12"/>
  <c r="W103" i="12"/>
  <c r="X1844" i="12"/>
  <c r="X1917" i="12"/>
  <c r="W572" i="12"/>
  <c r="X1745" i="12"/>
  <c r="X2552" i="12"/>
  <c r="W46" i="12"/>
  <c r="W566" i="12"/>
  <c r="W292" i="12"/>
  <c r="W249" i="12"/>
  <c r="W1176" i="12"/>
  <c r="Y1176" i="12" s="1"/>
  <c r="W134" i="12"/>
  <c r="W170" i="12"/>
  <c r="W223" i="12"/>
  <c r="X2299" i="12"/>
  <c r="W516" i="12"/>
  <c r="X1693" i="12"/>
  <c r="X2179" i="12"/>
  <c r="X2233" i="12"/>
  <c r="W64" i="12"/>
  <c r="X2135" i="12"/>
  <c r="X1696" i="12"/>
  <c r="W1579" i="12"/>
  <c r="W2620" i="12"/>
  <c r="Y2620" i="12" s="1"/>
  <c r="W2003" i="12"/>
  <c r="W1787" i="12"/>
  <c r="Y1787" i="12" s="1"/>
  <c r="W1211" i="12"/>
  <c r="W1563" i="12"/>
  <c r="Y1563" i="12" s="1"/>
  <c r="X2548" i="12"/>
  <c r="X1864" i="12"/>
  <c r="X1787" i="12"/>
  <c r="W983" i="12"/>
  <c r="X2271" i="12"/>
  <c r="X1764" i="12"/>
  <c r="W629" i="12"/>
  <c r="X2393" i="12"/>
  <c r="W688" i="12"/>
  <c r="X1754" i="12"/>
  <c r="X2416" i="12"/>
  <c r="X2519" i="12"/>
  <c r="X1167" i="12"/>
  <c r="X1532" i="12"/>
  <c r="X1563" i="12"/>
  <c r="X1987" i="12"/>
  <c r="X1218" i="12"/>
  <c r="X1047" i="12"/>
  <c r="X1858" i="12"/>
  <c r="X2380" i="12"/>
  <c r="W958" i="12"/>
  <c r="W910" i="12"/>
  <c r="X849" i="12"/>
  <c r="X2446" i="12"/>
  <c r="X657" i="12"/>
  <c r="X401" i="12"/>
  <c r="Y401" i="12" s="1"/>
  <c r="X6" i="12"/>
  <c r="Y6" i="12" s="1"/>
  <c r="X1814" i="12"/>
  <c r="X2555" i="12"/>
  <c r="W725" i="12"/>
  <c r="W215" i="12"/>
  <c r="W1243" i="12"/>
  <c r="X1880" i="12"/>
  <c r="W99" i="12"/>
  <c r="X2279" i="12"/>
  <c r="W1855" i="12"/>
  <c r="Y1855" i="12" s="1"/>
  <c r="W211" i="12"/>
  <c r="W426" i="12"/>
  <c r="W373" i="12"/>
  <c r="X2529" i="12"/>
  <c r="X943" i="12"/>
  <c r="X1508" i="12"/>
  <c r="X2560" i="12"/>
  <c r="X1516" i="12"/>
  <c r="Y1516" i="12" s="1"/>
  <c r="X2522" i="12"/>
  <c r="Y2522" i="12" s="1"/>
  <c r="X893" i="12"/>
  <c r="W953" i="12"/>
  <c r="W310" i="12"/>
  <c r="X1557" i="12"/>
  <c r="W2382" i="12"/>
  <c r="W1018" i="12"/>
  <c r="W122" i="12"/>
  <c r="X1725" i="12"/>
  <c r="X1849" i="12"/>
  <c r="X1988" i="12"/>
  <c r="X477" i="12"/>
  <c r="X1834" i="12"/>
  <c r="X2143" i="12"/>
  <c r="X1108" i="12"/>
  <c r="X1313" i="12"/>
  <c r="W73" i="12"/>
  <c r="W1461" i="12"/>
  <c r="X1490" i="12"/>
  <c r="W1045" i="12"/>
  <c r="X450" i="12"/>
  <c r="W827" i="12"/>
  <c r="W1138" i="12"/>
  <c r="W1224" i="12"/>
  <c r="Y1224" i="12" s="1"/>
  <c r="X602" i="12"/>
  <c r="W197" i="12"/>
  <c r="W429" i="12"/>
  <c r="X1891" i="12"/>
  <c r="X1173" i="12"/>
  <c r="X1857" i="12"/>
  <c r="W926" i="12"/>
  <c r="W868" i="12"/>
  <c r="W329" i="12"/>
  <c r="X1247" i="12"/>
  <c r="X725" i="12"/>
  <c r="X1827" i="12"/>
  <c r="X990" i="12"/>
  <c r="X1143" i="12"/>
  <c r="X1687" i="12"/>
  <c r="X2042" i="12"/>
  <c r="W1207" i="12"/>
  <c r="X274" i="12"/>
  <c r="X800" i="12"/>
  <c r="X1184" i="12"/>
  <c r="X1019" i="12"/>
  <c r="X116" i="12"/>
  <c r="W14" i="12"/>
  <c r="X2635" i="12"/>
  <c r="X2531" i="12"/>
  <c r="W1483" i="12"/>
  <c r="X2339" i="12"/>
  <c r="X2083" i="12"/>
  <c r="X2562" i="12"/>
  <c r="X1556" i="12"/>
  <c r="W537" i="12"/>
  <c r="X1680" i="12"/>
  <c r="X391" i="12"/>
  <c r="W863" i="12"/>
  <c r="Y863" i="12" s="1"/>
  <c r="X1961" i="12"/>
  <c r="X2266" i="12"/>
  <c r="X631" i="12"/>
  <c r="W1273" i="12"/>
  <c r="W136" i="12"/>
  <c r="W44" i="12"/>
  <c r="W28" i="12"/>
  <c r="X883" i="12"/>
  <c r="X1287" i="12"/>
  <c r="W173" i="12"/>
  <c r="X1949" i="12"/>
  <c r="X713" i="12"/>
  <c r="W1878" i="12"/>
  <c r="Y1878" i="12" s="1"/>
  <c r="W2030" i="12"/>
  <c r="Y2030" i="12" s="1"/>
  <c r="X1512" i="12"/>
  <c r="W1982" i="12"/>
  <c r="W1580" i="12"/>
  <c r="W1870" i="12"/>
  <c r="W617" i="12"/>
  <c r="X2547" i="12"/>
  <c r="X2283" i="12"/>
  <c r="X2019" i="12"/>
  <c r="W716" i="12"/>
  <c r="X2071" i="12"/>
  <c r="W151" i="12"/>
  <c r="X392" i="12"/>
  <c r="X829" i="12"/>
  <c r="W833" i="12"/>
  <c r="Y833" i="12" s="1"/>
  <c r="W2362" i="12"/>
  <c r="W2310" i="12"/>
  <c r="W600" i="12"/>
  <c r="W718" i="12"/>
  <c r="W1963" i="12"/>
  <c r="Y1963" i="12" s="1"/>
  <c r="W753" i="12"/>
  <c r="W770" i="12"/>
  <c r="W905" i="12"/>
  <c r="X818" i="12"/>
  <c r="X1799" i="12"/>
  <c r="X2146" i="12"/>
  <c r="X2108" i="12"/>
  <c r="X510" i="12"/>
  <c r="W509" i="12"/>
  <c r="X940" i="12"/>
  <c r="W199" i="12"/>
  <c r="X2018" i="12"/>
  <c r="X843" i="12"/>
  <c r="Y843" i="12" s="1"/>
  <c r="W1357" i="12"/>
  <c r="Y1357" i="12" s="1"/>
  <c r="W1333" i="12"/>
  <c r="X1609" i="12"/>
  <c r="W869" i="12"/>
  <c r="W273" i="12"/>
  <c r="W1404" i="12"/>
  <c r="W1663" i="12"/>
  <c r="W298" i="12"/>
  <c r="X1769" i="12"/>
  <c r="W760" i="12"/>
  <c r="W2332" i="12"/>
  <c r="Y2332" i="12" s="1"/>
  <c r="W649" i="12"/>
  <c r="W1222" i="12"/>
  <c r="W1816" i="12"/>
  <c r="Y1816" i="12" s="1"/>
  <c r="X2557" i="12"/>
  <c r="W661" i="12"/>
  <c r="W2170" i="12"/>
  <c r="W1804" i="12"/>
  <c r="Y1804" i="12" s="1"/>
  <c r="W644" i="12"/>
  <c r="W261" i="12"/>
  <c r="W867" i="12"/>
  <c r="W1097" i="12"/>
  <c r="W763" i="12"/>
  <c r="W1096" i="12"/>
  <c r="W129" i="12"/>
  <c r="W2648" i="12"/>
  <c r="W2598" i="12"/>
  <c r="W2584" i="12"/>
  <c r="W1064" i="12"/>
  <c r="W1761" i="12"/>
  <c r="W2376" i="12"/>
  <c r="W1544" i="12"/>
  <c r="Y1544" i="12" s="1"/>
  <c r="W1209" i="12"/>
  <c r="W978" i="12"/>
  <c r="Y978" i="12" s="1"/>
  <c r="W1074" i="12"/>
  <c r="X1899" i="12"/>
  <c r="W398" i="12"/>
  <c r="X1929" i="12"/>
  <c r="X1337" i="12"/>
  <c r="W2270" i="12"/>
  <c r="W2110" i="12"/>
  <c r="X1669" i="12"/>
  <c r="W1236" i="12"/>
  <c r="W1835" i="12"/>
  <c r="Y1835" i="12" s="1"/>
  <c r="W1515" i="12"/>
  <c r="X1456" i="12"/>
  <c r="W962" i="12"/>
  <c r="W1844" i="12"/>
  <c r="W2144" i="12"/>
  <c r="W299" i="12"/>
  <c r="X687" i="12"/>
  <c r="W320" i="12"/>
  <c r="X2308" i="12"/>
  <c r="W836" i="12"/>
  <c r="X1174" i="12"/>
  <c r="X2099" i="12"/>
  <c r="Y2099" i="12" s="1"/>
  <c r="X1720" i="12"/>
  <c r="X831" i="12"/>
  <c r="X1293" i="12"/>
  <c r="X1928" i="12"/>
  <c r="X1851" i="12"/>
  <c r="W1239" i="12"/>
  <c r="W1788" i="12"/>
  <c r="W1195" i="12"/>
  <c r="W1564" i="12"/>
  <c r="Y1564" i="12" s="1"/>
  <c r="W1201" i="12"/>
  <c r="Y1201" i="12" s="1"/>
  <c r="X2622" i="12"/>
  <c r="W53" i="12"/>
  <c r="X1671" i="12"/>
  <c r="X1363" i="12"/>
  <c r="X2610" i="12"/>
  <c r="Y2610" i="12" s="1"/>
  <c r="X1461" i="12"/>
  <c r="X1719" i="12"/>
  <c r="W1717" i="12"/>
  <c r="X2188" i="12"/>
  <c r="X1550" i="12"/>
  <c r="X2407" i="12"/>
  <c r="W1467" i="12"/>
  <c r="W1032" i="12"/>
  <c r="W1083" i="12"/>
  <c r="X2632" i="12"/>
  <c r="W586" i="12"/>
  <c r="W830" i="12"/>
  <c r="X2375" i="12"/>
  <c r="Y2375" i="12" s="1"/>
  <c r="X613" i="12"/>
  <c r="W453" i="12"/>
  <c r="W430" i="12"/>
  <c r="W1879" i="12"/>
  <c r="W334" i="12"/>
  <c r="W490" i="12"/>
  <c r="Y490" i="12" s="1"/>
  <c r="W437" i="12"/>
  <c r="W542" i="12"/>
  <c r="X1908" i="12"/>
  <c r="W802" i="12"/>
  <c r="X2563" i="12"/>
  <c r="W4" i="12"/>
  <c r="X1684" i="12"/>
  <c r="W388" i="12"/>
  <c r="X1863" i="12"/>
  <c r="X2140" i="12"/>
  <c r="W449" i="12"/>
  <c r="X1367" i="12"/>
  <c r="X1881" i="12"/>
  <c r="X2082" i="12"/>
  <c r="X1220" i="12"/>
  <c r="W1134" i="12"/>
  <c r="X2527" i="12"/>
  <c r="X1425" i="12"/>
  <c r="W560" i="12"/>
  <c r="W381" i="12"/>
  <c r="X1843" i="12"/>
  <c r="W862" i="12"/>
  <c r="Y862" i="12" s="1"/>
  <c r="X1924" i="12"/>
  <c r="X1522" i="12"/>
  <c r="X503" i="12"/>
  <c r="X464" i="12"/>
  <c r="X265" i="12"/>
  <c r="W1223" i="12"/>
  <c r="W1798" i="12"/>
  <c r="W1595" i="12"/>
  <c r="W835" i="12"/>
  <c r="Y835" i="12" s="1"/>
  <c r="W1371" i="12"/>
  <c r="W1470" i="12"/>
  <c r="W1274" i="12"/>
  <c r="W1202" i="12"/>
  <c r="W775" i="12"/>
  <c r="W1762" i="12"/>
  <c r="X1803" i="12"/>
  <c r="X2538" i="12"/>
  <c r="W359" i="12"/>
  <c r="X1432" i="12"/>
  <c r="W1220" i="12"/>
  <c r="Y1220" i="12" s="1"/>
  <c r="X1793" i="12"/>
  <c r="X2468" i="12"/>
  <c r="W1007" i="12"/>
  <c r="W700" i="12"/>
  <c r="W1161" i="12"/>
  <c r="W2562" i="12"/>
  <c r="Y2562" i="12" s="1"/>
  <c r="W969" i="12"/>
  <c r="W451" i="12"/>
  <c r="W668" i="12"/>
  <c r="W2133" i="12"/>
  <c r="Y2133" i="12" s="1"/>
  <c r="X1358" i="12"/>
  <c r="W999" i="12"/>
  <c r="W309" i="12"/>
  <c r="X1643" i="12"/>
  <c r="X1818" i="12"/>
  <c r="X331" i="12"/>
  <c r="X2087" i="12"/>
  <c r="W59" i="12"/>
  <c r="X1424" i="12"/>
  <c r="W1210" i="12"/>
  <c r="W997" i="12"/>
  <c r="X2327" i="12"/>
  <c r="X2202" i="12"/>
  <c r="W1343" i="12"/>
  <c r="W442" i="12"/>
  <c r="W91" i="12"/>
  <c r="W152" i="12"/>
  <c r="X2017" i="12"/>
  <c r="X1434" i="12"/>
  <c r="X1786" i="12"/>
  <c r="Y1786" i="12" s="1"/>
  <c r="W452" i="12"/>
  <c r="X755" i="12"/>
  <c r="W556" i="12"/>
  <c r="X2210" i="12"/>
  <c r="W1159" i="12"/>
  <c r="W539" i="12"/>
  <c r="X1468" i="12"/>
  <c r="X2417" i="12"/>
  <c r="X1872" i="12"/>
  <c r="X2094" i="12"/>
  <c r="X2204" i="12"/>
  <c r="X1509" i="12"/>
  <c r="X2402" i="12"/>
  <c r="X1311" i="12"/>
  <c r="X1273" i="12"/>
  <c r="W461" i="12"/>
  <c r="X1156" i="12"/>
  <c r="W176" i="12"/>
  <c r="X715" i="12"/>
  <c r="W901" i="12"/>
  <c r="W961" i="12"/>
  <c r="Y961" i="12" s="1"/>
  <c r="W1843" i="12"/>
  <c r="Y1843" i="12" s="1"/>
  <c r="W1851" i="12"/>
  <c r="Y1851" i="12" s="1"/>
  <c r="W728" i="12"/>
  <c r="X1809" i="12"/>
  <c r="W852" i="12"/>
  <c r="W1433" i="12"/>
  <c r="Y1433" i="12" s="1"/>
  <c r="W1005" i="12"/>
  <c r="W1065" i="12"/>
  <c r="W1071" i="12"/>
  <c r="W2107" i="12"/>
  <c r="W879" i="12"/>
  <c r="W545" i="12"/>
  <c r="W1033" i="12"/>
  <c r="W1397" i="12"/>
  <c r="Y1397" i="12" s="1"/>
  <c r="X1234" i="12"/>
  <c r="W965" i="12"/>
  <c r="W555" i="12"/>
  <c r="X1653" i="12"/>
  <c r="X2055" i="12"/>
  <c r="X1190" i="12"/>
  <c r="X1341" i="12"/>
  <c r="W431" i="12"/>
  <c r="X2381" i="12"/>
  <c r="W174" i="12"/>
  <c r="W2048" i="12"/>
  <c r="X1741" i="12"/>
  <c r="X1221" i="12"/>
  <c r="X2349" i="12"/>
  <c r="W1958" i="12"/>
  <c r="W473" i="12"/>
  <c r="W423" i="12"/>
  <c r="W201" i="12"/>
  <c r="Y201" i="12" s="1"/>
  <c r="W801" i="12"/>
  <c r="W993" i="12"/>
  <c r="W71" i="12"/>
  <c r="X325" i="12"/>
  <c r="X1008" i="12"/>
  <c r="W2414" i="12"/>
  <c r="W588" i="12"/>
  <c r="X2074" i="12"/>
  <c r="X1051" i="12"/>
  <c r="W2254" i="12"/>
  <c r="W1020" i="12"/>
  <c r="W60" i="12"/>
  <c r="X1533" i="12"/>
  <c r="X2595" i="12"/>
  <c r="X1095" i="12"/>
  <c r="X2130" i="12"/>
  <c r="W1185" i="12"/>
  <c r="Y1185" i="12" s="1"/>
  <c r="X2258" i="12"/>
  <c r="X2361" i="12"/>
  <c r="W145" i="12"/>
  <c r="W903" i="12"/>
  <c r="W734" i="12"/>
  <c r="X532" i="12"/>
  <c r="W1013" i="12"/>
  <c r="X1411" i="12"/>
  <c r="W375" i="12"/>
  <c r="X1969" i="12"/>
  <c r="X2072" i="12"/>
  <c r="W418" i="12"/>
  <c r="W271" i="12"/>
  <c r="X738" i="12"/>
  <c r="X2528" i="12"/>
  <c r="X2286" i="12"/>
  <c r="X2593" i="12"/>
  <c r="Y2593" i="12" s="1"/>
  <c r="W777" i="12"/>
  <c r="X497" i="12"/>
  <c r="X754" i="12"/>
  <c r="X1240" i="12"/>
  <c r="W673" i="12"/>
  <c r="Y673" i="12" s="1"/>
  <c r="X682" i="12"/>
  <c r="X1712" i="12"/>
  <c r="X2079" i="12"/>
  <c r="X1897" i="12"/>
  <c r="Y1897" i="12" s="1"/>
  <c r="X1966" i="12"/>
  <c r="X1431" i="12"/>
  <c r="X1446" i="12"/>
  <c r="Y1446" i="12" s="1"/>
  <c r="X745" i="12"/>
  <c r="X2599" i="12"/>
  <c r="X1645" i="12"/>
  <c r="X255" i="12"/>
  <c r="X1906" i="12"/>
  <c r="Y1906" i="12" s="1"/>
  <c r="W678" i="12"/>
  <c r="X2160" i="12"/>
  <c r="W406" i="12"/>
  <c r="W262" i="12"/>
  <c r="W689" i="12"/>
  <c r="X2626" i="12"/>
  <c r="X1744" i="12"/>
  <c r="X1600" i="12"/>
  <c r="X2039" i="12"/>
  <c r="Y2039" i="12" s="1"/>
  <c r="W709" i="12"/>
  <c r="W1198" i="12"/>
  <c r="X2530" i="12"/>
  <c r="X945" i="12"/>
  <c r="X722" i="12"/>
  <c r="W97" i="12"/>
  <c r="W204" i="12"/>
  <c r="W277" i="12"/>
  <c r="X1126" i="12"/>
  <c r="W20" i="12"/>
  <c r="X1841" i="12"/>
  <c r="W105" i="12"/>
  <c r="W853" i="12"/>
  <c r="X2306" i="12"/>
  <c r="X2234" i="12"/>
  <c r="Y2234" i="12" s="1"/>
  <c r="X850" i="12"/>
  <c r="W557" i="12"/>
  <c r="W445" i="12"/>
  <c r="X798" i="12"/>
  <c r="X2238" i="12"/>
  <c r="X407" i="12"/>
  <c r="Y407" i="12" s="1"/>
  <c r="X2576" i="12"/>
  <c r="X1104" i="12"/>
  <c r="X1489" i="12"/>
  <c r="X1107" i="12"/>
  <c r="X2322" i="12"/>
  <c r="X1859" i="12"/>
  <c r="X1111" i="12"/>
  <c r="X891" i="12"/>
  <c r="X1207" i="12"/>
  <c r="X580" i="12"/>
  <c r="X1639" i="12"/>
  <c r="X728" i="12"/>
  <c r="X1204" i="12"/>
  <c r="X495" i="12"/>
  <c r="X1757" i="12"/>
  <c r="X2400" i="12"/>
  <c r="Y2400" i="12" s="1"/>
  <c r="X1661" i="12"/>
  <c r="X107" i="12"/>
  <c r="W641" i="12"/>
  <c r="W372" i="12"/>
  <c r="W639" i="12"/>
  <c r="X1707" i="12"/>
  <c r="X2015" i="12"/>
  <c r="X1959" i="12"/>
  <c r="W1044" i="12"/>
  <c r="X1779" i="12"/>
  <c r="X307" i="12"/>
  <c r="W162" i="12"/>
  <c r="X618" i="12"/>
  <c r="W470" i="12"/>
  <c r="X1192" i="12"/>
  <c r="X2231" i="12"/>
  <c r="X1976" i="12"/>
  <c r="W84" i="12"/>
  <c r="W914" i="12"/>
  <c r="Y914" i="12" s="1"/>
  <c r="X1248" i="12"/>
  <c r="X941" i="12"/>
  <c r="Y941" i="12" s="1"/>
  <c r="X852" i="12"/>
  <c r="X1286" i="12"/>
  <c r="W336" i="12"/>
  <c r="W450" i="12"/>
  <c r="Y450" i="12" s="1"/>
  <c r="X2598" i="12"/>
  <c r="X1241" i="12"/>
  <c r="X1169" i="12"/>
  <c r="W208" i="12"/>
  <c r="X1751" i="12"/>
  <c r="X2138" i="12"/>
  <c r="W798" i="12"/>
  <c r="X2359" i="12"/>
  <c r="X936" i="12"/>
  <c r="X2449" i="12"/>
  <c r="X378" i="12"/>
  <c r="X1226" i="12"/>
  <c r="X911" i="12"/>
  <c r="X1365" i="12"/>
  <c r="X973" i="12"/>
  <c r="X2088" i="12"/>
  <c r="X1105" i="12"/>
  <c r="X1637" i="12"/>
  <c r="X1782" i="12"/>
  <c r="X1524" i="12"/>
  <c r="X20" i="12"/>
  <c r="X645" i="12"/>
  <c r="X1223" i="12"/>
  <c r="X1621" i="12"/>
  <c r="X820" i="12"/>
  <c r="X1495" i="12"/>
  <c r="Y1495" i="12" s="1"/>
  <c r="X1135" i="12"/>
  <c r="Y1135" i="12" s="1"/>
  <c r="X1343" i="12"/>
  <c r="X2398" i="12"/>
  <c r="X287" i="12"/>
  <c r="W243" i="12"/>
  <c r="W293" i="12"/>
  <c r="W564" i="12"/>
  <c r="X1321" i="12"/>
  <c r="X1559" i="12"/>
  <c r="X1572" i="12"/>
  <c r="X817" i="12"/>
  <c r="X1697" i="12"/>
  <c r="X158" i="12"/>
  <c r="X1860" i="12"/>
  <c r="X2646" i="12"/>
  <c r="X2370" i="12"/>
  <c r="X2298" i="12"/>
  <c r="X1262" i="12"/>
  <c r="W657" i="12"/>
  <c r="Y657" i="12" s="1"/>
  <c r="W1095" i="12"/>
  <c r="W949" i="12"/>
  <c r="X410" i="12"/>
  <c r="X1632" i="12"/>
  <c r="X1296" i="12"/>
  <c r="X832" i="12"/>
  <c r="X2264" i="12"/>
  <c r="X741" i="12"/>
  <c r="X1553" i="12"/>
  <c r="X802" i="12"/>
  <c r="X2052" i="12"/>
  <c r="X1386" i="12"/>
  <c r="X1209" i="12"/>
  <c r="X1134" i="12"/>
  <c r="X2360" i="12"/>
  <c r="X1308" i="12"/>
  <c r="Y1308" i="12" s="1"/>
  <c r="W513" i="12"/>
  <c r="W691" i="12"/>
  <c r="Y691" i="12" s="1"/>
  <c r="X1000" i="12"/>
  <c r="X2242" i="12"/>
  <c r="X2170" i="12"/>
  <c r="X1790" i="12"/>
  <c r="X956" i="12"/>
  <c r="X2378" i="12"/>
  <c r="X1480" i="12"/>
  <c r="X642" i="12"/>
  <c r="W169" i="12"/>
  <c r="X2120" i="12"/>
  <c r="X1254" i="12"/>
  <c r="X1243" i="12"/>
  <c r="Y1243" i="12" s="1"/>
  <c r="X724" i="12"/>
  <c r="W428" i="12"/>
  <c r="Y428" i="12" s="1"/>
  <c r="W1102" i="12"/>
  <c r="X1575" i="12"/>
  <c r="X1010" i="12"/>
  <c r="X1033" i="12"/>
  <c r="X1942" i="12"/>
  <c r="X1811" i="12"/>
  <c r="Y1811" i="12" s="1"/>
  <c r="X1636" i="12"/>
  <c r="X216" i="12"/>
  <c r="Y216" i="12" s="1"/>
  <c r="X667" i="12"/>
  <c r="X279" i="12"/>
  <c r="X1106" i="12"/>
  <c r="X658" i="12"/>
  <c r="X2012" i="12"/>
  <c r="W900" i="12"/>
  <c r="W837" i="12"/>
  <c r="X1058" i="12"/>
  <c r="X1975" i="12"/>
  <c r="X1172" i="12"/>
  <c r="X640" i="12"/>
  <c r="W66" i="12"/>
  <c r="X2490" i="12"/>
  <c r="X994" i="12"/>
  <c r="X2617" i="12"/>
  <c r="X2175" i="12"/>
  <c r="X1450" i="12"/>
  <c r="Y1450" i="12" s="1"/>
  <c r="X2480" i="12"/>
  <c r="X1044" i="12"/>
  <c r="X1458" i="12"/>
  <c r="X720" i="12"/>
  <c r="X1960" i="12"/>
  <c r="X225" i="12"/>
  <c r="X1577" i="12"/>
  <c r="X1505" i="12"/>
  <c r="W764" i="12"/>
  <c r="W52" i="12"/>
  <c r="X1278" i="12"/>
  <c r="W54" i="12"/>
  <c r="W280" i="12"/>
  <c r="W692" i="12"/>
  <c r="W613" i="12"/>
  <c r="Y613" i="12" s="1"/>
  <c r="X2303" i="12"/>
  <c r="Y2303" i="12" s="1"/>
  <c r="X2335" i="12"/>
  <c r="X674" i="12"/>
  <c r="X1893" i="12"/>
  <c r="X2016" i="12"/>
  <c r="X872" i="12"/>
  <c r="X854" i="12"/>
  <c r="X567" i="12"/>
  <c r="X1055" i="12"/>
  <c r="X1364" i="12"/>
  <c r="X971" i="12"/>
  <c r="Y971" i="12" s="1"/>
  <c r="X1348" i="12"/>
  <c r="Y1348" i="12" s="1"/>
  <c r="X95" i="12"/>
  <c r="X555" i="12"/>
  <c r="X867" i="12"/>
  <c r="X1560" i="12"/>
  <c r="X1605" i="12"/>
  <c r="X1063" i="12"/>
  <c r="X2046" i="12"/>
  <c r="X1096" i="12"/>
  <c r="X1065" i="12"/>
  <c r="X58" i="12"/>
  <c r="X2567" i="12"/>
  <c r="X1700" i="12"/>
  <c r="W475" i="12"/>
  <c r="W625" i="12"/>
  <c r="W624" i="12"/>
  <c r="W302" i="12"/>
  <c r="X293" i="12"/>
  <c r="W146" i="12"/>
  <c r="W345" i="12"/>
  <c r="X1705" i="12"/>
  <c r="X2354" i="12"/>
  <c r="X2226" i="12"/>
  <c r="X1990" i="12"/>
  <c r="X1701" i="12"/>
  <c r="W114" i="12"/>
  <c r="X1160" i="12"/>
  <c r="W10" i="12"/>
  <c r="X2086" i="12"/>
  <c r="X2244" i="12"/>
  <c r="X2084" i="12"/>
  <c r="Y2084" i="12" s="1"/>
  <c r="X2608" i="12"/>
  <c r="X1515" i="12"/>
  <c r="W227" i="12"/>
  <c r="X1761" i="12"/>
  <c r="X581" i="12"/>
  <c r="X1714" i="12"/>
  <c r="W284" i="12"/>
  <c r="W530" i="12"/>
  <c r="X1734" i="12"/>
  <c r="W628" i="12"/>
  <c r="W849" i="12"/>
  <c r="Y849" i="12" s="1"/>
  <c r="X1064" i="12"/>
  <c r="X1416" i="12"/>
  <c r="X1717" i="12"/>
  <c r="Y1717" i="12" s="1"/>
  <c r="X1352" i="12"/>
  <c r="X2022" i="12"/>
  <c r="W1031" i="12"/>
  <c r="Y1031" i="12" s="1"/>
  <c r="W1143" i="12"/>
  <c r="Y1143" i="12" s="1"/>
  <c r="X2482" i="12"/>
  <c r="X1862" i="12"/>
  <c r="X922" i="12"/>
  <c r="Y922" i="12" s="1"/>
  <c r="X2439" i="12"/>
  <c r="X2391" i="12"/>
  <c r="X2631" i="12"/>
  <c r="W96" i="12"/>
  <c r="W519" i="12"/>
  <c r="W528" i="12"/>
  <c r="X1306" i="12"/>
  <c r="X2081" i="12"/>
  <c r="X2041" i="12"/>
  <c r="Y2041" i="12" s="1"/>
  <c r="X2225" i="12"/>
  <c r="X750" i="12"/>
  <c r="W185" i="12"/>
  <c r="W575" i="12"/>
  <c r="X1387" i="12"/>
  <c r="X1236" i="12"/>
  <c r="X2230" i="12"/>
  <c r="X1070" i="12"/>
  <c r="X1375" i="12"/>
  <c r="X1345" i="12"/>
  <c r="X2110" i="12"/>
  <c r="X492" i="12"/>
  <c r="X1203" i="12"/>
  <c r="X623" i="12"/>
  <c r="X2154" i="12"/>
  <c r="X1686" i="12"/>
  <c r="X1423" i="12"/>
  <c r="X1982" i="12"/>
  <c r="X2026" i="12"/>
  <c r="X1476" i="12"/>
  <c r="X1498" i="12"/>
  <c r="X2639" i="12"/>
  <c r="X1420" i="12"/>
  <c r="X2336" i="12"/>
  <c r="X1980" i="12"/>
  <c r="W497" i="12"/>
  <c r="W1105" i="12"/>
  <c r="X1435" i="12"/>
  <c r="X1634" i="12"/>
  <c r="X1837" i="12"/>
  <c r="X2207" i="12"/>
  <c r="W932" i="12"/>
  <c r="X153" i="12"/>
  <c r="W439" i="12"/>
  <c r="W166" i="12"/>
  <c r="X1333" i="12"/>
  <c r="X929" i="12"/>
  <c r="X1773" i="12"/>
  <c r="X2423" i="12"/>
  <c r="X1451" i="12"/>
  <c r="X705" i="12"/>
  <c r="W948" i="12"/>
  <c r="X2206" i="12"/>
  <c r="X1239" i="12"/>
  <c r="X2410" i="12"/>
  <c r="W454" i="12"/>
  <c r="W72" i="12"/>
  <c r="X1394" i="12"/>
  <c r="W705" i="12"/>
  <c r="Y705" i="12" s="1"/>
  <c r="X708" i="12"/>
  <c r="X1898" i="12"/>
  <c r="W354" i="12"/>
  <c r="X1371" i="12"/>
  <c r="W913" i="12"/>
  <c r="W1182" i="12"/>
  <c r="X2551" i="12"/>
  <c r="Y2551" i="12" s="1"/>
  <c r="X517" i="12"/>
  <c r="X1115" i="12"/>
  <c r="X1546" i="12"/>
  <c r="X458" i="12"/>
  <c r="X540" i="12"/>
  <c r="X931" i="12"/>
  <c r="X405" i="12"/>
  <c r="Y405" i="12" s="1"/>
  <c r="X2440" i="12"/>
  <c r="Y2440" i="12" s="1"/>
  <c r="X2582" i="12"/>
  <c r="X1350" i="12"/>
  <c r="X1439" i="12"/>
  <c r="X2432" i="12"/>
  <c r="X1080" i="12"/>
  <c r="X226" i="12"/>
  <c r="X2575" i="12"/>
  <c r="X1151" i="12"/>
  <c r="X1920" i="12"/>
  <c r="X1270" i="12"/>
  <c r="X958" i="12"/>
  <c r="X1351" i="12"/>
  <c r="X592" i="12"/>
  <c r="X2583" i="12"/>
  <c r="X2396" i="12"/>
  <c r="X2401" i="12"/>
  <c r="W386" i="12"/>
  <c r="X541" i="12"/>
  <c r="W255" i="12"/>
  <c r="Y255" i="12" s="1"/>
  <c r="X1573" i="12"/>
  <c r="W400" i="12"/>
  <c r="W221" i="12"/>
  <c r="X1391" i="12"/>
  <c r="X1302" i="12"/>
  <c r="X2319" i="12"/>
  <c r="W290" i="12"/>
  <c r="X756" i="12"/>
  <c r="X1408" i="12"/>
  <c r="X1244" i="12"/>
  <c r="X1667" i="12"/>
  <c r="X877" i="12"/>
  <c r="X1992" i="12"/>
  <c r="W1012" i="12"/>
  <c r="W773" i="12"/>
  <c r="W433" i="12"/>
  <c r="X2115" i="12"/>
  <c r="X1829" i="12"/>
  <c r="X2647" i="12"/>
  <c r="W9" i="12"/>
  <c r="X2116" i="12"/>
  <c r="X1956" i="12"/>
  <c r="W34" i="12"/>
  <c r="X2054" i="12"/>
  <c r="X2200" i="12"/>
  <c r="X1579" i="12"/>
  <c r="X1926" i="12"/>
  <c r="X2113" i="12"/>
  <c r="X2073" i="12"/>
  <c r="X2257" i="12"/>
  <c r="X387" i="12"/>
  <c r="W789" i="12"/>
  <c r="Y789" i="12" s="1"/>
  <c r="W643" i="12"/>
  <c r="Y643" i="12" s="1"/>
  <c r="W1172" i="12"/>
  <c r="X1781" i="12"/>
  <c r="X2649" i="12"/>
  <c r="X2065" i="12"/>
  <c r="W390" i="12"/>
  <c r="X1412" i="12"/>
  <c r="X1993" i="12"/>
  <c r="X1133" i="12"/>
  <c r="X717" i="12"/>
  <c r="X1303" i="12"/>
  <c r="X2624" i="12"/>
  <c r="X2584" i="12"/>
  <c r="X1735" i="12"/>
  <c r="X2002" i="12"/>
  <c r="W294" i="12"/>
  <c r="W541" i="12"/>
  <c r="W593" i="12"/>
  <c r="X2049" i="12"/>
  <c r="X2009" i="12"/>
  <c r="X1150" i="12"/>
  <c r="X1588" i="12"/>
  <c r="X1043" i="12"/>
  <c r="W503" i="12"/>
  <c r="Y503" i="12" s="1"/>
  <c r="X1193" i="12"/>
  <c r="X1660" i="12"/>
  <c r="X1666" i="12"/>
  <c r="X578" i="12"/>
  <c r="W318" i="12"/>
  <c r="Y318" i="12" s="1"/>
  <c r="X1119" i="12"/>
  <c r="X2034" i="12"/>
  <c r="X291" i="12"/>
  <c r="X1284" i="12"/>
  <c r="X1625" i="12"/>
  <c r="X234" i="12"/>
  <c r="X1499" i="12"/>
  <c r="X897" i="12"/>
  <c r="X278" i="12"/>
  <c r="X1418" i="12"/>
  <c r="X1999" i="12"/>
  <c r="X597" i="12"/>
  <c r="X2241" i="12"/>
  <c r="X2201" i="12"/>
  <c r="X2385" i="12"/>
  <c r="X1125" i="12"/>
  <c r="W1124" i="12"/>
  <c r="W1028" i="12"/>
  <c r="X466" i="12"/>
  <c r="X1888" i="12"/>
  <c r="X1260" i="12"/>
  <c r="X1558" i="12"/>
  <c r="X1026" i="12"/>
  <c r="W565" i="12"/>
  <c r="X1856" i="12"/>
  <c r="X1838" i="12"/>
  <c r="W443" i="12"/>
  <c r="W184" i="12"/>
  <c r="X918" i="12"/>
  <c r="X330" i="12"/>
  <c r="X752" i="12"/>
  <c r="X692" i="12"/>
  <c r="X1806" i="12"/>
  <c r="W327" i="12"/>
  <c r="W190" i="12"/>
  <c r="X1473" i="12"/>
  <c r="Y1473" i="12" s="1"/>
  <c r="X1746" i="12"/>
  <c r="X176" i="12"/>
  <c r="X1529" i="12"/>
  <c r="X1831" i="12"/>
  <c r="X1390" i="12"/>
  <c r="X1128" i="12"/>
  <c r="X1768" i="12"/>
  <c r="X1114" i="12"/>
  <c r="X1611" i="12"/>
  <c r="X1628" i="12"/>
  <c r="X1514" i="12"/>
  <c r="X1496" i="12"/>
  <c r="X1069" i="12"/>
  <c r="X1958" i="12"/>
  <c r="W41" i="12"/>
  <c r="X506" i="12"/>
  <c r="Y506" i="12" s="1"/>
  <c r="X2447" i="12"/>
  <c r="X1275" i="12"/>
  <c r="Y1275" i="12" s="1"/>
  <c r="X1523" i="12"/>
  <c r="X610" i="12"/>
  <c r="Y610" i="12" s="1"/>
  <c r="X683" i="12"/>
  <c r="X684" i="12"/>
  <c r="X1290" i="12"/>
  <c r="X229" i="12"/>
  <c r="X1158" i="12"/>
  <c r="X923" i="12"/>
  <c r="X1052" i="12"/>
  <c r="X431" i="12"/>
  <c r="X560" i="12"/>
  <c r="X133" i="12"/>
  <c r="X627" i="12"/>
  <c r="X583" i="12"/>
  <c r="X589" i="12"/>
  <c r="W607" i="12"/>
  <c r="X1419" i="12"/>
  <c r="Y1419" i="12" s="1"/>
  <c r="X2418" i="12"/>
  <c r="Y2418" i="12" s="1"/>
  <c r="X1085" i="12"/>
  <c r="X946" i="12"/>
  <c r="X1380" i="12"/>
  <c r="X1385" i="12"/>
  <c r="X251" i="12"/>
  <c r="Y251" i="12" s="1"/>
  <c r="W498" i="12"/>
  <c r="X2472" i="12"/>
  <c r="X1199" i="12"/>
  <c r="Y1199" i="12" s="1"/>
  <c r="X1355" i="12"/>
  <c r="X1147" i="12"/>
  <c r="Y1147" i="12" s="1"/>
  <c r="X2044" i="12"/>
  <c r="X2302" i="12"/>
  <c r="Y2302" i="12" s="1"/>
  <c r="X1593" i="12"/>
  <c r="X2142" i="12"/>
  <c r="X1110" i="12"/>
  <c r="Y1110" i="12" s="1"/>
  <c r="X803" i="12"/>
  <c r="X761" i="12"/>
  <c r="W788" i="12"/>
  <c r="X1663" i="12"/>
  <c r="X576" i="12"/>
  <c r="X347" i="12"/>
  <c r="X83" i="12"/>
  <c r="X280" i="12"/>
  <c r="X419" i="12"/>
  <c r="X685" i="12"/>
  <c r="X2070" i="12"/>
  <c r="X1597" i="12"/>
  <c r="X222" i="12"/>
  <c r="X1795" i="12"/>
  <c r="X968" i="12"/>
  <c r="Y968" i="12" s="1"/>
  <c r="X2638" i="12"/>
  <c r="X2526" i="12"/>
  <c r="X1289" i="12"/>
  <c r="X1089" i="12"/>
  <c r="X453" i="12"/>
  <c r="X1353" i="12"/>
  <c r="X1822" i="12"/>
  <c r="X1123" i="12"/>
  <c r="X145" i="12"/>
  <c r="X1339" i="12"/>
  <c r="X35" i="12"/>
  <c r="X1396" i="12"/>
  <c r="X2174" i="12"/>
  <c r="X549" i="12"/>
  <c r="Y549" i="12" s="1"/>
  <c r="X695" i="12"/>
  <c r="Y695" i="12" s="1"/>
  <c r="X23" i="12"/>
  <c r="Y23" i="12" s="1"/>
  <c r="X972" i="12"/>
  <c r="X489" i="12"/>
  <c r="X72" i="12"/>
  <c r="X751" i="12"/>
  <c r="X1124" i="12"/>
  <c r="X788" i="12"/>
  <c r="X1702" i="12"/>
  <c r="X1407" i="12"/>
  <c r="Y1407" i="12" s="1"/>
  <c r="X2326" i="12"/>
  <c r="X606" i="12"/>
  <c r="X178" i="12"/>
  <c r="X1014" i="12"/>
  <c r="Y1014" i="12" s="1"/>
  <c r="X1571" i="12"/>
  <c r="X909" i="12"/>
  <c r="X318" i="12"/>
  <c r="X246" i="12"/>
  <c r="X141" i="12"/>
  <c r="X442" i="12"/>
  <c r="Y442" i="12" s="1"/>
  <c r="X345" i="12"/>
  <c r="B93" i="3"/>
  <c r="B68" i="3"/>
  <c r="W178" i="12"/>
  <c r="Y178" i="12" s="1"/>
  <c r="X2278" i="12"/>
  <c r="W667" i="12"/>
  <c r="W885" i="12"/>
  <c r="X1690" i="12"/>
  <c r="X2442" i="12"/>
  <c r="X144" i="12"/>
  <c r="X2544" i="12"/>
  <c r="X554" i="12"/>
  <c r="X2232" i="12"/>
  <c r="X1874" i="12"/>
  <c r="X1388" i="12"/>
  <c r="X1198" i="12"/>
  <c r="W602" i="12"/>
  <c r="Y602" i="12" s="1"/>
  <c r="W1041" i="12"/>
  <c r="Y1041" i="12" s="1"/>
  <c r="X1307" i="12"/>
  <c r="Y1307" i="12" s="1"/>
  <c r="X2498" i="12"/>
  <c r="X2426" i="12"/>
  <c r="X1102" i="12"/>
  <c r="X707" i="12"/>
  <c r="X1232" i="12"/>
  <c r="W1214" i="12"/>
  <c r="W1118" i="12"/>
  <c r="W996" i="12"/>
  <c r="Y996" i="12" s="1"/>
  <c r="X2404" i="12"/>
  <c r="X828" i="12"/>
  <c r="X650" i="12"/>
  <c r="X932" i="12"/>
  <c r="W432" i="12"/>
  <c r="W352" i="12"/>
  <c r="W395" i="12"/>
  <c r="X1493" i="12"/>
  <c r="X1578" i="12"/>
  <c r="X1589" i="12"/>
  <c r="X701" i="12"/>
  <c r="W573" i="12"/>
  <c r="X1344" i="12"/>
  <c r="X2167" i="12"/>
  <c r="X1683" i="12"/>
  <c r="X2607" i="12"/>
  <c r="X1354" i="12"/>
  <c r="X1998" i="12"/>
  <c r="X2000" i="12"/>
  <c r="X748" i="12"/>
  <c r="W434" i="12"/>
  <c r="W370" i="12"/>
  <c r="X2180" i="12"/>
  <c r="X1242" i="12"/>
  <c r="X1798" i="12"/>
  <c r="X2310" i="12"/>
  <c r="X2456" i="12"/>
  <c r="X1596" i="12"/>
  <c r="X793" i="12"/>
  <c r="X637" i="12"/>
  <c r="X587" i="12"/>
  <c r="X2500" i="12"/>
  <c r="X2340" i="12"/>
  <c r="X1261" i="12"/>
  <c r="X879" i="12"/>
  <c r="X1212" i="12"/>
  <c r="X1136" i="12"/>
  <c r="X1750" i="12"/>
  <c r="X1840" i="12"/>
  <c r="Y1840" i="12" s="1"/>
  <c r="W929" i="12"/>
  <c r="Y929" i="12" s="1"/>
  <c r="W682" i="12"/>
  <c r="Y682" i="12" s="1"/>
  <c r="X1276" i="12"/>
  <c r="X1537" i="12"/>
  <c r="X1454" i="12"/>
  <c r="X1455" i="12"/>
  <c r="X1252" i="12"/>
  <c r="X1945" i="12"/>
  <c r="W55" i="12"/>
  <c r="X2150" i="12"/>
  <c r="X2399" i="12"/>
  <c r="X2343" i="12"/>
  <c r="X2591" i="12"/>
  <c r="W580" i="12"/>
  <c r="Y580" i="12" s="1"/>
  <c r="X1195" i="12"/>
  <c r="X856" i="12"/>
  <c r="X1440" i="12"/>
  <c r="W86" i="12"/>
  <c r="W137" i="12"/>
  <c r="X310" i="12"/>
  <c r="X664" i="12"/>
  <c r="X1603" i="12"/>
  <c r="Y1603" i="12" s="1"/>
  <c r="X2145" i="12"/>
  <c r="X2105" i="12"/>
  <c r="X2289" i="12"/>
  <c r="X703" i="12"/>
  <c r="Y703" i="12" s="1"/>
  <c r="X2630" i="12"/>
  <c r="X2558" i="12"/>
  <c r="X1168" i="12"/>
  <c r="X1189" i="12"/>
  <c r="Y1189" i="12" s="1"/>
  <c r="X403" i="12"/>
  <c r="X522" i="12"/>
  <c r="Y522" i="12" s="1"/>
  <c r="X1427" i="12"/>
  <c r="X2311" i="12"/>
  <c r="X2263" i="12"/>
  <c r="X2470" i="12"/>
  <c r="X2450" i="12"/>
  <c r="X1886" i="12"/>
  <c r="W597" i="12"/>
  <c r="X1076" i="12"/>
  <c r="W671" i="12"/>
  <c r="X1483" i="12"/>
  <c r="X1259" i="12"/>
  <c r="X2314" i="12"/>
  <c r="X1527" i="12"/>
  <c r="X528" i="12"/>
  <c r="X1005" i="12"/>
  <c r="X275" i="12"/>
  <c r="X1082" i="12"/>
  <c r="X676" i="12"/>
  <c r="W1038" i="12"/>
  <c r="X1950" i="12"/>
  <c r="X907" i="12"/>
  <c r="X965" i="12"/>
  <c r="X1139" i="12"/>
  <c r="X273" i="12"/>
  <c r="W1092" i="12"/>
  <c r="X1415" i="12"/>
  <c r="W677" i="12"/>
  <c r="X36" i="12"/>
  <c r="X1295" i="12"/>
  <c r="Y1295" i="12" s="1"/>
  <c r="X1582" i="12"/>
  <c r="X2078" i="12"/>
  <c r="X934" i="12"/>
  <c r="X1029" i="12"/>
  <c r="X559" i="12"/>
  <c r="W436" i="12"/>
  <c r="X1088" i="12"/>
  <c r="X2520" i="12"/>
  <c r="X2058" i="12"/>
  <c r="X1627" i="12"/>
  <c r="X1470" i="12"/>
  <c r="Y1470" i="12" s="1"/>
  <c r="X917" i="12"/>
  <c r="X739" i="12"/>
  <c r="X2182" i="12"/>
  <c r="X937" i="12"/>
  <c r="X1774" i="12"/>
  <c r="X890" i="12"/>
  <c r="Y890" i="12" s="1"/>
  <c r="X595" i="12"/>
  <c r="Y595" i="12" s="1"/>
  <c r="X1338" i="12"/>
  <c r="X224" i="12"/>
  <c r="X810" i="12"/>
  <c r="X1651" i="12"/>
  <c r="X2408" i="12"/>
  <c r="X858" i="12"/>
  <c r="X675" i="12"/>
  <c r="X256" i="12"/>
  <c r="W780" i="12"/>
  <c r="X974" i="12"/>
  <c r="W756" i="12"/>
  <c r="Y756" i="12" s="1"/>
  <c r="X1227" i="12"/>
  <c r="X834" i="12"/>
  <c r="X2186" i="12"/>
  <c r="X1271" i="12"/>
  <c r="X192" i="12"/>
  <c r="X562" i="12"/>
  <c r="X942" i="12"/>
  <c r="W297" i="12"/>
  <c r="X2376" i="12"/>
  <c r="X927" i="12"/>
  <c r="X1580" i="12"/>
  <c r="X1148" i="12"/>
  <c r="W1166" i="12"/>
  <c r="W1010" i="12"/>
  <c r="Y1010" i="12" s="1"/>
  <c r="X699" i="12"/>
  <c r="X827" i="12"/>
  <c r="Y827" i="12" s="1"/>
  <c r="X547" i="12"/>
  <c r="X1028" i="12"/>
  <c r="X870" i="12"/>
  <c r="X1100" i="12"/>
  <c r="X1462" i="12"/>
  <c r="X954" i="12"/>
  <c r="X1083" i="12"/>
  <c r="X1164" i="12"/>
  <c r="X1526" i="12"/>
  <c r="X711" i="12"/>
  <c r="X1447" i="12"/>
  <c r="X355" i="12"/>
  <c r="X494" i="12"/>
  <c r="X52" i="12"/>
  <c r="X957" i="12"/>
  <c r="X1153" i="12"/>
  <c r="X2063" i="12"/>
  <c r="X1414" i="12"/>
  <c r="X2190" i="12"/>
  <c r="X2430" i="12"/>
  <c r="Y2430" i="12" s="1"/>
  <c r="X991" i="12"/>
  <c r="W946" i="12"/>
  <c r="Y946" i="12" s="1"/>
  <c r="X1097" i="12"/>
  <c r="X2066" i="12"/>
  <c r="X2574" i="12"/>
  <c r="X2462" i="12"/>
  <c r="X1093" i="12"/>
  <c r="Y1093" i="12" s="1"/>
  <c r="X1331" i="12"/>
  <c r="X1235" i="12"/>
  <c r="X2192" i="12"/>
  <c r="X242" i="12"/>
  <c r="X1794" i="12"/>
  <c r="X1137" i="12"/>
  <c r="X985" i="12"/>
  <c r="X1467" i="12"/>
  <c r="X82" i="12"/>
  <c r="X1291" i="12"/>
  <c r="X861" i="12"/>
  <c r="X2384" i="12"/>
  <c r="X1012" i="12"/>
  <c r="X56" i="12"/>
  <c r="X906" i="12"/>
  <c r="X319" i="12"/>
  <c r="X249" i="12"/>
  <c r="X1129" i="12"/>
  <c r="X1141" i="12"/>
  <c r="X903" i="12"/>
  <c r="X855" i="12"/>
  <c r="X487" i="12"/>
  <c r="X807" i="12"/>
  <c r="X845" i="12"/>
  <c r="X1268" i="12"/>
  <c r="X556" i="12"/>
  <c r="X98" i="12"/>
  <c r="X735" i="12"/>
  <c r="X196" i="12"/>
  <c r="X948" i="12"/>
  <c r="X841" i="12"/>
  <c r="X1059" i="12"/>
  <c r="X104" i="12"/>
  <c r="X2422" i="12"/>
  <c r="X1138" i="12"/>
  <c r="X2486" i="12"/>
  <c r="X1994" i="12"/>
  <c r="X1742" i="12"/>
  <c r="X289" i="12"/>
  <c r="X14" i="12"/>
  <c r="X336" i="12"/>
  <c r="X253" i="12"/>
  <c r="X839" i="12"/>
  <c r="X723" i="12"/>
  <c r="Y723" i="12" s="1"/>
  <c r="X1025" i="12"/>
  <c r="X294" i="12"/>
  <c r="X1890" i="12"/>
  <c r="X297" i="12"/>
  <c r="X743" i="12"/>
  <c r="X880" i="12"/>
  <c r="X306" i="12"/>
  <c r="X25" i="12"/>
  <c r="Y25" i="12" s="1"/>
  <c r="X150" i="12"/>
  <c r="X579" i="12"/>
  <c r="Y579" i="12" s="1"/>
  <c r="X119" i="12"/>
  <c r="X874" i="12"/>
  <c r="Y874" i="12" s="1"/>
  <c r="X57" i="12"/>
  <c r="Y57" i="12" s="1"/>
  <c r="B42" i="3"/>
  <c r="B54" i="3"/>
  <c r="W994" i="12"/>
  <c r="X1491" i="12"/>
  <c r="X1384" i="12"/>
  <c r="X2193" i="12"/>
  <c r="W680" i="12"/>
  <c r="X1694" i="12"/>
  <c r="X2559" i="12"/>
  <c r="X1821" i="12"/>
  <c r="W496" i="12"/>
  <c r="W416" i="12"/>
  <c r="W459" i="12"/>
  <c r="X1730" i="12"/>
  <c r="X2209" i="12"/>
  <c r="Y2209" i="12" s="1"/>
  <c r="X2169" i="12"/>
  <c r="X2353" i="12"/>
  <c r="X916" i="12"/>
  <c r="W409" i="12"/>
  <c r="W612" i="12"/>
  <c r="X1340" i="12"/>
  <c r="X2246" i="12"/>
  <c r="X2240" i="12"/>
  <c r="X1360" i="12"/>
  <c r="X1907" i="12"/>
  <c r="X1951" i="12"/>
  <c r="W21" i="12"/>
  <c r="W135" i="12"/>
  <c r="W33" i="12"/>
  <c r="X740" i="12"/>
  <c r="X1614" i="12"/>
  <c r="Y1614" i="12" s="1"/>
  <c r="X1325" i="12"/>
  <c r="Y1325" i="12" s="1"/>
  <c r="X1927" i="12"/>
  <c r="Y1927" i="12" s="1"/>
  <c r="X2386" i="12"/>
  <c r="W267" i="12"/>
  <c r="W237" i="12"/>
  <c r="X2062" i="12"/>
  <c r="X1056" i="12"/>
  <c r="X1127" i="12"/>
  <c r="X421" i="12"/>
  <c r="X1040" i="12"/>
  <c r="X2218" i="12"/>
  <c r="X1335" i="12"/>
  <c r="X995" i="12"/>
  <c r="X516" i="12"/>
  <c r="X46" i="12"/>
  <c r="X1023" i="12"/>
  <c r="X2118" i="12"/>
  <c r="X1726" i="12"/>
  <c r="X360" i="12"/>
  <c r="X496" i="12"/>
  <c r="Y496" i="12" s="1"/>
  <c r="X164" i="12"/>
  <c r="X2056" i="12"/>
  <c r="Y2056" i="12" s="1"/>
  <c r="X2250" i="12"/>
  <c r="X588" i="12"/>
  <c r="X785" i="12"/>
  <c r="Y785" i="12" s="1"/>
  <c r="X22" i="12"/>
  <c r="Y22" i="12" s="1"/>
  <c r="X1594" i="12"/>
  <c r="X1586" i="12"/>
  <c r="W148" i="12"/>
  <c r="W427" i="12"/>
  <c r="W347" i="12"/>
  <c r="W614" i="12"/>
  <c r="X2096" i="12"/>
  <c r="X2337" i="12"/>
  <c r="X2297" i="12"/>
  <c r="X2481" i="12"/>
  <c r="X930" i="12"/>
  <c r="W865" i="12"/>
  <c r="W104" i="12"/>
  <c r="X1568" i="12"/>
  <c r="X1257" i="12"/>
  <c r="X473" i="12"/>
  <c r="W834" i="12"/>
  <c r="Y834" i="12" s="1"/>
  <c r="X1780" i="12"/>
  <c r="X533" i="12"/>
  <c r="Y533" i="12" s="1"/>
  <c r="X826" i="12"/>
  <c r="X1444" i="12"/>
  <c r="W363" i="12"/>
  <c r="W232" i="12"/>
  <c r="W457" i="12"/>
  <c r="X2032" i="12"/>
  <c r="Y2032" i="12" s="1"/>
  <c r="X814" i="12"/>
  <c r="X2424" i="12"/>
  <c r="X1037" i="12"/>
  <c r="W974" i="12"/>
  <c r="Y974" i="12" s="1"/>
  <c r="X1429" i="12"/>
  <c r="W486" i="12"/>
  <c r="W374" i="12"/>
  <c r="W740" i="12"/>
  <c r="Y740" i="12" s="1"/>
  <c r="X1817" i="12"/>
  <c r="W380" i="12"/>
  <c r="W1015" i="12"/>
  <c r="X1647" i="12"/>
  <c r="W110" i="12"/>
  <c r="W133" i="12"/>
  <c r="Y133" i="12" s="1"/>
  <c r="W27" i="12"/>
  <c r="X998" i="12"/>
  <c r="Y998" i="12" s="1"/>
  <c r="X848" i="12"/>
  <c r="X792" i="12"/>
  <c r="X24" i="12"/>
  <c r="X1664" i="12"/>
  <c r="X2518" i="12"/>
  <c r="X2524" i="12"/>
  <c r="X1409" i="12"/>
  <c r="X2095" i="12"/>
  <c r="X1478" i="12"/>
  <c r="X1219" i="12"/>
  <c r="X1238" i="12"/>
  <c r="X1159" i="12"/>
  <c r="X2543" i="12"/>
  <c r="X2383" i="12"/>
  <c r="W229" i="12"/>
  <c r="X668" i="12"/>
  <c r="X262" i="12"/>
  <c r="X111" i="12"/>
  <c r="X731" i="12"/>
  <c r="Y731" i="12" s="1"/>
  <c r="X1894" i="12"/>
  <c r="Y1894" i="12" s="1"/>
  <c r="X706" i="12"/>
  <c r="X611" i="12"/>
  <c r="X131" i="12"/>
  <c r="X1991" i="12"/>
  <c r="X2614" i="12"/>
  <c r="X2479" i="12"/>
  <c r="X777" i="12"/>
  <c r="X1216" i="12"/>
  <c r="X1237" i="12"/>
  <c r="X727" i="12"/>
  <c r="W274" i="12"/>
  <c r="W198" i="12"/>
  <c r="X1009" i="12"/>
  <c r="X1728" i="12"/>
  <c r="X1086" i="12"/>
  <c r="X806" i="12"/>
  <c r="X2502" i="12"/>
  <c r="X1283" i="12"/>
  <c r="Y1283" i="12" s="1"/>
  <c r="X2031" i="12"/>
  <c r="X1792" i="12"/>
  <c r="X881" i="12"/>
  <c r="X180" i="12"/>
  <c r="W323" i="12"/>
  <c r="X1547" i="12"/>
  <c r="X1830" i="12"/>
  <c r="Y1830" i="12" s="1"/>
  <c r="X730" i="12"/>
  <c r="Y730" i="12" s="1"/>
  <c r="X878" i="12"/>
  <c r="X1938" i="12"/>
  <c r="X1267" i="12"/>
  <c r="X873" i="12"/>
  <c r="X1531" i="12"/>
  <c r="X1511" i="12"/>
  <c r="X992" i="12"/>
  <c r="X321" i="12"/>
  <c r="X959" i="12"/>
  <c r="X1042" i="12"/>
  <c r="X1967" i="12"/>
  <c r="X1222" i="12"/>
  <c r="X493" i="12"/>
  <c r="X993" i="12"/>
  <c r="X1300" i="12"/>
  <c r="X2415" i="12"/>
  <c r="X2255" i="12"/>
  <c r="X1228" i="12"/>
  <c r="X2300" i="12"/>
  <c r="X2366" i="12"/>
  <c r="X511" i="12"/>
  <c r="X734" i="12"/>
  <c r="X612" i="12"/>
  <c r="X1326" i="12"/>
  <c r="X2506" i="12"/>
  <c r="X865" i="12"/>
  <c r="X1024" i="12"/>
  <c r="W525" i="12"/>
  <c r="Y525" i="12" s="1"/>
  <c r="X760" i="12"/>
  <c r="X1548" i="12"/>
  <c r="X885" i="12"/>
  <c r="Y885" i="12" s="1"/>
  <c r="X594" i="12"/>
  <c r="X1902" i="12"/>
  <c r="X1011" i="12"/>
  <c r="Y1011" i="12" s="1"/>
  <c r="X130" i="12"/>
  <c r="X924" i="12"/>
  <c r="Y924" i="12" s="1"/>
  <c r="X1131" i="12"/>
  <c r="X381" i="12"/>
  <c r="X928" i="12"/>
  <c r="X534" i="12"/>
  <c r="W562" i="12"/>
  <c r="X2504" i="12"/>
  <c r="X1301" i="12"/>
  <c r="X1263" i="12"/>
  <c r="X1395" i="12"/>
  <c r="W820" i="12"/>
  <c r="X456" i="12"/>
  <c r="X902" i="12"/>
  <c r="X1181" i="12"/>
  <c r="X1778" i="12"/>
  <c r="X2510" i="12"/>
  <c r="X2512" i="12"/>
  <c r="X1117" i="12"/>
  <c r="W518" i="12"/>
  <c r="W609" i="12"/>
  <c r="X124" i="12"/>
  <c r="Y124" i="12" s="1"/>
  <c r="X781" i="12"/>
  <c r="X482" i="12"/>
  <c r="X921" i="12"/>
  <c r="X465" i="12"/>
  <c r="Y465" i="12" s="1"/>
  <c r="X925" i="12"/>
  <c r="X1319" i="12"/>
  <c r="W581" i="12"/>
  <c r="Y581" i="12" s="1"/>
  <c r="X1376" i="12"/>
  <c r="Y1376" i="12" s="1"/>
  <c r="X474" i="12"/>
  <c r="X884" i="12"/>
  <c r="X677" i="12"/>
  <c r="X1274" i="12"/>
  <c r="X44" i="12"/>
  <c r="X1443" i="12"/>
  <c r="X853" i="12"/>
  <c r="X625" i="12"/>
  <c r="X241" i="12"/>
  <c r="X529" i="12"/>
  <c r="X1116" i="12"/>
  <c r="X18" i="12"/>
  <c r="X894" i="12"/>
  <c r="X1073" i="12"/>
  <c r="X1001" i="12"/>
  <c r="X1211" i="12"/>
  <c r="X1678" i="12"/>
  <c r="X93" i="12"/>
  <c r="X680" i="12"/>
  <c r="Y680" i="12" s="1"/>
  <c r="X382" i="12"/>
  <c r="X1604" i="12"/>
  <c r="X200" i="12"/>
  <c r="X199" i="12"/>
  <c r="X1551" i="12"/>
  <c r="Y1551" i="12" s="1"/>
  <c r="X2014" i="12"/>
  <c r="X350" i="12"/>
  <c r="X1540" i="12"/>
  <c r="X980" i="12"/>
  <c r="X303" i="12"/>
  <c r="X372" i="12"/>
  <c r="X1021" i="12"/>
  <c r="X461" i="12"/>
  <c r="X910" i="12"/>
  <c r="X596" i="12"/>
  <c r="X73" i="12"/>
  <c r="Y73" i="12" s="1"/>
  <c r="X1484" i="12"/>
  <c r="X521" i="12"/>
  <c r="X120" i="12"/>
  <c r="X245" i="12"/>
  <c r="X1952" i="12"/>
  <c r="X28" i="12"/>
  <c r="Y28" i="12" s="1"/>
  <c r="X488" i="12"/>
  <c r="X1631" i="12"/>
  <c r="X1113" i="12"/>
  <c r="X15" i="12"/>
  <c r="X679" i="12"/>
  <c r="F14" i="3"/>
  <c r="F37" i="3"/>
  <c r="E23" i="3"/>
  <c r="X1555" i="12"/>
  <c r="X509" i="12"/>
  <c r="X1703" i="12"/>
  <c r="Y1703" i="12" s="1"/>
  <c r="X1581" i="12"/>
  <c r="Y1581" i="12" s="1"/>
  <c r="X1253" i="12"/>
  <c r="X2514" i="12"/>
  <c r="W500" i="12"/>
  <c r="W550" i="12"/>
  <c r="W492" i="12"/>
  <c r="X2177" i="12"/>
  <c r="X2137" i="12"/>
  <c r="X1410" i="12"/>
  <c r="X1923" i="12"/>
  <c r="X1007" i="12"/>
  <c r="W413" i="12"/>
  <c r="W967" i="12"/>
  <c r="W821" i="12"/>
  <c r="X1487" i="12"/>
  <c r="X471" i="12"/>
  <c r="W930" i="12"/>
  <c r="X1361" i="12"/>
  <c r="X2382" i="12"/>
  <c r="W82" i="12"/>
  <c r="Y82" i="12" s="1"/>
  <c r="W164" i="12"/>
  <c r="W268" i="12"/>
  <c r="X1389" i="12"/>
  <c r="X2648" i="12"/>
  <c r="W225" i="12"/>
  <c r="Y225" i="12" s="1"/>
  <c r="X2064" i="12"/>
  <c r="X2162" i="12"/>
  <c r="W119" i="12"/>
  <c r="Y119" i="12" s="1"/>
  <c r="X2214" i="12"/>
  <c r="X913" i="12"/>
  <c r="X1030" i="12"/>
  <c r="X775" i="12"/>
  <c r="W233" i="12"/>
  <c r="X2216" i="12"/>
  <c r="X987" i="12"/>
  <c r="X519" i="12"/>
  <c r="X649" i="12"/>
  <c r="X1810" i="12"/>
  <c r="W397" i="12"/>
  <c r="X952" i="12"/>
  <c r="W116" i="12"/>
  <c r="X323" i="12"/>
  <c r="X1399" i="12"/>
  <c r="X193" i="12"/>
  <c r="X30" i="12"/>
  <c r="X2254" i="12"/>
  <c r="X2478" i="12"/>
  <c r="X2158" i="12"/>
  <c r="X1322" i="12"/>
  <c r="X899" i="12"/>
  <c r="X1879" i="12"/>
  <c r="X1796" i="12"/>
  <c r="X2460" i="12"/>
  <c r="W305" i="12"/>
  <c r="W748" i="12"/>
  <c r="Y748" i="12" s="1"/>
  <c r="W587" i="12"/>
  <c r="Y587" i="12" s="1"/>
  <c r="X2305" i="12"/>
  <c r="X2265" i="12"/>
  <c r="X1517" i="12"/>
  <c r="X2223" i="12"/>
  <c r="X190" i="12"/>
  <c r="X1808" i="12"/>
  <c r="X2119" i="12"/>
  <c r="W220" i="12"/>
  <c r="W78" i="12"/>
  <c r="W202" i="12"/>
  <c r="Y202" i="12" s="1"/>
  <c r="X1062" i="12"/>
  <c r="X1895" i="12"/>
  <c r="Y1895" i="12" s="1"/>
  <c r="X1815" i="12"/>
  <c r="X1732" i="12"/>
  <c r="Y1732" i="12" s="1"/>
  <c r="X1946" i="12"/>
  <c r="W544" i="12"/>
  <c r="W120" i="12"/>
  <c r="X1382" i="12"/>
  <c r="X429" i="12"/>
  <c r="W1029" i="12"/>
  <c r="Y1029" i="12" s="1"/>
  <c r="X2434" i="12"/>
  <c r="X2362" i="12"/>
  <c r="X1281" i="12"/>
  <c r="X2497" i="12"/>
  <c r="X2457" i="12"/>
  <c r="X2641" i="12"/>
  <c r="X1635" i="12"/>
  <c r="X1342" i="12"/>
  <c r="Y1342" i="12" s="1"/>
  <c r="X1050" i="12"/>
  <c r="Y1050" i="12" s="1"/>
  <c r="X1620" i="12"/>
  <c r="X1510" i="12"/>
  <c r="W69" i="12"/>
  <c r="X2577" i="12"/>
  <c r="X79" i="12"/>
  <c r="X1054" i="12"/>
  <c r="W1233" i="12"/>
  <c r="Y1233" i="12" s="1"/>
  <c r="X1196" i="12"/>
  <c r="X1682" i="12"/>
  <c r="X1359" i="12"/>
  <c r="X1459" i="12"/>
  <c r="W1140" i="12"/>
  <c r="X476" i="12"/>
  <c r="X2550" i="12"/>
  <c r="X1015" i="12"/>
  <c r="Y1015" i="12" s="1"/>
  <c r="X393" i="12"/>
  <c r="X1968" i="12"/>
  <c r="X2194" i="12"/>
  <c r="Y2194" i="12" s="1"/>
  <c r="X1595" i="12"/>
  <c r="X1591" i="12"/>
  <c r="Y1591" i="12" s="1"/>
  <c r="X593" i="12"/>
  <c r="X1094" i="12"/>
  <c r="X2159" i="12"/>
  <c r="Y2159" i="12" s="1"/>
  <c r="X2464" i="12"/>
  <c r="X1251" i="12"/>
  <c r="Y1251" i="12" s="1"/>
  <c r="X1567" i="12"/>
  <c r="X635" i="12"/>
  <c r="X2090" i="12"/>
  <c r="X1659" i="12"/>
  <c r="X1233" i="12"/>
  <c r="X960" i="12"/>
  <c r="X61" i="12"/>
  <c r="Y61" i="12" s="1"/>
  <c r="X2448" i="12"/>
  <c r="Y2448" i="12" s="1"/>
  <c r="X1475" i="12"/>
  <c r="X1401" i="12"/>
  <c r="X1324" i="12"/>
  <c r="X1020" i="12"/>
  <c r="W1230" i="12"/>
  <c r="X48" i="12"/>
  <c r="Y48" i="12" s="1"/>
  <c r="X1266" i="12"/>
  <c r="Y1266" i="12" s="1"/>
  <c r="X1479" i="12"/>
  <c r="Y1479" i="12" s="1"/>
  <c r="X2280" i="12"/>
  <c r="X2287" i="12"/>
  <c r="Y2287" i="12" s="1"/>
  <c r="X1369" i="12"/>
  <c r="X2127" i="12"/>
  <c r="X1542" i="12"/>
  <c r="X1826" i="12"/>
  <c r="X414" i="12"/>
  <c r="X1079" i="12"/>
  <c r="X1519" i="12"/>
  <c r="X1280" i="12"/>
  <c r="X1045" i="12"/>
  <c r="X964" i="12"/>
  <c r="X1142" i="12"/>
  <c r="X753" i="12"/>
  <c r="X29" i="12"/>
  <c r="X1179" i="12"/>
  <c r="X1258" i="12"/>
  <c r="X1623" i="12"/>
  <c r="X1171" i="12"/>
  <c r="W884" i="12"/>
  <c r="Y884" i="12" s="1"/>
  <c r="X202" i="12"/>
  <c r="X2076" i="12"/>
  <c r="X2438" i="12"/>
  <c r="X962" i="12"/>
  <c r="X2318" i="12"/>
  <c r="X2320" i="12"/>
  <c r="X813" i="12"/>
  <c r="W724" i="12"/>
  <c r="Y724" i="12" s="1"/>
  <c r="X1163" i="12"/>
  <c r="X2290" i="12"/>
  <c r="X736" i="12"/>
  <c r="X2270" i="12"/>
  <c r="X1488" i="12"/>
  <c r="Y1488" i="12" s="1"/>
  <c r="X1022" i="12"/>
  <c r="Y1022" i="12" s="1"/>
  <c r="X1731" i="12"/>
  <c r="X744" i="12"/>
  <c r="X1545" i="12"/>
  <c r="X342" i="12"/>
  <c r="X655" i="12"/>
  <c r="X762" i="12"/>
  <c r="X575" i="12"/>
  <c r="X285" i="12"/>
  <c r="Y285" i="12" s="1"/>
  <c r="X1078" i="12"/>
  <c r="X38" i="12"/>
  <c r="X434" i="12"/>
  <c r="X502" i="12"/>
  <c r="X2098" i="12"/>
  <c r="X2606" i="12"/>
  <c r="X2494" i="12"/>
  <c r="X976" i="12"/>
  <c r="X1152" i="12"/>
  <c r="X771" i="12"/>
  <c r="Y771" i="12" s="1"/>
  <c r="X2542" i="12"/>
  <c r="X1882" i="12"/>
  <c r="X1225" i="12"/>
  <c r="X2474" i="12"/>
  <c r="X1758" i="12"/>
  <c r="X80" i="12"/>
  <c r="X697" i="12"/>
  <c r="X604" i="12"/>
  <c r="X1183" i="12"/>
  <c r="Y1183" i="12" s="1"/>
  <c r="X2128" i="12"/>
  <c r="X791" i="12"/>
  <c r="X2312" i="12"/>
  <c r="Y2312" i="12" s="1"/>
  <c r="W24" i="12"/>
  <c r="Y24" i="12" s="1"/>
  <c r="X2152" i="12"/>
  <c r="X1112" i="12"/>
  <c r="Y1112" i="12" s="1"/>
  <c r="X709" i="12"/>
  <c r="Y709" i="12" s="1"/>
  <c r="X767" i="12"/>
  <c r="X859" i="12"/>
  <c r="Y859" i="12" s="1"/>
  <c r="X784" i="12"/>
  <c r="X2304" i="12"/>
  <c r="X1507" i="12"/>
  <c r="X686" i="12"/>
  <c r="X435" i="12"/>
  <c r="X113" i="12"/>
  <c r="X661" i="12"/>
  <c r="X1087" i="12"/>
  <c r="X376" i="12"/>
  <c r="X889" i="12"/>
  <c r="W181" i="12"/>
  <c r="X984" i="12"/>
  <c r="W217" i="12"/>
  <c r="X2536" i="12"/>
  <c r="X1292" i="12"/>
  <c r="Y1292" i="12" s="1"/>
  <c r="X1109" i="12"/>
  <c r="X1206" i="12"/>
  <c r="X779" i="12"/>
  <c r="X1513" i="12"/>
  <c r="X926" i="12"/>
  <c r="X607" i="12"/>
  <c r="X2454" i="12"/>
  <c r="X247" i="12"/>
  <c r="X1067" i="12"/>
  <c r="X1202" i="12"/>
  <c r="Y1202" i="12" s="1"/>
  <c r="X882" i="12"/>
  <c r="Y882" i="12" s="1"/>
  <c r="X100" i="12"/>
  <c r="X2134" i="12"/>
  <c r="X1039" i="12"/>
  <c r="X824" i="12"/>
  <c r="X63" i="12"/>
  <c r="X669" i="12"/>
  <c r="X550" i="12"/>
  <c r="X799" i="12"/>
  <c r="X452" i="12"/>
  <c r="X1120" i="12"/>
  <c r="X1077" i="12"/>
  <c r="X1048" i="12"/>
  <c r="X553" i="12"/>
  <c r="X1255" i="12"/>
  <c r="X819" i="12"/>
  <c r="X825" i="12"/>
  <c r="Y825" i="12" s="1"/>
  <c r="X16" i="12"/>
  <c r="X385" i="12"/>
  <c r="X37" i="12"/>
  <c r="X1003" i="12"/>
  <c r="X304" i="12"/>
  <c r="B57" i="3"/>
  <c r="B47" i="3"/>
  <c r="B67" i="3"/>
  <c r="X161" i="12"/>
  <c r="X1155" i="12"/>
  <c r="X892" i="12"/>
  <c r="X371" i="12"/>
  <c r="X409" i="12"/>
  <c r="X901" i="12"/>
  <c r="X243" i="12"/>
  <c r="X31" i="12"/>
  <c r="Y31" i="12" s="1"/>
  <c r="X343" i="12"/>
  <c r="X366" i="12"/>
  <c r="X1530" i="12"/>
  <c r="X953" i="12"/>
  <c r="X162" i="12"/>
  <c r="X698" i="12"/>
  <c r="X155" i="12"/>
  <c r="X634" i="12"/>
  <c r="X662" i="12"/>
  <c r="X106" i="12"/>
  <c r="X101" i="12"/>
  <c r="Y101" i="12" s="1"/>
  <c r="X432" i="12"/>
  <c r="X12" i="12"/>
  <c r="X646" i="12"/>
  <c r="X690" i="12"/>
  <c r="X231" i="12"/>
  <c r="X352" i="12"/>
  <c r="X1121" i="12"/>
  <c r="Y1121" i="12" s="1"/>
  <c r="X1918" i="12"/>
  <c r="X1922" i="12"/>
  <c r="Y1922" i="12" s="1"/>
  <c r="X614" i="12"/>
  <c r="X1370" i="12"/>
  <c r="X314" i="12"/>
  <c r="Y314" i="12" s="1"/>
  <c r="X888" i="12"/>
  <c r="X970" i="12"/>
  <c r="X1149" i="12"/>
  <c r="X183" i="12"/>
  <c r="X780" i="12"/>
  <c r="X2" i="12"/>
  <c r="X2374" i="12"/>
  <c r="X765" i="12"/>
  <c r="X653" i="12"/>
  <c r="X514" i="12"/>
  <c r="X857" i="12"/>
  <c r="X1535" i="12"/>
  <c r="X758" i="12"/>
  <c r="X316" i="12"/>
  <c r="X977" i="12"/>
  <c r="X1027" i="12"/>
  <c r="X286" i="12"/>
  <c r="X1334" i="12"/>
  <c r="X295" i="12"/>
  <c r="X365" i="12"/>
  <c r="X212" i="12"/>
  <c r="Y212" i="12" s="1"/>
  <c r="X184" i="12"/>
  <c r="X215" i="12"/>
  <c r="X312" i="12"/>
  <c r="X339" i="12"/>
  <c r="X335" i="12"/>
  <c r="X1417" i="12"/>
  <c r="X1599" i="12"/>
  <c r="X140" i="12"/>
  <c r="W1076" i="12"/>
  <c r="X513" i="12"/>
  <c r="W757" i="12"/>
  <c r="X232" i="12"/>
  <c r="X33" i="12"/>
  <c r="Y33" i="12" s="1"/>
  <c r="X194" i="12"/>
  <c r="Y194" i="12" s="1"/>
  <c r="X1986" i="12"/>
  <c r="X1187" i="12"/>
  <c r="X1161" i="12"/>
  <c r="X1356" i="12"/>
  <c r="X288" i="12"/>
  <c r="X1118" i="12"/>
  <c r="X1402" i="12"/>
  <c r="X479" i="12"/>
  <c r="Y479" i="12" s="1"/>
  <c r="X1481" i="12"/>
  <c r="X328" i="12"/>
  <c r="X621" i="12"/>
  <c r="X139" i="12"/>
  <c r="X172" i="12"/>
  <c r="X732" i="12"/>
  <c r="X624" i="12"/>
  <c r="X117" i="12"/>
  <c r="Y117" i="12" s="1"/>
  <c r="X582" i="12"/>
  <c r="X454" i="12"/>
  <c r="X233" i="12"/>
  <c r="Y233" i="12" s="1"/>
  <c r="X39" i="12"/>
  <c r="Y39" i="12" s="1"/>
  <c r="X110" i="12"/>
  <c r="X250" i="12"/>
  <c r="X716" i="12"/>
  <c r="Y716" i="12" s="1"/>
  <c r="X408" i="12"/>
  <c r="X1934" i="12"/>
  <c r="X185" i="12"/>
  <c r="X651" i="12"/>
  <c r="X96" i="12"/>
  <c r="X1091" i="12"/>
  <c r="X518" i="12"/>
  <c r="X986" i="12"/>
  <c r="X1049" i="12"/>
  <c r="X558" i="12"/>
  <c r="X459" i="12"/>
  <c r="X380" i="12"/>
  <c r="X315" i="12"/>
  <c r="X808" i="12"/>
  <c r="X317" i="12"/>
  <c r="X585" i="12"/>
  <c r="X374" i="12"/>
  <c r="X103" i="12"/>
  <c r="X49" i="12"/>
  <c r="X569" i="12"/>
  <c r="Y569" i="12" s="1"/>
  <c r="X718" i="12"/>
  <c r="X427" i="12"/>
  <c r="X59" i="12"/>
  <c r="X252" i="12"/>
  <c r="X508" i="12"/>
  <c r="X470" i="12"/>
  <c r="X406" i="12"/>
  <c r="X844" i="12"/>
  <c r="E14" i="3"/>
  <c r="F46" i="3"/>
  <c r="B66" i="3"/>
  <c r="B19" i="3"/>
  <c r="B56" i="3"/>
  <c r="E36" i="3"/>
  <c r="B88" i="3"/>
  <c r="B41" i="3"/>
  <c r="E25" i="3"/>
  <c r="B91" i="3"/>
  <c r="B31" i="3"/>
  <c r="X411" i="12"/>
  <c r="X538" i="12"/>
  <c r="X148" i="12"/>
  <c r="X570" i="12"/>
  <c r="Y570" i="12" s="1"/>
  <c r="X1842" i="12"/>
  <c r="X696" i="12"/>
  <c r="X500" i="12"/>
  <c r="X2368" i="12"/>
  <c r="X666" i="12"/>
  <c r="X1379" i="12"/>
  <c r="X1870" i="12"/>
  <c r="X629" i="12"/>
  <c r="X2198" i="12"/>
  <c r="X486" i="12"/>
  <c r="X672" i="12"/>
  <c r="X118" i="12"/>
  <c r="X989" i="12"/>
  <c r="X638" i="12"/>
  <c r="X41" i="12"/>
  <c r="X45" i="12"/>
  <c r="X87" i="12"/>
  <c r="X846" i="12"/>
  <c r="X424" i="12"/>
  <c r="X812" i="12"/>
  <c r="X4" i="12"/>
  <c r="X1346" i="12"/>
  <c r="Y1346" i="12" s="1"/>
  <c r="X938" i="12"/>
  <c r="X1214" i="12"/>
  <c r="X746" i="12"/>
  <c r="X281" i="12"/>
  <c r="X284" i="12"/>
  <c r="Y284" i="12" s="1"/>
  <c r="X160" i="12"/>
  <c r="X590" i="12"/>
  <c r="X1698" i="12"/>
  <c r="X364" i="12"/>
  <c r="X60" i="12"/>
  <c r="Y60" i="12" s="1"/>
  <c r="X430" i="12"/>
  <c r="X166" i="12"/>
  <c r="Y166" i="12" s="1"/>
  <c r="X636" i="12"/>
  <c r="Y636" i="12" s="1"/>
  <c r="X1766" i="12"/>
  <c r="X1068" i="12"/>
  <c r="X1398" i="12"/>
  <c r="X1144" i="12"/>
  <c r="X416" i="12"/>
  <c r="X290" i="12"/>
  <c r="X1101" i="12"/>
  <c r="X356" i="12"/>
  <c r="Y356" i="12" s="1"/>
  <c r="X763" i="12"/>
  <c r="X949" i="12"/>
  <c r="X552" i="12"/>
  <c r="Y552" i="12" s="1"/>
  <c r="X197" i="12"/>
  <c r="X539" i="12"/>
  <c r="X210" i="12"/>
  <c r="X905" i="12"/>
  <c r="X2112" i="12"/>
  <c r="X838" i="12"/>
  <c r="X660" i="12"/>
  <c r="X1332" i="12"/>
  <c r="X329" i="12"/>
  <c r="X1610" i="12"/>
  <c r="Y1610" i="12" s="1"/>
  <c r="X1482" i="12"/>
  <c r="X2511" i="12"/>
  <c r="X1162" i="12"/>
  <c r="X2272" i="12"/>
  <c r="X1099" i="12"/>
  <c r="X1984" i="12"/>
  <c r="X821" i="12"/>
  <c r="X557" i="12"/>
  <c r="X1103" i="12"/>
  <c r="X1404" i="12"/>
  <c r="X1060" i="12"/>
  <c r="X1383" i="12"/>
  <c r="Y1383" i="12" s="1"/>
  <c r="X32" i="12"/>
  <c r="X1460" i="12"/>
  <c r="X912" i="12"/>
  <c r="X836" i="12"/>
  <c r="X480" i="12"/>
  <c r="X203" i="12"/>
  <c r="X332" i="12"/>
  <c r="X1466" i="12"/>
  <c r="X1315" i="12"/>
  <c r="X1587" i="12"/>
  <c r="X546" i="12"/>
  <c r="X801" i="12"/>
  <c r="X536" i="12"/>
  <c r="X483" i="12"/>
  <c r="X1035" i="12"/>
  <c r="X499" i="12"/>
  <c r="X468" i="12"/>
  <c r="X617" i="12"/>
  <c r="X766" i="12"/>
  <c r="Y766" i="12" s="1"/>
  <c r="X1013" i="12"/>
  <c r="X26" i="12"/>
  <c r="X433" i="12"/>
  <c r="X616" i="12"/>
  <c r="X950" i="12"/>
  <c r="X449" i="12"/>
  <c r="Y449" i="12" s="1"/>
  <c r="X700" i="12"/>
  <c r="X438" i="12"/>
  <c r="X209" i="12"/>
  <c r="X92" i="12"/>
  <c r="Y92" i="12" s="1"/>
  <c r="X904" i="12"/>
  <c r="X790" i="12"/>
  <c r="X394" i="12"/>
  <c r="X19" i="12"/>
  <c r="X177" i="12"/>
  <c r="X43" i="12"/>
  <c r="X542" i="12"/>
  <c r="X1046" i="12"/>
  <c r="X577" i="12"/>
  <c r="X198" i="12"/>
  <c r="X322" i="12"/>
  <c r="Y322" i="12" s="1"/>
  <c r="X481" i="12"/>
  <c r="Y481" i="12" s="1"/>
  <c r="X600" i="12"/>
  <c r="Y600" i="12" s="1"/>
  <c r="X207" i="12"/>
  <c r="X115" i="12"/>
  <c r="B51" i="3"/>
  <c r="E40" i="3"/>
  <c r="B85" i="3"/>
  <c r="E35" i="3"/>
  <c r="F43" i="3"/>
  <c r="E42" i="3"/>
  <c r="B60" i="3"/>
  <c r="E33" i="3"/>
  <c r="E38" i="3"/>
  <c r="B109" i="3"/>
  <c r="B75" i="3"/>
  <c r="X460" i="12"/>
  <c r="X2358" i="12"/>
  <c r="X75" i="12"/>
  <c r="X138" i="12"/>
  <c r="X363" i="12"/>
  <c r="X876" i="12"/>
  <c r="X498" i="12"/>
  <c r="X395" i="12"/>
  <c r="X563" i="12"/>
  <c r="X704" i="12"/>
  <c r="X235" i="12"/>
  <c r="X422" i="12"/>
  <c r="X128" i="12"/>
  <c r="X270" i="12"/>
  <c r="X379" i="12"/>
  <c r="Y379" i="12" s="1"/>
  <c r="X122" i="12"/>
  <c r="X2080" i="12"/>
  <c r="X601" i="12"/>
  <c r="X89" i="12"/>
  <c r="Y89" i="12" s="1"/>
  <c r="W123" i="12"/>
  <c r="X2184" i="12"/>
  <c r="W50" i="12"/>
  <c r="X2024" i="12"/>
  <c r="X898" i="12"/>
  <c r="X671" i="12"/>
  <c r="X2496" i="12"/>
  <c r="X656" i="12"/>
  <c r="X955" i="12"/>
  <c r="X2294" i="12"/>
  <c r="X639" i="12"/>
  <c r="Y639" i="12" s="1"/>
  <c r="X1561" i="12"/>
  <c r="X2144" i="12"/>
  <c r="Y2144" i="12" s="1"/>
  <c r="X944" i="12"/>
  <c r="X1762" i="12"/>
  <c r="X1057" i="12"/>
  <c r="X868" i="12"/>
  <c r="X726" i="12"/>
  <c r="Y726" i="12" s="1"/>
  <c r="X647" i="12"/>
  <c r="X1536" i="12"/>
  <c r="X1471" i="12"/>
  <c r="X584" i="12"/>
  <c r="X398" i="12"/>
  <c r="X151" i="12"/>
  <c r="X386" i="12"/>
  <c r="X586" i="12"/>
  <c r="X608" i="12"/>
  <c r="X2390" i="12"/>
  <c r="X515" i="12"/>
  <c r="Y515" i="12" s="1"/>
  <c r="X2102" i="12"/>
  <c r="X3" i="12"/>
  <c r="X188" i="12"/>
  <c r="X272" i="12"/>
  <c r="X919" i="12"/>
  <c r="X2282" i="12"/>
  <c r="X1463" i="12"/>
  <c r="X2122" i="12"/>
  <c r="X975" i="12"/>
  <c r="X2262" i="12"/>
  <c r="X313" i="12"/>
  <c r="X1974" i="12"/>
  <c r="X689" i="12"/>
  <c r="X1036" i="12"/>
  <c r="X778" i="12"/>
  <c r="X1492" i="12"/>
  <c r="X688" i="12"/>
  <c r="Y688" i="12" s="1"/>
  <c r="X795" i="12"/>
  <c r="X981" i="12"/>
  <c r="X837" i="12"/>
  <c r="X1403" i="12"/>
  <c r="X389" i="12"/>
  <c r="X85" i="12"/>
  <c r="Y85" i="12" s="1"/>
  <c r="X451" i="12"/>
  <c r="X1004" i="12"/>
  <c r="X543" i="12"/>
  <c r="X769" i="12"/>
  <c r="X127" i="12"/>
  <c r="X42" i="12"/>
  <c r="X27" i="12"/>
  <c r="X507" i="12"/>
  <c r="X2208" i="12"/>
  <c r="X446" i="12"/>
  <c r="X21" i="12"/>
  <c r="X1954" i="12"/>
  <c r="X887" i="12"/>
  <c r="X681" i="12"/>
  <c r="X988" i="12"/>
  <c r="X357" i="12"/>
  <c r="X54" i="12"/>
  <c r="X455" i="12"/>
  <c r="X204" i="12"/>
  <c r="X248" i="12"/>
  <c r="X632" i="12"/>
  <c r="X341" i="12"/>
  <c r="X864" i="12"/>
  <c r="X445" i="12"/>
  <c r="X524" i="12"/>
  <c r="X2048" i="12"/>
  <c r="X137" i="12"/>
  <c r="X512" i="12"/>
  <c r="X501" i="12"/>
  <c r="X457" i="12"/>
  <c r="X397" i="12"/>
  <c r="X1016" i="12"/>
  <c r="X2176" i="12"/>
  <c r="X377" i="12"/>
  <c r="X263" i="12"/>
  <c r="X94" i="12"/>
  <c r="Y94" i="12" s="1"/>
  <c r="X254" i="12"/>
  <c r="X228" i="12"/>
  <c r="X143" i="12"/>
  <c r="B104" i="3"/>
  <c r="B21" i="3"/>
  <c r="B90" i="3"/>
  <c r="B78" i="3"/>
  <c r="F27" i="3"/>
  <c r="B84" i="3"/>
  <c r="B9" i="3"/>
  <c r="B7" i="3"/>
  <c r="E37" i="3"/>
  <c r="B44" i="3"/>
  <c r="B16" i="3"/>
  <c r="X439" i="12"/>
  <c r="X561" i="12"/>
  <c r="Y561" i="12" s="1"/>
  <c r="X327" i="12"/>
  <c r="X105" i="12"/>
  <c r="X1017" i="12"/>
  <c r="X797" i="12"/>
  <c r="X644" i="12"/>
  <c r="X714" i="12"/>
  <c r="X171" i="12"/>
  <c r="X68" i="12"/>
  <c r="X568" i="12"/>
  <c r="X630" i="12"/>
  <c r="X822" i="12"/>
  <c r="X402" i="12"/>
  <c r="X269" i="12"/>
  <c r="X260" i="12"/>
  <c r="X373" i="12"/>
  <c r="X311" i="12"/>
  <c r="X400" i="12"/>
  <c r="Y400" i="12" s="1"/>
  <c r="X182" i="12"/>
  <c r="X208" i="12"/>
  <c r="X292" i="12"/>
  <c r="X415" i="12"/>
  <c r="X1629" i="12"/>
  <c r="X678" i="12"/>
  <c r="X423" i="12"/>
  <c r="X527" i="12"/>
  <c r="X165" i="12"/>
  <c r="Y165" i="12" s="1"/>
  <c r="X354" i="12"/>
  <c r="X591" i="12"/>
  <c r="X2038" i="12"/>
  <c r="X146" i="12"/>
  <c r="Y146" i="12" s="1"/>
  <c r="X485" i="12"/>
  <c r="X219" i="12"/>
  <c r="X1061" i="12"/>
  <c r="X933" i="12"/>
  <c r="X163" i="12"/>
  <c r="Y163" i="12" s="1"/>
  <c r="X173" i="12"/>
  <c r="X572" i="12"/>
  <c r="X71" i="12"/>
  <c r="X283" i="12"/>
  <c r="X81" i="12"/>
  <c r="X152" i="12"/>
  <c r="X70" i="12"/>
  <c r="X147" i="12"/>
  <c r="X149" i="12"/>
  <c r="X598" i="12"/>
  <c r="X69" i="12"/>
  <c r="X504" i="12"/>
  <c r="Y504" i="12" s="1"/>
  <c r="X571" i="12"/>
  <c r="Y571" i="12" s="1"/>
  <c r="X609" i="12"/>
  <c r="X349" i="12"/>
  <c r="X565" i="12"/>
  <c r="X805" i="12"/>
  <c r="X1075" i="12"/>
  <c r="X900" i="12"/>
  <c r="X983" i="12"/>
  <c r="X469" i="12"/>
  <c r="X2166" i="12"/>
  <c r="X337" i="12"/>
  <c r="X693" i="12"/>
  <c r="X437" i="12"/>
  <c r="Y437" i="12" s="1"/>
  <c r="X1215" i="12"/>
  <c r="X320" i="12"/>
  <c r="X443" i="12"/>
  <c r="X167" i="12"/>
  <c r="X358" i="12"/>
  <c r="X1132" i="12"/>
  <c r="X179" i="12"/>
  <c r="X91" i="12"/>
  <c r="Y91" i="12" s="1"/>
  <c r="X440" i="12"/>
  <c r="X221" i="12"/>
  <c r="X484" i="12"/>
  <c r="X338" i="12"/>
  <c r="X298" i="12"/>
  <c r="X997" i="12"/>
  <c r="X370" i="12"/>
  <c r="X227" i="12"/>
  <c r="X436" i="12"/>
  <c r="X135" i="12"/>
  <c r="X244" i="12"/>
  <c r="Y244" i="12" s="1"/>
  <c r="X156" i="12"/>
  <c r="X142" i="12"/>
  <c r="E26" i="3"/>
  <c r="F24" i="3"/>
  <c r="B26" i="3"/>
  <c r="B102" i="3"/>
  <c r="F20" i="3"/>
  <c r="F28" i="3"/>
  <c r="F35" i="3"/>
  <c r="B48" i="3"/>
  <c r="B98" i="3"/>
  <c r="B70" i="3"/>
  <c r="B89" i="3"/>
  <c r="B100" i="3"/>
  <c r="B97" i="3"/>
  <c r="B38" i="3"/>
  <c r="E39" i="3"/>
  <c r="B74" i="3"/>
  <c r="B108" i="3"/>
  <c r="B33" i="3"/>
  <c r="F39" i="3"/>
  <c r="F19" i="3"/>
  <c r="F38" i="3"/>
  <c r="E18" i="3"/>
  <c r="E24" i="3"/>
  <c r="B36" i="3"/>
  <c r="B17" i="3"/>
  <c r="B23" i="3"/>
  <c r="B64" i="3"/>
  <c r="B107" i="3"/>
  <c r="B72" i="3"/>
  <c r="B29" i="3"/>
  <c r="E32" i="3"/>
  <c r="B52" i="3"/>
  <c r="B6" i="3"/>
  <c r="E45" i="3"/>
  <c r="F25" i="3"/>
  <c r="E31" i="3"/>
  <c r="E19" i="3"/>
  <c r="B106" i="3"/>
  <c r="B69" i="3"/>
  <c r="B53" i="3"/>
  <c r="B79" i="3"/>
  <c r="B82" i="3"/>
  <c r="B65" i="3"/>
  <c r="B11" i="3"/>
  <c r="X189" i="12"/>
  <c r="X334" i="12"/>
  <c r="X47" i="12"/>
  <c r="X773" i="12"/>
  <c r="X78" i="12"/>
  <c r="X97" i="12"/>
  <c r="X605" i="12"/>
  <c r="Y605" i="12" s="1"/>
  <c r="X77" i="12"/>
  <c r="X505" i="12"/>
  <c r="X361" i="12"/>
  <c r="Y361" i="12" s="1"/>
  <c r="X353" i="12"/>
  <c r="X340" i="12"/>
  <c r="X388" i="12"/>
  <c r="X271" i="12"/>
  <c r="X223" i="12"/>
  <c r="X240" i="12"/>
  <c r="Y240" i="12" s="1"/>
  <c r="X74" i="12"/>
  <c r="Y74" i="12" s="1"/>
  <c r="X121" i="12"/>
  <c r="X123" i="12"/>
  <c r="X13" i="12"/>
  <c r="X574" i="12"/>
  <c r="X1619" i="12"/>
  <c r="X261" i="12"/>
  <c r="X211" i="12"/>
  <c r="Y211" i="12" s="1"/>
  <c r="X50" i="12"/>
  <c r="X426" i="12"/>
  <c r="X264" i="12"/>
  <c r="X448" i="12"/>
  <c r="X641" i="12"/>
  <c r="Y641" i="12" s="1"/>
  <c r="X757" i="12"/>
  <c r="X174" i="12"/>
  <c r="X154" i="12"/>
  <c r="X369" i="12"/>
  <c r="Y369" i="12" s="1"/>
  <c r="X462" i="12"/>
  <c r="X1081" i="12"/>
  <c r="X134" i="12"/>
  <c r="X413" i="12"/>
  <c r="X404" i="12"/>
  <c r="X908" i="12"/>
  <c r="X9" i="12"/>
  <c r="X76" i="12"/>
  <c r="X811" i="12"/>
  <c r="X64" i="12"/>
  <c r="X66" i="12"/>
  <c r="X764" i="12"/>
  <c r="X302" i="12"/>
  <c r="X441" i="12"/>
  <c r="X309" i="12"/>
  <c r="X544" i="12"/>
  <c r="X213" i="12"/>
  <c r="X659" i="12"/>
  <c r="X615" i="12"/>
  <c r="X545" i="12"/>
  <c r="X860" i="12"/>
  <c r="X967" i="12"/>
  <c r="X809" i="12"/>
  <c r="X733" i="12"/>
  <c r="Y733" i="12" s="1"/>
  <c r="X747" i="12"/>
  <c r="X390" i="12"/>
  <c r="X475" i="12"/>
  <c r="X1210" i="12"/>
  <c r="X966" i="12"/>
  <c r="X53" i="12"/>
  <c r="X259" i="12"/>
  <c r="X267" i="12"/>
  <c r="X787" i="12"/>
  <c r="X282" i="12"/>
  <c r="X136" i="12"/>
  <c r="Y136" i="12" s="1"/>
  <c r="X526" i="12"/>
  <c r="X40" i="12"/>
  <c r="X444" i="12"/>
  <c r="X425" i="12"/>
  <c r="X333" i="12"/>
  <c r="X214" i="12"/>
  <c r="X276" i="12"/>
  <c r="Y276" i="12" s="1"/>
  <c r="X362" i="12"/>
  <c r="X55" i="12"/>
  <c r="X205" i="12"/>
  <c r="X114" i="12"/>
  <c r="X368" i="12"/>
  <c r="X86" i="12"/>
  <c r="E34" i="3"/>
  <c r="F21" i="3"/>
  <c r="B94" i="3"/>
  <c r="B40" i="3"/>
  <c r="E28" i="3"/>
  <c r="F16" i="3"/>
  <c r="F42" i="3"/>
  <c r="B62" i="3"/>
  <c r="B95" i="3"/>
  <c r="B96" i="3"/>
  <c r="B45" i="3"/>
  <c r="B110" i="3"/>
  <c r="B59" i="3"/>
  <c r="B8" i="3"/>
  <c r="E47" i="3"/>
  <c r="B99" i="3"/>
  <c r="B83" i="3"/>
  <c r="F44" i="3"/>
  <c r="F34" i="3"/>
  <c r="E43" i="3"/>
  <c r="E15" i="3"/>
  <c r="E22" i="3"/>
  <c r="E41" i="3"/>
  <c r="B32" i="3"/>
  <c r="B55" i="3"/>
  <c r="B86" i="3"/>
  <c r="B20" i="3"/>
  <c r="B101" i="3"/>
  <c r="B34" i="3"/>
  <c r="E44" i="3"/>
  <c r="F40" i="3"/>
  <c r="B77" i="3"/>
  <c r="B12" i="3"/>
  <c r="F33" i="3"/>
  <c r="F29" i="3"/>
  <c r="F22" i="3"/>
  <c r="E17" i="3"/>
  <c r="B22" i="3"/>
  <c r="B28" i="3"/>
  <c r="B13" i="3"/>
  <c r="B27" i="3"/>
  <c r="B76" i="3"/>
  <c r="B81" i="3"/>
  <c r="E6" i="3"/>
  <c r="X206" i="12"/>
  <c r="X126" i="12"/>
  <c r="Y126" i="12" s="1"/>
  <c r="X520" i="12"/>
  <c r="X869" i="12"/>
  <c r="Y869" i="12" s="1"/>
  <c r="X412" i="12"/>
  <c r="X1092" i="12"/>
  <c r="Y1092" i="12" s="1"/>
  <c r="X768" i="12"/>
  <c r="X326" i="12"/>
  <c r="Y326" i="12" s="1"/>
  <c r="X266" i="12"/>
  <c r="X268" i="12"/>
  <c r="X5" i="12"/>
  <c r="X463" i="12"/>
  <c r="X301" i="12"/>
  <c r="X359" i="12"/>
  <c r="Y359" i="12" s="1"/>
  <c r="X626" i="12"/>
  <c r="X239" i="12"/>
  <c r="X236" i="12"/>
  <c r="X418" i="12"/>
  <c r="X220" i="12"/>
  <c r="X237" i="12"/>
  <c r="X694" i="12"/>
  <c r="X51" i="12"/>
  <c r="X11" i="12"/>
  <c r="X447" i="12"/>
  <c r="X982" i="12"/>
  <c r="X920" i="12"/>
  <c r="X564" i="12"/>
  <c r="X34" i="12"/>
  <c r="X886" i="12"/>
  <c r="Y886" i="12" s="1"/>
  <c r="X257" i="12"/>
  <c r="X548" i="12"/>
  <c r="X67" i="12"/>
  <c r="X238" i="12"/>
  <c r="X299" i="12"/>
  <c r="Y299" i="12" s="1"/>
  <c r="X537" i="12"/>
  <c r="X969" i="12"/>
  <c r="Y969" i="12" s="1"/>
  <c r="X169" i="12"/>
  <c r="X417" i="12"/>
  <c r="Y417" i="12" s="1"/>
  <c r="X530" i="12"/>
  <c r="X112" i="12"/>
  <c r="X181" i="12"/>
  <c r="X351" i="12"/>
  <c r="Y351" i="12" s="1"/>
  <c r="X90" i="12"/>
  <c r="X109" i="12"/>
  <c r="X159" i="12"/>
  <c r="X8" i="12"/>
  <c r="X168" i="12"/>
  <c r="Y168" i="12" s="1"/>
  <c r="X132" i="12"/>
  <c r="X628" i="12"/>
  <c r="X399" i="12"/>
  <c r="X230" i="12"/>
  <c r="X472" i="12"/>
  <c r="X896" i="12"/>
  <c r="X1279" i="12"/>
  <c r="X759" i="12"/>
  <c r="X157" i="12"/>
  <c r="X308" i="12"/>
  <c r="X1140" i="12"/>
  <c r="X566" i="12"/>
  <c r="X102" i="12"/>
  <c r="X277" i="12"/>
  <c r="X218" i="12"/>
  <c r="X175" i="12"/>
  <c r="X1191" i="12"/>
  <c r="X10" i="12"/>
  <c r="X108" i="12"/>
  <c r="Y108" i="12" s="1"/>
  <c r="X324" i="12"/>
  <c r="X187" i="12"/>
  <c r="X84" i="12"/>
  <c r="X65" i="12"/>
  <c r="Y65" i="12" s="1"/>
  <c r="X99" i="12"/>
  <c r="X619" i="12"/>
  <c r="X603" i="12"/>
  <c r="Y603" i="12" s="1"/>
  <c r="X648" i="12"/>
  <c r="X842" i="12"/>
  <c r="Y842" i="12" s="1"/>
  <c r="X420" i="12"/>
  <c r="X305" i="12"/>
  <c r="X296" i="12"/>
  <c r="X1145" i="12"/>
  <c r="X170" i="12"/>
  <c r="X195" i="12"/>
  <c r="X17" i="12"/>
  <c r="X7" i="12"/>
  <c r="X129" i="12"/>
  <c r="Y129" i="12" s="1"/>
  <c r="E30" i="3"/>
  <c r="B18" i="3"/>
  <c r="B49" i="3"/>
  <c r="B63" i="3"/>
  <c r="F18" i="3"/>
  <c r="E29" i="3"/>
  <c r="F30" i="3"/>
  <c r="B87" i="3"/>
  <c r="B10" i="3"/>
  <c r="B73" i="3"/>
  <c r="B24" i="3"/>
  <c r="B58" i="3"/>
  <c r="B71" i="3"/>
  <c r="F41" i="3"/>
  <c r="E20" i="3"/>
  <c r="B35" i="3"/>
  <c r="B50" i="3"/>
  <c r="F36" i="3"/>
  <c r="F32" i="3"/>
  <c r="F31" i="3"/>
  <c r="E46" i="3"/>
  <c r="E16" i="3"/>
  <c r="E21" i="3"/>
  <c r="B30" i="3"/>
  <c r="B25" i="3"/>
  <c r="B61" i="3"/>
  <c r="B39" i="3"/>
  <c r="B105" i="3"/>
  <c r="B46" i="3"/>
  <c r="F23" i="3"/>
  <c r="F47" i="3"/>
  <c r="B103" i="3"/>
  <c r="F17" i="3"/>
  <c r="E27" i="3"/>
  <c r="F26" i="3"/>
  <c r="F45" i="3"/>
  <c r="F15" i="3"/>
  <c r="B92" i="3"/>
  <c r="B15" i="3"/>
  <c r="B43" i="3"/>
  <c r="B14" i="3"/>
  <c r="B80" i="3"/>
  <c r="B37" i="3"/>
  <c r="Y1215" i="12" l="1"/>
  <c r="Y43" i="12"/>
  <c r="Y1815" i="12"/>
  <c r="Y1032" i="12"/>
  <c r="Y1018" i="12"/>
  <c r="Y2117" i="12"/>
  <c r="Y2023" i="12"/>
  <c r="Y2309" i="12"/>
  <c r="Y1711" i="12"/>
  <c r="Y1875" i="12"/>
  <c r="Y2394" i="12"/>
  <c r="Y1381" i="12"/>
  <c r="Y847" i="12"/>
  <c r="Y1405" i="12"/>
  <c r="Y2469" i="12"/>
  <c r="Y1973" i="12"/>
  <c r="Y2262" i="12"/>
  <c r="Y1596" i="12"/>
  <c r="Y2359" i="12"/>
  <c r="Y2107" i="12"/>
  <c r="Y1729" i="12"/>
  <c r="Y2301" i="12"/>
  <c r="Y1205" i="12"/>
  <c r="Y2523" i="12"/>
  <c r="Y1309" i="12"/>
  <c r="Y1905" i="12"/>
  <c r="Y237" i="12"/>
  <c r="Y492" i="12"/>
  <c r="Y234" i="12"/>
  <c r="Y623" i="12"/>
  <c r="Y798" i="12"/>
  <c r="Y2626" i="12"/>
  <c r="Y1844" i="12"/>
  <c r="Y1472" i="12"/>
  <c r="Y1985" i="12"/>
  <c r="Y2185" i="12"/>
  <c r="Y2451" i="12"/>
  <c r="Y1937" i="12"/>
  <c r="Y1807" i="12"/>
  <c r="Y2436" i="12"/>
  <c r="Y2267" i="12"/>
  <c r="Y135" i="12"/>
  <c r="Y820" i="12"/>
  <c r="Y104" i="12"/>
  <c r="Y788" i="12"/>
  <c r="Y1071" i="12"/>
  <c r="Y852" i="12"/>
  <c r="Y999" i="12"/>
  <c r="Y719" i="12"/>
  <c r="Y1188" i="12"/>
  <c r="Y1771" i="12"/>
  <c r="Y2588" i="12"/>
  <c r="Y11" i="12"/>
  <c r="Y66" i="12"/>
  <c r="Y298" i="12"/>
  <c r="Y1061" i="12"/>
  <c r="Y327" i="12"/>
  <c r="Y898" i="12"/>
  <c r="Y790" i="12"/>
  <c r="Y470" i="12"/>
  <c r="Y1918" i="12"/>
  <c r="Y217" i="12"/>
  <c r="Y116" i="12"/>
  <c r="Y164" i="12"/>
  <c r="Y930" i="12"/>
  <c r="Y521" i="12"/>
  <c r="Y781" i="12"/>
  <c r="Y1531" i="12"/>
  <c r="Y274" i="12"/>
  <c r="Y131" i="12"/>
  <c r="Y229" i="12"/>
  <c r="Y1526" i="12"/>
  <c r="Y1166" i="12"/>
  <c r="Y1038" i="12"/>
  <c r="Y597" i="12"/>
  <c r="Y1795" i="12"/>
  <c r="Y1352" i="12"/>
  <c r="Y1095" i="12"/>
  <c r="Y287" i="12"/>
  <c r="Y830" i="12"/>
  <c r="Y1788" i="12"/>
  <c r="Y1074" i="12"/>
  <c r="Y1108" i="12"/>
  <c r="Y531" i="12"/>
  <c r="Y1217" i="12"/>
  <c r="Y1776" i="12"/>
  <c r="Y1373" i="12"/>
  <c r="Y1583" i="12"/>
  <c r="Y840" i="12"/>
  <c r="Y2249" i="12"/>
  <c r="Y1752" i="12"/>
  <c r="Y2020" i="12"/>
  <c r="Y1753" i="12"/>
  <c r="Y2253" i="12"/>
  <c r="Y2419" i="12"/>
  <c r="Y1256" i="12"/>
  <c r="Y2533" i="12"/>
  <c r="Y1989" i="12"/>
  <c r="Y2324" i="12"/>
  <c r="Y1328" i="12"/>
  <c r="Y2602" i="12"/>
  <c r="Y2356" i="12"/>
  <c r="Y1618" i="12"/>
  <c r="Y84" i="12"/>
  <c r="Y426" i="12"/>
  <c r="Y988" i="12"/>
  <c r="Y608" i="12"/>
  <c r="Y1103" i="12"/>
  <c r="Y1099" i="12"/>
  <c r="Y4" i="12"/>
  <c r="Y1076" i="12"/>
  <c r="Y184" i="12"/>
  <c r="Y161" i="12"/>
  <c r="Y63" i="12"/>
  <c r="Y2542" i="12"/>
  <c r="Y1230" i="12"/>
  <c r="Y987" i="12"/>
  <c r="Y2518" i="12"/>
  <c r="Y994" i="12"/>
  <c r="Y297" i="12"/>
  <c r="Y1059" i="12"/>
  <c r="Y903" i="12"/>
  <c r="Y224" i="12"/>
  <c r="Y907" i="12"/>
  <c r="Y573" i="12"/>
  <c r="Y932" i="12"/>
  <c r="Y707" i="12"/>
  <c r="Y2174" i="12"/>
  <c r="Y1182" i="12"/>
  <c r="Y1105" i="12"/>
  <c r="Y2154" i="12"/>
  <c r="Y2046" i="12"/>
  <c r="Y410" i="12"/>
  <c r="Y375" i="12"/>
  <c r="Y2414" i="12"/>
  <c r="Y1720" i="12"/>
  <c r="Y770" i="12"/>
  <c r="Y2003" i="12"/>
  <c r="Y384" i="12"/>
  <c r="Y2618" i="12"/>
  <c r="Y2475" i="12"/>
  <c r="Y2103" i="12"/>
  <c r="Y1157" i="12"/>
  <c r="Y1885" i="12"/>
  <c r="Y1264" i="12"/>
  <c r="Y1819" i="12"/>
  <c r="Y2652" i="12"/>
  <c r="Y2365" i="12"/>
  <c r="Y2466" i="12"/>
  <c r="Y2156" i="12"/>
  <c r="Y1865" i="12"/>
  <c r="Y1245" i="12"/>
  <c r="Y1873" i="12"/>
  <c r="Y2345" i="12"/>
  <c r="Y1570" i="12"/>
  <c r="Y2313" i="12"/>
  <c r="Y305" i="12"/>
  <c r="Y268" i="12"/>
  <c r="Y821" i="12"/>
  <c r="Y518" i="12"/>
  <c r="Y198" i="12"/>
  <c r="Y780" i="12"/>
  <c r="Y395" i="12"/>
  <c r="Y1118" i="12"/>
  <c r="Y498" i="12"/>
  <c r="Y607" i="12"/>
  <c r="Y1028" i="12"/>
  <c r="Y34" i="12"/>
  <c r="Y773" i="12"/>
  <c r="Y290" i="12"/>
  <c r="Y221" i="12"/>
  <c r="Y913" i="12"/>
  <c r="Y454" i="12"/>
  <c r="Y948" i="12"/>
  <c r="Y439" i="12"/>
  <c r="Y530" i="12"/>
  <c r="Y625" i="12"/>
  <c r="Y280" i="12"/>
  <c r="Y764" i="12"/>
  <c r="Y900" i="12"/>
  <c r="Y949" i="12"/>
  <c r="Y243" i="12"/>
  <c r="Y336" i="12"/>
  <c r="Y162" i="12"/>
  <c r="Y372" i="12"/>
  <c r="Y557" i="12"/>
  <c r="Y853" i="12"/>
  <c r="Y418" i="12"/>
  <c r="Y801" i="12"/>
  <c r="Y1958" i="12"/>
  <c r="Y2048" i="12"/>
  <c r="Y555" i="12"/>
  <c r="Y1033" i="12"/>
  <c r="Y176" i="12"/>
  <c r="Y539" i="12"/>
  <c r="Y1343" i="12"/>
  <c r="Y1210" i="12"/>
  <c r="Y451" i="12"/>
  <c r="Y700" i="12"/>
  <c r="Y1274" i="12"/>
  <c r="Y1595" i="12"/>
  <c r="Y542" i="12"/>
  <c r="Y1879" i="12"/>
  <c r="Y1083" i="12"/>
  <c r="Y53" i="12"/>
  <c r="Y1195" i="12"/>
  <c r="Y320" i="12"/>
  <c r="Y2270" i="12"/>
  <c r="Y2584" i="12"/>
  <c r="Y1096" i="12"/>
  <c r="Y261" i="12"/>
  <c r="Y661" i="12"/>
  <c r="Y649" i="12"/>
  <c r="Y509" i="12"/>
  <c r="Y753" i="12"/>
  <c r="Y2310" i="12"/>
  <c r="Y1870" i="12"/>
  <c r="Y173" i="12"/>
  <c r="Y44" i="12"/>
  <c r="Y868" i="12"/>
  <c r="Y1045" i="12"/>
  <c r="Y122" i="12"/>
  <c r="Y310" i="12"/>
  <c r="Y983" i="12"/>
  <c r="Y64" i="12"/>
  <c r="Y516" i="12"/>
  <c r="Y134" i="12"/>
  <c r="Y566" i="12"/>
  <c r="Y572" i="12"/>
  <c r="Y873" i="12"/>
  <c r="Y878" i="12"/>
  <c r="Y248" i="12"/>
  <c r="Y1881" i="12"/>
  <c r="Y501" i="12"/>
  <c r="Y534" i="12"/>
  <c r="Y171" i="12"/>
  <c r="Y955" i="12"/>
  <c r="Y36" i="12"/>
  <c r="Y87" i="12"/>
  <c r="Y368" i="12"/>
  <c r="Y676" i="12"/>
  <c r="Y635" i="12"/>
  <c r="Y634" i="12"/>
  <c r="Y745" i="12"/>
  <c r="Y674" i="12"/>
  <c r="Y76" i="12"/>
  <c r="Y656" i="12"/>
  <c r="Y1027" i="12"/>
  <c r="Y2158" i="12"/>
  <c r="Y1186" i="12"/>
  <c r="Y158" i="12"/>
  <c r="Y1893" i="12"/>
  <c r="Y1496" i="12"/>
  <c r="Y177" i="12"/>
  <c r="Y951" i="12"/>
  <c r="Y1089" i="12"/>
  <c r="Y195" i="12"/>
  <c r="Y553" i="12"/>
  <c r="Y365" i="12"/>
  <c r="Y2206" i="12"/>
  <c r="Y758" i="12"/>
  <c r="Y687" i="12"/>
  <c r="Y1625" i="12"/>
  <c r="Y469" i="12"/>
  <c r="Y1270" i="12"/>
  <c r="Y1826" i="12"/>
  <c r="Y2175" i="12"/>
  <c r="Y192" i="12"/>
  <c r="Y1144" i="12"/>
  <c r="Y2062" i="12"/>
  <c r="Y289" i="12"/>
  <c r="Y1990" i="12"/>
  <c r="Y750" i="12"/>
  <c r="Y1355" i="12"/>
  <c r="Y1616" i="12"/>
  <c r="Y1057" i="12"/>
  <c r="Y239" i="12"/>
  <c r="Y1237" i="12"/>
  <c r="Y891" i="12"/>
  <c r="Y2506" i="12"/>
  <c r="Y2179" i="12"/>
  <c r="Y1060" i="12"/>
  <c r="Y1358" i="12"/>
  <c r="Y47" i="12"/>
  <c r="Y933" i="12"/>
  <c r="Y1268" i="12"/>
  <c r="Y324" i="12"/>
  <c r="Y1184" i="12"/>
  <c r="Y1001" i="12"/>
  <c r="Y1431" i="12"/>
  <c r="Y2278" i="12"/>
  <c r="Y2563" i="12"/>
  <c r="Y213" i="12"/>
  <c r="Y1928" i="12"/>
  <c r="Y2468" i="12"/>
  <c r="Y1382" i="12"/>
  <c r="Y1831" i="12"/>
  <c r="Y1471" i="12"/>
  <c r="Y2470" i="12"/>
  <c r="Y2193" i="12"/>
  <c r="Y1126" i="12"/>
  <c r="Y1537" i="12"/>
  <c r="Y200" i="12"/>
  <c r="Y964" i="12"/>
  <c r="Y848" i="12"/>
  <c r="Y743" i="12"/>
  <c r="Y942" i="12"/>
  <c r="Y510" i="12"/>
  <c r="Y786" i="12"/>
  <c r="Y1974" i="12"/>
  <c r="Y1338" i="12"/>
  <c r="Y2051" i="12"/>
  <c r="Y252" i="12"/>
  <c r="Y1125" i="12"/>
  <c r="Y1698" i="12"/>
  <c r="Y846" i="12"/>
  <c r="Y517" i="12"/>
  <c r="Y1284" i="12"/>
  <c r="Y877" i="12"/>
  <c r="Y1769" i="12"/>
  <c r="Y1149" i="12"/>
  <c r="Y1588" i="12"/>
  <c r="Y1104" i="12"/>
  <c r="Y1632" i="12"/>
  <c r="Y972" i="12"/>
  <c r="Y2141" i="12"/>
  <c r="Y1848" i="12"/>
  <c r="Y488" i="12"/>
  <c r="Y1539" i="12"/>
  <c r="Y621" i="12"/>
  <c r="Y1858" i="12"/>
  <c r="Y477" i="12"/>
  <c r="Y2198" i="12"/>
  <c r="Y38" i="12"/>
  <c r="Y458" i="12"/>
  <c r="Y778" i="12"/>
  <c r="Y1806" i="12"/>
  <c r="Y708" i="12"/>
  <c r="Y303" i="12"/>
  <c r="Y2138" i="12"/>
  <c r="Y751" i="12"/>
  <c r="Y2305" i="12"/>
  <c r="Y127" i="12"/>
  <c r="Y1054" i="12"/>
  <c r="Y154" i="12"/>
  <c r="Y1955" i="12"/>
  <c r="Y246" i="12"/>
  <c r="Y2577" i="12"/>
  <c r="Y2142" i="12"/>
  <c r="Y1434" i="12"/>
  <c r="Y109" i="12"/>
  <c r="Y1468" i="12"/>
  <c r="Y242" i="12"/>
  <c r="Y1868" i="12"/>
  <c r="Y626" i="12"/>
  <c r="Y1853" i="12"/>
  <c r="Y2411" i="12"/>
  <c r="Y1842" i="12"/>
  <c r="Y1128" i="12"/>
  <c r="Y1666" i="12"/>
  <c r="Y1999" i="12"/>
  <c r="Y2519" i="12"/>
  <c r="Y275" i="12"/>
  <c r="Y1657" i="12"/>
  <c r="Y1954" i="12"/>
  <c r="Y387" i="12"/>
  <c r="Y841" i="12"/>
  <c r="Y378" i="12"/>
  <c r="Y1320" i="12"/>
  <c r="Y172" i="12"/>
  <c r="Y385" i="12"/>
  <c r="Y1323" i="12"/>
  <c r="Y1659" i="12"/>
  <c r="Y532" i="12"/>
  <c r="Y8" i="12"/>
  <c r="Y325" i="12"/>
  <c r="Y62" i="12"/>
  <c r="Y2336" i="12"/>
  <c r="Y1934" i="12"/>
  <c r="Y1424" i="12"/>
  <c r="Y943" i="12"/>
  <c r="Y179" i="12"/>
  <c r="Y1605" i="12"/>
  <c r="Y1686" i="12"/>
  <c r="Y132" i="12"/>
  <c r="Y2016" i="12"/>
  <c r="Y855" i="12"/>
  <c r="Y2378" i="12"/>
  <c r="Y2092" i="12"/>
  <c r="Y1378" i="12"/>
  <c r="Y1101" i="12"/>
  <c r="Y1511" i="12"/>
  <c r="Y1428" i="12"/>
  <c r="Y1748" i="12"/>
  <c r="Y2009" i="12"/>
  <c r="Y1818" i="12"/>
  <c r="Y1679" i="12"/>
  <c r="Y2005" i="12"/>
  <c r="Y2213" i="12"/>
  <c r="Y306" i="12"/>
  <c r="Y729" i="12"/>
  <c r="Y507" i="12"/>
  <c r="Y1248" i="12"/>
  <c r="Y720" i="12"/>
  <c r="Y1460" i="12"/>
  <c r="Y56" i="12"/>
  <c r="Y463" i="12"/>
  <c r="Y1353" i="12"/>
  <c r="Y1763" i="12"/>
  <c r="Y2453" i="12"/>
  <c r="Y2019" i="12"/>
  <c r="Y1790" i="12"/>
  <c r="Y403" i="12"/>
  <c r="Y679" i="12"/>
  <c r="Y1829" i="12"/>
  <c r="Y1597" i="12"/>
  <c r="Y1774" i="12"/>
  <c r="Y664" i="12"/>
  <c r="Y1313" i="12"/>
  <c r="Y904" i="12"/>
  <c r="Y630" i="12"/>
  <c r="Y870" i="12"/>
  <c r="Y499" i="12"/>
  <c r="Y2463" i="12"/>
  <c r="Y2217" i="12"/>
  <c r="Y2461" i="12"/>
  <c r="Y1388" i="12"/>
  <c r="Y1374" i="12"/>
  <c r="Y511" i="12"/>
  <c r="Y1680" i="12"/>
  <c r="Y2408" i="12"/>
  <c r="Y669" i="12"/>
  <c r="Y1841" i="12"/>
  <c r="Y1156" i="12"/>
  <c r="Y2129" i="12"/>
  <c r="Y2538" i="12"/>
  <c r="Y1365" i="12"/>
  <c r="Y1068" i="12"/>
  <c r="Y2377" i="12"/>
  <c r="Y1160" i="12"/>
  <c r="Y1994" i="12"/>
  <c r="Y2444" i="12"/>
  <c r="Y1962" i="12"/>
  <c r="Y141" i="12"/>
  <c r="Y2096" i="12"/>
  <c r="Y353" i="12"/>
  <c r="Y1598" i="12"/>
  <c r="Y1975" i="12"/>
  <c r="Y2398" i="12"/>
  <c r="Y2184" i="12"/>
  <c r="Y2344" i="12"/>
  <c r="Y616" i="12"/>
  <c r="Y2299" i="12"/>
  <c r="Y2446" i="12"/>
  <c r="Y1697" i="12"/>
  <c r="Y1669" i="12"/>
  <c r="Y638" i="12"/>
  <c r="Y444" i="12"/>
  <c r="Y2012" i="12"/>
  <c r="Y576" i="12"/>
  <c r="Y2572" i="12"/>
  <c r="Y1311" i="12"/>
  <c r="Y1783" i="12"/>
  <c r="Y2447" i="12"/>
  <c r="Y2122" i="12"/>
  <c r="Y1976" i="12"/>
  <c r="Y186" i="12"/>
  <c r="Y111" i="12"/>
  <c r="Y1286" i="12"/>
  <c r="Y2227" i="12"/>
  <c r="Y420" i="12"/>
  <c r="Y1854" i="12"/>
  <c r="Y1180" i="12"/>
  <c r="Y1173" i="12"/>
  <c r="Y2553" i="12"/>
  <c r="Y2189" i="12"/>
  <c r="Y1151" i="12"/>
  <c r="Y2462" i="12"/>
  <c r="Y1255" i="12"/>
  <c r="Y1016" i="12"/>
  <c r="Y1053" i="12"/>
  <c r="Y1117" i="12"/>
  <c r="Y1638" i="12"/>
  <c r="Y765" i="12"/>
  <c r="Y2597" i="12"/>
  <c r="Y2315" i="12"/>
  <c r="Y2600" i="12"/>
  <c r="Y2223" i="12"/>
  <c r="Y2153" i="12"/>
  <c r="Y1219" i="12"/>
  <c r="Y2063" i="12"/>
  <c r="Y1690" i="12"/>
  <c r="Y2637" i="12"/>
  <c r="Y2231" i="12"/>
  <c r="Y2171" i="12"/>
  <c r="Y2548" i="12"/>
  <c r="Y1557" i="12"/>
  <c r="Y1100" i="12"/>
  <c r="Y2425" i="12"/>
  <c r="Y1683" i="12"/>
  <c r="Y90" i="12"/>
  <c r="Y1035" i="12"/>
  <c r="Y210" i="12"/>
  <c r="Y1072" i="12"/>
  <c r="Y1069" i="12"/>
  <c r="Y1281" i="12"/>
  <c r="Y2083" i="12"/>
  <c r="Y2585" i="12"/>
  <c r="Y2368" i="12"/>
  <c r="Y144" i="12"/>
  <c r="Y1968" i="12"/>
  <c r="Y1423" i="12"/>
  <c r="Y394" i="12"/>
  <c r="Y2567" i="12"/>
  <c r="Y2392" i="12"/>
  <c r="Y1742" i="12"/>
  <c r="Y1347" i="12"/>
  <c r="Y2509" i="12"/>
  <c r="Y2367" i="12"/>
  <c r="Y1917" i="12"/>
  <c r="Y1304" i="12"/>
  <c r="Y1330" i="12"/>
  <c r="Y2372" i="12"/>
  <c r="Y1341" i="12"/>
  <c r="Y1247" i="12"/>
  <c r="Y1043" i="12"/>
  <c r="Y1502" i="12"/>
  <c r="Y527" i="12"/>
  <c r="Y746" i="12"/>
  <c r="Y1116" i="12"/>
  <c r="Y49" i="12"/>
  <c r="Y1337" i="12"/>
  <c r="Y1699" i="12"/>
  <c r="Y2583" i="12"/>
  <c r="Y1004" i="12"/>
  <c r="Y1372" i="12"/>
  <c r="Y1861" i="12"/>
  <c r="Y2536" i="12"/>
  <c r="Y1131" i="12"/>
  <c r="Y1300" i="12"/>
  <c r="Y2612" i="12"/>
  <c r="Y1671" i="12"/>
  <c r="Y952" i="12"/>
  <c r="Y2450" i="12"/>
  <c r="Y1518" i="12"/>
  <c r="Y1636" i="12"/>
  <c r="Y1673" i="12"/>
  <c r="Y1439" i="12"/>
  <c r="Y795" i="12"/>
  <c r="Y1529" i="12"/>
  <c r="Y1443" i="12"/>
  <c r="Y2264" i="12"/>
  <c r="Y2097" i="12"/>
  <c r="Y1886" i="12"/>
  <c r="Y2457" i="12"/>
  <c r="Y2265" i="12"/>
  <c r="Y1163" i="12"/>
  <c r="Y2136" i="12"/>
  <c r="Y1814" i="12"/>
  <c r="Y331" i="12"/>
  <c r="Y1736" i="12"/>
  <c r="Y931" i="12"/>
  <c r="Y2148" i="12"/>
  <c r="Y1474" i="12"/>
  <c r="Y1322" i="12"/>
  <c r="Y2349" i="12"/>
  <c r="Y1258" i="12"/>
  <c r="Y209" i="12"/>
  <c r="Y1745" i="12"/>
  <c r="Y854" i="12"/>
  <c r="Y1941" i="12"/>
  <c r="Y1688" i="12"/>
  <c r="Y32" i="12"/>
  <c r="Y816" i="12"/>
  <c r="Y2526" i="12"/>
  <c r="Y1530" i="12"/>
  <c r="Y1642" i="12"/>
  <c r="Y1773" i="12"/>
  <c r="Y2613" i="12"/>
  <c r="Y2251" i="12"/>
  <c r="Y1607" i="12"/>
  <c r="Y1508" i="12"/>
  <c r="Y590" i="12"/>
  <c r="Y2045" i="12"/>
  <c r="Y1385" i="12"/>
  <c r="Y2054" i="12"/>
  <c r="Y2546" i="12"/>
  <c r="Y2561" i="12"/>
  <c r="Y1129" i="12"/>
  <c r="Y2162" i="12"/>
  <c r="Y1503" i="12"/>
  <c r="Y2216" i="12"/>
  <c r="Y665" i="12"/>
  <c r="Y30" i="12"/>
  <c r="Y2554" i="12"/>
  <c r="Y140" i="12"/>
  <c r="Y1142" i="12"/>
  <c r="Y1676" i="12"/>
  <c r="Y2230" i="12"/>
  <c r="Y736" i="12"/>
  <c r="Y2412" i="12"/>
  <c r="Y2182" i="12"/>
  <c r="Y2355" i="12"/>
  <c r="Y2044" i="12"/>
  <c r="Y205" i="12"/>
  <c r="Y2494" i="12"/>
  <c r="Y1921" i="12"/>
  <c r="Y1846" i="12"/>
  <c r="Y214" i="12"/>
  <c r="Y1106" i="12"/>
  <c r="Y1194" i="12"/>
  <c r="Y2119" i="12"/>
  <c r="Y1152" i="12"/>
  <c r="Y2033" i="12"/>
  <c r="Y1025" i="12"/>
  <c r="Y1294" i="12"/>
  <c r="Y2353" i="12"/>
  <c r="Y1800" i="12"/>
  <c r="Y2570" i="12"/>
  <c r="Y1969" i="12"/>
  <c r="Y829" i="12"/>
  <c r="Y1834" i="12"/>
  <c r="Y921" i="12"/>
  <c r="Y747" i="12"/>
  <c r="Y2340" i="12"/>
  <c r="Y807" i="12"/>
  <c r="Y2258" i="12"/>
  <c r="Y2053" i="12"/>
  <c r="Y411" i="12"/>
  <c r="Y1766" i="12"/>
  <c r="Y654" i="12"/>
  <c r="Y640" i="12"/>
  <c r="Y2586" i="12"/>
  <c r="Y1019" i="12"/>
  <c r="Y2357" i="12"/>
  <c r="Y1528" i="12"/>
  <c r="Y1965" i="12"/>
  <c r="Y1768" i="12"/>
  <c r="Y1646" i="12"/>
  <c r="Y2397" i="12"/>
  <c r="Y1825" i="12"/>
  <c r="Y2615" i="12"/>
  <c r="Y1432" i="12"/>
  <c r="Y121" i="12"/>
  <c r="Y880" i="12"/>
  <c r="Y1609" i="12"/>
  <c r="Y343" i="12"/>
  <c r="Y2052" i="12"/>
  <c r="Y1709" i="12"/>
  <c r="Y2090" i="12"/>
  <c r="Y2644" i="12"/>
  <c r="Y2417" i="12"/>
  <c r="Y1821" i="12"/>
  <c r="Y230" i="12"/>
  <c r="Y794" i="12"/>
  <c r="Y2386" i="12"/>
  <c r="Y2191" i="12"/>
  <c r="Y936" i="12"/>
  <c r="Y2431" i="12"/>
  <c r="Y1489" i="12"/>
  <c r="Y1993" i="12"/>
  <c r="Y123" i="12"/>
  <c r="Y757" i="12"/>
  <c r="Y1140" i="12"/>
  <c r="Y120" i="12"/>
  <c r="Y78" i="12"/>
  <c r="Y967" i="12"/>
  <c r="Y550" i="12"/>
  <c r="Y562" i="12"/>
  <c r="Y323" i="12"/>
  <c r="Y27" i="12"/>
  <c r="Y374" i="12"/>
  <c r="Y457" i="12"/>
  <c r="Y865" i="12"/>
  <c r="Y427" i="12"/>
  <c r="Y459" i="12"/>
  <c r="Y436" i="12"/>
  <c r="Y677" i="12"/>
  <c r="Y137" i="12"/>
  <c r="Y370" i="12"/>
  <c r="Y352" i="12"/>
  <c r="Y1214" i="12"/>
  <c r="Y347" i="12"/>
  <c r="Y1124" i="12"/>
  <c r="Y593" i="12"/>
  <c r="Y390" i="12"/>
  <c r="Y1172" i="12"/>
  <c r="Y1012" i="12"/>
  <c r="Y386" i="12"/>
  <c r="Y528" i="12"/>
  <c r="Y227" i="12"/>
  <c r="Y114" i="12"/>
  <c r="Y475" i="12"/>
  <c r="Y54" i="12"/>
  <c r="Y667" i="12"/>
  <c r="Y1102" i="12"/>
  <c r="Y513" i="12"/>
  <c r="Y105" i="12"/>
  <c r="Y277" i="12"/>
  <c r="Y689" i="12"/>
  <c r="Y678" i="12"/>
  <c r="Y497" i="12"/>
  <c r="Y1013" i="12"/>
  <c r="Y145" i="12"/>
  <c r="Y174" i="12"/>
  <c r="Y965" i="12"/>
  <c r="Y545" i="12"/>
  <c r="Y1065" i="12"/>
  <c r="Y1159" i="12"/>
  <c r="Y452" i="12"/>
  <c r="Y152" i="12"/>
  <c r="Y1007" i="12"/>
  <c r="Y1762" i="12"/>
  <c r="Y1798" i="12"/>
  <c r="Y430" i="12"/>
  <c r="Y962" i="12"/>
  <c r="Y1236" i="12"/>
  <c r="Y2376" i="12"/>
  <c r="Y2598" i="12"/>
  <c r="Y763" i="12"/>
  <c r="Y644" i="12"/>
  <c r="Y1663" i="12"/>
  <c r="Y2362" i="12"/>
  <c r="Y151" i="12"/>
  <c r="Y1580" i="12"/>
  <c r="Y537" i="12"/>
  <c r="Y14" i="12"/>
  <c r="Y926" i="12"/>
  <c r="Y429" i="12"/>
  <c r="Y1138" i="12"/>
  <c r="Y953" i="12"/>
  <c r="Y373" i="12"/>
  <c r="Y215" i="12"/>
  <c r="Y629" i="12"/>
  <c r="Y1211" i="12"/>
  <c r="Y1579" i="12"/>
  <c r="Y46" i="12"/>
  <c r="Y340" i="12"/>
  <c r="Y2238" i="12"/>
  <c r="Y2544" i="12"/>
  <c r="Y357" i="12"/>
  <c r="Y741" i="12"/>
  <c r="Y2358" i="12"/>
  <c r="Y2272" i="12"/>
  <c r="Y813" i="12"/>
  <c r="Y476" i="12"/>
  <c r="Y675" i="12"/>
  <c r="Y839" i="12"/>
  <c r="Y156" i="12"/>
  <c r="Y16" i="12"/>
  <c r="Y809" i="12"/>
  <c r="Y1079" i="12"/>
  <c r="Y1306" i="12"/>
  <c r="Y1634" i="12"/>
  <c r="Y333" i="12"/>
  <c r="Y1408" i="12"/>
  <c r="Y1779" i="12"/>
  <c r="Y845" i="12"/>
  <c r="Y1263" i="12"/>
  <c r="Y3" i="12"/>
  <c r="Y1340" i="12"/>
  <c r="Y1660" i="12"/>
  <c r="Y304" i="12"/>
  <c r="Y980" i="12"/>
  <c r="Y2214" i="12"/>
  <c r="Y1987" i="12"/>
  <c r="Y1127" i="12"/>
  <c r="Y257" i="12"/>
  <c r="Y67" i="12"/>
  <c r="Y981" i="12"/>
  <c r="Y604" i="12"/>
  <c r="Y818" i="12"/>
  <c r="Y139" i="12"/>
  <c r="Y655" i="12"/>
  <c r="Y1150" i="12"/>
  <c r="Y701" i="12"/>
  <c r="Y180" i="12"/>
  <c r="Y945" i="12"/>
  <c r="Y189" i="12"/>
  <c r="Y512" i="12"/>
  <c r="Y1073" i="12"/>
  <c r="Y266" i="12"/>
  <c r="Y18" i="12"/>
  <c r="Y175" i="12"/>
  <c r="Y535" i="12"/>
  <c r="Y647" i="12"/>
  <c r="Y769" i="12"/>
  <c r="Y1910" i="12"/>
  <c r="Y1992" i="12"/>
  <c r="Y2210" i="12"/>
  <c r="Y219" i="12"/>
  <c r="Y93" i="12"/>
  <c r="Y554" i="12"/>
  <c r="Y1242" i="12"/>
  <c r="Y2320" i="12"/>
  <c r="Y286" i="12"/>
  <c r="Y1155" i="12"/>
  <c r="Y2489" i="12"/>
  <c r="Y167" i="12"/>
  <c r="Y1008" i="12"/>
  <c r="Y40" i="12"/>
  <c r="Y1857" i="12"/>
  <c r="Y1170" i="12"/>
  <c r="Y1204" i="12"/>
  <c r="Y464" i="12"/>
  <c r="Y1714" i="12"/>
  <c r="Y937" i="12"/>
  <c r="Y767" i="12"/>
  <c r="Y727" i="12"/>
  <c r="Y1475" i="12"/>
  <c r="Y990" i="12"/>
  <c r="Y685" i="12"/>
  <c r="Y1360" i="12"/>
  <c r="Y1796" i="12"/>
  <c r="Y2" i="12"/>
  <c r="Y106" i="12"/>
  <c r="Y1451" i="12"/>
  <c r="Y2528" i="12"/>
  <c r="Y2531" i="12"/>
  <c r="Y966" i="12"/>
  <c r="Y1522" i="12"/>
  <c r="Y1593" i="12"/>
  <c r="Y2393" i="12"/>
  <c r="Y1351" i="12"/>
  <c r="Y1750" i="12"/>
  <c r="Y923" i="12"/>
  <c r="Y594" i="12"/>
  <c r="Y2104" i="12"/>
  <c r="Y241" i="12"/>
  <c r="Y1193" i="12"/>
  <c r="Y308" i="12"/>
  <c r="Y1123" i="12"/>
  <c r="Y2202" i="12"/>
  <c r="Y800" i="12"/>
  <c r="Y236" i="12"/>
  <c r="Y2492" i="12"/>
  <c r="Y2057" i="12"/>
  <c r="Y2126" i="12"/>
  <c r="Y811" i="12"/>
  <c r="Y160" i="12"/>
  <c r="Y1602" i="12"/>
  <c r="Y264" i="12"/>
  <c r="Y396" i="12"/>
  <c r="Y2638" i="12"/>
  <c r="Y2038" i="12"/>
  <c r="Y1476" i="12"/>
  <c r="Y2239" i="12"/>
  <c r="Y1527" i="12"/>
  <c r="Y2407" i="12"/>
  <c r="Y2151" i="12"/>
  <c r="Y1808" i="12"/>
  <c r="Y1430" i="12"/>
  <c r="Y2095" i="12"/>
  <c r="Y102" i="12"/>
  <c r="Y2130" i="12"/>
  <c r="Y1874" i="12"/>
  <c r="Y79" i="12"/>
  <c r="Y690" i="12"/>
  <c r="Y2348" i="12"/>
  <c r="Y1146" i="12"/>
  <c r="Y1162" i="12"/>
  <c r="Y485" i="12"/>
  <c r="Y107" i="12"/>
  <c r="Y1792" i="12"/>
  <c r="Y1931" i="12"/>
  <c r="Y650" i="12"/>
  <c r="Y1359" i="12"/>
  <c r="Y2406" i="12"/>
  <c r="Y1321" i="12"/>
  <c r="Y362" i="12"/>
  <c r="Y706" i="12"/>
  <c r="Y1933" i="12"/>
  <c r="Y1364" i="12"/>
  <c r="Y2014" i="12"/>
  <c r="Y755" i="12"/>
  <c r="Y1677" i="12"/>
  <c r="Y1458" i="12"/>
  <c r="Y2403" i="12"/>
  <c r="Y1132" i="12"/>
  <c r="Y1394" i="12"/>
  <c r="Y2427" i="12"/>
  <c r="Y1988" i="12"/>
  <c r="Y1687" i="12"/>
  <c r="Y2187" i="12"/>
  <c r="Y2549" i="12"/>
  <c r="Y1206" i="12"/>
  <c r="Y925" i="12"/>
  <c r="Y812" i="12"/>
  <c r="Y1377" i="12"/>
  <c r="Y1626" i="12"/>
  <c r="Y2157" i="12"/>
  <c r="Y467" i="12"/>
  <c r="Y2592" i="12"/>
  <c r="Y2047" i="12"/>
  <c r="Y2255" i="12"/>
  <c r="Y1664" i="12"/>
  <c r="Y670" i="12"/>
  <c r="Y1279" i="12"/>
  <c r="Y1429" i="12"/>
  <c r="Y1107" i="12"/>
  <c r="Y1051" i="12"/>
  <c r="Y1174" i="12"/>
  <c r="Y288" i="12"/>
  <c r="Y1536" i="12"/>
  <c r="Y1859" i="12"/>
  <c r="Y1375" i="12"/>
  <c r="Y520" i="12"/>
  <c r="Y1667" i="12"/>
  <c r="Y317" i="12"/>
  <c r="Y1058" i="12"/>
  <c r="Y238" i="12"/>
  <c r="Y1629" i="12"/>
  <c r="Y1601" i="12"/>
  <c r="Y502" i="12"/>
  <c r="Y2013" i="12"/>
  <c r="Y782" i="12"/>
  <c r="Y2208" i="12"/>
  <c r="Y1278" i="12"/>
  <c r="Y1492" i="12"/>
  <c r="Y2160" i="12"/>
  <c r="Y1822" i="12"/>
  <c r="Y2318" i="12"/>
  <c r="Y935" i="12"/>
  <c r="Y2555" i="12"/>
  <c r="Y2503" i="12"/>
  <c r="Y2449" i="12"/>
  <c r="Y738" i="12"/>
  <c r="Y412" i="12"/>
  <c r="Y1640" i="12"/>
  <c r="Y259" i="12"/>
  <c r="Y339" i="12"/>
  <c r="Y296" i="12"/>
  <c r="Y1168" i="12"/>
  <c r="Y1367" i="12"/>
  <c r="Y81" i="12"/>
  <c r="Y819" i="12"/>
  <c r="Y1178" i="12"/>
  <c r="Y653" i="12"/>
  <c r="Y2413" i="12"/>
  <c r="Y808" i="12"/>
  <c r="Y2424" i="12"/>
  <c r="Y1370" i="12"/>
  <c r="Y1898" i="12"/>
  <c r="Y2374" i="12"/>
  <c r="Y7" i="12"/>
  <c r="Y2028" i="12"/>
  <c r="Y2147" i="12"/>
  <c r="Y2316" i="12"/>
  <c r="Y920" i="12"/>
  <c r="Y51" i="12"/>
  <c r="Y954" i="12"/>
  <c r="Y1481" i="12"/>
  <c r="Y1244" i="12"/>
  <c r="Y1389" i="12"/>
  <c r="Y2086" i="12"/>
  <c r="Y2366" i="12"/>
  <c r="Y1746" i="12"/>
  <c r="Y159" i="12"/>
  <c r="Y2619" i="12"/>
  <c r="Y662" i="12"/>
  <c r="Y1925" i="12"/>
  <c r="Y2322" i="12"/>
  <c r="Y2529" i="12"/>
  <c r="Y2611" i="12"/>
  <c r="Y2244" i="12"/>
  <c r="Y1505" i="12"/>
  <c r="Y1951" i="12"/>
  <c r="Y2481" i="12"/>
  <c r="Y1961" i="12"/>
  <c r="Y487" i="12"/>
  <c r="Y1555" i="12"/>
  <c r="Y1684" i="12"/>
  <c r="Y2236" i="12"/>
  <c r="Y1416" i="12"/>
  <c r="Y1049" i="12"/>
  <c r="Y1400" i="12"/>
  <c r="Y2379" i="12"/>
  <c r="Y316" i="12"/>
  <c r="Y1177" i="12"/>
  <c r="Y1891" i="12"/>
  <c r="Y2050" i="12"/>
  <c r="Y2197" i="12"/>
  <c r="Y2641" i="12"/>
  <c r="Y2399" i="12"/>
  <c r="Y2571" i="12"/>
  <c r="Y2178" i="12"/>
  <c r="Y2247" i="12"/>
  <c r="Y2361" i="12"/>
  <c r="Y2285" i="12"/>
  <c r="Y1740" i="12"/>
  <c r="Y1758" i="12"/>
  <c r="Y2442" i="12"/>
  <c r="Y2625" i="12"/>
  <c r="Y460" i="12"/>
  <c r="Y1046" i="12"/>
  <c r="Y860" i="12"/>
  <c r="Y939" i="12"/>
  <c r="Y1675" i="12"/>
  <c r="Y2369" i="12"/>
  <c r="Y1956" i="12"/>
  <c r="Y1701" i="12"/>
  <c r="Y732" i="12"/>
  <c r="Y2226" i="12"/>
  <c r="Y559" i="12"/>
  <c r="Y42" i="12"/>
  <c r="Y1980" i="12"/>
  <c r="Y371" i="12"/>
  <c r="Y1426" i="12"/>
  <c r="Y1415" i="12"/>
  <c r="Y1704" i="12"/>
  <c r="Y1820" i="12"/>
  <c r="Y2221" i="12"/>
  <c r="Y342" i="12"/>
  <c r="Y2025" i="12"/>
  <c r="Y1904" i="12"/>
  <c r="Y1984" i="12"/>
  <c r="Y1674" i="12"/>
  <c r="Y2545" i="12"/>
  <c r="Y959" i="12"/>
  <c r="Y642" i="12"/>
  <c r="Y2233" i="12"/>
  <c r="Y632" i="12"/>
  <c r="Y928" i="12"/>
  <c r="Y2629" i="12"/>
  <c r="Y1849" i="12"/>
  <c r="Y2486" i="12"/>
  <c r="Y2111" i="12"/>
  <c r="Y1080" i="12"/>
  <c r="Y1574" i="12"/>
  <c r="Y1838" i="12"/>
  <c r="Y2630" i="12"/>
  <c r="Y1650" i="12"/>
  <c r="Y2152" i="12"/>
  <c r="Y697" i="12"/>
  <c r="Y1410" i="12"/>
  <c r="Y1296" i="12"/>
  <c r="Y447" i="12"/>
  <c r="Y1331" i="12"/>
  <c r="Y1757" i="12"/>
  <c r="Y2256" i="12"/>
  <c r="Y1414" i="12"/>
  <c r="Y1573" i="12"/>
  <c r="Y1587" i="12"/>
  <c r="Y2513" i="12"/>
  <c r="Y1932" i="12"/>
  <c r="Y2575" i="12"/>
  <c r="Y2321" i="12"/>
  <c r="Y2568" i="12"/>
  <c r="Y1765" i="12"/>
  <c r="Y1179" i="12"/>
  <c r="Y838" i="12"/>
  <c r="Y779" i="12"/>
  <c r="Y1164" i="12"/>
  <c r="Y1700" i="12"/>
  <c r="Y203" i="12"/>
  <c r="Y2018" i="12"/>
  <c r="Y2520" i="12"/>
  <c r="Y2599" i="12"/>
  <c r="Y1003" i="12"/>
  <c r="Y2235" i="12"/>
  <c r="Y1411" i="12"/>
  <c r="Y2317" i="12"/>
  <c r="Y1145" i="12"/>
  <c r="Y1314" i="12"/>
  <c r="Y2168" i="12"/>
  <c r="Y540" i="12"/>
  <c r="Y683" i="12"/>
  <c r="Y2477" i="12"/>
  <c r="Y2325" i="12"/>
  <c r="Y824" i="12"/>
  <c r="Y1277" i="12"/>
  <c r="Y524" i="12"/>
  <c r="Y2515" i="12"/>
  <c r="Y1589" i="12"/>
  <c r="Y2474" i="12"/>
  <c r="Y2196" i="12"/>
  <c r="Y1542" i="12"/>
  <c r="Y2380" i="12"/>
  <c r="Y1519" i="12"/>
  <c r="Y1695" i="12"/>
  <c r="Y2505" i="12"/>
  <c r="Y1445" i="12"/>
  <c r="Y1386" i="12"/>
  <c r="Y1545" i="12"/>
  <c r="Y1482" i="12"/>
  <c r="Y1741" i="12"/>
  <c r="Y1171" i="12"/>
  <c r="Y2623" i="12"/>
  <c r="Y1837" i="12"/>
  <c r="Y759" i="12"/>
  <c r="Y19" i="12"/>
  <c r="Y1319" i="12"/>
  <c r="Y832" i="12"/>
  <c r="Y1317" i="12"/>
  <c r="Y2479" i="12"/>
  <c r="Y2396" i="12"/>
  <c r="Y2472" i="12"/>
  <c r="Y2643" i="12"/>
  <c r="Y768" i="12"/>
  <c r="Y1600" i="12"/>
  <c r="Y478" i="12"/>
  <c r="Y2351" i="12"/>
  <c r="Y1241" i="12"/>
  <c r="Y2495" i="12"/>
  <c r="Y2649" i="12"/>
  <c r="Y1504" i="12"/>
  <c r="Y1109" i="12"/>
  <c r="Y1733" i="12"/>
  <c r="Y2040" i="12"/>
  <c r="Y2266" i="12"/>
  <c r="Y2220" i="12"/>
  <c r="Y784" i="12"/>
  <c r="Y1421" i="12"/>
  <c r="Y1455" i="12"/>
  <c r="Y1950" i="12"/>
  <c r="Y1620" i="12"/>
  <c r="Y2314" i="12"/>
  <c r="Y2135" i="12"/>
  <c r="Y799" i="12"/>
  <c r="Y1592" i="12"/>
  <c r="Y1744" i="12"/>
  <c r="Y1960" i="12"/>
  <c r="Y2421" i="12"/>
  <c r="Y2011" i="12"/>
  <c r="Y1037" i="12"/>
  <c r="Y2381" i="12"/>
  <c r="Y1480" i="12"/>
  <c r="Y421" i="12"/>
  <c r="Y1387" i="12"/>
  <c r="Y2342" i="12"/>
  <c r="Y2176" i="12"/>
  <c r="Y37" i="12"/>
  <c r="Y1085" i="12"/>
  <c r="Y2101" i="12"/>
  <c r="Y1972" i="12"/>
  <c r="Y2391" i="12"/>
  <c r="Y1111" i="12"/>
  <c r="Y1055" i="12"/>
  <c r="Y1114" i="12"/>
  <c r="Y376" i="12"/>
  <c r="Y2281" i="12"/>
  <c r="Y752" i="12"/>
  <c r="Y2347" i="12"/>
  <c r="Y17" i="12"/>
  <c r="Y2423" i="12"/>
  <c r="Y918" i="12"/>
  <c r="Y83" i="12"/>
  <c r="Y1139" i="12"/>
  <c r="Y2225" i="12"/>
  <c r="Y2512" i="12"/>
  <c r="Y2008" i="12"/>
  <c r="Y1252" i="12"/>
  <c r="Y2021" i="12"/>
  <c r="Y1543" i="12"/>
  <c r="Y2645" i="12"/>
  <c r="Y1997" i="12"/>
  <c r="Y1402" i="12"/>
  <c r="Y1645" i="12"/>
  <c r="Y2389" i="12"/>
  <c r="Y2289" i="12"/>
  <c r="Y1585" i="12"/>
  <c r="Y1453" i="12"/>
  <c r="Y2077" i="12"/>
  <c r="Y585" i="12"/>
  <c r="Y1494" i="12"/>
  <c r="Y2164" i="12"/>
  <c r="Y529" i="12"/>
  <c r="Y1391" i="12"/>
  <c r="Y1839" i="12"/>
  <c r="Y2068" i="12"/>
  <c r="Y69" i="12"/>
  <c r="Y544" i="12"/>
  <c r="Y220" i="12"/>
  <c r="Y413" i="12"/>
  <c r="Y500" i="12"/>
  <c r="Y380" i="12"/>
  <c r="Y486" i="12"/>
  <c r="Y232" i="12"/>
  <c r="Y148" i="12"/>
  <c r="Y612" i="12"/>
  <c r="Y416" i="12"/>
  <c r="Y86" i="12"/>
  <c r="Y434" i="12"/>
  <c r="Y432" i="12"/>
  <c r="Y565" i="12"/>
  <c r="Y541" i="12"/>
  <c r="Y354" i="12"/>
  <c r="Y575" i="12"/>
  <c r="Y519" i="12"/>
  <c r="Y628" i="12"/>
  <c r="Y302" i="12"/>
  <c r="Y564" i="12"/>
  <c r="Y204" i="12"/>
  <c r="Y262" i="12"/>
  <c r="Y777" i="12"/>
  <c r="Y1020" i="12"/>
  <c r="Y588" i="12"/>
  <c r="Y71" i="12"/>
  <c r="Y423" i="12"/>
  <c r="Y879" i="12"/>
  <c r="Y1005" i="12"/>
  <c r="Y728" i="12"/>
  <c r="Y901" i="12"/>
  <c r="Y461" i="12"/>
  <c r="Y59" i="12"/>
  <c r="Y775" i="12"/>
  <c r="Y1371" i="12"/>
  <c r="Y1223" i="12"/>
  <c r="Y381" i="12"/>
  <c r="Y1134" i="12"/>
  <c r="Y388" i="12"/>
  <c r="Y802" i="12"/>
  <c r="Y453" i="12"/>
  <c r="Y586" i="12"/>
  <c r="Y1467" i="12"/>
  <c r="Y1239" i="12"/>
  <c r="Y836" i="12"/>
  <c r="Y1761" i="12"/>
  <c r="Y2648" i="12"/>
  <c r="Y1097" i="12"/>
  <c r="Y760" i="12"/>
  <c r="Y1404" i="12"/>
  <c r="Y1333" i="12"/>
  <c r="Y199" i="12"/>
  <c r="Y905" i="12"/>
  <c r="Y718" i="12"/>
  <c r="Y1982" i="12"/>
  <c r="Y1273" i="12"/>
  <c r="Y1483" i="12"/>
  <c r="Y197" i="12"/>
  <c r="Y1461" i="12"/>
  <c r="Y2382" i="12"/>
  <c r="Y99" i="12"/>
  <c r="Y725" i="12"/>
  <c r="Y910" i="12"/>
  <c r="Y223" i="12"/>
  <c r="Y249" i="12"/>
  <c r="Y311" i="12"/>
  <c r="Y404" i="12"/>
  <c r="Y2055" i="12"/>
  <c r="Y138" i="12"/>
  <c r="Y2558" i="12"/>
  <c r="Y814" i="12"/>
  <c r="Y2172" i="12"/>
  <c r="Y1735" i="12"/>
  <c r="Y1026" i="12"/>
  <c r="Y295" i="12"/>
  <c r="Y80" i="12"/>
  <c r="Y153" i="12"/>
  <c r="Y592" i="12"/>
  <c r="Y2480" i="12"/>
  <c r="Y694" i="12"/>
  <c r="Y438" i="12"/>
  <c r="Y916" i="12"/>
  <c r="Y558" i="12"/>
  <c r="Y493" i="12"/>
  <c r="Y337" i="12"/>
  <c r="Y591" i="12"/>
  <c r="Y312" i="12"/>
  <c r="Y1339" i="12"/>
  <c r="Y100" i="12"/>
  <c r="Y2306" i="12"/>
  <c r="Y2415" i="12"/>
  <c r="Y328" i="12"/>
  <c r="Y1463" i="12"/>
  <c r="Y1713" i="12"/>
  <c r="Y2576" i="12"/>
  <c r="Y2432" i="12"/>
  <c r="Y188" i="12"/>
  <c r="Y2094" i="12"/>
  <c r="Y191" i="12"/>
  <c r="Y973" i="12"/>
  <c r="Y150" i="12"/>
  <c r="Y250" i="12"/>
  <c r="Y112" i="12"/>
  <c r="Y256" i="12"/>
  <c r="Y1086" i="12"/>
  <c r="Y2017" i="12"/>
  <c r="Y341" i="12"/>
  <c r="Y245" i="12"/>
  <c r="Y1888" i="12"/>
  <c r="Y1332" i="12"/>
  <c r="Y300" i="12"/>
  <c r="Y231" i="12"/>
  <c r="Y2530" i="12"/>
  <c r="Y1225" i="12"/>
  <c r="Y2163" i="12"/>
  <c r="Y699" i="12"/>
  <c r="Y2073" i="12"/>
  <c r="Y2102" i="12"/>
  <c r="Y1153" i="12"/>
  <c r="Y1493" i="12"/>
  <c r="Y960" i="12"/>
  <c r="Y13" i="12"/>
  <c r="Y1084" i="12"/>
  <c r="Y2078" i="12"/>
  <c r="Y894" i="12"/>
  <c r="Y1119" i="12"/>
  <c r="Y1967" i="12"/>
  <c r="Y399" i="12"/>
  <c r="Y1651" i="12"/>
  <c r="Y1869" i="12"/>
  <c r="Y1181" i="12"/>
  <c r="Y206" i="12"/>
  <c r="Y618" i="12"/>
  <c r="Y2222" i="12"/>
  <c r="Y902" i="12"/>
  <c r="Y975" i="12"/>
  <c r="Y1403" i="12"/>
  <c r="Y2433" i="12"/>
  <c r="Y1039" i="12"/>
  <c r="Y1006" i="12"/>
  <c r="Y1067" i="12"/>
  <c r="Y2190" i="12"/>
  <c r="Y1399" i="12"/>
  <c r="Y2416" i="12"/>
  <c r="Y1192" i="12"/>
  <c r="Y2582" i="12"/>
  <c r="Y2290" i="12"/>
  <c r="Y2557" i="12"/>
  <c r="Y1484" i="12"/>
  <c r="Y1136" i="12"/>
  <c r="Y1167" i="12"/>
  <c r="Y774" i="12"/>
  <c r="Y850" i="12"/>
  <c r="Y1864" i="12"/>
  <c r="Y1497" i="12"/>
  <c r="Y1577" i="12"/>
  <c r="Y279" i="12"/>
  <c r="Y315" i="12"/>
  <c r="Y1227" i="12"/>
  <c r="Y1042" i="12"/>
  <c r="Y2608" i="12"/>
  <c r="Y1120" i="12"/>
  <c r="Y2001" i="12"/>
  <c r="Y793" i="12"/>
  <c r="Y15" i="12"/>
  <c r="Y1395" i="12"/>
  <c r="Y2460" i="12"/>
  <c r="Y991" i="12"/>
  <c r="Y1272" i="12"/>
  <c r="Y2085" i="12"/>
  <c r="Y2120" i="12"/>
  <c r="Y1552" i="12"/>
  <c r="Y2510" i="12"/>
  <c r="Y1767" i="12"/>
  <c r="Y2502" i="12"/>
  <c r="Y563" i="12"/>
  <c r="Y2232" i="12"/>
  <c r="Y927" i="12"/>
  <c r="Y1619" i="12"/>
  <c r="Y1919" i="12"/>
  <c r="Y1158" i="12"/>
  <c r="Y831" i="12"/>
  <c r="Y1924" i="12"/>
  <c r="Y1137" i="12"/>
  <c r="Y1420" i="12"/>
  <c r="Y696" i="12"/>
  <c r="Y979" i="12"/>
  <c r="Y711" i="12"/>
  <c r="Y645" i="12"/>
  <c r="Y567" i="12"/>
  <c r="Y844" i="12"/>
  <c r="Y26" i="12"/>
  <c r="Y58" i="12"/>
  <c r="Y2434" i="12"/>
  <c r="Y2497" i="12"/>
  <c r="Y1627" i="12"/>
  <c r="Y1291" i="12"/>
  <c r="Y2134" i="12"/>
  <c r="Y494" i="12"/>
  <c r="Y1190" i="12"/>
  <c r="Y1653" i="12"/>
  <c r="Y1615" i="12"/>
  <c r="Y2143" i="12"/>
  <c r="Y350" i="12"/>
  <c r="Y1896" i="12"/>
  <c r="Y598" i="12"/>
  <c r="Y2478" i="12"/>
  <c r="Y495" i="12"/>
  <c r="Y2569" i="12"/>
  <c r="Y810" i="12"/>
  <c r="Y1354" i="12"/>
  <c r="Y1533" i="12"/>
  <c r="Y2578" i="12"/>
  <c r="Y2059" i="12"/>
  <c r="Y2387" i="12"/>
  <c r="Y1586" i="12"/>
  <c r="Y1390" i="12"/>
  <c r="Y1191" i="12"/>
  <c r="Y2594" i="12"/>
  <c r="Y2067" i="12"/>
  <c r="Y113" i="12"/>
  <c r="Y2080" i="12"/>
  <c r="Y1396" i="12"/>
  <c r="Y2443" i="12"/>
  <c r="Y666" i="12"/>
  <c r="Y448" i="12"/>
  <c r="Y1435" i="12"/>
  <c r="Y2201" i="12"/>
  <c r="Y29" i="12"/>
  <c r="Y1719" i="12"/>
  <c r="Y1532" i="12"/>
  <c r="Y2304" i="12"/>
  <c r="Y466" i="12"/>
  <c r="Y1525" i="12"/>
  <c r="Y1535" i="12"/>
  <c r="Y1856" i="12"/>
  <c r="Y2112" i="12"/>
  <c r="Y714" i="12"/>
  <c r="Y1637" i="12"/>
  <c r="Y1668" i="12"/>
  <c r="Y1647" i="12"/>
  <c r="Y2169" i="12"/>
  <c r="Y2409" i="12"/>
  <c r="Y1623" i="12"/>
  <c r="Y382" i="12"/>
  <c r="Y2079" i="12"/>
  <c r="Y484" i="12"/>
  <c r="Y985" i="12"/>
  <c r="Y2076" i="12"/>
  <c r="Y269" i="12"/>
  <c r="Y2298" i="12"/>
  <c r="Y804" i="12"/>
  <c r="Y2186" i="12"/>
  <c r="Y2516" i="12"/>
  <c r="Y263" i="12"/>
  <c r="Y1257" i="12"/>
  <c r="Y919" i="12"/>
  <c r="Y408" i="12"/>
  <c r="Y332" i="12"/>
  <c r="Y2091" i="12"/>
  <c r="Y1946" i="12"/>
  <c r="Y1040" i="12"/>
  <c r="Y1560" i="12"/>
  <c r="Y536" i="12"/>
  <c r="Y2297" i="12"/>
  <c r="Y2058" i="12"/>
  <c r="Y2560" i="12"/>
  <c r="Y2627" i="12"/>
  <c r="Y1682" i="12"/>
  <c r="Y934" i="12"/>
  <c r="Y2364" i="12"/>
  <c r="Y2161" i="12"/>
  <c r="Y1002" i="12"/>
  <c r="Y1361" i="12"/>
  <c r="Y2105" i="12"/>
  <c r="Y2026" i="12"/>
  <c r="Y355" i="12"/>
  <c r="Y2632" i="12"/>
  <c r="Y1285" i="12"/>
  <c r="Y1265" i="12"/>
  <c r="Y2333" i="12"/>
  <c r="Y142" i="12"/>
  <c r="Y2242" i="12"/>
  <c r="Y2402" i="12"/>
  <c r="Y1088" i="12"/>
  <c r="Y2269" i="12"/>
  <c r="Y1196" i="12"/>
  <c r="Y2146" i="12"/>
  <c r="Y2034" i="12"/>
  <c r="Y2591" i="12"/>
  <c r="Y472" i="12"/>
  <c r="Y2224" i="12"/>
  <c r="Y2384" i="12"/>
  <c r="Y88" i="12"/>
  <c r="Y909" i="12"/>
  <c r="Y1938" i="12"/>
  <c r="Y1945" i="12"/>
  <c r="Y1913" i="12"/>
  <c r="Y548" i="12"/>
  <c r="Y1899" i="12"/>
  <c r="Y207" i="12"/>
  <c r="Y228" i="12"/>
  <c r="Y1952" i="12"/>
  <c r="Y1442" i="12"/>
  <c r="Y2539" i="12"/>
  <c r="Y713" i="12"/>
  <c r="Y1784" i="12"/>
  <c r="Y908" i="12"/>
  <c r="Y1350" i="12"/>
  <c r="Y2499" i="12"/>
  <c r="Y1366" i="12"/>
  <c r="Y392" i="12"/>
  <c r="Y2124" i="12"/>
  <c r="Y1226" i="12"/>
  <c r="Y826" i="12"/>
  <c r="Y1253" i="12"/>
  <c r="Y735" i="12"/>
  <c r="Y686" i="12"/>
  <c r="Y1728" i="12"/>
  <c r="Y737" i="12"/>
  <c r="Y787" i="12"/>
  <c r="Y1747" i="12"/>
  <c r="Y2483" i="12"/>
  <c r="Y2337" i="12"/>
  <c r="Y2205" i="12"/>
  <c r="Y2647" i="12"/>
  <c r="Y435" i="12"/>
  <c r="Y2192" i="12"/>
  <c r="Y2605" i="12"/>
  <c r="Y2088" i="12"/>
  <c r="Y627" i="12"/>
  <c r="Y1133" i="12"/>
  <c r="Y415" i="12"/>
  <c r="Y1755" i="12"/>
  <c r="Y857" i="12"/>
  <c r="Y2482" i="12"/>
  <c r="Y1644" i="12"/>
  <c r="Y2326" i="12"/>
  <c r="Y1903" i="12"/>
  <c r="Y358" i="12"/>
  <c r="Y1315" i="12"/>
  <c r="Y1017" i="12"/>
  <c r="Y1860" i="12"/>
  <c r="Y1490" i="12"/>
  <c r="Y1912" i="12"/>
  <c r="Y313" i="12"/>
  <c r="Y2616" i="12"/>
  <c r="Y1743" i="12"/>
  <c r="Y1880" i="12"/>
  <c r="Y637" i="12"/>
  <c r="Y1578" i="12"/>
  <c r="Y1203" i="12"/>
  <c r="Y1228" i="12"/>
  <c r="Y822" i="12"/>
  <c r="Y1780" i="12"/>
  <c r="Y1327" i="12"/>
  <c r="Y2524" i="12"/>
  <c r="Y1797" i="12"/>
  <c r="Y77" i="12"/>
  <c r="Y143" i="12"/>
  <c r="Y2087" i="12"/>
  <c r="Y2132" i="12"/>
  <c r="Y2195" i="12"/>
  <c r="Y658" i="12"/>
  <c r="Y2426" i="12"/>
  <c r="Y301" i="12"/>
  <c r="Y622" i="12"/>
  <c r="Y1871" i="12"/>
  <c r="Y508" i="12"/>
  <c r="Y739" i="12"/>
  <c r="Y915" i="12"/>
  <c r="Y1693" i="12"/>
  <c r="Y2559" i="12"/>
  <c r="Y1418" i="12"/>
  <c r="Y2188" i="12"/>
  <c r="Y1622" i="12"/>
  <c r="Y2296" i="12"/>
  <c r="Y1232" i="12"/>
  <c r="Y2004" i="12"/>
  <c r="Y2635" i="12"/>
  <c r="Y1641" i="12"/>
  <c r="Y1662" i="12"/>
  <c r="Y1739" i="12"/>
  <c r="Y615" i="12"/>
  <c r="Y2024" i="12"/>
  <c r="Y970" i="12"/>
  <c r="Y938" i="12"/>
  <c r="Y982" i="12"/>
  <c r="Y2121" i="12"/>
  <c r="Y1449" i="12"/>
  <c r="Y1940" i="12"/>
  <c r="Y1326" i="12"/>
  <c r="Y574" i="12"/>
  <c r="Y1115" i="12"/>
  <c r="Y1863" i="12"/>
  <c r="Y883" i="12"/>
  <c r="Y1417" i="12"/>
  <c r="Y1681" i="12"/>
  <c r="Y2498" i="12"/>
  <c r="Y12" i="12"/>
  <c r="Y1465" i="12"/>
  <c r="Y1996" i="12"/>
  <c r="Y2547" i="12"/>
  <c r="Y1782" i="12"/>
  <c r="Y2651" i="12"/>
  <c r="Y1000" i="12"/>
  <c r="Y1444" i="12"/>
  <c r="Y1392" i="12"/>
  <c r="Y1986" i="12"/>
  <c r="Y1939" i="12"/>
  <c r="Y483" i="12"/>
  <c r="Y995" i="12"/>
  <c r="Y803" i="12"/>
  <c r="Y940" i="12"/>
  <c r="Y1715" i="12"/>
  <c r="Y1398" i="12"/>
  <c r="Y2060" i="12"/>
  <c r="Y1362" i="12"/>
  <c r="Y1301" i="12"/>
  <c r="Y1379" i="12"/>
  <c r="Y577" i="12"/>
  <c r="Y957" i="12"/>
  <c r="Y1725" i="12"/>
  <c r="Y796" i="12"/>
  <c r="Y2624" i="12"/>
  <c r="Y118" i="12"/>
  <c r="Y1584" i="12"/>
  <c r="Y2642" i="12"/>
  <c r="Y896" i="12"/>
  <c r="Y619" i="12"/>
  <c r="Y1238" i="12"/>
  <c r="Y505" i="12"/>
  <c r="Y389" i="12"/>
  <c r="Y1009" i="12"/>
  <c r="Y1608" i="12"/>
  <c r="Y424" i="12"/>
  <c r="Y1290" i="12"/>
  <c r="Y2504" i="12"/>
  <c r="Y2288" i="12"/>
  <c r="Y596" i="12"/>
  <c r="Y1356" i="12"/>
  <c r="Y2150" i="12"/>
  <c r="Y2127" i="12"/>
  <c r="Y2580" i="12"/>
  <c r="Y2646" i="12"/>
  <c r="Y2273" i="12"/>
  <c r="Y906" i="12"/>
  <c r="Y1799" i="12"/>
  <c r="Y1141" i="12"/>
  <c r="Y888" i="12"/>
  <c r="Y462" i="12"/>
  <c r="Y2604" i="12"/>
  <c r="Y2532" i="12"/>
  <c r="Y976" i="12"/>
  <c r="Y2589" i="12"/>
  <c r="Y1702" i="12"/>
  <c r="Y956" i="12"/>
  <c r="Y2473" i="12"/>
  <c r="Y1459" i="12"/>
  <c r="Y2125" i="12"/>
  <c r="Y1949" i="12"/>
  <c r="Y2113" i="12"/>
  <c r="Y272" i="12"/>
  <c r="Y659" i="12"/>
  <c r="Y1908" i="12"/>
  <c r="Y1559" i="12"/>
  <c r="Y2634" i="12"/>
  <c r="Y1613" i="12"/>
  <c r="Y547" i="12"/>
  <c r="Y377" i="12"/>
  <c r="Y717" i="12"/>
  <c r="Y1876" i="12"/>
  <c r="Y2218" i="12"/>
  <c r="Y1558" i="12"/>
  <c r="Y1401" i="12"/>
  <c r="Y1929" i="12"/>
  <c r="Y599" i="12"/>
  <c r="Y1368" i="12"/>
  <c r="Y1466" i="12"/>
  <c r="Y2263" i="12"/>
  <c r="Y2390" i="12"/>
  <c r="Y2521" i="12"/>
  <c r="Y45" i="12"/>
  <c r="Y583" i="12"/>
  <c r="Y2579" i="12"/>
  <c r="Y684" i="12"/>
  <c r="Y2606" i="12"/>
  <c r="Y95" i="12"/>
  <c r="Y1566" i="12"/>
  <c r="Y2354" i="12"/>
  <c r="Y1345" i="12"/>
  <c r="Y944" i="12"/>
  <c r="Y2346" i="12"/>
  <c r="Y1380" i="12"/>
  <c r="Y2252" i="12"/>
  <c r="Y1694" i="12"/>
  <c r="Y1793" i="12"/>
  <c r="Y50" i="12"/>
  <c r="Y181" i="12"/>
  <c r="Y397" i="12"/>
  <c r="Y609" i="12"/>
  <c r="Y110" i="12"/>
  <c r="Y363" i="12"/>
  <c r="Y614" i="12"/>
  <c r="Y267" i="12"/>
  <c r="Y21" i="12"/>
  <c r="Y409" i="12"/>
  <c r="Y671" i="12"/>
  <c r="Y55" i="12"/>
  <c r="Y41" i="12"/>
  <c r="Y190" i="12"/>
  <c r="Y443" i="12"/>
  <c r="Y294" i="12"/>
  <c r="Y9" i="12"/>
  <c r="Y433" i="12"/>
  <c r="Y72" i="12"/>
  <c r="Y185" i="12"/>
  <c r="Y96" i="12"/>
  <c r="Y10" i="12"/>
  <c r="Y345" i="12"/>
  <c r="Y624" i="12"/>
  <c r="Y692" i="12"/>
  <c r="Y52" i="12"/>
  <c r="Y837" i="12"/>
  <c r="Y169" i="12"/>
  <c r="Y293" i="12"/>
  <c r="Y208" i="12"/>
  <c r="Y1044" i="12"/>
  <c r="Y445" i="12"/>
  <c r="Y20" i="12"/>
  <c r="Y97" i="12"/>
  <c r="Y1198" i="12"/>
  <c r="Y406" i="12"/>
  <c r="Y271" i="12"/>
  <c r="Y734" i="12"/>
  <c r="Y2254" i="12"/>
  <c r="Y993" i="12"/>
  <c r="Y473" i="12"/>
  <c r="Y431" i="12"/>
  <c r="Y556" i="12"/>
  <c r="Y997" i="12"/>
  <c r="Y309" i="12"/>
  <c r="Y668" i="12"/>
  <c r="Y1161" i="12"/>
  <c r="Y560" i="12"/>
  <c r="Y334" i="12"/>
  <c r="Y1515" i="12"/>
  <c r="Y2110" i="12"/>
  <c r="Y398" i="12"/>
  <c r="Y1209" i="12"/>
  <c r="Y1064" i="12"/>
  <c r="Y867" i="12"/>
  <c r="Y2170" i="12"/>
  <c r="Y1222" i="12"/>
  <c r="Y273" i="12"/>
  <c r="Y617" i="12"/>
  <c r="Y1207" i="12"/>
  <c r="Y329" i="12"/>
  <c r="Y958" i="12"/>
  <c r="Y170" i="12"/>
  <c r="Y292" i="12"/>
  <c r="Y103" i="12"/>
  <c r="Y792" i="12"/>
  <c r="Y1052" i="12"/>
  <c r="Y471" i="12"/>
  <c r="Y1234" i="12"/>
  <c r="Y2280" i="12"/>
  <c r="Y538" i="12"/>
  <c r="Y887" i="12"/>
  <c r="Y482" i="12"/>
  <c r="Y319" i="12"/>
  <c r="Y265" i="12"/>
  <c r="Y75" i="12"/>
  <c r="Y149" i="12"/>
  <c r="Y130" i="12"/>
  <c r="Y1499" i="12"/>
  <c r="Y1169" i="12"/>
  <c r="Y128" i="12"/>
  <c r="Y1498" i="12"/>
  <c r="Y864" i="12"/>
  <c r="Y391" i="12"/>
  <c r="Y1998" i="12"/>
  <c r="Y892" i="12"/>
  <c r="Y2294" i="12"/>
  <c r="Y218" i="12"/>
  <c r="Y2240" i="12"/>
  <c r="Y182" i="12"/>
  <c r="Y546" i="12"/>
  <c r="Y425" i="12"/>
  <c r="Y578" i="12"/>
  <c r="Y761" i="12"/>
  <c r="Y1942" i="12"/>
  <c r="Y1063" i="12"/>
  <c r="Y1148" i="12"/>
  <c r="Y402" i="12"/>
  <c r="Y1218" i="12"/>
  <c r="Y514" i="12"/>
  <c r="Y222" i="12"/>
  <c r="Y281" i="12"/>
  <c r="Y480" i="12"/>
  <c r="Y1707" i="12"/>
  <c r="Y1599" i="12"/>
  <c r="Y115" i="12"/>
  <c r="Y589" i="12"/>
  <c r="Y68" i="12"/>
  <c r="Y1689" i="12"/>
  <c r="Y283" i="12"/>
  <c r="Y1082" i="12"/>
  <c r="Y1524" i="12"/>
  <c r="Y1517" i="12"/>
  <c r="Y1221" i="12"/>
  <c r="Y584" i="12"/>
  <c r="Y881" i="12"/>
  <c r="Y1267" i="12"/>
  <c r="Y2212" i="12"/>
  <c r="Y2283" i="12"/>
  <c r="Y1778" i="12"/>
  <c r="Y196" i="12"/>
  <c r="Y710" i="12"/>
  <c r="Y646" i="12"/>
  <c r="Y817" i="12"/>
  <c r="Y2286" i="12"/>
  <c r="Y1344" i="12"/>
  <c r="Y1794" i="12"/>
  <c r="Y1280" i="12"/>
  <c r="Y1606" i="12"/>
  <c r="Y1048" i="12"/>
  <c r="Y1440" i="12"/>
  <c r="Y1852" i="12"/>
  <c r="Y1594" i="12"/>
  <c r="Y1261" i="12"/>
  <c r="Y672" i="12"/>
  <c r="Y762" i="12"/>
  <c r="Y1661" i="12"/>
  <c r="Y2248" i="12"/>
  <c r="Y2438" i="12"/>
  <c r="Y2064" i="12"/>
  <c r="Y2145" i="12"/>
  <c r="Y2275" i="12"/>
  <c r="Y1678" i="12"/>
  <c r="Y2082" i="12"/>
  <c r="Y2552" i="12"/>
  <c r="Y1696" i="12"/>
  <c r="Y474" i="12"/>
  <c r="Y1643" i="12"/>
  <c r="Y1513" i="12"/>
  <c r="Y1282" i="12"/>
  <c r="Y2631" i="12"/>
  <c r="Y1734" i="12"/>
  <c r="Y1187" i="12"/>
  <c r="Y989" i="12"/>
  <c r="Y2454" i="12"/>
  <c r="Y349" i="12"/>
  <c r="Y1920" i="12"/>
  <c r="Y422" i="12"/>
  <c r="Y2603" i="12"/>
  <c r="Y235" i="12"/>
  <c r="Y2511" i="12"/>
  <c r="Y1514" i="12"/>
  <c r="Y526" i="12"/>
  <c r="Y1510" i="12"/>
  <c r="Y455" i="12"/>
  <c r="Y187" i="12"/>
  <c r="Y1540" i="12"/>
  <c r="Y2338" i="12"/>
  <c r="Y2500" i="12"/>
  <c r="Y631" i="12"/>
  <c r="Y2439" i="12"/>
  <c r="Y1509" i="12"/>
  <c r="Y1075" i="12"/>
  <c r="Y2496" i="12"/>
  <c r="Y1568" i="12"/>
  <c r="Y1872" i="12"/>
  <c r="Y2065" i="12"/>
  <c r="Y2180" i="12"/>
  <c r="Y1122" i="12"/>
  <c r="Y1303" i="12"/>
  <c r="Y1624" i="12"/>
  <c r="Y270" i="12"/>
  <c r="Y1991" i="12"/>
  <c r="Y321" i="12"/>
  <c r="Y1271" i="12"/>
  <c r="Y5" i="12"/>
  <c r="Y1462" i="12"/>
  <c r="Y1966" i="12"/>
  <c r="Y2070" i="12"/>
  <c r="Y1845" i="12"/>
  <c r="Y805" i="12"/>
  <c r="Y1548" i="12"/>
  <c r="Y2464" i="12"/>
  <c r="Y1781" i="12"/>
  <c r="Y1791" i="12"/>
  <c r="Y1262" i="12"/>
  <c r="Y2035" i="12"/>
  <c r="Y551" i="12"/>
  <c r="Y977" i="12"/>
  <c r="Y648" i="12"/>
  <c r="Y1867" i="12"/>
  <c r="Y1369" i="12"/>
  <c r="Y872" i="12"/>
  <c r="Y1409" i="12"/>
  <c r="Y1523" i="12"/>
  <c r="Y875" i="12"/>
  <c r="Y1287" i="12"/>
  <c r="Y2360" i="12"/>
  <c r="Y950" i="12"/>
  <c r="Y1884" i="12"/>
  <c r="Y1534" i="12"/>
  <c r="Y2241" i="12"/>
  <c r="Y2276" i="12"/>
  <c r="Y2015" i="12"/>
  <c r="Y698" i="12"/>
  <c r="Y2207" i="12"/>
  <c r="Y291" i="12"/>
  <c r="Y1553" i="12"/>
  <c r="Y2428" i="12"/>
  <c r="Y2617" i="12"/>
  <c r="Y2527" i="12"/>
  <c r="Y651" i="12"/>
  <c r="Y1091" i="12"/>
  <c r="Y1731" i="12"/>
  <c r="Y226" i="12"/>
  <c r="Y1406" i="12"/>
  <c r="Y2031" i="12"/>
  <c r="Y346" i="12"/>
  <c r="Y1882" i="12"/>
  <c r="Y278" i="12"/>
  <c r="Y1549" i="12"/>
  <c r="Y440" i="12"/>
  <c r="Y2331" i="12"/>
  <c r="Y366" i="12"/>
  <c r="Y2181" i="12"/>
  <c r="Y611" i="12"/>
  <c r="Y1412" i="12"/>
  <c r="Y1077" i="12"/>
  <c r="Y1983" i="12"/>
  <c r="Y1575" i="12"/>
  <c r="Y2456" i="12"/>
  <c r="Y441" i="12"/>
  <c r="Y1254" i="12"/>
  <c r="Y2335" i="12"/>
  <c r="Y1062" i="12"/>
  <c r="Y1631" i="12"/>
  <c r="Y606" i="12"/>
  <c r="Y282" i="12"/>
  <c r="Y1979" i="12"/>
  <c r="Y2323" i="12"/>
  <c r="Y912" i="12"/>
  <c r="Y2246" i="12"/>
  <c r="Y856" i="12"/>
  <c r="Y2066" i="12"/>
  <c r="Y2284" i="12"/>
  <c r="Y360" i="12"/>
  <c r="Y2590" i="12"/>
  <c r="Y1318" i="12"/>
  <c r="Y2487" i="12"/>
  <c r="Y193" i="12"/>
  <c r="Y2137" i="12"/>
  <c r="Y1335" i="12"/>
  <c r="Y1438" i="12"/>
  <c r="Y1293" i="12"/>
  <c r="Y889" i="12"/>
  <c r="Y2607" i="12"/>
  <c r="Y1926" i="12"/>
  <c r="Y247" i="12"/>
  <c r="Y2199" i="12"/>
  <c r="Y1902" i="12"/>
  <c r="Y260" i="12"/>
  <c r="Y1803" i="12"/>
  <c r="Y2250" i="12"/>
  <c r="Y704" i="12"/>
  <c r="Y1297" i="12"/>
  <c r="Y155" i="12"/>
  <c r="Y1656" i="12"/>
  <c r="Y2002" i="12"/>
  <c r="Y1862" i="12"/>
  <c r="Y1550" i="12"/>
  <c r="Y1507" i="12"/>
  <c r="Y1240" i="12"/>
  <c r="Y984" i="12"/>
  <c r="Y2166" i="12"/>
  <c r="Y2422" i="12"/>
  <c r="Y2308" i="12"/>
  <c r="Y1036" i="12"/>
  <c r="Y1259" i="12"/>
  <c r="Y1249" i="12"/>
  <c r="Y468" i="12"/>
  <c r="Y70" i="12"/>
  <c r="Y1635" i="12"/>
  <c r="Y899" i="12"/>
  <c r="Y2471" i="12"/>
  <c r="Y1288" i="12"/>
  <c r="Y2279" i="12"/>
  <c r="Y2293" i="12"/>
  <c r="Y2319" i="12"/>
  <c r="Y2327" i="12"/>
  <c r="Y1546" i="12"/>
  <c r="Y1604" i="12"/>
  <c r="Y1890" i="12"/>
  <c r="Y1712" i="12"/>
  <c r="Y1478" i="12"/>
  <c r="Y35" i="12"/>
  <c r="Y1547" i="12"/>
  <c r="Y348" i="12"/>
  <c r="Y1235" i="12"/>
  <c r="Y1775" i="12"/>
  <c r="Y414" i="12"/>
  <c r="Y2300" i="12"/>
  <c r="Y861" i="12"/>
  <c r="Y582" i="12"/>
  <c r="Y2622" i="12"/>
  <c r="Y1260" i="12"/>
  <c r="Y1289" i="12"/>
  <c r="Y1030" i="12"/>
  <c r="Y2010" i="12"/>
  <c r="Y1726" i="12"/>
  <c r="Y2410" i="12"/>
  <c r="Y253" i="12"/>
  <c r="Y2282" i="12"/>
  <c r="Y797" i="12"/>
  <c r="Y744" i="12"/>
  <c r="Y1770" i="12"/>
  <c r="Y2491" i="12"/>
  <c r="Y1944" i="12"/>
  <c r="Y1812" i="12"/>
  <c r="Y1047" i="12"/>
  <c r="Y1310" i="12"/>
  <c r="Y1456" i="12"/>
  <c r="Y633" i="12"/>
  <c r="Y2167" i="12"/>
  <c r="Y1056" i="12"/>
  <c r="Y2177" i="12"/>
  <c r="Y1611" i="12"/>
  <c r="Y1730" i="12"/>
  <c r="Y1572" i="12"/>
  <c r="Y446" i="12"/>
  <c r="Y2204" i="12"/>
  <c r="Y1113" i="12"/>
  <c r="Y2574" i="12"/>
  <c r="Y652" i="12"/>
  <c r="Y1094" i="12"/>
  <c r="Y1363" i="12"/>
  <c r="Y1454" i="12"/>
  <c r="Y1883" i="12"/>
  <c r="Y601" i="12"/>
  <c r="Y2098" i="12"/>
  <c r="Y1087" i="12"/>
  <c r="Y876" i="12"/>
  <c r="Y1567" i="12"/>
  <c r="Y1943" i="12"/>
  <c r="Y712" i="12"/>
  <c r="Y1582" i="12"/>
  <c r="Y1554" i="12"/>
  <c r="Y1665" i="12"/>
  <c r="Y1621" i="12"/>
  <c r="Y828" i="12"/>
  <c r="Y364" i="12"/>
  <c r="Y1705" i="12"/>
  <c r="Y1923" i="12"/>
  <c r="Y1324" i="12"/>
  <c r="Y183" i="12"/>
  <c r="Y2429" i="12"/>
  <c r="Y2074" i="12"/>
  <c r="Y1901" i="12"/>
  <c r="Y2370" i="12"/>
  <c r="Y1081" i="12"/>
  <c r="Y1612" i="12"/>
  <c r="Y2071" i="12"/>
  <c r="Y2259" i="12"/>
  <c r="Y1200" i="12"/>
  <c r="Y1916" i="12"/>
  <c r="Y2614" i="12"/>
  <c r="Y1520" i="12"/>
  <c r="Y489" i="12"/>
  <c r="Y2257" i="12"/>
  <c r="Y2049" i="12"/>
  <c r="Y1850" i="12"/>
  <c r="Y1959" i="12"/>
  <c r="Y1334" i="12"/>
  <c r="Y2534" i="12"/>
  <c r="Y2081" i="12"/>
  <c r="Y1078" i="12"/>
  <c r="Y1562" i="12"/>
  <c r="Y1639" i="12"/>
  <c r="Y1764" i="12"/>
  <c r="Y1721" i="12"/>
  <c r="Y1751" i="12"/>
  <c r="Y330" i="12"/>
  <c r="Y2488" i="12"/>
  <c r="Y1023" i="12"/>
  <c r="Y393" i="12"/>
  <c r="Y1810" i="12"/>
  <c r="Y338" i="12"/>
  <c r="Y1212" i="12"/>
  <c r="Y2022" i="12"/>
  <c r="Y2543" i="12"/>
  <c r="Y2507" i="12"/>
  <c r="Y2537" i="12"/>
  <c r="Y2118" i="12"/>
  <c r="Y2295" i="12"/>
  <c r="Y2307" i="12"/>
  <c r="Y693" i="12"/>
  <c r="Y2352" i="12"/>
  <c r="Y2514" i="12"/>
  <c r="Y1649" i="12"/>
  <c r="Y2072" i="12"/>
  <c r="Y2115" i="12"/>
  <c r="Y986" i="12"/>
  <c r="Y722" i="12"/>
  <c r="Y2404" i="12"/>
  <c r="Y1486" i="12"/>
  <c r="Y1827" i="12"/>
  <c r="Y1785" i="12"/>
  <c r="Y335" i="12"/>
  <c r="Y1469" i="12"/>
  <c r="Y1464" i="12"/>
  <c r="Y2467" i="12"/>
  <c r="Y1833" i="12"/>
  <c r="Y2128" i="12"/>
  <c r="Y1892" i="12"/>
  <c r="Y1384" i="12"/>
  <c r="Y1491" i="12"/>
  <c r="Y1427" i="12"/>
  <c r="Y754" i="12"/>
  <c r="Y1569" i="12"/>
  <c r="Y893" i="12"/>
  <c r="Y783" i="12"/>
  <c r="Y992" i="12"/>
  <c r="Y1754" i="12"/>
  <c r="Y660" i="12"/>
  <c r="Y1571" i="12"/>
  <c r="Y1977" i="12"/>
  <c r="Y2385" i="12"/>
  <c r="Y1889" i="12"/>
  <c r="Y917" i="12"/>
  <c r="Y254" i="12"/>
  <c r="Y897" i="12"/>
  <c r="Y2435" i="12"/>
  <c r="Y2116" i="12"/>
  <c r="Y663" i="12"/>
  <c r="Y911" i="12"/>
  <c r="Y2036" i="12"/>
  <c r="Y2341" i="12"/>
  <c r="Y98" i="12"/>
  <c r="Y1070" i="12"/>
  <c r="Y1633" i="12"/>
  <c r="Y1487" i="12"/>
  <c r="Y1817" i="12"/>
  <c r="Y1425" i="12"/>
  <c r="Y1670" i="12"/>
  <c r="Y2581" i="12"/>
  <c r="Y2260" i="12"/>
  <c r="Y1024" i="12"/>
  <c r="Y2114" i="12"/>
  <c r="Y2274" i="12"/>
  <c r="Y1718" i="12"/>
  <c r="Y1828" i="12"/>
  <c r="Y806" i="12"/>
  <c r="Y1501" i="12"/>
  <c r="Y1749" i="12"/>
  <c r="Y1824" i="12"/>
  <c r="Y2000" i="12"/>
  <c r="Y1832" i="12"/>
  <c r="Y1907" i="12"/>
  <c r="Y2271" i="12"/>
  <c r="Y2550" i="12"/>
  <c r="Y2311" i="12"/>
  <c r="Y419" i="12"/>
  <c r="Y1208" i="12"/>
  <c r="Y543" i="12"/>
  <c r="Y157" i="12"/>
  <c r="Y715" i="12"/>
  <c r="Y1628" i="12"/>
  <c r="Y2042" i="12"/>
  <c r="Y307" i="12"/>
  <c r="Y1561" i="12"/>
  <c r="Y1276" i="12"/>
  <c r="Y1935" i="12"/>
  <c r="Y147" i="12"/>
  <c r="Y1801" i="12"/>
  <c r="Y383" i="12"/>
  <c r="Y2140" i="12"/>
  <c r="Y1909" i="12"/>
  <c r="Y895" i="12"/>
  <c r="Y1021" i="12"/>
  <c r="Y2277" i="12"/>
  <c r="Y2343" i="12"/>
  <c r="Y1302" i="12"/>
  <c r="Y2200" i="12"/>
  <c r="Y2490" i="12"/>
  <c r="Y2401" i="12"/>
  <c r="Y2007" i="12"/>
  <c r="Y681" i="12"/>
  <c r="Y1512" i="12"/>
  <c r="Y2383" i="12"/>
  <c r="Y2459" i="12"/>
  <c r="Y2339" i="12"/>
  <c r="Y858" i="12"/>
  <c r="Y1556" i="12"/>
  <c r="Y1809" i="12"/>
  <c r="Y1590" i="12"/>
  <c r="Y2069" i="12"/>
  <c r="Y1789" i="12"/>
  <c r="Y1216" i="12"/>
  <c r="Y1706" i="12"/>
  <c r="Y2108" i="12"/>
  <c r="Y791" i="12"/>
  <c r="Y2639" i="12"/>
  <c r="Y456" i="12"/>
  <c r="Y1760" i="12"/>
  <c r="Y620" i="12"/>
  <c r="Y1485" i="12"/>
  <c r="Y2595" i="12"/>
  <c r="Y568" i="12"/>
  <c r="Y1165" i="12"/>
  <c r="Y2437" i="12"/>
  <c r="Y1447" i="12"/>
  <c r="AB2" i="12" l="1"/>
  <c r="AA2" i="12"/>
  <c r="AC2" i="12" l="1"/>
  <c r="AD2" i="12" s="1"/>
  <c r="AE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<sst xmlns="http://schemas.openxmlformats.org/spreadsheetml/2006/main" count="30611" uniqueCount="1834">
  <si>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</si>
  <si>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</si>
  <si>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</si>
  <si>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</si>
  <si>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</si>
  <si>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</si>
  <si>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</si>
  <si>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</si>
  <si>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</si>
  <si>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</si>
  <si>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</si>
  <si>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</si>
  <si>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</si>
  <si>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</si>
  <si>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</si>
  <si>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</si>
  <si>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</si>
  <si>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</si>
  <si>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</si>
  <si>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</si>
  <si>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</si>
  <si>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</si>
  <si>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</si>
  <si>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</si>
  <si>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</si>
  <si>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</si>
  <si>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</si>
  <si>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</si>
  <si>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</si>
  <si>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</si>
  <si>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</si>
  <si>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</si>
  <si>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</si>
  <si>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</si>
  <si>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</si>
  <si>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</si>
  <si>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</si>
  <si>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</si>
  <si>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</si>
  <si>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</si>
  <si>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</si>
  <si>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</si>
  <si>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</si>
  <si>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</si>
  <si>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</si>
  <si>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</si>
  <si>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</si>
  <si>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</si>
  <si>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</si>
  <si>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</si>
  <si>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</si>
  <si>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</si>
  <si>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</si>
  <si>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</si>
  <si>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</si>
  <si>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</si>
  <si>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</si>
  <si>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</si>
  <si>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</si>
  <si>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</si>
  <si>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</si>
  <si>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</si>
  <si>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</si>
  <si>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</si>
  <si>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</si>
  <si>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</si>
  <si>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</si>
  <si>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</si>
  <si>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</si>
  <si>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</si>
  <si>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</si>
  <si>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</si>
  <si>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</si>
  <si>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</si>
  <si>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</si>
  <si>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</si>
  <si>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</si>
  <si>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</si>
  <si>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</si>
  <si>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</si>
  <si>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</si>
  <si>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</si>
  <si>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</si>
  <si>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</si>
  <si>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</si>
  <si>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</si>
  <si>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</si>
  <si>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</si>
  <si>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</si>
  <si>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</si>
  <si>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</si>
  <si>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</si>
  <si>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</si>
  <si>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</si>
  <si>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</si>
  <si>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</si>
  <si>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</si>
  <si>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</si>
  <si>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</si>
  <si>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</si>
  <si>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</si>
  <si>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</si>
  <si>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</si>
  <si>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</si>
  <si>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</si>
  <si>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</si>
  <si>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</si>
  <si>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</si>
  <si>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</si>
  <si>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</si>
  <si>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</si>
  <si>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</si>
  <si>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</si>
  <si>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</si>
  <si>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</si>
  <si>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</si>
  <si>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</si>
  <si>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</si>
  <si>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</si>
  <si>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</si>
  <si>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</si>
  <si>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</si>
  <si>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</si>
  <si>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</si>
  <si>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</si>
  <si>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</si>
  <si>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</si>
  <si>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</si>
  <si>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</si>
  <si>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</si>
  <si>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</si>
  <si>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</si>
  <si>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</si>
  <si>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</si>
  <si>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</si>
  <si>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</si>
  <si>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</si>
  <si>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</si>
  <si>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</si>
  <si>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</si>
  <si>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</si>
  <si>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</si>
  <si>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</si>
  <si>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</si>
  <si>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</si>
  <si>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</si>
  <si>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</si>
  <si>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</si>
  <si>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</si>
  <si>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</si>
  <si>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</si>
  <si>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</si>
  <si>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</si>
  <si>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</si>
  <si>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</si>
  <si>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</si>
  <si>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</si>
  <si>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</si>
  <si>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</si>
  <si>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</si>
  <si>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</si>
  <si>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</si>
  <si>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</si>
  <si>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</si>
  <si>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</si>
  <si>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</si>
  <si>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</si>
  <si>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</si>
  <si>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</si>
  <si>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</si>
  <si>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</si>
  <si>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</si>
  <si>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</si>
  <si>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</si>
  <si>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</si>
  <si>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</si>
  <si>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</si>
  <si>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</si>
  <si>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turn</t>
  </si>
  <si>
    <t>20 turn</t>
  </si>
  <si>
    <t>50 turn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</si>
  <si>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</si>
  <si>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</si>
  <si>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</si>
  <si>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</si>
  <si>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</si>
  <si>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</si>
  <si>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</si>
  <si>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</si>
  <si>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</si>
  <si>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</si>
  <si>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</si>
  <si>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</si>
  <si>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</si>
  <si>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</si>
  <si>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</si>
  <si>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</si>
  <si>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</si>
  <si>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</si>
  <si>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</si>
  <si>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</si>
  <si>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</si>
  <si>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</si>
  <si>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</si>
  <si>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</si>
  <si>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</si>
  <si>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</si>
  <si>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</si>
  <si>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</si>
  <si>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</si>
  <si>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</si>
  <si>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</si>
  <si>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</si>
  <si>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</si>
  <si>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</si>
  <si>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</si>
  <si>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</si>
  <si>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</si>
  <si>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</si>
  <si>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</si>
  <si>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</si>
  <si>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</si>
  <si>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</si>
  <si>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</si>
  <si>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</si>
  <si>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</si>
  <si>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</si>
  <si>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</si>
  <si>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</si>
  <si>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</si>
  <si>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</si>
  <si>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</si>
  <si>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</si>
  <si>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</si>
  <si>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</si>
  <si>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</si>
  <si>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</si>
  <si>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</si>
  <si>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</si>
  <si>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</si>
  <si>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</si>
  <si>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</si>
  <si>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</si>
  <si>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</si>
  <si>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</si>
  <si>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</si>
  <si>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</si>
  <si>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</si>
  <si>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</si>
  <si>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</si>
  <si>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</si>
  <si>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</si>
  <si>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</si>
  <si>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</si>
  <si>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</si>
  <si>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</si>
  <si>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</si>
  <si>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</si>
  <si>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</si>
  <si>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</si>
  <si>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</si>
  <si>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</si>
  <si>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</si>
  <si>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</si>
  <si>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</si>
  <si>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</si>
  <si>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</si>
  <si>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</si>
  <si>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</si>
  <si>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</si>
  <si>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</si>
  <si>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</si>
  <si>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</si>
  <si>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</si>
  <si>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</si>
  <si>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</si>
  <si>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</si>
  <si>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</si>
  <si>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</si>
  <si>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</si>
  <si>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</si>
  <si>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</si>
  <si>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</si>
  <si>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</si>
  <si>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</si>
  <si>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</si>
  <si>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</si>
  <si>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</si>
  <si>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</si>
  <si>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</si>
  <si>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</si>
  <si>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</si>
  <si>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</si>
  <si>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</si>
  <si>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</si>
  <si>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</si>
  <si>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</si>
  <si>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</si>
  <si>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</si>
  <si>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</si>
  <si>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</si>
  <si>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</si>
  <si>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</si>
  <si>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</si>
  <si>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</si>
  <si>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</si>
  <si>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</si>
  <si>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</si>
  <si>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</si>
  <si>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</si>
  <si>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</si>
  <si>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</si>
  <si>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</si>
  <si>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</si>
  <si>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</si>
  <si>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</si>
  <si>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</si>
  <si>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</si>
  <si>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</si>
  <si>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</si>
  <si>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</si>
  <si>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</si>
  <si>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</si>
  <si>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</si>
  <si>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</si>
  <si>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</si>
  <si>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</si>
  <si>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</si>
  <si>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</si>
  <si>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</si>
  <si>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</si>
  <si>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</si>
  <si>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</si>
  <si>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</si>
  <si>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</si>
  <si>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</si>
  <si>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</si>
  <si>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</si>
  <si>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</si>
  <si>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</si>
  <si>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</si>
  <si>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</si>
  <si>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</si>
  <si>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</si>
  <si>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</si>
  <si>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</si>
  <si>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</si>
  <si>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</si>
  <si>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</si>
  <si>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</si>
  <si>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</si>
  <si>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</si>
  <si>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</si>
  <si>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</si>
  <si>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</si>
  <si>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</si>
  <si>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</si>
  <si>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</si>
  <si>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</si>
  <si>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</si>
  <si>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</si>
  <si>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</si>
  <si>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</si>
  <si>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</si>
  <si>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</si>
  <si>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</si>
  <si>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</si>
  <si>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</si>
  <si>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</si>
  <si>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</si>
  <si>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</si>
  <si>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</si>
  <si>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</si>
  <si>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</si>
  <si>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</si>
  <si>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</si>
  <si>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</si>
  <si>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</si>
  <si>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</si>
  <si>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</si>
  <si>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</si>
  <si>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</si>
  <si>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</si>
  <si>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</si>
  <si>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</si>
  <si>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</si>
  <si>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</si>
  <si>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</si>
  <si>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</si>
  <si>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</si>
  <si>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</si>
  <si>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</si>
  <si>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</si>
  <si>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</si>
  <si>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</si>
  <si>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</si>
  <si>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</si>
  <si>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</si>
  <si>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</si>
  <si>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</si>
  <si>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</si>
  <si>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</si>
  <si>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</si>
  <si>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</si>
  <si>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</si>
  <si>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</si>
  <si>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</si>
  <si>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</si>
  <si>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</si>
  <si>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</si>
  <si>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</si>
  <si>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</si>
  <si>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</si>
  <si>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</si>
  <si>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</si>
  <si>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</si>
  <si>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</si>
  <si>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</si>
  <si>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</si>
  <si>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</si>
  <si>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</si>
  <si>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</si>
  <si>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</si>
  <si>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</si>
  <si>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</si>
  <si>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</si>
  <si>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</si>
  <si>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</si>
  <si>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</si>
  <si>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</si>
  <si>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</si>
  <si>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</si>
  <si>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</si>
  <si>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</si>
  <si>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</si>
  <si>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</si>
  <si>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</si>
  <si>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</si>
  <si>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</si>
  <si>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300 mV</t>
  </si>
  <si>
    <t>4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</si>
  <si>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</si>
  <si>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</si>
  <si>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</si>
  <si>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</si>
  <si>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</si>
  <si>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</si>
  <si>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</si>
  <si>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</si>
  <si>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</si>
  <si>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</si>
  <si>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</si>
  <si>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</si>
  <si>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</si>
  <si>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</si>
  <si>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</si>
  <si>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</si>
  <si>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</si>
  <si>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</si>
  <si>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</si>
  <si>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</si>
  <si>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</si>
  <si>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</si>
  <si>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</si>
  <si>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</si>
  <si>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</si>
  <si>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</si>
  <si>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</si>
  <si>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</si>
  <si>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</si>
  <si>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</si>
  <si>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</si>
  <si>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</si>
  <si>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</si>
  <si>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</si>
  <si>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</si>
  <si>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</si>
  <si>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</si>
  <si>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</si>
  <si>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</si>
  <si>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</si>
  <si>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</si>
  <si>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</si>
  <si>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</si>
  <si>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</si>
  <si>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</si>
  <si>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</si>
  <si>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</si>
  <si>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</si>
  <si>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</si>
  <si>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</si>
  <si>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</si>
  <si>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</si>
  <si>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</si>
  <si>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</si>
  <si>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</si>
  <si>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</si>
  <si>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</si>
  <si>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</si>
  <si>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</si>
  <si>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</si>
  <si>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</si>
  <si>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</si>
  <si>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</si>
  <si>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</si>
  <si>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</si>
  <si>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</si>
  <si>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</si>
  <si>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</si>
  <si>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</si>
  <si>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</si>
  <si>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</si>
  <si>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</si>
  <si>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</si>
  <si>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</si>
  <si>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</si>
  <si>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</si>
  <si>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</si>
  <si>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</si>
  <si>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</si>
  <si>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</si>
  <si>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</si>
  <si>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</si>
  <si>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</si>
  <si>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</si>
  <si>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</si>
  <si>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</si>
  <si>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</si>
  <si>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</si>
  <si>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</si>
  <si>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</si>
  <si>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</si>
  <si>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</si>
  <si>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</si>
  <si>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</si>
  <si>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</si>
  <si>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</si>
  <si>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</si>
  <si>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</si>
  <si>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</si>
  <si>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</si>
  <si>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</si>
  <si>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</si>
  <si>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</si>
  <si>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</si>
  <si>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</si>
  <si>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</si>
  <si>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0.47 Ω</t>
  </si>
  <si>
    <t>0.83 Ω</t>
  </si>
  <si>
    <t>6.5 Ω</t>
  </si>
  <si>
    <t>6 Ω</t>
  </si>
  <si>
    <t>320 mA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</si>
  <si>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</si>
  <si>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</si>
  <si>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</si>
  <si>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</si>
  <si>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</si>
  <si>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</si>
  <si>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</si>
  <si>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</si>
  <si>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</si>
  <si>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</si>
  <si>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</si>
  <si>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</si>
  <si>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</si>
  <si>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</si>
  <si>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</si>
  <si>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</si>
  <si>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</si>
  <si>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</si>
  <si>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</si>
  <si>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</si>
  <si>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</si>
  <si>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</si>
  <si>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</si>
  <si>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</si>
  <si>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</si>
  <si>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</si>
  <si>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</si>
  <si>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</si>
  <si>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</si>
  <si>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</si>
  <si>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</si>
  <si>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</si>
  <si>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</si>
  <si>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</si>
  <si>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</si>
  <si>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</si>
  <si>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</si>
  <si>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</si>
  <si>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</si>
  <si>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</si>
  <si>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</si>
  <si>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</si>
  <si>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</si>
  <si>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</si>
  <si>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</si>
  <si>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</si>
  <si>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</si>
  <si>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</si>
  <si>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</si>
  <si>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</si>
  <si>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</si>
  <si>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</si>
  <si>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</si>
  <si>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</si>
  <si>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</si>
  <si>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</si>
  <si>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</si>
  <si>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</si>
  <si>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</si>
  <si>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</si>
  <si>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</si>
  <si>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</si>
  <si>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</si>
  <si>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</si>
  <si>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</si>
  <si>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</si>
  <si>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</si>
  <si>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</si>
  <si>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</si>
  <si>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</si>
  <si>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</si>
  <si>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</si>
  <si>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</si>
  <si>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</si>
  <si>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</si>
  <si>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</si>
  <si>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</si>
  <si>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</si>
  <si>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</si>
  <si>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Uncertainty Lookup Table Last Updated:</t>
  </si>
  <si>
    <t>33 mV</t>
  </si>
  <si>
    <t>0.09 Hz</t>
  </si>
  <si>
    <t>0.0011 Hz</t>
  </si>
  <si>
    <t>0.0013 Hz</t>
  </si>
  <si>
    <t>0.0056 Hz</t>
  </si>
  <si>
    <t>0.0096 Hz</t>
  </si>
  <si>
    <t>*</t>
  </si>
  <si>
    <t>780 mV</t>
  </si>
  <si>
    <t>7.4 µA</t>
  </si>
  <si>
    <t>350 mA</t>
  </si>
  <si>
    <t>kΩ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</si>
  <si>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</si>
  <si>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</si>
  <si>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</si>
  <si>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</si>
  <si>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</si>
  <si>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</si>
  <si>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</si>
  <si>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</si>
  <si>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</si>
  <si>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</si>
  <si>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</si>
  <si>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</si>
  <si>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</si>
  <si>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</si>
  <si>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</si>
  <si>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</si>
  <si>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</si>
  <si>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24 mΩ</t>
  </si>
  <si>
    <t>25 mΩ</t>
  </si>
  <si>
    <t>67 mΩ</t>
  </si>
  <si>
    <t>640 mΩ</t>
  </si>
  <si>
    <t>3 mΩ</t>
  </si>
  <si>
    <t>5.1 mΩ</t>
  </si>
  <si>
    <t>3.3 mΩ</t>
  </si>
  <si>
    <t>5.3 mΩ</t>
  </si>
  <si>
    <t>8.6 mΩ</t>
  </si>
  <si>
    <t>10 mΩ</t>
  </si>
  <si>
    <t>64 mΩ</t>
  </si>
  <si>
    <t>600 mΩ</t>
  </si>
  <si>
    <t>590 mΩ</t>
  </si>
  <si>
    <t>0.62 µV</t>
  </si>
  <si>
    <t>5.8 µV</t>
  </si>
  <si>
    <t>58 µV</t>
  </si>
  <si>
    <t>580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</si>
  <si>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</si>
  <si>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</si>
  <si>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</si>
  <si>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</si>
  <si>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</si>
  <si>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</si>
  <si>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</si>
  <si>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</si>
  <si>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6.7 µV</t>
  </si>
  <si>
    <t>5800 µV</t>
  </si>
  <si>
    <t>21 µV</t>
  </si>
  <si>
    <t>33 µV</t>
  </si>
  <si>
    <t>22 µV</t>
  </si>
  <si>
    <t>34 µV</t>
  </si>
  <si>
    <t>64 µV</t>
  </si>
  <si>
    <t>69 µV</t>
  </si>
  <si>
    <t>58000 µV</t>
  </si>
  <si>
    <t>190 µV</t>
  </si>
  <si>
    <t>290 µV</t>
  </si>
  <si>
    <t>200 µV</t>
  </si>
  <si>
    <t>300 µV</t>
  </si>
  <si>
    <t>620 µV</t>
  </si>
  <si>
    <t>660 µV</t>
  </si>
  <si>
    <t>580000 µV</t>
  </si>
  <si>
    <t>2.2 mV</t>
  </si>
  <si>
    <t>3.4 mV</t>
  </si>
  <si>
    <t>2.3 mV</t>
  </si>
  <si>
    <t>3.5 mV</t>
  </si>
  <si>
    <t>6.4 mV</t>
  </si>
  <si>
    <t>6.9 mV</t>
  </si>
  <si>
    <t>120 µΩ</t>
  </si>
  <si>
    <t>180 µΩ</t>
  </si>
  <si>
    <t>130 µΩ</t>
  </si>
  <si>
    <t>190 µΩ</t>
  </si>
  <si>
    <t>590 µΩ</t>
  </si>
  <si>
    <t>610 µΩ</t>
  </si>
  <si>
    <t>5800 µΩ</t>
  </si>
  <si>
    <t>58000 µΩ</t>
  </si>
  <si>
    <t>580000 µΩ</t>
  </si>
  <si>
    <t>5800000 µΩ</t>
  </si>
  <si>
    <t>58000000 µΩ</t>
  </si>
  <si>
    <t>580000000 µΩ</t>
  </si>
  <si>
    <t>5800000000 µΩ</t>
  </si>
  <si>
    <t>58000000000 µΩ</t>
  </si>
  <si>
    <t>580000000000 µΩ</t>
  </si>
  <si>
    <t>1100 µΩ</t>
  </si>
  <si>
    <t>1600 µΩ</t>
  </si>
  <si>
    <t>1300 µΩ</t>
  </si>
  <si>
    <t>1700 µΩ</t>
  </si>
  <si>
    <t>5900 µΩ</t>
  </si>
  <si>
    <t>6000 µΩ</t>
  </si>
  <si>
    <t>5400 µΩ</t>
  </si>
  <si>
    <t>9000 µΩ</t>
  </si>
  <si>
    <t>8600 µΩ</t>
  </si>
  <si>
    <t>11000 µΩ</t>
  </si>
  <si>
    <t>59000 µΩ</t>
  </si>
  <si>
    <t>54 mΩ</t>
  </si>
  <si>
    <t>90 mΩ</t>
  </si>
  <si>
    <t>85 mΩ</t>
  </si>
  <si>
    <t>110 mΩ</t>
  </si>
  <si>
    <t>580 mΩ</t>
  </si>
  <si>
    <t>5800 mΩ</t>
  </si>
  <si>
    <t>58000 mΩ</t>
  </si>
  <si>
    <t>540 mΩ</t>
  </si>
  <si>
    <t>900 mΩ</t>
  </si>
  <si>
    <t>860 mΩ</t>
  </si>
  <si>
    <t>1100 mΩ</t>
  </si>
  <si>
    <t>5900 mΩ</t>
  </si>
  <si>
    <t>580000 mΩ</t>
  </si>
  <si>
    <t>24 kΩ</t>
  </si>
  <si>
    <t>42 kΩ</t>
  </si>
  <si>
    <t>26 kΩ</t>
  </si>
  <si>
    <t>66 kΩ</t>
  </si>
  <si>
    <t>74 kΩ</t>
  </si>
  <si>
    <t>5800 kΩ</t>
  </si>
  <si>
    <t>2300 kΩ</t>
  </si>
  <si>
    <t>4100 kΩ</t>
  </si>
  <si>
    <t>6600 kΩ</t>
  </si>
  <si>
    <t>7400 kΩ</t>
  </si>
  <si>
    <t>58000 kΩ</t>
  </si>
  <si>
    <t>0.86 µV</t>
  </si>
  <si>
    <t>1.2 µV</t>
  </si>
  <si>
    <t>1 µV</t>
  </si>
  <si>
    <t>1.3 µV</t>
  </si>
  <si>
    <t>5.9 µV</t>
  </si>
  <si>
    <t>5.8 mV</t>
  </si>
  <si>
    <t>2.8 µV</t>
  </si>
  <si>
    <t>4.6 µV</t>
  </si>
  <si>
    <t>2.9 µV</t>
  </si>
  <si>
    <t>4.7 µV</t>
  </si>
  <si>
    <t>6.8 µV</t>
  </si>
  <si>
    <t>7.7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</si>
  <si>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</si>
  <si>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</si>
  <si>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</si>
  <si>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</si>
  <si>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</si>
  <si>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</si>
  <si>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</si>
  <si>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</si>
  <si>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</si>
  <si>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</si>
  <si>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</si>
  <si>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6.2 mV</t>
  </si>
  <si>
    <t>3.7 mV</t>
  </si>
  <si>
    <t>7.4 mV</t>
  </si>
  <si>
    <t>9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</si>
  <si>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</si>
  <si>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</si>
  <si>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</si>
  <si>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</si>
  <si>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</si>
  <si>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</si>
  <si>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</si>
  <si>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</si>
  <si>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</si>
  <si>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</si>
  <si>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</si>
  <si>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</si>
  <si>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</si>
  <si>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</si>
  <si>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</si>
  <si>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</si>
  <si>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</si>
  <si>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</si>
  <si>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</si>
  <si>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</si>
  <si>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</si>
  <si>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</si>
  <si>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</si>
  <si>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</si>
  <si>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</si>
  <si>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</si>
  <si>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</si>
  <si>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</si>
  <si>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</si>
  <si>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</si>
  <si>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</si>
  <si>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</si>
  <si>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</si>
  <si>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</si>
  <si>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</si>
  <si>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</si>
  <si>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</si>
  <si>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</si>
  <si>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</si>
  <si>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</si>
  <si>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58 µA</t>
  </si>
  <si>
    <t>2.3 µA</t>
  </si>
  <si>
    <t>3.5 µA</t>
  </si>
  <si>
    <t>6.4 µA</t>
  </si>
  <si>
    <t>6.9 µA</t>
  </si>
  <si>
    <t>580 µA</t>
  </si>
  <si>
    <t>64 µA</t>
  </si>
  <si>
    <t>100 µA</t>
  </si>
  <si>
    <t>92 µA</t>
  </si>
  <si>
    <t>120 µA</t>
  </si>
  <si>
    <t>590 µA</t>
  </si>
  <si>
    <t>5800 µA</t>
  </si>
  <si>
    <t>0.094 mA</t>
  </si>
  <si>
    <t>0.12 mA</t>
  </si>
  <si>
    <t>0.099 mA</t>
  </si>
  <si>
    <t>0.58 mA</t>
  </si>
  <si>
    <t>0.59 mA</t>
  </si>
  <si>
    <t>5.8 mA</t>
  </si>
  <si>
    <t>58 mA</t>
  </si>
  <si>
    <t>260 µV</t>
  </si>
  <si>
    <t>8.1 µV</t>
  </si>
  <si>
    <t>11 µV</t>
  </si>
  <si>
    <t>5.4 µV</t>
  </si>
  <si>
    <t>140 µV</t>
  </si>
  <si>
    <t>330 µV</t>
  </si>
  <si>
    <t>3.9 µV</t>
  </si>
  <si>
    <t>4.9 µV</t>
  </si>
  <si>
    <t>150 µV</t>
  </si>
  <si>
    <t>3.5 µV</t>
  </si>
  <si>
    <t>4.1 µV</t>
  </si>
  <si>
    <t>720 µV</t>
  </si>
  <si>
    <t>1600 µV</t>
  </si>
  <si>
    <t>44 µV</t>
  </si>
  <si>
    <t>3.8 µV</t>
  </si>
  <si>
    <t>4.8 µV</t>
  </si>
  <si>
    <t>45 µV</t>
  </si>
  <si>
    <t>340 µV</t>
  </si>
  <si>
    <t>4.2 µV</t>
  </si>
  <si>
    <t>7.1 µV</t>
  </si>
  <si>
    <t>7.9 µV</t>
  </si>
  <si>
    <t>8.8 µV</t>
  </si>
  <si>
    <t>7 µV</t>
  </si>
  <si>
    <t>7.6 µV</t>
  </si>
  <si>
    <t>25 µV</t>
  </si>
  <si>
    <t>10 µV</t>
  </si>
  <si>
    <t>13 µV</t>
  </si>
  <si>
    <t>740 µV</t>
  </si>
  <si>
    <t>66 µV</t>
  </si>
  <si>
    <t>590 µV</t>
  </si>
  <si>
    <t>180 µV</t>
  </si>
  <si>
    <t>1100 µV</t>
  </si>
  <si>
    <t>1800 µV</t>
  </si>
  <si>
    <t>700 µV</t>
  </si>
  <si>
    <t>870 µV</t>
  </si>
  <si>
    <t>630 µV</t>
  </si>
  <si>
    <t>690 µV</t>
  </si>
  <si>
    <t>5900 µV</t>
  </si>
  <si>
    <t>6100 µV</t>
  </si>
  <si>
    <t>18 µV</t>
  </si>
  <si>
    <t>28 µV</t>
  </si>
  <si>
    <t>9.2 µV</t>
  </si>
  <si>
    <t>42 µV</t>
  </si>
  <si>
    <t>70 µV</t>
  </si>
  <si>
    <t>8.7 µV</t>
  </si>
  <si>
    <t>2000 µV</t>
  </si>
  <si>
    <t>3300 µV</t>
  </si>
  <si>
    <t>9.8 µV</t>
  </si>
  <si>
    <t>15 µV</t>
  </si>
  <si>
    <t>490 µV</t>
  </si>
  <si>
    <t>850 µV</t>
  </si>
  <si>
    <t>1200 µV</t>
  </si>
  <si>
    <t>7200 µV</t>
  </si>
  <si>
    <t>12000 µV</t>
  </si>
  <si>
    <t>9.7 µV</t>
  </si>
  <si>
    <t>14 µV</t>
  </si>
  <si>
    <t>7300 µV</t>
  </si>
  <si>
    <t>9.1 µV</t>
  </si>
  <si>
    <t>12 µV</t>
  </si>
  <si>
    <t>16 µV</t>
  </si>
  <si>
    <t>19 µV</t>
  </si>
  <si>
    <t>43 µV</t>
  </si>
  <si>
    <t>62 µV</t>
  </si>
  <si>
    <t>500 µV</t>
  </si>
  <si>
    <t>170 µV</t>
  </si>
  <si>
    <t>270 µV</t>
  </si>
  <si>
    <t>77 µV</t>
  </si>
  <si>
    <t>95 µV</t>
  </si>
  <si>
    <t>60 µV</t>
  </si>
  <si>
    <t>1000 µV</t>
  </si>
  <si>
    <t>1400 µV</t>
  </si>
  <si>
    <t>2100 µV</t>
  </si>
  <si>
    <t>3400 µV</t>
  </si>
  <si>
    <t>830 µV</t>
  </si>
  <si>
    <t>610 µV</t>
  </si>
  <si>
    <t>650 µV</t>
  </si>
  <si>
    <t>400 µV</t>
  </si>
  <si>
    <t>680 µV</t>
  </si>
  <si>
    <t>57 µV</t>
  </si>
  <si>
    <t>81 µV</t>
  </si>
  <si>
    <t>20 mV</t>
  </si>
  <si>
    <t>34 mV</t>
  </si>
  <si>
    <t>1500 µV</t>
  </si>
  <si>
    <t>2600 µV</t>
  </si>
  <si>
    <t>7400 µV</t>
  </si>
  <si>
    <t>73 mV</t>
  </si>
  <si>
    <t>120 mV</t>
  </si>
  <si>
    <t>90 µV</t>
  </si>
  <si>
    <t>160 µV</t>
  </si>
  <si>
    <t>80 µV</t>
  </si>
  <si>
    <t>100 µV</t>
  </si>
  <si>
    <t>4900 µV</t>
  </si>
  <si>
    <t>8500 µV</t>
  </si>
  <si>
    <t>7500 µV</t>
  </si>
  <si>
    <t>13000 µV</t>
  </si>
  <si>
    <t>84 µV</t>
  </si>
  <si>
    <t>99 µV</t>
  </si>
  <si>
    <t>120 µV</t>
  </si>
  <si>
    <t>410 µV</t>
  </si>
  <si>
    <t>280 µV</t>
  </si>
  <si>
    <t>110 µV</t>
  </si>
  <si>
    <t>5000 µV</t>
  </si>
  <si>
    <t>770 µV</t>
  </si>
  <si>
    <t>940 µV</t>
  </si>
  <si>
    <t>1700 µV</t>
  </si>
  <si>
    <t>2700 µV</t>
  </si>
  <si>
    <t>6500 µV</t>
  </si>
  <si>
    <t>21 mV</t>
  </si>
  <si>
    <t>10000 µV</t>
  </si>
  <si>
    <t>14000 µV</t>
  </si>
  <si>
    <t>8300 µV</t>
  </si>
  <si>
    <t>11000 µV</t>
  </si>
  <si>
    <t>200 mV</t>
  </si>
  <si>
    <t>340 mV</t>
  </si>
  <si>
    <t>4 mV</t>
  </si>
  <si>
    <t>6.8 mV</t>
  </si>
  <si>
    <t>0.92 mV</t>
  </si>
  <si>
    <t>1.4 mV</t>
  </si>
  <si>
    <t>0.83 mV</t>
  </si>
  <si>
    <t>1.1 mV</t>
  </si>
  <si>
    <t>15 mV</t>
  </si>
  <si>
    <t>26 mV</t>
  </si>
  <si>
    <t>0.59 mV</t>
  </si>
  <si>
    <t>0.84 mV</t>
  </si>
  <si>
    <t>330 mV</t>
  </si>
  <si>
    <t>1.6 mV</t>
  </si>
  <si>
    <t>2.7 mV</t>
  </si>
  <si>
    <t>730 mV</t>
  </si>
  <si>
    <t>1200 mV</t>
  </si>
  <si>
    <t>74 mV</t>
  </si>
  <si>
    <t>130 mV</t>
  </si>
  <si>
    <t>49 mV</t>
  </si>
  <si>
    <t>85 mV</t>
  </si>
  <si>
    <t>75 mV</t>
  </si>
  <si>
    <t>0.93 mV</t>
  </si>
  <si>
    <t>4.1 mV</t>
  </si>
  <si>
    <t>0.85 mV</t>
  </si>
  <si>
    <t>1 mV</t>
  </si>
  <si>
    <t>1.3 mV</t>
  </si>
  <si>
    <t>1.8 mV</t>
  </si>
  <si>
    <t>2.8 mV</t>
  </si>
  <si>
    <t>1.5 mV</t>
  </si>
  <si>
    <t>5.9 mV</t>
  </si>
  <si>
    <t>6 mV</t>
  </si>
  <si>
    <t>17 mV</t>
  </si>
  <si>
    <t>27 mV</t>
  </si>
  <si>
    <t>50 mV</t>
  </si>
  <si>
    <t>6.5 mV</t>
  </si>
  <si>
    <t>7.7 mV</t>
  </si>
  <si>
    <t>9.5 mV</t>
  </si>
  <si>
    <t>61 mV</t>
  </si>
  <si>
    <t>65 mV</t>
  </si>
  <si>
    <t>100 mV</t>
  </si>
  <si>
    <t>140 mV</t>
  </si>
  <si>
    <t>210 mV</t>
  </si>
  <si>
    <t>350 mV</t>
  </si>
  <si>
    <t>83 mV</t>
  </si>
  <si>
    <t>110 mV</t>
  </si>
  <si>
    <t>240 mV</t>
  </si>
  <si>
    <t>310 mV</t>
  </si>
  <si>
    <t>5.4 mV</t>
  </si>
  <si>
    <t>6.3 mV</t>
  </si>
  <si>
    <t>9.4 mV</t>
  </si>
  <si>
    <t>91 mV</t>
  </si>
  <si>
    <t>8.6 mV</t>
  </si>
  <si>
    <t>9.6 mV</t>
  </si>
  <si>
    <t>10 mV</t>
  </si>
  <si>
    <t>7.9 mV</t>
  </si>
  <si>
    <t>11 mV</t>
  </si>
  <si>
    <t>93 mV</t>
  </si>
  <si>
    <t>270 mV</t>
  </si>
  <si>
    <t>64 mV</t>
  </si>
  <si>
    <t>59 mV</t>
  </si>
  <si>
    <t>1000 mV</t>
  </si>
  <si>
    <t>1400 mV</t>
  </si>
  <si>
    <t>640 mV</t>
  </si>
  <si>
    <t>690 mV</t>
  </si>
  <si>
    <t>590 mV</t>
  </si>
  <si>
    <t>650 mV</t>
  </si>
  <si>
    <t>700 mV</t>
  </si>
  <si>
    <t>24 mV</t>
  </si>
  <si>
    <t>14 mV</t>
  </si>
  <si>
    <t>19 mV</t>
  </si>
  <si>
    <t>78 mV</t>
  </si>
  <si>
    <t>16 mV</t>
  </si>
  <si>
    <t>22 mV</t>
  </si>
  <si>
    <t>79 mV</t>
  </si>
  <si>
    <t>23 mV</t>
  </si>
  <si>
    <t>25 mV</t>
  </si>
  <si>
    <t>68 mV</t>
  </si>
  <si>
    <t>60 mV</t>
  </si>
  <si>
    <t>150 mV</t>
  </si>
  <si>
    <t>280 mV</t>
  </si>
  <si>
    <t>370 mV</t>
  </si>
  <si>
    <t>900 mV</t>
  </si>
  <si>
    <t>2500 mV</t>
  </si>
  <si>
    <t>160 mV</t>
  </si>
  <si>
    <t>510 mV</t>
  </si>
  <si>
    <t>520 mV</t>
  </si>
  <si>
    <t>170 mV</t>
  </si>
  <si>
    <t>380 mV</t>
  </si>
  <si>
    <t>910 mV</t>
  </si>
  <si>
    <t>810 mV</t>
  </si>
  <si>
    <t>680 mV</t>
  </si>
  <si>
    <t>750 mV</t>
  </si>
  <si>
    <t>1600 mV</t>
  </si>
  <si>
    <t>2600 mV</t>
  </si>
  <si>
    <t>610 mV</t>
  </si>
  <si>
    <t>600 mV</t>
  </si>
  <si>
    <t>940 mV</t>
  </si>
  <si>
    <t>410 mV</t>
  </si>
  <si>
    <t>570 mV</t>
  </si>
  <si>
    <t>390 mV</t>
  </si>
  <si>
    <t>290 mV</t>
  </si>
  <si>
    <t>420 mV</t>
  </si>
  <si>
    <t>840 mV</t>
  </si>
  <si>
    <t>710 mV</t>
  </si>
  <si>
    <t>720 mV</t>
  </si>
  <si>
    <t>0.058 µA</t>
  </si>
  <si>
    <t>0.086 µA</t>
  </si>
  <si>
    <t>0.2 µA</t>
  </si>
  <si>
    <t>0.37 µA</t>
  </si>
  <si>
    <t>0.089 µA</t>
  </si>
  <si>
    <t>0.083 µA</t>
  </si>
  <si>
    <t>0.1 µA</t>
  </si>
  <si>
    <t>0.38 µA</t>
  </si>
  <si>
    <t>0.11 µA</t>
  </si>
  <si>
    <t>0.58 µA</t>
  </si>
  <si>
    <t>0.59 µA</t>
  </si>
  <si>
    <t>0.64 µA</t>
  </si>
  <si>
    <t>0.71 µA</t>
  </si>
  <si>
    <t>58000 µA</t>
  </si>
  <si>
    <t>580000 µA</t>
  </si>
  <si>
    <t>2.1 µA</t>
  </si>
  <si>
    <t>4.5 µA</t>
  </si>
  <si>
    <t>0.53 µA</t>
  </si>
  <si>
    <t>0.75 µA</t>
  </si>
  <si>
    <t>0.39 µA</t>
  </si>
  <si>
    <t>0.5 µA</t>
  </si>
  <si>
    <t>0.52 µA</t>
  </si>
  <si>
    <t>0.72 µA</t>
  </si>
  <si>
    <t>0.95 µA</t>
  </si>
  <si>
    <t>1.5 µA</t>
  </si>
  <si>
    <t>2.4 µA</t>
  </si>
  <si>
    <t>3.8 µA</t>
  </si>
  <si>
    <t>6.5 µA</t>
  </si>
  <si>
    <t>2.2 µA</t>
  </si>
  <si>
    <t>3.6 µA</t>
  </si>
  <si>
    <t>2.5 µA</t>
  </si>
  <si>
    <t>3.9 µA</t>
  </si>
  <si>
    <t>0.8 µA</t>
  </si>
  <si>
    <t>0.7 µA</t>
  </si>
  <si>
    <t>0.77 µA</t>
  </si>
  <si>
    <t>0.81 µA</t>
  </si>
  <si>
    <t>0.96 µA</t>
  </si>
  <si>
    <t>1.2 µA</t>
  </si>
  <si>
    <t>1.6 µA</t>
  </si>
  <si>
    <t>7.1 µA</t>
  </si>
  <si>
    <t>5.9 µA</t>
  </si>
  <si>
    <t>6 µA</t>
  </si>
  <si>
    <t>7 µA</t>
  </si>
  <si>
    <t>7.6 µA</t>
  </si>
  <si>
    <t>8.9 µA</t>
  </si>
  <si>
    <t>21 µA</t>
  </si>
  <si>
    <t>35 µA</t>
  </si>
  <si>
    <t>5 µA</t>
  </si>
  <si>
    <t>9.5 µA</t>
  </si>
  <si>
    <t>15 µA</t>
  </si>
  <si>
    <t>5.2 µA</t>
  </si>
  <si>
    <t>7.2 µA</t>
  </si>
  <si>
    <t>45 µA</t>
  </si>
  <si>
    <t>5.3 µA</t>
  </si>
  <si>
    <t>7.5 µA</t>
  </si>
  <si>
    <t>24 µA</t>
  </si>
  <si>
    <t>38 µA</t>
  </si>
  <si>
    <t>65 µA</t>
  </si>
  <si>
    <t>5.4 µA</t>
  </si>
  <si>
    <t>12 µA</t>
  </si>
  <si>
    <t>16 µA</t>
  </si>
  <si>
    <t>8.1 µA</t>
  </si>
  <si>
    <t>9.7 µA</t>
  </si>
  <si>
    <t>25 µA</t>
  </si>
  <si>
    <t>39 µA</t>
  </si>
  <si>
    <t>8 µA</t>
  </si>
  <si>
    <t>7.7 µA</t>
  </si>
  <si>
    <t>22 µA</t>
  </si>
  <si>
    <t>36 µA</t>
  </si>
  <si>
    <t>59 µA</t>
  </si>
  <si>
    <t>60 µA</t>
  </si>
  <si>
    <t>71 µA</t>
  </si>
  <si>
    <t>76 µA</t>
  </si>
  <si>
    <t>89 µA</t>
  </si>
  <si>
    <t>70 µA</t>
  </si>
  <si>
    <t>53 µA</t>
  </si>
  <si>
    <t>75 µA</t>
  </si>
  <si>
    <t>52 µA</t>
  </si>
  <si>
    <t>72 µA</t>
  </si>
  <si>
    <t>95 µA</t>
  </si>
  <si>
    <t>150 µA</t>
  </si>
  <si>
    <t>240 µA</t>
  </si>
  <si>
    <t>380 µA</t>
  </si>
  <si>
    <t>50 µA</t>
  </si>
  <si>
    <t>210 µA</t>
  </si>
  <si>
    <t>350 µA</t>
  </si>
  <si>
    <t>450 µA</t>
  </si>
  <si>
    <t>640 µA</t>
  </si>
  <si>
    <t>650 µA</t>
  </si>
  <si>
    <t>54 µA</t>
  </si>
  <si>
    <t>160 µA</t>
  </si>
  <si>
    <t>760 µA</t>
  </si>
  <si>
    <t>890 µA</t>
  </si>
  <si>
    <t>81 µA</t>
  </si>
  <si>
    <t>96 µA</t>
  </si>
  <si>
    <t>77 µA</t>
  </si>
  <si>
    <t>250 µA</t>
  </si>
  <si>
    <t>390 µA</t>
  </si>
  <si>
    <t>80 µA</t>
  </si>
  <si>
    <t>220 µA</t>
  </si>
  <si>
    <t>360 µA</t>
  </si>
  <si>
    <t>710 µA</t>
  </si>
  <si>
    <t>600 µA</t>
  </si>
  <si>
    <t>700 µA</t>
  </si>
  <si>
    <t>1 mA</t>
  </si>
  <si>
    <t>1.5 mA</t>
  </si>
  <si>
    <t>0.61 mA</t>
  </si>
  <si>
    <t>0.88 mA</t>
  </si>
  <si>
    <t>1.7 mA</t>
  </si>
  <si>
    <t>2.7 mA</t>
  </si>
  <si>
    <t>2.1 mA</t>
  </si>
  <si>
    <t>3.5 mA</t>
  </si>
  <si>
    <t>0.72 mA</t>
  </si>
  <si>
    <t>1.1 mA</t>
  </si>
  <si>
    <t>5.3 mA</t>
  </si>
  <si>
    <t>8.9 mA</t>
  </si>
  <si>
    <t>0.87 mA</t>
  </si>
  <si>
    <t>0.96 mA</t>
  </si>
  <si>
    <t>1.2 mA</t>
  </si>
  <si>
    <t>2.2 mA</t>
  </si>
  <si>
    <t>3.6 mA</t>
  </si>
  <si>
    <t>1.8 mA</t>
  </si>
  <si>
    <t>2.8 mA</t>
  </si>
  <si>
    <t>8.5 mA</t>
  </si>
  <si>
    <t>11 mA</t>
  </si>
  <si>
    <t>6.2 mA</t>
  </si>
  <si>
    <t>6.5 mA</t>
  </si>
  <si>
    <t>5.9 mA</t>
  </si>
  <si>
    <t>6 mA</t>
  </si>
  <si>
    <t>6.4 mA</t>
  </si>
  <si>
    <t>7 mA</t>
  </si>
  <si>
    <t>1.4 mA</t>
  </si>
  <si>
    <t>1.6 mA</t>
  </si>
  <si>
    <t>1.3 mA</t>
  </si>
  <si>
    <t>4.1 mA</t>
  </si>
  <si>
    <t>7.2 mA</t>
  </si>
  <si>
    <t>8.3 mA</t>
  </si>
  <si>
    <t>7.3 mA</t>
  </si>
  <si>
    <t>9.2 mA</t>
  </si>
  <si>
    <t>12 mA</t>
  </si>
  <si>
    <t>16 mA</t>
  </si>
  <si>
    <t>8.8 mA</t>
  </si>
  <si>
    <t>9.9 mA</t>
  </si>
  <si>
    <t>7.7 mA</t>
  </si>
  <si>
    <t>9 mA</t>
  </si>
  <si>
    <t>59 mA</t>
  </si>
  <si>
    <t>13 mΩ</t>
  </si>
  <si>
    <t>14 mΩ</t>
  </si>
  <si>
    <t>59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</si>
  <si>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</si>
  <si>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</si>
  <si>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</si>
  <si>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</si>
  <si>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</si>
  <si>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</si>
  <si>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</si>
  <si>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</si>
  <si>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26 mΩ</t>
  </si>
  <si>
    <t>27 mΩ</t>
  </si>
  <si>
    <t>63 mΩ</t>
  </si>
  <si>
    <t>79 mΩ</t>
  </si>
  <si>
    <t>100 mΩ</t>
  </si>
  <si>
    <t>78 mΩ</t>
  </si>
  <si>
    <t>95 mΩ</t>
  </si>
  <si>
    <t>87 mΩ</t>
  </si>
  <si>
    <t>130 mΩ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</si>
  <si>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</si>
  <si>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</si>
  <si>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</si>
  <si>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</si>
  <si>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</si>
  <si>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</si>
  <si>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</si>
  <si>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</si>
  <si>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</si>
  <si>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</si>
  <si>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</si>
  <si>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</si>
  <si>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</si>
  <si>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</si>
  <si>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</si>
  <si>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</si>
  <si>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</si>
  <si>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</si>
  <si>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</si>
  <si>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</si>
  <si>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</si>
  <si>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</si>
  <si>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</si>
  <si>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</si>
  <si>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</si>
  <si>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</si>
  <si>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</si>
  <si>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</si>
  <si>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</si>
  <si>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</si>
  <si>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</si>
  <si>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</si>
  <si>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</si>
  <si>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</si>
  <si>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</si>
  <si>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</si>
  <si>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</si>
  <si>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</si>
  <si>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</si>
  <si>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</si>
  <si>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</si>
  <si>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</si>
  <si>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</si>
  <si>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0.00000014 W</t>
  </si>
  <si>
    <t>0.00000025 W</t>
  </si>
  <si>
    <t>0.00000027 W</t>
  </si>
  <si>
    <t>0.00000048 W</t>
  </si>
  <si>
    <t>0.0000023 W</t>
  </si>
  <si>
    <t>0.0000041 W</t>
  </si>
  <si>
    <t>0.000023 W</t>
  </si>
  <si>
    <t>0.000041 W</t>
  </si>
  <si>
    <t>0.00023 W</t>
  </si>
  <si>
    <t>0.00041 W</t>
  </si>
  <si>
    <t>0.0023 W</t>
  </si>
  <si>
    <t>0.0041 W</t>
  </si>
  <si>
    <t>0.023 W</t>
  </si>
  <si>
    <t>0.041 W</t>
  </si>
  <si>
    <t>0.23 W</t>
  </si>
  <si>
    <t>0.41 W</t>
  </si>
  <si>
    <t>0.0000005 W</t>
  </si>
  <si>
    <t>0.0000042 W</t>
  </si>
  <si>
    <t>0.0000022 W</t>
  </si>
  <si>
    <t>0.000042 W</t>
  </si>
  <si>
    <t>0.000022 W</t>
  </si>
  <si>
    <t>0.00042 W</t>
  </si>
  <si>
    <t>0.00022 W</t>
  </si>
  <si>
    <t>0.0042 W</t>
  </si>
  <si>
    <t>0.0022 W</t>
  </si>
  <si>
    <t>0.0000011 W</t>
  </si>
  <si>
    <t>0.0000018 W</t>
  </si>
  <si>
    <t>0.0000026 W</t>
  </si>
  <si>
    <t>0.0000044 W</t>
  </si>
  <si>
    <t>0.00004 W</t>
  </si>
  <si>
    <t>0.0004 W</t>
  </si>
  <si>
    <t>0.004 W</t>
  </si>
  <si>
    <t>0.0000084 W</t>
  </si>
  <si>
    <t>0.000014 W</t>
  </si>
  <si>
    <t>0.000025 W</t>
  </si>
  <si>
    <t>0.000043 W</t>
  </si>
  <si>
    <t>0.04 W</t>
  </si>
  <si>
    <t>0.0001 W</t>
  </si>
  <si>
    <t>0.00017 W</t>
  </si>
  <si>
    <t>0.00025 W</t>
  </si>
  <si>
    <t>0.00044 W</t>
  </si>
  <si>
    <t>0.4 W</t>
  </si>
  <si>
    <t>0.001 W</t>
  </si>
  <si>
    <t>0.0017 W</t>
  </si>
  <si>
    <t>0.0025 W</t>
  </si>
  <si>
    <t>0.0044 W</t>
  </si>
  <si>
    <t>2.3 W</t>
  </si>
  <si>
    <t>4 W</t>
  </si>
  <si>
    <t>0.01 W</t>
  </si>
  <si>
    <t>0.017 W</t>
  </si>
  <si>
    <t>0.025 W</t>
  </si>
  <si>
    <t>0.044 W</t>
  </si>
  <si>
    <t>23 W</t>
  </si>
  <si>
    <t>40 W</t>
  </si>
  <si>
    <t>0.027 W</t>
  </si>
  <si>
    <t>0.039 W</t>
  </si>
  <si>
    <t>0.099 W</t>
  </si>
  <si>
    <t>0.14 W</t>
  </si>
  <si>
    <t>0.96 W</t>
  </si>
  <si>
    <t>1.4 W</t>
  </si>
  <si>
    <t>9.6 W</t>
  </si>
  <si>
    <t>14 W</t>
  </si>
  <si>
    <t>0.73 W</t>
  </si>
  <si>
    <t>1.3 W</t>
  </si>
  <si>
    <t>0.76 W</t>
  </si>
  <si>
    <t>3.9 W</t>
  </si>
  <si>
    <t>21 W</t>
  </si>
  <si>
    <t>37 W</t>
  </si>
  <si>
    <t>210 W</t>
  </si>
  <si>
    <t>370 W</t>
  </si>
  <si>
    <t>5.2 W</t>
  </si>
  <si>
    <t>7.6 W</t>
  </si>
  <si>
    <t>5.3 W</t>
  </si>
  <si>
    <t>7.7 W</t>
  </si>
  <si>
    <t>12 W</t>
  </si>
  <si>
    <t>18 W</t>
  </si>
  <si>
    <t>110 W</t>
  </si>
  <si>
    <t>160 W</t>
  </si>
  <si>
    <t>22 W</t>
  </si>
  <si>
    <t>28 W</t>
  </si>
  <si>
    <t>29 W</t>
  </si>
  <si>
    <t>87 W</t>
  </si>
  <si>
    <t>840 W</t>
  </si>
  <si>
    <t>1100 W</t>
  </si>
  <si>
    <t>20 µV</t>
  </si>
  <si>
    <t>82 µV</t>
  </si>
  <si>
    <t>83 µV</t>
  </si>
  <si>
    <t>0.81 mV</t>
  </si>
  <si>
    <t>0.82 mV</t>
  </si>
  <si>
    <t>12 mV</t>
  </si>
  <si>
    <t>37 mV</t>
  </si>
  <si>
    <t>52 mV</t>
  </si>
  <si>
    <t>38 mV</t>
  </si>
  <si>
    <t>71 mV</t>
  </si>
  <si>
    <t>80 mV</t>
  </si>
  <si>
    <t>66 mV</t>
  </si>
  <si>
    <t>88 mV</t>
  </si>
  <si>
    <t>180 mA</t>
  </si>
  <si>
    <t>240 mA</t>
  </si>
  <si>
    <t>190 mA</t>
  </si>
  <si>
    <t>250 mA</t>
  </si>
  <si>
    <t>610 mA</t>
  </si>
  <si>
    <t>630 mA</t>
  </si>
  <si>
    <t>5800 mA</t>
  </si>
  <si>
    <t>58000 mA</t>
  </si>
  <si>
    <t>640 mA</t>
  </si>
  <si>
    <t>940 mA</t>
  </si>
  <si>
    <t>870 mA</t>
  </si>
  <si>
    <t>1100 mA</t>
  </si>
  <si>
    <t>5900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</si>
  <si>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</si>
  <si>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</si>
  <si>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</si>
  <si>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</si>
  <si>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</si>
  <si>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</si>
  <si>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</si>
  <si>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</si>
  <si>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</si>
  <si>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73 mA</t>
  </si>
  <si>
    <t>100 mA</t>
  </si>
  <si>
    <t>92 mA</t>
  </si>
  <si>
    <t>110 mA</t>
  </si>
  <si>
    <t>580 mA</t>
  </si>
  <si>
    <t>590 mA</t>
  </si>
  <si>
    <t>270 mA</t>
  </si>
  <si>
    <t>390 mA</t>
  </si>
  <si>
    <t>690 mA</t>
  </si>
  <si>
    <t>580000 mA</t>
  </si>
  <si>
    <t>660 mA</t>
  </si>
  <si>
    <t>820 mA</t>
  </si>
  <si>
    <t>880 mA</t>
  </si>
  <si>
    <t>1000 mA</t>
  </si>
  <si>
    <t>960 mA</t>
  </si>
  <si>
    <t>8.7 mA</t>
  </si>
  <si>
    <t>15 mA</t>
  </si>
  <si>
    <t>17 mA</t>
  </si>
  <si>
    <t>60 mA</t>
  </si>
  <si>
    <t>36 mA</t>
  </si>
  <si>
    <t>50 mA</t>
  </si>
  <si>
    <t>69 mA</t>
  </si>
  <si>
    <t>77 mA</t>
  </si>
  <si>
    <t>120 mA</t>
  </si>
  <si>
    <t>140 mA</t>
  </si>
  <si>
    <t>600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</si>
  <si>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</si>
  <si>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</si>
  <si>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</si>
  <si>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</si>
  <si>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</si>
  <si>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</si>
  <si>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</si>
  <si>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</si>
  <si>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0.044 µA</t>
  </si>
  <si>
    <t>0.064 µA</t>
  </si>
  <si>
    <t>0.043 µA</t>
  </si>
  <si>
    <t>0.062 µA</t>
  </si>
  <si>
    <t>0.075 µA</t>
  </si>
  <si>
    <t>0.087 µA</t>
  </si>
  <si>
    <t>0.27 µA</t>
  </si>
  <si>
    <t>0.41 µA</t>
  </si>
  <si>
    <t>0.42 µA</t>
  </si>
  <si>
    <t>0.67 µA</t>
  </si>
  <si>
    <t>0.74 µA</t>
  </si>
  <si>
    <t>3.7 µA</t>
  </si>
  <si>
    <t>19 µA</t>
  </si>
  <si>
    <t>31 µA</t>
  </si>
  <si>
    <t>20 µA</t>
  </si>
  <si>
    <t>63 µA</t>
  </si>
  <si>
    <t>67 µA</t>
  </si>
  <si>
    <t>0.98 mA</t>
  </si>
  <si>
    <t>0.9 mA</t>
  </si>
  <si>
    <t>7.6 mA</t>
  </si>
  <si>
    <t>8.2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</si>
  <si>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</si>
  <si>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</si>
  <si>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</si>
  <si>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</si>
  <si>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</si>
  <si>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</si>
  <si>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</si>
  <si>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</si>
  <si>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</si>
  <si>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</si>
  <si>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</si>
  <si>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</si>
  <si>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</si>
  <si>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</si>
  <si>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</si>
  <si>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</si>
  <si>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</si>
  <si>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</si>
  <si>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</si>
  <si>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</si>
  <si>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</si>
  <si>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</si>
  <si>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</si>
  <si>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</si>
  <si>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</si>
  <si>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</si>
  <si>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</si>
  <si>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</si>
  <si>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</si>
  <si>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</si>
  <si>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</si>
  <si>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</si>
  <si>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</si>
  <si>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</si>
  <si>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</si>
  <si>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</si>
  <si>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</si>
  <si>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</si>
  <si>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</si>
  <si>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</si>
  <si>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</si>
  <si>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</si>
  <si>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</si>
  <si>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</si>
  <si>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</si>
  <si>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</si>
  <si>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</si>
  <si>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</si>
  <si>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</si>
  <si>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</si>
  <si>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</si>
  <si>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</si>
  <si>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</si>
  <si>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</si>
  <si>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</si>
  <si>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</si>
  <si>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</si>
  <si>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</si>
  <si>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</si>
  <si>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</si>
  <si>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</si>
  <si>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</si>
  <si>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</si>
  <si>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</si>
  <si>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</si>
  <si>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</si>
  <si>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</si>
  <si>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</si>
  <si>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</si>
  <si>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</si>
  <si>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</si>
  <si>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</si>
  <si>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</si>
  <si>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</si>
  <si>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</si>
  <si>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</si>
  <si>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</si>
  <si>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</si>
  <si>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</si>
  <si>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</si>
  <si>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</si>
  <si>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</si>
  <si>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</si>
  <si>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</si>
  <si>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</si>
  <si>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</si>
  <si>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</si>
  <si>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</si>
  <si>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</si>
  <si>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</si>
  <si>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</si>
  <si>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</si>
  <si>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</si>
  <si>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37 µV</t>
  </si>
  <si>
    <t>50 µV</t>
  </si>
  <si>
    <t>130 µV</t>
  </si>
  <si>
    <t>210 µV</t>
  </si>
  <si>
    <t>49 µV</t>
  </si>
  <si>
    <t>75 µV</t>
  </si>
  <si>
    <t>220 µV</t>
  </si>
  <si>
    <t>74 µV</t>
  </si>
  <si>
    <t>87 µV</t>
  </si>
  <si>
    <t>97 µV</t>
  </si>
  <si>
    <t>5800000 µV</t>
  </si>
  <si>
    <t>560 µV</t>
  </si>
  <si>
    <t>820 µV</t>
  </si>
  <si>
    <t>320 µV</t>
  </si>
  <si>
    <t>550 µV</t>
  </si>
  <si>
    <t>810 µV</t>
  </si>
  <si>
    <t>310 µV</t>
  </si>
  <si>
    <t>840 µV</t>
  </si>
  <si>
    <t>1300 µV</t>
  </si>
  <si>
    <t>6000 µV</t>
  </si>
  <si>
    <t>8.8 mV</t>
  </si>
  <si>
    <t>1.7 mV</t>
  </si>
  <si>
    <t>3.8 mV</t>
  </si>
  <si>
    <t>0.53 mV</t>
  </si>
  <si>
    <t>0.88 mV</t>
  </si>
  <si>
    <t>1.9 mV</t>
  </si>
  <si>
    <t>8.7 mV</t>
  </si>
  <si>
    <t>2.1 mV</t>
  </si>
  <si>
    <t>2.9 mV</t>
  </si>
  <si>
    <t>0.86 mV</t>
  </si>
  <si>
    <t>6.6 mV</t>
  </si>
  <si>
    <t>7.5 mV</t>
  </si>
  <si>
    <t>9.1 mV</t>
  </si>
  <si>
    <t>28 mV</t>
  </si>
  <si>
    <t>5.3 mV</t>
  </si>
  <si>
    <t>18 mV</t>
  </si>
  <si>
    <t>29 mV</t>
  </si>
  <si>
    <t>94 mV</t>
  </si>
  <si>
    <t>220 mV</t>
  </si>
  <si>
    <t>460 mV</t>
  </si>
  <si>
    <t>740 mV</t>
  </si>
  <si>
    <t>260 mV</t>
  </si>
  <si>
    <t>230 mV</t>
  </si>
  <si>
    <t>470 mV</t>
  </si>
  <si>
    <t>790 mV</t>
  </si>
  <si>
    <t>980 mV</t>
  </si>
  <si>
    <t>630 mV</t>
  </si>
  <si>
    <t>5900 mV</t>
  </si>
  <si>
    <t>480 mV</t>
  </si>
  <si>
    <t>620 mV</t>
  </si>
  <si>
    <t>850 mV</t>
  </si>
  <si>
    <t>540 mV</t>
  </si>
  <si>
    <t>880 mV</t>
  </si>
  <si>
    <t>760 mV</t>
  </si>
  <si>
    <t>820 mV</t>
  </si>
  <si>
    <t>970 mV</t>
  </si>
  <si>
    <t>870 mV</t>
  </si>
  <si>
    <t>770 mV</t>
  </si>
  <si>
    <t>58000 mV</t>
  </si>
  <si>
    <t>2800 mA</t>
  </si>
  <si>
    <t>3700 mA</t>
  </si>
  <si>
    <t>280 mA</t>
  </si>
  <si>
    <t>360 mA</t>
  </si>
  <si>
    <t>680 mA</t>
  </si>
  <si>
    <t>910 mA</t>
  </si>
  <si>
    <t>260 mA</t>
  </si>
  <si>
    <t>2900 mA</t>
  </si>
  <si>
    <t>3800 mA</t>
  </si>
  <si>
    <t>620 mA</t>
  </si>
  <si>
    <t>920 mA</t>
  </si>
  <si>
    <t>6500 mA</t>
  </si>
  <si>
    <t>7000 mA</t>
  </si>
  <si>
    <t>720 mA</t>
  </si>
  <si>
    <t>650 mA</t>
  </si>
  <si>
    <t>9900 mA</t>
  </si>
  <si>
    <t>15000 mA</t>
  </si>
  <si>
    <t>900 mA</t>
  </si>
  <si>
    <t>950 mA</t>
  </si>
  <si>
    <t>1200 mA</t>
  </si>
  <si>
    <t>12000 mA</t>
  </si>
  <si>
    <t>16000 mA</t>
  </si>
  <si>
    <t>59000 mA</t>
  </si>
  <si>
    <t>60000 mA</t>
  </si>
  <si>
    <t>1900 mA</t>
  </si>
  <si>
    <t>2300 mA</t>
  </si>
  <si>
    <t>2200 mA</t>
  </si>
  <si>
    <t>2600 mA</t>
  </si>
  <si>
    <t>6200 mA</t>
  </si>
  <si>
    <t>1500 mA</t>
  </si>
  <si>
    <t>96 mA</t>
  </si>
  <si>
    <t>130 mA</t>
  </si>
  <si>
    <t>150 mA</t>
  </si>
  <si>
    <t>1300 mA</t>
  </si>
  <si>
    <t>1600 mA</t>
  </si>
  <si>
    <t>370 mA</t>
  </si>
  <si>
    <t>4000 mA</t>
  </si>
  <si>
    <t>290 mA</t>
  </si>
  <si>
    <t>300 mA</t>
  </si>
  <si>
    <t>420 mA</t>
  </si>
  <si>
    <t>380 mA</t>
  </si>
  <si>
    <t>730 mA</t>
  </si>
  <si>
    <t>700 mA</t>
  </si>
  <si>
    <t>7300 mA</t>
  </si>
  <si>
    <t>8500 mA</t>
  </si>
  <si>
    <t>830 mA</t>
  </si>
  <si>
    <t>760 mA</t>
  </si>
  <si>
    <t>930 mA</t>
  </si>
  <si>
    <t>14000 mA</t>
  </si>
  <si>
    <t>24 mA</t>
  </si>
  <si>
    <t>9.7 mA</t>
  </si>
  <si>
    <t>43 mA</t>
  </si>
  <si>
    <t>67 mA</t>
  </si>
  <si>
    <t>64 mA</t>
  </si>
  <si>
    <t>200 mA</t>
  </si>
  <si>
    <t>76 mA</t>
  </si>
  <si>
    <t>550 mA</t>
  </si>
  <si>
    <t>70 mA</t>
  </si>
  <si>
    <t>37 mA</t>
  </si>
  <si>
    <t>51 mA</t>
  </si>
  <si>
    <t>71 mA</t>
  </si>
  <si>
    <t>52 mA</t>
  </si>
  <si>
    <t>79 mA</t>
  </si>
  <si>
    <t>93 mA</t>
  </si>
  <si>
    <t>970 mA</t>
  </si>
  <si>
    <t>210 mA</t>
  </si>
  <si>
    <t>160 mA</t>
  </si>
  <si>
    <t>3000 mA</t>
  </si>
  <si>
    <t>6600 mA</t>
  </si>
  <si>
    <t>5000 mA</t>
  </si>
  <si>
    <t>460 mA</t>
  </si>
  <si>
    <t>500 mA</t>
  </si>
  <si>
    <t>770 mA</t>
  </si>
  <si>
    <t>740 mA</t>
  </si>
  <si>
    <t>7700 mA</t>
  </si>
  <si>
    <t>1.3 µA</t>
  </si>
  <si>
    <t>0.29 µA</t>
  </si>
  <si>
    <t>0.45 µA</t>
  </si>
  <si>
    <t>2.6 µA</t>
  </si>
  <si>
    <t>4.6 µA</t>
  </si>
  <si>
    <t>0.32 µA</t>
  </si>
  <si>
    <t>0.56 µA</t>
  </si>
  <si>
    <t>0.73 µA</t>
  </si>
  <si>
    <t>0.89 µA</t>
  </si>
  <si>
    <t>0.85 µA</t>
  </si>
  <si>
    <t>1.1 µA</t>
  </si>
  <si>
    <t>0.66 µA</t>
  </si>
  <si>
    <t>0.68 µA</t>
  </si>
  <si>
    <t>0.79 µA</t>
  </si>
  <si>
    <t>6.6 µA</t>
  </si>
  <si>
    <t>6.3 µA</t>
  </si>
  <si>
    <t>5800000 µA</t>
  </si>
  <si>
    <t>1.8 µA</t>
  </si>
  <si>
    <t>3 µA</t>
  </si>
  <si>
    <t>3.3 µA</t>
  </si>
  <si>
    <t>5.6 µA</t>
  </si>
  <si>
    <t>5.5 µA</t>
  </si>
  <si>
    <t>17 µA</t>
  </si>
  <si>
    <t>28 µA</t>
  </si>
  <si>
    <t>14 µA</t>
  </si>
  <si>
    <t>3.4 µA</t>
  </si>
  <si>
    <t>1.9 µA</t>
  </si>
  <si>
    <t>18 µA</t>
  </si>
  <si>
    <t>29 µA</t>
  </si>
  <si>
    <t>8.5 µA</t>
  </si>
  <si>
    <t>6.2 µA</t>
  </si>
  <si>
    <t>8.4 µA</t>
  </si>
  <si>
    <t>62 µA</t>
  </si>
  <si>
    <t>66 µA</t>
  </si>
  <si>
    <t>27 µA</t>
  </si>
  <si>
    <t>8.6 µA</t>
  </si>
  <si>
    <t>13 µA</t>
  </si>
  <si>
    <t>30 µA</t>
  </si>
  <si>
    <t>51 µA</t>
  </si>
  <si>
    <t>34 µA</t>
  </si>
  <si>
    <t>57 µA</t>
  </si>
  <si>
    <t>110 µA</t>
  </si>
  <si>
    <t>130 µA</t>
  </si>
  <si>
    <t>85 µA</t>
  </si>
  <si>
    <t>61 µA</t>
  </si>
  <si>
    <t>0.3 mA</t>
  </si>
  <si>
    <t>0.51 mA</t>
  </si>
  <si>
    <t>0.42 mA</t>
  </si>
  <si>
    <t>0.65 mA</t>
  </si>
  <si>
    <t>0.22 mA</t>
  </si>
  <si>
    <t>0.34 mA</t>
  </si>
  <si>
    <t>0.086 mA</t>
  </si>
  <si>
    <t>0.13 mA</t>
  </si>
  <si>
    <t>0.85 mA</t>
  </si>
  <si>
    <t>0.17 mA</t>
  </si>
  <si>
    <t>0.27 mA</t>
  </si>
  <si>
    <t>0.11 mA</t>
  </si>
  <si>
    <t>0.15 mA</t>
  </si>
  <si>
    <t>0.18 mA</t>
  </si>
  <si>
    <t>0.28 mA</t>
  </si>
  <si>
    <t>0.43 mA</t>
  </si>
  <si>
    <t>0.31 mA</t>
  </si>
  <si>
    <t>0.76 mA</t>
  </si>
  <si>
    <t>0.7 mA</t>
  </si>
  <si>
    <t>0.81 mA</t>
  </si>
  <si>
    <t>0.6 mA</t>
  </si>
  <si>
    <t>0.63 mA</t>
  </si>
  <si>
    <t>0.68 mA</t>
  </si>
  <si>
    <t>0.46 mA</t>
  </si>
  <si>
    <t>30 mA</t>
  </si>
  <si>
    <t>1.9 mA</t>
  </si>
  <si>
    <t>2 mA</t>
  </si>
  <si>
    <t>0.75 mA</t>
  </si>
  <si>
    <t>31 mA</t>
  </si>
  <si>
    <t>8 mA</t>
  </si>
  <si>
    <t>6.1 mA</t>
  </si>
  <si>
    <t>66 mA</t>
  </si>
  <si>
    <t>55 mA</t>
  </si>
  <si>
    <t>75 mA</t>
  </si>
  <si>
    <t>13 mA</t>
  </si>
  <si>
    <t>14 mA</t>
  </si>
  <si>
    <t>7.9 mA</t>
  </si>
  <si>
    <t>82 mA</t>
  </si>
  <si>
    <t>6.3 mA</t>
  </si>
  <si>
    <t>8.1 mA</t>
  </si>
  <si>
    <t>850 mA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</si>
  <si>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</si>
  <si>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</si>
  <si>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</si>
  <si>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</si>
  <si>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</si>
  <si>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</si>
  <si>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</si>
  <si>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</si>
  <si>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</si>
  <si>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</si>
  <si>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</si>
  <si>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</si>
  <si>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</si>
  <si>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</si>
  <si>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</si>
  <si>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</si>
  <si>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</si>
  <si>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</si>
  <si>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</si>
  <si>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</si>
  <si>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</si>
  <si>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</si>
  <si>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</si>
  <si>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</si>
  <si>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</si>
  <si>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61 µV</t>
  </si>
  <si>
    <t>73 µV</t>
  </si>
  <si>
    <t>950 µV</t>
  </si>
  <si>
    <t>13 mV</t>
  </si>
  <si>
    <t>96 mV</t>
  </si>
  <si>
    <t>45 mA</t>
  </si>
  <si>
    <t>46 mA</t>
  </si>
  <si>
    <t>80 mA</t>
  </si>
  <si>
    <t>490 mA</t>
  </si>
  <si>
    <t>790 mA</t>
  </si>
  <si>
    <t>800 mA</t>
  </si>
  <si>
    <t>98 mA</t>
  </si>
  <si>
    <t>170 mA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</si>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</sst>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1" fontId="0" fillId="0" borderId="16" xfId="0" applyNumberFormat="1" applyBorder="1"/>
    <xf numFmtId="11" fontId="0" fillId="10" borderId="16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F5" sqref="F5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6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82"/>
      <c r="I1" s="70"/>
      <c r="J1" s="47"/>
      <c r="K1" s="120" t="s">
        <v>631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3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6" t="s">
        <v>27</v>
      </c>
      <c r="E3" s="109">
        <f ca="1">TODAY()</f>
        <v>45153</v>
      </c>
      <c r="F3" s="16"/>
      <c r="G3" s="39"/>
      <c r="H3" s="83"/>
      <c r="I3" s="64"/>
      <c r="J3" s="48"/>
      <c r="K3" s="101">
        <v>45152.741631944446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3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4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7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">
        <v>174</v>
      </c>
      <c r="H6" s="85"/>
      <c r="I6" s="51"/>
      <c r="J6" s="36" t="s">
        <v>70</v>
      </c>
      <c r="K6" s="30"/>
      <c r="L6" s="81"/>
      <c r="M6" s="32"/>
      <c r="N6" s="32"/>
      <c r="O6" s="32"/>
      <c r="P6" s="33"/>
      <c r="Q6" s="7" t="s">
        <v>173</v>
      </c>
      <c r="S6" s="7"/>
      <c r="T6" s="104">
        <v>0.1</v>
      </c>
      <c r="U6" s="34">
        <v>60</v>
      </c>
      <c r="V6" s="9" t="s">
        <v>613</v>
      </c>
      <c r="W6" s="27" t="s">
        <v>616</v>
      </c>
      <c r="X6" s="35">
        <v>67</v>
      </c>
      <c r="Y6" s="102">
        <v>2</v>
      </c>
      <c r="Z6" s="105">
        <f>IF(T6&lt;&gt;"",ROUND(X6+Y6,-LOG10(T6)),"")</f>
        <v>69</v>
      </c>
      <c r="AA6" s="105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8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">
        <v>629</v>
      </c>
      <c r="H7" s="85"/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4">
        <v>1E-3</v>
      </c>
      <c r="U7" s="34">
        <v>6</v>
      </c>
      <c r="V7" s="26" t="s">
        <v>6</v>
      </c>
      <c r="W7" s="27" t="s">
        <v>615</v>
      </c>
      <c r="X7" s="35">
        <v>5</v>
      </c>
      <c r="Y7" s="102">
        <v>5.2999999999999999E-2</v>
      </c>
      <c r="Z7" s="105">
        <f t="shared" ref="Z7:Z70" si="0">IF(T7&lt;&gt;"",ROUND(X7+Y7,-LOG10(T7)),"")</f>
        <v>5.0529999999999999</v>
      </c>
      <c r="AA7" s="105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7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">
        <v>629</v>
      </c>
      <c r="H8" s="85"/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4">
        <v>1E-3</v>
      </c>
      <c r="U8" s="34">
        <v>6</v>
      </c>
      <c r="V8" s="26" t="s">
        <v>6</v>
      </c>
      <c r="W8" s="27" t="s">
        <v>615</v>
      </c>
      <c r="X8" s="35">
        <v>5</v>
      </c>
      <c r="Y8" s="102">
        <v>0.10299999999999999</v>
      </c>
      <c r="Z8" s="105">
        <f t="shared" si="0"/>
        <v>5.1029999999999998</v>
      </c>
      <c r="AA8" s="105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8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">
        <v>632</v>
      </c>
      <c r="H9" s="85"/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4">
        <v>0.01</v>
      </c>
      <c r="U9" s="34">
        <v>60</v>
      </c>
      <c r="V9" s="26" t="s">
        <v>6</v>
      </c>
      <c r="W9" s="27" t="s">
        <v>615</v>
      </c>
      <c r="X9" s="35">
        <v>50</v>
      </c>
      <c r="Y9" s="102">
        <v>0.53</v>
      </c>
      <c r="Z9" s="105">
        <f t="shared" si="0"/>
        <v>50.53</v>
      </c>
      <c r="AA9" s="105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7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">
        <v>167</v>
      </c>
      <c r="H10" s="85"/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4">
        <v>0.01</v>
      </c>
      <c r="U10" s="34">
        <v>60</v>
      </c>
      <c r="V10" s="26" t="s">
        <v>6</v>
      </c>
      <c r="W10" s="27" t="s">
        <v>615</v>
      </c>
      <c r="X10" s="35">
        <v>50</v>
      </c>
      <c r="Y10" s="102">
        <v>1.03</v>
      </c>
      <c r="Z10" s="105">
        <f t="shared" si="0"/>
        <v>51.03</v>
      </c>
      <c r="AA10" s="105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8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">
        <v>439</v>
      </c>
      <c r="H11" s="85"/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4">
        <v>0.1</v>
      </c>
      <c r="U11" s="34">
        <v>600</v>
      </c>
      <c r="V11" s="26" t="s">
        <v>6</v>
      </c>
      <c r="W11" s="27" t="s">
        <v>615</v>
      </c>
      <c r="X11" s="35">
        <v>300</v>
      </c>
      <c r="Y11" s="102">
        <v>3.3</v>
      </c>
      <c r="Z11" s="105">
        <f t="shared" si="0"/>
        <v>303.3</v>
      </c>
      <c r="AA11" s="105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7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">
        <v>154</v>
      </c>
      <c r="H12" s="85"/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4">
        <v>0.1</v>
      </c>
      <c r="U12" s="34">
        <v>600</v>
      </c>
      <c r="V12" s="26" t="s">
        <v>6</v>
      </c>
      <c r="W12" s="27" t="s">
        <v>615</v>
      </c>
      <c r="X12" s="35">
        <v>500</v>
      </c>
      <c r="Y12" s="102">
        <v>5.3</v>
      </c>
      <c r="Z12" s="105">
        <f t="shared" si="0"/>
        <v>505.3</v>
      </c>
      <c r="AA12" s="105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8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">
        <v>639</v>
      </c>
      <c r="H13" s="85"/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4">
        <v>0.1</v>
      </c>
      <c r="U13" s="34">
        <v>600</v>
      </c>
      <c r="V13" s="26" t="s">
        <v>6</v>
      </c>
      <c r="W13" s="27" t="s">
        <v>615</v>
      </c>
      <c r="X13" s="35">
        <v>500</v>
      </c>
      <c r="Y13" s="34">
        <v>10.3</v>
      </c>
      <c r="Z13" s="105">
        <f t="shared" si="0"/>
        <v>510.3</v>
      </c>
      <c r="AA13" s="105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7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">
        <v>155</v>
      </c>
      <c r="H14" s="85"/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4">
        <v>1</v>
      </c>
      <c r="U14" s="34">
        <v>1000</v>
      </c>
      <c r="V14" s="26" t="s">
        <v>6</v>
      </c>
      <c r="W14" s="27" t="s">
        <v>615</v>
      </c>
      <c r="X14" s="35">
        <v>1000</v>
      </c>
      <c r="Y14" s="34">
        <v>13</v>
      </c>
      <c r="Z14" s="105">
        <f t="shared" si="0"/>
        <v>1013</v>
      </c>
      <c r="AA14" s="105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8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5"/>
      <c r="I15" s="51"/>
      <c r="J15" s="36"/>
      <c r="K15" s="30"/>
      <c r="L15" s="31"/>
      <c r="M15" s="32"/>
      <c r="N15" s="32"/>
      <c r="O15" s="32"/>
      <c r="P15" s="33"/>
      <c r="S15" s="7"/>
      <c r="T15" s="104"/>
      <c r="U15" s="34"/>
      <c r="V15" s="26"/>
      <c r="W15" s="27"/>
      <c r="X15" s="35"/>
      <c r="Y15" s="34"/>
      <c r="Z15" s="105" t="str">
        <f t="shared" si="0"/>
        <v/>
      </c>
      <c r="AA15" s="105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7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/>
      <c r="H16" s="85"/>
      <c r="I16" s="51"/>
      <c r="J16" s="36"/>
      <c r="K16" s="30"/>
      <c r="L16" s="31"/>
      <c r="M16" s="32"/>
      <c r="N16" s="32"/>
      <c r="O16" s="32"/>
      <c r="P16" s="33"/>
      <c r="S16" s="7"/>
      <c r="T16" s="104"/>
      <c r="U16" s="34"/>
      <c r="V16" s="26"/>
      <c r="W16" s="27"/>
      <c r="X16" s="35"/>
      <c r="Y16" s="34"/>
      <c r="Z16" s="105" t="str">
        <f t="shared" si="0"/>
        <v/>
      </c>
      <c r="AA16" s="105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8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">
        <v>621</v>
      </c>
      <c r="H17" s="85"/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4">
        <v>1E-3</v>
      </c>
      <c r="U17" s="34">
        <v>6</v>
      </c>
      <c r="V17" s="26" t="s">
        <v>6</v>
      </c>
      <c r="W17" s="27" t="s">
        <v>616</v>
      </c>
      <c r="X17" s="35">
        <v>5</v>
      </c>
      <c r="Y17" s="34">
        <v>7.0000000000000001E-3</v>
      </c>
      <c r="Z17" s="105">
        <f t="shared" si="0"/>
        <v>5.0069999999999997</v>
      </c>
      <c r="AA17" s="105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7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">
        <v>156</v>
      </c>
      <c r="H18" s="85"/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4">
        <v>0.1</v>
      </c>
      <c r="U18" s="34">
        <v>600</v>
      </c>
      <c r="V18" s="26" t="s">
        <v>6</v>
      </c>
      <c r="W18" s="27" t="s">
        <v>616</v>
      </c>
      <c r="X18" s="35">
        <v>300</v>
      </c>
      <c r="Y18" s="34">
        <v>0.5</v>
      </c>
      <c r="Z18" s="105">
        <f t="shared" si="0"/>
        <v>300.5</v>
      </c>
      <c r="AA18" s="105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8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">
        <v>157</v>
      </c>
      <c r="H19" s="85"/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4">
        <v>1</v>
      </c>
      <c r="U19" s="34">
        <v>1000</v>
      </c>
      <c r="V19" s="26" t="s">
        <v>6</v>
      </c>
      <c r="W19" s="27" t="s">
        <v>616</v>
      </c>
      <c r="X19" s="35">
        <v>1000</v>
      </c>
      <c r="Y19" s="34">
        <v>3</v>
      </c>
      <c r="Z19" s="105">
        <f t="shared" si="0"/>
        <v>1003</v>
      </c>
      <c r="AA19" s="105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7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">
        <v>157</v>
      </c>
      <c r="H20" s="85"/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4">
        <v>1</v>
      </c>
      <c r="U20" s="34">
        <v>1000</v>
      </c>
      <c r="V20" s="26" t="s">
        <v>6</v>
      </c>
      <c r="W20" s="27" t="s">
        <v>616</v>
      </c>
      <c r="X20" s="35">
        <v>-1000</v>
      </c>
      <c r="Y20" s="34">
        <v>3</v>
      </c>
      <c r="Z20" s="105">
        <f t="shared" si="0"/>
        <v>-997</v>
      </c>
      <c r="AA20" s="105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8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/>
      <c r="H21" s="85"/>
      <c r="I21" s="51"/>
      <c r="J21" s="36"/>
      <c r="K21" s="30"/>
      <c r="L21" s="31"/>
      <c r="M21" s="32"/>
      <c r="N21" s="32"/>
      <c r="O21" s="32"/>
      <c r="P21" s="33"/>
      <c r="S21" s="7"/>
      <c r="T21" s="104"/>
      <c r="U21" s="34"/>
      <c r="V21" s="26"/>
      <c r="W21" s="27"/>
      <c r="X21" s="35"/>
      <c r="Y21" s="34"/>
      <c r="Z21" s="105" t="str">
        <f t="shared" si="0"/>
        <v/>
      </c>
      <c r="AA21" s="105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7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/>
      <c r="H22" s="85"/>
      <c r="I22" s="51"/>
      <c r="J22" s="36"/>
      <c r="K22" s="30"/>
      <c r="L22" s="31"/>
      <c r="M22" s="32"/>
      <c r="N22" s="32"/>
      <c r="O22" s="32"/>
      <c r="P22" s="33"/>
      <c r="S22" s="7"/>
      <c r="T22" s="104"/>
      <c r="U22" s="34"/>
      <c r="V22" s="26"/>
      <c r="W22" s="27"/>
      <c r="X22" s="35"/>
      <c r="Y22" s="34"/>
      <c r="Z22" s="105" t="str">
        <f t="shared" si="0"/>
        <v/>
      </c>
      <c r="AA22" s="105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8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">
        <v>158</v>
      </c>
      <c r="H23" s="85"/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4">
        <v>0.1</v>
      </c>
      <c r="U23" s="34">
        <v>600</v>
      </c>
      <c r="V23" s="26" t="s">
        <v>4</v>
      </c>
      <c r="W23" s="27" t="s">
        <v>616</v>
      </c>
      <c r="X23" s="35">
        <v>30</v>
      </c>
      <c r="Y23" s="34">
        <v>0.2</v>
      </c>
      <c r="Z23" s="105">
        <f t="shared" si="0"/>
        <v>30.2</v>
      </c>
      <c r="AA23" s="105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7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">
        <v>169</v>
      </c>
      <c r="H24" s="85"/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4">
        <v>0.1</v>
      </c>
      <c r="U24" s="34">
        <v>600</v>
      </c>
      <c r="V24" s="26" t="s">
        <v>4</v>
      </c>
      <c r="W24" s="27" t="s">
        <v>616</v>
      </c>
      <c r="X24" s="35">
        <v>-300</v>
      </c>
      <c r="Y24" s="34">
        <v>0.5</v>
      </c>
      <c r="Z24" s="105">
        <f t="shared" si="0"/>
        <v>-299.5</v>
      </c>
      <c r="AA24" s="105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8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">
        <v>159</v>
      </c>
      <c r="H25" s="85"/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616</v>
      </c>
      <c r="X25" s="35">
        <v>600</v>
      </c>
      <c r="Y25" s="34">
        <v>0.7</v>
      </c>
      <c r="Z25" s="105">
        <f t="shared" si="0"/>
        <v>600.70000000000005</v>
      </c>
      <c r="AA25" s="105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7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">
        <v>622</v>
      </c>
      <c r="H26" s="85"/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5">
        <f t="shared" si="0"/>
        <v>504.7</v>
      </c>
      <c r="AA26" s="105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8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">
        <v>623</v>
      </c>
      <c r="H27" s="85"/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5">
        <f t="shared" si="0"/>
        <v>19.32</v>
      </c>
      <c r="AA27" s="105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7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">
        <v>624</v>
      </c>
      <c r="H28" s="85"/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5">
        <f t="shared" si="0"/>
        <v>913</v>
      </c>
      <c r="AA28" s="105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8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/>
      <c r="H29" s="85"/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5" t="str">
        <f t="shared" si="0"/>
        <v/>
      </c>
      <c r="AA29" s="105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7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/>
      <c r="H30" s="85"/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5" t="str">
        <f t="shared" si="0"/>
        <v/>
      </c>
      <c r="AA30" s="105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8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">
        <v>160</v>
      </c>
      <c r="H31" s="85"/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616</v>
      </c>
      <c r="X31" s="35">
        <v>2</v>
      </c>
      <c r="Y31" s="34">
        <v>2.1999999999999999E-2</v>
      </c>
      <c r="Z31" s="105">
        <f t="shared" si="0"/>
        <v>2.0219999999999998</v>
      </c>
      <c r="AA31" s="105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7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">
        <v>640</v>
      </c>
      <c r="H32" s="85"/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615</v>
      </c>
      <c r="X32" s="35">
        <v>3</v>
      </c>
      <c r="Y32" s="34">
        <v>0.08</v>
      </c>
      <c r="Z32" s="105">
        <f t="shared" si="0"/>
        <v>3.08</v>
      </c>
      <c r="AA32" s="105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8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">
        <v>630</v>
      </c>
      <c r="H33" s="85"/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615</v>
      </c>
      <c r="X33" s="35">
        <v>50</v>
      </c>
      <c r="Y33" s="34">
        <v>0.78</v>
      </c>
      <c r="Z33" s="105">
        <f t="shared" si="0"/>
        <v>50.78</v>
      </c>
      <c r="AA33" s="105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7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">
        <v>440</v>
      </c>
      <c r="H34" s="85"/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615</v>
      </c>
      <c r="X34" s="35">
        <v>400</v>
      </c>
      <c r="Y34" s="34">
        <v>6.3</v>
      </c>
      <c r="Z34" s="105">
        <f t="shared" si="0"/>
        <v>406.3</v>
      </c>
      <c r="AA34" s="105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8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">
        <v>168</v>
      </c>
      <c r="H35" s="85"/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615</v>
      </c>
      <c r="X35" s="35">
        <v>4</v>
      </c>
      <c r="Y35" s="34">
        <v>6.3E-2</v>
      </c>
      <c r="Z35" s="105">
        <f t="shared" si="0"/>
        <v>4.0629999999999997</v>
      </c>
      <c r="AA35" s="105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7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">
        <v>551</v>
      </c>
      <c r="H36" s="85" t="s">
        <v>638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615</v>
      </c>
      <c r="X36" s="35">
        <v>9</v>
      </c>
      <c r="Y36" s="34">
        <v>0.17</v>
      </c>
      <c r="Z36" s="105">
        <f t="shared" si="0"/>
        <v>9.17</v>
      </c>
      <c r="AA36" s="105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8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">
        <v>161</v>
      </c>
      <c r="H37" s="85"/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616</v>
      </c>
      <c r="X37" s="35">
        <v>3</v>
      </c>
      <c r="Y37" s="34">
        <v>0.06</v>
      </c>
      <c r="Z37" s="105">
        <f t="shared" si="0"/>
        <v>3.06</v>
      </c>
      <c r="AA37" s="105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7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">
        <v>162</v>
      </c>
      <c r="H38" s="85"/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616</v>
      </c>
      <c r="X38" s="35">
        <v>50</v>
      </c>
      <c r="Y38" s="34">
        <v>0.53</v>
      </c>
      <c r="Z38" s="105">
        <f t="shared" si="0"/>
        <v>50.53</v>
      </c>
      <c r="AA38" s="105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8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">
        <v>170</v>
      </c>
      <c r="H39" s="85"/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616</v>
      </c>
      <c r="X39" s="35">
        <v>-400</v>
      </c>
      <c r="Y39" s="34">
        <v>4.3</v>
      </c>
      <c r="Z39" s="105">
        <f t="shared" si="0"/>
        <v>-395.7</v>
      </c>
      <c r="AA39" s="105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7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">
        <v>163</v>
      </c>
      <c r="H40" s="85"/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616</v>
      </c>
      <c r="X40" s="35">
        <v>4</v>
      </c>
      <c r="Y40" s="34">
        <v>4.2999999999999997E-2</v>
      </c>
      <c r="Z40" s="105">
        <f t="shared" si="0"/>
        <v>4.0430000000000001</v>
      </c>
      <c r="AA40" s="105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8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">
        <v>171</v>
      </c>
      <c r="H41" s="85"/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616</v>
      </c>
      <c r="X41" s="35">
        <v>-9</v>
      </c>
      <c r="Y41" s="34">
        <v>0.12</v>
      </c>
      <c r="Z41" s="105">
        <f t="shared" si="0"/>
        <v>-8.8800000000000008</v>
      </c>
      <c r="AA41" s="105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7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">
        <v>164</v>
      </c>
      <c r="H42" s="85"/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5">
        <f t="shared" si="0"/>
        <v>1</v>
      </c>
      <c r="AA42" s="105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8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">
        <v>165</v>
      </c>
      <c r="H43" s="85"/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5">
        <f t="shared" si="0"/>
        <v>-38.6</v>
      </c>
      <c r="AA43" s="105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7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">
        <v>166</v>
      </c>
      <c r="H44" s="85"/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5">
        <f t="shared" si="0"/>
        <v>405</v>
      </c>
      <c r="AA44" s="105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8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/>
      <c r="H45" s="85"/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103"/>
      <c r="Z45" s="105" t="str">
        <f t="shared" si="0"/>
        <v/>
      </c>
      <c r="AA45" s="105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7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/>
      <c r="H46" s="85"/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103"/>
      <c r="Z46" s="105" t="str">
        <f t="shared" si="0"/>
        <v/>
      </c>
      <c r="AA46" s="105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8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/>
      <c r="H47" s="85"/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103"/>
      <c r="Z47" s="105" t="str">
        <f t="shared" si="0"/>
        <v/>
      </c>
      <c r="AA47" s="105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7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/>
      <c r="H48" s="85"/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103"/>
      <c r="Z48" s="105" t="str">
        <f t="shared" si="0"/>
        <v/>
      </c>
      <c r="AA48" s="105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8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/>
      <c r="H49" s="85"/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103"/>
      <c r="Z49" s="105" t="str">
        <f t="shared" si="0"/>
        <v/>
      </c>
      <c r="AA49" s="105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7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/>
      <c r="H50" s="85"/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103"/>
      <c r="Z50" s="105" t="str">
        <f t="shared" si="0"/>
        <v/>
      </c>
      <c r="AA50" s="105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8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/>
      <c r="H51" s="85"/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103"/>
      <c r="Z51" s="105" t="str">
        <f t="shared" si="0"/>
        <v/>
      </c>
      <c r="AA51" s="105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7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/>
      <c r="H52" s="85"/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103"/>
      <c r="Z52" s="105" t="str">
        <f t="shared" si="0"/>
        <v/>
      </c>
      <c r="AA52" s="105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8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/>
      <c r="H53" s="85"/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103"/>
      <c r="Z53" s="105" t="str">
        <f t="shared" si="0"/>
        <v/>
      </c>
      <c r="AA53" s="105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7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/>
      <c r="H54" s="85"/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103"/>
      <c r="Z54" s="105" t="str">
        <f t="shared" si="0"/>
        <v/>
      </c>
      <c r="AA54" s="105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8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/>
      <c r="H55" s="85"/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103"/>
      <c r="Z55" s="105" t="str">
        <f t="shared" si="0"/>
        <v/>
      </c>
      <c r="AA55" s="105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7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/>
      <c r="H56" s="85"/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103"/>
      <c r="Z56" s="105" t="str">
        <f t="shared" si="0"/>
        <v/>
      </c>
      <c r="AA56" s="105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8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/>
      <c r="H57" s="85"/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103"/>
      <c r="Z57" s="105" t="str">
        <f t="shared" si="0"/>
        <v/>
      </c>
      <c r="AA57" s="105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7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/>
      <c r="H58" s="85"/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103"/>
      <c r="Z58" s="105" t="str">
        <f t="shared" si="0"/>
        <v/>
      </c>
      <c r="AA58" s="105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8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/>
      <c r="H59" s="85"/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103"/>
      <c r="Z59" s="105" t="str">
        <f t="shared" si="0"/>
        <v/>
      </c>
      <c r="AA59" s="105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7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/>
      <c r="H60" s="85"/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103"/>
      <c r="Z60" s="105" t="str">
        <f t="shared" si="0"/>
        <v/>
      </c>
      <c r="AA60" s="105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8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/>
      <c r="H61" s="85"/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103"/>
      <c r="Z61" s="105" t="str">
        <f t="shared" si="0"/>
        <v/>
      </c>
      <c r="AA61" s="105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7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/>
      <c r="H62" s="85"/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103"/>
      <c r="Z62" s="105" t="str">
        <f t="shared" si="0"/>
        <v/>
      </c>
      <c r="AA62" s="105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8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/>
      <c r="H63" s="85"/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103"/>
      <c r="Z63" s="105" t="str">
        <f t="shared" si="0"/>
        <v/>
      </c>
      <c r="AA63" s="105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7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/>
      <c r="H64" s="85"/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103"/>
      <c r="Z64" s="105" t="str">
        <f t="shared" si="0"/>
        <v/>
      </c>
      <c r="AA64" s="105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8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/>
      <c r="H65" s="85"/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103"/>
      <c r="Z65" s="105" t="str">
        <f t="shared" si="0"/>
        <v/>
      </c>
      <c r="AA65" s="105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7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/>
      <c r="H66" s="85"/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103"/>
      <c r="Z66" s="105" t="str">
        <f t="shared" si="0"/>
        <v/>
      </c>
      <c r="AA66" s="105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8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/>
      <c r="H67" s="85"/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103"/>
      <c r="Z67" s="105" t="str">
        <f t="shared" si="0"/>
        <v/>
      </c>
      <c r="AA67" s="105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7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/>
      <c r="H68" s="85"/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103"/>
      <c r="Z68" s="105" t="str">
        <f t="shared" si="0"/>
        <v/>
      </c>
      <c r="AA68" s="105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8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/>
      <c r="H69" s="85"/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103"/>
      <c r="Z69" s="105" t="str">
        <f t="shared" si="0"/>
        <v/>
      </c>
      <c r="AA69" s="105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7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/>
      <c r="H70" s="85"/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5" t="str">
        <f t="shared" si="0"/>
        <v/>
      </c>
      <c r="AA70" s="105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8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/>
      <c r="H71" s="85"/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5" t="str">
        <f t="shared" ref="Z71:Z110" si="4">IF(T71&lt;&gt;"",ROUND(X71+Y71,-LOG10(T71)),"")</f>
        <v/>
      </c>
      <c r="AA71" s="105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7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/>
      <c r="H72" s="85"/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5" t="str">
        <f t="shared" si="4"/>
        <v/>
      </c>
      <c r="AA72" s="105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8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/>
      <c r="H73" s="85"/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5" t="str">
        <f t="shared" si="4"/>
        <v/>
      </c>
      <c r="AA73" s="105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7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/>
      <c r="H74" s="85"/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5" t="str">
        <f t="shared" si="4"/>
        <v/>
      </c>
      <c r="AA74" s="105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8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/>
      <c r="H75" s="85"/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5" t="str">
        <f t="shared" si="4"/>
        <v/>
      </c>
      <c r="AA75" s="105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7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/>
      <c r="H76" s="85"/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5" t="str">
        <f t="shared" si="4"/>
        <v/>
      </c>
      <c r="AA76" s="105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8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/>
      <c r="H77" s="85"/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5" t="str">
        <f t="shared" si="4"/>
        <v/>
      </c>
      <c r="AA77" s="105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7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/>
      <c r="H78" s="85"/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5" t="str">
        <f t="shared" si="4"/>
        <v/>
      </c>
      <c r="AA78" s="105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8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/>
      <c r="H79" s="85"/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5" t="str">
        <f t="shared" si="4"/>
        <v/>
      </c>
      <c r="AA79" s="105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7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/>
      <c r="H80" s="85"/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5" t="str">
        <f t="shared" si="4"/>
        <v/>
      </c>
      <c r="AA80" s="105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8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/>
      <c r="H81" s="85"/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5" t="str">
        <f t="shared" si="4"/>
        <v/>
      </c>
      <c r="AA81" s="105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7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/>
      <c r="H82" s="85"/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5" t="str">
        <f t="shared" si="4"/>
        <v/>
      </c>
      <c r="AA82" s="105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8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/>
      <c r="H83" s="85"/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5" t="str">
        <f t="shared" si="4"/>
        <v/>
      </c>
      <c r="AA83" s="105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7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/>
      <c r="H84" s="85"/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5" t="str">
        <f t="shared" si="4"/>
        <v/>
      </c>
      <c r="AA84" s="105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8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/>
      <c r="H85" s="85"/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5" t="str">
        <f t="shared" si="4"/>
        <v/>
      </c>
      <c r="AA85" s="105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7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/>
      <c r="H86" s="85"/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5" t="str">
        <f t="shared" si="4"/>
        <v/>
      </c>
      <c r="AA86" s="105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8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/>
      <c r="H87" s="85"/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5" t="str">
        <f t="shared" si="4"/>
        <v/>
      </c>
      <c r="AA87" s="105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7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/>
      <c r="H88" s="85"/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5" t="str">
        <f t="shared" si="4"/>
        <v/>
      </c>
      <c r="AA88" s="105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8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/>
      <c r="H89" s="85"/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5" t="str">
        <f t="shared" si="4"/>
        <v/>
      </c>
      <c r="AA89" s="105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7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/>
      <c r="H90" s="85"/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5" t="str">
        <f t="shared" si="4"/>
        <v/>
      </c>
      <c r="AA90" s="105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8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/>
      <c r="H91" s="85"/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5" t="str">
        <f t="shared" si="4"/>
        <v/>
      </c>
      <c r="AA91" s="105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7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/>
      <c r="H92" s="85"/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5" t="str">
        <f t="shared" si="4"/>
        <v/>
      </c>
      <c r="AA92" s="105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8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/>
      <c r="H93" s="85"/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5" t="str">
        <f t="shared" si="4"/>
        <v/>
      </c>
      <c r="AA93" s="105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7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/>
      <c r="H94" s="85"/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5" t="str">
        <f t="shared" si="4"/>
        <v/>
      </c>
      <c r="AA94" s="105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8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/>
      <c r="H95" s="85"/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5" t="str">
        <f t="shared" si="4"/>
        <v/>
      </c>
      <c r="AA95" s="105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7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/>
      <c r="H96" s="85"/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5" t="str">
        <f t="shared" si="4"/>
        <v/>
      </c>
      <c r="AA96" s="105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8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/>
      <c r="H97" s="85"/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5" t="str">
        <f t="shared" si="4"/>
        <v/>
      </c>
      <c r="AA97" s="105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7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/>
      <c r="H98" s="85"/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5" t="str">
        <f t="shared" si="4"/>
        <v/>
      </c>
      <c r="AA98" s="105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8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/>
      <c r="H99" s="85"/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5" t="str">
        <f t="shared" si="4"/>
        <v/>
      </c>
      <c r="AA99" s="105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7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/>
      <c r="H100" s="85"/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5" t="str">
        <f t="shared" si="4"/>
        <v/>
      </c>
      <c r="AA100" s="105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8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/>
      <c r="H101" s="85"/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5" t="str">
        <f t="shared" si="4"/>
        <v/>
      </c>
      <c r="AA101" s="105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7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/>
      <c r="H102" s="85"/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5" t="str">
        <f t="shared" si="4"/>
        <v/>
      </c>
      <c r="AA102" s="105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8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/>
      <c r="H103" s="85"/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5" t="str">
        <f t="shared" si="4"/>
        <v/>
      </c>
      <c r="AA103" s="105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7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/>
      <c r="H104" s="85"/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5" t="str">
        <f t="shared" si="4"/>
        <v/>
      </c>
      <c r="AA104" s="105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8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/>
      <c r="H105" s="85"/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5" t="str">
        <f t="shared" si="4"/>
        <v/>
      </c>
      <c r="AA105" s="105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7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/>
      <c r="H106" s="85"/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5" t="str">
        <f t="shared" si="4"/>
        <v/>
      </c>
      <c r="AA106" s="105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8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/>
      <c r="H107" s="85"/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5" t="str">
        <f t="shared" si="4"/>
        <v/>
      </c>
      <c r="AA107" s="105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7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/>
      <c r="H108" s="85"/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5" t="str">
        <f t="shared" si="4"/>
        <v/>
      </c>
      <c r="AA108" s="105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8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/>
      <c r="H109" s="85"/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5" t="str">
        <f t="shared" si="4"/>
        <v/>
      </c>
      <c r="AA109" s="105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7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/>
      <c r="H110" s="85"/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5" t="str">
        <f t="shared" si="4"/>
        <v/>
      </c>
      <c r="AA110" s="105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617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614</v>
      </c>
      <c r="B2">
        <f ca="1">$A2*(RAND()+99.5)/100</f>
        <v>67.05712643981488</v>
      </c>
      <c r="C2">
        <f t="shared" ref="C2:F16" ca="1" si="0">$A2*(RAND()+99.5)/100</f>
        <v>66.939243187551497</v>
      </c>
      <c r="D2">
        <f t="shared" ca="1" si="0"/>
        <v>67.045260479986581</v>
      </c>
      <c r="E2">
        <f t="shared" ca="1" si="0"/>
        <v>66.591696175088003</v>
      </c>
      <c r="F2">
        <f t="shared" ca="1" si="0"/>
        <v>66.606865446724257</v>
      </c>
    </row>
    <row r="3" spans="1:6" x14ac:dyDescent="0.25">
      <c r="A3" t="s">
        <v>115</v>
      </c>
      <c r="B3">
        <f t="shared" ref="B3:B16" ca="1" si="1">$A3*(RAND()+99.5)/100</f>
        <v>4.9803043249791976</v>
      </c>
      <c r="C3">
        <f t="shared" ca="1" si="0"/>
        <v>4.996398235313869</v>
      </c>
      <c r="D3">
        <f t="shared" ca="1" si="0"/>
        <v>5.0014420992714257</v>
      </c>
      <c r="E3">
        <f t="shared" ca="1" si="0"/>
        <v>5.0204799901950157</v>
      </c>
      <c r="F3">
        <f t="shared" ca="1" si="0"/>
        <v>4.9951873283413653</v>
      </c>
    </row>
    <row r="4" spans="1:6" x14ac:dyDescent="0.25">
      <c r="A4" t="s">
        <v>116</v>
      </c>
      <c r="B4">
        <f t="shared" ca="1" si="1"/>
        <v>4.9759798978255345</v>
      </c>
      <c r="C4">
        <f t="shared" ca="1" si="0"/>
        <v>4.9468809309549773</v>
      </c>
      <c r="D4">
        <f t="shared" ca="1" si="0"/>
        <v>4.9810415871962439</v>
      </c>
      <c r="E4">
        <f t="shared" ca="1" si="0"/>
        <v>4.962715773526857</v>
      </c>
      <c r="F4">
        <f t="shared" ca="1" si="0"/>
        <v>4.9693770511497126</v>
      </c>
    </row>
    <row r="5" spans="1:6" x14ac:dyDescent="0.25">
      <c r="A5" t="s">
        <v>117</v>
      </c>
      <c r="B5">
        <f t="shared" ca="1" si="1"/>
        <v>50.017095498344922</v>
      </c>
      <c r="C5">
        <f t="shared" ca="1" si="0"/>
        <v>49.889099210039213</v>
      </c>
      <c r="D5">
        <f t="shared" ca="1" si="0"/>
        <v>50.2039401686093</v>
      </c>
      <c r="E5">
        <f t="shared" ca="1" si="0"/>
        <v>49.94994885334021</v>
      </c>
      <c r="F5">
        <f t="shared" ca="1" si="0"/>
        <v>49.760043785324669</v>
      </c>
    </row>
    <row r="6" spans="1:6" x14ac:dyDescent="0.25">
      <c r="A6" t="s">
        <v>118</v>
      </c>
      <c r="B6">
        <f t="shared" ca="1" si="1"/>
        <v>50.157655409212481</v>
      </c>
      <c r="C6">
        <f t="shared" ca="1" si="0"/>
        <v>50.101396741268836</v>
      </c>
      <c r="D6">
        <f t="shared" ca="1" si="0"/>
        <v>50.085855360263224</v>
      </c>
      <c r="E6">
        <f t="shared" ca="1" si="0"/>
        <v>50.180132484332489</v>
      </c>
      <c r="F6">
        <f t="shared" ca="1" si="0"/>
        <v>50.260083726347339</v>
      </c>
    </row>
    <row r="7" spans="1:6" x14ac:dyDescent="0.25">
      <c r="A7" t="s">
        <v>114</v>
      </c>
      <c r="B7">
        <f t="shared" ca="1" si="1"/>
        <v>299.61398766801574</v>
      </c>
      <c r="C7">
        <f t="shared" ca="1" si="0"/>
        <v>300.91934588151872</v>
      </c>
      <c r="D7">
        <f t="shared" ca="1" si="0"/>
        <v>300.54689400043094</v>
      </c>
      <c r="E7">
        <f t="shared" ca="1" si="0"/>
        <v>300.19323728437359</v>
      </c>
      <c r="F7">
        <f t="shared" ca="1" si="0"/>
        <v>298.75590336519963</v>
      </c>
    </row>
    <row r="8" spans="1:6" x14ac:dyDescent="0.25">
      <c r="A8" t="s">
        <v>119</v>
      </c>
      <c r="B8">
        <f t="shared" ca="1" si="1"/>
        <v>501.41380090622442</v>
      </c>
      <c r="C8">
        <f t="shared" ca="1" si="0"/>
        <v>502.91858876077453</v>
      </c>
      <c r="D8">
        <f t="shared" ca="1" si="0"/>
        <v>499.11383928589731</v>
      </c>
      <c r="E8">
        <f t="shared" ca="1" si="0"/>
        <v>501.48327320835568</v>
      </c>
      <c r="F8">
        <f t="shared" ca="1" si="0"/>
        <v>502.443262208188</v>
      </c>
    </row>
    <row r="9" spans="1:6" x14ac:dyDescent="0.25">
      <c r="A9" t="s">
        <v>119</v>
      </c>
      <c r="B9">
        <f t="shared" ca="1" si="1"/>
        <v>498.74505967842265</v>
      </c>
      <c r="C9">
        <f t="shared" ca="1" si="0"/>
        <v>503.3321783221856</v>
      </c>
      <c r="D9">
        <f t="shared" ca="1" si="0"/>
        <v>501.66064271293806</v>
      </c>
      <c r="E9">
        <f t="shared" ca="1" si="0"/>
        <v>498.52331290016605</v>
      </c>
      <c r="F9">
        <f t="shared" ca="1" si="0"/>
        <v>500.03342102438887</v>
      </c>
    </row>
    <row r="10" spans="1:6" x14ac:dyDescent="0.25">
      <c r="A10" t="s">
        <v>120</v>
      </c>
      <c r="B10">
        <f t="shared" ca="1" si="1"/>
        <v>1002.1537619854129</v>
      </c>
      <c r="C10">
        <f t="shared" ca="1" si="0"/>
        <v>1001.1027608002748</v>
      </c>
      <c r="D10">
        <f t="shared" ca="1" si="0"/>
        <v>1000.2940327517815</v>
      </c>
      <c r="E10">
        <f t="shared" ca="1" si="0"/>
        <v>1001.7412202432223</v>
      </c>
      <c r="F10">
        <f t="shared" ca="1" si="0"/>
        <v>999.38007410855698</v>
      </c>
    </row>
    <row r="13" spans="1:6" x14ac:dyDescent="0.25">
      <c r="A13" t="s">
        <v>121</v>
      </c>
      <c r="B13">
        <f t="shared" ca="1" si="1"/>
        <v>5.0075240777982035</v>
      </c>
      <c r="C13">
        <f t="shared" ca="1" si="0"/>
        <v>5.0021119573951349</v>
      </c>
      <c r="D13">
        <f t="shared" ca="1" si="0"/>
        <v>4.9785014725992376</v>
      </c>
      <c r="E13">
        <f t="shared" ca="1" si="0"/>
        <v>5.0148224856314378</v>
      </c>
      <c r="F13">
        <f t="shared" ca="1" si="0"/>
        <v>5.0235049218165617</v>
      </c>
    </row>
    <row r="14" spans="1:6" x14ac:dyDescent="0.25">
      <c r="A14" t="s">
        <v>122</v>
      </c>
      <c r="B14">
        <f t="shared" ca="1" si="1"/>
        <v>299.06089174859784</v>
      </c>
      <c r="C14">
        <f t="shared" ca="1" si="0"/>
        <v>301.44979367272822</v>
      </c>
      <c r="D14">
        <f t="shared" ca="1" si="0"/>
        <v>299.06381569621129</v>
      </c>
      <c r="E14">
        <f t="shared" ca="1" si="0"/>
        <v>301.41417396489936</v>
      </c>
      <c r="F14">
        <f t="shared" ca="1" si="0"/>
        <v>299.18956619170018</v>
      </c>
    </row>
    <row r="15" spans="1:6" x14ac:dyDescent="0.25">
      <c r="A15" t="s">
        <v>123</v>
      </c>
      <c r="B15">
        <f t="shared" ca="1" si="1"/>
        <v>999.26654751614376</v>
      </c>
      <c r="C15">
        <f t="shared" ca="1" si="0"/>
        <v>997.70486176981285</v>
      </c>
      <c r="D15">
        <f t="shared" ca="1" si="0"/>
        <v>997.97714726940239</v>
      </c>
      <c r="E15">
        <f t="shared" ca="1" si="0"/>
        <v>1001.8918427689391</v>
      </c>
      <c r="F15">
        <f t="shared" ca="1" si="0"/>
        <v>1004.2812514629275</v>
      </c>
    </row>
    <row r="16" spans="1:6" x14ac:dyDescent="0.25">
      <c r="A16" t="s">
        <v>124</v>
      </c>
      <c r="B16">
        <f t="shared" ca="1" si="1"/>
        <v>-1001.4532846455642</v>
      </c>
      <c r="C16">
        <f t="shared" ca="1" si="0"/>
        <v>-1001.4919118343175</v>
      </c>
      <c r="D16">
        <f t="shared" ca="1" si="0"/>
        <v>-998.02338232002523</v>
      </c>
      <c r="E16">
        <f t="shared" ca="1" si="0"/>
        <v>-995.86560337580454</v>
      </c>
      <c r="F16">
        <f t="shared" ca="1" si="0"/>
        <v>-996.54758559850427</v>
      </c>
    </row>
    <row r="19" spans="1:6" x14ac:dyDescent="0.25">
      <c r="A19" t="s">
        <v>125</v>
      </c>
      <c r="B19">
        <f t="shared" ref="B19:F40" ca="1" si="2">$A19*(RAND()+99.5)/100</f>
        <v>30.073839445001454</v>
      </c>
      <c r="C19">
        <f t="shared" ca="1" si="2"/>
        <v>30.14544757841551</v>
      </c>
      <c r="D19">
        <f t="shared" ca="1" si="2"/>
        <v>29.986168617198004</v>
      </c>
      <c r="E19">
        <f t="shared" ca="1" si="2"/>
        <v>30.098658993831876</v>
      </c>
      <c r="F19">
        <f t="shared" ca="1" si="2"/>
        <v>29.996200556531779</v>
      </c>
    </row>
    <row r="20" spans="1:6" x14ac:dyDescent="0.25">
      <c r="A20" t="s">
        <v>126</v>
      </c>
      <c r="B20">
        <f t="shared" ca="1" si="2"/>
        <v>-301.02694718139321</v>
      </c>
      <c r="C20">
        <f t="shared" ca="1" si="2"/>
        <v>-299.42156811083885</v>
      </c>
      <c r="D20">
        <f t="shared" ca="1" si="2"/>
        <v>-299.14371714142521</v>
      </c>
      <c r="E20">
        <f t="shared" ca="1" si="2"/>
        <v>-299.78795857415378</v>
      </c>
      <c r="F20">
        <f t="shared" ca="1" si="2"/>
        <v>-299.31918293668133</v>
      </c>
    </row>
    <row r="21" spans="1:6" x14ac:dyDescent="0.25">
      <c r="A21" t="s">
        <v>127</v>
      </c>
      <c r="B21">
        <f t="shared" ca="1" si="2"/>
        <v>597.57441362736495</v>
      </c>
      <c r="C21">
        <f t="shared" ca="1" si="2"/>
        <v>598.90618407812349</v>
      </c>
      <c r="D21">
        <f t="shared" ca="1" si="2"/>
        <v>600.59850062408941</v>
      </c>
      <c r="E21">
        <f t="shared" ca="1" si="2"/>
        <v>601.49599159650427</v>
      </c>
      <c r="F21">
        <f t="shared" ca="1" si="2"/>
        <v>599.97474587665738</v>
      </c>
    </row>
    <row r="22" spans="1:6" x14ac:dyDescent="0.25">
      <c r="A22" t="s">
        <v>128</v>
      </c>
      <c r="B22">
        <f t="shared" ca="1" si="2"/>
        <v>500.47271772730221</v>
      </c>
      <c r="C22">
        <f t="shared" ca="1" si="2"/>
        <v>499.19651962374587</v>
      </c>
      <c r="D22">
        <f t="shared" ca="1" si="2"/>
        <v>500.63525517952098</v>
      </c>
      <c r="E22">
        <f t="shared" ca="1" si="2"/>
        <v>501.78558699552997</v>
      </c>
      <c r="F22">
        <f t="shared" ca="1" si="2"/>
        <v>501.11467375633788</v>
      </c>
    </row>
    <row r="23" spans="1:6" x14ac:dyDescent="0.25">
      <c r="A23" t="s">
        <v>129</v>
      </c>
      <c r="B23">
        <f t="shared" ca="1" si="2"/>
        <v>19.078451543531898</v>
      </c>
      <c r="C23">
        <f t="shared" ca="1" si="2"/>
        <v>18.949387838502368</v>
      </c>
      <c r="D23">
        <f t="shared" ca="1" si="2"/>
        <v>19.026929997834653</v>
      </c>
      <c r="E23">
        <f t="shared" ca="1" si="2"/>
        <v>18.924530929261238</v>
      </c>
      <c r="F23">
        <f t="shared" ca="1" si="2"/>
        <v>19.025101897566831</v>
      </c>
    </row>
    <row r="24" spans="1:6" x14ac:dyDescent="0.25">
      <c r="A24" t="s">
        <v>130</v>
      </c>
      <c r="B24">
        <f t="shared" ca="1" si="2"/>
        <v>900.86149775278591</v>
      </c>
      <c r="C24">
        <f t="shared" ca="1" si="2"/>
        <v>898.33363701839698</v>
      </c>
      <c r="D24">
        <f t="shared" ca="1" si="2"/>
        <v>899.83519948319338</v>
      </c>
      <c r="E24">
        <f t="shared" ca="1" si="2"/>
        <v>897.70710520721639</v>
      </c>
      <c r="F24">
        <f t="shared" ca="1" si="2"/>
        <v>902.596263679137</v>
      </c>
    </row>
    <row r="27" spans="1:6" x14ac:dyDescent="0.25">
      <c r="A27" t="s">
        <v>131</v>
      </c>
      <c r="B27">
        <f t="shared" ca="1" si="2"/>
        <v>2.0023769667139213</v>
      </c>
      <c r="C27">
        <f t="shared" ca="1" si="2"/>
        <v>2.0042467499129866</v>
      </c>
      <c r="D27">
        <f t="shared" ca="1" si="2"/>
        <v>2.0039112497064235</v>
      </c>
      <c r="E27">
        <f t="shared" ca="1" si="2"/>
        <v>2.0007091321357215</v>
      </c>
      <c r="F27">
        <f t="shared" ca="1" si="2"/>
        <v>1.9994713983907622</v>
      </c>
    </row>
    <row r="28" spans="1:6" x14ac:dyDescent="0.25">
      <c r="A28" t="s">
        <v>132</v>
      </c>
      <c r="B28">
        <f t="shared" ca="1" si="2"/>
        <v>3.0044163323431006</v>
      </c>
      <c r="C28">
        <f t="shared" ca="1" si="2"/>
        <v>3.0013013463094036</v>
      </c>
      <c r="D28">
        <f t="shared" ca="1" si="2"/>
        <v>2.9912348440699152</v>
      </c>
      <c r="E28">
        <f t="shared" ca="1" si="2"/>
        <v>3.0013253983711148</v>
      </c>
      <c r="F28">
        <f t="shared" ca="1" si="2"/>
        <v>2.9874705059285604</v>
      </c>
    </row>
    <row r="29" spans="1:6" x14ac:dyDescent="0.25">
      <c r="A29" t="s">
        <v>133</v>
      </c>
      <c r="B29">
        <f t="shared" ca="1" si="2"/>
        <v>50.135933200455113</v>
      </c>
      <c r="C29">
        <f t="shared" ca="1" si="2"/>
        <v>50.115055031321887</v>
      </c>
      <c r="D29">
        <f t="shared" ca="1" si="2"/>
        <v>50.062010681377906</v>
      </c>
      <c r="E29">
        <f t="shared" ca="1" si="2"/>
        <v>49.806465433823817</v>
      </c>
      <c r="F29">
        <f t="shared" ca="1" si="2"/>
        <v>49.798473421241262</v>
      </c>
    </row>
    <row r="30" spans="1:6" x14ac:dyDescent="0.25">
      <c r="A30" t="s">
        <v>134</v>
      </c>
      <c r="B30">
        <f t="shared" ca="1" si="2"/>
        <v>398.98941372565793</v>
      </c>
      <c r="C30">
        <f t="shared" ca="1" si="2"/>
        <v>400.87952826996451</v>
      </c>
      <c r="D30">
        <f t="shared" ca="1" si="2"/>
        <v>397.56006635543179</v>
      </c>
      <c r="E30">
        <f t="shared" ca="1" si="2"/>
        <v>398.23964379973069</v>
      </c>
      <c r="F30">
        <f t="shared" ca="1" si="2"/>
        <v>397.88869733680235</v>
      </c>
    </row>
    <row r="31" spans="1:6" x14ac:dyDescent="0.25">
      <c r="A31" t="s">
        <v>135</v>
      </c>
      <c r="B31">
        <f t="shared" ca="1" si="2"/>
        <v>4.0115418017155813</v>
      </c>
      <c r="C31">
        <f t="shared" ca="1" si="2"/>
        <v>3.9813899768119363</v>
      </c>
      <c r="D31">
        <f t="shared" ca="1" si="2"/>
        <v>4.0167951109983626</v>
      </c>
      <c r="E31">
        <f t="shared" ca="1" si="2"/>
        <v>3.9985706855837702</v>
      </c>
      <c r="F31">
        <f t="shared" ca="1" si="2"/>
        <v>3.9898745429636917</v>
      </c>
    </row>
    <row r="32" spans="1:6" x14ac:dyDescent="0.25">
      <c r="A32" t="s">
        <v>136</v>
      </c>
      <c r="B32">
        <f t="shared" ca="1" si="2"/>
        <v>9.0110754935906066</v>
      </c>
      <c r="C32">
        <f t="shared" ca="1" si="2"/>
        <v>9.0134240009831021</v>
      </c>
      <c r="D32">
        <f t="shared" ca="1" si="2"/>
        <v>9.0098395738289394</v>
      </c>
      <c r="E32">
        <f t="shared" ca="1" si="2"/>
        <v>8.991539301316374</v>
      </c>
      <c r="F32">
        <f t="shared" ca="1" si="2"/>
        <v>8.9943600651387889</v>
      </c>
    </row>
    <row r="33" spans="1:6" x14ac:dyDescent="0.25">
      <c r="A33" t="s">
        <v>132</v>
      </c>
      <c r="B33">
        <f t="shared" ca="1" si="2"/>
        <v>2.9930399804056669</v>
      </c>
      <c r="C33">
        <f t="shared" ca="1" si="2"/>
        <v>2.9970350819091389</v>
      </c>
      <c r="D33">
        <f t="shared" ca="1" si="2"/>
        <v>2.9948027266878192</v>
      </c>
      <c r="E33">
        <f t="shared" ca="1" si="2"/>
        <v>2.9916046694653402</v>
      </c>
      <c r="F33">
        <f t="shared" ca="1" si="2"/>
        <v>3.0012553897753196</v>
      </c>
    </row>
    <row r="34" spans="1:6" x14ac:dyDescent="0.25">
      <c r="A34" t="s">
        <v>117</v>
      </c>
      <c r="B34">
        <f t="shared" ca="1" si="2"/>
        <v>49.767283410256553</v>
      </c>
      <c r="C34">
        <f t="shared" ca="1" si="2"/>
        <v>50.157816427468269</v>
      </c>
      <c r="D34">
        <f t="shared" ca="1" si="2"/>
        <v>50.086952036035562</v>
      </c>
      <c r="E34">
        <f t="shared" ca="1" si="2"/>
        <v>49.999108070101599</v>
      </c>
      <c r="F34">
        <f t="shared" ca="1" si="2"/>
        <v>49.834876527079132</v>
      </c>
    </row>
    <row r="35" spans="1:6" x14ac:dyDescent="0.25">
      <c r="A35" t="s">
        <v>137</v>
      </c>
      <c r="B35">
        <f t="shared" ca="1" si="2"/>
        <v>-400.69865017315612</v>
      </c>
      <c r="C35">
        <f t="shared" ca="1" si="2"/>
        <v>-400.39314868194049</v>
      </c>
      <c r="D35">
        <f t="shared" ca="1" si="2"/>
        <v>-398.12553071994108</v>
      </c>
      <c r="E35">
        <f t="shared" ca="1" si="2"/>
        <v>-398.95560987891184</v>
      </c>
      <c r="F35">
        <f t="shared" ca="1" si="2"/>
        <v>-401.32462547891811</v>
      </c>
    </row>
    <row r="36" spans="1:6" x14ac:dyDescent="0.25">
      <c r="A36" t="s">
        <v>135</v>
      </c>
      <c r="B36">
        <f t="shared" ca="1" si="2"/>
        <v>4.0069757637999359</v>
      </c>
      <c r="C36">
        <f t="shared" ca="1" si="2"/>
        <v>4.0122261582360519</v>
      </c>
      <c r="D36">
        <f t="shared" ca="1" si="2"/>
        <v>4.0064608193294466</v>
      </c>
      <c r="E36">
        <f t="shared" ca="1" si="2"/>
        <v>3.9901101394940839</v>
      </c>
      <c r="F36">
        <f t="shared" ca="1" si="2"/>
        <v>4.0020708016283892</v>
      </c>
    </row>
    <row r="37" spans="1:6" x14ac:dyDescent="0.25">
      <c r="A37" t="s">
        <v>138</v>
      </c>
      <c r="B37">
        <f t="shared" ca="1" si="2"/>
        <v>-9.0124424242219145</v>
      </c>
      <c r="C37">
        <f t="shared" ca="1" si="2"/>
        <v>-9.00196434669704</v>
      </c>
      <c r="D37">
        <f t="shared" ca="1" si="2"/>
        <v>-9.0202433371661623</v>
      </c>
      <c r="E37">
        <f t="shared" ca="1" si="2"/>
        <v>-8.9552794771651367</v>
      </c>
      <c r="F37">
        <f t="shared" ca="1" si="2"/>
        <v>-9.0212198782840183</v>
      </c>
    </row>
    <row r="38" spans="1:6" x14ac:dyDescent="0.25">
      <c r="A38" t="s">
        <v>139</v>
      </c>
      <c r="B38">
        <f t="shared" ca="1" si="2"/>
        <v>0.20053860293348688</v>
      </c>
      <c r="C38">
        <f t="shared" ca="1" si="2"/>
        <v>0.20056202438834048</v>
      </c>
      <c r="D38">
        <f t="shared" ca="1" si="2"/>
        <v>0.20043204507172327</v>
      </c>
      <c r="E38">
        <f t="shared" ca="1" si="2"/>
        <v>0.19935515333751791</v>
      </c>
      <c r="F38">
        <f t="shared" ca="1" si="2"/>
        <v>0.20059874998096078</v>
      </c>
    </row>
    <row r="39" spans="1:6" x14ac:dyDescent="0.25">
      <c r="A39" t="s">
        <v>140</v>
      </c>
      <c r="B39">
        <f t="shared" ca="1" si="2"/>
        <v>-39.926173406015195</v>
      </c>
      <c r="C39">
        <f t="shared" ca="1" si="2"/>
        <v>-39.73661990429045</v>
      </c>
      <c r="D39">
        <f t="shared" ca="1" si="2"/>
        <v>-39.746369874124156</v>
      </c>
      <c r="E39">
        <f t="shared" ca="1" si="2"/>
        <v>-39.878247430731079</v>
      </c>
      <c r="F39">
        <f t="shared" ca="1" si="2"/>
        <v>-39.716533394362429</v>
      </c>
    </row>
    <row r="40" spans="1:6" x14ac:dyDescent="0.25">
      <c r="A40" t="s">
        <v>141</v>
      </c>
      <c r="B40">
        <f t="shared" ca="1" si="2"/>
        <v>397.89437654659918</v>
      </c>
      <c r="C40">
        <f t="shared" ca="1" si="2"/>
        <v>399.81536836709529</v>
      </c>
      <c r="D40">
        <f t="shared" ca="1" si="2"/>
        <v>401.26759856267802</v>
      </c>
      <c r="E40">
        <f t="shared" ca="1" si="2"/>
        <v>399.53259684569014</v>
      </c>
      <c r="F40">
        <f t="shared" ca="1" si="2"/>
        <v>399.89683930497989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opLeftCell="A571" workbookViewId="0">
      <selection activeCell="O4" sqref="O4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600</v>
      </c>
      <c r="B1" t="s">
        <v>601</v>
      </c>
      <c r="C1" t="s">
        <v>612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175</v>
      </c>
      <c r="S1" t="s">
        <v>176</v>
      </c>
      <c r="T1" t="s">
        <v>177</v>
      </c>
      <c r="U1" t="s">
        <v>602</v>
      </c>
      <c r="V1" t="s">
        <v>603</v>
      </c>
      <c r="W1" t="s">
        <v>605</v>
      </c>
      <c r="X1" t="s">
        <v>606</v>
      </c>
      <c r="Y1" t="s">
        <v>604</v>
      </c>
      <c r="Z1" t="s">
        <v>618</v>
      </c>
      <c r="AA1" s="62" t="s">
        <v>611</v>
      </c>
      <c r="AB1" s="62" t="s">
        <v>607</v>
      </c>
      <c r="AC1" s="62" t="s">
        <v>608</v>
      </c>
      <c r="AD1" s="62" t="s">
        <v>609</v>
      </c>
      <c r="AE1" s="62" t="s">
        <v>610</v>
      </c>
    </row>
    <row r="2" spans="1:31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643</v>
      </c>
      <c r="V2" t="s">
        <v>644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0">
        <f>AB2/AC2</f>
        <v>0.98944193061840124</v>
      </c>
      <c r="AE2" s="80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643</v>
      </c>
      <c r="V3" t="s">
        <v>644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645</v>
      </c>
      <c r="V4" t="s">
        <v>646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647</v>
      </c>
      <c r="V5" t="s">
        <v>648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649</v>
      </c>
      <c r="V6" t="s">
        <v>650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651</v>
      </c>
      <c r="V7" t="s">
        <v>652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0"/>
    </row>
    <row r="8" spans="1:31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653</v>
      </c>
      <c r="V8" t="s">
        <v>654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0"/>
    </row>
    <row r="9" spans="1:31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655</v>
      </c>
      <c r="V9" t="s">
        <v>656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657</v>
      </c>
      <c r="V10" t="s">
        <v>658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659</v>
      </c>
      <c r="V11" t="s">
        <v>659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660</v>
      </c>
      <c r="V12" t="s">
        <v>661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662</v>
      </c>
      <c r="V13" t="s">
        <v>662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663</v>
      </c>
      <c r="V14" t="s">
        <v>663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550</v>
      </c>
      <c r="V15" t="s">
        <v>550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203</v>
      </c>
      <c r="V16" t="s">
        <v>203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664</v>
      </c>
      <c r="V17" t="s">
        <v>665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666</v>
      </c>
      <c r="V18" t="s">
        <v>667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668</v>
      </c>
      <c r="V19" t="s">
        <v>669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670</v>
      </c>
      <c r="V20" t="s">
        <v>662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671</v>
      </c>
      <c r="V21" t="s">
        <v>671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547</v>
      </c>
      <c r="V22" t="s">
        <v>547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548</v>
      </c>
      <c r="V23" t="s">
        <v>548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549</v>
      </c>
      <c r="V24" t="s">
        <v>549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433</v>
      </c>
      <c r="V25" t="s">
        <v>433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213</v>
      </c>
      <c r="V26" t="s">
        <v>213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671</v>
      </c>
      <c r="V27" t="s">
        <v>672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547</v>
      </c>
      <c r="V29" t="s">
        <v>547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548</v>
      </c>
      <c r="V30" t="s">
        <v>548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549</v>
      </c>
      <c r="V31" t="s">
        <v>549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213</v>
      </c>
      <c r="V32" t="s">
        <v>213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546</v>
      </c>
      <c r="U37" t="s">
        <v>673</v>
      </c>
      <c r="V37" t="s">
        <v>673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546</v>
      </c>
      <c r="U38" t="s">
        <v>673</v>
      </c>
      <c r="V38" t="s">
        <v>673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546</v>
      </c>
      <c r="U39" t="s">
        <v>673</v>
      </c>
      <c r="V39" t="s">
        <v>673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546</v>
      </c>
      <c r="U40" t="s">
        <v>674</v>
      </c>
      <c r="V40" t="s">
        <v>674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546</v>
      </c>
      <c r="U41" t="s">
        <v>675</v>
      </c>
      <c r="V41" t="s">
        <v>675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546</v>
      </c>
      <c r="U42" t="s">
        <v>676</v>
      </c>
      <c r="V42" t="s">
        <v>676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546</v>
      </c>
      <c r="U43" t="s">
        <v>677</v>
      </c>
      <c r="V43" t="s">
        <v>678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546</v>
      </c>
      <c r="U44" t="s">
        <v>677</v>
      </c>
      <c r="V44" t="s">
        <v>678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546</v>
      </c>
      <c r="U45" t="s">
        <v>679</v>
      </c>
      <c r="V45" t="s">
        <v>680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546</v>
      </c>
      <c r="U46" t="s">
        <v>674</v>
      </c>
      <c r="V46" t="s">
        <v>674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546</v>
      </c>
      <c r="U47" t="s">
        <v>675</v>
      </c>
      <c r="V47" t="s">
        <v>675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546</v>
      </c>
      <c r="U48" t="s">
        <v>676</v>
      </c>
      <c r="V48" t="s">
        <v>676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546</v>
      </c>
      <c r="U49" t="s">
        <v>681</v>
      </c>
      <c r="V49" t="s">
        <v>682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546</v>
      </c>
      <c r="U50" t="s">
        <v>683</v>
      </c>
      <c r="V50" t="s">
        <v>682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546</v>
      </c>
      <c r="U51" t="s">
        <v>684</v>
      </c>
      <c r="V51" t="s">
        <v>685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546</v>
      </c>
      <c r="U52" t="s">
        <v>675</v>
      </c>
      <c r="V52" t="s">
        <v>675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546</v>
      </c>
      <c r="U53" t="s">
        <v>676</v>
      </c>
      <c r="V53" t="s">
        <v>676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546</v>
      </c>
      <c r="U54" t="s">
        <v>686</v>
      </c>
      <c r="V54" t="s">
        <v>686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546</v>
      </c>
      <c r="U55" t="s">
        <v>687</v>
      </c>
      <c r="V55" t="s">
        <v>688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546</v>
      </c>
      <c r="U56" t="s">
        <v>689</v>
      </c>
      <c r="V56" t="s">
        <v>690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546</v>
      </c>
      <c r="U57" t="s">
        <v>691</v>
      </c>
      <c r="V57" t="s">
        <v>692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546</v>
      </c>
      <c r="U58" t="s">
        <v>676</v>
      </c>
      <c r="V58" t="s">
        <v>676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546</v>
      </c>
      <c r="U59" t="s">
        <v>686</v>
      </c>
      <c r="V59" t="s">
        <v>686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546</v>
      </c>
      <c r="U60" t="s">
        <v>693</v>
      </c>
      <c r="V60" t="s">
        <v>693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546</v>
      </c>
      <c r="U61" t="s">
        <v>694</v>
      </c>
      <c r="V61" t="s">
        <v>695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546</v>
      </c>
      <c r="U62" t="s">
        <v>696</v>
      </c>
      <c r="V62" t="s">
        <v>697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546</v>
      </c>
      <c r="U63" t="s">
        <v>698</v>
      </c>
      <c r="V63" t="s">
        <v>699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546</v>
      </c>
      <c r="U64" t="s">
        <v>686</v>
      </c>
      <c r="V64" t="s">
        <v>686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546</v>
      </c>
      <c r="U65" t="s">
        <v>693</v>
      </c>
      <c r="V65" t="s">
        <v>693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546</v>
      </c>
      <c r="U66" t="s">
        <v>700</v>
      </c>
      <c r="V66" t="s">
        <v>700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546</v>
      </c>
      <c r="U67" t="s">
        <v>701</v>
      </c>
      <c r="V67" t="s">
        <v>702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546</v>
      </c>
      <c r="U68" t="s">
        <v>703</v>
      </c>
      <c r="V68" t="s">
        <v>704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546</v>
      </c>
      <c r="U69" t="s">
        <v>705</v>
      </c>
      <c r="V69" t="s">
        <v>706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546</v>
      </c>
      <c r="U70" t="s">
        <v>167</v>
      </c>
      <c r="V70" t="s">
        <v>167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546</v>
      </c>
      <c r="U71" t="s">
        <v>157</v>
      </c>
      <c r="V71" t="s">
        <v>157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707</v>
      </c>
      <c r="V72" t="s">
        <v>708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709</v>
      </c>
      <c r="V73" t="s">
        <v>710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711</v>
      </c>
      <c r="V74" t="s">
        <v>712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713</v>
      </c>
      <c r="V75" t="s">
        <v>713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714</v>
      </c>
      <c r="V76" t="s">
        <v>714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715</v>
      </c>
      <c r="V77" t="s">
        <v>715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716</v>
      </c>
      <c r="V78" t="s">
        <v>716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717</v>
      </c>
      <c r="V79" t="s">
        <v>717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718</v>
      </c>
      <c r="V80" t="s">
        <v>718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719</v>
      </c>
      <c r="V81" t="s">
        <v>719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720</v>
      </c>
      <c r="V82" t="s">
        <v>720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721</v>
      </c>
      <c r="V83" t="s">
        <v>721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722</v>
      </c>
      <c r="V84" t="s">
        <v>723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722</v>
      </c>
      <c r="V85" t="s">
        <v>723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724</v>
      </c>
      <c r="V86" t="s">
        <v>725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726</v>
      </c>
      <c r="V87" t="s">
        <v>727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714</v>
      </c>
      <c r="V88" t="s">
        <v>714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715</v>
      </c>
      <c r="V89" t="s">
        <v>715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728</v>
      </c>
      <c r="V90" t="s">
        <v>729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728</v>
      </c>
      <c r="V91" t="s">
        <v>729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730</v>
      </c>
      <c r="V92" t="s">
        <v>731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714</v>
      </c>
      <c r="V93" t="s">
        <v>732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715</v>
      </c>
      <c r="V94" t="s">
        <v>715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716</v>
      </c>
      <c r="V95" t="s">
        <v>716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733</v>
      </c>
      <c r="V96" t="s">
        <v>734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733</v>
      </c>
      <c r="V97" t="s">
        <v>734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735</v>
      </c>
      <c r="V98" t="s">
        <v>736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737</v>
      </c>
      <c r="V99" t="s">
        <v>672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738</v>
      </c>
      <c r="V100" t="s">
        <v>738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739</v>
      </c>
      <c r="V101" t="s">
        <v>739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740</v>
      </c>
      <c r="V102" t="s">
        <v>741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740</v>
      </c>
      <c r="V103" t="s">
        <v>741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742</v>
      </c>
      <c r="V104" t="s">
        <v>743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738</v>
      </c>
      <c r="V105" t="s">
        <v>744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739</v>
      </c>
      <c r="V106" t="s">
        <v>739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745</v>
      </c>
      <c r="V107" t="s">
        <v>745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430</v>
      </c>
      <c r="V108" t="s">
        <v>431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430</v>
      </c>
      <c r="V109" t="s">
        <v>431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200</v>
      </c>
      <c r="V110" t="s">
        <v>432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203</v>
      </c>
      <c r="V111" t="s">
        <v>433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204</v>
      </c>
      <c r="V112" t="s">
        <v>204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215</v>
      </c>
      <c r="V113" t="s">
        <v>215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434</v>
      </c>
      <c r="V114" t="s">
        <v>435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434</v>
      </c>
      <c r="V115" t="s">
        <v>435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434</v>
      </c>
      <c r="V116" t="s">
        <v>435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436</v>
      </c>
      <c r="V117" t="s">
        <v>437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215</v>
      </c>
      <c r="V118" t="s">
        <v>215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438</v>
      </c>
      <c r="V119" t="s">
        <v>438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642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746</v>
      </c>
      <c r="V120" t="s">
        <v>747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642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746</v>
      </c>
      <c r="V121" t="s">
        <v>747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642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746</v>
      </c>
      <c r="V122" t="s">
        <v>747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642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748</v>
      </c>
      <c r="V123" t="s">
        <v>747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642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749</v>
      </c>
      <c r="V124" t="s">
        <v>750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642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751</v>
      </c>
      <c r="V125" t="s">
        <v>751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642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752</v>
      </c>
      <c r="V126" t="s">
        <v>753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642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752</v>
      </c>
      <c r="V127" t="s">
        <v>753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642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752</v>
      </c>
      <c r="V128" t="s">
        <v>753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642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752</v>
      </c>
      <c r="V129" t="s">
        <v>753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642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754</v>
      </c>
      <c r="V130" t="s">
        <v>755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642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756</v>
      </c>
      <c r="V131" t="s">
        <v>756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441</v>
      </c>
      <c r="V132" t="s">
        <v>442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441</v>
      </c>
      <c r="V133" t="s">
        <v>442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441</v>
      </c>
      <c r="V134" t="s">
        <v>442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443</v>
      </c>
      <c r="V135" t="s">
        <v>444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445</v>
      </c>
      <c r="V136" t="s">
        <v>445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446</v>
      </c>
      <c r="V137" t="s">
        <v>446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447</v>
      </c>
      <c r="V138" t="s">
        <v>447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448</v>
      </c>
      <c r="V139" t="s">
        <v>448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220</v>
      </c>
      <c r="V140" t="s">
        <v>220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221</v>
      </c>
      <c r="V141" t="s">
        <v>221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222</v>
      </c>
      <c r="V142" t="s">
        <v>222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449</v>
      </c>
      <c r="V143" t="s">
        <v>450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449</v>
      </c>
      <c r="V144" t="s">
        <v>451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452</v>
      </c>
      <c r="V145" t="s">
        <v>453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454</v>
      </c>
      <c r="V146" t="s">
        <v>455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456</v>
      </c>
      <c r="V147" t="s">
        <v>457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458</v>
      </c>
      <c r="V148" t="s">
        <v>459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460</v>
      </c>
      <c r="V149" t="s">
        <v>461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460</v>
      </c>
      <c r="V150" t="s">
        <v>462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463</v>
      </c>
      <c r="V151" t="s">
        <v>461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634</v>
      </c>
      <c r="V152" t="s">
        <v>635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448</v>
      </c>
      <c r="V153" t="s">
        <v>456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220</v>
      </c>
      <c r="V154" t="s">
        <v>220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619</v>
      </c>
      <c r="V155" t="s">
        <v>620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464</v>
      </c>
      <c r="V156" t="s">
        <v>465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636</v>
      </c>
      <c r="V157" t="s">
        <v>637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466</v>
      </c>
      <c r="V158" t="s">
        <v>467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468</v>
      </c>
      <c r="V159" t="s">
        <v>469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470</v>
      </c>
      <c r="V160" t="s">
        <v>471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472</v>
      </c>
      <c r="V161" t="s">
        <v>473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474</v>
      </c>
      <c r="V162" t="s">
        <v>475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474</v>
      </c>
      <c r="V163" t="s">
        <v>633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476</v>
      </c>
      <c r="V164" t="s">
        <v>475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477</v>
      </c>
      <c r="V165" t="s">
        <v>478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221</v>
      </c>
      <c r="V166" t="s">
        <v>479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222</v>
      </c>
      <c r="V167" t="s">
        <v>222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480</v>
      </c>
      <c r="V168" t="s">
        <v>481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480</v>
      </c>
      <c r="V169" t="s">
        <v>482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483</v>
      </c>
      <c r="V170" t="s">
        <v>481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484</v>
      </c>
      <c r="V171" t="s">
        <v>485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222</v>
      </c>
      <c r="V172" t="s">
        <v>486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223</v>
      </c>
      <c r="V173" t="s">
        <v>223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273</v>
      </c>
      <c r="U174" t="s">
        <v>530</v>
      </c>
      <c r="V174" t="s">
        <v>530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273</v>
      </c>
      <c r="U175" t="s">
        <v>313</v>
      </c>
      <c r="V175" t="s">
        <v>313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273</v>
      </c>
      <c r="U176" t="s">
        <v>324</v>
      </c>
      <c r="V176" t="s">
        <v>324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273</v>
      </c>
      <c r="U177" t="s">
        <v>330</v>
      </c>
      <c r="V177" t="s">
        <v>330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273</v>
      </c>
      <c r="U178" t="s">
        <v>522</v>
      </c>
      <c r="V178" t="s">
        <v>522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273</v>
      </c>
      <c r="U179" t="s">
        <v>329</v>
      </c>
      <c r="V179" t="s">
        <v>329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267</v>
      </c>
      <c r="U180" t="s">
        <v>327</v>
      </c>
      <c r="V180" t="s">
        <v>327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267</v>
      </c>
      <c r="U181" t="s">
        <v>289</v>
      </c>
      <c r="V181" t="s">
        <v>289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267</v>
      </c>
      <c r="U182" t="s">
        <v>324</v>
      </c>
      <c r="V182" t="s">
        <v>324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267</v>
      </c>
      <c r="U183" t="s">
        <v>525</v>
      </c>
      <c r="V183" t="s">
        <v>525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267</v>
      </c>
      <c r="U184" t="s">
        <v>529</v>
      </c>
      <c r="V184" t="s">
        <v>529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267</v>
      </c>
      <c r="U185" t="s">
        <v>330</v>
      </c>
      <c r="V185" t="s">
        <v>330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267</v>
      </c>
      <c r="U186" t="s">
        <v>529</v>
      </c>
      <c r="V186" t="s">
        <v>529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267</v>
      </c>
      <c r="U187" t="s">
        <v>330</v>
      </c>
      <c r="V187" t="s">
        <v>330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261</v>
      </c>
      <c r="U188" t="s">
        <v>333</v>
      </c>
      <c r="V188" t="s">
        <v>333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261</v>
      </c>
      <c r="U189" t="s">
        <v>325</v>
      </c>
      <c r="V189" t="s">
        <v>325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261</v>
      </c>
      <c r="U190" t="s">
        <v>332</v>
      </c>
      <c r="V190" t="s">
        <v>332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261</v>
      </c>
      <c r="U191" t="s">
        <v>525</v>
      </c>
      <c r="V191" t="s">
        <v>525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261</v>
      </c>
      <c r="U192" t="s">
        <v>331</v>
      </c>
      <c r="V192" t="s">
        <v>331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261</v>
      </c>
      <c r="U193" t="s">
        <v>330</v>
      </c>
      <c r="V193" t="s">
        <v>330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261</v>
      </c>
      <c r="U194" t="s">
        <v>529</v>
      </c>
      <c r="V194" t="s">
        <v>529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261</v>
      </c>
      <c r="U195" t="s">
        <v>330</v>
      </c>
      <c r="V195" t="s">
        <v>330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279</v>
      </c>
      <c r="U196" t="s">
        <v>541</v>
      </c>
      <c r="V196" t="s">
        <v>541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279</v>
      </c>
      <c r="U197" t="s">
        <v>544</v>
      </c>
      <c r="V197" t="s">
        <v>544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279</v>
      </c>
      <c r="U198" t="s">
        <v>292</v>
      </c>
      <c r="V198" t="s">
        <v>292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279</v>
      </c>
      <c r="U199" t="s">
        <v>532</v>
      </c>
      <c r="V199" t="s">
        <v>532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279</v>
      </c>
      <c r="U200" t="s">
        <v>536</v>
      </c>
      <c r="V200" t="s">
        <v>536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279</v>
      </c>
      <c r="U201" t="s">
        <v>292</v>
      </c>
      <c r="V201" t="s">
        <v>292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279</v>
      </c>
      <c r="U202" t="s">
        <v>542</v>
      </c>
      <c r="V202" t="s">
        <v>542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279</v>
      </c>
      <c r="U203" t="s">
        <v>537</v>
      </c>
      <c r="V203" t="s">
        <v>537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279</v>
      </c>
      <c r="U204" t="s">
        <v>292</v>
      </c>
      <c r="V204" t="s">
        <v>292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279</v>
      </c>
      <c r="U205" t="s">
        <v>534</v>
      </c>
      <c r="V205" t="s">
        <v>534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279</v>
      </c>
      <c r="U206" t="s">
        <v>539</v>
      </c>
      <c r="V206" t="s">
        <v>539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279</v>
      </c>
      <c r="U207" t="s">
        <v>292</v>
      </c>
      <c r="V207" t="s">
        <v>292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279</v>
      </c>
      <c r="U208" t="s">
        <v>543</v>
      </c>
      <c r="V208" t="s">
        <v>543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279</v>
      </c>
      <c r="U209" t="s">
        <v>545</v>
      </c>
      <c r="V209" t="s">
        <v>545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279</v>
      </c>
      <c r="U210" t="s">
        <v>292</v>
      </c>
      <c r="V210" t="s">
        <v>292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275</v>
      </c>
      <c r="U211" t="s">
        <v>531</v>
      </c>
      <c r="V211" t="s">
        <v>531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275</v>
      </c>
      <c r="U212" t="s">
        <v>536</v>
      </c>
      <c r="V212" t="s">
        <v>536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275</v>
      </c>
      <c r="U213" t="s">
        <v>292</v>
      </c>
      <c r="V213" t="s">
        <v>292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275</v>
      </c>
      <c r="U214" t="s">
        <v>532</v>
      </c>
      <c r="V214" t="s">
        <v>532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275</v>
      </c>
      <c r="U215" t="s">
        <v>537</v>
      </c>
      <c r="V215" t="s">
        <v>537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275</v>
      </c>
      <c r="U216" t="s">
        <v>292</v>
      </c>
      <c r="V216" t="s">
        <v>292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275</v>
      </c>
      <c r="U217" t="s">
        <v>533</v>
      </c>
      <c r="V217" t="s">
        <v>533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275</v>
      </c>
      <c r="U218" t="s">
        <v>538</v>
      </c>
      <c r="V218" t="s">
        <v>538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275</v>
      </c>
      <c r="U219" t="s">
        <v>292</v>
      </c>
      <c r="V219" t="s">
        <v>292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275</v>
      </c>
      <c r="U220" t="s">
        <v>534</v>
      </c>
      <c r="V220" t="s">
        <v>534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275</v>
      </c>
      <c r="U221" t="s">
        <v>539</v>
      </c>
      <c r="V221" t="s">
        <v>539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275</v>
      </c>
      <c r="U222" t="s">
        <v>292</v>
      </c>
      <c r="V222" t="s">
        <v>292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275</v>
      </c>
      <c r="U223" t="s">
        <v>535</v>
      </c>
      <c r="V223" t="s">
        <v>535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275</v>
      </c>
      <c r="U224" t="s">
        <v>540</v>
      </c>
      <c r="V224" t="s">
        <v>540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275</v>
      </c>
      <c r="U225" t="s">
        <v>292</v>
      </c>
      <c r="V225" t="s">
        <v>292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257</v>
      </c>
      <c r="U226" t="s">
        <v>526</v>
      </c>
      <c r="V226" t="s">
        <v>526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257</v>
      </c>
      <c r="U227" t="s">
        <v>528</v>
      </c>
      <c r="V227" t="s">
        <v>528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257</v>
      </c>
      <c r="U228" t="s">
        <v>527</v>
      </c>
      <c r="V228" t="s">
        <v>527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257</v>
      </c>
      <c r="U229" t="s">
        <v>325</v>
      </c>
      <c r="V229" t="s">
        <v>325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257</v>
      </c>
      <c r="U230" t="s">
        <v>521</v>
      </c>
      <c r="V230" t="s">
        <v>521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257</v>
      </c>
      <c r="U231" t="s">
        <v>335</v>
      </c>
      <c r="V231" t="s">
        <v>335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257</v>
      </c>
      <c r="U232" t="s">
        <v>518</v>
      </c>
      <c r="V232" t="s">
        <v>518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257</v>
      </c>
      <c r="U233" t="s">
        <v>329</v>
      </c>
      <c r="V233" t="s">
        <v>329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257</v>
      </c>
      <c r="U234" t="s">
        <v>524</v>
      </c>
      <c r="V234" t="s">
        <v>524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257</v>
      </c>
      <c r="U235" t="s">
        <v>329</v>
      </c>
      <c r="V235" t="s">
        <v>329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">
        <v>310</v>
      </c>
      <c r="V236" t="s">
        <v>310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">
        <v>318</v>
      </c>
      <c r="V237" t="s">
        <v>318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">
        <v>332</v>
      </c>
      <c r="V238" t="s">
        <v>332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">
        <v>525</v>
      </c>
      <c r="V239" t="s">
        <v>525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">
        <v>518</v>
      </c>
      <c r="V240" t="s">
        <v>518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">
        <v>329</v>
      </c>
      <c r="V241" t="s">
        <v>329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">
        <v>524</v>
      </c>
      <c r="V242" t="s">
        <v>524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">
        <v>326</v>
      </c>
      <c r="V243" t="s">
        <v>326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245</v>
      </c>
      <c r="U244" t="s">
        <v>521</v>
      </c>
      <c r="V244" t="s">
        <v>521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245</v>
      </c>
      <c r="U245" t="s">
        <v>335</v>
      </c>
      <c r="V245" t="s">
        <v>335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245</v>
      </c>
      <c r="U246" t="s">
        <v>522</v>
      </c>
      <c r="V246" t="s">
        <v>522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245</v>
      </c>
      <c r="U247" t="s">
        <v>523</v>
      </c>
      <c r="V247" t="s">
        <v>523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245</v>
      </c>
      <c r="U248" t="s">
        <v>522</v>
      </c>
      <c r="V248" t="s">
        <v>522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245</v>
      </c>
      <c r="U249" t="s">
        <v>523</v>
      </c>
      <c r="V249" t="s">
        <v>523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237</v>
      </c>
      <c r="U250" t="s">
        <v>518</v>
      </c>
      <c r="V250" t="s">
        <v>518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237</v>
      </c>
      <c r="U251" t="s">
        <v>329</v>
      </c>
      <c r="V251" t="s">
        <v>329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237</v>
      </c>
      <c r="U252" t="s">
        <v>519</v>
      </c>
      <c r="V252" t="s">
        <v>519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237</v>
      </c>
      <c r="U253" t="s">
        <v>292</v>
      </c>
      <c r="V253" t="s">
        <v>292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237</v>
      </c>
      <c r="U254" t="s">
        <v>520</v>
      </c>
      <c r="V254" t="s">
        <v>520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237</v>
      </c>
      <c r="U255" t="s">
        <v>292</v>
      </c>
      <c r="V255" t="s">
        <v>292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757</v>
      </c>
      <c r="V256" t="s">
        <v>758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757</v>
      </c>
      <c r="V257" t="s">
        <v>758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759</v>
      </c>
      <c r="V258" t="s">
        <v>760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761</v>
      </c>
      <c r="V259" t="s">
        <v>761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675</v>
      </c>
      <c r="V260" t="s">
        <v>675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676</v>
      </c>
      <c r="V261" t="s">
        <v>676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762</v>
      </c>
      <c r="V262" t="s">
        <v>762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167</v>
      </c>
      <c r="V263" t="s">
        <v>167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157</v>
      </c>
      <c r="V264" t="s">
        <v>157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763</v>
      </c>
      <c r="V265" t="s">
        <v>764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763</v>
      </c>
      <c r="V266" t="s">
        <v>764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765</v>
      </c>
      <c r="V267" t="s">
        <v>766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767</v>
      </c>
      <c r="V268" t="s">
        <v>768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675</v>
      </c>
      <c r="V269" t="s">
        <v>675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676</v>
      </c>
      <c r="V270" t="s">
        <v>676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689</v>
      </c>
      <c r="V271" t="s">
        <v>769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770</v>
      </c>
      <c r="V272" t="s">
        <v>771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772</v>
      </c>
      <c r="V273" t="s">
        <v>771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773</v>
      </c>
      <c r="V274" t="s">
        <v>774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676</v>
      </c>
      <c r="V275" t="s">
        <v>676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686</v>
      </c>
      <c r="V276" t="s">
        <v>686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775</v>
      </c>
      <c r="V277" t="s">
        <v>676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775</v>
      </c>
      <c r="V278" t="s">
        <v>676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776</v>
      </c>
      <c r="V279" t="s">
        <v>676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777</v>
      </c>
      <c r="V280" t="s">
        <v>778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686</v>
      </c>
      <c r="V281" t="s">
        <v>686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779</v>
      </c>
      <c r="V282" t="s">
        <v>780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779</v>
      </c>
      <c r="V283" t="s">
        <v>780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781</v>
      </c>
      <c r="V284" t="s">
        <v>780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782</v>
      </c>
      <c r="V285" t="s">
        <v>783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167</v>
      </c>
      <c r="V286" t="s">
        <v>167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157</v>
      </c>
      <c r="V287" t="s">
        <v>157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784</v>
      </c>
      <c r="V288" t="s">
        <v>785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784</v>
      </c>
      <c r="V289" t="s">
        <v>785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786</v>
      </c>
      <c r="V290" t="s">
        <v>787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788</v>
      </c>
      <c r="V291" t="s">
        <v>788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789</v>
      </c>
      <c r="V292" t="s">
        <v>789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790</v>
      </c>
      <c r="V293" t="s">
        <v>790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791</v>
      </c>
      <c r="V294" t="s">
        <v>791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792</v>
      </c>
      <c r="V295" t="s">
        <v>792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793</v>
      </c>
      <c r="V296" t="s">
        <v>793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794</v>
      </c>
      <c r="V297" t="s">
        <v>794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795</v>
      </c>
      <c r="V298" t="s">
        <v>795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796</v>
      </c>
      <c r="V299" t="s">
        <v>796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797</v>
      </c>
      <c r="V300" t="s">
        <v>798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797</v>
      </c>
      <c r="V301" t="s">
        <v>798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799</v>
      </c>
      <c r="V302" t="s">
        <v>800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788</v>
      </c>
      <c r="V303" t="s">
        <v>788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789</v>
      </c>
      <c r="V304" t="s">
        <v>789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790</v>
      </c>
      <c r="V305" t="s">
        <v>790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801</v>
      </c>
      <c r="V306" t="s">
        <v>802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801</v>
      </c>
      <c r="V307" t="s">
        <v>803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801</v>
      </c>
      <c r="V308" t="s">
        <v>802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804</v>
      </c>
      <c r="V309" t="s">
        <v>805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789</v>
      </c>
      <c r="V310" t="s">
        <v>789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790</v>
      </c>
      <c r="V311" t="s">
        <v>790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806</v>
      </c>
      <c r="V312" t="s">
        <v>807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806</v>
      </c>
      <c r="V313" t="s">
        <v>807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808</v>
      </c>
      <c r="V314" t="s">
        <v>809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810</v>
      </c>
      <c r="V315" t="s">
        <v>811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790</v>
      </c>
      <c r="V316" t="s">
        <v>790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791</v>
      </c>
      <c r="V317" t="s">
        <v>791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812</v>
      </c>
      <c r="V318" t="s">
        <v>813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812</v>
      </c>
      <c r="V319" t="s">
        <v>814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815</v>
      </c>
      <c r="V320" t="s">
        <v>814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816</v>
      </c>
      <c r="V321" t="s">
        <v>817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791</v>
      </c>
      <c r="V322" t="s">
        <v>791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792</v>
      </c>
      <c r="V323" t="s">
        <v>792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818</v>
      </c>
      <c r="V324" t="s">
        <v>819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818</v>
      </c>
      <c r="V325" t="s">
        <v>820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821</v>
      </c>
      <c r="V326" t="s">
        <v>820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822</v>
      </c>
      <c r="V327" t="s">
        <v>823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161</v>
      </c>
      <c r="V328" t="s">
        <v>161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824</v>
      </c>
      <c r="V329" t="s">
        <v>824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825</v>
      </c>
      <c r="V330" t="s">
        <v>826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825</v>
      </c>
      <c r="V331" t="s">
        <v>826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825</v>
      </c>
      <c r="V332" t="s">
        <v>826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827</v>
      </c>
      <c r="V333" t="s">
        <v>828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824</v>
      </c>
      <c r="V334" t="s">
        <v>824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829</v>
      </c>
      <c r="V335" t="s">
        <v>829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830</v>
      </c>
      <c r="V336" t="s">
        <v>831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830</v>
      </c>
      <c r="V337" t="s">
        <v>831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830</v>
      </c>
      <c r="V338" t="s">
        <v>831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832</v>
      </c>
      <c r="V339" t="s">
        <v>833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829</v>
      </c>
      <c r="V340" t="s">
        <v>834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835</v>
      </c>
      <c r="V341" t="s">
        <v>835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836</v>
      </c>
      <c r="V342" t="s">
        <v>837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836</v>
      </c>
      <c r="V343" t="s">
        <v>837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838</v>
      </c>
      <c r="V344" t="s">
        <v>837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839</v>
      </c>
      <c r="V345" t="s">
        <v>840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841</v>
      </c>
      <c r="V346" t="s">
        <v>841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842</v>
      </c>
      <c r="V347" t="s">
        <v>842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273</v>
      </c>
      <c r="U348" t="s">
        <v>240</v>
      </c>
      <c r="V348" t="s">
        <v>240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273</v>
      </c>
      <c r="U349" t="s">
        <v>251</v>
      </c>
      <c r="V349" t="s">
        <v>251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273</v>
      </c>
      <c r="U350" t="s">
        <v>495</v>
      </c>
      <c r="V350" t="s">
        <v>495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273</v>
      </c>
      <c r="U351" t="s">
        <v>243</v>
      </c>
      <c r="V351" t="s">
        <v>243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273</v>
      </c>
      <c r="U352" t="s">
        <v>504</v>
      </c>
      <c r="V352" t="s">
        <v>504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273</v>
      </c>
      <c r="U353" t="s">
        <v>238</v>
      </c>
      <c r="V353" t="s">
        <v>238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267</v>
      </c>
      <c r="U354" t="s">
        <v>276</v>
      </c>
      <c r="V354" t="s">
        <v>276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267</v>
      </c>
      <c r="U355" t="s">
        <v>243</v>
      </c>
      <c r="V355" t="s">
        <v>243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267</v>
      </c>
      <c r="U356" t="s">
        <v>495</v>
      </c>
      <c r="V356" t="s">
        <v>495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267</v>
      </c>
      <c r="U357" t="s">
        <v>243</v>
      </c>
      <c r="V357" t="s">
        <v>243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267</v>
      </c>
      <c r="U358" t="s">
        <v>280</v>
      </c>
      <c r="V358" t="s">
        <v>280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267</v>
      </c>
      <c r="U359" t="s">
        <v>490</v>
      </c>
      <c r="V359" t="s">
        <v>490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267</v>
      </c>
      <c r="U360" t="s">
        <v>495</v>
      </c>
      <c r="V360" t="s">
        <v>495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267</v>
      </c>
      <c r="U361" t="s">
        <v>243</v>
      </c>
      <c r="V361" t="s">
        <v>243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261</v>
      </c>
      <c r="U362" t="s">
        <v>282</v>
      </c>
      <c r="V362" t="s">
        <v>282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261</v>
      </c>
      <c r="U363" t="s">
        <v>242</v>
      </c>
      <c r="V363" t="s">
        <v>242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261</v>
      </c>
      <c r="U364" t="s">
        <v>495</v>
      </c>
      <c r="V364" t="s">
        <v>495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261</v>
      </c>
      <c r="U365" t="s">
        <v>243</v>
      </c>
      <c r="V365" t="s">
        <v>243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261</v>
      </c>
      <c r="U366" t="s">
        <v>280</v>
      </c>
      <c r="V366" t="s">
        <v>280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261</v>
      </c>
      <c r="U367" t="s">
        <v>490</v>
      </c>
      <c r="V367" t="s">
        <v>490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261</v>
      </c>
      <c r="U368" t="s">
        <v>495</v>
      </c>
      <c r="V368" t="s">
        <v>495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261</v>
      </c>
      <c r="U369" t="s">
        <v>490</v>
      </c>
      <c r="V369" t="s">
        <v>490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279</v>
      </c>
      <c r="U370" t="s">
        <v>514</v>
      </c>
      <c r="V370" t="s">
        <v>514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279</v>
      </c>
      <c r="U371" t="s">
        <v>510</v>
      </c>
      <c r="V371" t="s">
        <v>510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279</v>
      </c>
      <c r="U372" t="s">
        <v>238</v>
      </c>
      <c r="V372" t="s">
        <v>238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279</v>
      </c>
      <c r="U373" t="s">
        <v>515</v>
      </c>
      <c r="V373" t="s">
        <v>515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279</v>
      </c>
      <c r="U374" t="s">
        <v>510</v>
      </c>
      <c r="V374" t="s">
        <v>510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279</v>
      </c>
      <c r="U375" t="s">
        <v>238</v>
      </c>
      <c r="V375" t="s">
        <v>238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279</v>
      </c>
      <c r="U376" t="s">
        <v>507</v>
      </c>
      <c r="V376" t="s">
        <v>507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279</v>
      </c>
      <c r="U377" t="s">
        <v>511</v>
      </c>
      <c r="V377" t="s">
        <v>511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279</v>
      </c>
      <c r="U378" t="s">
        <v>238</v>
      </c>
      <c r="V378" t="s">
        <v>238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279</v>
      </c>
      <c r="U379" t="s">
        <v>508</v>
      </c>
      <c r="V379" t="s">
        <v>508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279</v>
      </c>
      <c r="U380" t="s">
        <v>512</v>
      </c>
      <c r="V380" t="s">
        <v>512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279</v>
      </c>
      <c r="U381" t="s">
        <v>238</v>
      </c>
      <c r="V381" t="s">
        <v>238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279</v>
      </c>
      <c r="U382" t="s">
        <v>516</v>
      </c>
      <c r="V382" t="s">
        <v>516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279</v>
      </c>
      <c r="U383" t="s">
        <v>517</v>
      </c>
      <c r="V383" t="s">
        <v>517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279</v>
      </c>
      <c r="U384" t="s">
        <v>238</v>
      </c>
      <c r="V384" t="s">
        <v>238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275</v>
      </c>
      <c r="U385" t="s">
        <v>505</v>
      </c>
      <c r="V385" t="s">
        <v>505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275</v>
      </c>
      <c r="U386" t="s">
        <v>510</v>
      </c>
      <c r="V386" t="s">
        <v>510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275</v>
      </c>
      <c r="U387" t="s">
        <v>238</v>
      </c>
      <c r="V387" t="s">
        <v>238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275</v>
      </c>
      <c r="U388" t="s">
        <v>506</v>
      </c>
      <c r="V388" t="s">
        <v>506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275</v>
      </c>
      <c r="U389" t="s">
        <v>511</v>
      </c>
      <c r="V389" t="s">
        <v>511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275</v>
      </c>
      <c r="U390" t="s">
        <v>238</v>
      </c>
      <c r="V390" t="s">
        <v>238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275</v>
      </c>
      <c r="U391" t="s">
        <v>507</v>
      </c>
      <c r="V391" t="s">
        <v>507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275</v>
      </c>
      <c r="U392" t="s">
        <v>511</v>
      </c>
      <c r="V392" t="s">
        <v>511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275</v>
      </c>
      <c r="U393" t="s">
        <v>238</v>
      </c>
      <c r="V393" t="s">
        <v>238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275</v>
      </c>
      <c r="U394" t="s">
        <v>508</v>
      </c>
      <c r="V394" t="s">
        <v>508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275</v>
      </c>
      <c r="U395" t="s">
        <v>512</v>
      </c>
      <c r="V395" t="s">
        <v>512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275</v>
      </c>
      <c r="U396" t="s">
        <v>238</v>
      </c>
      <c r="V396" t="s">
        <v>238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275</v>
      </c>
      <c r="U397" t="s">
        <v>509</v>
      </c>
      <c r="V397" t="s">
        <v>509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275</v>
      </c>
      <c r="U398" t="s">
        <v>513</v>
      </c>
      <c r="V398" t="s">
        <v>513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275</v>
      </c>
      <c r="U399" t="s">
        <v>238</v>
      </c>
      <c r="V399" t="s">
        <v>238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257</v>
      </c>
      <c r="U400" t="s">
        <v>499</v>
      </c>
      <c r="V400" t="s">
        <v>499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257</v>
      </c>
      <c r="U401" t="s">
        <v>503</v>
      </c>
      <c r="V401" t="s">
        <v>503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257</v>
      </c>
      <c r="U402" t="s">
        <v>500</v>
      </c>
      <c r="V402" t="s">
        <v>500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257</v>
      </c>
      <c r="U403" t="s">
        <v>243</v>
      </c>
      <c r="V403" t="s">
        <v>243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257</v>
      </c>
      <c r="U404" t="s">
        <v>497</v>
      </c>
      <c r="V404" t="s">
        <v>497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257</v>
      </c>
      <c r="U405" t="s">
        <v>490</v>
      </c>
      <c r="V405" t="s">
        <v>490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257</v>
      </c>
      <c r="U406" t="s">
        <v>501</v>
      </c>
      <c r="V406" t="s">
        <v>501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257</v>
      </c>
      <c r="U407" t="s">
        <v>238</v>
      </c>
      <c r="V407" t="s">
        <v>238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257</v>
      </c>
      <c r="U408" t="s">
        <v>502</v>
      </c>
      <c r="V408" t="s">
        <v>502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257</v>
      </c>
      <c r="U409" t="s">
        <v>490</v>
      </c>
      <c r="V409" t="s">
        <v>490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">
        <v>494</v>
      </c>
      <c r="V410" t="s">
        <v>494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">
        <v>498</v>
      </c>
      <c r="V411" t="s">
        <v>498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">
        <v>495</v>
      </c>
      <c r="V412" t="s">
        <v>495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">
        <v>243</v>
      </c>
      <c r="V413" t="s">
        <v>243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">
        <v>496</v>
      </c>
      <c r="V414" t="s">
        <v>496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">
        <v>238</v>
      </c>
      <c r="V415" t="s">
        <v>238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">
        <v>497</v>
      </c>
      <c r="V416" t="s">
        <v>497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">
        <v>490</v>
      </c>
      <c r="V417" t="s">
        <v>490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245</v>
      </c>
      <c r="U418" t="s">
        <v>491</v>
      </c>
      <c r="V418" t="s">
        <v>491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245</v>
      </c>
      <c r="U419" t="s">
        <v>490</v>
      </c>
      <c r="V419" t="s">
        <v>490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245</v>
      </c>
      <c r="U420" t="s">
        <v>492</v>
      </c>
      <c r="V420" t="s">
        <v>492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245</v>
      </c>
      <c r="U421" t="s">
        <v>238</v>
      </c>
      <c r="V421" t="s">
        <v>238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245</v>
      </c>
      <c r="U422" t="s">
        <v>493</v>
      </c>
      <c r="V422" t="s">
        <v>493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245</v>
      </c>
      <c r="U423" t="s">
        <v>238</v>
      </c>
      <c r="V423" t="s">
        <v>238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237</v>
      </c>
      <c r="U424" t="s">
        <v>487</v>
      </c>
      <c r="V424" t="s">
        <v>487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237</v>
      </c>
      <c r="U425" t="s">
        <v>490</v>
      </c>
      <c r="V425" t="s">
        <v>490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237</v>
      </c>
      <c r="U426" t="s">
        <v>488</v>
      </c>
      <c r="V426" t="s">
        <v>488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237</v>
      </c>
      <c r="U427" t="s">
        <v>238</v>
      </c>
      <c r="V427" t="s">
        <v>238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237</v>
      </c>
      <c r="U428" t="s">
        <v>489</v>
      </c>
      <c r="V428" t="s">
        <v>489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237</v>
      </c>
      <c r="U429" t="s">
        <v>238</v>
      </c>
      <c r="V429" t="s">
        <v>238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">
        <v>843</v>
      </c>
      <c r="V430" t="s">
        <v>676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">
        <v>844</v>
      </c>
      <c r="V431" t="s">
        <v>845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">
        <v>846</v>
      </c>
      <c r="V432" t="s">
        <v>685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">
        <v>847</v>
      </c>
      <c r="V433" t="s">
        <v>848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">
        <v>849</v>
      </c>
      <c r="V434" t="s">
        <v>850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">
        <v>851</v>
      </c>
      <c r="V435" t="s">
        <v>848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">
        <v>852</v>
      </c>
      <c r="V436" t="s">
        <v>853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">
        <v>854</v>
      </c>
      <c r="V437" t="s">
        <v>855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772</v>
      </c>
      <c r="V438" t="s">
        <v>856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">
        <v>852</v>
      </c>
      <c r="V439" t="s">
        <v>853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">
        <v>847</v>
      </c>
      <c r="V440" t="s">
        <v>848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">
        <v>857</v>
      </c>
      <c r="V441" t="s">
        <v>858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">
        <v>846</v>
      </c>
      <c r="V442" t="s">
        <v>685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772</v>
      </c>
      <c r="V443" t="s">
        <v>859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">
        <v>851</v>
      </c>
      <c r="V444" t="s">
        <v>860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">
        <v>854</v>
      </c>
      <c r="V445" t="s">
        <v>855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">
        <v>843</v>
      </c>
      <c r="V446" t="s">
        <v>676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">
        <v>844</v>
      </c>
      <c r="V447" t="s">
        <v>845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849</v>
      </c>
      <c r="V448" t="s">
        <v>850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772</v>
      </c>
      <c r="V449" t="s">
        <v>859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">
        <v>846</v>
      </c>
      <c r="V450" t="s">
        <v>685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852</v>
      </c>
      <c r="V451" t="s">
        <v>861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">
        <v>843</v>
      </c>
      <c r="V452" t="s">
        <v>676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">
        <v>854</v>
      </c>
      <c r="V453" t="s">
        <v>855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">
        <v>847</v>
      </c>
      <c r="V454" t="s">
        <v>848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">
        <v>851</v>
      </c>
      <c r="V455" t="s">
        <v>860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">
        <v>844</v>
      </c>
      <c r="V456" t="s">
        <v>845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767</v>
      </c>
      <c r="V457" t="s">
        <v>862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863</v>
      </c>
      <c r="V458" t="s">
        <v>864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">
        <v>854</v>
      </c>
      <c r="V459" t="s">
        <v>855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865</v>
      </c>
      <c r="V460" t="s">
        <v>866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843</v>
      </c>
      <c r="V461" t="s">
        <v>676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">
        <v>851</v>
      </c>
      <c r="V462" t="s">
        <v>860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867</v>
      </c>
      <c r="V463" t="s">
        <v>859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847</v>
      </c>
      <c r="V464" t="s">
        <v>848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868</v>
      </c>
      <c r="V465" t="s">
        <v>869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">
        <v>675</v>
      </c>
      <c r="V466" t="s">
        <v>158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675</v>
      </c>
      <c r="V467" t="s">
        <v>675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675</v>
      </c>
      <c r="V468" t="s">
        <v>675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">
        <v>870</v>
      </c>
      <c r="V469" t="s">
        <v>855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871</v>
      </c>
      <c r="V470" t="s">
        <v>159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675</v>
      </c>
      <c r="V471" t="s">
        <v>675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695</v>
      </c>
      <c r="V472" t="s">
        <v>872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873</v>
      </c>
      <c r="V473" t="s">
        <v>775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">
        <v>873</v>
      </c>
      <c r="V474" t="s">
        <v>860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">
        <v>676</v>
      </c>
      <c r="V475" t="s">
        <v>676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">
        <v>874</v>
      </c>
      <c r="V476" t="s">
        <v>875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">
        <v>676</v>
      </c>
      <c r="V477" t="s">
        <v>676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676</v>
      </c>
      <c r="V478" t="s">
        <v>676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">
        <v>876</v>
      </c>
      <c r="V479" t="s">
        <v>877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">
        <v>676</v>
      </c>
      <c r="V480" t="s">
        <v>676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">
        <v>676</v>
      </c>
      <c r="V481" t="s">
        <v>676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">
        <v>878</v>
      </c>
      <c r="V482" t="s">
        <v>879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">
        <v>878</v>
      </c>
      <c r="V483" t="s">
        <v>879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">
        <v>686</v>
      </c>
      <c r="V484" t="s">
        <v>686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">
        <v>880</v>
      </c>
      <c r="V485" t="s">
        <v>881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">
        <v>693</v>
      </c>
      <c r="V486" t="s">
        <v>693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">
        <v>693</v>
      </c>
      <c r="V487" t="s">
        <v>693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">
        <v>700</v>
      </c>
      <c r="V488" t="s">
        <v>700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">
        <v>700</v>
      </c>
      <c r="V489" t="s">
        <v>700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">
        <v>882</v>
      </c>
      <c r="V490" t="s">
        <v>883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">
        <v>685</v>
      </c>
      <c r="V491" t="s">
        <v>884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">
        <v>885</v>
      </c>
      <c r="V492" t="s">
        <v>886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">
        <v>887</v>
      </c>
      <c r="V493" t="s">
        <v>845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">
        <v>888</v>
      </c>
      <c r="V494" t="s">
        <v>889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">
        <v>890</v>
      </c>
      <c r="V495" t="s">
        <v>891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">
        <v>892</v>
      </c>
      <c r="V496" t="s">
        <v>893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">
        <v>777</v>
      </c>
      <c r="V497" t="s">
        <v>894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">
        <v>895</v>
      </c>
      <c r="V498" t="s">
        <v>896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">
        <v>851</v>
      </c>
      <c r="V499" t="s">
        <v>843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">
        <v>888</v>
      </c>
      <c r="V500" t="s">
        <v>889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887</v>
      </c>
      <c r="V501" t="s">
        <v>845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">
        <v>851</v>
      </c>
      <c r="V502" t="s">
        <v>843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">
        <v>882</v>
      </c>
      <c r="V503" t="s">
        <v>883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">
        <v>885</v>
      </c>
      <c r="V504" t="s">
        <v>692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">
        <v>897</v>
      </c>
      <c r="V505" t="s">
        <v>898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">
        <v>870</v>
      </c>
      <c r="V506" t="s">
        <v>894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">
        <v>892</v>
      </c>
      <c r="V507" t="s">
        <v>893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">
        <v>888</v>
      </c>
      <c r="V508" t="s">
        <v>889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">
        <v>888</v>
      </c>
      <c r="V509" t="s">
        <v>889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">
        <v>899</v>
      </c>
      <c r="V510" t="s">
        <v>896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685</v>
      </c>
      <c r="V511" t="s">
        <v>900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882</v>
      </c>
      <c r="V512" t="s">
        <v>883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">
        <v>851</v>
      </c>
      <c r="V513" t="s">
        <v>843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">
        <v>892</v>
      </c>
      <c r="V514" t="s">
        <v>893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">
        <v>870</v>
      </c>
      <c r="V515" t="s">
        <v>894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685</v>
      </c>
      <c r="V516" t="s">
        <v>900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">
        <v>899</v>
      </c>
      <c r="V517" t="s">
        <v>896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">
        <v>885</v>
      </c>
      <c r="V518" t="s">
        <v>692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">
        <v>887</v>
      </c>
      <c r="V519" t="s">
        <v>845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897</v>
      </c>
      <c r="V520" t="s">
        <v>898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">
        <v>888</v>
      </c>
      <c r="V521" t="s">
        <v>889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">
        <v>888</v>
      </c>
      <c r="V522" t="s">
        <v>889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901</v>
      </c>
      <c r="V523" t="s">
        <v>902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845</v>
      </c>
      <c r="V524" t="s">
        <v>869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">
        <v>851</v>
      </c>
      <c r="V525" t="s">
        <v>843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">
        <v>892</v>
      </c>
      <c r="V526" t="s">
        <v>893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">
        <v>888</v>
      </c>
      <c r="V527" t="s">
        <v>889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900</v>
      </c>
      <c r="V528" t="s">
        <v>845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903</v>
      </c>
      <c r="V529" t="s">
        <v>883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">
        <v>899</v>
      </c>
      <c r="V530" t="s">
        <v>896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">
        <v>870</v>
      </c>
      <c r="V531" t="s">
        <v>894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">
        <v>888</v>
      </c>
      <c r="V532" t="s">
        <v>889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">
        <v>904</v>
      </c>
      <c r="V533" t="s">
        <v>886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">
        <v>888</v>
      </c>
      <c r="V534" t="s">
        <v>889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">
        <v>905</v>
      </c>
      <c r="V535" t="s">
        <v>773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">
        <v>870</v>
      </c>
      <c r="V536" t="s">
        <v>894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675</v>
      </c>
      <c r="V537" t="s">
        <v>158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">
        <v>899</v>
      </c>
      <c r="V538" t="s">
        <v>896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">
        <v>906</v>
      </c>
      <c r="V539" t="s">
        <v>893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">
        <v>888</v>
      </c>
      <c r="V540" t="s">
        <v>889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675</v>
      </c>
      <c r="V541" t="s">
        <v>158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">
        <v>907</v>
      </c>
      <c r="V542" t="s">
        <v>908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909</v>
      </c>
      <c r="V543" t="s">
        <v>910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158</v>
      </c>
      <c r="V544" t="s">
        <v>911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676</v>
      </c>
      <c r="V545" t="s">
        <v>676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">
        <v>912</v>
      </c>
      <c r="V546" t="s">
        <v>913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676</v>
      </c>
      <c r="V547" t="s">
        <v>676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">
        <v>676</v>
      </c>
      <c r="V548" t="s">
        <v>676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">
        <v>914</v>
      </c>
      <c r="V549" t="s">
        <v>915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">
        <v>916</v>
      </c>
      <c r="V550" t="s">
        <v>874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">
        <v>917</v>
      </c>
      <c r="V551" t="s">
        <v>918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676</v>
      </c>
      <c r="V552" t="s">
        <v>676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">
        <v>676</v>
      </c>
      <c r="V553" t="s">
        <v>676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">
        <v>899</v>
      </c>
      <c r="V554" t="s">
        <v>896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">
        <v>914</v>
      </c>
      <c r="V555" t="s">
        <v>915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">
        <v>919</v>
      </c>
      <c r="V556" t="s">
        <v>920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">
        <v>921</v>
      </c>
      <c r="V557" t="s">
        <v>922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">
        <v>923</v>
      </c>
      <c r="V558" t="s">
        <v>924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">
        <v>925</v>
      </c>
      <c r="V559" t="s">
        <v>926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">
        <v>927</v>
      </c>
      <c r="V560" t="s">
        <v>896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928</v>
      </c>
      <c r="V561" t="s">
        <v>929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">
        <v>930</v>
      </c>
      <c r="V562" t="s">
        <v>847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">
        <v>931</v>
      </c>
      <c r="V563" t="s">
        <v>908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">
        <v>932</v>
      </c>
      <c r="V564" t="s">
        <v>933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">
        <v>923</v>
      </c>
      <c r="V565" t="s">
        <v>632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">
        <v>921</v>
      </c>
      <c r="V566" t="s">
        <v>922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923</v>
      </c>
      <c r="V567" t="s">
        <v>924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">
        <v>919</v>
      </c>
      <c r="V568" t="s">
        <v>920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">
        <v>932</v>
      </c>
      <c r="V569" t="s">
        <v>933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">
        <v>934</v>
      </c>
      <c r="V570" t="s">
        <v>935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">
        <v>931</v>
      </c>
      <c r="V571" t="s">
        <v>908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">
        <v>930</v>
      </c>
      <c r="V572" t="s">
        <v>847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">
        <v>925</v>
      </c>
      <c r="V573" t="s">
        <v>926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">
        <v>936</v>
      </c>
      <c r="V574" t="s">
        <v>937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928</v>
      </c>
      <c r="V575" t="s">
        <v>929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923</v>
      </c>
      <c r="V576" t="s">
        <v>632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">
        <v>919</v>
      </c>
      <c r="V577" t="s">
        <v>920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">
        <v>925</v>
      </c>
      <c r="V578" t="s">
        <v>926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">
        <v>932</v>
      </c>
      <c r="V579" t="s">
        <v>933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928</v>
      </c>
      <c r="V580" t="s">
        <v>929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">
        <v>936</v>
      </c>
      <c r="V581" t="s">
        <v>937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">
        <v>921</v>
      </c>
      <c r="V582" t="s">
        <v>922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923</v>
      </c>
      <c r="V583" t="s">
        <v>632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923</v>
      </c>
      <c r="V584" t="s">
        <v>924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">
        <v>930</v>
      </c>
      <c r="V585" t="s">
        <v>847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">
        <v>934</v>
      </c>
      <c r="V586" t="s">
        <v>935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">
        <v>931</v>
      </c>
      <c r="V587" t="s">
        <v>908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">
        <v>936</v>
      </c>
      <c r="V588" t="s">
        <v>937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">
        <v>925</v>
      </c>
      <c r="V589" t="s">
        <v>926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923</v>
      </c>
      <c r="V590" t="s">
        <v>924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938</v>
      </c>
      <c r="V591" t="s">
        <v>933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">
        <v>934</v>
      </c>
      <c r="V592" t="s">
        <v>935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939</v>
      </c>
      <c r="V593" t="s">
        <v>940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928</v>
      </c>
      <c r="V594" t="s">
        <v>929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">
        <v>941</v>
      </c>
      <c r="V595" t="s">
        <v>879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873</v>
      </c>
      <c r="V596" t="s">
        <v>942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923</v>
      </c>
      <c r="V597" t="s">
        <v>632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943</v>
      </c>
      <c r="V598" t="s">
        <v>851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923</v>
      </c>
      <c r="V599" t="s">
        <v>924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872</v>
      </c>
      <c r="V600" t="s">
        <v>160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676</v>
      </c>
      <c r="V601" t="s">
        <v>676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923</v>
      </c>
      <c r="V602" t="s">
        <v>632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676</v>
      </c>
      <c r="V603" t="s">
        <v>872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">
        <v>944</v>
      </c>
      <c r="V604" t="s">
        <v>935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">
        <v>936</v>
      </c>
      <c r="V605" t="s">
        <v>937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928</v>
      </c>
      <c r="V606" t="s">
        <v>929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">
        <v>945</v>
      </c>
      <c r="V607" t="s">
        <v>946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">
        <v>698</v>
      </c>
      <c r="V608" t="s">
        <v>918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">
        <v>947</v>
      </c>
      <c r="V609" t="s">
        <v>948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">
        <v>686</v>
      </c>
      <c r="V610" t="s">
        <v>686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">
        <v>881</v>
      </c>
      <c r="V611" t="s">
        <v>949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">
        <v>686</v>
      </c>
      <c r="V612" t="s">
        <v>686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950</v>
      </c>
      <c r="V613" t="s">
        <v>924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">
        <v>928</v>
      </c>
      <c r="V614" t="s">
        <v>929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951</v>
      </c>
      <c r="V615" t="s">
        <v>952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686</v>
      </c>
      <c r="V616" t="s">
        <v>686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950</v>
      </c>
      <c r="V617" t="s">
        <v>924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">
        <v>953</v>
      </c>
      <c r="V618" t="s">
        <v>954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">
        <v>686</v>
      </c>
      <c r="V619" t="s">
        <v>686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686</v>
      </c>
      <c r="V620" t="s">
        <v>686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">
        <v>955</v>
      </c>
      <c r="V621" t="s">
        <v>956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957</v>
      </c>
      <c r="V622" t="s">
        <v>958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959</v>
      </c>
      <c r="V623" t="s">
        <v>960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961</v>
      </c>
      <c r="V624" t="s">
        <v>962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">
        <v>963</v>
      </c>
      <c r="V625" t="s">
        <v>964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965</v>
      </c>
      <c r="V626" t="s">
        <v>966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">
        <v>955</v>
      </c>
      <c r="V627" t="s">
        <v>967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968</v>
      </c>
      <c r="V628" t="s">
        <v>969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">
        <v>970</v>
      </c>
      <c r="V629" t="s">
        <v>971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">
        <v>972</v>
      </c>
      <c r="V630" t="s">
        <v>973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">
        <v>974</v>
      </c>
      <c r="V631" t="s">
        <v>975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">
        <v>974</v>
      </c>
      <c r="V632" t="s">
        <v>975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976</v>
      </c>
      <c r="V633" t="s">
        <v>973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977</v>
      </c>
      <c r="V634" t="s">
        <v>960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957</v>
      </c>
      <c r="V635" t="s">
        <v>958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">
        <v>970</v>
      </c>
      <c r="V636" t="s">
        <v>971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955</v>
      </c>
      <c r="V637" t="s">
        <v>956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">
        <v>968</v>
      </c>
      <c r="V638" t="s">
        <v>969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965</v>
      </c>
      <c r="V639" t="s">
        <v>966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">
        <v>955</v>
      </c>
      <c r="V640" t="s">
        <v>967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961</v>
      </c>
      <c r="V641" t="s">
        <v>962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">
        <v>963</v>
      </c>
      <c r="V642" t="s">
        <v>964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">
        <v>970</v>
      </c>
      <c r="V643" t="s">
        <v>971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965</v>
      </c>
      <c r="V644" t="s">
        <v>966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">
        <v>963</v>
      </c>
      <c r="V645" t="s">
        <v>964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">
        <v>968</v>
      </c>
      <c r="V646" t="s">
        <v>969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955</v>
      </c>
      <c r="V647" t="s">
        <v>956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961</v>
      </c>
      <c r="V648" t="s">
        <v>962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957</v>
      </c>
      <c r="V649" t="s">
        <v>958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">
        <v>955</v>
      </c>
      <c r="V650" t="s">
        <v>967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">
        <v>974</v>
      </c>
      <c r="V651" t="s">
        <v>975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976</v>
      </c>
      <c r="V652" t="s">
        <v>973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977</v>
      </c>
      <c r="V653" t="s">
        <v>960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978</v>
      </c>
      <c r="V654" t="s">
        <v>706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">
        <v>970</v>
      </c>
      <c r="V655" t="s">
        <v>971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979</v>
      </c>
      <c r="V656" t="s">
        <v>980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955</v>
      </c>
      <c r="V657" t="s">
        <v>967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955</v>
      </c>
      <c r="V658" t="s">
        <v>956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976</v>
      </c>
      <c r="V659" t="s">
        <v>973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980</v>
      </c>
      <c r="V660" t="s">
        <v>981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974</v>
      </c>
      <c r="V661" t="s">
        <v>975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982</v>
      </c>
      <c r="V662" t="s">
        <v>983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962</v>
      </c>
      <c r="V663" t="s">
        <v>984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">
        <v>963</v>
      </c>
      <c r="V664" t="s">
        <v>964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985</v>
      </c>
      <c r="V665" t="s">
        <v>986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">
        <v>955</v>
      </c>
      <c r="V666" t="s">
        <v>956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976</v>
      </c>
      <c r="V667" t="s">
        <v>973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762</v>
      </c>
      <c r="V668" t="s">
        <v>762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955</v>
      </c>
      <c r="V669" t="s">
        <v>967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762</v>
      </c>
      <c r="V670" t="s">
        <v>985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987</v>
      </c>
      <c r="V671" t="s">
        <v>988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989</v>
      </c>
      <c r="V672" t="s">
        <v>975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">
        <v>780</v>
      </c>
      <c r="V673" t="s">
        <v>990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991</v>
      </c>
      <c r="V674" t="s">
        <v>992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">
        <v>970</v>
      </c>
      <c r="V675" t="s">
        <v>971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993</v>
      </c>
      <c r="V676" t="s">
        <v>994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">
        <v>970</v>
      </c>
      <c r="V677" t="s">
        <v>971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995</v>
      </c>
      <c r="V678" t="s">
        <v>996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167</v>
      </c>
      <c r="V679" t="s">
        <v>167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997</v>
      </c>
      <c r="V680" t="s">
        <v>998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997</v>
      </c>
      <c r="V681" t="s">
        <v>956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999</v>
      </c>
      <c r="V682" t="s">
        <v>1000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167</v>
      </c>
      <c r="V683" t="s">
        <v>167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167</v>
      </c>
      <c r="V684" t="s">
        <v>167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167</v>
      </c>
      <c r="V685" t="s">
        <v>167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167</v>
      </c>
      <c r="V686" t="s">
        <v>167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">
        <v>1001</v>
      </c>
      <c r="V687" t="s">
        <v>1002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">
        <v>1003</v>
      </c>
      <c r="V688" t="s">
        <v>1004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991</v>
      </c>
      <c r="V689" t="s">
        <v>1005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928</v>
      </c>
      <c r="V690" t="s">
        <v>1006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955</v>
      </c>
      <c r="V691" t="s">
        <v>956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991</v>
      </c>
      <c r="V692" t="s">
        <v>1007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">
        <v>970</v>
      </c>
      <c r="V693" t="s">
        <v>971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">
        <v>950</v>
      </c>
      <c r="V694" t="s">
        <v>964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">
        <v>1003</v>
      </c>
      <c r="V695" t="s">
        <v>1004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">
        <v>928</v>
      </c>
      <c r="V696" t="s">
        <v>1006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">
        <v>991</v>
      </c>
      <c r="V697" t="s">
        <v>1007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">
        <v>991</v>
      </c>
      <c r="V698" t="s">
        <v>1005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955</v>
      </c>
      <c r="V699" t="s">
        <v>956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">
        <v>950</v>
      </c>
      <c r="V700" t="s">
        <v>964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1003</v>
      </c>
      <c r="V701" t="s">
        <v>1004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1001</v>
      </c>
      <c r="V702" t="s">
        <v>1002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1003</v>
      </c>
      <c r="V703" t="s">
        <v>1004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">
        <v>970</v>
      </c>
      <c r="V704" t="s">
        <v>971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928</v>
      </c>
      <c r="V705" t="s">
        <v>1006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1001</v>
      </c>
      <c r="V706" t="s">
        <v>1002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">
        <v>970</v>
      </c>
      <c r="V707" t="s">
        <v>971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">
        <v>991</v>
      </c>
      <c r="V708" t="s">
        <v>1005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991</v>
      </c>
      <c r="V709" t="s">
        <v>1007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1003</v>
      </c>
      <c r="V710" t="s">
        <v>1004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1003</v>
      </c>
      <c r="V711" t="s">
        <v>1004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">
        <v>950</v>
      </c>
      <c r="V712" t="s">
        <v>964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955</v>
      </c>
      <c r="V713" t="s">
        <v>956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">
        <v>955</v>
      </c>
      <c r="V714" t="s">
        <v>956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970</v>
      </c>
      <c r="V715" t="s">
        <v>971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950</v>
      </c>
      <c r="V716" t="s">
        <v>988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1008</v>
      </c>
      <c r="V717" t="s">
        <v>1009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1010</v>
      </c>
      <c r="V718" t="s">
        <v>1007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1008</v>
      </c>
      <c r="V719" t="s">
        <v>1011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1010</v>
      </c>
      <c r="V720" t="s">
        <v>1007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976</v>
      </c>
      <c r="V721" t="s">
        <v>1012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1013</v>
      </c>
      <c r="V722" t="s">
        <v>956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1012</v>
      </c>
      <c r="V723" t="s">
        <v>1000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">
        <v>970</v>
      </c>
      <c r="V724" t="s">
        <v>971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997</v>
      </c>
      <c r="V725" t="s">
        <v>998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167</v>
      </c>
      <c r="V726" t="s">
        <v>167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167</v>
      </c>
      <c r="V727" t="s">
        <v>167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156</v>
      </c>
      <c r="V728" t="s">
        <v>1014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1013</v>
      </c>
      <c r="V729" t="s">
        <v>956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167</v>
      </c>
      <c r="V730" t="s">
        <v>1015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167</v>
      </c>
      <c r="V731" t="s">
        <v>167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157</v>
      </c>
      <c r="V732" t="s">
        <v>157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">
        <v>1016</v>
      </c>
      <c r="V733" t="s">
        <v>1017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">
        <v>1018</v>
      </c>
      <c r="V734" t="s">
        <v>1019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">
        <v>157</v>
      </c>
      <c r="V735" t="s">
        <v>157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91">
        <v>5.5989999999999998E-2</v>
      </c>
      <c r="P736">
        <v>572.42999999999995</v>
      </c>
      <c r="Q736">
        <v>5.5786000000000002E-2</v>
      </c>
      <c r="U736" t="s">
        <v>157</v>
      </c>
      <c r="V736" t="s">
        <v>157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91">
        <v>2.4694999999999999E-3</v>
      </c>
      <c r="P737">
        <v>577.14</v>
      </c>
      <c r="Q737">
        <v>2.3387E-3</v>
      </c>
      <c r="U737" t="s">
        <v>157</v>
      </c>
      <c r="V737" t="s">
        <v>157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92">
        <v>0.64234000000000002</v>
      </c>
      <c r="P738">
        <v>542.91999999999996</v>
      </c>
      <c r="Q738">
        <v>0.64214000000000004</v>
      </c>
      <c r="U738" t="s">
        <v>1020</v>
      </c>
      <c r="V738" t="s">
        <v>1020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92">
        <v>7.3338000000000001</v>
      </c>
      <c r="P739">
        <v>437.38</v>
      </c>
      <c r="Q739">
        <v>7.3335999999999997</v>
      </c>
      <c r="U739" t="s">
        <v>1021</v>
      </c>
      <c r="V739" t="s">
        <v>1022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92">
        <v>6.1608000000000001E-3</v>
      </c>
      <c r="P740">
        <v>576.79999999999995</v>
      </c>
      <c r="Q740">
        <v>5.9565E-3</v>
      </c>
      <c r="U740" t="s">
        <v>157</v>
      </c>
      <c r="V740" t="s">
        <v>157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963</v>
      </c>
      <c r="V741" t="s">
        <v>923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">
        <v>1023</v>
      </c>
      <c r="V742" t="s">
        <v>924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1024</v>
      </c>
      <c r="V743" t="s">
        <v>1025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">
        <v>1026</v>
      </c>
      <c r="V744" t="s">
        <v>1000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">
        <v>1027</v>
      </c>
      <c r="V745" t="s">
        <v>1028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963</v>
      </c>
      <c r="V746" t="s">
        <v>923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1027</v>
      </c>
      <c r="V747" t="s">
        <v>1028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1024</v>
      </c>
      <c r="V748" t="s">
        <v>923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">
        <v>1029</v>
      </c>
      <c r="V749" t="s">
        <v>1000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1023</v>
      </c>
      <c r="V750" t="s">
        <v>924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">
        <v>1029</v>
      </c>
      <c r="V751" t="s">
        <v>1000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1023</v>
      </c>
      <c r="V752" t="s">
        <v>924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1027</v>
      </c>
      <c r="V753" t="s">
        <v>1028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1024</v>
      </c>
      <c r="V754" t="s">
        <v>923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963</v>
      </c>
      <c r="V755" t="s">
        <v>923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">
        <v>987</v>
      </c>
      <c r="V756" t="s">
        <v>1030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1027</v>
      </c>
      <c r="V757" t="s">
        <v>950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1031</v>
      </c>
      <c r="V758" t="s">
        <v>924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963</v>
      </c>
      <c r="V759" t="s">
        <v>923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1029</v>
      </c>
      <c r="V760" t="s">
        <v>1000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1014</v>
      </c>
      <c r="V761" t="s">
        <v>1032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1033</v>
      </c>
      <c r="V762" t="s">
        <v>993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1033</v>
      </c>
      <c r="V763" t="s">
        <v>156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995</v>
      </c>
      <c r="V764" t="s">
        <v>973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1033</v>
      </c>
      <c r="V765" t="s">
        <v>156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157</v>
      </c>
      <c r="V766" t="s">
        <v>157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">
        <v>157</v>
      </c>
      <c r="V767" t="s">
        <v>157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157</v>
      </c>
      <c r="V768" t="s">
        <v>1020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">
        <v>157</v>
      </c>
      <c r="V769" t="s">
        <v>157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">
        <v>157</v>
      </c>
      <c r="V770" t="s">
        <v>157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">
        <v>1000</v>
      </c>
      <c r="V771" t="s">
        <v>996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">
        <v>1034</v>
      </c>
      <c r="V772" t="s">
        <v>955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">
        <v>1035</v>
      </c>
      <c r="V773" t="s">
        <v>1036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">
        <v>1021</v>
      </c>
      <c r="V774" t="s">
        <v>1037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">
        <v>1017</v>
      </c>
      <c r="V775" t="s">
        <v>1038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">
        <v>157</v>
      </c>
      <c r="V776" t="s">
        <v>1016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">
        <v>973</v>
      </c>
      <c r="V777" t="s">
        <v>1039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">
        <v>439</v>
      </c>
      <c r="V778" t="s">
        <v>1040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">
        <v>1017</v>
      </c>
      <c r="V779" t="s">
        <v>1038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">
        <v>1021</v>
      </c>
      <c r="V780" t="s">
        <v>1037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">
        <v>439</v>
      </c>
      <c r="V781" t="s">
        <v>1040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">
        <v>157</v>
      </c>
      <c r="V782" t="s">
        <v>1016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">
        <v>973</v>
      </c>
      <c r="V783" t="s">
        <v>1039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1000</v>
      </c>
      <c r="V784" t="s">
        <v>996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">
        <v>1035</v>
      </c>
      <c r="V785" t="s">
        <v>1036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">
        <v>1034</v>
      </c>
      <c r="V786" t="s">
        <v>955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">
        <v>1034</v>
      </c>
      <c r="V787" t="s">
        <v>955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">
        <v>1035</v>
      </c>
      <c r="V788" t="s">
        <v>1036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1000</v>
      </c>
      <c r="V789" t="s">
        <v>996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973</v>
      </c>
      <c r="V790" t="s">
        <v>1039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">
        <v>1021</v>
      </c>
      <c r="V791" t="s">
        <v>1037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">
        <v>1017</v>
      </c>
      <c r="V792" t="s">
        <v>1038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">
        <v>439</v>
      </c>
      <c r="V793" t="s">
        <v>1040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">
        <v>157</v>
      </c>
      <c r="V794" t="s">
        <v>1016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1021</v>
      </c>
      <c r="V795" t="s">
        <v>1037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1002</v>
      </c>
      <c r="V796" t="s">
        <v>1041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996</v>
      </c>
      <c r="V797" t="s">
        <v>1042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1035</v>
      </c>
      <c r="V798" t="s">
        <v>1043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929</v>
      </c>
      <c r="V799" t="s">
        <v>1034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1039</v>
      </c>
      <c r="V800" t="s">
        <v>997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">
        <v>1020</v>
      </c>
      <c r="V801" t="s">
        <v>1016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1017</v>
      </c>
      <c r="V802" t="s">
        <v>1038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1044</v>
      </c>
      <c r="V803" t="s">
        <v>971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">
        <v>1022</v>
      </c>
      <c r="V804" t="s">
        <v>1045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1046</v>
      </c>
      <c r="V805" t="s">
        <v>1047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">
        <v>1048</v>
      </c>
      <c r="V806" t="s">
        <v>1049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">
        <v>1050</v>
      </c>
      <c r="V807" t="s">
        <v>1018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1020</v>
      </c>
      <c r="V808" t="s">
        <v>1051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">
        <v>1052</v>
      </c>
      <c r="V809" t="s">
        <v>971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1020</v>
      </c>
      <c r="V810" t="s">
        <v>1051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">
        <v>439</v>
      </c>
      <c r="V811" t="s">
        <v>1053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">
        <v>1053</v>
      </c>
      <c r="V812" t="s">
        <v>1054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1035</v>
      </c>
      <c r="V813" t="s">
        <v>1055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1035</v>
      </c>
      <c r="V814" t="s">
        <v>1055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">
        <v>1053</v>
      </c>
      <c r="V815" t="s">
        <v>1054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439</v>
      </c>
      <c r="V816" t="s">
        <v>1053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1035</v>
      </c>
      <c r="V817" t="s">
        <v>1055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">
        <v>1053</v>
      </c>
      <c r="V818" t="s">
        <v>1054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439</v>
      </c>
      <c r="V819" t="s">
        <v>1053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1056</v>
      </c>
      <c r="V820" t="s">
        <v>1055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1002</v>
      </c>
      <c r="V821" t="s">
        <v>1053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1057</v>
      </c>
      <c r="V822" t="s">
        <v>1054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">
        <v>1047</v>
      </c>
      <c r="V823" t="s">
        <v>1058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">
        <v>154</v>
      </c>
      <c r="V824" t="s">
        <v>1059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1046</v>
      </c>
      <c r="V825" t="s">
        <v>1060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1061</v>
      </c>
      <c r="V826" t="s">
        <v>1062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1063</v>
      </c>
      <c r="V827" t="s">
        <v>1064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1065</v>
      </c>
      <c r="V828" t="s">
        <v>818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1061</v>
      </c>
      <c r="V829" t="s">
        <v>1062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1065</v>
      </c>
      <c r="V830" t="s">
        <v>818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1063</v>
      </c>
      <c r="V831" t="s">
        <v>1064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1063</v>
      </c>
      <c r="V832" t="s">
        <v>1064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">
        <v>1061</v>
      </c>
      <c r="V833" t="s">
        <v>1062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1065</v>
      </c>
      <c r="V834" t="s">
        <v>818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1066</v>
      </c>
      <c r="V835" t="s">
        <v>1067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819</v>
      </c>
      <c r="V836" t="s">
        <v>1068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1069</v>
      </c>
      <c r="V837" t="s">
        <v>821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1070</v>
      </c>
      <c r="V838" t="s">
        <v>1070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1071</v>
      </c>
      <c r="V839" t="s">
        <v>822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">
        <v>1072</v>
      </c>
      <c r="V840" t="s">
        <v>1073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161</v>
      </c>
      <c r="V841" t="s">
        <v>161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161</v>
      </c>
      <c r="V842" t="s">
        <v>161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161</v>
      </c>
      <c r="V843" t="s">
        <v>161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824</v>
      </c>
      <c r="V844" t="s">
        <v>824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824</v>
      </c>
      <c r="V845" t="s">
        <v>824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824</v>
      </c>
      <c r="V846" t="s">
        <v>824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">
        <v>829</v>
      </c>
      <c r="V847" t="s">
        <v>829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829</v>
      </c>
      <c r="V848" t="s">
        <v>829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">
        <v>829</v>
      </c>
      <c r="V849" t="s">
        <v>829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">
        <v>835</v>
      </c>
      <c r="V850" t="s">
        <v>835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835</v>
      </c>
      <c r="V851" t="s">
        <v>835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835</v>
      </c>
      <c r="V852" t="s">
        <v>835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1074</v>
      </c>
      <c r="V853" t="s">
        <v>1074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">
        <v>1074</v>
      </c>
      <c r="V854" t="s">
        <v>1074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">
        <v>1074</v>
      </c>
      <c r="V855" t="s">
        <v>1074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1075</v>
      </c>
      <c r="V856" t="s">
        <v>1075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">
        <v>1075</v>
      </c>
      <c r="V857" t="s">
        <v>1075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1075</v>
      </c>
      <c r="V858" t="s">
        <v>1075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">
        <v>1076</v>
      </c>
      <c r="V859" t="s">
        <v>826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">
        <v>1077</v>
      </c>
      <c r="V860" t="s">
        <v>827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">
        <v>1078</v>
      </c>
      <c r="V861" t="s">
        <v>1079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">
        <v>1080</v>
      </c>
      <c r="V862" t="s">
        <v>1081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">
        <v>1082</v>
      </c>
      <c r="V863" t="s">
        <v>1083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">
        <v>1084</v>
      </c>
      <c r="V864" t="s">
        <v>1085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">
        <v>1086</v>
      </c>
      <c r="V865" t="s">
        <v>1087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">
        <v>1076</v>
      </c>
      <c r="V866" t="s">
        <v>826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">
        <v>1077</v>
      </c>
      <c r="V867" t="s">
        <v>1088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1086</v>
      </c>
      <c r="V868" t="s">
        <v>1087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">
        <v>1080</v>
      </c>
      <c r="V869" t="s">
        <v>1081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">
        <v>1082</v>
      </c>
      <c r="V870" t="s">
        <v>1083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">
        <v>1078</v>
      </c>
      <c r="V871" t="s">
        <v>1079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">
        <v>1084</v>
      </c>
      <c r="V872" t="s">
        <v>1085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">
        <v>1078</v>
      </c>
      <c r="V873" t="s">
        <v>1079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">
        <v>1084</v>
      </c>
      <c r="V874" t="s">
        <v>1085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1086</v>
      </c>
      <c r="V875" t="s">
        <v>1087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">
        <v>1076</v>
      </c>
      <c r="V876" t="s">
        <v>826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">
        <v>1077</v>
      </c>
      <c r="V877" t="s">
        <v>1088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">
        <v>1082</v>
      </c>
      <c r="V878" t="s">
        <v>1083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">
        <v>1080</v>
      </c>
      <c r="V879" t="s">
        <v>1081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1089</v>
      </c>
      <c r="V880" t="s">
        <v>1090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1091</v>
      </c>
      <c r="V881" t="s">
        <v>1092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1093</v>
      </c>
      <c r="V882" t="s">
        <v>1084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1094</v>
      </c>
      <c r="V883" t="s">
        <v>1095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">
        <v>1077</v>
      </c>
      <c r="V884" t="s">
        <v>1088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1096</v>
      </c>
      <c r="V885" t="s">
        <v>1097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1098</v>
      </c>
      <c r="V886" t="s">
        <v>1099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161</v>
      </c>
      <c r="V887" t="s">
        <v>161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1088</v>
      </c>
      <c r="V888" t="s">
        <v>1100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161</v>
      </c>
      <c r="V889" t="s">
        <v>161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1101</v>
      </c>
      <c r="V890" s="110" t="s">
        <v>1102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827</v>
      </c>
      <c r="V891" s="110" t="s">
        <v>1103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1104</v>
      </c>
      <c r="V892" t="s">
        <v>1105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161</v>
      </c>
      <c r="V893" t="s">
        <v>161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">
        <v>1106</v>
      </c>
      <c r="V894" t="s">
        <v>1107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">
        <v>1092</v>
      </c>
      <c r="V895" s="110" t="s">
        <v>1108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">
        <v>1109</v>
      </c>
      <c r="V896" t="s">
        <v>1110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">
        <v>1111</v>
      </c>
      <c r="V897" t="s">
        <v>1112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">
        <v>1113</v>
      </c>
      <c r="V898" t="s">
        <v>830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">
        <v>1114</v>
      </c>
      <c r="V899" t="s">
        <v>1115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1116</v>
      </c>
      <c r="V900" t="s">
        <v>1117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">
        <v>1111</v>
      </c>
      <c r="V901" t="s">
        <v>1112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">
        <v>1113</v>
      </c>
      <c r="V902" t="s">
        <v>1118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1116</v>
      </c>
      <c r="V903" t="s">
        <v>1117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">
        <v>1106</v>
      </c>
      <c r="V904" t="s">
        <v>1107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">
        <v>1109</v>
      </c>
      <c r="V905" t="s">
        <v>1110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">
        <v>1114</v>
      </c>
      <c r="V906" t="s">
        <v>1115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">
        <v>1092</v>
      </c>
      <c r="V907" s="110" t="s">
        <v>1108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">
        <v>1106</v>
      </c>
      <c r="V908" t="s">
        <v>1107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">
        <v>1113</v>
      </c>
      <c r="V909" t="s">
        <v>1118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">
        <v>1092</v>
      </c>
      <c r="V910" s="110" t="s">
        <v>1108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1116</v>
      </c>
      <c r="V911" t="s">
        <v>1117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">
        <v>1119</v>
      </c>
      <c r="V912" t="s">
        <v>1115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">
        <v>1111</v>
      </c>
      <c r="V913" t="s">
        <v>1112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">
        <v>1109</v>
      </c>
      <c r="V914" t="s">
        <v>1110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">
        <v>1113</v>
      </c>
      <c r="V915" t="s">
        <v>1118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10" t="s">
        <v>1120</v>
      </c>
      <c r="V916" t="s">
        <v>1121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1122</v>
      </c>
      <c r="V917" t="s">
        <v>1123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1124</v>
      </c>
      <c r="V918" t="s">
        <v>1125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10" t="s">
        <v>1126</v>
      </c>
      <c r="V919" t="s">
        <v>1109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1100</v>
      </c>
      <c r="V920" t="s">
        <v>1127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">
        <v>1128</v>
      </c>
      <c r="V921" t="s">
        <v>1129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1130</v>
      </c>
      <c r="V922" t="s">
        <v>1131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1118</v>
      </c>
      <c r="V923" t="s">
        <v>1132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824</v>
      </c>
      <c r="V924" t="s">
        <v>824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824</v>
      </c>
      <c r="V925" t="s">
        <v>824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1133</v>
      </c>
      <c r="V926" t="s">
        <v>1134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824</v>
      </c>
      <c r="V927" t="s">
        <v>824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830</v>
      </c>
      <c r="V928" t="s">
        <v>1135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">
        <v>1136</v>
      </c>
      <c r="V929" t="s">
        <v>1137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">
        <v>1138</v>
      </c>
      <c r="V930" t="s">
        <v>1139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">
        <v>1140</v>
      </c>
      <c r="V931" t="s">
        <v>1141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">
        <v>1142</v>
      </c>
      <c r="V932" t="s">
        <v>1143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">
        <v>1125</v>
      </c>
      <c r="V933" t="s">
        <v>1144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">
        <v>1145</v>
      </c>
      <c r="V934" t="s">
        <v>1146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">
        <v>1147</v>
      </c>
      <c r="V935" t="s">
        <v>1148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">
        <v>1147</v>
      </c>
      <c r="V936" t="s">
        <v>1149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1142</v>
      </c>
      <c r="V937" t="s">
        <v>1143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">
        <v>1125</v>
      </c>
      <c r="V938" t="s">
        <v>1144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">
        <v>1140</v>
      </c>
      <c r="V939" t="s">
        <v>1141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">
        <v>1138</v>
      </c>
      <c r="V940" t="s">
        <v>1139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">
        <v>1145</v>
      </c>
      <c r="V941" t="s">
        <v>1146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">
        <v>1136</v>
      </c>
      <c r="V942" t="s">
        <v>1137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">
        <v>1142</v>
      </c>
      <c r="V943" t="s">
        <v>1143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">
        <v>1147</v>
      </c>
      <c r="V944" t="s">
        <v>1149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">
        <v>1150</v>
      </c>
      <c r="V945" t="s">
        <v>1137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">
        <v>1125</v>
      </c>
      <c r="V946" t="s">
        <v>1144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">
        <v>1140</v>
      </c>
      <c r="V947" t="s">
        <v>1141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">
        <v>1145</v>
      </c>
      <c r="V948" t="s">
        <v>1146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">
        <v>1138</v>
      </c>
      <c r="V949" t="s">
        <v>1139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">
        <v>833</v>
      </c>
      <c r="V950" t="s">
        <v>1151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">
        <v>1152</v>
      </c>
      <c r="V951" t="s">
        <v>1153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">
        <v>1154</v>
      </c>
      <c r="V952" t="s">
        <v>1155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1135</v>
      </c>
      <c r="V953" t="s">
        <v>1156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1157</v>
      </c>
      <c r="V954" t="s">
        <v>1158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1159</v>
      </c>
      <c r="V955" t="s">
        <v>1140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1160</v>
      </c>
      <c r="V956" t="s">
        <v>1161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1149</v>
      </c>
      <c r="V957" t="s">
        <v>1162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">
        <v>835</v>
      </c>
      <c r="V958" t="s">
        <v>835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">
        <v>834</v>
      </c>
      <c r="V959" t="s">
        <v>1163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">
        <v>829</v>
      </c>
      <c r="V960" t="s">
        <v>829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829</v>
      </c>
      <c r="V961" t="s">
        <v>829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">
        <v>829</v>
      </c>
      <c r="V962" t="s">
        <v>829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">
        <v>1148</v>
      </c>
      <c r="V963" t="s">
        <v>1164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10" t="s">
        <v>1165</v>
      </c>
      <c r="V964" t="s">
        <v>1166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">
        <v>1167</v>
      </c>
      <c r="V965" t="s">
        <v>1168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">
        <v>1169</v>
      </c>
      <c r="V966" t="s">
        <v>1170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1171</v>
      </c>
      <c r="V967" t="s">
        <v>1172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">
        <v>1173</v>
      </c>
      <c r="V968" t="s">
        <v>1174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">
        <v>1175</v>
      </c>
      <c r="V969" t="s">
        <v>1176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1169</v>
      </c>
      <c r="V970" t="s">
        <v>1170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1171</v>
      </c>
      <c r="V971" t="s">
        <v>1172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1167</v>
      </c>
      <c r="V972" t="s">
        <v>1168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10" t="s">
        <v>1165</v>
      </c>
      <c r="V973" t="s">
        <v>1166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">
        <v>1173</v>
      </c>
      <c r="V974" t="s">
        <v>1174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">
        <v>1175</v>
      </c>
      <c r="V975" t="s">
        <v>1176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1171</v>
      </c>
      <c r="V976" t="s">
        <v>1172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10" t="s">
        <v>1165</v>
      </c>
      <c r="V977" t="s">
        <v>1166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">
        <v>1175</v>
      </c>
      <c r="V978" t="s">
        <v>1176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">
        <v>1173</v>
      </c>
      <c r="V979" t="s">
        <v>1174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">
        <v>1167</v>
      </c>
      <c r="V980" t="s">
        <v>1168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1169</v>
      </c>
      <c r="V981" t="s">
        <v>1170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1177</v>
      </c>
      <c r="V982" t="s">
        <v>1174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1178</v>
      </c>
      <c r="V983" t="s">
        <v>1179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1180</v>
      </c>
      <c r="V984" t="s">
        <v>1181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1179</v>
      </c>
      <c r="V985" t="s">
        <v>1169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1175</v>
      </c>
      <c r="V986" t="s">
        <v>1176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1182</v>
      </c>
      <c r="V987" t="s">
        <v>1183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1184</v>
      </c>
      <c r="V988" s="110" t="s">
        <v>1185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1186</v>
      </c>
      <c r="V989" t="s">
        <v>1187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1188</v>
      </c>
      <c r="V990" s="110" t="s">
        <v>1189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841</v>
      </c>
      <c r="V991" t="s">
        <v>1188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841</v>
      </c>
      <c r="V992" t="s">
        <v>1188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1190</v>
      </c>
      <c r="V993" s="110" t="s">
        <v>1191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10" t="s">
        <v>1165</v>
      </c>
      <c r="V994" t="s">
        <v>1192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10" t="s">
        <v>440</v>
      </c>
      <c r="V995" s="110" t="s">
        <v>1189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">
        <v>1174</v>
      </c>
      <c r="V996" t="s">
        <v>1193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10" t="s">
        <v>440</v>
      </c>
      <c r="V997" s="110" t="s">
        <v>1189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1174</v>
      </c>
      <c r="V998" t="s">
        <v>1193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10" t="s">
        <v>1165</v>
      </c>
      <c r="V999" t="s">
        <v>1192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1194</v>
      </c>
      <c r="V1000" t="s">
        <v>1169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1195</v>
      </c>
      <c r="V1001" s="110" t="s">
        <v>1189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1179</v>
      </c>
      <c r="V1002" t="s">
        <v>1166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1188</v>
      </c>
      <c r="V1003" s="110" t="s">
        <v>1189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1196</v>
      </c>
      <c r="V1004" t="s">
        <v>1197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1188</v>
      </c>
      <c r="V1005" t="s">
        <v>1188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842</v>
      </c>
      <c r="V1006" t="s">
        <v>842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842</v>
      </c>
      <c r="V1007" t="s">
        <v>842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">
        <v>842</v>
      </c>
      <c r="V1008" t="s">
        <v>842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1198</v>
      </c>
      <c r="V1009" t="s">
        <v>1199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1187</v>
      </c>
      <c r="V1010" t="s">
        <v>1184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10" t="s">
        <v>1200</v>
      </c>
      <c r="V1011" t="s">
        <v>1201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1198</v>
      </c>
      <c r="V1012" t="s">
        <v>1199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10" t="s">
        <v>1200</v>
      </c>
      <c r="V1013" t="s">
        <v>1201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">
        <v>1187</v>
      </c>
      <c r="V1014" t="s">
        <v>1184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1198</v>
      </c>
      <c r="V1015" t="s">
        <v>1199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10" t="s">
        <v>1200</v>
      </c>
      <c r="V1016" t="s">
        <v>1201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">
        <v>1187</v>
      </c>
      <c r="V1017" t="s">
        <v>1184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10" t="s">
        <v>1200</v>
      </c>
      <c r="V1018" t="s">
        <v>1201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1202</v>
      </c>
      <c r="V1019" t="s">
        <v>1203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1204</v>
      </c>
      <c r="V1020" s="110" t="s">
        <v>1205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1206</v>
      </c>
      <c r="V1021" t="s">
        <v>1206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842</v>
      </c>
      <c r="V1022" t="s">
        <v>842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842</v>
      </c>
      <c r="V1023" t="s">
        <v>842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1207</v>
      </c>
      <c r="V1024" t="s">
        <v>1207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1207</v>
      </c>
      <c r="V1025" t="s">
        <v>1208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1209</v>
      </c>
      <c r="V1026" t="s">
        <v>1209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737</v>
      </c>
      <c r="V1027" t="s">
        <v>737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738</v>
      </c>
      <c r="V1028" t="s">
        <v>738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739</v>
      </c>
      <c r="V1029" t="s">
        <v>739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745</v>
      </c>
      <c r="V1030" t="s">
        <v>745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1210</v>
      </c>
      <c r="V1031" t="s">
        <v>1210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1211</v>
      </c>
      <c r="V1032" t="s">
        <v>1211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1212</v>
      </c>
      <c r="V1033" t="s">
        <v>1212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1213</v>
      </c>
      <c r="V1034" t="s">
        <v>1213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1214</v>
      </c>
      <c r="V1035" t="s">
        <v>1215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1214</v>
      </c>
      <c r="V1036" t="s">
        <v>1215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1216</v>
      </c>
      <c r="V1037" t="s">
        <v>1217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737</v>
      </c>
      <c r="V1038" t="s">
        <v>737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660</v>
      </c>
      <c r="V1039" t="s">
        <v>1218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660</v>
      </c>
      <c r="V1040" t="s">
        <v>1219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1220</v>
      </c>
      <c r="V1041" t="s">
        <v>670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737</v>
      </c>
      <c r="V1042" t="s">
        <v>737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1221</v>
      </c>
      <c r="V1043" t="s">
        <v>1222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1223</v>
      </c>
      <c r="V1044" t="s">
        <v>1222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1224</v>
      </c>
      <c r="V1045" t="s">
        <v>736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737</v>
      </c>
      <c r="V1046" t="s">
        <v>672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1225</v>
      </c>
      <c r="V1047" t="s">
        <v>736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1222</v>
      </c>
      <c r="V1048" t="s">
        <v>1226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672</v>
      </c>
      <c r="V1049" t="s">
        <v>672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738</v>
      </c>
      <c r="V1050" t="s">
        <v>738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181</v>
      </c>
      <c r="V1051" t="s">
        <v>182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183</v>
      </c>
      <c r="V1052" t="s">
        <v>184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185</v>
      </c>
      <c r="V1053" t="s">
        <v>186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187</v>
      </c>
      <c r="V1054" t="s">
        <v>187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188</v>
      </c>
      <c r="V1055" t="s">
        <v>189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190</v>
      </c>
      <c r="V1056" t="s">
        <v>191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192</v>
      </c>
      <c r="V1057" t="s">
        <v>192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193</v>
      </c>
      <c r="V1058" t="s">
        <v>193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194</v>
      </c>
      <c r="V1059" t="s">
        <v>195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194</v>
      </c>
      <c r="V1060" t="s">
        <v>196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197</v>
      </c>
      <c r="V1061" t="s">
        <v>198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193</v>
      </c>
      <c r="V1062" t="s">
        <v>193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199</v>
      </c>
      <c r="V1063" t="s">
        <v>200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201</v>
      </c>
      <c r="V1064" t="s">
        <v>202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203</v>
      </c>
      <c r="V1065" t="s">
        <v>203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204</v>
      </c>
      <c r="V1066" t="s">
        <v>204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205</v>
      </c>
      <c r="V1067" t="s">
        <v>206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205</v>
      </c>
      <c r="V1068" t="s">
        <v>206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207</v>
      </c>
      <c r="V1069" t="s">
        <v>208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204</v>
      </c>
      <c r="V1070" t="s">
        <v>204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209</v>
      </c>
      <c r="V1071" t="s">
        <v>210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211</v>
      </c>
      <c r="V1072" t="s">
        <v>212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213</v>
      </c>
      <c r="V1073" t="s">
        <v>214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215</v>
      </c>
      <c r="V1074" t="s">
        <v>215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1227</v>
      </c>
      <c r="V1075" t="s">
        <v>1228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1227</v>
      </c>
      <c r="V1076" t="s">
        <v>1229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1230</v>
      </c>
      <c r="V1077" t="s">
        <v>1231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1232</v>
      </c>
      <c r="V1078" t="s">
        <v>1232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1233</v>
      </c>
      <c r="V1079" t="s">
        <v>1234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1233</v>
      </c>
      <c r="V1080" t="s">
        <v>1234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1235</v>
      </c>
      <c r="V1081" t="s">
        <v>1236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1237</v>
      </c>
      <c r="V1082" t="s">
        <v>1237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1238</v>
      </c>
      <c r="V1083" t="s">
        <v>1239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1238</v>
      </c>
      <c r="V1084" t="s">
        <v>1240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1241</v>
      </c>
      <c r="V1085" t="s">
        <v>1239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1242</v>
      </c>
      <c r="V1086" t="s">
        <v>1243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1244</v>
      </c>
      <c r="V1087" t="s">
        <v>1245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1246</v>
      </c>
      <c r="V1088" t="s">
        <v>1245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1244</v>
      </c>
      <c r="V1089" t="s">
        <v>1245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1247</v>
      </c>
      <c r="V1090" t="s">
        <v>1248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1249</v>
      </c>
      <c r="V1091" t="s">
        <v>1250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1249</v>
      </c>
      <c r="V1092" t="s">
        <v>1250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1249</v>
      </c>
      <c r="V1093" t="s">
        <v>1250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1251</v>
      </c>
      <c r="V1094" t="s">
        <v>1252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1253</v>
      </c>
      <c r="V1095" t="s">
        <v>1254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1253</v>
      </c>
      <c r="V1096" t="s">
        <v>1254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1253</v>
      </c>
      <c r="V1097" t="s">
        <v>1254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1255</v>
      </c>
      <c r="V1098" t="s">
        <v>1256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1257</v>
      </c>
      <c r="V1099" t="s">
        <v>1257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1257</v>
      </c>
      <c r="V1100" t="s">
        <v>1257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1257</v>
      </c>
      <c r="V1101" t="s">
        <v>1257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1257</v>
      </c>
      <c r="V1102" t="s">
        <v>1257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216</v>
      </c>
      <c r="V1103" t="s">
        <v>217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218</v>
      </c>
      <c r="V1104" t="s">
        <v>219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93">
        <v>3.3129000000000001E-6</v>
      </c>
      <c r="P1105">
        <v>5.7745999999999999E-2</v>
      </c>
      <c r="Q1105">
        <v>1.4481E-6</v>
      </c>
      <c r="U1105" t="s">
        <v>220</v>
      </c>
      <c r="V1105" t="s">
        <v>220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221</v>
      </c>
      <c r="V1106" t="s">
        <v>221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222</v>
      </c>
      <c r="V1107" t="s">
        <v>222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223</v>
      </c>
      <c r="V1108" t="s">
        <v>223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224</v>
      </c>
      <c r="V1109" t="s">
        <v>224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225</v>
      </c>
      <c r="V1110" t="s">
        <v>226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225</v>
      </c>
      <c r="V1111" t="s">
        <v>227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221</v>
      </c>
      <c r="V1112" t="s">
        <v>221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222</v>
      </c>
      <c r="V1113" t="s">
        <v>222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627</v>
      </c>
      <c r="V1114" t="s">
        <v>628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222</v>
      </c>
      <c r="V1115" t="s">
        <v>222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223</v>
      </c>
      <c r="V1116" t="s">
        <v>223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228</v>
      </c>
      <c r="V1117" t="s">
        <v>229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228</v>
      </c>
      <c r="V1118" t="s">
        <v>229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230</v>
      </c>
      <c r="V1119" t="s">
        <v>231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224</v>
      </c>
      <c r="V1120" t="s">
        <v>224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232</v>
      </c>
      <c r="V1121" t="s">
        <v>233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234</v>
      </c>
      <c r="V1122" t="s">
        <v>235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224</v>
      </c>
      <c r="V1123" t="s">
        <v>224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236</v>
      </c>
      <c r="V1124" t="s">
        <v>236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1258</v>
      </c>
      <c r="V1125" t="s">
        <v>1259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1260</v>
      </c>
      <c r="V1126" t="s">
        <v>1261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1262</v>
      </c>
      <c r="V1127" t="s">
        <v>1263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1264</v>
      </c>
      <c r="V1128" t="s">
        <v>1265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1266</v>
      </c>
      <c r="V1129" t="s">
        <v>1266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1267</v>
      </c>
      <c r="V1130" t="s">
        <v>1267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1268</v>
      </c>
      <c r="V1131" t="s">
        <v>1268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1269</v>
      </c>
      <c r="V1132" t="s">
        <v>1269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273</v>
      </c>
      <c r="U1133" t="s">
        <v>321</v>
      </c>
      <c r="V1133" t="s">
        <v>321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273</v>
      </c>
      <c r="U1134" t="s">
        <v>305</v>
      </c>
      <c r="V1134" t="s">
        <v>305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273</v>
      </c>
      <c r="U1135" t="s">
        <v>322</v>
      </c>
      <c r="V1135" t="s">
        <v>322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273</v>
      </c>
      <c r="U1136" t="s">
        <v>325</v>
      </c>
      <c r="V1136" t="s">
        <v>325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273</v>
      </c>
      <c r="U1137" t="s">
        <v>323</v>
      </c>
      <c r="V1137" t="s">
        <v>323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273</v>
      </c>
      <c r="U1138" t="s">
        <v>326</v>
      </c>
      <c r="V1138" t="s">
        <v>326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273</v>
      </c>
      <c r="U1139" t="s">
        <v>324</v>
      </c>
      <c r="V1139" t="s">
        <v>324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273</v>
      </c>
      <c r="U1140" t="s">
        <v>326</v>
      </c>
      <c r="V1140" t="s">
        <v>326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273</v>
      </c>
      <c r="U1141" t="s">
        <v>324</v>
      </c>
      <c r="V1141" t="s">
        <v>324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273</v>
      </c>
      <c r="U1142" t="s">
        <v>326</v>
      </c>
      <c r="V1142" t="s">
        <v>326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267</v>
      </c>
      <c r="U1143" t="s">
        <v>318</v>
      </c>
      <c r="V1143" t="s">
        <v>318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267</v>
      </c>
      <c r="U1144" t="s">
        <v>288</v>
      </c>
      <c r="V1144" t="s">
        <v>288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267</v>
      </c>
      <c r="U1145" t="s">
        <v>298</v>
      </c>
      <c r="V1145" t="s">
        <v>298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267</v>
      </c>
      <c r="U1146" t="s">
        <v>320</v>
      </c>
      <c r="V1146" t="s">
        <v>320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267</v>
      </c>
      <c r="U1147" t="s">
        <v>319</v>
      </c>
      <c r="V1147" t="s">
        <v>319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267</v>
      </c>
      <c r="U1148" t="s">
        <v>318</v>
      </c>
      <c r="V1148" t="s">
        <v>318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267</v>
      </c>
      <c r="U1149" t="s">
        <v>314</v>
      </c>
      <c r="V1149" t="s">
        <v>314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267</v>
      </c>
      <c r="U1150" t="s">
        <v>317</v>
      </c>
      <c r="V1150" t="s">
        <v>317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267</v>
      </c>
      <c r="U1151" t="s">
        <v>314</v>
      </c>
      <c r="V1151" t="s">
        <v>314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267</v>
      </c>
      <c r="U1152" t="s">
        <v>317</v>
      </c>
      <c r="V1152" t="s">
        <v>317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261</v>
      </c>
      <c r="U1153" t="s">
        <v>288</v>
      </c>
      <c r="V1153" t="s">
        <v>288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261</v>
      </c>
      <c r="U1154" t="s">
        <v>315</v>
      </c>
      <c r="V1154" t="s">
        <v>315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261</v>
      </c>
      <c r="U1155" t="s">
        <v>313</v>
      </c>
      <c r="V1155" t="s">
        <v>313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261</v>
      </c>
      <c r="U1156" t="s">
        <v>316</v>
      </c>
      <c r="V1156" t="s">
        <v>316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261</v>
      </c>
      <c r="U1157" t="s">
        <v>299</v>
      </c>
      <c r="V1157" t="s">
        <v>299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261</v>
      </c>
      <c r="U1158" t="s">
        <v>304</v>
      </c>
      <c r="V1158" t="s">
        <v>304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261</v>
      </c>
      <c r="U1159" t="s">
        <v>314</v>
      </c>
      <c r="V1159" t="s">
        <v>314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261</v>
      </c>
      <c r="U1160" t="s">
        <v>317</v>
      </c>
      <c r="V1160" t="s">
        <v>317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261</v>
      </c>
      <c r="U1161" t="s">
        <v>314</v>
      </c>
      <c r="V1161" t="s">
        <v>314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261</v>
      </c>
      <c r="U1162" t="s">
        <v>317</v>
      </c>
      <c r="V1162" t="s">
        <v>317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279</v>
      </c>
      <c r="U1163" t="s">
        <v>331</v>
      </c>
      <c r="V1163" t="s">
        <v>331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279</v>
      </c>
      <c r="U1164" t="s">
        <v>329</v>
      </c>
      <c r="V1164" t="s">
        <v>329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279</v>
      </c>
      <c r="U1165" t="s">
        <v>332</v>
      </c>
      <c r="V1165" t="s">
        <v>332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279</v>
      </c>
      <c r="U1166" t="s">
        <v>332</v>
      </c>
      <c r="V1166" t="s">
        <v>332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279</v>
      </c>
      <c r="U1167" t="s">
        <v>329</v>
      </c>
      <c r="V1167" t="s">
        <v>329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279</v>
      </c>
      <c r="U1168" t="s">
        <v>333</v>
      </c>
      <c r="V1168" t="s">
        <v>333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279</v>
      </c>
      <c r="U1169" t="s">
        <v>326</v>
      </c>
      <c r="V1169" t="s">
        <v>326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279</v>
      </c>
      <c r="U1170" t="s">
        <v>322</v>
      </c>
      <c r="V1170" t="s">
        <v>322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279</v>
      </c>
      <c r="U1171" t="s">
        <v>326</v>
      </c>
      <c r="V1171" t="s">
        <v>326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279</v>
      </c>
      <c r="U1172" t="s">
        <v>285</v>
      </c>
      <c r="V1172" t="s">
        <v>285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279</v>
      </c>
      <c r="U1173" t="s">
        <v>335</v>
      </c>
      <c r="V1173" t="s">
        <v>335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279</v>
      </c>
      <c r="U1174" t="s">
        <v>334</v>
      </c>
      <c r="V1174" t="s">
        <v>334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279</v>
      </c>
      <c r="U1175" t="s">
        <v>283</v>
      </c>
      <c r="V1175" t="s">
        <v>283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279</v>
      </c>
      <c r="U1176" t="s">
        <v>334</v>
      </c>
      <c r="V1176" t="s">
        <v>334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279</v>
      </c>
      <c r="U1177" t="s">
        <v>283</v>
      </c>
      <c r="V1177" t="s">
        <v>283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275</v>
      </c>
      <c r="U1178" t="s">
        <v>327</v>
      </c>
      <c r="V1178" t="s">
        <v>327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275</v>
      </c>
      <c r="U1179" t="s">
        <v>329</v>
      </c>
      <c r="V1179" t="s">
        <v>329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275</v>
      </c>
      <c r="U1180" t="s">
        <v>322</v>
      </c>
      <c r="V1180" t="s">
        <v>322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275</v>
      </c>
      <c r="U1181" t="s">
        <v>326</v>
      </c>
      <c r="V1181" t="s">
        <v>326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275</v>
      </c>
      <c r="U1182" t="s">
        <v>322</v>
      </c>
      <c r="V1182" t="s">
        <v>322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275</v>
      </c>
      <c r="U1183" t="s">
        <v>326</v>
      </c>
      <c r="V1183" t="s">
        <v>326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275</v>
      </c>
      <c r="U1184" t="s">
        <v>308</v>
      </c>
      <c r="V1184" t="s">
        <v>308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275</v>
      </c>
      <c r="U1185" t="s">
        <v>330</v>
      </c>
      <c r="V1185" t="s">
        <v>330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275</v>
      </c>
      <c r="U1186" t="s">
        <v>328</v>
      </c>
      <c r="V1186" t="s">
        <v>328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275</v>
      </c>
      <c r="U1187" t="s">
        <v>289</v>
      </c>
      <c r="V1187" t="s">
        <v>289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275</v>
      </c>
      <c r="U1188" t="s">
        <v>319</v>
      </c>
      <c r="V1188" t="s">
        <v>319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275</v>
      </c>
      <c r="U1189" t="s">
        <v>313</v>
      </c>
      <c r="V1189" t="s">
        <v>313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275</v>
      </c>
      <c r="U1190" t="s">
        <v>319</v>
      </c>
      <c r="V1190" t="s">
        <v>319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275</v>
      </c>
      <c r="U1191" t="s">
        <v>313</v>
      </c>
      <c r="V1191" t="s">
        <v>313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257</v>
      </c>
      <c r="U1192" t="s">
        <v>303</v>
      </c>
      <c r="V1192" t="s">
        <v>303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257</v>
      </c>
      <c r="U1193" t="s">
        <v>283</v>
      </c>
      <c r="V1193" t="s">
        <v>283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257</v>
      </c>
      <c r="U1194" t="s">
        <v>306</v>
      </c>
      <c r="V1194" t="s">
        <v>306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257</v>
      </c>
      <c r="U1195" t="s">
        <v>310</v>
      </c>
      <c r="V1195" t="s">
        <v>310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257</v>
      </c>
      <c r="U1196" t="s">
        <v>307</v>
      </c>
      <c r="V1196" t="s">
        <v>307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257</v>
      </c>
      <c r="U1197" t="s">
        <v>291</v>
      </c>
      <c r="V1197" t="s">
        <v>291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257</v>
      </c>
      <c r="U1198" t="s">
        <v>308</v>
      </c>
      <c r="V1198" t="s">
        <v>308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257</v>
      </c>
      <c r="U1199" t="s">
        <v>311</v>
      </c>
      <c r="V1199" t="s">
        <v>311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257</v>
      </c>
      <c r="U1200" t="s">
        <v>309</v>
      </c>
      <c r="V1200" t="s">
        <v>309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257</v>
      </c>
      <c r="U1201" t="s">
        <v>312</v>
      </c>
      <c r="V1201" t="s">
        <v>312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257</v>
      </c>
      <c r="U1202" t="s">
        <v>309</v>
      </c>
      <c r="V1202" t="s">
        <v>309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257</v>
      </c>
      <c r="U1203" t="s">
        <v>312</v>
      </c>
      <c r="V1203" t="s">
        <v>312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">
        <v>299</v>
      </c>
      <c r="V1204" t="s">
        <v>299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">
        <v>304</v>
      </c>
      <c r="V1205" t="s">
        <v>304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">
        <v>300</v>
      </c>
      <c r="V1206" t="s">
        <v>300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">
        <v>291</v>
      </c>
      <c r="V1207" t="s">
        <v>291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">
        <v>301</v>
      </c>
      <c r="V1208" t="s">
        <v>301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">
        <v>299</v>
      </c>
      <c r="V1209" t="s">
        <v>299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">
        <v>302</v>
      </c>
      <c r="V1210" t="s">
        <v>302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">
        <v>305</v>
      </c>
      <c r="V1211" t="s">
        <v>305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">
        <v>303</v>
      </c>
      <c r="V1212" t="s">
        <v>303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">
        <v>283</v>
      </c>
      <c r="V1213" t="s">
        <v>283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">
        <v>303</v>
      </c>
      <c r="V1214" t="s">
        <v>303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">
        <v>283</v>
      </c>
      <c r="V1215" t="s">
        <v>283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245</v>
      </c>
      <c r="U1216" t="s">
        <v>292</v>
      </c>
      <c r="V1216" t="s">
        <v>292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245</v>
      </c>
      <c r="U1217" t="s">
        <v>296</v>
      </c>
      <c r="V1217" t="s">
        <v>296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245</v>
      </c>
      <c r="U1218" t="s">
        <v>284</v>
      </c>
      <c r="V1218" t="s">
        <v>284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245</v>
      </c>
      <c r="U1219" t="s">
        <v>297</v>
      </c>
      <c r="V1219" t="s">
        <v>297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245</v>
      </c>
      <c r="U1220" t="s">
        <v>293</v>
      </c>
      <c r="V1220" t="s">
        <v>293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245</v>
      </c>
      <c r="U1221" t="s">
        <v>290</v>
      </c>
      <c r="V1221" t="s">
        <v>290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245</v>
      </c>
      <c r="U1222" t="s">
        <v>294</v>
      </c>
      <c r="V1222" t="s">
        <v>294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245</v>
      </c>
      <c r="U1223" t="s">
        <v>297</v>
      </c>
      <c r="V1223" t="s">
        <v>297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245</v>
      </c>
      <c r="U1224" t="s">
        <v>295</v>
      </c>
      <c r="V1224" t="s">
        <v>295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245</v>
      </c>
      <c r="U1225" t="s">
        <v>298</v>
      </c>
      <c r="V1225" t="s">
        <v>298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245</v>
      </c>
      <c r="U1226" t="s">
        <v>295</v>
      </c>
      <c r="V1226" t="s">
        <v>295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245</v>
      </c>
      <c r="U1227" t="s">
        <v>298</v>
      </c>
      <c r="V1227" t="s">
        <v>298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237</v>
      </c>
      <c r="U1228" t="s">
        <v>283</v>
      </c>
      <c r="V1228" t="s">
        <v>283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237</v>
      </c>
      <c r="U1229" t="s">
        <v>288</v>
      </c>
      <c r="V1229" t="s">
        <v>288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237</v>
      </c>
      <c r="U1230" t="s">
        <v>284</v>
      </c>
      <c r="V1230" t="s">
        <v>284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237</v>
      </c>
      <c r="U1231" t="s">
        <v>288</v>
      </c>
      <c r="V1231" t="s">
        <v>288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237</v>
      </c>
      <c r="U1232" t="s">
        <v>285</v>
      </c>
      <c r="V1232" t="s">
        <v>285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237</v>
      </c>
      <c r="U1233" t="s">
        <v>289</v>
      </c>
      <c r="V1233" t="s">
        <v>289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237</v>
      </c>
      <c r="U1234" t="s">
        <v>286</v>
      </c>
      <c r="V1234" t="s">
        <v>286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237</v>
      </c>
      <c r="U1235" t="s">
        <v>290</v>
      </c>
      <c r="V1235" t="s">
        <v>290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237</v>
      </c>
      <c r="U1236" t="s">
        <v>287</v>
      </c>
      <c r="V1236" t="s">
        <v>287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237</v>
      </c>
      <c r="U1237" t="s">
        <v>291</v>
      </c>
      <c r="V1237" t="s">
        <v>291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237</v>
      </c>
      <c r="U1238" t="s">
        <v>287</v>
      </c>
      <c r="V1238" t="s">
        <v>287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237</v>
      </c>
      <c r="U1239" t="s">
        <v>291</v>
      </c>
      <c r="V1239" t="s">
        <v>291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172</v>
      </c>
      <c r="J1240" t="s">
        <v>172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1270</v>
      </c>
      <c r="V1240" t="s">
        <v>1271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172</v>
      </c>
      <c r="J1241" t="s">
        <v>172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1270</v>
      </c>
      <c r="V1241" t="s">
        <v>1271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172</v>
      </c>
      <c r="J1242" t="s">
        <v>172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1272</v>
      </c>
      <c r="V1242" t="s">
        <v>1273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172</v>
      </c>
      <c r="J1243" t="s">
        <v>172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1274</v>
      </c>
      <c r="V1243" t="s">
        <v>1275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172</v>
      </c>
      <c r="J1244" t="s">
        <v>172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1276</v>
      </c>
      <c r="V1244" t="s">
        <v>1277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172</v>
      </c>
      <c r="J1245" t="s">
        <v>172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1278</v>
      </c>
      <c r="V1245" t="s">
        <v>1279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172</v>
      </c>
      <c r="J1246" t="s">
        <v>172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1280</v>
      </c>
      <c r="V1246" t="s">
        <v>1281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172</v>
      </c>
      <c r="J1247" t="s">
        <v>172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1282</v>
      </c>
      <c r="V1247" t="s">
        <v>1283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172</v>
      </c>
      <c r="J1248" t="s">
        <v>172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1284</v>
      </c>
      <c r="V1248" t="s">
        <v>1285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172</v>
      </c>
      <c r="J1249" t="s">
        <v>172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1286</v>
      </c>
      <c r="V1249" t="s">
        <v>1271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172</v>
      </c>
      <c r="J1250" t="s">
        <v>172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1287</v>
      </c>
      <c r="V1250" t="s">
        <v>1288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172</v>
      </c>
      <c r="J1251" t="s">
        <v>172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1289</v>
      </c>
      <c r="V1251" t="s">
        <v>1290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172</v>
      </c>
      <c r="J1252" t="s">
        <v>172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1291</v>
      </c>
      <c r="V1252" t="s">
        <v>1292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172</v>
      </c>
      <c r="J1253" t="s">
        <v>172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1293</v>
      </c>
      <c r="V1253" t="s">
        <v>1294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172</v>
      </c>
      <c r="J1254" t="s">
        <v>172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1295</v>
      </c>
      <c r="V1254" t="s">
        <v>1296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172</v>
      </c>
      <c r="J1255" t="s">
        <v>172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1297</v>
      </c>
      <c r="V1255" t="s">
        <v>1298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172</v>
      </c>
      <c r="J1256" t="s">
        <v>172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1276</v>
      </c>
      <c r="V1256" t="s">
        <v>1299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172</v>
      </c>
      <c r="J1257" t="s">
        <v>172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1278</v>
      </c>
      <c r="V1257" t="s">
        <v>1300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172</v>
      </c>
      <c r="J1258" t="s">
        <v>172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1280</v>
      </c>
      <c r="V1258" t="s">
        <v>1301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172</v>
      </c>
      <c r="J1259" t="s">
        <v>172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1302</v>
      </c>
      <c r="V1259" t="s">
        <v>1303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172</v>
      </c>
      <c r="J1260" t="s">
        <v>172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1304</v>
      </c>
      <c r="V1260" t="s">
        <v>1305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172</v>
      </c>
      <c r="J1261" t="s">
        <v>172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1278</v>
      </c>
      <c r="V1261" t="s">
        <v>1279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172</v>
      </c>
      <c r="J1262" t="s">
        <v>172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1280</v>
      </c>
      <c r="V1262" t="s">
        <v>1301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172</v>
      </c>
      <c r="J1263" t="s">
        <v>172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1282</v>
      </c>
      <c r="V1263" t="s">
        <v>1306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172</v>
      </c>
      <c r="J1264" t="s">
        <v>172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1307</v>
      </c>
      <c r="V1264" t="s">
        <v>1308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172</v>
      </c>
      <c r="J1265" t="s">
        <v>172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1309</v>
      </c>
      <c r="V1265" t="s">
        <v>1310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172</v>
      </c>
      <c r="J1266" t="s">
        <v>172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1280</v>
      </c>
      <c r="V1266" t="s">
        <v>1281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172</v>
      </c>
      <c r="J1267" t="s">
        <v>172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1282</v>
      </c>
      <c r="V1267" t="s">
        <v>1306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172</v>
      </c>
      <c r="J1268" t="s">
        <v>172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1284</v>
      </c>
      <c r="V1268" t="s">
        <v>1311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172</v>
      </c>
      <c r="J1269" t="s">
        <v>172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1312</v>
      </c>
      <c r="V1269" t="s">
        <v>1313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172</v>
      </c>
      <c r="J1270" t="s">
        <v>172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1314</v>
      </c>
      <c r="V1270" t="s">
        <v>1315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172</v>
      </c>
      <c r="J1271" t="s">
        <v>172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1282</v>
      </c>
      <c r="V1271" t="s">
        <v>1283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172</v>
      </c>
      <c r="J1272" t="s">
        <v>172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1284</v>
      </c>
      <c r="V1272" t="s">
        <v>1311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172</v>
      </c>
      <c r="J1273" t="s">
        <v>172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1316</v>
      </c>
      <c r="V1273" t="s">
        <v>1317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172</v>
      </c>
      <c r="J1274" t="s">
        <v>172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1318</v>
      </c>
      <c r="V1274" t="s">
        <v>1319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172</v>
      </c>
      <c r="J1275" t="s">
        <v>172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1320</v>
      </c>
      <c r="V1275" t="s">
        <v>1321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172</v>
      </c>
      <c r="J1276" t="s">
        <v>172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1284</v>
      </c>
      <c r="V1276" t="s">
        <v>1285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172</v>
      </c>
      <c r="J1277" t="s">
        <v>172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1316</v>
      </c>
      <c r="V1277" t="s">
        <v>1317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172</v>
      </c>
      <c r="J1278" t="s">
        <v>172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1322</v>
      </c>
      <c r="V1278" t="s">
        <v>1323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172</v>
      </c>
      <c r="J1279" t="s">
        <v>172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1324</v>
      </c>
      <c r="V1279" t="s">
        <v>1325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172</v>
      </c>
      <c r="J1280" t="s">
        <v>172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1324</v>
      </c>
      <c r="V1280" t="s">
        <v>1306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172</v>
      </c>
      <c r="J1281" t="s">
        <v>172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1326</v>
      </c>
      <c r="V1281" t="s">
        <v>1327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172</v>
      </c>
      <c r="J1282" t="s">
        <v>172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1328</v>
      </c>
      <c r="V1282" t="s">
        <v>1329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172</v>
      </c>
      <c r="J1283" t="s">
        <v>172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1330</v>
      </c>
      <c r="V1283" t="s">
        <v>1331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172</v>
      </c>
      <c r="J1284" t="s">
        <v>172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1332</v>
      </c>
      <c r="V1284" t="s">
        <v>1333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172</v>
      </c>
      <c r="J1285" t="s">
        <v>172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1334</v>
      </c>
      <c r="V1285" t="s">
        <v>1333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172</v>
      </c>
      <c r="J1286" t="s">
        <v>172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1316</v>
      </c>
      <c r="V1286" t="s">
        <v>1335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172</v>
      </c>
      <c r="J1287" t="s">
        <v>172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1336</v>
      </c>
      <c r="V1287" t="s">
        <v>1337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172</v>
      </c>
      <c r="J1288" t="s">
        <v>172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1338</v>
      </c>
      <c r="V1288" t="s">
        <v>1339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172</v>
      </c>
      <c r="J1289" t="s">
        <v>172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1340</v>
      </c>
      <c r="V1289" t="s">
        <v>1341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172</v>
      </c>
      <c r="J1290" t="s">
        <v>172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1340</v>
      </c>
      <c r="V1290" t="s">
        <v>1341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172</v>
      </c>
      <c r="J1291" t="s">
        <v>172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1342</v>
      </c>
      <c r="V1291" t="s">
        <v>1343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172</v>
      </c>
      <c r="J1292" t="s">
        <v>172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1344</v>
      </c>
      <c r="V1292" t="s">
        <v>1345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172</v>
      </c>
      <c r="J1293" t="s">
        <v>172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1346</v>
      </c>
      <c r="V1293" t="s">
        <v>1347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172</v>
      </c>
      <c r="J1294" t="s">
        <v>172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1348</v>
      </c>
      <c r="V1294" t="s">
        <v>1349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172</v>
      </c>
      <c r="J1295" t="s">
        <v>172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1348</v>
      </c>
      <c r="V1295" t="s">
        <v>1349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172</v>
      </c>
      <c r="J1296" t="s">
        <v>172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1322</v>
      </c>
      <c r="V1296" t="s">
        <v>1350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172</v>
      </c>
      <c r="J1297" t="s">
        <v>172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1351</v>
      </c>
      <c r="V1297" t="s">
        <v>1346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172</v>
      </c>
      <c r="J1298" t="s">
        <v>172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1352</v>
      </c>
      <c r="V1298" t="s">
        <v>1353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845</v>
      </c>
      <c r="V1304" t="s">
        <v>903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845</v>
      </c>
      <c r="V1305" t="s">
        <v>903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898</v>
      </c>
      <c r="V1306" t="s">
        <v>1354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911</v>
      </c>
      <c r="V1307" t="s">
        <v>905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676</v>
      </c>
      <c r="V1308" t="s">
        <v>676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686</v>
      </c>
      <c r="V1309" t="s">
        <v>686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167</v>
      </c>
      <c r="V1310" t="s">
        <v>167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157</v>
      </c>
      <c r="V1311" t="s">
        <v>157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155</v>
      </c>
      <c r="V1312" t="s">
        <v>155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1355</v>
      </c>
      <c r="V1313" t="s">
        <v>847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1356</v>
      </c>
      <c r="V1314" t="s">
        <v>847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943</v>
      </c>
      <c r="V1315" t="s">
        <v>931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872</v>
      </c>
      <c r="V1316" t="s">
        <v>160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686</v>
      </c>
      <c r="V1317" t="s">
        <v>686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693</v>
      </c>
      <c r="V1318" t="s">
        <v>693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1357</v>
      </c>
      <c r="V1319" t="s">
        <v>960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1358</v>
      </c>
      <c r="V1320" t="s">
        <v>960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962</v>
      </c>
      <c r="V1321" t="s">
        <v>968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985</v>
      </c>
      <c r="V1322" t="s">
        <v>986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167</v>
      </c>
      <c r="V1323" t="s">
        <v>167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157</v>
      </c>
      <c r="V1324" t="s">
        <v>157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783</v>
      </c>
      <c r="V1325" t="s">
        <v>963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783</v>
      </c>
      <c r="V1326" t="s">
        <v>963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1359</v>
      </c>
      <c r="V1327" t="s">
        <v>987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1015</v>
      </c>
      <c r="V1328" t="s">
        <v>993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157</v>
      </c>
      <c r="V1329" t="s">
        <v>157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155</v>
      </c>
      <c r="V1330" t="s">
        <v>155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1360</v>
      </c>
      <c r="V1331" t="s">
        <v>1361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1362</v>
      </c>
      <c r="V1332" t="s">
        <v>1361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1363</v>
      </c>
      <c r="V1333" t="s">
        <v>1364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157</v>
      </c>
      <c r="V1334" t="s">
        <v>157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155</v>
      </c>
      <c r="V1335" t="s">
        <v>155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1365</v>
      </c>
      <c r="V1336" t="s">
        <v>1365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1365</v>
      </c>
      <c r="V1337" t="s">
        <v>1365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1366</v>
      </c>
      <c r="V1338" t="s">
        <v>1366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157</v>
      </c>
      <c r="V1339" t="s">
        <v>157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155</v>
      </c>
      <c r="V1340" t="s">
        <v>155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180</v>
      </c>
      <c r="U1341" t="s">
        <v>1367</v>
      </c>
      <c r="V1341" t="s">
        <v>1368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180</v>
      </c>
      <c r="U1342" t="s">
        <v>1367</v>
      </c>
      <c r="V1342" t="s">
        <v>1368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180</v>
      </c>
      <c r="U1343" t="s">
        <v>1369</v>
      </c>
      <c r="V1343" t="s">
        <v>1370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180</v>
      </c>
      <c r="U1344" t="s">
        <v>1371</v>
      </c>
      <c r="V1344" t="s">
        <v>1372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180</v>
      </c>
      <c r="U1345" t="s">
        <v>1373</v>
      </c>
      <c r="V1345" t="s">
        <v>1373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180</v>
      </c>
      <c r="U1346" t="s">
        <v>1374</v>
      </c>
      <c r="V1346" t="s">
        <v>1374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180</v>
      </c>
      <c r="U1347" t="s">
        <v>1375</v>
      </c>
      <c r="V1347" t="s">
        <v>1376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180</v>
      </c>
      <c r="U1348" t="s">
        <v>1375</v>
      </c>
      <c r="V1348" t="s">
        <v>1376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180</v>
      </c>
      <c r="U1349" t="s">
        <v>1377</v>
      </c>
      <c r="V1349" t="s">
        <v>1378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180</v>
      </c>
      <c r="U1350" t="s">
        <v>1373</v>
      </c>
      <c r="V1350" t="s">
        <v>1379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180</v>
      </c>
      <c r="U1351" t="s">
        <v>1374</v>
      </c>
      <c r="V1351" t="s">
        <v>1374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180</v>
      </c>
      <c r="U1352" t="s">
        <v>1380</v>
      </c>
      <c r="V1352" t="s">
        <v>1381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180</v>
      </c>
      <c r="U1353" t="s">
        <v>1380</v>
      </c>
      <c r="V1353" t="s">
        <v>1381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180</v>
      </c>
      <c r="U1354" t="s">
        <v>1382</v>
      </c>
      <c r="V1354" t="s">
        <v>1383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180</v>
      </c>
      <c r="U1355" t="s">
        <v>1384</v>
      </c>
      <c r="V1355" t="s">
        <v>1385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180</v>
      </c>
      <c r="U1356" t="s">
        <v>1374</v>
      </c>
      <c r="V1356" t="s">
        <v>1374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180</v>
      </c>
      <c r="U1357" t="s">
        <v>1386</v>
      </c>
      <c r="V1357" t="s">
        <v>1386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180</v>
      </c>
      <c r="U1358" t="s">
        <v>1386</v>
      </c>
      <c r="V1358" t="s">
        <v>1386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180</v>
      </c>
      <c r="U1359" t="s">
        <v>1387</v>
      </c>
      <c r="V1359" t="s">
        <v>1387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180</v>
      </c>
      <c r="U1360" t="s">
        <v>1388</v>
      </c>
      <c r="V1360" t="s">
        <v>1388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180</v>
      </c>
      <c r="U1361" t="s">
        <v>1374</v>
      </c>
      <c r="V1361" t="s">
        <v>1374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179</v>
      </c>
      <c r="U1362" t="s">
        <v>1389</v>
      </c>
      <c r="V1362" t="s">
        <v>1390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179</v>
      </c>
      <c r="U1363" t="s">
        <v>1389</v>
      </c>
      <c r="V1363" t="s">
        <v>1390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179</v>
      </c>
      <c r="U1364" t="s">
        <v>1391</v>
      </c>
      <c r="V1364" t="s">
        <v>1392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179</v>
      </c>
      <c r="U1365" t="s">
        <v>1393</v>
      </c>
      <c r="V1365" t="s">
        <v>1394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179</v>
      </c>
      <c r="U1366" t="s">
        <v>1373</v>
      </c>
      <c r="V1366" t="s">
        <v>1373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179</v>
      </c>
      <c r="U1367" t="s">
        <v>1374</v>
      </c>
      <c r="V1367" t="s">
        <v>1374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179</v>
      </c>
      <c r="U1368" t="s">
        <v>1395</v>
      </c>
      <c r="V1368" t="s">
        <v>1396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179</v>
      </c>
      <c r="U1369" t="s">
        <v>1395</v>
      </c>
      <c r="V1369" t="s">
        <v>1396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179</v>
      </c>
      <c r="U1370" t="s">
        <v>1375</v>
      </c>
      <c r="V1370" t="s">
        <v>1397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179</v>
      </c>
      <c r="U1371" t="s">
        <v>1373</v>
      </c>
      <c r="V1371" t="s">
        <v>1373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179</v>
      </c>
      <c r="U1372" t="s">
        <v>1374</v>
      </c>
      <c r="V1372" t="s">
        <v>1374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179</v>
      </c>
      <c r="U1373" t="s">
        <v>1398</v>
      </c>
      <c r="V1373" t="s">
        <v>1398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179</v>
      </c>
      <c r="U1374" t="s">
        <v>1399</v>
      </c>
      <c r="V1374" t="s">
        <v>1400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179</v>
      </c>
      <c r="U1375" t="s">
        <v>1399</v>
      </c>
      <c r="V1375" t="s">
        <v>1400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179</v>
      </c>
      <c r="U1376" t="s">
        <v>1401</v>
      </c>
      <c r="V1376" t="s">
        <v>1402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179</v>
      </c>
      <c r="U1377" t="s">
        <v>1373</v>
      </c>
      <c r="V1377" t="s">
        <v>1373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179</v>
      </c>
      <c r="U1378" t="s">
        <v>1374</v>
      </c>
      <c r="V1378" t="s">
        <v>1374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179</v>
      </c>
      <c r="U1379" t="s">
        <v>1403</v>
      </c>
      <c r="V1379" t="s">
        <v>1403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179</v>
      </c>
      <c r="U1380" t="s">
        <v>1403</v>
      </c>
      <c r="V1380" t="s">
        <v>1403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179</v>
      </c>
      <c r="U1381" t="s">
        <v>1378</v>
      </c>
      <c r="V1381" t="s">
        <v>1378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179</v>
      </c>
      <c r="U1382" t="s">
        <v>1379</v>
      </c>
      <c r="V1382" t="s">
        <v>1379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179</v>
      </c>
      <c r="U1383" t="s">
        <v>1374</v>
      </c>
      <c r="V1383" t="s">
        <v>1374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178</v>
      </c>
      <c r="U1384" t="s">
        <v>1404</v>
      </c>
      <c r="V1384" t="s">
        <v>1405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178</v>
      </c>
      <c r="U1385" t="s">
        <v>1404</v>
      </c>
      <c r="V1385" t="s">
        <v>1405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178</v>
      </c>
      <c r="U1386" s="110" t="s">
        <v>1200</v>
      </c>
      <c r="V1386" t="s">
        <v>1406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178</v>
      </c>
      <c r="U1387" t="s">
        <v>1206</v>
      </c>
      <c r="V1387" t="s">
        <v>1407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178</v>
      </c>
      <c r="U1388" t="s">
        <v>1393</v>
      </c>
      <c r="V1388" t="s">
        <v>1393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178</v>
      </c>
      <c r="U1389" t="s">
        <v>1408</v>
      </c>
      <c r="V1389" t="s">
        <v>1409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178</v>
      </c>
      <c r="U1390" t="s">
        <v>1408</v>
      </c>
      <c r="V1390" t="s">
        <v>1409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178</v>
      </c>
      <c r="U1391" t="s">
        <v>1410</v>
      </c>
      <c r="V1391" t="s">
        <v>1411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178</v>
      </c>
      <c r="U1392" t="s">
        <v>1393</v>
      </c>
      <c r="V1392" t="s">
        <v>1393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178</v>
      </c>
      <c r="U1393" t="s">
        <v>1373</v>
      </c>
      <c r="V1393" t="s">
        <v>1373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178</v>
      </c>
      <c r="U1394" t="s">
        <v>1374</v>
      </c>
      <c r="V1394" t="s">
        <v>1374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178</v>
      </c>
      <c r="U1395" t="s">
        <v>1412</v>
      </c>
      <c r="V1395" t="s">
        <v>1367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178</v>
      </c>
      <c r="U1396" t="s">
        <v>1413</v>
      </c>
      <c r="V1396" t="s">
        <v>1369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178</v>
      </c>
      <c r="U1397" t="s">
        <v>1414</v>
      </c>
      <c r="V1397" t="s">
        <v>1371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178</v>
      </c>
      <c r="U1398" t="s">
        <v>1373</v>
      </c>
      <c r="V1398" t="s">
        <v>1373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178</v>
      </c>
      <c r="U1399" t="s">
        <v>1374</v>
      </c>
      <c r="V1399" t="s">
        <v>1374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178</v>
      </c>
      <c r="U1400" t="s">
        <v>1415</v>
      </c>
      <c r="V1400" t="s">
        <v>1416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178</v>
      </c>
      <c r="U1401" t="s">
        <v>1417</v>
      </c>
      <c r="V1401" t="s">
        <v>1418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178</v>
      </c>
      <c r="U1402" t="s">
        <v>1419</v>
      </c>
      <c r="V1402" t="s">
        <v>1420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178</v>
      </c>
      <c r="U1403" t="s">
        <v>1373</v>
      </c>
      <c r="V1403" t="s">
        <v>1373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178</v>
      </c>
      <c r="U1404" t="s">
        <v>1374</v>
      </c>
      <c r="V1404" t="s">
        <v>1374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178</v>
      </c>
      <c r="U1405" t="s">
        <v>1421</v>
      </c>
      <c r="V1405" t="s">
        <v>1421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178</v>
      </c>
      <c r="U1406" t="s">
        <v>1421</v>
      </c>
      <c r="V1406" t="s">
        <v>1421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178</v>
      </c>
      <c r="U1407" t="s">
        <v>1422</v>
      </c>
      <c r="V1407" t="s">
        <v>1422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178</v>
      </c>
      <c r="U1408" t="s">
        <v>1373</v>
      </c>
      <c r="V1408" t="s">
        <v>1373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178</v>
      </c>
      <c r="U1409" t="s">
        <v>1374</v>
      </c>
      <c r="V1409" t="s">
        <v>1374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1423</v>
      </c>
      <c r="V1410" t="s">
        <v>1424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1425</v>
      </c>
      <c r="V1411" t="s">
        <v>1426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1427</v>
      </c>
      <c r="V1412" t="s">
        <v>1428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1070</v>
      </c>
      <c r="V1413" t="s">
        <v>1070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161</v>
      </c>
      <c r="V1414" t="s">
        <v>161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824</v>
      </c>
      <c r="V1415" t="s">
        <v>824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829</v>
      </c>
      <c r="V1416" t="s">
        <v>829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841</v>
      </c>
      <c r="V1417" t="s">
        <v>841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842</v>
      </c>
      <c r="V1418" t="s">
        <v>842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1429</v>
      </c>
      <c r="V1419" t="s">
        <v>1430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1429</v>
      </c>
      <c r="V1420" t="s">
        <v>1431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1432</v>
      </c>
      <c r="V1421" t="s">
        <v>1433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161</v>
      </c>
      <c r="V1422" t="s">
        <v>161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824</v>
      </c>
      <c r="V1423" t="s">
        <v>824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1089</v>
      </c>
      <c r="V1424" t="s">
        <v>1434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825</v>
      </c>
      <c r="V1425" t="s">
        <v>1434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1088</v>
      </c>
      <c r="V1426" t="s">
        <v>1100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824</v>
      </c>
      <c r="V1427" t="s">
        <v>824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829</v>
      </c>
      <c r="V1428" t="s">
        <v>829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1435</v>
      </c>
      <c r="V1429" t="s">
        <v>1436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1437</v>
      </c>
      <c r="V1430" t="s">
        <v>1436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1438</v>
      </c>
      <c r="V1431" t="s">
        <v>1439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829</v>
      </c>
      <c r="V1432" t="s">
        <v>829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835</v>
      </c>
      <c r="V1433" t="s">
        <v>835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840</v>
      </c>
      <c r="V1434" t="s">
        <v>1440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840</v>
      </c>
      <c r="V1435" t="s">
        <v>1440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1441</v>
      </c>
      <c r="V1436" t="s">
        <v>1179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1188</v>
      </c>
      <c r="V1437" t="s">
        <v>1188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842</v>
      </c>
      <c r="V1438" t="s">
        <v>842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168</v>
      </c>
      <c r="V1439" t="s">
        <v>1442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168</v>
      </c>
      <c r="V1440" t="s">
        <v>1442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1443</v>
      </c>
      <c r="V1441" t="s">
        <v>1203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842</v>
      </c>
      <c r="V1442" t="s">
        <v>1206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1444</v>
      </c>
      <c r="V1443" t="s">
        <v>1445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1444</v>
      </c>
      <c r="V1444" t="s">
        <v>1445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1446</v>
      </c>
      <c r="V1445" t="s">
        <v>1447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1448</v>
      </c>
      <c r="V1446" t="s">
        <v>1449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1450</v>
      </c>
      <c r="V1447" t="s">
        <v>1450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1450</v>
      </c>
      <c r="V1448" t="s">
        <v>1450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1451</v>
      </c>
      <c r="V1449" t="s">
        <v>1451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1452</v>
      </c>
      <c r="V1450" t="s">
        <v>1452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273</v>
      </c>
      <c r="U1451" t="s">
        <v>268</v>
      </c>
      <c r="V1451" t="s">
        <v>268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273</v>
      </c>
      <c r="U1452" t="s">
        <v>271</v>
      </c>
      <c r="V1452" t="s">
        <v>271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273</v>
      </c>
      <c r="U1453" t="s">
        <v>274</v>
      </c>
      <c r="V1453" t="s">
        <v>274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273</v>
      </c>
      <c r="U1454" t="s">
        <v>255</v>
      </c>
      <c r="V1454" t="s">
        <v>255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273</v>
      </c>
      <c r="U1455" t="s">
        <v>164</v>
      </c>
      <c r="V1455" t="s">
        <v>164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273</v>
      </c>
      <c r="U1456" t="s">
        <v>242</v>
      </c>
      <c r="V1456" t="s">
        <v>242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273</v>
      </c>
      <c r="U1457" t="s">
        <v>239</v>
      </c>
      <c r="V1457" t="s">
        <v>239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273</v>
      </c>
      <c r="U1458" t="s">
        <v>242</v>
      </c>
      <c r="V1458" t="s">
        <v>242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273</v>
      </c>
      <c r="U1459" t="s">
        <v>239</v>
      </c>
      <c r="V1459" t="s">
        <v>239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273</v>
      </c>
      <c r="U1460" t="s">
        <v>242</v>
      </c>
      <c r="V1460" t="s">
        <v>242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267</v>
      </c>
      <c r="U1461" t="s">
        <v>268</v>
      </c>
      <c r="V1461" t="s">
        <v>268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267</v>
      </c>
      <c r="U1462" t="s">
        <v>271</v>
      </c>
      <c r="V1462" t="s">
        <v>271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267</v>
      </c>
      <c r="U1463" t="s">
        <v>269</v>
      </c>
      <c r="V1463" t="s">
        <v>269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267</v>
      </c>
      <c r="U1464" t="s">
        <v>272</v>
      </c>
      <c r="V1464" t="s">
        <v>272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267</v>
      </c>
      <c r="U1465" t="s">
        <v>270</v>
      </c>
      <c r="V1465" t="s">
        <v>270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267</v>
      </c>
      <c r="U1466" t="s">
        <v>272</v>
      </c>
      <c r="V1466" t="s">
        <v>272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267</v>
      </c>
      <c r="U1467" t="s">
        <v>263</v>
      </c>
      <c r="V1467" t="s">
        <v>263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267</v>
      </c>
      <c r="U1468" t="s">
        <v>266</v>
      </c>
      <c r="V1468" t="s">
        <v>266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267</v>
      </c>
      <c r="U1469" t="s">
        <v>263</v>
      </c>
      <c r="V1469" t="s">
        <v>263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267</v>
      </c>
      <c r="U1470" t="s">
        <v>266</v>
      </c>
      <c r="V1470" t="s">
        <v>266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261</v>
      </c>
      <c r="U1471" t="s">
        <v>249</v>
      </c>
      <c r="V1471" t="s">
        <v>249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261</v>
      </c>
      <c r="U1472" t="s">
        <v>264</v>
      </c>
      <c r="V1472" t="s">
        <v>264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261</v>
      </c>
      <c r="U1473" t="s">
        <v>262</v>
      </c>
      <c r="V1473" t="s">
        <v>262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261</v>
      </c>
      <c r="U1474" t="s">
        <v>265</v>
      </c>
      <c r="V1474" t="s">
        <v>265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261</v>
      </c>
      <c r="U1475" t="s">
        <v>252</v>
      </c>
      <c r="V1475" t="s">
        <v>252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261</v>
      </c>
      <c r="U1476" t="s">
        <v>254</v>
      </c>
      <c r="V1476" t="s">
        <v>254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261</v>
      </c>
      <c r="U1477" t="s">
        <v>263</v>
      </c>
      <c r="V1477" t="s">
        <v>263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261</v>
      </c>
      <c r="U1478" t="s">
        <v>266</v>
      </c>
      <c r="V1478" t="s">
        <v>266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261</v>
      </c>
      <c r="U1479" t="s">
        <v>263</v>
      </c>
      <c r="V1479" t="s">
        <v>263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261</v>
      </c>
      <c r="U1480" t="s">
        <v>266</v>
      </c>
      <c r="V1480" t="s">
        <v>266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279</v>
      </c>
      <c r="U1481" t="s">
        <v>280</v>
      </c>
      <c r="V1481" t="s">
        <v>280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279</v>
      </c>
      <c r="U1482" t="s">
        <v>243</v>
      </c>
      <c r="V1482" t="s">
        <v>243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279</v>
      </c>
      <c r="U1483" t="s">
        <v>281</v>
      </c>
      <c r="V1483" t="s">
        <v>281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279</v>
      </c>
      <c r="U1484" t="s">
        <v>243</v>
      </c>
      <c r="V1484" t="s">
        <v>243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279</v>
      </c>
      <c r="U1485" t="s">
        <v>281</v>
      </c>
      <c r="V1485" t="s">
        <v>281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279</v>
      </c>
      <c r="U1486" t="s">
        <v>243</v>
      </c>
      <c r="V1486" t="s">
        <v>243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279</v>
      </c>
      <c r="U1487" t="s">
        <v>282</v>
      </c>
      <c r="V1487" t="s">
        <v>282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279</v>
      </c>
      <c r="U1488" t="s">
        <v>242</v>
      </c>
      <c r="V1488" t="s">
        <v>242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279</v>
      </c>
      <c r="U1489" t="s">
        <v>277</v>
      </c>
      <c r="V1489" t="s">
        <v>277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279</v>
      </c>
      <c r="U1490" t="s">
        <v>242</v>
      </c>
      <c r="V1490" t="s">
        <v>242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279</v>
      </c>
      <c r="U1491" t="s">
        <v>277</v>
      </c>
      <c r="V1491" t="s">
        <v>277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279</v>
      </c>
      <c r="U1492" t="s">
        <v>242</v>
      </c>
      <c r="V1492" t="s">
        <v>242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279</v>
      </c>
      <c r="U1493" t="s">
        <v>253</v>
      </c>
      <c r="V1493" t="s">
        <v>253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279</v>
      </c>
      <c r="U1494" t="s">
        <v>256</v>
      </c>
      <c r="V1494" t="s">
        <v>256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279</v>
      </c>
      <c r="U1495" t="s">
        <v>253</v>
      </c>
      <c r="V1495" t="s">
        <v>253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279</v>
      </c>
      <c r="U1496" t="s">
        <v>256</v>
      </c>
      <c r="V1496" t="s">
        <v>256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275</v>
      </c>
      <c r="U1497" t="s">
        <v>276</v>
      </c>
      <c r="V1497" t="s">
        <v>276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275</v>
      </c>
      <c r="U1498" t="s">
        <v>243</v>
      </c>
      <c r="V1498" t="s">
        <v>243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275</v>
      </c>
      <c r="U1499" t="s">
        <v>277</v>
      </c>
      <c r="V1499" t="s">
        <v>277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275</v>
      </c>
      <c r="U1500" t="s">
        <v>242</v>
      </c>
      <c r="V1500" t="s">
        <v>242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275</v>
      </c>
      <c r="U1501" t="s">
        <v>277</v>
      </c>
      <c r="V1501" t="s">
        <v>277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275</v>
      </c>
      <c r="U1502" t="s">
        <v>242</v>
      </c>
      <c r="V1502" t="s">
        <v>242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275</v>
      </c>
      <c r="U1503" t="s">
        <v>260</v>
      </c>
      <c r="V1503" t="s">
        <v>260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275</v>
      </c>
      <c r="U1504" t="s">
        <v>244</v>
      </c>
      <c r="V1504" t="s">
        <v>244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275</v>
      </c>
      <c r="U1505" t="s">
        <v>278</v>
      </c>
      <c r="V1505" t="s">
        <v>278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275</v>
      </c>
      <c r="U1506" t="s">
        <v>251</v>
      </c>
      <c r="V1506" t="s">
        <v>251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275</v>
      </c>
      <c r="U1507" t="s">
        <v>269</v>
      </c>
      <c r="V1507" t="s">
        <v>269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275</v>
      </c>
      <c r="U1508" t="s">
        <v>272</v>
      </c>
      <c r="V1508" t="s">
        <v>272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275</v>
      </c>
      <c r="U1509" t="s">
        <v>269</v>
      </c>
      <c r="V1509" t="s">
        <v>269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275</v>
      </c>
      <c r="U1510" t="s">
        <v>272</v>
      </c>
      <c r="V1510" t="s">
        <v>272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257</v>
      </c>
      <c r="U1511" t="s">
        <v>253</v>
      </c>
      <c r="V1511" t="s">
        <v>253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257</v>
      </c>
      <c r="U1512" t="s">
        <v>256</v>
      </c>
      <c r="V1512" t="s">
        <v>256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257</v>
      </c>
      <c r="U1513" t="s">
        <v>258</v>
      </c>
      <c r="V1513" t="s">
        <v>258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257</v>
      </c>
      <c r="U1514" t="s">
        <v>251</v>
      </c>
      <c r="V1514" t="s">
        <v>251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257</v>
      </c>
      <c r="U1515" t="s">
        <v>259</v>
      </c>
      <c r="V1515" t="s">
        <v>259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257</v>
      </c>
      <c r="U1516" t="s">
        <v>244</v>
      </c>
      <c r="V1516" t="s">
        <v>244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257</v>
      </c>
      <c r="U1517" t="s">
        <v>260</v>
      </c>
      <c r="V1517" t="s">
        <v>260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257</v>
      </c>
      <c r="U1518" t="s">
        <v>250</v>
      </c>
      <c r="V1518" t="s">
        <v>250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257</v>
      </c>
      <c r="U1519" t="s">
        <v>246</v>
      </c>
      <c r="V1519" t="s">
        <v>246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257</v>
      </c>
      <c r="U1520" t="s">
        <v>255</v>
      </c>
      <c r="V1520" t="s">
        <v>255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257</v>
      </c>
      <c r="U1521" t="s">
        <v>246</v>
      </c>
      <c r="V1521" t="s">
        <v>246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257</v>
      </c>
      <c r="U1522" t="s">
        <v>255</v>
      </c>
      <c r="V1522" t="s">
        <v>255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">
        <v>252</v>
      </c>
      <c r="V1523" t="s">
        <v>252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">
        <v>254</v>
      </c>
      <c r="V1524" t="s">
        <v>254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">
        <v>165</v>
      </c>
      <c r="V1525" t="s">
        <v>165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">
        <v>244</v>
      </c>
      <c r="V1526" t="s">
        <v>244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">
        <v>164</v>
      </c>
      <c r="V1527" t="s">
        <v>164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">
        <v>250</v>
      </c>
      <c r="V1528" t="s">
        <v>250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">
        <v>166</v>
      </c>
      <c r="V1529" t="s">
        <v>166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">
        <v>255</v>
      </c>
      <c r="V1530" t="s">
        <v>255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">
        <v>253</v>
      </c>
      <c r="V1531" t="s">
        <v>253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">
        <v>256</v>
      </c>
      <c r="V1532" t="s">
        <v>256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">
        <v>253</v>
      </c>
      <c r="V1533" t="s">
        <v>253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">
        <v>256</v>
      </c>
      <c r="V1534" t="s">
        <v>256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245</v>
      </c>
      <c r="U1535" t="s">
        <v>246</v>
      </c>
      <c r="V1535" t="s">
        <v>246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245</v>
      </c>
      <c r="U1536" t="s">
        <v>249</v>
      </c>
      <c r="V1536" t="s">
        <v>249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245</v>
      </c>
      <c r="U1537" t="s">
        <v>164</v>
      </c>
      <c r="V1537" t="s">
        <v>164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245</v>
      </c>
      <c r="U1538" t="s">
        <v>250</v>
      </c>
      <c r="V1538" t="s">
        <v>250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245</v>
      </c>
      <c r="U1539" t="s">
        <v>239</v>
      </c>
      <c r="V1539" t="s">
        <v>239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245</v>
      </c>
      <c r="U1540" t="s">
        <v>242</v>
      </c>
      <c r="V1540" t="s">
        <v>242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245</v>
      </c>
      <c r="U1541" t="s">
        <v>247</v>
      </c>
      <c r="V1541" t="s">
        <v>247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245</v>
      </c>
      <c r="U1542" t="s">
        <v>242</v>
      </c>
      <c r="V1542" t="s">
        <v>242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245</v>
      </c>
      <c r="U1543" t="s">
        <v>248</v>
      </c>
      <c r="V1543" t="s">
        <v>248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245</v>
      </c>
      <c r="U1544" t="s">
        <v>251</v>
      </c>
      <c r="V1544" t="s">
        <v>251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245</v>
      </c>
      <c r="U1545" t="s">
        <v>248</v>
      </c>
      <c r="V1545" t="s">
        <v>248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245</v>
      </c>
      <c r="U1546" t="s">
        <v>251</v>
      </c>
      <c r="V1546" t="s">
        <v>251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237</v>
      </c>
      <c r="U1547" t="s">
        <v>238</v>
      </c>
      <c r="V1547" t="s">
        <v>238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237</v>
      </c>
      <c r="U1548" t="s">
        <v>241</v>
      </c>
      <c r="V1548" t="s">
        <v>241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237</v>
      </c>
      <c r="U1549" t="s">
        <v>164</v>
      </c>
      <c r="V1549" t="s">
        <v>164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237</v>
      </c>
      <c r="U1550" t="s">
        <v>242</v>
      </c>
      <c r="V1550" t="s">
        <v>242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237</v>
      </c>
      <c r="U1551" t="s">
        <v>239</v>
      </c>
      <c r="V1551" t="s">
        <v>239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237</v>
      </c>
      <c r="U1552" t="s">
        <v>243</v>
      </c>
      <c r="V1552" t="s">
        <v>243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237</v>
      </c>
      <c r="U1553" t="s">
        <v>164</v>
      </c>
      <c r="V1553" t="s">
        <v>164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237</v>
      </c>
      <c r="U1554" t="s">
        <v>242</v>
      </c>
      <c r="V1554" t="s">
        <v>242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237</v>
      </c>
      <c r="U1555" t="s">
        <v>240</v>
      </c>
      <c r="V1555" t="s">
        <v>240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237</v>
      </c>
      <c r="U1556" t="s">
        <v>244</v>
      </c>
      <c r="V1556" t="s">
        <v>244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237</v>
      </c>
      <c r="U1557" t="s">
        <v>240</v>
      </c>
      <c r="V1557" t="s">
        <v>240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237</v>
      </c>
      <c r="U1558" t="s">
        <v>244</v>
      </c>
      <c r="V1558" t="s">
        <v>244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1453</v>
      </c>
      <c r="V1559" t="s">
        <v>1454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1453</v>
      </c>
      <c r="V1560" t="s">
        <v>1454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1455</v>
      </c>
      <c r="V1561" t="s">
        <v>1454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1456</v>
      </c>
      <c r="V1562" t="s">
        <v>1457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1458</v>
      </c>
      <c r="V1563" t="s">
        <v>1458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1459</v>
      </c>
      <c r="V1564" t="s">
        <v>1460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1459</v>
      </c>
      <c r="V1565" t="s">
        <v>1460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1461</v>
      </c>
      <c r="V1566" t="s">
        <v>1462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1458</v>
      </c>
      <c r="V1567" t="s">
        <v>1458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1463</v>
      </c>
      <c r="V1568" t="s">
        <v>1464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1463</v>
      </c>
      <c r="V1569" t="s">
        <v>1464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1465</v>
      </c>
      <c r="V1570" t="s">
        <v>1464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1466</v>
      </c>
      <c r="V1571" t="s">
        <v>1467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1468</v>
      </c>
      <c r="V1572" t="s">
        <v>1468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1469</v>
      </c>
      <c r="V1573" t="s">
        <v>1470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1469</v>
      </c>
      <c r="V1574" t="s">
        <v>1470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1471</v>
      </c>
      <c r="V1575" t="s">
        <v>1472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1468</v>
      </c>
      <c r="V1576" t="s">
        <v>1468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1473</v>
      </c>
      <c r="V1577" t="s">
        <v>1474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1473</v>
      </c>
      <c r="V1578" t="s">
        <v>1474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1474</v>
      </c>
      <c r="V1579" t="s">
        <v>1475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1468</v>
      </c>
      <c r="V1580" t="s">
        <v>1476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1477</v>
      </c>
      <c r="V1581" t="s">
        <v>1478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1477</v>
      </c>
      <c r="V1582" t="s">
        <v>1478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1479</v>
      </c>
      <c r="V1583" t="s">
        <v>1480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1481</v>
      </c>
      <c r="V1584" t="s">
        <v>1481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1482</v>
      </c>
      <c r="V1585" t="s">
        <v>1483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1482</v>
      </c>
      <c r="V1586" t="s">
        <v>1483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1483</v>
      </c>
      <c r="V1587" t="s">
        <v>1484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1481</v>
      </c>
      <c r="V1588" t="s">
        <v>1485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1486</v>
      </c>
      <c r="V1589" t="s">
        <v>1487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1486</v>
      </c>
      <c r="V1590" t="s">
        <v>1487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1488</v>
      </c>
      <c r="V1591" t="s">
        <v>1489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1490</v>
      </c>
      <c r="V1592" t="s">
        <v>1490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1491</v>
      </c>
      <c r="V1593" t="s">
        <v>1492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1491</v>
      </c>
      <c r="V1594" t="s">
        <v>1492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1493</v>
      </c>
      <c r="V1595" t="s">
        <v>1494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1495</v>
      </c>
      <c r="V1596" t="s">
        <v>1496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1497</v>
      </c>
      <c r="V1597" t="s">
        <v>1498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1497</v>
      </c>
      <c r="V1598" t="s">
        <v>1498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1499</v>
      </c>
      <c r="V1599" t="s">
        <v>1500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1501</v>
      </c>
      <c r="V1600" t="s">
        <v>1501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1502</v>
      </c>
      <c r="V1601" t="s">
        <v>1503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1502</v>
      </c>
      <c r="V1602" t="s">
        <v>1503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1504</v>
      </c>
      <c r="V1603" t="s">
        <v>1505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1506</v>
      </c>
      <c r="V1604" t="s">
        <v>1507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1508</v>
      </c>
      <c r="V1605" t="s">
        <v>1509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1508</v>
      </c>
      <c r="V1606" t="s">
        <v>1509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1510</v>
      </c>
      <c r="V1607" t="s">
        <v>1511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1512</v>
      </c>
      <c r="V1608" t="s">
        <v>1512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1513</v>
      </c>
      <c r="V1609" t="s">
        <v>1514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1513</v>
      </c>
      <c r="V1610" t="s">
        <v>1514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1515</v>
      </c>
      <c r="V1611" t="s">
        <v>1516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1517</v>
      </c>
      <c r="V1612" t="s">
        <v>1518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1519</v>
      </c>
      <c r="V1613" t="s">
        <v>1520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1519</v>
      </c>
      <c r="V1614" t="s">
        <v>1520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1521</v>
      </c>
      <c r="V1615" t="s">
        <v>1522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1523</v>
      </c>
      <c r="V1616" t="s">
        <v>1523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1524</v>
      </c>
      <c r="V1617" t="s">
        <v>1525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1524</v>
      </c>
      <c r="V1618" t="s">
        <v>1525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1526</v>
      </c>
      <c r="V1619" t="s">
        <v>1527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1528</v>
      </c>
      <c r="V1620" t="s">
        <v>1529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1530</v>
      </c>
      <c r="V1621" t="s">
        <v>1531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1530</v>
      </c>
      <c r="V1622" t="s">
        <v>1531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1532</v>
      </c>
      <c r="V1623" t="s">
        <v>1533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1534</v>
      </c>
      <c r="V1624" t="s">
        <v>1534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1535</v>
      </c>
      <c r="V1625" t="s">
        <v>1535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1535</v>
      </c>
      <c r="V1626" t="s">
        <v>1535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1535</v>
      </c>
      <c r="V1627" t="s">
        <v>1535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1536</v>
      </c>
      <c r="V1628" t="s">
        <v>1536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336</v>
      </c>
      <c r="V1629" t="s">
        <v>337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336</v>
      </c>
      <c r="V1630" t="s">
        <v>337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338</v>
      </c>
      <c r="V1631" t="s">
        <v>339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340</v>
      </c>
      <c r="V1632" t="s">
        <v>341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342</v>
      </c>
      <c r="V1633" t="s">
        <v>343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344</v>
      </c>
      <c r="V1634" t="s">
        <v>345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344</v>
      </c>
      <c r="V1635" t="s">
        <v>345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346</v>
      </c>
      <c r="V1636" t="s">
        <v>347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340</v>
      </c>
      <c r="V1637" t="s">
        <v>341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342</v>
      </c>
      <c r="V1638" t="s">
        <v>348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349</v>
      </c>
      <c r="V1639" t="s">
        <v>350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349</v>
      </c>
      <c r="V1640" t="s">
        <v>350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351</v>
      </c>
      <c r="V1641" t="s">
        <v>352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342</v>
      </c>
      <c r="V1642" t="s">
        <v>348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353</v>
      </c>
      <c r="V1643" t="s">
        <v>354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355</v>
      </c>
      <c r="V1644" t="s">
        <v>356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357</v>
      </c>
      <c r="V1645" t="s">
        <v>358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359</v>
      </c>
      <c r="V1646" t="s">
        <v>360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353</v>
      </c>
      <c r="V1647" t="s">
        <v>354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361</v>
      </c>
      <c r="V1648" t="s">
        <v>362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363</v>
      </c>
      <c r="V1649" t="s">
        <v>364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343</v>
      </c>
      <c r="V1650" t="s">
        <v>365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366</v>
      </c>
      <c r="V1651" t="s">
        <v>367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361</v>
      </c>
      <c r="V1652" t="s">
        <v>362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368</v>
      </c>
      <c r="V1653" t="s">
        <v>369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370</v>
      </c>
      <c r="V1654" t="s">
        <v>371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367</v>
      </c>
      <c r="V1655" t="s">
        <v>372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373</v>
      </c>
      <c r="V1656" t="s">
        <v>374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368</v>
      </c>
      <c r="V1657" t="s">
        <v>369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375</v>
      </c>
      <c r="V1658" t="s">
        <v>376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377</v>
      </c>
      <c r="V1659" t="s">
        <v>378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379</v>
      </c>
      <c r="V1660" t="s">
        <v>380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381</v>
      </c>
      <c r="V1661" t="s">
        <v>382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375</v>
      </c>
      <c r="V1662" t="s">
        <v>376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383</v>
      </c>
      <c r="V1663" t="s">
        <v>384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385</v>
      </c>
      <c r="V1664" t="s">
        <v>386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387</v>
      </c>
      <c r="V1665" t="s">
        <v>388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389</v>
      </c>
      <c r="V1666" t="s">
        <v>390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383</v>
      </c>
      <c r="V1667" t="s">
        <v>384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391</v>
      </c>
      <c r="V1668" t="s">
        <v>392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375</v>
      </c>
      <c r="V1669" t="s">
        <v>393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375</v>
      </c>
      <c r="V1670" t="s">
        <v>393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394</v>
      </c>
      <c r="V1671" t="s">
        <v>395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396</v>
      </c>
      <c r="V1672" t="s">
        <v>397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398</v>
      </c>
      <c r="V1673" t="s">
        <v>399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398</v>
      </c>
      <c r="V1674" t="s">
        <v>400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401</v>
      </c>
      <c r="V1675" t="s">
        <v>395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402</v>
      </c>
      <c r="V1676" t="s">
        <v>403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404</v>
      </c>
      <c r="V1677" t="s">
        <v>405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406</v>
      </c>
      <c r="V1678" t="s">
        <v>407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406</v>
      </c>
      <c r="V1679" t="s">
        <v>407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403</v>
      </c>
      <c r="V1680" t="s">
        <v>408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409</v>
      </c>
      <c r="V1681" t="s">
        <v>410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411</v>
      </c>
      <c r="V1682" t="s">
        <v>412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413</v>
      </c>
      <c r="V1683" t="s">
        <v>414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413</v>
      </c>
      <c r="V1684" t="s">
        <v>414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414</v>
      </c>
      <c r="V1685" t="s">
        <v>415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416</v>
      </c>
      <c r="V1686" t="s">
        <v>417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418</v>
      </c>
      <c r="V1687" t="s">
        <v>419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420</v>
      </c>
      <c r="V1688" t="s">
        <v>421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422</v>
      </c>
      <c r="V1689" t="s">
        <v>423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422</v>
      </c>
      <c r="V1690" t="s">
        <v>423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424</v>
      </c>
      <c r="V1691" t="s">
        <v>425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426</v>
      </c>
      <c r="V1692" t="s">
        <v>427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428</v>
      </c>
      <c r="V1693" t="s">
        <v>428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429</v>
      </c>
      <c r="V1694" t="s">
        <v>429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429</v>
      </c>
      <c r="V1695" t="s">
        <v>429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405</v>
      </c>
      <c r="V1696" t="s">
        <v>405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411</v>
      </c>
      <c r="V1697" t="s">
        <v>411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">
        <v>856</v>
      </c>
      <c r="V1698" t="s">
        <v>905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1537</v>
      </c>
      <c r="V1699" t="s">
        <v>1538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">
        <v>938</v>
      </c>
      <c r="V1700" t="s">
        <v>1539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">
        <v>1540</v>
      </c>
      <c r="V1701" t="s">
        <v>848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">
        <v>856</v>
      </c>
      <c r="V1702" t="s">
        <v>905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">
        <v>1540</v>
      </c>
      <c r="V1703" t="s">
        <v>848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">
        <v>1541</v>
      </c>
      <c r="V1704" t="s">
        <v>1542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">
        <v>856</v>
      </c>
      <c r="V1705" t="s">
        <v>169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">
        <v>938</v>
      </c>
      <c r="V1706" t="s">
        <v>1539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">
        <v>856</v>
      </c>
      <c r="V1707" t="s">
        <v>169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">
        <v>1543</v>
      </c>
      <c r="V1708" t="s">
        <v>860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1541</v>
      </c>
      <c r="V1709" t="s">
        <v>1542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">
        <v>1537</v>
      </c>
      <c r="V1710" t="s">
        <v>1541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">
        <v>1543</v>
      </c>
      <c r="V1711" t="s">
        <v>860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1540</v>
      </c>
      <c r="V1712" t="s">
        <v>848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">
        <v>1544</v>
      </c>
      <c r="V1713" t="s">
        <v>1545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1540</v>
      </c>
      <c r="V1714" t="s">
        <v>848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886</v>
      </c>
      <c r="V1715" t="s">
        <v>909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943</v>
      </c>
      <c r="V1716" t="s">
        <v>847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">
        <v>932</v>
      </c>
      <c r="V1717" t="s">
        <v>1546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">
        <v>1544</v>
      </c>
      <c r="V1718" t="s">
        <v>1545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878</v>
      </c>
      <c r="V1719" t="s">
        <v>920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">
        <v>676</v>
      </c>
      <c r="V1720" t="s">
        <v>872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878</v>
      </c>
      <c r="V1721" t="s">
        <v>920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676</v>
      </c>
      <c r="V1722" t="s">
        <v>676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">
        <v>676</v>
      </c>
      <c r="V1723" t="s">
        <v>676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">
        <v>676</v>
      </c>
      <c r="V1724" t="s">
        <v>676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">
        <v>872</v>
      </c>
      <c r="V1725" t="s">
        <v>160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">
        <v>686</v>
      </c>
      <c r="V1726" t="s">
        <v>686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">
        <v>686</v>
      </c>
      <c r="V1727" t="s">
        <v>686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">
        <v>686</v>
      </c>
      <c r="V1728" t="s">
        <v>686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686</v>
      </c>
      <c r="V1729" t="s">
        <v>686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686</v>
      </c>
      <c r="V1730" t="s">
        <v>686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686</v>
      </c>
      <c r="V1731" t="s">
        <v>686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">
        <v>686</v>
      </c>
      <c r="V1732" t="s">
        <v>686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">
        <v>693</v>
      </c>
      <c r="V1733" t="s">
        <v>693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">
        <v>693</v>
      </c>
      <c r="V1734" t="s">
        <v>693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">
        <v>693</v>
      </c>
      <c r="V1735" t="s">
        <v>693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">
        <v>693</v>
      </c>
      <c r="V1736" t="s">
        <v>693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">
        <v>693</v>
      </c>
      <c r="V1737" t="s">
        <v>693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">
        <v>693</v>
      </c>
      <c r="V1738" t="s">
        <v>693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693</v>
      </c>
      <c r="V1739" t="s">
        <v>693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700</v>
      </c>
      <c r="V1740" t="s">
        <v>700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700</v>
      </c>
      <c r="V1741" t="s">
        <v>700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700</v>
      </c>
      <c r="V1742" t="s">
        <v>700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700</v>
      </c>
      <c r="V1743" t="s">
        <v>700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700</v>
      </c>
      <c r="V1744" t="s">
        <v>700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700</v>
      </c>
      <c r="V1745" t="s">
        <v>700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">
        <v>700</v>
      </c>
      <c r="V1746" t="s">
        <v>700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1547</v>
      </c>
      <c r="V1747" t="s">
        <v>1547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1547</v>
      </c>
      <c r="V1748" t="s">
        <v>1547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1547</v>
      </c>
      <c r="V1749" t="s">
        <v>1547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1547</v>
      </c>
      <c r="V1750" t="s">
        <v>1547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1547</v>
      </c>
      <c r="V1751" t="s">
        <v>1547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1547</v>
      </c>
      <c r="V1752" t="s">
        <v>1547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">
        <v>1539</v>
      </c>
      <c r="V1753" t="s">
        <v>1540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">
        <v>886</v>
      </c>
      <c r="V1754" t="s">
        <v>933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">
        <v>1548</v>
      </c>
      <c r="V1755" t="s">
        <v>1549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">
        <v>894</v>
      </c>
      <c r="V1756" t="s">
        <v>947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">
        <v>894</v>
      </c>
      <c r="V1757" t="s">
        <v>947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1540</v>
      </c>
      <c r="V1758" t="s">
        <v>1550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943</v>
      </c>
      <c r="V1759" t="s">
        <v>931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">
        <v>943</v>
      </c>
      <c r="V1760" t="s">
        <v>931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">
        <v>1551</v>
      </c>
      <c r="V1761" t="s">
        <v>1552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">
        <v>894</v>
      </c>
      <c r="V1762" t="s">
        <v>947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">
        <v>886</v>
      </c>
      <c r="V1763" t="s">
        <v>933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">
        <v>1539</v>
      </c>
      <c r="V1764" t="s">
        <v>1540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">
        <v>696</v>
      </c>
      <c r="V1765" t="s">
        <v>1553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">
        <v>894</v>
      </c>
      <c r="V1766" t="s">
        <v>947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">
        <v>1551</v>
      </c>
      <c r="V1767" t="s">
        <v>1552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">
        <v>894</v>
      </c>
      <c r="V1768" t="s">
        <v>947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940</v>
      </c>
      <c r="V1769" t="s">
        <v>907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1540</v>
      </c>
      <c r="V1770" t="s">
        <v>1550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910</v>
      </c>
      <c r="V1771" t="s">
        <v>940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">
        <v>894</v>
      </c>
      <c r="V1772" t="s">
        <v>947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">
        <v>851</v>
      </c>
      <c r="V1773" t="s">
        <v>1543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">
        <v>872</v>
      </c>
      <c r="V1774" t="s">
        <v>917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">
        <v>1554</v>
      </c>
      <c r="V1775" t="s">
        <v>912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1555</v>
      </c>
      <c r="V1776" t="s">
        <v>875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">
        <v>160</v>
      </c>
      <c r="V1777" t="s">
        <v>878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1555</v>
      </c>
      <c r="V1778" t="s">
        <v>875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872</v>
      </c>
      <c r="V1779" t="s">
        <v>872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">
        <v>878</v>
      </c>
      <c r="V1780" t="s">
        <v>920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">
        <v>686</v>
      </c>
      <c r="V1781" t="s">
        <v>686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">
        <v>686</v>
      </c>
      <c r="V1782" t="s">
        <v>880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">
        <v>686</v>
      </c>
      <c r="V1783" t="s">
        <v>686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686</v>
      </c>
      <c r="V1784" t="s">
        <v>686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">
        <v>1556</v>
      </c>
      <c r="V1785" t="s">
        <v>881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">
        <v>686</v>
      </c>
      <c r="V1786" t="s">
        <v>686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">
        <v>1556</v>
      </c>
      <c r="V1787" t="s">
        <v>881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1557</v>
      </c>
      <c r="V1788" t="s">
        <v>1024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1557</v>
      </c>
      <c r="V1789" t="s">
        <v>1024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979</v>
      </c>
      <c r="V1790" t="s">
        <v>960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1558</v>
      </c>
      <c r="V1791" t="s">
        <v>983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1559</v>
      </c>
      <c r="V1792" t="s">
        <v>990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1560</v>
      </c>
      <c r="V1793" t="s">
        <v>1561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962</v>
      </c>
      <c r="V1794" t="s">
        <v>1562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1563</v>
      </c>
      <c r="V1795" t="s">
        <v>1024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1560</v>
      </c>
      <c r="V1796" t="s">
        <v>1561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968</v>
      </c>
      <c r="V1797" t="s">
        <v>969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979</v>
      </c>
      <c r="V1798" t="s">
        <v>960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1563</v>
      </c>
      <c r="V1799" t="s">
        <v>1024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962</v>
      </c>
      <c r="V1800" t="s">
        <v>1562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781</v>
      </c>
      <c r="V1801" t="s">
        <v>705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960</v>
      </c>
      <c r="V1802" t="s">
        <v>1564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962</v>
      </c>
      <c r="V1803" t="s">
        <v>968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982</v>
      </c>
      <c r="V1804" t="s">
        <v>1565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1566</v>
      </c>
      <c r="V1805" t="s">
        <v>962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1563</v>
      </c>
      <c r="V1806" t="s">
        <v>1024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1563</v>
      </c>
      <c r="V1807" t="s">
        <v>1024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1559</v>
      </c>
      <c r="V1808" t="s">
        <v>705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1011</v>
      </c>
      <c r="V1809" t="s">
        <v>1027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1011</v>
      </c>
      <c r="V1810" t="s">
        <v>1027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985</v>
      </c>
      <c r="V1811" t="s">
        <v>986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780</v>
      </c>
      <c r="V1812" t="s">
        <v>1567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986</v>
      </c>
      <c r="V1813" t="s">
        <v>780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1568</v>
      </c>
      <c r="V1814" t="s">
        <v>1569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762</v>
      </c>
      <c r="V1815" t="s">
        <v>985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1015</v>
      </c>
      <c r="V1816" t="s">
        <v>1033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167</v>
      </c>
      <c r="V1817" t="s">
        <v>167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167</v>
      </c>
      <c r="V1818" t="s">
        <v>167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1015</v>
      </c>
      <c r="V1819" t="s">
        <v>1033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167</v>
      </c>
      <c r="V1820" t="s">
        <v>167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">
        <v>167</v>
      </c>
      <c r="V1821" t="s">
        <v>167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167</v>
      </c>
      <c r="V1822" t="s">
        <v>167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1011</v>
      </c>
      <c r="V1823" t="s">
        <v>1025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972</v>
      </c>
      <c r="V1824" t="s">
        <v>929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972</v>
      </c>
      <c r="V1825" t="s">
        <v>929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987</v>
      </c>
      <c r="V1826" t="s">
        <v>1570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1362</v>
      </c>
      <c r="V1827" t="s">
        <v>994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1571</v>
      </c>
      <c r="V1828" t="s">
        <v>1557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1007</v>
      </c>
      <c r="V1829" t="s">
        <v>1024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972</v>
      </c>
      <c r="V1830" t="s">
        <v>929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1007</v>
      </c>
      <c r="V1831" t="s">
        <v>1024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1027</v>
      </c>
      <c r="V1832" t="s">
        <v>988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972</v>
      </c>
      <c r="V1833" t="s">
        <v>929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1011</v>
      </c>
      <c r="V1834" t="s">
        <v>1025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1571</v>
      </c>
      <c r="V1835" t="s">
        <v>1557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1360</v>
      </c>
      <c r="V1836" t="s">
        <v>1014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1007</v>
      </c>
      <c r="V1837" t="s">
        <v>1011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1572</v>
      </c>
      <c r="V1838" t="s">
        <v>1573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972</v>
      </c>
      <c r="V1839" t="s">
        <v>929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1024</v>
      </c>
      <c r="V1840" t="s">
        <v>950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1362</v>
      </c>
      <c r="V1841" t="s">
        <v>1014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1011</v>
      </c>
      <c r="V1842" t="s">
        <v>1027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972</v>
      </c>
      <c r="V1843" t="s">
        <v>929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976</v>
      </c>
      <c r="V1844" t="s">
        <v>1006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1033</v>
      </c>
      <c r="V1845" t="s">
        <v>156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167</v>
      </c>
      <c r="V1846" t="s">
        <v>1015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1015</v>
      </c>
      <c r="V1847" t="s">
        <v>1033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1574</v>
      </c>
      <c r="V1848" t="s">
        <v>973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1574</v>
      </c>
      <c r="V1849" t="s">
        <v>973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156</v>
      </c>
      <c r="V1850" t="s">
        <v>1365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157</v>
      </c>
      <c r="V1851" t="s">
        <v>157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157</v>
      </c>
      <c r="V1852" t="s">
        <v>157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157</v>
      </c>
      <c r="V1853" t="s">
        <v>157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157</v>
      </c>
      <c r="V1854" t="s">
        <v>157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">
        <v>157</v>
      </c>
      <c r="V1855" t="s">
        <v>157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157</v>
      </c>
      <c r="V1856" t="s">
        <v>157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157</v>
      </c>
      <c r="V1857" t="s">
        <v>157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1364</v>
      </c>
      <c r="V1858" t="s">
        <v>996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973</v>
      </c>
      <c r="V1859" t="s">
        <v>1575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1576</v>
      </c>
      <c r="V1860" t="s">
        <v>1577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">
        <v>997</v>
      </c>
      <c r="V1861" t="s">
        <v>998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">
        <v>1039</v>
      </c>
      <c r="V1862" t="s">
        <v>1578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1576</v>
      </c>
      <c r="V1863" t="s">
        <v>1577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">
        <v>997</v>
      </c>
      <c r="V1864" t="s">
        <v>998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1364</v>
      </c>
      <c r="V1865" t="s">
        <v>996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1576</v>
      </c>
      <c r="V1866" t="s">
        <v>1577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">
        <v>973</v>
      </c>
      <c r="V1867" t="s">
        <v>1579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1039</v>
      </c>
      <c r="V1868" t="s">
        <v>1578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1576</v>
      </c>
      <c r="V1869" t="s">
        <v>1577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1042</v>
      </c>
      <c r="V1870" t="s">
        <v>1578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1034</v>
      </c>
      <c r="V1871" t="s">
        <v>1001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1580</v>
      </c>
      <c r="V1872" t="s">
        <v>1577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1580</v>
      </c>
      <c r="V1873" t="s">
        <v>1577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1575</v>
      </c>
      <c r="V1874" t="s">
        <v>998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1000</v>
      </c>
      <c r="V1875" t="s">
        <v>1039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">
        <v>1020</v>
      </c>
      <c r="V1876" t="s">
        <v>1051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1018</v>
      </c>
      <c r="V1877" t="s">
        <v>1019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1581</v>
      </c>
      <c r="V1878" t="s">
        <v>1582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1050</v>
      </c>
      <c r="V1879" t="s">
        <v>1583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1050</v>
      </c>
      <c r="V1880" t="s">
        <v>1021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1581</v>
      </c>
      <c r="V1881" t="s">
        <v>1582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">
        <v>155</v>
      </c>
      <c r="V1882" t="s">
        <v>155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155</v>
      </c>
      <c r="V1883" t="s">
        <v>1584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155</v>
      </c>
      <c r="V1884" t="s">
        <v>1584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155</v>
      </c>
      <c r="V1885" t="s">
        <v>155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155</v>
      </c>
      <c r="V1886" t="s">
        <v>155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155</v>
      </c>
      <c r="V1887" t="s">
        <v>155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998</v>
      </c>
      <c r="V1888" t="s">
        <v>1585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">
        <v>1586</v>
      </c>
      <c r="V1889" t="s">
        <v>1587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">
        <v>1588</v>
      </c>
      <c r="V1890" t="s">
        <v>1047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">
        <v>1586</v>
      </c>
      <c r="V1891" t="s">
        <v>1587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1018</v>
      </c>
      <c r="V1892" t="s">
        <v>1589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1018</v>
      </c>
      <c r="V1893" t="s">
        <v>1589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1588</v>
      </c>
      <c r="V1894" t="s">
        <v>1590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998</v>
      </c>
      <c r="V1895" t="s">
        <v>1585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1591</v>
      </c>
      <c r="V1896" t="s">
        <v>1592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">
        <v>1593</v>
      </c>
      <c r="V1897" t="s">
        <v>1016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">
        <v>1593</v>
      </c>
      <c r="V1898" t="s">
        <v>1016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1019</v>
      </c>
      <c r="V1899" t="s">
        <v>1594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">
        <v>155</v>
      </c>
      <c r="V1900" t="s">
        <v>1584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155</v>
      </c>
      <c r="V1901" t="s">
        <v>1584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155</v>
      </c>
      <c r="V1902" t="s">
        <v>155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">
        <v>155</v>
      </c>
      <c r="V1903" t="s">
        <v>1584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1595</v>
      </c>
      <c r="V1904" t="s">
        <v>1595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1595</v>
      </c>
      <c r="V1905" t="s">
        <v>1595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1595</v>
      </c>
      <c r="V1906" t="s">
        <v>1595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">
        <v>1595</v>
      </c>
      <c r="V1907" t="s">
        <v>1595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180</v>
      </c>
      <c r="U1908" t="s">
        <v>1596</v>
      </c>
      <c r="V1908" t="s">
        <v>1597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180</v>
      </c>
      <c r="U1909" t="s">
        <v>1596</v>
      </c>
      <c r="V1909" t="s">
        <v>1597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180</v>
      </c>
      <c r="U1910" t="s">
        <v>1598</v>
      </c>
      <c r="V1910" t="s">
        <v>1599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180</v>
      </c>
      <c r="U1911" t="s">
        <v>1598</v>
      </c>
      <c r="V1911" t="s">
        <v>1599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180</v>
      </c>
      <c r="U1912" t="s">
        <v>1600</v>
      </c>
      <c r="V1912" t="s">
        <v>1601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180</v>
      </c>
      <c r="U1913" t="s">
        <v>1395</v>
      </c>
      <c r="V1913" t="s">
        <v>641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180</v>
      </c>
      <c r="U1914" t="s">
        <v>1598</v>
      </c>
      <c r="V1914" t="s">
        <v>1599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180</v>
      </c>
      <c r="U1915" t="s">
        <v>1397</v>
      </c>
      <c r="V1915" t="s">
        <v>1601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180</v>
      </c>
      <c r="U1916" t="s">
        <v>1598</v>
      </c>
      <c r="V1916" t="s">
        <v>1599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180</v>
      </c>
      <c r="U1917" t="s">
        <v>1596</v>
      </c>
      <c r="V1917" t="s">
        <v>1597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180</v>
      </c>
      <c r="U1918" t="s">
        <v>1602</v>
      </c>
      <c r="V1918" t="s">
        <v>641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180</v>
      </c>
      <c r="U1919" t="s">
        <v>1596</v>
      </c>
      <c r="V1919" t="s">
        <v>1597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180</v>
      </c>
      <c r="U1920" t="s">
        <v>1397</v>
      </c>
      <c r="V1920" t="s">
        <v>1601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180</v>
      </c>
      <c r="U1921" t="s">
        <v>1596</v>
      </c>
      <c r="V1921" t="s">
        <v>1597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180</v>
      </c>
      <c r="U1922" t="s">
        <v>1598</v>
      </c>
      <c r="V1922" t="s">
        <v>1599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180</v>
      </c>
      <c r="U1923" t="s">
        <v>1596</v>
      </c>
      <c r="V1923" t="s">
        <v>1597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180</v>
      </c>
      <c r="U1924" t="s">
        <v>1395</v>
      </c>
      <c r="V1924" t="s">
        <v>641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180</v>
      </c>
      <c r="U1925" t="s">
        <v>1598</v>
      </c>
      <c r="V1925" t="s">
        <v>1599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180</v>
      </c>
      <c r="U1926" t="s">
        <v>1603</v>
      </c>
      <c r="V1926" t="s">
        <v>1604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180</v>
      </c>
      <c r="U1927" t="s">
        <v>1605</v>
      </c>
      <c r="V1927" t="s">
        <v>1375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180</v>
      </c>
      <c r="U1928" t="s">
        <v>1603</v>
      </c>
      <c r="V1928" t="s">
        <v>1604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180</v>
      </c>
      <c r="U1929" t="s">
        <v>1606</v>
      </c>
      <c r="V1929" t="s">
        <v>1378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180</v>
      </c>
      <c r="U1930" t="s">
        <v>1605</v>
      </c>
      <c r="V1930" t="s">
        <v>1375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180</v>
      </c>
      <c r="U1931" t="s">
        <v>1375</v>
      </c>
      <c r="V1931" t="s">
        <v>1600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180</v>
      </c>
      <c r="U1932" t="s">
        <v>1373</v>
      </c>
      <c r="V1932" t="s">
        <v>1373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180</v>
      </c>
      <c r="U1933" t="s">
        <v>1607</v>
      </c>
      <c r="V1933" t="s">
        <v>1608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180</v>
      </c>
      <c r="U1934" t="s">
        <v>1607</v>
      </c>
      <c r="V1934" t="s">
        <v>1608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180</v>
      </c>
      <c r="U1935" t="s">
        <v>1373</v>
      </c>
      <c r="V1935" t="s">
        <v>1373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180</v>
      </c>
      <c r="U1936" t="s">
        <v>1373</v>
      </c>
      <c r="V1936" t="s">
        <v>1373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180</v>
      </c>
      <c r="U1937" t="s">
        <v>1373</v>
      </c>
      <c r="V1937" t="s">
        <v>1379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180</v>
      </c>
      <c r="U1938" t="s">
        <v>1374</v>
      </c>
      <c r="V1938" t="s">
        <v>1374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180</v>
      </c>
      <c r="U1939" t="s">
        <v>1374</v>
      </c>
      <c r="V1939" t="s">
        <v>1374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180</v>
      </c>
      <c r="U1940" t="s">
        <v>1374</v>
      </c>
      <c r="V1940" t="s">
        <v>1374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180</v>
      </c>
      <c r="U1941" t="s">
        <v>1374</v>
      </c>
      <c r="V1941" t="s">
        <v>1374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180</v>
      </c>
      <c r="U1942" t="s">
        <v>1374</v>
      </c>
      <c r="V1942" t="s">
        <v>1374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180</v>
      </c>
      <c r="U1943" t="s">
        <v>1374</v>
      </c>
      <c r="V1943" t="s">
        <v>1374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180</v>
      </c>
      <c r="U1944" t="s">
        <v>1609</v>
      </c>
      <c r="V1944" t="s">
        <v>1402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180</v>
      </c>
      <c r="U1945" t="s">
        <v>1610</v>
      </c>
      <c r="V1945" t="s">
        <v>1376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180</v>
      </c>
      <c r="U1946" t="s">
        <v>1611</v>
      </c>
      <c r="V1946" t="s">
        <v>1612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180</v>
      </c>
      <c r="U1947" t="s">
        <v>1611</v>
      </c>
      <c r="V1947" t="s">
        <v>1612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180</v>
      </c>
      <c r="U1948" t="s">
        <v>1611</v>
      </c>
      <c r="V1948" t="s">
        <v>1612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180</v>
      </c>
      <c r="U1949" t="s">
        <v>1610</v>
      </c>
      <c r="V1949" t="s">
        <v>1376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180</v>
      </c>
      <c r="U1950" t="s">
        <v>1611</v>
      </c>
      <c r="V1950" t="s">
        <v>1612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180</v>
      </c>
      <c r="U1951" t="s">
        <v>1609</v>
      </c>
      <c r="V1951" t="s">
        <v>1402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180</v>
      </c>
      <c r="U1952" t="s">
        <v>1611</v>
      </c>
      <c r="V1952" t="s">
        <v>1612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180</v>
      </c>
      <c r="U1953" t="s">
        <v>1613</v>
      </c>
      <c r="V1953" t="s">
        <v>1378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180</v>
      </c>
      <c r="U1954" t="s">
        <v>1611</v>
      </c>
      <c r="V1954" t="s">
        <v>1612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180</v>
      </c>
      <c r="U1955" t="s">
        <v>1614</v>
      </c>
      <c r="V1955" t="s">
        <v>1615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180</v>
      </c>
      <c r="U1956" t="s">
        <v>1616</v>
      </c>
      <c r="V1956" t="s">
        <v>1617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180</v>
      </c>
      <c r="U1957" t="s">
        <v>1373</v>
      </c>
      <c r="V1957" t="s">
        <v>1379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180</v>
      </c>
      <c r="U1958" t="s">
        <v>1379</v>
      </c>
      <c r="V1958" t="s">
        <v>1379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180</v>
      </c>
      <c r="U1959" t="s">
        <v>1616</v>
      </c>
      <c r="V1959" t="s">
        <v>1617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180</v>
      </c>
      <c r="U1960" t="s">
        <v>1374</v>
      </c>
      <c r="V1960" t="s">
        <v>1374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180</v>
      </c>
      <c r="U1961" t="s">
        <v>1374</v>
      </c>
      <c r="V1961" t="s">
        <v>1374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180</v>
      </c>
      <c r="U1962" t="s">
        <v>1618</v>
      </c>
      <c r="V1962" t="s">
        <v>1619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180</v>
      </c>
      <c r="U1963" t="s">
        <v>1618</v>
      </c>
      <c r="V1963" t="s">
        <v>1619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180</v>
      </c>
      <c r="U1964" t="s">
        <v>1383</v>
      </c>
      <c r="V1964" t="s">
        <v>1387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180</v>
      </c>
      <c r="U1965" t="s">
        <v>1620</v>
      </c>
      <c r="V1965" t="s">
        <v>1621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180</v>
      </c>
      <c r="U1966" t="s">
        <v>1383</v>
      </c>
      <c r="V1966" t="s">
        <v>1387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180</v>
      </c>
      <c r="U1967" t="s">
        <v>1383</v>
      </c>
      <c r="V1967" t="s">
        <v>1387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180</v>
      </c>
      <c r="U1968" t="s">
        <v>1383</v>
      </c>
      <c r="V1968" t="s">
        <v>1387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180</v>
      </c>
      <c r="U1969" t="s">
        <v>1620</v>
      </c>
      <c r="V1969" t="s">
        <v>1621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180</v>
      </c>
      <c r="U1970" t="s">
        <v>1381</v>
      </c>
      <c r="V1970" t="s">
        <v>1386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180</v>
      </c>
      <c r="U1971" t="s">
        <v>1622</v>
      </c>
      <c r="V1971" t="s">
        <v>1623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180</v>
      </c>
      <c r="U1972" t="s">
        <v>1622</v>
      </c>
      <c r="V1972" t="s">
        <v>1623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180</v>
      </c>
      <c r="U1973" t="s">
        <v>1624</v>
      </c>
      <c r="V1973" t="s">
        <v>1388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180</v>
      </c>
      <c r="U1974" t="s">
        <v>1385</v>
      </c>
      <c r="V1974" t="s">
        <v>1388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180</v>
      </c>
      <c r="U1975" t="s">
        <v>1624</v>
      </c>
      <c r="V1975" t="s">
        <v>1388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180</v>
      </c>
      <c r="U1976" t="s">
        <v>1374</v>
      </c>
      <c r="V1976" t="s">
        <v>1374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179</v>
      </c>
      <c r="U1977" t="s">
        <v>1378</v>
      </c>
      <c r="V1977" t="s">
        <v>1625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179</v>
      </c>
      <c r="U1978" t="s">
        <v>1378</v>
      </c>
      <c r="V1978" t="s">
        <v>1625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179</v>
      </c>
      <c r="U1979" t="s">
        <v>1395</v>
      </c>
      <c r="V1979" t="s">
        <v>1599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179</v>
      </c>
      <c r="U1980" t="s">
        <v>1390</v>
      </c>
      <c r="V1980" t="s">
        <v>1413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179</v>
      </c>
      <c r="U1981" t="s">
        <v>1626</v>
      </c>
      <c r="V1981" t="s">
        <v>1412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179</v>
      </c>
      <c r="U1982" t="s">
        <v>1395</v>
      </c>
      <c r="V1982" t="s">
        <v>1599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179</v>
      </c>
      <c r="U1983" t="s">
        <v>1378</v>
      </c>
      <c r="V1983" t="s">
        <v>1625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179</v>
      </c>
      <c r="U1984" t="s">
        <v>1378</v>
      </c>
      <c r="V1984" t="s">
        <v>1625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179</v>
      </c>
      <c r="U1985" t="s">
        <v>1390</v>
      </c>
      <c r="V1985" t="s">
        <v>1413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179</v>
      </c>
      <c r="U1986" t="s">
        <v>1626</v>
      </c>
      <c r="V1986" t="s">
        <v>1412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179</v>
      </c>
      <c r="U1987" t="s">
        <v>1390</v>
      </c>
      <c r="V1987" t="s">
        <v>1627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179</v>
      </c>
      <c r="U1988" t="s">
        <v>1395</v>
      </c>
      <c r="V1988" t="s">
        <v>1599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179</v>
      </c>
      <c r="U1989" t="s">
        <v>1378</v>
      </c>
      <c r="V1989" t="s">
        <v>1625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179</v>
      </c>
      <c r="U1990" t="s">
        <v>1378</v>
      </c>
      <c r="V1990" t="s">
        <v>1625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179</v>
      </c>
      <c r="U1991" t="s">
        <v>1412</v>
      </c>
      <c r="V1991" t="s">
        <v>1628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179</v>
      </c>
      <c r="U1992" t="s">
        <v>1394</v>
      </c>
      <c r="V1992" t="s">
        <v>1394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179</v>
      </c>
      <c r="U1993" t="s">
        <v>1629</v>
      </c>
      <c r="V1993" t="s">
        <v>1630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179</v>
      </c>
      <c r="U1994" t="s">
        <v>1610</v>
      </c>
      <c r="V1994" t="s">
        <v>1397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179</v>
      </c>
      <c r="U1995" t="s">
        <v>1394</v>
      </c>
      <c r="V1995" t="s">
        <v>1414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179</v>
      </c>
      <c r="U1996" t="s">
        <v>1629</v>
      </c>
      <c r="V1996" t="s">
        <v>1630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179</v>
      </c>
      <c r="U1997" t="s">
        <v>1373</v>
      </c>
      <c r="V1997" t="s">
        <v>1373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179</v>
      </c>
      <c r="U1998" t="s">
        <v>1379</v>
      </c>
      <c r="V1998" t="s">
        <v>1384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179</v>
      </c>
      <c r="U1999" t="s">
        <v>1373</v>
      </c>
      <c r="V1999" t="s">
        <v>1373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179</v>
      </c>
      <c r="U2000" t="s">
        <v>1379</v>
      </c>
      <c r="V2000" t="s">
        <v>1384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179</v>
      </c>
      <c r="U2001" t="s">
        <v>1373</v>
      </c>
      <c r="V2001" t="s">
        <v>1373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179</v>
      </c>
      <c r="U2002" t="s">
        <v>1602</v>
      </c>
      <c r="V2002" t="s">
        <v>1631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179</v>
      </c>
      <c r="U2003" t="s">
        <v>1632</v>
      </c>
      <c r="V2003" t="s">
        <v>1379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179</v>
      </c>
      <c r="U2004" t="s">
        <v>1633</v>
      </c>
      <c r="V2004" t="s">
        <v>1418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179</v>
      </c>
      <c r="U2005" t="s">
        <v>1632</v>
      </c>
      <c r="V2005" t="s">
        <v>1379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179</v>
      </c>
      <c r="U2006" t="s">
        <v>1634</v>
      </c>
      <c r="V2006" t="s">
        <v>1635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179</v>
      </c>
      <c r="U2007" t="s">
        <v>1632</v>
      </c>
      <c r="V2007" t="s">
        <v>1379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179</v>
      </c>
      <c r="U2008" t="s">
        <v>1632</v>
      </c>
      <c r="V2008" t="s">
        <v>1379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179</v>
      </c>
      <c r="U2009" t="s">
        <v>1395</v>
      </c>
      <c r="V2009" t="s">
        <v>1636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179</v>
      </c>
      <c r="U2010" t="s">
        <v>1632</v>
      </c>
      <c r="V2010" t="s">
        <v>1379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179</v>
      </c>
      <c r="U2011" t="s">
        <v>1399</v>
      </c>
      <c r="V2011" t="s">
        <v>1637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179</v>
      </c>
      <c r="U2012" t="s">
        <v>1610</v>
      </c>
      <c r="V2012" t="s">
        <v>1638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179</v>
      </c>
      <c r="U2013" t="s">
        <v>1632</v>
      </c>
      <c r="V2013" t="s">
        <v>1379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179</v>
      </c>
      <c r="U2014" t="s">
        <v>1373</v>
      </c>
      <c r="V2014" t="s">
        <v>1373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179</v>
      </c>
      <c r="U2015" t="s">
        <v>1373</v>
      </c>
      <c r="V2015" t="s">
        <v>1373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179</v>
      </c>
      <c r="U2016" t="s">
        <v>1639</v>
      </c>
      <c r="V2016" t="s">
        <v>1640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179</v>
      </c>
      <c r="U2017" t="s">
        <v>1639</v>
      </c>
      <c r="V2017" t="s">
        <v>1640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179</v>
      </c>
      <c r="U2018" t="s">
        <v>1374</v>
      </c>
      <c r="V2018" t="s">
        <v>1374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179</v>
      </c>
      <c r="U2019" t="s">
        <v>1374</v>
      </c>
      <c r="V2019" t="s">
        <v>1374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179</v>
      </c>
      <c r="U2020" t="s">
        <v>1374</v>
      </c>
      <c r="V2020" t="s">
        <v>1374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179</v>
      </c>
      <c r="U2021" t="s">
        <v>1374</v>
      </c>
      <c r="V2021" t="s">
        <v>1374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179</v>
      </c>
      <c r="U2022" t="s">
        <v>1641</v>
      </c>
      <c r="V2022" t="s">
        <v>1402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179</v>
      </c>
      <c r="U2023" t="s">
        <v>1611</v>
      </c>
      <c r="V2023" t="s">
        <v>1616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179</v>
      </c>
      <c r="U2024" t="s">
        <v>1611</v>
      </c>
      <c r="V2024" t="s">
        <v>1616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179</v>
      </c>
      <c r="U2025" t="s">
        <v>1642</v>
      </c>
      <c r="V2025" t="s">
        <v>1606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179</v>
      </c>
      <c r="U2026" t="s">
        <v>1611</v>
      </c>
      <c r="V2026" t="s">
        <v>1616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179</v>
      </c>
      <c r="U2027" t="s">
        <v>1641</v>
      </c>
      <c r="V2027" t="s">
        <v>1402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179</v>
      </c>
      <c r="U2028" t="s">
        <v>1611</v>
      </c>
      <c r="V2028" t="s">
        <v>1616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179</v>
      </c>
      <c r="U2029" t="s">
        <v>1642</v>
      </c>
      <c r="V2029" t="s">
        <v>1643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179</v>
      </c>
      <c r="U2030" t="s">
        <v>1403</v>
      </c>
      <c r="V2030" t="s">
        <v>1378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179</v>
      </c>
      <c r="U2031" t="s">
        <v>1402</v>
      </c>
      <c r="V2031" t="s">
        <v>1615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179</v>
      </c>
      <c r="U2032" t="s">
        <v>1611</v>
      </c>
      <c r="V2032" t="s">
        <v>1616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179</v>
      </c>
      <c r="U2033" t="s">
        <v>1611</v>
      </c>
      <c r="V2033" t="s">
        <v>1616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179</v>
      </c>
      <c r="U2034" t="s">
        <v>1616</v>
      </c>
      <c r="V2034" t="s">
        <v>1644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179</v>
      </c>
      <c r="U2035" t="s">
        <v>1379</v>
      </c>
      <c r="V2035" t="s">
        <v>1379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179</v>
      </c>
      <c r="U2036" t="s">
        <v>1379</v>
      </c>
      <c r="V2036" t="s">
        <v>1379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179</v>
      </c>
      <c r="U2037" t="s">
        <v>1616</v>
      </c>
      <c r="V2037" t="s">
        <v>1644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179</v>
      </c>
      <c r="U2038" t="s">
        <v>1618</v>
      </c>
      <c r="V2038" t="s">
        <v>1618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179</v>
      </c>
      <c r="U2039" t="s">
        <v>1618</v>
      </c>
      <c r="V2039" t="s">
        <v>1618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179</v>
      </c>
      <c r="U2040" t="s">
        <v>1374</v>
      </c>
      <c r="V2040" t="s">
        <v>1374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179</v>
      </c>
      <c r="U2041" t="s">
        <v>1374</v>
      </c>
      <c r="V2041" t="s">
        <v>1374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178</v>
      </c>
      <c r="U2042" t="s">
        <v>1405</v>
      </c>
      <c r="V2042" t="s">
        <v>1645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178</v>
      </c>
      <c r="U2043" t="s">
        <v>1201</v>
      </c>
      <c r="V2043" t="s">
        <v>1645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178</v>
      </c>
      <c r="U2044" t="s">
        <v>1367</v>
      </c>
      <c r="V2044" t="s">
        <v>1598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178</v>
      </c>
      <c r="U2045" t="s">
        <v>1646</v>
      </c>
      <c r="V2045" t="s">
        <v>1406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178</v>
      </c>
      <c r="U2046" t="s">
        <v>1647</v>
      </c>
      <c r="V2046" t="s">
        <v>1648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178</v>
      </c>
      <c r="U2047" t="s">
        <v>1367</v>
      </c>
      <c r="V2047" t="s">
        <v>1598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178</v>
      </c>
      <c r="U2048" t="s">
        <v>1367</v>
      </c>
      <c r="V2048" t="s">
        <v>1598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178</v>
      </c>
      <c r="U2049" t="s">
        <v>1367</v>
      </c>
      <c r="V2049" t="s">
        <v>1598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178</v>
      </c>
      <c r="U2050" s="110" t="s">
        <v>1200</v>
      </c>
      <c r="V2050" t="s">
        <v>1444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178</v>
      </c>
      <c r="U2051" t="s">
        <v>1647</v>
      </c>
      <c r="V2051" t="s">
        <v>1648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178</v>
      </c>
      <c r="U2052" t="s">
        <v>1448</v>
      </c>
      <c r="V2052" t="s">
        <v>1649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178</v>
      </c>
      <c r="U2053" t="s">
        <v>1650</v>
      </c>
      <c r="V2053" t="s">
        <v>1633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178</v>
      </c>
      <c r="U2054" t="s">
        <v>1651</v>
      </c>
      <c r="V2054" t="s">
        <v>1391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178</v>
      </c>
      <c r="U2055" t="s">
        <v>1407</v>
      </c>
      <c r="V2055" t="s">
        <v>1448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178</v>
      </c>
      <c r="U2056" t="s">
        <v>1650</v>
      </c>
      <c r="V2056" t="s">
        <v>1633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178</v>
      </c>
      <c r="U2057" t="s">
        <v>1393</v>
      </c>
      <c r="V2057" t="s">
        <v>1393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178</v>
      </c>
      <c r="U2058" t="s">
        <v>1605</v>
      </c>
      <c r="V2058" t="s">
        <v>1399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178</v>
      </c>
      <c r="U2059" t="s">
        <v>1605</v>
      </c>
      <c r="V2059" t="s">
        <v>1399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178</v>
      </c>
      <c r="U2060" t="s">
        <v>1393</v>
      </c>
      <c r="V2060" t="s">
        <v>1393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178</v>
      </c>
      <c r="U2061" t="s">
        <v>1373</v>
      </c>
      <c r="V2061" t="s">
        <v>1373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178</v>
      </c>
      <c r="U2062" t="s">
        <v>1393</v>
      </c>
      <c r="V2062" t="s">
        <v>1393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178</v>
      </c>
      <c r="U2063" t="s">
        <v>1373</v>
      </c>
      <c r="V2063" t="s">
        <v>1373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178</v>
      </c>
      <c r="U2064" t="s">
        <v>1374</v>
      </c>
      <c r="V2064" t="s">
        <v>1374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178</v>
      </c>
      <c r="U2065" t="s">
        <v>1373</v>
      </c>
      <c r="V2065" t="s">
        <v>1373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178</v>
      </c>
      <c r="U2066" t="s">
        <v>1373</v>
      </c>
      <c r="V2066" t="s">
        <v>1373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178</v>
      </c>
      <c r="U2067" t="s">
        <v>1373</v>
      </c>
      <c r="V2067" t="s">
        <v>1373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178</v>
      </c>
      <c r="U2068" t="s">
        <v>1652</v>
      </c>
      <c r="V2068" t="s">
        <v>1422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178</v>
      </c>
      <c r="U2069" t="s">
        <v>1652</v>
      </c>
      <c r="V2069" t="s">
        <v>1422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178</v>
      </c>
      <c r="U2070" t="s">
        <v>1409</v>
      </c>
      <c r="V2070" t="s">
        <v>1653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178</v>
      </c>
      <c r="U2071" t="s">
        <v>1654</v>
      </c>
      <c r="V2071" t="s">
        <v>1655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178</v>
      </c>
      <c r="U2072" t="s">
        <v>1627</v>
      </c>
      <c r="V2072" t="s">
        <v>1367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178</v>
      </c>
      <c r="U2073" t="s">
        <v>1652</v>
      </c>
      <c r="V2073" t="s">
        <v>1422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178</v>
      </c>
      <c r="U2074" t="s">
        <v>1409</v>
      </c>
      <c r="V2074" t="s">
        <v>1656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178</v>
      </c>
      <c r="U2075" t="s">
        <v>1652</v>
      </c>
      <c r="V2075" t="s">
        <v>1422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178</v>
      </c>
      <c r="U2076" t="s">
        <v>1627</v>
      </c>
      <c r="V2076" t="s">
        <v>1367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178</v>
      </c>
      <c r="U2077" t="s">
        <v>1654</v>
      </c>
      <c r="V2077" t="s">
        <v>1657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178</v>
      </c>
      <c r="U2078" t="s">
        <v>1658</v>
      </c>
      <c r="V2078" t="s">
        <v>1659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178</v>
      </c>
      <c r="U2079" t="s">
        <v>1652</v>
      </c>
      <c r="V2079" t="s">
        <v>1642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178</v>
      </c>
      <c r="U2080" t="s">
        <v>1628</v>
      </c>
      <c r="V2080" t="s">
        <v>1369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178</v>
      </c>
      <c r="U2081" t="s">
        <v>1653</v>
      </c>
      <c r="V2081" t="s">
        <v>1658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178</v>
      </c>
      <c r="U2082" t="s">
        <v>1652</v>
      </c>
      <c r="V2082" t="s">
        <v>1642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178</v>
      </c>
      <c r="U2083" t="s">
        <v>1393</v>
      </c>
      <c r="V2083" t="s">
        <v>1393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178</v>
      </c>
      <c r="U2084" t="s">
        <v>1400</v>
      </c>
      <c r="V2084" t="s">
        <v>1660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178</v>
      </c>
      <c r="U2085" t="s">
        <v>1400</v>
      </c>
      <c r="V2085" t="s">
        <v>1660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178</v>
      </c>
      <c r="U2086" t="s">
        <v>1414</v>
      </c>
      <c r="V2086" t="s">
        <v>1371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178</v>
      </c>
      <c r="U2087" t="s">
        <v>1393</v>
      </c>
      <c r="V2087" t="s">
        <v>1393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178</v>
      </c>
      <c r="U2088" t="s">
        <v>1373</v>
      </c>
      <c r="V2088" t="s">
        <v>1373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178</v>
      </c>
      <c r="U2089" t="s">
        <v>1373</v>
      </c>
      <c r="V2089" t="s">
        <v>1379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178</v>
      </c>
      <c r="U2090" t="s">
        <v>1373</v>
      </c>
      <c r="V2090" t="s">
        <v>1379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178</v>
      </c>
      <c r="U2091" t="s">
        <v>1373</v>
      </c>
      <c r="V2091" t="s">
        <v>1373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178</v>
      </c>
      <c r="U2092" t="s">
        <v>1373</v>
      </c>
      <c r="V2092" t="s">
        <v>1373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178</v>
      </c>
      <c r="U2093" t="s">
        <v>1628</v>
      </c>
      <c r="V2093" t="s">
        <v>1661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178</v>
      </c>
      <c r="U2094" t="s">
        <v>1627</v>
      </c>
      <c r="V2094" t="s">
        <v>1369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178</v>
      </c>
      <c r="U2095" t="s">
        <v>1381</v>
      </c>
      <c r="V2095" t="s">
        <v>1603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178</v>
      </c>
      <c r="U2096" t="s">
        <v>1381</v>
      </c>
      <c r="V2096" t="s">
        <v>1603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178</v>
      </c>
      <c r="U2097" t="s">
        <v>1381</v>
      </c>
      <c r="V2097" t="s">
        <v>1603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178</v>
      </c>
      <c r="U2098" t="s">
        <v>1662</v>
      </c>
      <c r="V2098" t="s">
        <v>1661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178</v>
      </c>
      <c r="U2099" t="s">
        <v>1381</v>
      </c>
      <c r="V2099" t="s">
        <v>1603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178</v>
      </c>
      <c r="U2100" t="s">
        <v>1628</v>
      </c>
      <c r="V2100" t="s">
        <v>1650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178</v>
      </c>
      <c r="U2101" t="s">
        <v>1383</v>
      </c>
      <c r="V2101" t="s">
        <v>1663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178</v>
      </c>
      <c r="U2102" t="s">
        <v>1414</v>
      </c>
      <c r="V2102" t="s">
        <v>1371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178</v>
      </c>
      <c r="U2103" t="s">
        <v>1383</v>
      </c>
      <c r="V2103" t="s">
        <v>1663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178</v>
      </c>
      <c r="U2104" t="s">
        <v>1414</v>
      </c>
      <c r="V2104" t="s">
        <v>1605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178</v>
      </c>
      <c r="U2105" t="s">
        <v>1388</v>
      </c>
      <c r="V2105" t="s">
        <v>1664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178</v>
      </c>
      <c r="U2106" t="s">
        <v>1373</v>
      </c>
      <c r="V2106" t="s">
        <v>1373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178</v>
      </c>
      <c r="U2107" t="s">
        <v>1373</v>
      </c>
      <c r="V2107" t="s">
        <v>1373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178</v>
      </c>
      <c r="U2108" t="s">
        <v>1388</v>
      </c>
      <c r="V2108" t="s">
        <v>1664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178</v>
      </c>
      <c r="U2109" t="s">
        <v>1374</v>
      </c>
      <c r="V2109" t="s">
        <v>1374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178</v>
      </c>
      <c r="U2110" t="s">
        <v>1374</v>
      </c>
      <c r="V2110" t="s">
        <v>1374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178</v>
      </c>
      <c r="U2111" t="s">
        <v>1374</v>
      </c>
      <c r="V2111" t="s">
        <v>1374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178</v>
      </c>
      <c r="U2112" t="s">
        <v>1374</v>
      </c>
      <c r="V2112" t="s">
        <v>1374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178</v>
      </c>
      <c r="U2113" t="s">
        <v>1665</v>
      </c>
      <c r="V2113" t="s">
        <v>1385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178</v>
      </c>
      <c r="U2114" t="s">
        <v>1665</v>
      </c>
      <c r="V2114" t="s">
        <v>1385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178</v>
      </c>
      <c r="U2115" t="s">
        <v>1636</v>
      </c>
      <c r="V2115" t="s">
        <v>1666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178</v>
      </c>
      <c r="U2116" t="s">
        <v>1635</v>
      </c>
      <c r="V2116" t="s">
        <v>1667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178</v>
      </c>
      <c r="U2117" t="s">
        <v>1396</v>
      </c>
      <c r="V2117" t="s">
        <v>1666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178</v>
      </c>
      <c r="U2118" t="s">
        <v>1665</v>
      </c>
      <c r="V2118" t="s">
        <v>1385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178</v>
      </c>
      <c r="U2119" t="s">
        <v>1635</v>
      </c>
      <c r="V2119" t="s">
        <v>1667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178</v>
      </c>
      <c r="U2120" t="s">
        <v>1665</v>
      </c>
      <c r="V2120" t="s">
        <v>1385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178</v>
      </c>
      <c r="U2121" t="s">
        <v>1609</v>
      </c>
      <c r="V2121" t="s">
        <v>1668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178</v>
      </c>
      <c r="U2122" t="s">
        <v>1638</v>
      </c>
      <c r="V2122" t="s">
        <v>1669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178</v>
      </c>
      <c r="U2123" t="s">
        <v>1665</v>
      </c>
      <c r="V2123" t="s">
        <v>1385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178</v>
      </c>
      <c r="U2124" t="s">
        <v>1665</v>
      </c>
      <c r="V2124" t="s">
        <v>1385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178</v>
      </c>
      <c r="U2125" t="s">
        <v>1670</v>
      </c>
      <c r="V2125" t="s">
        <v>1640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178</v>
      </c>
      <c r="U2126" t="s">
        <v>1373</v>
      </c>
      <c r="V2126" t="s">
        <v>1373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178</v>
      </c>
      <c r="U2127" t="s">
        <v>1670</v>
      </c>
      <c r="V2127" t="s">
        <v>1640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178</v>
      </c>
      <c r="U2128" t="s">
        <v>1373</v>
      </c>
      <c r="V2128" t="s">
        <v>1373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178</v>
      </c>
      <c r="U2129" t="s">
        <v>1374</v>
      </c>
      <c r="V2129" t="s">
        <v>1374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178</v>
      </c>
      <c r="U2130" t="s">
        <v>1374</v>
      </c>
      <c r="V2130" t="s">
        <v>1374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178</v>
      </c>
      <c r="U2131" t="s">
        <v>1374</v>
      </c>
      <c r="V2131" t="s">
        <v>1374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178</v>
      </c>
      <c r="U2132" t="s">
        <v>1374</v>
      </c>
      <c r="V2132" t="s">
        <v>1374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">
        <v>1671</v>
      </c>
      <c r="V2133" t="s">
        <v>825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">
        <v>1068</v>
      </c>
      <c r="V2134" t="s">
        <v>1072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1672</v>
      </c>
      <c r="V2135" t="s">
        <v>1673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">
        <v>1674</v>
      </c>
      <c r="V2136" t="s">
        <v>1675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">
        <v>1676</v>
      </c>
      <c r="V2137" t="s">
        <v>1081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">
        <v>1674</v>
      </c>
      <c r="V2138" t="s">
        <v>1675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">
        <v>1677</v>
      </c>
      <c r="V2139" t="s">
        <v>1084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">
        <v>1674</v>
      </c>
      <c r="V2140" t="s">
        <v>1675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">
        <v>1674</v>
      </c>
      <c r="V2141" t="s">
        <v>1675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">
        <v>1671</v>
      </c>
      <c r="V2142" t="s">
        <v>825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">
        <v>1672</v>
      </c>
      <c r="V2143" t="s">
        <v>1673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">
        <v>1068</v>
      </c>
      <c r="V2144" t="s">
        <v>1072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">
        <v>1677</v>
      </c>
      <c r="V2145" t="s">
        <v>1084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">
        <v>1676</v>
      </c>
      <c r="V2146" t="s">
        <v>1081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1678</v>
      </c>
      <c r="V2147" t="s">
        <v>1679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1085</v>
      </c>
      <c r="V2148" t="s">
        <v>1086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1680</v>
      </c>
      <c r="V2149" t="s">
        <v>1681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1682</v>
      </c>
      <c r="V2150" t="s">
        <v>1433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1674</v>
      </c>
      <c r="V2151" t="s">
        <v>1675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1674</v>
      </c>
      <c r="V2152" t="s">
        <v>1675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1683</v>
      </c>
      <c r="V2153" t="s">
        <v>1684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161</v>
      </c>
      <c r="V2154" t="s">
        <v>161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1685</v>
      </c>
      <c r="V2155" t="s">
        <v>1127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10" t="s">
        <v>1102</v>
      </c>
      <c r="V2156" t="s">
        <v>1686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161</v>
      </c>
      <c r="V2157" t="s">
        <v>161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">
        <v>161</v>
      </c>
      <c r="V2158" t="s">
        <v>1101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1685</v>
      </c>
      <c r="V2159" t="s">
        <v>1127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161</v>
      </c>
      <c r="V2160" t="s">
        <v>161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824</v>
      </c>
      <c r="V2161" t="s">
        <v>824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824</v>
      </c>
      <c r="V2162" t="s">
        <v>824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824</v>
      </c>
      <c r="V2163" t="s">
        <v>824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824</v>
      </c>
      <c r="V2164" t="s">
        <v>824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824</v>
      </c>
      <c r="V2165" t="s">
        <v>824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824</v>
      </c>
      <c r="V2166" t="s">
        <v>824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824</v>
      </c>
      <c r="V2167" t="s">
        <v>824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829</v>
      </c>
      <c r="V2168" t="s">
        <v>829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">
        <v>829</v>
      </c>
      <c r="V2169" t="s">
        <v>829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">
        <v>829</v>
      </c>
      <c r="V2170" t="s">
        <v>829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829</v>
      </c>
      <c r="V2171" t="s">
        <v>829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">
        <v>829</v>
      </c>
      <c r="V2172" t="s">
        <v>829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">
        <v>829</v>
      </c>
      <c r="V2173" t="s">
        <v>829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">
        <v>829</v>
      </c>
      <c r="V2174" t="s">
        <v>829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">
        <v>835</v>
      </c>
      <c r="V2175" t="s">
        <v>835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835</v>
      </c>
      <c r="V2176" t="s">
        <v>835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835</v>
      </c>
      <c r="V2177" t="s">
        <v>835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835</v>
      </c>
      <c r="V2178" t="s">
        <v>835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">
        <v>835</v>
      </c>
      <c r="V2179" t="s">
        <v>835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">
        <v>835</v>
      </c>
      <c r="V2180" t="s">
        <v>835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">
        <v>835</v>
      </c>
      <c r="V2181" t="s">
        <v>835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1074</v>
      </c>
      <c r="V2182" t="s">
        <v>1074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">
        <v>1074</v>
      </c>
      <c r="V2183" t="s">
        <v>1074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1074</v>
      </c>
      <c r="V2184" t="s">
        <v>1074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1074</v>
      </c>
      <c r="V2185" t="s">
        <v>1074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1074</v>
      </c>
      <c r="V2186" t="s">
        <v>1074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1074</v>
      </c>
      <c r="V2187" t="s">
        <v>1074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1074</v>
      </c>
      <c r="V2188" t="s">
        <v>1074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">
        <v>1075</v>
      </c>
      <c r="V2189" t="s">
        <v>1075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1075</v>
      </c>
      <c r="V2190" t="s">
        <v>1075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1075</v>
      </c>
      <c r="V2191" t="s">
        <v>1075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1075</v>
      </c>
      <c r="V2192" t="s">
        <v>1075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1075</v>
      </c>
      <c r="V2193" t="s">
        <v>1075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1075</v>
      </c>
      <c r="V2194" t="s">
        <v>1075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1075</v>
      </c>
      <c r="V2195" t="s">
        <v>1075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1687</v>
      </c>
      <c r="V2196" t="s">
        <v>1687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1687</v>
      </c>
      <c r="V2197" t="s">
        <v>1687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">
        <v>1687</v>
      </c>
      <c r="V2198" t="s">
        <v>1687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1687</v>
      </c>
      <c r="V2199" t="s">
        <v>1687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1687</v>
      </c>
      <c r="V2200" t="s">
        <v>1687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1687</v>
      </c>
      <c r="V2201" t="s">
        <v>1687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1687</v>
      </c>
      <c r="V2202" t="s">
        <v>1687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">
        <v>1688</v>
      </c>
      <c r="V2203" s="110" t="s">
        <v>1689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1690</v>
      </c>
      <c r="V2204" t="s">
        <v>1691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">
        <v>1690</v>
      </c>
      <c r="V2205" t="s">
        <v>1692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">
        <v>1693</v>
      </c>
      <c r="V2206" t="s">
        <v>1694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">
        <v>1693</v>
      </c>
      <c r="V2207" t="s">
        <v>1694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">
        <v>1089</v>
      </c>
      <c r="V2208" t="s">
        <v>1090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10" t="s">
        <v>1126</v>
      </c>
      <c r="V2209" t="s">
        <v>1695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">
        <v>1690</v>
      </c>
      <c r="V2210" t="s">
        <v>1692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">
        <v>1688</v>
      </c>
      <c r="V2211" s="110" t="s">
        <v>1689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1690</v>
      </c>
      <c r="V2212" t="s">
        <v>1691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10" t="s">
        <v>1126</v>
      </c>
      <c r="V2213" t="s">
        <v>1695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">
        <v>1693</v>
      </c>
      <c r="V2214" t="s">
        <v>1694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">
        <v>1089</v>
      </c>
      <c r="V2215" t="s">
        <v>1090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">
        <v>1693</v>
      </c>
      <c r="V2216" t="s">
        <v>1694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">
        <v>1693</v>
      </c>
      <c r="V2217" t="s">
        <v>1694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1696</v>
      </c>
      <c r="V2218" t="s">
        <v>1691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1089</v>
      </c>
      <c r="V2219" t="s">
        <v>1090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">
        <v>1693</v>
      </c>
      <c r="V2220" t="s">
        <v>1694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10" t="s">
        <v>1126</v>
      </c>
      <c r="V2221" t="s">
        <v>1695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1690</v>
      </c>
      <c r="V2222" t="s">
        <v>1691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1697</v>
      </c>
      <c r="V2223" s="110" t="s">
        <v>1689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10" t="s">
        <v>162</v>
      </c>
      <c r="V2224" t="s">
        <v>1121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1698</v>
      </c>
      <c r="V2225" t="s">
        <v>1699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1112</v>
      </c>
      <c r="V2226" t="s">
        <v>1700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827</v>
      </c>
      <c r="V2227" s="110" t="s">
        <v>1103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">
        <v>1701</v>
      </c>
      <c r="V2228" t="s">
        <v>1685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1698</v>
      </c>
      <c r="V2229" t="s">
        <v>1699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1100</v>
      </c>
      <c r="V2230" t="s">
        <v>1702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">
        <v>1703</v>
      </c>
      <c r="V2231" t="s">
        <v>1704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1130</v>
      </c>
      <c r="V2232" t="s">
        <v>1131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">
        <v>824</v>
      </c>
      <c r="V2233" t="s">
        <v>824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">
        <v>1703</v>
      </c>
      <c r="V2234" t="s">
        <v>1704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">
        <v>824</v>
      </c>
      <c r="V2235" t="s">
        <v>824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824</v>
      </c>
      <c r="V2236" t="s">
        <v>824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824</v>
      </c>
      <c r="V2237" t="s">
        <v>824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1693</v>
      </c>
      <c r="V2238" t="s">
        <v>1705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">
        <v>1706</v>
      </c>
      <c r="V2239" t="s">
        <v>1707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">
        <v>1708</v>
      </c>
      <c r="V2240" t="s">
        <v>1709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">
        <v>1710</v>
      </c>
      <c r="V2241" t="s">
        <v>1711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1704</v>
      </c>
      <c r="V2242" t="s">
        <v>1712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">
        <v>1110</v>
      </c>
      <c r="V2243" t="s">
        <v>1116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">
        <v>1693</v>
      </c>
      <c r="V2244" t="s">
        <v>1705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">
        <v>1708</v>
      </c>
      <c r="V2245" t="s">
        <v>1709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">
        <v>1110</v>
      </c>
      <c r="V2246" t="s">
        <v>1116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1704</v>
      </c>
      <c r="V2247" t="s">
        <v>1712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">
        <v>1706</v>
      </c>
      <c r="V2248" t="s">
        <v>1707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">
        <v>1710</v>
      </c>
      <c r="V2249" t="s">
        <v>1711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10" t="s">
        <v>162</v>
      </c>
      <c r="V2250" t="s">
        <v>1110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1121</v>
      </c>
      <c r="V2251" t="s">
        <v>1124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1698</v>
      </c>
      <c r="V2252" t="s">
        <v>1694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1436</v>
      </c>
      <c r="V2253" t="s">
        <v>1709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1107</v>
      </c>
      <c r="V2254" t="s">
        <v>1711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">
        <v>1704</v>
      </c>
      <c r="V2255" t="s">
        <v>1712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">
        <v>1155</v>
      </c>
      <c r="V2256" t="s">
        <v>1713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1130</v>
      </c>
      <c r="V2257" t="s">
        <v>1131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">
        <v>1139</v>
      </c>
      <c r="V2258" t="s">
        <v>1714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1715</v>
      </c>
      <c r="V2259" t="s">
        <v>830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1135</v>
      </c>
      <c r="V2260" t="s">
        <v>1154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">
        <v>1715</v>
      </c>
      <c r="V2261" t="s">
        <v>1118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">
        <v>829</v>
      </c>
      <c r="V2262" t="s">
        <v>829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">
        <v>829</v>
      </c>
      <c r="V2263" t="s">
        <v>834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">
        <v>829</v>
      </c>
      <c r="V2264" t="s">
        <v>829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">
        <v>829</v>
      </c>
      <c r="V2265" t="s">
        <v>834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829</v>
      </c>
      <c r="V2266" t="s">
        <v>829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829</v>
      </c>
      <c r="V2267" t="s">
        <v>829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829</v>
      </c>
      <c r="V2268" t="s">
        <v>829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">
        <v>1716</v>
      </c>
      <c r="V2269" t="s">
        <v>1717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1718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1720</v>
      </c>
      <c r="V2271" t="s">
        <v>1721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1722</v>
      </c>
      <c r="V2272" t="s">
        <v>1723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1724</v>
      </c>
      <c r="V2273" t="s">
        <v>1194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1724</v>
      </c>
      <c r="V2274" t="s">
        <v>1194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1725</v>
      </c>
      <c r="V2275" t="s">
        <v>1726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">
        <v>1722</v>
      </c>
      <c r="V2276" t="s">
        <v>1723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1724</v>
      </c>
      <c r="V2277" t="s">
        <v>1194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">
        <v>1716</v>
      </c>
      <c r="V2278" t="s">
        <v>1717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1718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1725</v>
      </c>
      <c r="V2280" t="s">
        <v>1726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1720</v>
      </c>
      <c r="V2281" t="s">
        <v>1721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1724</v>
      </c>
      <c r="V2282" t="s">
        <v>1194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1727</v>
      </c>
      <c r="V2283" t="s">
        <v>1728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1729</v>
      </c>
      <c r="V2284" t="s">
        <v>1730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170</v>
      </c>
      <c r="V2285" t="s">
        <v>1721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1724</v>
      </c>
      <c r="V2286" t="s">
        <v>1194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1731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1724</v>
      </c>
      <c r="V2288" t="s">
        <v>1194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1732</v>
      </c>
      <c r="V2289" t="s">
        <v>1717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1167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1174</v>
      </c>
      <c r="V2291" t="s">
        <v>1166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1733</v>
      </c>
      <c r="V2292" t="s">
        <v>1441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1734</v>
      </c>
      <c r="V2293" t="s">
        <v>1735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840</v>
      </c>
      <c r="V2294" t="s">
        <v>1736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1174</v>
      </c>
      <c r="V2295" t="s">
        <v>1166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1737</v>
      </c>
      <c r="V2296" t="s">
        <v>1738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1188</v>
      </c>
      <c r="V2297" s="110" t="s">
        <v>1189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841</v>
      </c>
      <c r="V2298" t="s">
        <v>841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841</v>
      </c>
      <c r="V2299" t="s">
        <v>841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841</v>
      </c>
      <c r="V2300" t="s">
        <v>841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1188</v>
      </c>
      <c r="V2301" s="110" t="s">
        <v>1189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841</v>
      </c>
      <c r="V2302" t="s">
        <v>841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841</v>
      </c>
      <c r="V2303" t="s">
        <v>841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">
        <v>1175</v>
      </c>
      <c r="V2304" s="110" t="s">
        <v>1191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1739</v>
      </c>
      <c r="V2305" t="s">
        <v>1167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1447</v>
      </c>
      <c r="V2306" t="s">
        <v>1740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">
        <v>1192</v>
      </c>
      <c r="V2307" t="s">
        <v>1741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1447</v>
      </c>
      <c r="V2308" t="s">
        <v>1740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1447</v>
      </c>
      <c r="V2309" t="s">
        <v>1740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">
        <v>1175</v>
      </c>
      <c r="V2310" s="110" t="s">
        <v>1191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">
        <v>1192</v>
      </c>
      <c r="V2311" t="s">
        <v>1741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1739</v>
      </c>
      <c r="V2312" t="s">
        <v>1167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1447</v>
      </c>
      <c r="V2313" t="s">
        <v>1740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1175</v>
      </c>
      <c r="V2314" s="110" t="s">
        <v>1191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">
        <v>1166</v>
      </c>
      <c r="V2315" s="110" t="s">
        <v>1742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1743</v>
      </c>
      <c r="V2316" t="s">
        <v>1724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1447</v>
      </c>
      <c r="V2317" t="s">
        <v>1740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1447</v>
      </c>
      <c r="V2318" t="s">
        <v>1740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1645</v>
      </c>
      <c r="V2319" t="s">
        <v>1744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10" t="s">
        <v>1745</v>
      </c>
      <c r="V2320" t="s">
        <v>1199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10" t="s">
        <v>1189</v>
      </c>
      <c r="V2321" t="s">
        <v>1746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1645</v>
      </c>
      <c r="V2322" t="s">
        <v>1744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841</v>
      </c>
      <c r="V2323" t="s">
        <v>841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842</v>
      </c>
      <c r="V2324" t="s">
        <v>842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1452</v>
      </c>
      <c r="V2325" t="s">
        <v>1747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1452</v>
      </c>
      <c r="V2326" t="s">
        <v>1747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842</v>
      </c>
      <c r="V2327" t="s">
        <v>842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842</v>
      </c>
      <c r="V2328" t="s">
        <v>842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1748</v>
      </c>
      <c r="V2329" t="s">
        <v>1749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">
        <v>1194</v>
      </c>
      <c r="V2330" t="s">
        <v>1182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1748</v>
      </c>
      <c r="V2331" t="s">
        <v>1749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">
        <v>1750</v>
      </c>
      <c r="V2332" t="s">
        <v>1444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">
        <v>163</v>
      </c>
      <c r="V2333" t="s">
        <v>168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1748</v>
      </c>
      <c r="V2334" t="s">
        <v>1749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">
        <v>163</v>
      </c>
      <c r="V2335" t="s">
        <v>168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1748</v>
      </c>
      <c r="V2336" t="s">
        <v>1749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">
        <v>1750</v>
      </c>
      <c r="V2337" t="s">
        <v>1444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1194</v>
      </c>
      <c r="V2338" t="s">
        <v>1182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">
        <v>1748</v>
      </c>
      <c r="V2339" t="s">
        <v>1749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1750</v>
      </c>
      <c r="V2340" t="s">
        <v>1444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1192</v>
      </c>
      <c r="V2341" t="s">
        <v>1741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">
        <v>1748</v>
      </c>
      <c r="V2342" t="s">
        <v>1749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163</v>
      </c>
      <c r="V2343" t="s">
        <v>168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10" t="s">
        <v>1189</v>
      </c>
      <c r="V2344" t="s">
        <v>1746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1748</v>
      </c>
      <c r="V2345" t="s">
        <v>1749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1751</v>
      </c>
      <c r="V2346" t="s">
        <v>1446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10" t="s">
        <v>1191</v>
      </c>
      <c r="V2347" t="s">
        <v>1752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1748</v>
      </c>
      <c r="V2348" t="s">
        <v>1749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1206</v>
      </c>
      <c r="V2349" t="s">
        <v>1448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1753</v>
      </c>
      <c r="V2350" t="s">
        <v>1626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842</v>
      </c>
      <c r="V2351" t="s">
        <v>842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1753</v>
      </c>
      <c r="V2352" t="s">
        <v>1626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842</v>
      </c>
      <c r="V2353" t="s">
        <v>842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1754</v>
      </c>
      <c r="V2354" t="s">
        <v>1755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">
        <v>1199</v>
      </c>
      <c r="V2355" s="110" t="s">
        <v>1200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1650</v>
      </c>
      <c r="V2356" t="s">
        <v>1633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1650</v>
      </c>
      <c r="V2357" t="s">
        <v>1633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1650</v>
      </c>
      <c r="V2358" t="s">
        <v>1633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">
        <v>1199</v>
      </c>
      <c r="V2359" s="110" t="s">
        <v>1200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1650</v>
      </c>
      <c r="V2360" t="s">
        <v>1633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1754</v>
      </c>
      <c r="V2361" t="s">
        <v>1755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">
        <v>1650</v>
      </c>
      <c r="V2362" t="s">
        <v>1633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">
        <v>1650</v>
      </c>
      <c r="V2363" t="s">
        <v>1633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10" t="s">
        <v>1185</v>
      </c>
      <c r="V2364" t="s">
        <v>1750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1404</v>
      </c>
      <c r="V2365" s="110" t="s">
        <v>171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1661</v>
      </c>
      <c r="V2366" t="s">
        <v>1634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842</v>
      </c>
      <c r="V2367" t="s">
        <v>842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1661</v>
      </c>
      <c r="V2368" t="s">
        <v>1634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1206</v>
      </c>
      <c r="V2369" t="s">
        <v>1206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1605</v>
      </c>
      <c r="V2370" t="s">
        <v>1399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1605</v>
      </c>
      <c r="V2371" t="s">
        <v>1399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1393</v>
      </c>
      <c r="V2372" t="s">
        <v>1393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1393</v>
      </c>
      <c r="V2373" t="s">
        <v>1393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1744</v>
      </c>
      <c r="V2374" t="s">
        <v>1408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1451</v>
      </c>
      <c r="V2375" t="s">
        <v>1740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1667</v>
      </c>
      <c r="V2376" t="s">
        <v>1371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1667</v>
      </c>
      <c r="V2377" t="s">
        <v>1371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1667</v>
      </c>
      <c r="V2378" t="s">
        <v>1371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">
        <v>1744</v>
      </c>
      <c r="V2379" t="s">
        <v>1408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1451</v>
      </c>
      <c r="V2380" t="s">
        <v>1740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1667</v>
      </c>
      <c r="V2381" t="s">
        <v>1371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1667</v>
      </c>
      <c r="V2382" t="s">
        <v>1371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">
        <v>1451</v>
      </c>
      <c r="V2383" t="s">
        <v>1740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1667</v>
      </c>
      <c r="V2384" t="s">
        <v>1371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1744</v>
      </c>
      <c r="V2385" t="s">
        <v>1408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1667</v>
      </c>
      <c r="V2386" t="s">
        <v>1371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1747</v>
      </c>
      <c r="V2387" t="s">
        <v>1410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1667</v>
      </c>
      <c r="V2388" t="s">
        <v>1371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1649</v>
      </c>
      <c r="V2389" t="s">
        <v>1747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1393</v>
      </c>
      <c r="V2390" t="s">
        <v>1393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1393</v>
      </c>
      <c r="V2391" t="s">
        <v>1393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">
        <v>1668</v>
      </c>
      <c r="V2392" t="s">
        <v>1756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">
        <v>1668</v>
      </c>
      <c r="V2393" t="s">
        <v>1756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572</v>
      </c>
      <c r="T2394" t="s">
        <v>273</v>
      </c>
      <c r="U2394" t="s">
        <v>597</v>
      </c>
      <c r="V2394" t="s">
        <v>597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572</v>
      </c>
      <c r="T2395" t="s">
        <v>273</v>
      </c>
      <c r="U2395" t="s">
        <v>597</v>
      </c>
      <c r="V2395" t="s">
        <v>597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572</v>
      </c>
      <c r="T2396" t="s">
        <v>273</v>
      </c>
      <c r="U2396" t="s">
        <v>598</v>
      </c>
      <c r="V2396" t="s">
        <v>598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572</v>
      </c>
      <c r="T2397" t="s">
        <v>273</v>
      </c>
      <c r="U2397" t="s">
        <v>599</v>
      </c>
      <c r="V2397" t="s">
        <v>599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572</v>
      </c>
      <c r="T2398" t="s">
        <v>273</v>
      </c>
      <c r="U2398" t="s">
        <v>574</v>
      </c>
      <c r="V2398" t="s">
        <v>574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572</v>
      </c>
      <c r="T2399" t="s">
        <v>273</v>
      </c>
      <c r="U2399" t="s">
        <v>575</v>
      </c>
      <c r="V2399" t="s">
        <v>575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572</v>
      </c>
      <c r="T2400" t="s">
        <v>273</v>
      </c>
      <c r="U2400" t="s">
        <v>581</v>
      </c>
      <c r="V2400" t="s">
        <v>581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572</v>
      </c>
      <c r="T2401" t="s">
        <v>273</v>
      </c>
      <c r="U2401" t="s">
        <v>582</v>
      </c>
      <c r="V2401" t="s">
        <v>582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572</v>
      </c>
      <c r="T2402" t="s">
        <v>267</v>
      </c>
      <c r="U2402" t="s">
        <v>594</v>
      </c>
      <c r="V2402" t="s">
        <v>594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572</v>
      </c>
      <c r="T2403" t="s">
        <v>267</v>
      </c>
      <c r="U2403" t="s">
        <v>594</v>
      </c>
      <c r="V2403" t="s">
        <v>594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572</v>
      </c>
      <c r="T2404" t="s">
        <v>267</v>
      </c>
      <c r="U2404" t="s">
        <v>592</v>
      </c>
      <c r="V2404" t="s">
        <v>592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572</v>
      </c>
      <c r="T2405" t="s">
        <v>267</v>
      </c>
      <c r="U2405" t="s">
        <v>592</v>
      </c>
      <c r="V2405" t="s">
        <v>592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572</v>
      </c>
      <c r="T2406" t="s">
        <v>267</v>
      </c>
      <c r="U2406" t="s">
        <v>595</v>
      </c>
      <c r="V2406" t="s">
        <v>595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572</v>
      </c>
      <c r="T2407" t="s">
        <v>267</v>
      </c>
      <c r="U2407" t="s">
        <v>596</v>
      </c>
      <c r="V2407" t="s">
        <v>596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572</v>
      </c>
      <c r="T2408" t="s">
        <v>267</v>
      </c>
      <c r="U2408" t="s">
        <v>593</v>
      </c>
      <c r="V2408" t="s">
        <v>593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572</v>
      </c>
      <c r="T2409" t="s">
        <v>267</v>
      </c>
      <c r="U2409" t="s">
        <v>593</v>
      </c>
      <c r="V2409" t="s">
        <v>593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572</v>
      </c>
      <c r="T2410" t="s">
        <v>261</v>
      </c>
      <c r="U2410" t="s">
        <v>594</v>
      </c>
      <c r="V2410" t="s">
        <v>594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572</v>
      </c>
      <c r="T2411" t="s">
        <v>261</v>
      </c>
      <c r="U2411" t="s">
        <v>594</v>
      </c>
      <c r="V2411" t="s">
        <v>594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572</v>
      </c>
      <c r="T2412" t="s">
        <v>261</v>
      </c>
      <c r="U2412" t="s">
        <v>592</v>
      </c>
      <c r="V2412" t="s">
        <v>592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572</v>
      </c>
      <c r="T2413" t="s">
        <v>261</v>
      </c>
      <c r="U2413" t="s">
        <v>592</v>
      </c>
      <c r="V2413" t="s">
        <v>592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572</v>
      </c>
      <c r="T2414" t="s">
        <v>261</v>
      </c>
      <c r="U2414" t="s">
        <v>595</v>
      </c>
      <c r="V2414" t="s">
        <v>595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572</v>
      </c>
      <c r="T2415" t="s">
        <v>261</v>
      </c>
      <c r="U2415" t="s">
        <v>596</v>
      </c>
      <c r="V2415" t="s">
        <v>596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572</v>
      </c>
      <c r="T2416" t="s">
        <v>261</v>
      </c>
      <c r="U2416" t="s">
        <v>593</v>
      </c>
      <c r="V2416" t="s">
        <v>593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572</v>
      </c>
      <c r="T2417" t="s">
        <v>261</v>
      </c>
      <c r="U2417" t="s">
        <v>593</v>
      </c>
      <c r="V2417" t="s">
        <v>593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572</v>
      </c>
      <c r="T2418" t="s">
        <v>257</v>
      </c>
      <c r="U2418" t="s">
        <v>588</v>
      </c>
      <c r="V2418" t="s">
        <v>588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572</v>
      </c>
      <c r="T2419" t="s">
        <v>257</v>
      </c>
      <c r="U2419" t="s">
        <v>589</v>
      </c>
      <c r="V2419" t="s">
        <v>589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572</v>
      </c>
      <c r="T2420" t="s">
        <v>257</v>
      </c>
      <c r="U2420" t="s">
        <v>590</v>
      </c>
      <c r="V2420" t="s">
        <v>590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572</v>
      </c>
      <c r="T2421" t="s">
        <v>257</v>
      </c>
      <c r="U2421" t="s">
        <v>591</v>
      </c>
      <c r="V2421" t="s">
        <v>591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572</v>
      </c>
      <c r="T2422" t="s">
        <v>257</v>
      </c>
      <c r="U2422" t="s">
        <v>579</v>
      </c>
      <c r="V2422" t="s">
        <v>579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572</v>
      </c>
      <c r="T2423" t="s">
        <v>257</v>
      </c>
      <c r="U2423" t="s">
        <v>573</v>
      </c>
      <c r="V2423" t="s">
        <v>573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572</v>
      </c>
      <c r="T2424" t="s">
        <v>257</v>
      </c>
      <c r="U2424" t="s">
        <v>580</v>
      </c>
      <c r="V2424" t="s">
        <v>580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572</v>
      </c>
      <c r="T2425" t="s">
        <v>257</v>
      </c>
      <c r="U2425" t="s">
        <v>584</v>
      </c>
      <c r="V2425" t="s">
        <v>584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572</v>
      </c>
      <c r="T2426" t="s">
        <v>257</v>
      </c>
      <c r="U2426" t="s">
        <v>584</v>
      </c>
      <c r="V2426" t="s">
        <v>584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572</v>
      </c>
      <c r="T2427" t="s">
        <v>257</v>
      </c>
      <c r="U2427" t="s">
        <v>583</v>
      </c>
      <c r="V2427" t="s">
        <v>583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572</v>
      </c>
      <c r="T2428" t="s">
        <v>257</v>
      </c>
      <c r="U2428" t="s">
        <v>577</v>
      </c>
      <c r="V2428" t="s">
        <v>577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572</v>
      </c>
      <c r="T2429" t="s">
        <v>257</v>
      </c>
      <c r="U2429" t="s">
        <v>577</v>
      </c>
      <c r="V2429" t="s">
        <v>577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572</v>
      </c>
      <c r="T2430" t="s">
        <v>113</v>
      </c>
      <c r="U2430" t="s">
        <v>585</v>
      </c>
      <c r="V2430" t="s">
        <v>585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572</v>
      </c>
      <c r="T2431" t="s">
        <v>113</v>
      </c>
      <c r="U2431" t="s">
        <v>586</v>
      </c>
      <c r="V2431" t="s">
        <v>586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572</v>
      </c>
      <c r="T2432" t="s">
        <v>113</v>
      </c>
      <c r="U2432" t="s">
        <v>584</v>
      </c>
      <c r="V2432" t="s">
        <v>584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572</v>
      </c>
      <c r="T2433" t="s">
        <v>113</v>
      </c>
      <c r="U2433" t="s">
        <v>587</v>
      </c>
      <c r="V2433" t="s">
        <v>587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572</v>
      </c>
      <c r="T2434" t="s">
        <v>113</v>
      </c>
      <c r="U2434" t="s">
        <v>578</v>
      </c>
      <c r="V2434" t="s">
        <v>578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572</v>
      </c>
      <c r="T2435" t="s">
        <v>113</v>
      </c>
      <c r="U2435" t="s">
        <v>576</v>
      </c>
      <c r="V2435" t="s">
        <v>576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572</v>
      </c>
      <c r="T2436" t="s">
        <v>113</v>
      </c>
      <c r="U2436" t="s">
        <v>582</v>
      </c>
      <c r="V2436" t="s">
        <v>582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572</v>
      </c>
      <c r="T2437" t="s">
        <v>113</v>
      </c>
      <c r="U2437" t="s">
        <v>580</v>
      </c>
      <c r="V2437" t="s">
        <v>580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572</v>
      </c>
      <c r="T2438" t="s">
        <v>113</v>
      </c>
      <c r="U2438" t="s">
        <v>584</v>
      </c>
      <c r="V2438" t="s">
        <v>584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572</v>
      </c>
      <c r="T2439" t="s">
        <v>113</v>
      </c>
      <c r="U2439" t="s">
        <v>583</v>
      </c>
      <c r="V2439" t="s">
        <v>583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572</v>
      </c>
      <c r="T2440" t="s">
        <v>113</v>
      </c>
      <c r="U2440" t="s">
        <v>577</v>
      </c>
      <c r="V2440" t="s">
        <v>577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572</v>
      </c>
      <c r="T2441" t="s">
        <v>113</v>
      </c>
      <c r="U2441" t="s">
        <v>585</v>
      </c>
      <c r="V2441" t="s">
        <v>585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572</v>
      </c>
      <c r="T2442" t="s">
        <v>245</v>
      </c>
      <c r="U2442" t="s">
        <v>573</v>
      </c>
      <c r="V2442" t="s">
        <v>573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572</v>
      </c>
      <c r="T2443" t="s">
        <v>245</v>
      </c>
      <c r="U2443" t="s">
        <v>577</v>
      </c>
      <c r="V2443" t="s">
        <v>577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572</v>
      </c>
      <c r="T2444" t="s">
        <v>245</v>
      </c>
      <c r="U2444" t="s">
        <v>580</v>
      </c>
      <c r="V2444" t="s">
        <v>580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572</v>
      </c>
      <c r="T2445" t="s">
        <v>245</v>
      </c>
      <c r="U2445" t="s">
        <v>583</v>
      </c>
      <c r="V2445" t="s">
        <v>583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572</v>
      </c>
      <c r="T2446" t="s">
        <v>245</v>
      </c>
      <c r="U2446" t="s">
        <v>574</v>
      </c>
      <c r="V2446" t="s">
        <v>574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572</v>
      </c>
      <c r="T2447" t="s">
        <v>245</v>
      </c>
      <c r="U2447" t="s">
        <v>575</v>
      </c>
      <c r="V2447" t="s">
        <v>575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572</v>
      </c>
      <c r="T2448" t="s">
        <v>245</v>
      </c>
      <c r="U2448" t="s">
        <v>581</v>
      </c>
      <c r="V2448" t="s">
        <v>581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572</v>
      </c>
      <c r="T2449" t="s">
        <v>245</v>
      </c>
      <c r="U2449" t="s">
        <v>582</v>
      </c>
      <c r="V2449" t="s">
        <v>582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572</v>
      </c>
      <c r="T2450" t="s">
        <v>245</v>
      </c>
      <c r="U2450" t="s">
        <v>581</v>
      </c>
      <c r="V2450" t="s">
        <v>581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572</v>
      </c>
      <c r="T2451" t="s">
        <v>245</v>
      </c>
      <c r="U2451" t="s">
        <v>580</v>
      </c>
      <c r="V2451" t="s">
        <v>580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572</v>
      </c>
      <c r="T2452" t="s">
        <v>245</v>
      </c>
      <c r="U2452" t="s">
        <v>575</v>
      </c>
      <c r="V2452" t="s">
        <v>575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572</v>
      </c>
      <c r="T2453" t="s">
        <v>245</v>
      </c>
      <c r="U2453" t="s">
        <v>578</v>
      </c>
      <c r="V2453" t="s">
        <v>578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572</v>
      </c>
      <c r="T2454" t="s">
        <v>245</v>
      </c>
      <c r="U2454" t="s">
        <v>582</v>
      </c>
      <c r="V2454" t="s">
        <v>582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572</v>
      </c>
      <c r="T2455" t="s">
        <v>245</v>
      </c>
      <c r="U2455" t="s">
        <v>584</v>
      </c>
      <c r="V2455" t="s">
        <v>584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572</v>
      </c>
      <c r="T2456" t="s">
        <v>245</v>
      </c>
      <c r="U2456" t="s">
        <v>576</v>
      </c>
      <c r="V2456" t="s">
        <v>576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572</v>
      </c>
      <c r="T2457" t="s">
        <v>245</v>
      </c>
      <c r="U2457" t="s">
        <v>579</v>
      </c>
      <c r="V2457" t="s">
        <v>579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173</v>
      </c>
      <c r="U2458" t="s">
        <v>1757</v>
      </c>
      <c r="V2458" t="s">
        <v>1758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173</v>
      </c>
      <c r="U2459" t="s">
        <v>1244</v>
      </c>
      <c r="V2459" t="s">
        <v>1759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173</v>
      </c>
      <c r="U2460" t="s">
        <v>1760</v>
      </c>
      <c r="V2460" t="s">
        <v>1761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173</v>
      </c>
      <c r="U2461" t="s">
        <v>1762</v>
      </c>
      <c r="V2461" t="s">
        <v>1762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173</v>
      </c>
      <c r="U2462" t="s">
        <v>1252</v>
      </c>
      <c r="V2462" t="s">
        <v>1763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173</v>
      </c>
      <c r="U2463" t="s">
        <v>1250</v>
      </c>
      <c r="V2463" t="s">
        <v>1763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173</v>
      </c>
      <c r="U2464" t="s">
        <v>1764</v>
      </c>
      <c r="V2464" t="s">
        <v>1765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173</v>
      </c>
      <c r="U2465" t="s">
        <v>1766</v>
      </c>
      <c r="V2465" t="s">
        <v>1767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173</v>
      </c>
      <c r="U2466" t="s">
        <v>1768</v>
      </c>
      <c r="V2466" t="s">
        <v>1768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173</v>
      </c>
      <c r="U2467" t="s">
        <v>1769</v>
      </c>
      <c r="V2467" t="s">
        <v>1770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173</v>
      </c>
      <c r="U2468" t="s">
        <v>1771</v>
      </c>
      <c r="V2468" t="s">
        <v>1770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173</v>
      </c>
      <c r="U2469" t="s">
        <v>1772</v>
      </c>
      <c r="V2469" t="s">
        <v>1773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173</v>
      </c>
      <c r="U2470" t="s">
        <v>1774</v>
      </c>
      <c r="V2470" t="s">
        <v>1775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173</v>
      </c>
      <c r="U2471" t="s">
        <v>1776</v>
      </c>
      <c r="V2471" t="s">
        <v>1777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173</v>
      </c>
      <c r="U2472" t="s">
        <v>1778</v>
      </c>
      <c r="V2472" t="s">
        <v>1779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173</v>
      </c>
      <c r="U2473" t="s">
        <v>1776</v>
      </c>
      <c r="V2473" t="s">
        <v>1777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173</v>
      </c>
      <c r="U2474" t="s">
        <v>1780</v>
      </c>
      <c r="V2474" t="s">
        <v>1253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173</v>
      </c>
      <c r="U2475" t="s">
        <v>1781</v>
      </c>
      <c r="V2475" t="s">
        <v>1781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173</v>
      </c>
      <c r="U2476" t="s">
        <v>556</v>
      </c>
      <c r="V2476" t="s">
        <v>557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173</v>
      </c>
      <c r="U2477" t="s">
        <v>558</v>
      </c>
      <c r="V2477" t="s">
        <v>559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173</v>
      </c>
      <c r="U2478" t="s">
        <v>560</v>
      </c>
      <c r="V2478" t="s">
        <v>560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173</v>
      </c>
      <c r="U2479" t="s">
        <v>561</v>
      </c>
      <c r="V2479" t="s">
        <v>562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173</v>
      </c>
      <c r="U2480" t="s">
        <v>563</v>
      </c>
      <c r="V2480" t="s">
        <v>564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173</v>
      </c>
      <c r="U2481" t="s">
        <v>560</v>
      </c>
      <c r="V2481" t="s">
        <v>560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173</v>
      </c>
      <c r="U2482" t="s">
        <v>565</v>
      </c>
      <c r="V2482" t="s">
        <v>566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173</v>
      </c>
      <c r="U2483" t="s">
        <v>567</v>
      </c>
      <c r="V2483" t="s">
        <v>568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173</v>
      </c>
      <c r="U2484" t="s">
        <v>560</v>
      </c>
      <c r="V2484" t="s">
        <v>560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173</v>
      </c>
      <c r="U2485" t="s">
        <v>174</v>
      </c>
      <c r="V2485" t="s">
        <v>569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173</v>
      </c>
      <c r="U2486" t="s">
        <v>569</v>
      </c>
      <c r="V2486" t="s">
        <v>570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173</v>
      </c>
      <c r="U2487" t="s">
        <v>571</v>
      </c>
      <c r="V2487" t="s">
        <v>571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552</v>
      </c>
      <c r="V2488" t="s">
        <v>553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554</v>
      </c>
      <c r="V2489" t="s">
        <v>555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223</v>
      </c>
      <c r="V2490" t="s">
        <v>223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224</v>
      </c>
      <c r="V2491" t="s">
        <v>224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236</v>
      </c>
      <c r="V2492" t="s">
        <v>236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891</v>
      </c>
      <c r="V2493" t="s">
        <v>882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902</v>
      </c>
      <c r="V2494" t="s">
        <v>903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911</v>
      </c>
      <c r="V2495" t="s">
        <v>1782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676</v>
      </c>
      <c r="V2496" t="s">
        <v>676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686</v>
      </c>
      <c r="V2497" t="s">
        <v>686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1783</v>
      </c>
      <c r="V2498" t="s">
        <v>933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910</v>
      </c>
      <c r="V2499" t="s">
        <v>940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676</v>
      </c>
      <c r="V2500" t="s">
        <v>872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686</v>
      </c>
      <c r="V2501" t="s">
        <v>686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693</v>
      </c>
      <c r="V2502" t="s">
        <v>693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777</v>
      </c>
      <c r="V2503" t="s">
        <v>912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1784</v>
      </c>
      <c r="V2504" t="s">
        <v>894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686</v>
      </c>
      <c r="V2505" t="s">
        <v>880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693</v>
      </c>
      <c r="V2506" t="s">
        <v>693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700</v>
      </c>
      <c r="V2507" t="s">
        <v>700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1009</v>
      </c>
      <c r="V2508" t="s">
        <v>1785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1359</v>
      </c>
      <c r="V2509" t="s">
        <v>1024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1015</v>
      </c>
      <c r="V2510" t="s">
        <v>1015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157</v>
      </c>
      <c r="V2511" t="s">
        <v>157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155</v>
      </c>
      <c r="V2512" t="s">
        <v>155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972</v>
      </c>
      <c r="V2513" t="s">
        <v>995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1786</v>
      </c>
      <c r="V2514" t="s">
        <v>929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157</v>
      </c>
      <c r="V2515" t="s">
        <v>1020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155</v>
      </c>
      <c r="V2516" t="s">
        <v>155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1595</v>
      </c>
      <c r="V2517" t="s">
        <v>1595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180</v>
      </c>
      <c r="U2518" t="s">
        <v>1787</v>
      </c>
      <c r="V2518" t="s">
        <v>1651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180</v>
      </c>
      <c r="U2519" t="s">
        <v>1788</v>
      </c>
      <c r="V2519" t="s">
        <v>1651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180</v>
      </c>
      <c r="U2520" t="s">
        <v>1789</v>
      </c>
      <c r="V2520" t="s">
        <v>1390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180</v>
      </c>
      <c r="U2521" t="s">
        <v>1393</v>
      </c>
      <c r="V2521" t="s">
        <v>1393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180</v>
      </c>
      <c r="U2522" t="s">
        <v>1373</v>
      </c>
      <c r="V2522" t="s">
        <v>1373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180</v>
      </c>
      <c r="U2523" t="s">
        <v>1790</v>
      </c>
      <c r="V2523" t="s">
        <v>1791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180</v>
      </c>
      <c r="U2524" t="s">
        <v>1790</v>
      </c>
      <c r="V2524" t="s">
        <v>1792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180</v>
      </c>
      <c r="U2525" t="s">
        <v>1790</v>
      </c>
      <c r="V2525" t="s">
        <v>1792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180</v>
      </c>
      <c r="U2526" t="s">
        <v>1400</v>
      </c>
      <c r="V2526" t="s">
        <v>1402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180</v>
      </c>
      <c r="U2527" t="s">
        <v>1373</v>
      </c>
      <c r="V2527" t="s">
        <v>1373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179</v>
      </c>
      <c r="U2528" t="s">
        <v>1369</v>
      </c>
      <c r="V2528" t="s">
        <v>551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179</v>
      </c>
      <c r="U2529" t="s">
        <v>1369</v>
      </c>
      <c r="V2529" t="s">
        <v>551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179</v>
      </c>
      <c r="U2530" t="s">
        <v>1661</v>
      </c>
      <c r="V2530" t="s">
        <v>1415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179</v>
      </c>
      <c r="U2531" t="s">
        <v>1372</v>
      </c>
      <c r="V2531" t="s">
        <v>1600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179</v>
      </c>
      <c r="U2532" t="s">
        <v>1373</v>
      </c>
      <c r="V2532" t="s">
        <v>1373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178</v>
      </c>
      <c r="U2533" t="s">
        <v>1793</v>
      </c>
      <c r="V2533" t="s">
        <v>1662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178</v>
      </c>
      <c r="U2534" t="s">
        <v>1793</v>
      </c>
      <c r="V2534" t="s">
        <v>1662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178</v>
      </c>
      <c r="U2535" t="s">
        <v>1412</v>
      </c>
      <c r="V2535" t="s">
        <v>1794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178</v>
      </c>
      <c r="U2536" t="s">
        <v>1394</v>
      </c>
      <c r="V2536" t="s">
        <v>1414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178</v>
      </c>
      <c r="U2537" t="s">
        <v>1373</v>
      </c>
      <c r="V2537" t="s">
        <v>1373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178</v>
      </c>
      <c r="U2538" t="s">
        <v>1374</v>
      </c>
      <c r="V2538" t="s">
        <v>1374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1795</v>
      </c>
      <c r="V2539" t="s">
        <v>816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1795</v>
      </c>
      <c r="V2540" t="s">
        <v>816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1796</v>
      </c>
      <c r="V2541" t="s">
        <v>1797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791</v>
      </c>
      <c r="V2542" t="s">
        <v>791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792</v>
      </c>
      <c r="V2543" t="s">
        <v>792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1798</v>
      </c>
      <c r="V2544" t="s">
        <v>1799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1798</v>
      </c>
      <c r="V2545" t="s">
        <v>1799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1800</v>
      </c>
      <c r="V2546" t="s">
        <v>1801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792</v>
      </c>
      <c r="V2547" t="s">
        <v>792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793</v>
      </c>
      <c r="V2548" t="s">
        <v>793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1674</v>
      </c>
      <c r="V2549" t="s">
        <v>1090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1674</v>
      </c>
      <c r="V2550" t="s">
        <v>1090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827</v>
      </c>
      <c r="V2551" t="s">
        <v>828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824</v>
      </c>
      <c r="V2552" t="s">
        <v>824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829</v>
      </c>
      <c r="V2553" t="s">
        <v>829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1802</v>
      </c>
      <c r="V2554" t="s">
        <v>1129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1802</v>
      </c>
      <c r="V2555" t="s">
        <v>1803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830</v>
      </c>
      <c r="V2556" t="s">
        <v>1804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829</v>
      </c>
      <c r="V2557" t="s">
        <v>829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835</v>
      </c>
      <c r="V2558" t="s">
        <v>835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1805</v>
      </c>
      <c r="V2559" t="s">
        <v>1806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1805</v>
      </c>
      <c r="V2560" t="s">
        <v>1807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1808</v>
      </c>
      <c r="V2561" t="s">
        <v>1809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835</v>
      </c>
      <c r="V2562" t="s">
        <v>835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1074</v>
      </c>
      <c r="V2563" t="s">
        <v>1074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1810</v>
      </c>
      <c r="V2564" t="s">
        <v>1685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10" t="s">
        <v>1108</v>
      </c>
      <c r="V2565" t="s">
        <v>828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1811</v>
      </c>
      <c r="V2566" t="s">
        <v>1812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824</v>
      </c>
      <c r="V2567" t="s">
        <v>1130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829</v>
      </c>
      <c r="V2568" t="s">
        <v>829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1813</v>
      </c>
      <c r="V2569" t="s">
        <v>1814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1813</v>
      </c>
      <c r="V2570" t="s">
        <v>1814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1815</v>
      </c>
      <c r="V2571" t="s">
        <v>1816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1458</v>
      </c>
      <c r="V2572" t="s">
        <v>1817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1468</v>
      </c>
      <c r="V2573" t="s">
        <v>1468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1818</v>
      </c>
      <c r="V2574" t="s">
        <v>1819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1818</v>
      </c>
      <c r="V2575" t="s">
        <v>1819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1820</v>
      </c>
      <c r="V2576" t="s">
        <v>1474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1468</v>
      </c>
      <c r="V2577" t="s">
        <v>1476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1481</v>
      </c>
      <c r="V2578" t="s">
        <v>1481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1821</v>
      </c>
      <c r="V2579" t="s">
        <v>1822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1821</v>
      </c>
      <c r="V2580" t="s">
        <v>1822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1823</v>
      </c>
      <c r="V2581" t="s">
        <v>1483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1485</v>
      </c>
      <c r="V2582" t="s">
        <v>1485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1490</v>
      </c>
      <c r="V2583" t="s">
        <v>1490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">
        <v>691</v>
      </c>
      <c r="V2584" t="s">
        <v>933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">
        <v>169</v>
      </c>
      <c r="V2585" t="s">
        <v>933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">
        <v>691</v>
      </c>
      <c r="V2586" t="s">
        <v>933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169</v>
      </c>
      <c r="V2587" t="s">
        <v>933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">
        <v>1824</v>
      </c>
      <c r="V2588" t="s">
        <v>940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">
        <v>1824</v>
      </c>
      <c r="V2589" t="s">
        <v>940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676</v>
      </c>
      <c r="V2590" t="s">
        <v>872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676</v>
      </c>
      <c r="V2591" t="s">
        <v>872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">
        <v>686</v>
      </c>
      <c r="V2592" t="s">
        <v>686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">
        <v>686</v>
      </c>
      <c r="V2593" t="s">
        <v>686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">
        <v>925</v>
      </c>
      <c r="V2594" t="s">
        <v>888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">
        <v>777</v>
      </c>
      <c r="V2595" t="s">
        <v>912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">
        <v>854</v>
      </c>
      <c r="V2596" t="s">
        <v>912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">
        <v>925</v>
      </c>
      <c r="V2597" t="s">
        <v>914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">
        <v>855</v>
      </c>
      <c r="V2598" t="s">
        <v>914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">
        <v>1784</v>
      </c>
      <c r="V2599" t="s">
        <v>894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">
        <v>686</v>
      </c>
      <c r="V2600" t="s">
        <v>880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">
        <v>1556</v>
      </c>
      <c r="V2601" t="s">
        <v>1825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">
        <v>693</v>
      </c>
      <c r="V2602" t="s">
        <v>693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">
        <v>693</v>
      </c>
      <c r="V2603" t="s">
        <v>693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1826</v>
      </c>
      <c r="V2604" t="s">
        <v>1009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963</v>
      </c>
      <c r="V2605" t="s">
        <v>950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1826</v>
      </c>
      <c r="V2606" t="s">
        <v>1009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963</v>
      </c>
      <c r="V2607" t="s">
        <v>923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1027</v>
      </c>
      <c r="V2608" t="s">
        <v>950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992</v>
      </c>
      <c r="V2609" t="s">
        <v>1359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167</v>
      </c>
      <c r="V2610" t="s">
        <v>1015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1033</v>
      </c>
      <c r="V2611" t="s">
        <v>156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157</v>
      </c>
      <c r="V2612" t="s">
        <v>157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">
        <v>157</v>
      </c>
      <c r="V2613" t="s">
        <v>157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">
        <v>928</v>
      </c>
      <c r="V2614" t="s">
        <v>995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928</v>
      </c>
      <c r="V2615" t="s">
        <v>995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1786</v>
      </c>
      <c r="V2616" t="s">
        <v>929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">
        <v>157</v>
      </c>
      <c r="V2617" t="s">
        <v>1020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155</v>
      </c>
      <c r="V2618" t="s">
        <v>155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">
        <v>1045</v>
      </c>
      <c r="V2619" t="s">
        <v>1827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1591</v>
      </c>
      <c r="V2620" t="s">
        <v>971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1016</v>
      </c>
      <c r="V2621" t="s">
        <v>1828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">
        <v>155</v>
      </c>
      <c r="V2622" t="s">
        <v>1584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1595</v>
      </c>
      <c r="V2623" t="s">
        <v>1595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1082</v>
      </c>
      <c r="V2624" t="s">
        <v>1677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1082</v>
      </c>
      <c r="V2625" t="s">
        <v>1677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">
        <v>1082</v>
      </c>
      <c r="V2626" t="s">
        <v>1677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1095</v>
      </c>
      <c r="V2627" t="s">
        <v>1093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161</v>
      </c>
      <c r="V2628" t="s">
        <v>161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1085</v>
      </c>
      <c r="V2629" t="s">
        <v>1688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">
        <v>1085</v>
      </c>
      <c r="V2630" t="s">
        <v>1688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">
        <v>1099</v>
      </c>
      <c r="V2631" t="s">
        <v>1697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10" t="s">
        <v>1102</v>
      </c>
      <c r="V2632" t="s">
        <v>1829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824</v>
      </c>
      <c r="V2633" t="s">
        <v>824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1110</v>
      </c>
      <c r="V2634" t="s">
        <v>1698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1110</v>
      </c>
      <c r="V2635" t="s">
        <v>1698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1121</v>
      </c>
      <c r="V2636" t="s">
        <v>1435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1131</v>
      </c>
      <c r="V2637" t="s">
        <v>1715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">
        <v>829</v>
      </c>
      <c r="V2638" t="s">
        <v>829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">
        <v>1141</v>
      </c>
      <c r="V2639" t="s">
        <v>1830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">
        <v>1141</v>
      </c>
      <c r="V2640" t="s">
        <v>1830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">
        <v>1151</v>
      </c>
      <c r="V2641" t="s">
        <v>1831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">
        <v>1163</v>
      </c>
      <c r="V2642" t="s">
        <v>1832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">
        <v>835</v>
      </c>
      <c r="V2643" t="s">
        <v>835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1193</v>
      </c>
      <c r="V2644" t="s">
        <v>1171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1193</v>
      </c>
      <c r="V2645" t="s">
        <v>1171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1182</v>
      </c>
      <c r="V2646" t="s">
        <v>1180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1746</v>
      </c>
      <c r="V2647" t="s">
        <v>1754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842</v>
      </c>
      <c r="V2648" t="s">
        <v>842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">
        <v>1645</v>
      </c>
      <c r="V2649" t="s">
        <v>1833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1645</v>
      </c>
      <c r="V2650" t="s">
        <v>1833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1645</v>
      </c>
      <c r="V2651" t="s">
        <v>1833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1449</v>
      </c>
      <c r="V2652" t="s">
        <v>1649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">
        <v>1393</v>
      </c>
      <c r="V2653" t="s">
        <v>1393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4" t="s">
        <v>0</v>
      </c>
      <c r="B1" s="95" t="s">
        <v>175</v>
      </c>
      <c r="C1" s="95" t="s">
        <v>176</v>
      </c>
      <c r="D1" s="95" t="s">
        <v>177</v>
      </c>
      <c r="E1" s="95" t="s">
        <v>625</v>
      </c>
      <c r="F1" s="96" t="s">
        <v>626</v>
      </c>
    </row>
    <row r="2" spans="1:6" x14ac:dyDescent="0.25">
      <c r="A2" s="97" t="s">
        <v>3</v>
      </c>
      <c r="B2" s="75"/>
      <c r="C2" s="75"/>
      <c r="D2" s="75"/>
      <c r="E2" s="75" t="s">
        <v>6</v>
      </c>
      <c r="F2" s="98"/>
    </row>
    <row r="3" spans="1:6" x14ac:dyDescent="0.25">
      <c r="A3" s="99" t="s">
        <v>46</v>
      </c>
      <c r="B3" s="76"/>
      <c r="C3" s="76"/>
      <c r="D3" s="76"/>
      <c r="E3" s="76" t="s">
        <v>13</v>
      </c>
      <c r="F3" s="100"/>
    </row>
    <row r="4" spans="1:6" x14ac:dyDescent="0.25">
      <c r="A4" s="97" t="s">
        <v>59</v>
      </c>
      <c r="B4" s="75"/>
      <c r="C4" s="75" t="s">
        <v>178</v>
      </c>
      <c r="D4" s="75"/>
      <c r="E4" s="75" t="s">
        <v>13</v>
      </c>
      <c r="F4" s="98"/>
    </row>
    <row r="5" spans="1:6" x14ac:dyDescent="0.25">
      <c r="A5" s="99" t="s">
        <v>60</v>
      </c>
      <c r="B5" s="76"/>
      <c r="C5" s="76" t="s">
        <v>179</v>
      </c>
      <c r="D5" s="76"/>
      <c r="E5" s="76" t="s">
        <v>13</v>
      </c>
      <c r="F5" s="100"/>
    </row>
    <row r="6" spans="1:6" x14ac:dyDescent="0.25">
      <c r="A6" s="97" t="s">
        <v>61</v>
      </c>
      <c r="B6" s="75"/>
      <c r="C6" s="75" t="s">
        <v>180</v>
      </c>
      <c r="D6" s="75"/>
      <c r="E6" s="75" t="s">
        <v>13</v>
      </c>
      <c r="F6" s="98"/>
    </row>
    <row r="7" spans="1:6" x14ac:dyDescent="0.25">
      <c r="A7" s="99" t="s">
        <v>7</v>
      </c>
      <c r="B7" s="76"/>
      <c r="C7" s="76"/>
      <c r="D7" s="76"/>
      <c r="E7" s="76" t="s">
        <v>104</v>
      </c>
      <c r="F7" s="100"/>
    </row>
    <row r="8" spans="1:6" x14ac:dyDescent="0.25">
      <c r="A8" s="97" t="s">
        <v>8</v>
      </c>
      <c r="B8" s="75"/>
      <c r="C8" s="75"/>
      <c r="D8" s="75"/>
      <c r="E8" s="75" t="s">
        <v>6</v>
      </c>
      <c r="F8" s="98" t="s">
        <v>10</v>
      </c>
    </row>
    <row r="9" spans="1:6" x14ac:dyDescent="0.25">
      <c r="A9" s="99" t="s">
        <v>17</v>
      </c>
      <c r="B9" s="76"/>
      <c r="C9" s="76"/>
      <c r="D9" s="76"/>
      <c r="E9" s="76" t="s">
        <v>9</v>
      </c>
      <c r="F9" s="100"/>
    </row>
    <row r="10" spans="1:6" x14ac:dyDescent="0.25">
      <c r="A10" s="97" t="s">
        <v>47</v>
      </c>
      <c r="B10" s="75"/>
      <c r="C10" s="75"/>
      <c r="D10" s="75"/>
      <c r="E10" s="75" t="s">
        <v>13</v>
      </c>
      <c r="F10" s="98" t="s">
        <v>10</v>
      </c>
    </row>
    <row r="11" spans="1:6" x14ac:dyDescent="0.25">
      <c r="A11" s="99" t="s">
        <v>62</v>
      </c>
      <c r="B11" s="76"/>
      <c r="C11" s="76" t="s">
        <v>178</v>
      </c>
      <c r="D11" s="76"/>
      <c r="E11" s="76" t="s">
        <v>13</v>
      </c>
      <c r="F11" s="100" t="s">
        <v>10</v>
      </c>
    </row>
    <row r="12" spans="1:6" x14ac:dyDescent="0.25">
      <c r="A12" s="97" t="s">
        <v>63</v>
      </c>
      <c r="B12" s="75"/>
      <c r="C12" s="75" t="s">
        <v>179</v>
      </c>
      <c r="D12" s="75"/>
      <c r="E12" s="75" t="s">
        <v>13</v>
      </c>
      <c r="F12" s="98" t="s">
        <v>10</v>
      </c>
    </row>
    <row r="13" spans="1:6" x14ac:dyDescent="0.25">
      <c r="A13" s="99" t="s">
        <v>64</v>
      </c>
      <c r="B13" s="76"/>
      <c r="C13" s="76" t="s">
        <v>180</v>
      </c>
      <c r="D13" s="76"/>
      <c r="E13" s="76" t="s">
        <v>13</v>
      </c>
      <c r="F13" s="100" t="s">
        <v>10</v>
      </c>
    </row>
    <row r="14" spans="1:6" x14ac:dyDescent="0.25">
      <c r="A14" s="97" t="s">
        <v>14</v>
      </c>
      <c r="B14" s="75"/>
      <c r="C14" s="75"/>
      <c r="D14" s="75"/>
      <c r="E14" s="75" t="s">
        <v>142</v>
      </c>
      <c r="F14" s="98"/>
    </row>
    <row r="15" spans="1:6" x14ac:dyDescent="0.25">
      <c r="A15" s="99" t="s">
        <v>93</v>
      </c>
      <c r="B15" s="76"/>
      <c r="C15" s="76"/>
      <c r="D15" s="76" t="s">
        <v>237</v>
      </c>
      <c r="E15" s="76" t="s">
        <v>23</v>
      </c>
      <c r="F15" s="100"/>
    </row>
    <row r="16" spans="1:6" x14ac:dyDescent="0.25">
      <c r="A16" s="97" t="s">
        <v>92</v>
      </c>
      <c r="B16" s="75"/>
      <c r="C16" s="75"/>
      <c r="D16" s="75" t="s">
        <v>245</v>
      </c>
      <c r="E16" s="75" t="s">
        <v>23</v>
      </c>
      <c r="F16" s="98"/>
    </row>
    <row r="17" spans="1:6" x14ac:dyDescent="0.25">
      <c r="A17" s="99" t="s">
        <v>91</v>
      </c>
      <c r="B17" s="76"/>
      <c r="C17" s="76"/>
      <c r="D17" s="76" t="s">
        <v>113</v>
      </c>
      <c r="E17" s="76" t="s">
        <v>23</v>
      </c>
      <c r="F17" s="100"/>
    </row>
    <row r="18" spans="1:6" x14ac:dyDescent="0.25">
      <c r="A18" s="97" t="s">
        <v>94</v>
      </c>
      <c r="B18" s="75"/>
      <c r="C18" s="75"/>
      <c r="D18" s="75" t="s">
        <v>257</v>
      </c>
      <c r="E18" s="75" t="s">
        <v>23</v>
      </c>
      <c r="F18" s="98"/>
    </row>
    <row r="19" spans="1:6" x14ac:dyDescent="0.25">
      <c r="A19" s="99" t="s">
        <v>95</v>
      </c>
      <c r="B19" s="76"/>
      <c r="C19" s="76"/>
      <c r="D19" s="76" t="s">
        <v>261</v>
      </c>
      <c r="E19" s="76" t="s">
        <v>23</v>
      </c>
      <c r="F19" s="100"/>
    </row>
    <row r="20" spans="1:6" x14ac:dyDescent="0.25">
      <c r="A20" s="97" t="s">
        <v>96</v>
      </c>
      <c r="B20" s="75"/>
      <c r="C20" s="75"/>
      <c r="D20" s="75" t="s">
        <v>267</v>
      </c>
      <c r="E20" s="75" t="s">
        <v>23</v>
      </c>
      <c r="F20" s="98"/>
    </row>
    <row r="21" spans="1:6" x14ac:dyDescent="0.25">
      <c r="A21" s="99" t="s">
        <v>97</v>
      </c>
      <c r="B21" s="76"/>
      <c r="C21" s="76"/>
      <c r="D21" s="76" t="s">
        <v>273</v>
      </c>
      <c r="E21" s="76" t="s">
        <v>23</v>
      </c>
      <c r="F21" s="100"/>
    </row>
    <row r="22" spans="1:6" x14ac:dyDescent="0.25">
      <c r="A22" s="97" t="s">
        <v>98</v>
      </c>
      <c r="B22" s="75"/>
      <c r="C22" s="75"/>
      <c r="D22" s="75" t="s">
        <v>275</v>
      </c>
      <c r="E22" s="75" t="s">
        <v>23</v>
      </c>
      <c r="F22" s="98"/>
    </row>
    <row r="23" spans="1:6" x14ac:dyDescent="0.25">
      <c r="A23" s="99" t="s">
        <v>99</v>
      </c>
      <c r="B23" s="76"/>
      <c r="C23" s="76"/>
      <c r="D23" s="76" t="s">
        <v>279</v>
      </c>
      <c r="E23" s="76" t="s">
        <v>23</v>
      </c>
      <c r="F23" s="100"/>
    </row>
    <row r="24" spans="1:6" x14ac:dyDescent="0.25">
      <c r="A24" s="97" t="s">
        <v>82</v>
      </c>
      <c r="B24" s="75"/>
      <c r="C24" s="75"/>
      <c r="D24" s="75" t="s">
        <v>237</v>
      </c>
      <c r="E24" s="75" t="s">
        <v>26</v>
      </c>
      <c r="F24" s="98"/>
    </row>
    <row r="25" spans="1:6" x14ac:dyDescent="0.25">
      <c r="A25" s="99" t="s">
        <v>83</v>
      </c>
      <c r="B25" s="76"/>
      <c r="C25" s="76"/>
      <c r="D25" s="76" t="s">
        <v>245</v>
      </c>
      <c r="E25" s="76" t="s">
        <v>26</v>
      </c>
      <c r="F25" s="100"/>
    </row>
    <row r="26" spans="1:6" x14ac:dyDescent="0.25">
      <c r="A26" s="97" t="s">
        <v>84</v>
      </c>
      <c r="B26" s="75"/>
      <c r="C26" s="75"/>
      <c r="D26" s="75" t="s">
        <v>113</v>
      </c>
      <c r="E26" s="75" t="s">
        <v>26</v>
      </c>
      <c r="F26" s="98"/>
    </row>
    <row r="27" spans="1:6" x14ac:dyDescent="0.25">
      <c r="A27" s="99" t="s">
        <v>85</v>
      </c>
      <c r="B27" s="76"/>
      <c r="C27" s="76"/>
      <c r="D27" s="76" t="s">
        <v>257</v>
      </c>
      <c r="E27" s="76" t="s">
        <v>26</v>
      </c>
      <c r="F27" s="100"/>
    </row>
    <row r="28" spans="1:6" x14ac:dyDescent="0.25">
      <c r="A28" s="97" t="s">
        <v>86</v>
      </c>
      <c r="B28" s="75"/>
      <c r="C28" s="75"/>
      <c r="D28" s="75" t="s">
        <v>261</v>
      </c>
      <c r="E28" s="75" t="s">
        <v>26</v>
      </c>
      <c r="F28" s="98"/>
    </row>
    <row r="29" spans="1:6" x14ac:dyDescent="0.25">
      <c r="A29" s="99" t="s">
        <v>87</v>
      </c>
      <c r="B29" s="76"/>
      <c r="C29" s="76"/>
      <c r="D29" s="76" t="s">
        <v>267</v>
      </c>
      <c r="E29" s="76" t="s">
        <v>26</v>
      </c>
      <c r="F29" s="100"/>
    </row>
    <row r="30" spans="1:6" x14ac:dyDescent="0.25">
      <c r="A30" s="97" t="s">
        <v>88</v>
      </c>
      <c r="B30" s="75"/>
      <c r="C30" s="75"/>
      <c r="D30" s="75" t="s">
        <v>273</v>
      </c>
      <c r="E30" s="75" t="s">
        <v>26</v>
      </c>
      <c r="F30" s="98"/>
    </row>
    <row r="31" spans="1:6" x14ac:dyDescent="0.25">
      <c r="A31" s="99" t="s">
        <v>89</v>
      </c>
      <c r="B31" s="76"/>
      <c r="C31" s="76"/>
      <c r="D31" s="76" t="s">
        <v>275</v>
      </c>
      <c r="E31" s="76" t="s">
        <v>26</v>
      </c>
      <c r="F31" s="100"/>
    </row>
    <row r="32" spans="1:6" x14ac:dyDescent="0.25">
      <c r="A32" s="97" t="s">
        <v>90</v>
      </c>
      <c r="B32" s="75"/>
      <c r="C32" s="75"/>
      <c r="D32" s="75" t="s">
        <v>279</v>
      </c>
      <c r="E32" s="75" t="s">
        <v>26</v>
      </c>
      <c r="F32" s="98"/>
    </row>
    <row r="33" spans="1:6" x14ac:dyDescent="0.25">
      <c r="A33" s="99" t="s">
        <v>100</v>
      </c>
      <c r="B33" s="76"/>
      <c r="C33" s="76"/>
      <c r="D33" s="76"/>
      <c r="E33" s="76" t="s">
        <v>172</v>
      </c>
      <c r="F33" s="100"/>
    </row>
    <row r="34" spans="1:6" x14ac:dyDescent="0.25">
      <c r="A34" s="97" t="s">
        <v>101</v>
      </c>
      <c r="B34" s="75"/>
      <c r="C34" s="75"/>
      <c r="D34" s="75"/>
      <c r="E34" s="75" t="s">
        <v>102</v>
      </c>
      <c r="F34" s="98"/>
    </row>
    <row r="35" spans="1:6" x14ac:dyDescent="0.25">
      <c r="A35" s="99" t="s">
        <v>71</v>
      </c>
      <c r="B35" s="76" t="s">
        <v>546</v>
      </c>
      <c r="C35" s="76"/>
      <c r="D35" s="76"/>
      <c r="E35" s="76" t="s">
        <v>6</v>
      </c>
      <c r="F35" s="100"/>
    </row>
    <row r="36" spans="1:6" x14ac:dyDescent="0.25">
      <c r="A36" s="97" t="s">
        <v>74</v>
      </c>
      <c r="B36" s="75" t="s">
        <v>173</v>
      </c>
      <c r="C36" s="75"/>
      <c r="D36" s="75"/>
      <c r="E36" s="75" t="s">
        <v>6</v>
      </c>
      <c r="F36" s="98"/>
    </row>
    <row r="37" spans="1:6" x14ac:dyDescent="0.25">
      <c r="A37" s="99" t="s">
        <v>75</v>
      </c>
      <c r="B37" s="76" t="s">
        <v>173</v>
      </c>
      <c r="C37" s="76"/>
      <c r="D37" s="76"/>
      <c r="E37" s="76" t="s">
        <v>104</v>
      </c>
      <c r="F37" s="100"/>
    </row>
    <row r="38" spans="1:6" x14ac:dyDescent="0.25">
      <c r="A38" s="97" t="s">
        <v>76</v>
      </c>
      <c r="B38" s="75" t="s">
        <v>572</v>
      </c>
      <c r="C38" s="75"/>
      <c r="D38" s="75" t="s">
        <v>245</v>
      </c>
      <c r="E38" s="75"/>
      <c r="F38" s="98"/>
    </row>
    <row r="39" spans="1:6" x14ac:dyDescent="0.25">
      <c r="A39" s="99" t="s">
        <v>77</v>
      </c>
      <c r="B39" s="76" t="s">
        <v>572</v>
      </c>
      <c r="C39" s="76"/>
      <c r="D39" s="76" t="s">
        <v>113</v>
      </c>
      <c r="E39" s="76"/>
      <c r="F39" s="100"/>
    </row>
    <row r="40" spans="1:6" x14ac:dyDescent="0.25">
      <c r="A40" s="97" t="s">
        <v>78</v>
      </c>
      <c r="B40" s="75" t="s">
        <v>572</v>
      </c>
      <c r="C40" s="75"/>
      <c r="D40" s="75" t="s">
        <v>257</v>
      </c>
      <c r="E40" s="75"/>
      <c r="F40" s="98"/>
    </row>
    <row r="41" spans="1:6" x14ac:dyDescent="0.25">
      <c r="A41" s="99" t="s">
        <v>79</v>
      </c>
      <c r="B41" s="76" t="s">
        <v>572</v>
      </c>
      <c r="C41" s="76"/>
      <c r="D41" s="76" t="s">
        <v>261</v>
      </c>
      <c r="E41" s="76"/>
      <c r="F41" s="100"/>
    </row>
    <row r="42" spans="1:6" x14ac:dyDescent="0.25">
      <c r="A42" s="97" t="s">
        <v>80</v>
      </c>
      <c r="B42" s="75" t="s">
        <v>572</v>
      </c>
      <c r="C42" s="75"/>
      <c r="D42" s="75" t="s">
        <v>267</v>
      </c>
      <c r="E42" s="75"/>
      <c r="F42" s="98"/>
    </row>
    <row r="43" spans="1:6" x14ac:dyDescent="0.25">
      <c r="A43" s="87" t="s">
        <v>81</v>
      </c>
      <c r="B43" s="88" t="s">
        <v>572</v>
      </c>
      <c r="C43" s="88"/>
      <c r="D43" s="88" t="s">
        <v>273</v>
      </c>
      <c r="E43" s="88"/>
      <c r="F43" s="8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tabSelected="1" zoomScaleNormal="100" workbookViewId="0">
      <selection activeCell="I20" sqref="I20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79" t="s">
        <v>58</v>
      </c>
      <c r="B1" s="79" t="s">
        <v>0</v>
      </c>
      <c r="C1" s="79" t="s">
        <v>143</v>
      </c>
      <c r="D1" s="79" t="s">
        <v>144</v>
      </c>
      <c r="E1" s="79" t="s">
        <v>1</v>
      </c>
      <c r="F1" s="79" t="s">
        <v>145</v>
      </c>
      <c r="G1" s="79" t="s">
        <v>146</v>
      </c>
      <c r="H1" s="79" t="s">
        <v>147</v>
      </c>
      <c r="I1" s="79" t="s">
        <v>148</v>
      </c>
      <c r="J1" s="79" t="s">
        <v>149</v>
      </c>
      <c r="K1" s="79" t="s">
        <v>19</v>
      </c>
      <c r="L1" s="79" t="s">
        <v>2</v>
      </c>
      <c r="M1" s="79" t="s">
        <v>150</v>
      </c>
      <c r="N1" s="79" t="s">
        <v>151</v>
      </c>
      <c r="O1" s="79" t="s">
        <v>175</v>
      </c>
      <c r="P1" s="79" t="s">
        <v>176</v>
      </c>
      <c r="Q1" s="79" t="s">
        <v>177</v>
      </c>
    </row>
    <row r="2" spans="1:17" x14ac:dyDescent="0.25">
      <c r="A2" s="75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90" t="str">
        <f>IF(VLOOKUP(UncLookup[[#This Row],[Item]],Items!$A$1:$F$43,2,FALSE)=0,"",VLOOKUP(UncLookup[[#This Row],[Item]],Items!$A$1:$F$43,2,FALSE))</f>
        <v/>
      </c>
      <c r="P2" s="90" t="str">
        <f>IF(VLOOKUP(UncLookup[[#This Row],[Item]],Items!$A$1:$F$43,3,FALSE)=0,"",VLOOKUP(UncLookup[[#This Row],[Item]],Items!$A$1:$F$43,3,FALSE))</f>
        <v/>
      </c>
      <c r="Q2" s="90" t="str">
        <f>IF(VLOOKUP(UncLookup[[#This Row],[Item]],Items!$A$1:$F$43,4,FALSE)=0,"",VLOOKUP(UncLookup[[#This Row],[Item]],Items!$A$1:$F$43,4,FALSE))</f>
        <v/>
      </c>
    </row>
    <row r="3" spans="1:17" x14ac:dyDescent="0.25">
      <c r="A3" s="76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90" t="str">
        <f>IF(VLOOKUP(UncLookup[[#This Row],[Item]],Items!$A$1:$F$43,2,FALSE)=0,"",VLOOKUP(UncLookup[[#This Row],[Item]],Items!$A$1:$F$43,2,FALSE))</f>
        <v/>
      </c>
      <c r="P3" s="90" t="str">
        <f>IF(VLOOKUP(UncLookup[[#This Row],[Item]],Items!$A$1:$F$43,3,FALSE)=0,"",VLOOKUP(UncLookup[[#This Row],[Item]],Items!$A$1:$F$43,3,FALSE))</f>
        <v/>
      </c>
      <c r="Q3" s="90" t="str">
        <f>IF(VLOOKUP(UncLookup[[#This Row],[Item]],Items!$A$1:$F$43,4,FALSE)=0,"",VLOOKUP(UncLookup[[#This Row],[Item]],Items!$A$1:$F$43,4,FALSE))</f>
        <v/>
      </c>
    </row>
    <row r="4" spans="1:17" x14ac:dyDescent="0.25">
      <c r="A4" s="75" t="s">
        <v>57</v>
      </c>
      <c r="B4" s="75" t="s">
        <v>7</v>
      </c>
      <c r="C4" s="75">
        <v>0</v>
      </c>
      <c r="D4" s="75">
        <v>1000</v>
      </c>
      <c r="E4" s="75">
        <v>1E-4</v>
      </c>
      <c r="F4" s="75" t="s">
        <v>104</v>
      </c>
      <c r="G4" s="75" t="s">
        <v>73</v>
      </c>
      <c r="H4" s="75">
        <v>0</v>
      </c>
      <c r="I4" s="75">
        <v>0</v>
      </c>
      <c r="J4" s="75"/>
      <c r="K4" s="75">
        <v>63.692799999999998</v>
      </c>
      <c r="L4" s="75">
        <v>6.2659430000000002E-2</v>
      </c>
      <c r="M4" s="75">
        <v>54.207389999999997</v>
      </c>
      <c r="N4" s="75">
        <v>4.7163209999999997E-2</v>
      </c>
      <c r="O4" s="90" t="str">
        <f>IF(VLOOKUP(UncLookup[[#This Row],[Item]],Items!$A$1:$F$43,2,FALSE)=0,"",VLOOKUP(UncLookup[[#This Row],[Item]],Items!$A$1:$F$43,2,FALSE))</f>
        <v/>
      </c>
      <c r="P4" s="90" t="str">
        <f>IF(VLOOKUP(UncLookup[[#This Row],[Item]],Items!$A$1:$F$43,3,FALSE)=0,"",VLOOKUP(UncLookup[[#This Row],[Item]],Items!$A$1:$F$43,3,FALSE))</f>
        <v/>
      </c>
      <c r="Q4" s="90" t="str">
        <f>IF(VLOOKUP(UncLookup[[#This Row],[Item]],Items!$A$1:$F$43,4,FALSE)=0,"",VLOOKUP(UncLookup[[#This Row],[Item]],Items!$A$1:$F$43,4,FALSE))</f>
        <v/>
      </c>
    </row>
    <row r="5" spans="1:17" x14ac:dyDescent="0.25">
      <c r="A5" s="76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90" t="str">
        <f>IF(VLOOKUP(UncLookup[[#This Row],[Item]],Items!$A$1:$F$43,2,FALSE)=0,"",VLOOKUP(UncLookup[[#This Row],[Item]],Items!$A$1:$F$43,2,FALSE))</f>
        <v/>
      </c>
      <c r="P5" s="90" t="str">
        <f>IF(VLOOKUP(UncLookup[[#This Row],[Item]],Items!$A$1:$F$43,3,FALSE)=0,"",VLOOKUP(UncLookup[[#This Row],[Item]],Items!$A$1:$F$43,3,FALSE))</f>
        <v/>
      </c>
      <c r="Q5" s="90" t="str">
        <f>IF(VLOOKUP(UncLookup[[#This Row],[Item]],Items!$A$1:$F$43,4,FALSE)=0,"",VLOOKUP(UncLookup[[#This Row],[Item]],Items!$A$1:$F$43,4,FALSE))</f>
        <v/>
      </c>
    </row>
    <row r="6" spans="1:17" x14ac:dyDescent="0.25">
      <c r="A6" s="75" t="s">
        <v>57</v>
      </c>
      <c r="B6" s="75" t="s">
        <v>7</v>
      </c>
      <c r="C6" s="75">
        <v>0</v>
      </c>
      <c r="D6" s="75">
        <v>1000</v>
      </c>
      <c r="E6" s="75">
        <v>0.01</v>
      </c>
      <c r="F6" s="75" t="s">
        <v>104</v>
      </c>
      <c r="G6" s="75" t="s">
        <v>48</v>
      </c>
      <c r="H6" s="75">
        <v>0</v>
      </c>
      <c r="I6" s="75">
        <v>0</v>
      </c>
      <c r="J6" s="75"/>
      <c r="K6" s="75">
        <v>5.8513330000000003</v>
      </c>
      <c r="L6" s="75">
        <v>2.4804999999999998E-4</v>
      </c>
      <c r="M6" s="75">
        <v>5.799944</v>
      </c>
      <c r="N6" s="75">
        <v>6.5168999999999998E-7</v>
      </c>
      <c r="O6" s="90" t="str">
        <f>IF(VLOOKUP(UncLookup[[#This Row],[Item]],Items!$A$1:$F$43,2,FALSE)=0,"",VLOOKUP(UncLookup[[#This Row],[Item]],Items!$A$1:$F$43,2,FALSE))</f>
        <v/>
      </c>
      <c r="P6" s="90" t="str">
        <f>IF(VLOOKUP(UncLookup[[#This Row],[Item]],Items!$A$1:$F$43,3,FALSE)=0,"",VLOOKUP(UncLookup[[#This Row],[Item]],Items!$A$1:$F$43,3,FALSE))</f>
        <v/>
      </c>
      <c r="Q6" s="90" t="str">
        <f>IF(VLOOKUP(UncLookup[[#This Row],[Item]],Items!$A$1:$F$43,4,FALSE)=0,"",VLOOKUP(UncLookup[[#This Row],[Item]],Items!$A$1:$F$43,4,FALSE))</f>
        <v/>
      </c>
    </row>
    <row r="7" spans="1:17" x14ac:dyDescent="0.25">
      <c r="A7" s="76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90" t="str">
        <f>IF(VLOOKUP(UncLookup[[#This Row],[Item]],Items!$A$1:$F$43,2,FALSE)=0,"",VLOOKUP(UncLookup[[#This Row],[Item]],Items!$A$1:$F$43,2,FALSE))</f>
        <v/>
      </c>
      <c r="P7" s="90" t="str">
        <f>IF(VLOOKUP(UncLookup[[#This Row],[Item]],Items!$A$1:$F$43,3,FALSE)=0,"",VLOOKUP(UncLookup[[#This Row],[Item]],Items!$A$1:$F$43,3,FALSE))</f>
        <v/>
      </c>
      <c r="Q7" s="90" t="str">
        <f>IF(VLOOKUP(UncLookup[[#This Row],[Item]],Items!$A$1:$F$43,4,FALSE)=0,"",VLOOKUP(UncLookup[[#This Row],[Item]],Items!$A$1:$F$43,4,FALSE))</f>
        <v/>
      </c>
    </row>
    <row r="8" spans="1:17" x14ac:dyDescent="0.25">
      <c r="A8" s="75" t="s">
        <v>57</v>
      </c>
      <c r="B8" s="75" t="s">
        <v>7</v>
      </c>
      <c r="C8" s="75">
        <v>1000</v>
      </c>
      <c r="D8" s="75">
        <v>10000</v>
      </c>
      <c r="E8" s="75">
        <v>1E-4</v>
      </c>
      <c r="F8" s="75" t="s">
        <v>104</v>
      </c>
      <c r="G8" s="75" t="s">
        <v>73</v>
      </c>
      <c r="H8" s="75">
        <v>0</v>
      </c>
      <c r="I8" s="75">
        <v>0</v>
      </c>
      <c r="J8" s="75"/>
      <c r="K8" s="75">
        <v>66.558580000000006</v>
      </c>
      <c r="L8" s="75">
        <v>6.6055710000000004E-2</v>
      </c>
      <c r="M8" s="75">
        <v>41.389360000000003</v>
      </c>
      <c r="N8" s="75">
        <v>6.7687049999999999E-2</v>
      </c>
      <c r="O8" s="90" t="str">
        <f>IF(VLOOKUP(UncLookup[[#This Row],[Item]],Items!$A$1:$F$43,2,FALSE)=0,"",VLOOKUP(UncLookup[[#This Row],[Item]],Items!$A$1:$F$43,2,FALSE))</f>
        <v/>
      </c>
      <c r="P8" s="90" t="str">
        <f>IF(VLOOKUP(UncLookup[[#This Row],[Item]],Items!$A$1:$F$43,3,FALSE)=0,"",VLOOKUP(UncLookup[[#This Row],[Item]],Items!$A$1:$F$43,3,FALSE))</f>
        <v/>
      </c>
      <c r="Q8" s="90" t="str">
        <f>IF(VLOOKUP(UncLookup[[#This Row],[Item]],Items!$A$1:$F$43,4,FALSE)=0,"",VLOOKUP(UncLookup[[#This Row],[Item]],Items!$A$1:$F$43,4,FALSE))</f>
        <v/>
      </c>
    </row>
    <row r="9" spans="1:17" x14ac:dyDescent="0.25">
      <c r="A9" s="76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7">
        <v>5.475087E-2</v>
      </c>
      <c r="M9" s="76">
        <v>550.19219999999996</v>
      </c>
      <c r="N9" s="77">
        <v>3.7118350000000001E-2</v>
      </c>
      <c r="O9" s="90" t="str">
        <f>IF(VLOOKUP(UncLookup[[#This Row],[Item]],Items!$A$1:$F$43,2,FALSE)=0,"",VLOOKUP(UncLookup[[#This Row],[Item]],Items!$A$1:$F$43,2,FALSE))</f>
        <v/>
      </c>
      <c r="P9" s="90" t="str">
        <f>IF(VLOOKUP(UncLookup[[#This Row],[Item]],Items!$A$1:$F$43,3,FALSE)=0,"",VLOOKUP(UncLookup[[#This Row],[Item]],Items!$A$1:$F$43,3,FALSE))</f>
        <v/>
      </c>
      <c r="Q9" s="90" t="str">
        <f>IF(VLOOKUP(UncLookup[[#This Row],[Item]],Items!$A$1:$F$43,4,FALSE)=0,"",VLOOKUP(UncLookup[[#This Row],[Item]],Items!$A$1:$F$43,4,FALSE))</f>
        <v/>
      </c>
    </row>
    <row r="10" spans="1:17" x14ac:dyDescent="0.25">
      <c r="A10" s="75" t="s">
        <v>57</v>
      </c>
      <c r="B10" s="75" t="s">
        <v>7</v>
      </c>
      <c r="C10" s="75">
        <v>1000</v>
      </c>
      <c r="D10" s="75">
        <v>10000</v>
      </c>
      <c r="E10" s="75">
        <v>0.01</v>
      </c>
      <c r="F10" s="75" t="s">
        <v>104</v>
      </c>
      <c r="G10" s="75" t="s">
        <v>48</v>
      </c>
      <c r="H10" s="75">
        <v>0</v>
      </c>
      <c r="I10" s="75">
        <v>0</v>
      </c>
      <c r="J10" s="75"/>
      <c r="K10" s="75">
        <v>6.0044399999999998</v>
      </c>
      <c r="L10" s="78">
        <v>9.5075599999999995E-5</v>
      </c>
      <c r="M10" s="75">
        <v>5.7959269999999998</v>
      </c>
      <c r="N10" s="78">
        <v>4.8090299999999996E-6</v>
      </c>
      <c r="O10" s="90" t="str">
        <f>IF(VLOOKUP(UncLookup[[#This Row],[Item]],Items!$A$1:$F$43,2,FALSE)=0,"",VLOOKUP(UncLookup[[#This Row],[Item]],Items!$A$1:$F$43,2,FALSE))</f>
        <v/>
      </c>
      <c r="P10" s="90" t="str">
        <f>IF(VLOOKUP(UncLookup[[#This Row],[Item]],Items!$A$1:$F$43,3,FALSE)=0,"",VLOOKUP(UncLookup[[#This Row],[Item]],Items!$A$1:$F$43,3,FALSE))</f>
        <v/>
      </c>
      <c r="Q10" s="90" t="str">
        <f>IF(VLOOKUP(UncLookup[[#This Row],[Item]],Items!$A$1:$F$43,4,FALSE)=0,"",VLOOKUP(UncLookup[[#This Row],[Item]],Items!$A$1:$F$43,4,FALSE))</f>
        <v/>
      </c>
    </row>
    <row r="11" spans="1:17" x14ac:dyDescent="0.25">
      <c r="A11" s="76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76">
        <v>2.47889E-4</v>
      </c>
      <c r="M11" s="76">
        <v>57.999589999999998</v>
      </c>
      <c r="N11" s="76">
        <v>4.8273899999999997E-7</v>
      </c>
      <c r="O11" s="90" t="str">
        <f>IF(VLOOKUP(UncLookup[[#This Row],[Item]],Items!$A$1:$F$43,2,FALSE)=0,"",VLOOKUP(UncLookup[[#This Row],[Item]],Items!$A$1:$F$43,2,FALSE))</f>
        <v/>
      </c>
      <c r="P11" s="90" t="str">
        <f>IF(VLOOKUP(UncLookup[[#This Row],[Item]],Items!$A$1:$F$43,3,FALSE)=0,"",VLOOKUP(UncLookup[[#This Row],[Item]],Items!$A$1:$F$43,3,FALSE))</f>
        <v/>
      </c>
      <c r="Q11" s="90" t="str">
        <f>IF(VLOOKUP(UncLookup[[#This Row],[Item]],Items!$A$1:$F$43,4,FALSE)=0,"",VLOOKUP(UncLookup[[#This Row],[Item]],Items!$A$1:$F$43,4,FALSE))</f>
        <v/>
      </c>
    </row>
    <row r="12" spans="1:17" x14ac:dyDescent="0.25">
      <c r="A12" s="75" t="s">
        <v>57</v>
      </c>
      <c r="B12" s="75" t="s">
        <v>7</v>
      </c>
      <c r="C12" s="75">
        <v>1000</v>
      </c>
      <c r="D12" s="75">
        <v>10000</v>
      </c>
      <c r="E12" s="75">
        <v>10</v>
      </c>
      <c r="F12" s="75" t="s">
        <v>104</v>
      </c>
      <c r="G12" s="75" t="s">
        <v>48</v>
      </c>
      <c r="H12" s="75">
        <v>0</v>
      </c>
      <c r="I12" s="75">
        <v>0</v>
      </c>
      <c r="J12" s="75"/>
      <c r="K12" s="75">
        <v>24.035060000000001</v>
      </c>
      <c r="L12" s="75">
        <v>6.9214000000000005E-5</v>
      </c>
      <c r="M12" s="75">
        <v>23.295500000000001</v>
      </c>
      <c r="N12" s="75">
        <v>6.9264000000000006E-5</v>
      </c>
      <c r="O12" s="90" t="str">
        <f>IF(VLOOKUP(UncLookup[[#This Row],[Item]],Items!$A$1:$F$43,2,FALSE)=0,"",VLOOKUP(UncLookup[[#This Row],[Item]],Items!$A$1:$F$43,2,FALSE))</f>
        <v/>
      </c>
      <c r="P12" s="90" t="str">
        <f>IF(VLOOKUP(UncLookup[[#This Row],[Item]],Items!$A$1:$F$43,3,FALSE)=0,"",VLOOKUP(UncLookup[[#This Row],[Item]],Items!$A$1:$F$43,3,FALSE))</f>
        <v/>
      </c>
      <c r="Q12" s="90" t="str">
        <f>IF(VLOOKUP(UncLookup[[#This Row],[Item]],Items!$A$1:$F$43,4,FALSE)=0,"",VLOOKUP(UncLookup[[#This Row],[Item]],Items!$A$1:$F$43,4,FALSE))</f>
        <v/>
      </c>
    </row>
    <row r="13" spans="1:17" x14ac:dyDescent="0.25">
      <c r="A13" s="76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90" t="str">
        <f>IF(VLOOKUP(UncLookup[[#This Row],[Item]],Items!$A$1:$F$43,2,FALSE)=0,"",VLOOKUP(UncLookup[[#This Row],[Item]],Items!$A$1:$F$43,2,FALSE))</f>
        <v/>
      </c>
      <c r="P13" s="90" t="str">
        <f>IF(VLOOKUP(UncLookup[[#This Row],[Item]],Items!$A$1:$F$43,3,FALSE)=0,"",VLOOKUP(UncLookup[[#This Row],[Item]],Items!$A$1:$F$43,3,FALSE))</f>
        <v/>
      </c>
      <c r="Q13" s="90" t="str">
        <f>IF(VLOOKUP(UncLookup[[#This Row],[Item]],Items!$A$1:$F$43,4,FALSE)=0,"",VLOOKUP(UncLookup[[#This Row],[Item]],Items!$A$1:$F$43,4,FALSE))</f>
        <v/>
      </c>
    </row>
    <row r="14" spans="1:17" x14ac:dyDescent="0.25">
      <c r="A14" s="75" t="s">
        <v>57</v>
      </c>
      <c r="B14" s="75" t="s">
        <v>7</v>
      </c>
      <c r="C14" s="75">
        <v>1000</v>
      </c>
      <c r="D14" s="75">
        <v>10000</v>
      </c>
      <c r="E14" s="75">
        <v>1000</v>
      </c>
      <c r="F14" s="75" t="s">
        <v>104</v>
      </c>
      <c r="G14" s="75" t="s">
        <v>48</v>
      </c>
      <c r="H14" s="75">
        <v>0</v>
      </c>
      <c r="I14" s="75">
        <v>0</v>
      </c>
      <c r="J14" s="75"/>
      <c r="K14" s="75">
        <v>643.21469999999999</v>
      </c>
      <c r="L14" s="75">
        <v>5.4750999999999998E-5</v>
      </c>
      <c r="M14" s="75">
        <v>550.19200000000001</v>
      </c>
      <c r="N14" s="75">
        <v>3.7117999999999999E-5</v>
      </c>
      <c r="O14" s="90" t="str">
        <f>IF(VLOOKUP(UncLookup[[#This Row],[Item]],Items!$A$1:$F$43,2,FALSE)=0,"",VLOOKUP(UncLookup[[#This Row],[Item]],Items!$A$1:$F$43,2,FALSE))</f>
        <v/>
      </c>
      <c r="P14" s="90" t="str">
        <f>IF(VLOOKUP(UncLookup[[#This Row],[Item]],Items!$A$1:$F$43,3,FALSE)=0,"",VLOOKUP(UncLookup[[#This Row],[Item]],Items!$A$1:$F$43,3,FALSE))</f>
        <v/>
      </c>
      <c r="Q14" s="90" t="str">
        <f>IF(VLOOKUP(UncLookup[[#This Row],[Item]],Items!$A$1:$F$43,4,FALSE)=0,"",VLOOKUP(UncLookup[[#This Row],[Item]],Items!$A$1:$F$43,4,FALSE))</f>
        <v/>
      </c>
    </row>
    <row r="15" spans="1:17" x14ac:dyDescent="0.25">
      <c r="A15" s="76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90" t="str">
        <f>IF(VLOOKUP(UncLookup[[#This Row],[Item]],Items!$A$1:$F$43,2,FALSE)=0,"",VLOOKUP(UncLookup[[#This Row],[Item]],Items!$A$1:$F$43,2,FALSE))</f>
        <v/>
      </c>
      <c r="P15" s="90" t="str">
        <f>IF(VLOOKUP(UncLookup[[#This Row],[Item]],Items!$A$1:$F$43,3,FALSE)=0,"",VLOOKUP(UncLookup[[#This Row],[Item]],Items!$A$1:$F$43,3,FALSE))</f>
        <v/>
      </c>
      <c r="Q15" s="90" t="str">
        <f>IF(VLOOKUP(UncLookup[[#This Row],[Item]],Items!$A$1:$F$43,4,FALSE)=0,"",VLOOKUP(UncLookup[[#This Row],[Item]],Items!$A$1:$F$43,4,FALSE))</f>
        <v/>
      </c>
    </row>
    <row r="16" spans="1:17" x14ac:dyDescent="0.25">
      <c r="A16" s="75" t="s">
        <v>57</v>
      </c>
      <c r="B16" s="75" t="s">
        <v>7</v>
      </c>
      <c r="C16" s="75">
        <v>1000</v>
      </c>
      <c r="D16" s="75">
        <v>10000</v>
      </c>
      <c r="E16" s="75">
        <v>100000</v>
      </c>
      <c r="F16" s="75" t="s">
        <v>104</v>
      </c>
      <c r="G16" s="75" t="s">
        <v>49</v>
      </c>
      <c r="H16" s="75">
        <v>0</v>
      </c>
      <c r="I16" s="75">
        <v>0</v>
      </c>
      <c r="J16" s="75"/>
      <c r="K16" s="75">
        <v>58.513469999999998</v>
      </c>
      <c r="L16" s="75">
        <v>2.47889E-7</v>
      </c>
      <c r="M16" s="75">
        <v>57.999589999999998</v>
      </c>
      <c r="N16" s="75">
        <v>4.8299999999999999E-10</v>
      </c>
      <c r="O16" s="90" t="str">
        <f>IF(VLOOKUP(UncLookup[[#This Row],[Item]],Items!$A$1:$F$43,2,FALSE)=0,"",VLOOKUP(UncLookup[[#This Row],[Item]],Items!$A$1:$F$43,2,FALSE))</f>
        <v/>
      </c>
      <c r="P16" s="90" t="str">
        <f>IF(VLOOKUP(UncLookup[[#This Row],[Item]],Items!$A$1:$F$43,3,FALSE)=0,"",VLOOKUP(UncLookup[[#This Row],[Item]],Items!$A$1:$F$43,3,FALSE))</f>
        <v/>
      </c>
      <c r="Q16" s="90" t="str">
        <f>IF(VLOOKUP(UncLookup[[#This Row],[Item]],Items!$A$1:$F$43,4,FALSE)=0,"",VLOOKUP(UncLookup[[#This Row],[Item]],Items!$A$1:$F$43,4,FALSE))</f>
        <v/>
      </c>
    </row>
    <row r="17" spans="1:17" x14ac:dyDescent="0.25">
      <c r="A17" s="76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90" t="str">
        <f>IF(VLOOKUP(UncLookup[[#This Row],[Item]],Items!$A$1:$F$43,2,FALSE)=0,"",VLOOKUP(UncLookup[[#This Row],[Item]],Items!$A$1:$F$43,2,FALSE))</f>
        <v/>
      </c>
      <c r="P17" s="90" t="str">
        <f>IF(VLOOKUP(UncLookup[[#This Row],[Item]],Items!$A$1:$F$43,3,FALSE)=0,"",VLOOKUP(UncLookup[[#This Row],[Item]],Items!$A$1:$F$43,3,FALSE))</f>
        <v/>
      </c>
      <c r="Q17" s="90" t="str">
        <f>IF(VLOOKUP(UncLookup[[#This Row],[Item]],Items!$A$1:$F$43,4,FALSE)=0,"",VLOOKUP(UncLookup[[#This Row],[Item]],Items!$A$1:$F$43,4,FALSE))</f>
        <v/>
      </c>
    </row>
    <row r="18" spans="1:17" x14ac:dyDescent="0.25">
      <c r="A18" s="75" t="s">
        <v>57</v>
      </c>
      <c r="B18" s="75" t="s">
        <v>7</v>
      </c>
      <c r="C18" s="75">
        <v>10000</v>
      </c>
      <c r="D18" s="75">
        <v>100000</v>
      </c>
      <c r="E18" s="75">
        <v>1E-3</v>
      </c>
      <c r="F18" s="75" t="s">
        <v>104</v>
      </c>
      <c r="G18" s="75" t="s">
        <v>48</v>
      </c>
      <c r="H18" s="75">
        <v>0</v>
      </c>
      <c r="I18" s="75">
        <v>0</v>
      </c>
      <c r="J18" s="75"/>
      <c r="K18" s="75">
        <v>0.66558600000000001</v>
      </c>
      <c r="L18" s="75">
        <v>6.6056000000000006E-5</v>
      </c>
      <c r="M18" s="75">
        <v>0.41389399999999998</v>
      </c>
      <c r="N18" s="75">
        <v>6.7687000000000004E-5</v>
      </c>
      <c r="O18" s="90" t="str">
        <f>IF(VLOOKUP(UncLookup[[#This Row],[Item]],Items!$A$1:$F$43,2,FALSE)=0,"",VLOOKUP(UncLookup[[#This Row],[Item]],Items!$A$1:$F$43,2,FALSE))</f>
        <v/>
      </c>
      <c r="P18" s="90" t="str">
        <f>IF(VLOOKUP(UncLookup[[#This Row],[Item]],Items!$A$1:$F$43,3,FALSE)=0,"",VLOOKUP(UncLookup[[#This Row],[Item]],Items!$A$1:$F$43,3,FALSE))</f>
        <v/>
      </c>
      <c r="Q18" s="90" t="str">
        <f>IF(VLOOKUP(UncLookup[[#This Row],[Item]],Items!$A$1:$F$43,4,FALSE)=0,"",VLOOKUP(UncLookup[[#This Row],[Item]],Items!$A$1:$F$43,4,FALSE))</f>
        <v/>
      </c>
    </row>
    <row r="19" spans="1:17" x14ac:dyDescent="0.25">
      <c r="A19" s="76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90" t="str">
        <f>IF(VLOOKUP(UncLookup[[#This Row],[Item]],Items!$A$1:$F$43,2,FALSE)=0,"",VLOOKUP(UncLookup[[#This Row],[Item]],Items!$A$1:$F$43,2,FALSE))</f>
        <v/>
      </c>
      <c r="P19" s="90" t="str">
        <f>IF(VLOOKUP(UncLookup[[#This Row],[Item]],Items!$A$1:$F$43,3,FALSE)=0,"",VLOOKUP(UncLookup[[#This Row],[Item]],Items!$A$1:$F$43,3,FALSE))</f>
        <v/>
      </c>
      <c r="Q19" s="90" t="str">
        <f>IF(VLOOKUP(UncLookup[[#This Row],[Item]],Items!$A$1:$F$43,4,FALSE)=0,"",VLOOKUP(UncLookup[[#This Row],[Item]],Items!$A$1:$F$43,4,FALSE))</f>
        <v/>
      </c>
    </row>
    <row r="20" spans="1:17" x14ac:dyDescent="0.25">
      <c r="A20" s="75" t="s">
        <v>57</v>
      </c>
      <c r="B20" s="75" t="s">
        <v>7</v>
      </c>
      <c r="C20" s="75">
        <v>10000</v>
      </c>
      <c r="D20" s="75">
        <v>100000</v>
      </c>
      <c r="E20" s="75">
        <v>0.1</v>
      </c>
      <c r="F20" s="75" t="s">
        <v>104</v>
      </c>
      <c r="G20" s="75" t="s">
        <v>48</v>
      </c>
      <c r="H20" s="75">
        <v>0</v>
      </c>
      <c r="I20" s="75">
        <v>0</v>
      </c>
      <c r="J20" s="75"/>
      <c r="K20" s="75">
        <v>60.044400000000003</v>
      </c>
      <c r="L20" s="75">
        <v>9.5075999999999996E-5</v>
      </c>
      <c r="M20" s="75">
        <v>57.959269999999997</v>
      </c>
      <c r="N20" s="75">
        <v>4.809E-6</v>
      </c>
      <c r="O20" s="90" t="str">
        <f>IF(VLOOKUP(UncLookup[[#This Row],[Item]],Items!$A$1:$F$43,2,FALSE)=0,"",VLOOKUP(UncLookup[[#This Row],[Item]],Items!$A$1:$F$43,2,FALSE))</f>
        <v/>
      </c>
      <c r="P20" s="90" t="str">
        <f>IF(VLOOKUP(UncLookup[[#This Row],[Item]],Items!$A$1:$F$43,3,FALSE)=0,"",VLOOKUP(UncLookup[[#This Row],[Item]],Items!$A$1:$F$43,3,FALSE))</f>
        <v/>
      </c>
      <c r="Q20" s="90" t="str">
        <f>IF(VLOOKUP(UncLookup[[#This Row],[Item]],Items!$A$1:$F$43,4,FALSE)=0,"",VLOOKUP(UncLookup[[#This Row],[Item]],Items!$A$1:$F$43,4,FALSE))</f>
        <v/>
      </c>
    </row>
    <row r="21" spans="1:17" x14ac:dyDescent="0.25">
      <c r="A21" s="76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90" t="str">
        <f>IF(VLOOKUP(UncLookup[[#This Row],[Item]],Items!$A$1:$F$43,2,FALSE)=0,"",VLOOKUP(UncLookup[[#This Row],[Item]],Items!$A$1:$F$43,2,FALSE))</f>
        <v/>
      </c>
      <c r="P21" s="90" t="str">
        <f>IF(VLOOKUP(UncLookup[[#This Row],[Item]],Items!$A$1:$F$43,3,FALSE)=0,"",VLOOKUP(UncLookup[[#This Row],[Item]],Items!$A$1:$F$43,3,FALSE))</f>
        <v/>
      </c>
      <c r="Q21" s="90" t="str">
        <f>IF(VLOOKUP(UncLookup[[#This Row],[Item]],Items!$A$1:$F$43,4,FALSE)=0,"",VLOOKUP(UncLookup[[#This Row],[Item]],Items!$A$1:$F$43,4,FALSE))</f>
        <v/>
      </c>
    </row>
    <row r="22" spans="1:17" x14ac:dyDescent="0.25">
      <c r="A22" s="75" t="s">
        <v>57</v>
      </c>
      <c r="B22" s="75" t="s">
        <v>7</v>
      </c>
      <c r="C22" s="75">
        <v>10000</v>
      </c>
      <c r="D22" s="75">
        <v>100000</v>
      </c>
      <c r="E22" s="75">
        <v>100</v>
      </c>
      <c r="F22" s="75" t="s">
        <v>104</v>
      </c>
      <c r="G22" s="75" t="s">
        <v>49</v>
      </c>
      <c r="H22" s="75">
        <v>0</v>
      </c>
      <c r="I22" s="75">
        <v>0</v>
      </c>
      <c r="J22" s="75"/>
      <c r="K22" s="75">
        <v>0.46937299999999998</v>
      </c>
      <c r="L22" s="75">
        <v>6.9199999999999998E-8</v>
      </c>
      <c r="M22" s="75">
        <v>0.46348800000000001</v>
      </c>
      <c r="N22" s="75">
        <v>6.9300000000000005E-8</v>
      </c>
      <c r="O22" s="90" t="str">
        <f>IF(VLOOKUP(UncLookup[[#This Row],[Item]],Items!$A$1:$F$43,2,FALSE)=0,"",VLOOKUP(UncLookup[[#This Row],[Item]],Items!$A$1:$F$43,2,FALSE))</f>
        <v/>
      </c>
      <c r="P22" s="90" t="str">
        <f>IF(VLOOKUP(UncLookup[[#This Row],[Item]],Items!$A$1:$F$43,3,FALSE)=0,"",VLOOKUP(UncLookup[[#This Row],[Item]],Items!$A$1:$F$43,3,FALSE))</f>
        <v/>
      </c>
      <c r="Q22" s="90" t="str">
        <f>IF(VLOOKUP(UncLookup[[#This Row],[Item]],Items!$A$1:$F$43,4,FALSE)=0,"",VLOOKUP(UncLookup[[#This Row],[Item]],Items!$A$1:$F$43,4,FALSE))</f>
        <v/>
      </c>
    </row>
    <row r="23" spans="1:17" x14ac:dyDescent="0.25">
      <c r="A23" s="76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90" t="str">
        <f>IF(VLOOKUP(UncLookup[[#This Row],[Item]],Items!$A$1:$F$43,2,FALSE)=0,"",VLOOKUP(UncLookup[[#This Row],[Item]],Items!$A$1:$F$43,2,FALSE))</f>
        <v/>
      </c>
      <c r="P23" s="90" t="str">
        <f>IF(VLOOKUP(UncLookup[[#This Row],[Item]],Items!$A$1:$F$43,3,FALSE)=0,"",VLOOKUP(UncLookup[[#This Row],[Item]],Items!$A$1:$F$43,3,FALSE))</f>
        <v/>
      </c>
      <c r="Q23" s="90" t="str">
        <f>IF(VLOOKUP(UncLookup[[#This Row],[Item]],Items!$A$1:$F$43,4,FALSE)=0,"",VLOOKUP(UncLookup[[#This Row],[Item]],Items!$A$1:$F$43,4,FALSE))</f>
        <v/>
      </c>
    </row>
    <row r="24" spans="1:17" x14ac:dyDescent="0.25">
      <c r="A24" s="75" t="s">
        <v>57</v>
      </c>
      <c r="B24" s="75" t="s">
        <v>7</v>
      </c>
      <c r="C24" s="75">
        <v>10000</v>
      </c>
      <c r="D24" s="75">
        <v>100000</v>
      </c>
      <c r="E24" s="75">
        <v>10000</v>
      </c>
      <c r="F24" s="75" t="s">
        <v>104</v>
      </c>
      <c r="G24" s="75" t="s">
        <v>49</v>
      </c>
      <c r="H24" s="75">
        <v>0</v>
      </c>
      <c r="I24" s="75">
        <v>0</v>
      </c>
      <c r="J24" s="75"/>
      <c r="K24" s="75">
        <v>6.4546739999999998</v>
      </c>
      <c r="L24" s="75">
        <v>5.5899999999999998E-8</v>
      </c>
      <c r="M24" s="75">
        <v>5.527107</v>
      </c>
      <c r="N24" s="75">
        <v>3.8700000000000002E-8</v>
      </c>
      <c r="O24" s="90" t="str">
        <f>IF(VLOOKUP(UncLookup[[#This Row],[Item]],Items!$A$1:$F$43,2,FALSE)=0,"",VLOOKUP(UncLookup[[#This Row],[Item]],Items!$A$1:$F$43,2,FALSE))</f>
        <v/>
      </c>
      <c r="P24" s="90" t="str">
        <f>IF(VLOOKUP(UncLookup[[#This Row],[Item]],Items!$A$1:$F$43,3,FALSE)=0,"",VLOOKUP(UncLookup[[#This Row],[Item]],Items!$A$1:$F$43,3,FALSE))</f>
        <v/>
      </c>
      <c r="Q24" s="90" t="str">
        <f>IF(VLOOKUP(UncLookup[[#This Row],[Item]],Items!$A$1:$F$43,4,FALSE)=0,"",VLOOKUP(UncLookup[[#This Row],[Item]],Items!$A$1:$F$43,4,FALSE))</f>
        <v/>
      </c>
    </row>
    <row r="25" spans="1:17" x14ac:dyDescent="0.25">
      <c r="A25" s="76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90" t="str">
        <f>IF(VLOOKUP(UncLookup[[#This Row],[Item]],Items!$A$1:$F$43,2,FALSE)=0,"",VLOOKUP(UncLookup[[#This Row],[Item]],Items!$A$1:$F$43,2,FALSE))</f>
        <v/>
      </c>
      <c r="P25" s="90" t="str">
        <f>IF(VLOOKUP(UncLookup[[#This Row],[Item]],Items!$A$1:$F$43,3,FALSE)=0,"",VLOOKUP(UncLookup[[#This Row],[Item]],Items!$A$1:$F$43,3,FALSE))</f>
        <v/>
      </c>
      <c r="Q25" s="90" t="str">
        <f>IF(VLOOKUP(UncLookup[[#This Row],[Item]],Items!$A$1:$F$43,4,FALSE)=0,"",VLOOKUP(UncLookup[[#This Row],[Item]],Items!$A$1:$F$43,4,FALSE))</f>
        <v/>
      </c>
    </row>
    <row r="26" spans="1:17" x14ac:dyDescent="0.25">
      <c r="A26" s="75" t="s">
        <v>57</v>
      </c>
      <c r="B26" s="75" t="s">
        <v>7</v>
      </c>
      <c r="C26" s="75">
        <v>10000</v>
      </c>
      <c r="D26" s="75">
        <v>100000</v>
      </c>
      <c r="E26" s="75">
        <v>1000000</v>
      </c>
      <c r="F26" s="75" t="s">
        <v>104</v>
      </c>
      <c r="G26" s="75" t="s">
        <v>49</v>
      </c>
      <c r="H26" s="75">
        <v>0</v>
      </c>
      <c r="I26" s="75">
        <v>0</v>
      </c>
      <c r="J26" s="75"/>
      <c r="K26" s="75">
        <v>585.13490000000002</v>
      </c>
      <c r="L26" s="75">
        <v>2.48E-7</v>
      </c>
      <c r="M26" s="75">
        <v>579.99599999999998</v>
      </c>
      <c r="N26" s="75">
        <v>5.1E-10</v>
      </c>
      <c r="O26" s="90" t="str">
        <f>IF(VLOOKUP(UncLookup[[#This Row],[Item]],Items!$A$1:$F$43,2,FALSE)=0,"",VLOOKUP(UncLookup[[#This Row],[Item]],Items!$A$1:$F$43,2,FALSE))</f>
        <v/>
      </c>
      <c r="P26" s="90" t="str">
        <f>IF(VLOOKUP(UncLookup[[#This Row],[Item]],Items!$A$1:$F$43,3,FALSE)=0,"",VLOOKUP(UncLookup[[#This Row],[Item]],Items!$A$1:$F$43,3,FALSE))</f>
        <v/>
      </c>
      <c r="Q26" s="90" t="str">
        <f>IF(VLOOKUP(UncLookup[[#This Row],[Item]],Items!$A$1:$F$43,4,FALSE)=0,"",VLOOKUP(UncLookup[[#This Row],[Item]],Items!$A$1:$F$43,4,FALSE))</f>
        <v/>
      </c>
    </row>
    <row r="27" spans="1:17" x14ac:dyDescent="0.25">
      <c r="A27" s="76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90" t="str">
        <f>IF(VLOOKUP(UncLookup[[#This Row],[Item]],Items!$A$1:$F$43,2,FALSE)=0,"",VLOOKUP(UncLookup[[#This Row],[Item]],Items!$A$1:$F$43,2,FALSE))</f>
        <v/>
      </c>
      <c r="P27" s="90" t="str">
        <f>IF(VLOOKUP(UncLookup[[#This Row],[Item]],Items!$A$1:$F$43,3,FALSE)=0,"",VLOOKUP(UncLookup[[#This Row],[Item]],Items!$A$1:$F$43,3,FALSE))</f>
        <v/>
      </c>
      <c r="Q27" s="90" t="str">
        <f>IF(VLOOKUP(UncLookup[[#This Row],[Item]],Items!$A$1:$F$43,4,FALSE)=0,"",VLOOKUP(UncLookup[[#This Row],[Item]],Items!$A$1:$F$43,4,FALSE))</f>
        <v/>
      </c>
    </row>
    <row r="28" spans="1:17" x14ac:dyDescent="0.25">
      <c r="A28" s="75" t="s">
        <v>57</v>
      </c>
      <c r="B28" s="75" t="s">
        <v>7</v>
      </c>
      <c r="C28" s="75">
        <v>100000</v>
      </c>
      <c r="D28" s="75">
        <v>1000</v>
      </c>
      <c r="E28" s="75">
        <v>10</v>
      </c>
      <c r="F28" s="75" t="s">
        <v>104</v>
      </c>
      <c r="G28" s="75" t="s">
        <v>48</v>
      </c>
      <c r="H28" s="75">
        <v>0</v>
      </c>
      <c r="I28" s="75">
        <v>0</v>
      </c>
      <c r="J28" s="75"/>
      <c r="K28" s="75">
        <v>6.6558580000000003</v>
      </c>
      <c r="L28" s="75">
        <v>6.6056000000000006E-5</v>
      </c>
      <c r="M28" s="75">
        <v>4.1389360000000002</v>
      </c>
      <c r="N28" s="75">
        <v>6.7687000000000004E-5</v>
      </c>
      <c r="O28" s="90" t="str">
        <f>IF(VLOOKUP(UncLookup[[#This Row],[Item]],Items!$A$1:$F$43,2,FALSE)=0,"",VLOOKUP(UncLookup[[#This Row],[Item]],Items!$A$1:$F$43,2,FALSE))</f>
        <v/>
      </c>
      <c r="P28" s="90" t="str">
        <f>IF(VLOOKUP(UncLookup[[#This Row],[Item]],Items!$A$1:$F$43,3,FALSE)=0,"",VLOOKUP(UncLookup[[#This Row],[Item]],Items!$A$1:$F$43,3,FALSE))</f>
        <v/>
      </c>
      <c r="Q28" s="90" t="str">
        <f>IF(VLOOKUP(UncLookup[[#This Row],[Item]],Items!$A$1:$F$43,4,FALSE)=0,"",VLOOKUP(UncLookup[[#This Row],[Item]],Items!$A$1:$F$43,4,FALSE))</f>
        <v/>
      </c>
    </row>
    <row r="29" spans="1:17" x14ac:dyDescent="0.25">
      <c r="A29" s="76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90" t="str">
        <f>IF(VLOOKUP(UncLookup[[#This Row],[Item]],Items!$A$1:$F$43,2,FALSE)=0,"",VLOOKUP(UncLookup[[#This Row],[Item]],Items!$A$1:$F$43,2,FALSE))</f>
        <v/>
      </c>
      <c r="P29" s="90" t="str">
        <f>IF(VLOOKUP(UncLookup[[#This Row],[Item]],Items!$A$1:$F$43,3,FALSE)=0,"",VLOOKUP(UncLookup[[#This Row],[Item]],Items!$A$1:$F$43,3,FALSE))</f>
        <v/>
      </c>
      <c r="Q29" s="90" t="str">
        <f>IF(VLOOKUP(UncLookup[[#This Row],[Item]],Items!$A$1:$F$43,4,FALSE)=0,"",VLOOKUP(UncLookup[[#This Row],[Item]],Items!$A$1:$F$43,4,FALSE))</f>
        <v/>
      </c>
    </row>
    <row r="30" spans="1:17" x14ac:dyDescent="0.25">
      <c r="A30" s="75" t="s">
        <v>57</v>
      </c>
      <c r="B30" s="75" t="s">
        <v>7</v>
      </c>
      <c r="C30" s="75">
        <v>100000</v>
      </c>
      <c r="D30" s="75">
        <v>1000</v>
      </c>
      <c r="E30" s="75">
        <v>1000</v>
      </c>
      <c r="F30" s="75" t="s">
        <v>104</v>
      </c>
      <c r="G30" s="75" t="s">
        <v>48</v>
      </c>
      <c r="H30" s="75">
        <v>0</v>
      </c>
      <c r="I30" s="75">
        <v>0</v>
      </c>
      <c r="J30" s="75"/>
      <c r="K30" s="75">
        <v>600.44399999999996</v>
      </c>
      <c r="L30" s="75">
        <v>9.5075999999999996E-5</v>
      </c>
      <c r="M30" s="75">
        <v>579.59270000000004</v>
      </c>
      <c r="N30" s="75">
        <v>4.809E-6</v>
      </c>
      <c r="O30" s="90" t="str">
        <f>IF(VLOOKUP(UncLookup[[#This Row],[Item]],Items!$A$1:$F$43,2,FALSE)=0,"",VLOOKUP(UncLookup[[#This Row],[Item]],Items!$A$1:$F$43,2,FALSE))</f>
        <v/>
      </c>
      <c r="P30" s="90" t="str">
        <f>IF(VLOOKUP(UncLookup[[#This Row],[Item]],Items!$A$1:$F$43,3,FALSE)=0,"",VLOOKUP(UncLookup[[#This Row],[Item]],Items!$A$1:$F$43,3,FALSE))</f>
        <v/>
      </c>
      <c r="Q30" s="90" t="str">
        <f>IF(VLOOKUP(UncLookup[[#This Row],[Item]],Items!$A$1:$F$43,4,FALSE)=0,"",VLOOKUP(UncLookup[[#This Row],[Item]],Items!$A$1:$F$43,4,FALSE))</f>
        <v/>
      </c>
    </row>
    <row r="31" spans="1:17" x14ac:dyDescent="0.25">
      <c r="A31" s="76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90" t="str">
        <f>IF(VLOOKUP(UncLookup[[#This Row],[Item]],Items!$A$1:$F$43,2,FALSE)=0,"",VLOOKUP(UncLookup[[#This Row],[Item]],Items!$A$1:$F$43,2,FALSE))</f>
        <v/>
      </c>
      <c r="P31" s="90" t="str">
        <f>IF(VLOOKUP(UncLookup[[#This Row],[Item]],Items!$A$1:$F$43,3,FALSE)=0,"",VLOOKUP(UncLookup[[#This Row],[Item]],Items!$A$1:$F$43,3,FALSE))</f>
        <v/>
      </c>
      <c r="Q31" s="90" t="str">
        <f>IF(VLOOKUP(UncLookup[[#This Row],[Item]],Items!$A$1:$F$43,4,FALSE)=0,"",VLOOKUP(UncLookup[[#This Row],[Item]],Items!$A$1:$F$43,4,FALSE))</f>
        <v/>
      </c>
    </row>
    <row r="32" spans="1:17" x14ac:dyDescent="0.25">
      <c r="A32" s="75" t="s">
        <v>57</v>
      </c>
      <c r="B32" s="75" t="s">
        <v>7</v>
      </c>
      <c r="C32" s="75">
        <v>100000</v>
      </c>
      <c r="D32" s="75">
        <v>1000</v>
      </c>
      <c r="E32" s="75">
        <v>1000000</v>
      </c>
      <c r="F32" s="75" t="s">
        <v>104</v>
      </c>
      <c r="G32" s="75" t="s">
        <v>49</v>
      </c>
      <c r="H32" s="75">
        <v>0</v>
      </c>
      <c r="I32" s="75">
        <v>0</v>
      </c>
      <c r="J32" s="75"/>
      <c r="K32" s="75">
        <v>5</v>
      </c>
      <c r="L32" s="75">
        <v>8.05E-8</v>
      </c>
      <c r="M32" s="75">
        <v>4.633432</v>
      </c>
      <c r="N32" s="75">
        <v>8.0799999999999996E-8</v>
      </c>
      <c r="O32" s="90" t="str">
        <f>IF(VLOOKUP(UncLookup[[#This Row],[Item]],Items!$A$1:$F$43,2,FALSE)=0,"",VLOOKUP(UncLookup[[#This Row],[Item]],Items!$A$1:$F$43,2,FALSE))</f>
        <v/>
      </c>
      <c r="P32" s="90" t="str">
        <f>IF(VLOOKUP(UncLookup[[#This Row],[Item]],Items!$A$1:$F$43,3,FALSE)=0,"",VLOOKUP(UncLookup[[#This Row],[Item]],Items!$A$1:$F$43,3,FALSE))</f>
        <v/>
      </c>
      <c r="Q32" s="90" t="str">
        <f>IF(VLOOKUP(UncLookup[[#This Row],[Item]],Items!$A$1:$F$43,4,FALSE)=0,"",VLOOKUP(UncLookup[[#This Row],[Item]],Items!$A$1:$F$43,4,FALSE))</f>
        <v/>
      </c>
    </row>
    <row r="33" spans="1:17" x14ac:dyDescent="0.25">
      <c r="A33" s="76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90" t="str">
        <f>IF(VLOOKUP(UncLookup[[#This Row],[Item]],Items!$A$1:$F$43,2,FALSE)=0,"",VLOOKUP(UncLookup[[#This Row],[Item]],Items!$A$1:$F$43,2,FALSE))</f>
        <v/>
      </c>
      <c r="P33" s="90" t="str">
        <f>IF(VLOOKUP(UncLookup[[#This Row],[Item]],Items!$A$1:$F$43,3,FALSE)=0,"",VLOOKUP(UncLookup[[#This Row],[Item]],Items!$A$1:$F$43,3,FALSE))</f>
        <v/>
      </c>
      <c r="Q33" s="90" t="str">
        <f>IF(VLOOKUP(UncLookup[[#This Row],[Item]],Items!$A$1:$F$43,4,FALSE)=0,"",VLOOKUP(UncLookup[[#This Row],[Item]],Items!$A$1:$F$43,4,FALSE))</f>
        <v/>
      </c>
    </row>
    <row r="34" spans="1:17" x14ac:dyDescent="0.25">
      <c r="A34" s="75" t="s">
        <v>57</v>
      </c>
      <c r="B34" s="75" t="s">
        <v>7</v>
      </c>
      <c r="C34" s="75">
        <v>100000</v>
      </c>
      <c r="D34" s="75">
        <v>1000</v>
      </c>
      <c r="E34" s="75">
        <v>100000000</v>
      </c>
      <c r="F34" s="75" t="s">
        <v>104</v>
      </c>
      <c r="G34" s="75" t="s">
        <v>49</v>
      </c>
      <c r="H34" s="75">
        <v>0</v>
      </c>
      <c r="I34" s="75">
        <v>0</v>
      </c>
      <c r="J34" s="75"/>
      <c r="K34" s="75">
        <v>63.945030000000003</v>
      </c>
      <c r="L34" s="75">
        <v>6.3899999999999996E-8</v>
      </c>
      <c r="M34" s="75">
        <v>54.496929999999999</v>
      </c>
      <c r="N34" s="75">
        <v>4.88E-8</v>
      </c>
      <c r="O34" s="90" t="str">
        <f>IF(VLOOKUP(UncLookup[[#This Row],[Item]],Items!$A$1:$F$43,2,FALSE)=0,"",VLOOKUP(UncLookup[[#This Row],[Item]],Items!$A$1:$F$43,2,FALSE))</f>
        <v/>
      </c>
      <c r="P34" s="90" t="str">
        <f>IF(VLOOKUP(UncLookup[[#This Row],[Item]],Items!$A$1:$F$43,3,FALSE)=0,"",VLOOKUP(UncLookup[[#This Row],[Item]],Items!$A$1:$F$43,3,FALSE))</f>
        <v/>
      </c>
      <c r="Q34" s="90" t="str">
        <f>IF(VLOOKUP(UncLookup[[#This Row],[Item]],Items!$A$1:$F$43,4,FALSE)=0,"",VLOOKUP(UncLookup[[#This Row],[Item]],Items!$A$1:$F$43,4,FALSE))</f>
        <v/>
      </c>
    </row>
    <row r="35" spans="1:17" x14ac:dyDescent="0.25">
      <c r="A35" s="76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90" t="str">
        <f>IF(VLOOKUP(UncLookup[[#This Row],[Item]],Items!$A$1:$F$43,2,FALSE)=0,"",VLOOKUP(UncLookup[[#This Row],[Item]],Items!$A$1:$F$43,2,FALSE))</f>
        <v/>
      </c>
      <c r="P35" s="90" t="str">
        <f>IF(VLOOKUP(UncLookup[[#This Row],[Item]],Items!$A$1:$F$43,3,FALSE)=0,"",VLOOKUP(UncLookup[[#This Row],[Item]],Items!$A$1:$F$43,3,FALSE))</f>
        <v/>
      </c>
      <c r="Q35" s="90" t="str">
        <f>IF(VLOOKUP(UncLookup[[#This Row],[Item]],Items!$A$1:$F$43,4,FALSE)=0,"",VLOOKUP(UncLookup[[#This Row],[Item]],Items!$A$1:$F$43,4,FALSE))</f>
        <v/>
      </c>
    </row>
    <row r="36" spans="1:17" x14ac:dyDescent="0.25">
      <c r="A36" s="75" t="s">
        <v>57</v>
      </c>
      <c r="B36" s="75" t="s">
        <v>7</v>
      </c>
      <c r="C36" s="75">
        <v>100000</v>
      </c>
      <c r="D36" s="75">
        <v>1000</v>
      </c>
      <c r="E36" s="75">
        <v>10000000000</v>
      </c>
      <c r="F36" s="75" t="s">
        <v>104</v>
      </c>
      <c r="G36" s="75" t="s">
        <v>50</v>
      </c>
      <c r="H36" s="75">
        <v>0</v>
      </c>
      <c r="I36" s="75">
        <v>0</v>
      </c>
      <c r="J36" s="75"/>
      <c r="K36" s="75">
        <v>5.8513339999999996</v>
      </c>
      <c r="L36" s="75">
        <v>2.4800000000000002E-10</v>
      </c>
      <c r="M36" s="75">
        <v>5.7999460000000003</v>
      </c>
      <c r="N36" s="75">
        <v>9.9999999999999998E-13</v>
      </c>
      <c r="O36" s="90" t="str">
        <f>IF(VLOOKUP(UncLookup[[#This Row],[Item]],Items!$A$1:$F$43,2,FALSE)=0,"",VLOOKUP(UncLookup[[#This Row],[Item]],Items!$A$1:$F$43,2,FALSE))</f>
        <v/>
      </c>
      <c r="P36" s="90" t="str">
        <f>IF(VLOOKUP(UncLookup[[#This Row],[Item]],Items!$A$1:$F$43,3,FALSE)=0,"",VLOOKUP(UncLookup[[#This Row],[Item]],Items!$A$1:$F$43,3,FALSE))</f>
        <v/>
      </c>
      <c r="Q36" s="90" t="str">
        <f>IF(VLOOKUP(UncLookup[[#This Row],[Item]],Items!$A$1:$F$43,4,FALSE)=0,"",VLOOKUP(UncLookup[[#This Row],[Item]],Items!$A$1:$F$43,4,FALSE))</f>
        <v/>
      </c>
    </row>
    <row r="37" spans="1:17" x14ac:dyDescent="0.25">
      <c r="A37" s="76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90" t="str">
        <f>IF(VLOOKUP(UncLookup[[#This Row],[Item]],Items!$A$1:$F$43,2,FALSE)=0,"",VLOOKUP(UncLookup[[#This Row],[Item]],Items!$A$1:$F$43,2,FALSE))</f>
        <v>meas</v>
      </c>
      <c r="P37" s="90" t="str">
        <f>IF(VLOOKUP(UncLookup[[#This Row],[Item]],Items!$A$1:$F$43,3,FALSE)=0,"",VLOOKUP(UncLookup[[#This Row],[Item]],Items!$A$1:$F$43,3,FALSE))</f>
        <v/>
      </c>
      <c r="Q37" s="90" t="str">
        <f>IF(VLOOKUP(UncLookup[[#This Row],[Item]],Items!$A$1:$F$43,4,FALSE)=0,"",VLOOKUP(UncLookup[[#This Row],[Item]],Items!$A$1:$F$43,4,FALSE))</f>
        <v/>
      </c>
    </row>
    <row r="38" spans="1:17" x14ac:dyDescent="0.25">
      <c r="A38" s="75" t="s">
        <v>57</v>
      </c>
      <c r="B38" s="75" t="s">
        <v>71</v>
      </c>
      <c r="C38" s="75">
        <v>0</v>
      </c>
      <c r="D38" s="75">
        <v>1E-3</v>
      </c>
      <c r="E38" s="75">
        <v>9.9999999999999995E-8</v>
      </c>
      <c r="F38" s="75" t="s">
        <v>6</v>
      </c>
      <c r="G38" s="75" t="s">
        <v>5</v>
      </c>
      <c r="H38" s="75">
        <v>0</v>
      </c>
      <c r="I38" s="75">
        <v>0</v>
      </c>
      <c r="J38" s="75"/>
      <c r="K38" s="75">
        <v>0.62</v>
      </c>
      <c r="L38" s="75">
        <v>4.5</v>
      </c>
      <c r="M38" s="75">
        <v>6.2206999999999998E-2</v>
      </c>
      <c r="N38" s="75">
        <v>53.073</v>
      </c>
      <c r="O38" s="90" t="str">
        <f>IF(VLOOKUP(UncLookup[[#This Row],[Item]],Items!$A$1:$F$43,2,FALSE)=0,"",VLOOKUP(UncLookup[[#This Row],[Item]],Items!$A$1:$F$43,2,FALSE))</f>
        <v>meas</v>
      </c>
      <c r="P38" s="90" t="str">
        <f>IF(VLOOKUP(UncLookup[[#This Row],[Item]],Items!$A$1:$F$43,3,FALSE)=0,"",VLOOKUP(UncLookup[[#This Row],[Item]],Items!$A$1:$F$43,3,FALSE))</f>
        <v/>
      </c>
      <c r="Q38" s="90" t="str">
        <f>IF(VLOOKUP(UncLookup[[#This Row],[Item]],Items!$A$1:$F$43,4,FALSE)=0,"",VLOOKUP(UncLookup[[#This Row],[Item]],Items!$A$1:$F$43,4,FALSE))</f>
        <v/>
      </c>
    </row>
    <row r="39" spans="1:17" x14ac:dyDescent="0.25">
      <c r="A39" s="76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90" t="str">
        <f>IF(VLOOKUP(UncLookup[[#This Row],[Item]],Items!$A$1:$F$43,2,FALSE)=0,"",VLOOKUP(UncLookup[[#This Row],[Item]],Items!$A$1:$F$43,2,FALSE))</f>
        <v>meas</v>
      </c>
      <c r="P39" s="90" t="str">
        <f>IF(VLOOKUP(UncLookup[[#This Row],[Item]],Items!$A$1:$F$43,3,FALSE)=0,"",VLOOKUP(UncLookup[[#This Row],[Item]],Items!$A$1:$F$43,3,FALSE))</f>
        <v/>
      </c>
      <c r="Q39" s="90" t="str">
        <f>IF(VLOOKUP(UncLookup[[#This Row],[Item]],Items!$A$1:$F$43,4,FALSE)=0,"",VLOOKUP(UncLookup[[#This Row],[Item]],Items!$A$1:$F$43,4,FALSE))</f>
        <v/>
      </c>
    </row>
    <row r="40" spans="1:17" x14ac:dyDescent="0.25">
      <c r="A40" s="75" t="s">
        <v>57</v>
      </c>
      <c r="B40" s="75" t="s">
        <v>71</v>
      </c>
      <c r="C40" s="75">
        <v>0</v>
      </c>
      <c r="D40" s="75">
        <v>1E-3</v>
      </c>
      <c r="E40" s="75">
        <v>1.0000000000000001E-5</v>
      </c>
      <c r="F40" s="75" t="s">
        <v>6</v>
      </c>
      <c r="G40" s="75" t="s">
        <v>5</v>
      </c>
      <c r="H40" s="75">
        <v>0</v>
      </c>
      <c r="I40" s="75">
        <v>0</v>
      </c>
      <c r="J40" s="75"/>
      <c r="K40" s="75">
        <v>5.8</v>
      </c>
      <c r="L40" s="75">
        <v>0.89276</v>
      </c>
      <c r="M40" s="75">
        <v>5.8</v>
      </c>
      <c r="N40" s="75">
        <v>0.83626</v>
      </c>
      <c r="O40" s="90" t="str">
        <f>IF(VLOOKUP(UncLookup[[#This Row],[Item]],Items!$A$1:$F$43,2,FALSE)=0,"",VLOOKUP(UncLookup[[#This Row],[Item]],Items!$A$1:$F$43,2,FALSE))</f>
        <v>meas</v>
      </c>
      <c r="P40" s="90" t="str">
        <f>IF(VLOOKUP(UncLookup[[#This Row],[Item]],Items!$A$1:$F$43,3,FALSE)=0,"",VLOOKUP(UncLookup[[#This Row],[Item]],Items!$A$1:$F$43,3,FALSE))</f>
        <v/>
      </c>
      <c r="Q40" s="90" t="str">
        <f>IF(VLOOKUP(UncLookup[[#This Row],[Item]],Items!$A$1:$F$43,4,FALSE)=0,"",VLOOKUP(UncLookup[[#This Row],[Item]],Items!$A$1:$F$43,4,FALSE))</f>
        <v/>
      </c>
    </row>
    <row r="41" spans="1:17" x14ac:dyDescent="0.25">
      <c r="A41" s="76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7">
        <v>0.10624</v>
      </c>
      <c r="M41" s="76">
        <v>58</v>
      </c>
      <c r="N41" s="77">
        <v>8.3632999999999999E-2</v>
      </c>
      <c r="O41" s="90" t="str">
        <f>IF(VLOOKUP(UncLookup[[#This Row],[Item]],Items!$A$1:$F$43,2,FALSE)=0,"",VLOOKUP(UncLookup[[#This Row],[Item]],Items!$A$1:$F$43,2,FALSE))</f>
        <v>meas</v>
      </c>
      <c r="P41" s="90" t="str">
        <f>IF(VLOOKUP(UncLookup[[#This Row],[Item]],Items!$A$1:$F$43,3,FALSE)=0,"",VLOOKUP(UncLookup[[#This Row],[Item]],Items!$A$1:$F$43,3,FALSE))</f>
        <v/>
      </c>
      <c r="Q41" s="90" t="str">
        <f>IF(VLOOKUP(UncLookup[[#This Row],[Item]],Items!$A$1:$F$43,4,FALSE)=0,"",VLOOKUP(UncLookup[[#This Row],[Item]],Items!$A$1:$F$43,4,FALSE))</f>
        <v/>
      </c>
    </row>
    <row r="42" spans="1:17" x14ac:dyDescent="0.25">
      <c r="A42" s="75" t="s">
        <v>57</v>
      </c>
      <c r="B42" s="75" t="s">
        <v>71</v>
      </c>
      <c r="C42" s="75">
        <v>0</v>
      </c>
      <c r="D42" s="75">
        <v>1E-3</v>
      </c>
      <c r="E42" s="75">
        <v>1E-3</v>
      </c>
      <c r="F42" s="75" t="s">
        <v>6</v>
      </c>
      <c r="G42" s="75" t="s">
        <v>5</v>
      </c>
      <c r="H42" s="75">
        <v>0</v>
      </c>
      <c r="I42" s="75">
        <v>0</v>
      </c>
      <c r="J42" s="75"/>
      <c r="K42" s="75">
        <v>580</v>
      </c>
      <c r="L42" s="78">
        <v>1.7406000000000001E-2</v>
      </c>
      <c r="M42" s="75">
        <v>580</v>
      </c>
      <c r="N42" s="78">
        <v>8.3633000000000006E-3</v>
      </c>
      <c r="O42" s="90" t="str">
        <f>IF(VLOOKUP(UncLookup[[#This Row],[Item]],Items!$A$1:$F$43,2,FALSE)=0,"",VLOOKUP(UncLookup[[#This Row],[Item]],Items!$A$1:$F$43,2,FALSE))</f>
        <v>meas</v>
      </c>
      <c r="P42" s="90" t="str">
        <f>IF(VLOOKUP(UncLookup[[#This Row],[Item]],Items!$A$1:$F$43,3,FALSE)=0,"",VLOOKUP(UncLookup[[#This Row],[Item]],Items!$A$1:$F$43,3,FALSE))</f>
        <v/>
      </c>
      <c r="Q42" s="90" t="str">
        <f>IF(VLOOKUP(UncLookup[[#This Row],[Item]],Items!$A$1:$F$43,4,FALSE)=0,"",VLOOKUP(UncLookup[[#This Row],[Item]],Items!$A$1:$F$43,4,FALSE))</f>
        <v/>
      </c>
    </row>
    <row r="43" spans="1:17" x14ac:dyDescent="0.25">
      <c r="A43" s="76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76">
        <v>4.5</v>
      </c>
      <c r="M43" s="76">
        <v>6.0671999999999997E-2</v>
      </c>
      <c r="N43" s="76">
        <v>48.506</v>
      </c>
      <c r="O43" s="90" t="str">
        <f>IF(VLOOKUP(UncLookup[[#This Row],[Item]],Items!$A$1:$F$43,2,FALSE)=0,"",VLOOKUP(UncLookup[[#This Row],[Item]],Items!$A$1:$F$43,2,FALSE))</f>
        <v>meas</v>
      </c>
      <c r="P43" s="90" t="str">
        <f>IF(VLOOKUP(UncLookup[[#This Row],[Item]],Items!$A$1:$F$43,3,FALSE)=0,"",VLOOKUP(UncLookup[[#This Row],[Item]],Items!$A$1:$F$43,3,FALSE))</f>
        <v/>
      </c>
      <c r="Q43" s="90" t="str">
        <f>IF(VLOOKUP(UncLookup[[#This Row],[Item]],Items!$A$1:$F$43,4,FALSE)=0,"",VLOOKUP(UncLookup[[#This Row],[Item]],Items!$A$1:$F$43,4,FALSE))</f>
        <v/>
      </c>
    </row>
    <row r="44" spans="1:17" x14ac:dyDescent="0.25">
      <c r="A44" s="75" t="s">
        <v>57</v>
      </c>
      <c r="B44" s="75" t="s">
        <v>71</v>
      </c>
      <c r="C44" s="75">
        <v>1E-3</v>
      </c>
      <c r="D44" s="75">
        <v>0.01</v>
      </c>
      <c r="E44" s="75">
        <v>9.9999999999999995E-8</v>
      </c>
      <c r="F44" s="75" t="s">
        <v>6</v>
      </c>
      <c r="G44" s="75" t="s">
        <v>5</v>
      </c>
      <c r="H44" s="75">
        <v>0</v>
      </c>
      <c r="I44" s="75">
        <v>0</v>
      </c>
      <c r="J44" s="75"/>
      <c r="K44" s="75">
        <v>0.62</v>
      </c>
      <c r="L44" s="75">
        <v>4.5</v>
      </c>
      <c r="M44" s="75">
        <v>7.6235999999999998E-2</v>
      </c>
      <c r="N44" s="75">
        <v>47.253999999999998</v>
      </c>
      <c r="O44" s="90" t="str">
        <f>IF(VLOOKUP(UncLookup[[#This Row],[Item]],Items!$A$1:$F$43,2,FALSE)=0,"",VLOOKUP(UncLookup[[#This Row],[Item]],Items!$A$1:$F$43,2,FALSE))</f>
        <v>meas</v>
      </c>
      <c r="P44" s="90" t="str">
        <f>IF(VLOOKUP(UncLookup[[#This Row],[Item]],Items!$A$1:$F$43,3,FALSE)=0,"",VLOOKUP(UncLookup[[#This Row],[Item]],Items!$A$1:$F$43,3,FALSE))</f>
        <v/>
      </c>
      <c r="Q44" s="90" t="str">
        <f>IF(VLOOKUP(UncLookup[[#This Row],[Item]],Items!$A$1:$F$43,4,FALSE)=0,"",VLOOKUP(UncLookup[[#This Row],[Item]],Items!$A$1:$F$43,4,FALSE))</f>
        <v/>
      </c>
    </row>
    <row r="45" spans="1:17" x14ac:dyDescent="0.25">
      <c r="A45" s="76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90" t="str">
        <f>IF(VLOOKUP(UncLookup[[#This Row],[Item]],Items!$A$1:$F$43,2,FALSE)=0,"",VLOOKUP(UncLookup[[#This Row],[Item]],Items!$A$1:$F$43,2,FALSE))</f>
        <v>meas</v>
      </c>
      <c r="P45" s="90" t="str">
        <f>IF(VLOOKUP(UncLookup[[#This Row],[Item]],Items!$A$1:$F$43,3,FALSE)=0,"",VLOOKUP(UncLookup[[#This Row],[Item]],Items!$A$1:$F$43,3,FALSE))</f>
        <v/>
      </c>
      <c r="Q45" s="90" t="str">
        <f>IF(VLOOKUP(UncLookup[[#This Row],[Item]],Items!$A$1:$F$43,4,FALSE)=0,"",VLOOKUP(UncLookup[[#This Row],[Item]],Items!$A$1:$F$43,4,FALSE))</f>
        <v/>
      </c>
    </row>
    <row r="46" spans="1:17" x14ac:dyDescent="0.25">
      <c r="A46" s="75" t="s">
        <v>57</v>
      </c>
      <c r="B46" s="75" t="s">
        <v>71</v>
      </c>
      <c r="C46" s="75">
        <v>1E-3</v>
      </c>
      <c r="D46" s="75">
        <v>0.01</v>
      </c>
      <c r="E46" s="75">
        <v>1.0000000000000001E-5</v>
      </c>
      <c r="F46" s="75" t="s">
        <v>6</v>
      </c>
      <c r="G46" s="75" t="s">
        <v>5</v>
      </c>
      <c r="H46" s="75">
        <v>0</v>
      </c>
      <c r="I46" s="75">
        <v>0</v>
      </c>
      <c r="J46" s="75"/>
      <c r="K46" s="75">
        <v>5.7983000000000002</v>
      </c>
      <c r="L46" s="75">
        <v>2.7570000000000001</v>
      </c>
      <c r="M46" s="75">
        <v>5.7983000000000002</v>
      </c>
      <c r="N46" s="75">
        <v>2.7323</v>
      </c>
      <c r="O46" s="90" t="str">
        <f>IF(VLOOKUP(UncLookup[[#This Row],[Item]],Items!$A$1:$F$43,2,FALSE)=0,"",VLOOKUP(UncLookup[[#This Row],[Item]],Items!$A$1:$F$43,2,FALSE))</f>
        <v>meas</v>
      </c>
      <c r="P46" s="90" t="str">
        <f>IF(VLOOKUP(UncLookup[[#This Row],[Item]],Items!$A$1:$F$43,3,FALSE)=0,"",VLOOKUP(UncLookup[[#This Row],[Item]],Items!$A$1:$F$43,3,FALSE))</f>
        <v/>
      </c>
      <c r="Q46" s="90" t="str">
        <f>IF(VLOOKUP(UncLookup[[#This Row],[Item]],Items!$A$1:$F$43,4,FALSE)=0,"",VLOOKUP(UncLookup[[#This Row],[Item]],Items!$A$1:$F$43,4,FALSE))</f>
        <v/>
      </c>
    </row>
    <row r="47" spans="1:17" x14ac:dyDescent="0.25">
      <c r="A47" s="76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90" t="str">
        <f>IF(VLOOKUP(UncLookup[[#This Row],[Item]],Items!$A$1:$F$43,2,FALSE)=0,"",VLOOKUP(UncLookup[[#This Row],[Item]],Items!$A$1:$F$43,2,FALSE))</f>
        <v>meas</v>
      </c>
      <c r="P47" s="90" t="str">
        <f>IF(VLOOKUP(UncLookup[[#This Row],[Item]],Items!$A$1:$F$43,3,FALSE)=0,"",VLOOKUP(UncLookup[[#This Row],[Item]],Items!$A$1:$F$43,3,FALSE))</f>
        <v/>
      </c>
      <c r="Q47" s="90" t="str">
        <f>IF(VLOOKUP(UncLookup[[#This Row],[Item]],Items!$A$1:$F$43,4,FALSE)=0,"",VLOOKUP(UncLookup[[#This Row],[Item]],Items!$A$1:$F$43,4,FALSE))</f>
        <v/>
      </c>
    </row>
    <row r="48" spans="1:17" x14ac:dyDescent="0.25">
      <c r="A48" s="75" t="s">
        <v>57</v>
      </c>
      <c r="B48" s="75" t="s">
        <v>71</v>
      </c>
      <c r="C48" s="75">
        <v>1E-3</v>
      </c>
      <c r="D48" s="75">
        <v>0.01</v>
      </c>
      <c r="E48" s="75">
        <v>1E-3</v>
      </c>
      <c r="F48" s="75" t="s">
        <v>6</v>
      </c>
      <c r="G48" s="75" t="s">
        <v>5</v>
      </c>
      <c r="H48" s="75">
        <v>0</v>
      </c>
      <c r="I48" s="75">
        <v>0</v>
      </c>
      <c r="J48" s="75"/>
      <c r="K48" s="75">
        <v>580</v>
      </c>
      <c r="L48" s="75">
        <v>3.1364000000000003E-2</v>
      </c>
      <c r="M48" s="75">
        <v>580</v>
      </c>
      <c r="N48" s="75">
        <v>2.7386000000000001E-2</v>
      </c>
      <c r="O48" s="90" t="str">
        <f>IF(VLOOKUP(UncLookup[[#This Row],[Item]],Items!$A$1:$F$43,2,FALSE)=0,"",VLOOKUP(UncLookup[[#This Row],[Item]],Items!$A$1:$F$43,2,FALSE))</f>
        <v>meas</v>
      </c>
      <c r="P48" s="90" t="str">
        <f>IF(VLOOKUP(UncLookup[[#This Row],[Item]],Items!$A$1:$F$43,3,FALSE)=0,"",VLOOKUP(UncLookup[[#This Row],[Item]],Items!$A$1:$F$43,3,FALSE))</f>
        <v/>
      </c>
      <c r="Q48" s="90" t="str">
        <f>IF(VLOOKUP(UncLookup[[#This Row],[Item]],Items!$A$1:$F$43,4,FALSE)=0,"",VLOOKUP(UncLookup[[#This Row],[Item]],Items!$A$1:$F$43,4,FALSE))</f>
        <v/>
      </c>
    </row>
    <row r="49" spans="1:17" x14ac:dyDescent="0.25">
      <c r="A49" s="76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90" t="str">
        <f>IF(VLOOKUP(UncLookup[[#This Row],[Item]],Items!$A$1:$F$43,2,FALSE)=0,"",VLOOKUP(UncLookup[[#This Row],[Item]],Items!$A$1:$F$43,2,FALSE))</f>
        <v>meas</v>
      </c>
      <c r="P49" s="90" t="str">
        <f>IF(VLOOKUP(UncLookup[[#This Row],[Item]],Items!$A$1:$F$43,3,FALSE)=0,"",VLOOKUP(UncLookup[[#This Row],[Item]],Items!$A$1:$F$43,3,FALSE))</f>
        <v/>
      </c>
      <c r="Q49" s="90" t="str">
        <f>IF(VLOOKUP(UncLookup[[#This Row],[Item]],Items!$A$1:$F$43,4,FALSE)=0,"",VLOOKUP(UncLookup[[#This Row],[Item]],Items!$A$1:$F$43,4,FALSE))</f>
        <v/>
      </c>
    </row>
    <row r="50" spans="1:17" x14ac:dyDescent="0.25">
      <c r="A50" s="75" t="s">
        <v>57</v>
      </c>
      <c r="B50" s="75" t="s">
        <v>71</v>
      </c>
      <c r="C50" s="75">
        <v>0.01</v>
      </c>
      <c r="D50" s="75">
        <v>0.1</v>
      </c>
      <c r="E50" s="75">
        <v>9.9999999999999995E-7</v>
      </c>
      <c r="F50" s="75" t="s">
        <v>6</v>
      </c>
      <c r="G50" s="75" t="s">
        <v>5</v>
      </c>
      <c r="H50" s="75">
        <v>0</v>
      </c>
      <c r="I50" s="75">
        <v>0</v>
      </c>
      <c r="J50" s="75"/>
      <c r="K50" s="75">
        <v>0.66959999999999997</v>
      </c>
      <c r="L50" s="75">
        <v>35.075000000000003</v>
      </c>
      <c r="M50" s="75">
        <v>0.66822999999999999</v>
      </c>
      <c r="N50" s="75">
        <v>35.079000000000001</v>
      </c>
      <c r="O50" s="90" t="str">
        <f>IF(VLOOKUP(UncLookup[[#This Row],[Item]],Items!$A$1:$F$43,2,FALSE)=0,"",VLOOKUP(UncLookup[[#This Row],[Item]],Items!$A$1:$F$43,2,FALSE))</f>
        <v>meas</v>
      </c>
      <c r="P50" s="90" t="str">
        <f>IF(VLOOKUP(UncLookup[[#This Row],[Item]],Items!$A$1:$F$43,3,FALSE)=0,"",VLOOKUP(UncLookup[[#This Row],[Item]],Items!$A$1:$F$43,3,FALSE))</f>
        <v/>
      </c>
      <c r="Q50" s="90" t="str">
        <f>IF(VLOOKUP(UncLookup[[#This Row],[Item]],Items!$A$1:$F$43,4,FALSE)=0,"",VLOOKUP(UncLookup[[#This Row],[Item]],Items!$A$1:$F$43,4,FALSE))</f>
        <v/>
      </c>
    </row>
    <row r="51" spans="1:17" x14ac:dyDescent="0.25">
      <c r="A51" s="76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90" t="str">
        <f>IF(VLOOKUP(UncLookup[[#This Row],[Item]],Items!$A$1:$F$43,2,FALSE)=0,"",VLOOKUP(UncLookup[[#This Row],[Item]],Items!$A$1:$F$43,2,FALSE))</f>
        <v>meas</v>
      </c>
      <c r="P51" s="90" t="str">
        <f>IF(VLOOKUP(UncLookup[[#This Row],[Item]],Items!$A$1:$F$43,3,FALSE)=0,"",VLOOKUP(UncLookup[[#This Row],[Item]],Items!$A$1:$F$43,3,FALSE))</f>
        <v/>
      </c>
      <c r="Q51" s="90" t="str">
        <f>IF(VLOOKUP(UncLookup[[#This Row],[Item]],Items!$A$1:$F$43,4,FALSE)=0,"",VLOOKUP(UncLookup[[#This Row],[Item]],Items!$A$1:$F$43,4,FALSE))</f>
        <v/>
      </c>
    </row>
    <row r="52" spans="1:17" x14ac:dyDescent="0.25">
      <c r="A52" s="75" t="s">
        <v>57</v>
      </c>
      <c r="B52" s="75" t="s">
        <v>71</v>
      </c>
      <c r="C52" s="75">
        <v>0.01</v>
      </c>
      <c r="D52" s="75">
        <v>0.1</v>
      </c>
      <c r="E52" s="75">
        <v>1E-4</v>
      </c>
      <c r="F52" s="75" t="s">
        <v>6</v>
      </c>
      <c r="G52" s="75" t="s">
        <v>5</v>
      </c>
      <c r="H52" s="75">
        <v>0</v>
      </c>
      <c r="I52" s="75">
        <v>0</v>
      </c>
      <c r="J52" s="75"/>
      <c r="K52" s="75">
        <v>57.991</v>
      </c>
      <c r="L52" s="75">
        <v>1.5773999999999999</v>
      </c>
      <c r="M52" s="75">
        <v>57.99</v>
      </c>
      <c r="N52" s="75">
        <v>1.5689</v>
      </c>
      <c r="O52" s="90" t="str">
        <f>IF(VLOOKUP(UncLookup[[#This Row],[Item]],Items!$A$1:$F$43,2,FALSE)=0,"",VLOOKUP(UncLookup[[#This Row],[Item]],Items!$A$1:$F$43,2,FALSE))</f>
        <v>meas</v>
      </c>
      <c r="P52" s="90" t="str">
        <f>IF(VLOOKUP(UncLookup[[#This Row],[Item]],Items!$A$1:$F$43,3,FALSE)=0,"",VLOOKUP(UncLookup[[#This Row],[Item]],Items!$A$1:$F$43,3,FALSE))</f>
        <v/>
      </c>
      <c r="Q52" s="90" t="str">
        <f>IF(VLOOKUP(UncLookup[[#This Row],[Item]],Items!$A$1:$F$43,4,FALSE)=0,"",VLOOKUP(UncLookup[[#This Row],[Item]],Items!$A$1:$F$43,4,FALSE))</f>
        <v/>
      </c>
    </row>
    <row r="53" spans="1:17" x14ac:dyDescent="0.25">
      <c r="A53" s="76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90" t="str">
        <f>IF(VLOOKUP(UncLookup[[#This Row],[Item]],Items!$A$1:$F$43,2,FALSE)=0,"",VLOOKUP(UncLookup[[#This Row],[Item]],Items!$A$1:$F$43,2,FALSE))</f>
        <v>meas</v>
      </c>
      <c r="P53" s="90" t="str">
        <f>IF(VLOOKUP(UncLookup[[#This Row],[Item]],Items!$A$1:$F$43,3,FALSE)=0,"",VLOOKUP(UncLookup[[#This Row],[Item]],Items!$A$1:$F$43,3,FALSE))</f>
        <v/>
      </c>
      <c r="Q53" s="90" t="str">
        <f>IF(VLOOKUP(UncLookup[[#This Row],[Item]],Items!$A$1:$F$43,4,FALSE)=0,"",VLOOKUP(UncLookup[[#This Row],[Item]],Items!$A$1:$F$43,4,FALSE))</f>
        <v/>
      </c>
    </row>
    <row r="54" spans="1:17" x14ac:dyDescent="0.25">
      <c r="A54" s="75" t="s">
        <v>57</v>
      </c>
      <c r="B54" s="75" t="s">
        <v>71</v>
      </c>
      <c r="C54" s="75">
        <v>0.01</v>
      </c>
      <c r="D54" s="75">
        <v>0.1</v>
      </c>
      <c r="E54" s="75">
        <v>0.01</v>
      </c>
      <c r="F54" s="75" t="s">
        <v>6</v>
      </c>
      <c r="G54" s="75" t="s">
        <v>5</v>
      </c>
      <c r="H54" s="75">
        <v>0</v>
      </c>
      <c r="I54" s="75">
        <v>0</v>
      </c>
      <c r="J54" s="75"/>
      <c r="K54" s="75">
        <v>5800</v>
      </c>
      <c r="L54" s="75">
        <v>1.7066999999999999E-2</v>
      </c>
      <c r="M54" s="75">
        <v>5800</v>
      </c>
      <c r="N54" s="75">
        <v>1.5709999999999998E-2</v>
      </c>
      <c r="O54" s="90" t="str">
        <f>IF(VLOOKUP(UncLookup[[#This Row],[Item]],Items!$A$1:$F$43,2,FALSE)=0,"",VLOOKUP(UncLookup[[#This Row],[Item]],Items!$A$1:$F$43,2,FALSE))</f>
        <v>meas</v>
      </c>
      <c r="P54" s="90" t="str">
        <f>IF(VLOOKUP(UncLookup[[#This Row],[Item]],Items!$A$1:$F$43,3,FALSE)=0,"",VLOOKUP(UncLookup[[#This Row],[Item]],Items!$A$1:$F$43,3,FALSE))</f>
        <v/>
      </c>
      <c r="Q54" s="90" t="str">
        <f>IF(VLOOKUP(UncLookup[[#This Row],[Item]],Items!$A$1:$F$43,4,FALSE)=0,"",VLOOKUP(UncLookup[[#This Row],[Item]],Items!$A$1:$F$43,4,FALSE))</f>
        <v/>
      </c>
    </row>
    <row r="55" spans="1:17" x14ac:dyDescent="0.25">
      <c r="A55" s="76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90" t="str">
        <f>IF(VLOOKUP(UncLookup[[#This Row],[Item]],Items!$A$1:$F$43,2,FALSE)=0,"",VLOOKUP(UncLookup[[#This Row],[Item]],Items!$A$1:$F$43,2,FALSE))</f>
        <v>meas</v>
      </c>
      <c r="P55" s="90" t="str">
        <f>IF(VLOOKUP(UncLookup[[#This Row],[Item]],Items!$A$1:$F$43,3,FALSE)=0,"",VLOOKUP(UncLookup[[#This Row],[Item]],Items!$A$1:$F$43,3,FALSE))</f>
        <v/>
      </c>
      <c r="Q55" s="90" t="str">
        <f>IF(VLOOKUP(UncLookup[[#This Row],[Item]],Items!$A$1:$F$43,4,FALSE)=0,"",VLOOKUP(UncLookup[[#This Row],[Item]],Items!$A$1:$F$43,4,FALSE))</f>
        <v/>
      </c>
    </row>
    <row r="56" spans="1:17" x14ac:dyDescent="0.25">
      <c r="A56" s="75" t="s">
        <v>57</v>
      </c>
      <c r="B56" s="75" t="s">
        <v>71</v>
      </c>
      <c r="C56" s="75">
        <v>0.1</v>
      </c>
      <c r="D56" s="75">
        <v>1</v>
      </c>
      <c r="E56" s="75">
        <v>1.0000000000000001E-5</v>
      </c>
      <c r="F56" s="75" t="s">
        <v>6</v>
      </c>
      <c r="G56" s="75" t="s">
        <v>5</v>
      </c>
      <c r="H56" s="75">
        <v>0</v>
      </c>
      <c r="I56" s="75">
        <v>0</v>
      </c>
      <c r="J56" s="75"/>
      <c r="K56" s="75">
        <v>6.5522999999999998</v>
      </c>
      <c r="L56" s="75">
        <v>39.255000000000003</v>
      </c>
      <c r="M56" s="75">
        <v>6.5388999999999999</v>
      </c>
      <c r="N56" s="75">
        <v>39.26</v>
      </c>
      <c r="O56" s="90" t="str">
        <f>IF(VLOOKUP(UncLookup[[#This Row],[Item]],Items!$A$1:$F$43,2,FALSE)=0,"",VLOOKUP(UncLookup[[#This Row],[Item]],Items!$A$1:$F$43,2,FALSE))</f>
        <v>meas</v>
      </c>
      <c r="P56" s="90" t="str">
        <f>IF(VLOOKUP(UncLookup[[#This Row],[Item]],Items!$A$1:$F$43,3,FALSE)=0,"",VLOOKUP(UncLookup[[#This Row],[Item]],Items!$A$1:$F$43,3,FALSE))</f>
        <v/>
      </c>
      <c r="Q56" s="90" t="str">
        <f>IF(VLOOKUP(UncLookup[[#This Row],[Item]],Items!$A$1:$F$43,4,FALSE)=0,"",VLOOKUP(UncLookup[[#This Row],[Item]],Items!$A$1:$F$43,4,FALSE))</f>
        <v/>
      </c>
    </row>
    <row r="57" spans="1:17" x14ac:dyDescent="0.25">
      <c r="A57" s="76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90" t="str">
        <f>IF(VLOOKUP(UncLookup[[#This Row],[Item]],Items!$A$1:$F$43,2,FALSE)=0,"",VLOOKUP(UncLookup[[#This Row],[Item]],Items!$A$1:$F$43,2,FALSE))</f>
        <v>meas</v>
      </c>
      <c r="P57" s="90" t="str">
        <f>IF(VLOOKUP(UncLookup[[#This Row],[Item]],Items!$A$1:$F$43,3,FALSE)=0,"",VLOOKUP(UncLookup[[#This Row],[Item]],Items!$A$1:$F$43,3,FALSE))</f>
        <v/>
      </c>
      <c r="Q57" s="90" t="str">
        <f>IF(VLOOKUP(UncLookup[[#This Row],[Item]],Items!$A$1:$F$43,4,FALSE)=0,"",VLOOKUP(UncLookup[[#This Row],[Item]],Items!$A$1:$F$43,4,FALSE))</f>
        <v/>
      </c>
    </row>
    <row r="58" spans="1:17" x14ac:dyDescent="0.25">
      <c r="A58" s="75" t="s">
        <v>57</v>
      </c>
      <c r="B58" s="75" t="s">
        <v>71</v>
      </c>
      <c r="C58" s="75">
        <v>0.1</v>
      </c>
      <c r="D58" s="75">
        <v>1</v>
      </c>
      <c r="E58" s="75">
        <v>1E-3</v>
      </c>
      <c r="F58" s="75" t="s">
        <v>6</v>
      </c>
      <c r="G58" s="75" t="s">
        <v>5</v>
      </c>
      <c r="H58" s="75">
        <v>0</v>
      </c>
      <c r="I58" s="75">
        <v>0</v>
      </c>
      <c r="J58" s="75"/>
      <c r="K58" s="75">
        <v>579.88</v>
      </c>
      <c r="L58" s="75">
        <v>1.9084000000000001</v>
      </c>
      <c r="M58" s="75">
        <v>579.88</v>
      </c>
      <c r="N58" s="75">
        <v>1.9012</v>
      </c>
      <c r="O58" s="90" t="str">
        <f>IF(VLOOKUP(UncLookup[[#This Row],[Item]],Items!$A$1:$F$43,2,FALSE)=0,"",VLOOKUP(UncLookup[[#This Row],[Item]],Items!$A$1:$F$43,2,FALSE))</f>
        <v>meas</v>
      </c>
      <c r="P58" s="90" t="str">
        <f>IF(VLOOKUP(UncLookup[[#This Row],[Item]],Items!$A$1:$F$43,3,FALSE)=0,"",VLOOKUP(UncLookup[[#This Row],[Item]],Items!$A$1:$F$43,3,FALSE))</f>
        <v/>
      </c>
      <c r="Q58" s="90" t="str">
        <f>IF(VLOOKUP(UncLookup[[#This Row],[Item]],Items!$A$1:$F$43,4,FALSE)=0,"",VLOOKUP(UncLookup[[#This Row],[Item]],Items!$A$1:$F$43,4,FALSE))</f>
        <v/>
      </c>
    </row>
    <row r="59" spans="1:17" x14ac:dyDescent="0.25">
      <c r="A59" s="76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90" t="str">
        <f>IF(VLOOKUP(UncLookup[[#This Row],[Item]],Items!$A$1:$F$43,2,FALSE)=0,"",VLOOKUP(UncLookup[[#This Row],[Item]],Items!$A$1:$F$43,2,FALSE))</f>
        <v>meas</v>
      </c>
      <c r="P59" s="90" t="str">
        <f>IF(VLOOKUP(UncLookup[[#This Row],[Item]],Items!$A$1:$F$43,3,FALSE)=0,"",VLOOKUP(UncLookup[[#This Row],[Item]],Items!$A$1:$F$43,3,FALSE))</f>
        <v/>
      </c>
      <c r="Q59" s="90" t="str">
        <f>IF(VLOOKUP(UncLookup[[#This Row],[Item]],Items!$A$1:$F$43,4,FALSE)=0,"",VLOOKUP(UncLookup[[#This Row],[Item]],Items!$A$1:$F$43,4,FALSE))</f>
        <v/>
      </c>
    </row>
    <row r="60" spans="1:17" x14ac:dyDescent="0.25">
      <c r="A60" s="75" t="s">
        <v>57</v>
      </c>
      <c r="B60" s="75" t="s">
        <v>71</v>
      </c>
      <c r="C60" s="75">
        <v>0.1</v>
      </c>
      <c r="D60" s="75">
        <v>1</v>
      </c>
      <c r="E60" s="75">
        <v>0.1</v>
      </c>
      <c r="F60" s="75" t="s">
        <v>6</v>
      </c>
      <c r="G60" s="75" t="s">
        <v>5</v>
      </c>
      <c r="H60" s="75">
        <v>0</v>
      </c>
      <c r="I60" s="75">
        <v>0</v>
      </c>
      <c r="J60" s="75"/>
      <c r="K60" s="75">
        <v>58000</v>
      </c>
      <c r="L60" s="75">
        <v>2.0188000000000001E-2</v>
      </c>
      <c r="M60" s="75">
        <v>58000</v>
      </c>
      <c r="N60" s="75">
        <v>1.9042E-2</v>
      </c>
      <c r="O60" s="90" t="str">
        <f>IF(VLOOKUP(UncLookup[[#This Row],[Item]],Items!$A$1:$F$43,2,FALSE)=0,"",VLOOKUP(UncLookup[[#This Row],[Item]],Items!$A$1:$F$43,2,FALSE))</f>
        <v>meas</v>
      </c>
      <c r="P60" s="90" t="str">
        <f>IF(VLOOKUP(UncLookup[[#This Row],[Item]],Items!$A$1:$F$43,3,FALSE)=0,"",VLOOKUP(UncLookup[[#This Row],[Item]],Items!$A$1:$F$43,3,FALSE))</f>
        <v/>
      </c>
      <c r="Q60" s="90" t="str">
        <f>IF(VLOOKUP(UncLookup[[#This Row],[Item]],Items!$A$1:$F$43,4,FALSE)=0,"",VLOOKUP(UncLookup[[#This Row],[Item]],Items!$A$1:$F$43,4,FALSE))</f>
        <v/>
      </c>
    </row>
    <row r="61" spans="1:17" x14ac:dyDescent="0.25">
      <c r="A61" s="76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90" t="str">
        <f>IF(VLOOKUP(UncLookup[[#This Row],[Item]],Items!$A$1:$F$43,2,FALSE)=0,"",VLOOKUP(UncLookup[[#This Row],[Item]],Items!$A$1:$F$43,2,FALSE))</f>
        <v>meas</v>
      </c>
      <c r="P61" s="90" t="str">
        <f>IF(VLOOKUP(UncLookup[[#This Row],[Item]],Items!$A$1:$F$43,3,FALSE)=0,"",VLOOKUP(UncLookup[[#This Row],[Item]],Items!$A$1:$F$43,3,FALSE))</f>
        <v/>
      </c>
      <c r="Q61" s="90" t="str">
        <f>IF(VLOOKUP(UncLookup[[#This Row],[Item]],Items!$A$1:$F$43,4,FALSE)=0,"",VLOOKUP(UncLookup[[#This Row],[Item]],Items!$A$1:$F$43,4,FALSE))</f>
        <v/>
      </c>
    </row>
    <row r="62" spans="1:17" x14ac:dyDescent="0.25">
      <c r="A62" s="75" t="s">
        <v>57</v>
      </c>
      <c r="B62" s="75" t="s">
        <v>71</v>
      </c>
      <c r="C62" s="75">
        <v>1</v>
      </c>
      <c r="D62" s="75">
        <v>10</v>
      </c>
      <c r="E62" s="75">
        <v>1E-4</v>
      </c>
      <c r="F62" s="75" t="s">
        <v>6</v>
      </c>
      <c r="G62" s="75" t="s">
        <v>5</v>
      </c>
      <c r="H62" s="75">
        <v>0</v>
      </c>
      <c r="I62" s="75">
        <v>0</v>
      </c>
      <c r="J62" s="75"/>
      <c r="K62" s="75">
        <v>66.457999999999998</v>
      </c>
      <c r="L62" s="75">
        <v>33.231999999999999</v>
      </c>
      <c r="M62" s="75">
        <v>66.382000000000005</v>
      </c>
      <c r="N62" s="75">
        <v>33.231999999999999</v>
      </c>
      <c r="O62" s="90" t="str">
        <f>IF(VLOOKUP(UncLookup[[#This Row],[Item]],Items!$A$1:$F$43,2,FALSE)=0,"",VLOOKUP(UncLookup[[#This Row],[Item]],Items!$A$1:$F$43,2,FALSE))</f>
        <v>meas</v>
      </c>
      <c r="P62" s="90" t="str">
        <f>IF(VLOOKUP(UncLookup[[#This Row],[Item]],Items!$A$1:$F$43,3,FALSE)=0,"",VLOOKUP(UncLookup[[#This Row],[Item]],Items!$A$1:$F$43,3,FALSE))</f>
        <v/>
      </c>
      <c r="Q62" s="90" t="str">
        <f>IF(VLOOKUP(UncLookup[[#This Row],[Item]],Items!$A$1:$F$43,4,FALSE)=0,"",VLOOKUP(UncLookup[[#This Row],[Item]],Items!$A$1:$F$43,4,FALSE))</f>
        <v/>
      </c>
    </row>
    <row r="63" spans="1:17" x14ac:dyDescent="0.25">
      <c r="A63" s="76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90" t="str">
        <f>IF(VLOOKUP(UncLookup[[#This Row],[Item]],Items!$A$1:$F$43,2,FALSE)=0,"",VLOOKUP(UncLookup[[#This Row],[Item]],Items!$A$1:$F$43,2,FALSE))</f>
        <v>meas</v>
      </c>
      <c r="P63" s="90" t="str">
        <f>IF(VLOOKUP(UncLookup[[#This Row],[Item]],Items!$A$1:$F$43,3,FALSE)=0,"",VLOOKUP(UncLookup[[#This Row],[Item]],Items!$A$1:$F$43,3,FALSE))</f>
        <v/>
      </c>
      <c r="Q63" s="90" t="str">
        <f>IF(VLOOKUP(UncLookup[[#This Row],[Item]],Items!$A$1:$F$43,4,FALSE)=0,"",VLOOKUP(UncLookup[[#This Row],[Item]],Items!$A$1:$F$43,4,FALSE))</f>
        <v/>
      </c>
    </row>
    <row r="64" spans="1:17" x14ac:dyDescent="0.25">
      <c r="A64" s="75" t="s">
        <v>57</v>
      </c>
      <c r="B64" s="75" t="s">
        <v>71</v>
      </c>
      <c r="C64" s="75">
        <v>1</v>
      </c>
      <c r="D64" s="75">
        <v>10</v>
      </c>
      <c r="E64" s="75">
        <v>0.01</v>
      </c>
      <c r="F64" s="75" t="s">
        <v>6</v>
      </c>
      <c r="G64" s="75" t="s">
        <v>5</v>
      </c>
      <c r="H64" s="75">
        <v>0</v>
      </c>
      <c r="I64" s="75">
        <v>0</v>
      </c>
      <c r="J64" s="75"/>
      <c r="K64" s="75">
        <v>5799.2</v>
      </c>
      <c r="L64" s="75">
        <v>1.4325000000000001</v>
      </c>
      <c r="M64" s="75">
        <v>5799.1</v>
      </c>
      <c r="N64" s="75">
        <v>1.4258999999999999</v>
      </c>
      <c r="O64" s="90" t="str">
        <f>IF(VLOOKUP(UncLookup[[#This Row],[Item]],Items!$A$1:$F$43,2,FALSE)=0,"",VLOOKUP(UncLookup[[#This Row],[Item]],Items!$A$1:$F$43,2,FALSE))</f>
        <v>meas</v>
      </c>
      <c r="P64" s="90" t="str">
        <f>IF(VLOOKUP(UncLookup[[#This Row],[Item]],Items!$A$1:$F$43,3,FALSE)=0,"",VLOOKUP(UncLookup[[#This Row],[Item]],Items!$A$1:$F$43,3,FALSE))</f>
        <v/>
      </c>
      <c r="Q64" s="90" t="str">
        <f>IF(VLOOKUP(UncLookup[[#This Row],[Item]],Items!$A$1:$F$43,4,FALSE)=0,"",VLOOKUP(UncLookup[[#This Row],[Item]],Items!$A$1:$F$43,4,FALSE))</f>
        <v/>
      </c>
    </row>
    <row r="65" spans="1:17" x14ac:dyDescent="0.25">
      <c r="A65" s="76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90" t="str">
        <f>IF(VLOOKUP(UncLookup[[#This Row],[Item]],Items!$A$1:$F$43,2,FALSE)=0,"",VLOOKUP(UncLookup[[#This Row],[Item]],Items!$A$1:$F$43,2,FALSE))</f>
        <v>meas</v>
      </c>
      <c r="P65" s="90" t="str">
        <f>IF(VLOOKUP(UncLookup[[#This Row],[Item]],Items!$A$1:$F$43,3,FALSE)=0,"",VLOOKUP(UncLookup[[#This Row],[Item]],Items!$A$1:$F$43,3,FALSE))</f>
        <v/>
      </c>
      <c r="Q65" s="90" t="str">
        <f>IF(VLOOKUP(UncLookup[[#This Row],[Item]],Items!$A$1:$F$43,4,FALSE)=0,"",VLOOKUP(UncLookup[[#This Row],[Item]],Items!$A$1:$F$43,4,FALSE))</f>
        <v/>
      </c>
    </row>
    <row r="66" spans="1:17" x14ac:dyDescent="0.25">
      <c r="A66" s="75" t="s">
        <v>57</v>
      </c>
      <c r="B66" s="75" t="s">
        <v>71</v>
      </c>
      <c r="C66" s="75">
        <v>1</v>
      </c>
      <c r="D66" s="75">
        <v>10</v>
      </c>
      <c r="E66" s="75">
        <v>1</v>
      </c>
      <c r="F66" s="75" t="s">
        <v>6</v>
      </c>
      <c r="G66" s="75" t="s">
        <v>5</v>
      </c>
      <c r="H66" s="75">
        <v>0</v>
      </c>
      <c r="I66" s="75">
        <v>0</v>
      </c>
      <c r="J66" s="75"/>
      <c r="K66" s="75">
        <v>580000</v>
      </c>
      <c r="L66" s="75">
        <v>1.5330999999999999E-2</v>
      </c>
      <c r="M66" s="75">
        <v>580000</v>
      </c>
      <c r="N66" s="75">
        <v>1.4276E-2</v>
      </c>
      <c r="O66" s="90" t="str">
        <f>IF(VLOOKUP(UncLookup[[#This Row],[Item]],Items!$A$1:$F$43,2,FALSE)=0,"",VLOOKUP(UncLookup[[#This Row],[Item]],Items!$A$1:$F$43,2,FALSE))</f>
        <v>meas</v>
      </c>
      <c r="P66" s="90" t="str">
        <f>IF(VLOOKUP(UncLookup[[#This Row],[Item]],Items!$A$1:$F$43,3,FALSE)=0,"",VLOOKUP(UncLookup[[#This Row],[Item]],Items!$A$1:$F$43,3,FALSE))</f>
        <v/>
      </c>
      <c r="Q66" s="90" t="str">
        <f>IF(VLOOKUP(UncLookup[[#This Row],[Item]],Items!$A$1:$F$43,4,FALSE)=0,"",VLOOKUP(UncLookup[[#This Row],[Item]],Items!$A$1:$F$43,4,FALSE))</f>
        <v/>
      </c>
    </row>
    <row r="67" spans="1:17" x14ac:dyDescent="0.25">
      <c r="A67" s="76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90" t="str">
        <f>IF(VLOOKUP(UncLookup[[#This Row],[Item]],Items!$A$1:$F$43,2,FALSE)=0,"",VLOOKUP(UncLookup[[#This Row],[Item]],Items!$A$1:$F$43,2,FALSE))</f>
        <v>meas</v>
      </c>
      <c r="P67" s="90" t="str">
        <f>IF(VLOOKUP(UncLookup[[#This Row],[Item]],Items!$A$1:$F$43,3,FALSE)=0,"",VLOOKUP(UncLookup[[#This Row],[Item]],Items!$A$1:$F$43,3,FALSE))</f>
        <v/>
      </c>
      <c r="Q67" s="90" t="str">
        <f>IF(VLOOKUP(UncLookup[[#This Row],[Item]],Items!$A$1:$F$43,4,FALSE)=0,"",VLOOKUP(UncLookup[[#This Row],[Item]],Items!$A$1:$F$43,4,FALSE))</f>
        <v/>
      </c>
    </row>
    <row r="68" spans="1:17" x14ac:dyDescent="0.25">
      <c r="A68" s="75" t="s">
        <v>57</v>
      </c>
      <c r="B68" s="75" t="s">
        <v>71</v>
      </c>
      <c r="C68" s="75">
        <v>10</v>
      </c>
      <c r="D68" s="75">
        <v>100</v>
      </c>
      <c r="E68" s="75">
        <v>1E-3</v>
      </c>
      <c r="F68" s="75" t="s">
        <v>6</v>
      </c>
      <c r="G68" s="75" t="s">
        <v>4</v>
      </c>
      <c r="H68" s="75">
        <v>0</v>
      </c>
      <c r="I68" s="75">
        <v>0</v>
      </c>
      <c r="J68" s="75"/>
      <c r="K68" s="75">
        <v>0.74950000000000006</v>
      </c>
      <c r="L68" s="75">
        <v>3.9399000000000003E-2</v>
      </c>
      <c r="M68" s="75">
        <v>0.74878999999999996</v>
      </c>
      <c r="N68" s="75">
        <v>3.9399000000000003E-2</v>
      </c>
      <c r="O68" s="90" t="str">
        <f>IF(VLOOKUP(UncLookup[[#This Row],[Item]],Items!$A$1:$F$43,2,FALSE)=0,"",VLOOKUP(UncLookup[[#This Row],[Item]],Items!$A$1:$F$43,2,FALSE))</f>
        <v>meas</v>
      </c>
      <c r="P68" s="90" t="str">
        <f>IF(VLOOKUP(UncLookup[[#This Row],[Item]],Items!$A$1:$F$43,3,FALSE)=0,"",VLOOKUP(UncLookup[[#This Row],[Item]],Items!$A$1:$F$43,3,FALSE))</f>
        <v/>
      </c>
      <c r="Q68" s="90" t="str">
        <f>IF(VLOOKUP(UncLookup[[#This Row],[Item]],Items!$A$1:$F$43,4,FALSE)=0,"",VLOOKUP(UncLookup[[#This Row],[Item]],Items!$A$1:$F$43,4,FALSE))</f>
        <v/>
      </c>
    </row>
    <row r="69" spans="1:17" x14ac:dyDescent="0.25">
      <c r="A69" s="76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90" t="str">
        <f>IF(VLOOKUP(UncLookup[[#This Row],[Item]],Items!$A$1:$F$43,2,FALSE)=0,"",VLOOKUP(UncLookup[[#This Row],[Item]],Items!$A$1:$F$43,2,FALSE))</f>
        <v>meas</v>
      </c>
      <c r="P69" s="90" t="str">
        <f>IF(VLOOKUP(UncLookup[[#This Row],[Item]],Items!$A$1:$F$43,3,FALSE)=0,"",VLOOKUP(UncLookup[[#This Row],[Item]],Items!$A$1:$F$43,3,FALSE))</f>
        <v/>
      </c>
      <c r="Q69" s="90" t="str">
        <f>IF(VLOOKUP(UncLookup[[#This Row],[Item]],Items!$A$1:$F$43,4,FALSE)=0,"",VLOOKUP(UncLookup[[#This Row],[Item]],Items!$A$1:$F$43,4,FALSE))</f>
        <v/>
      </c>
    </row>
    <row r="70" spans="1:17" x14ac:dyDescent="0.25">
      <c r="A70" s="75" t="s">
        <v>57</v>
      </c>
      <c r="B70" s="75" t="s">
        <v>71</v>
      </c>
      <c r="C70" s="75">
        <v>10</v>
      </c>
      <c r="D70" s="75">
        <v>100</v>
      </c>
      <c r="E70" s="75">
        <v>0.1</v>
      </c>
      <c r="F70" s="75" t="s">
        <v>6</v>
      </c>
      <c r="G70" s="75" t="s">
        <v>4</v>
      </c>
      <c r="H70" s="75">
        <v>0</v>
      </c>
      <c r="I70" s="75">
        <v>0</v>
      </c>
      <c r="J70" s="75"/>
      <c r="K70" s="75">
        <v>57.988999999999997</v>
      </c>
      <c r="L70" s="75">
        <v>1.9846E-3</v>
      </c>
      <c r="M70" s="75">
        <v>57.988999999999997</v>
      </c>
      <c r="N70" s="75">
        <v>1.9773E-3</v>
      </c>
      <c r="O70" s="90" t="str">
        <f>IF(VLOOKUP(UncLookup[[#This Row],[Item]],Items!$A$1:$F$43,2,FALSE)=0,"",VLOOKUP(UncLookup[[#This Row],[Item]],Items!$A$1:$F$43,2,FALSE))</f>
        <v>meas</v>
      </c>
      <c r="P70" s="90" t="str">
        <f>IF(VLOOKUP(UncLookup[[#This Row],[Item]],Items!$A$1:$F$43,3,FALSE)=0,"",VLOOKUP(UncLookup[[#This Row],[Item]],Items!$A$1:$F$43,3,FALSE))</f>
        <v/>
      </c>
      <c r="Q70" s="90" t="str">
        <f>IF(VLOOKUP(UncLookup[[#This Row],[Item]],Items!$A$1:$F$43,4,FALSE)=0,"",VLOOKUP(UncLookup[[#This Row],[Item]],Items!$A$1:$F$43,4,FALSE))</f>
        <v/>
      </c>
    </row>
    <row r="71" spans="1:17" x14ac:dyDescent="0.25">
      <c r="A71" s="76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90" t="str">
        <f>IF(VLOOKUP(UncLookup[[#This Row],[Item]],Items!$A$1:$F$43,2,FALSE)=0,"",VLOOKUP(UncLookup[[#This Row],[Item]],Items!$A$1:$F$43,2,FALSE))</f>
        <v>meas</v>
      </c>
      <c r="P71" s="90" t="str">
        <f>IF(VLOOKUP(UncLookup[[#This Row],[Item]],Items!$A$1:$F$43,3,FALSE)=0,"",VLOOKUP(UncLookup[[#This Row],[Item]],Items!$A$1:$F$43,3,FALSE))</f>
        <v/>
      </c>
      <c r="Q71" s="90" t="str">
        <f>IF(VLOOKUP(UncLookup[[#This Row],[Item]],Items!$A$1:$F$43,4,FALSE)=0,"",VLOOKUP(UncLookup[[#This Row],[Item]],Items!$A$1:$F$43,4,FALSE))</f>
        <v/>
      </c>
    </row>
    <row r="72" spans="1:17" x14ac:dyDescent="0.25">
      <c r="A72" s="75" t="s">
        <v>56</v>
      </c>
      <c r="B72" s="75" t="s">
        <v>7</v>
      </c>
      <c r="C72" s="75">
        <v>0</v>
      </c>
      <c r="D72" s="75">
        <v>10</v>
      </c>
      <c r="E72" s="75">
        <v>1.0000000000000001E-5</v>
      </c>
      <c r="F72" s="75" t="s">
        <v>104</v>
      </c>
      <c r="G72" s="75" t="s">
        <v>22</v>
      </c>
      <c r="H72" s="75">
        <v>0</v>
      </c>
      <c r="I72" s="75">
        <v>0</v>
      </c>
      <c r="J72" s="75"/>
      <c r="K72" s="75">
        <v>65</v>
      </c>
      <c r="L72" s="75">
        <v>17</v>
      </c>
      <c r="M72" s="75">
        <v>61.667999999999999</v>
      </c>
      <c r="N72" s="75">
        <v>17.321000000000002</v>
      </c>
      <c r="O72" s="90" t="str">
        <f>IF(VLOOKUP(UncLookup[[#This Row],[Item]],Items!$A$1:$F$43,2,FALSE)=0,"",VLOOKUP(UncLookup[[#This Row],[Item]],Items!$A$1:$F$43,2,FALSE))</f>
        <v/>
      </c>
      <c r="P72" s="90" t="str">
        <f>IF(VLOOKUP(UncLookup[[#This Row],[Item]],Items!$A$1:$F$43,3,FALSE)=0,"",VLOOKUP(UncLookup[[#This Row],[Item]],Items!$A$1:$F$43,3,FALSE))</f>
        <v/>
      </c>
      <c r="Q72" s="90" t="str">
        <f>IF(VLOOKUP(UncLookup[[#This Row],[Item]],Items!$A$1:$F$43,4,FALSE)=0,"",VLOOKUP(UncLookup[[#This Row],[Item]],Items!$A$1:$F$43,4,FALSE))</f>
        <v/>
      </c>
    </row>
    <row r="73" spans="1:17" x14ac:dyDescent="0.25">
      <c r="A73" s="76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90" t="str">
        <f>IF(VLOOKUP(UncLookup[[#This Row],[Item]],Items!$A$1:$F$43,2,FALSE)=0,"",VLOOKUP(UncLookup[[#This Row],[Item]],Items!$A$1:$F$43,2,FALSE))</f>
        <v/>
      </c>
      <c r="P73" s="90" t="str">
        <f>IF(VLOOKUP(UncLookup[[#This Row],[Item]],Items!$A$1:$F$43,3,FALSE)=0,"",VLOOKUP(UncLookup[[#This Row],[Item]],Items!$A$1:$F$43,3,FALSE))</f>
        <v/>
      </c>
      <c r="Q73" s="90" t="str">
        <f>IF(VLOOKUP(UncLookup[[#This Row],[Item]],Items!$A$1:$F$43,4,FALSE)=0,"",VLOOKUP(UncLookup[[#This Row],[Item]],Items!$A$1:$F$43,4,FALSE))</f>
        <v/>
      </c>
    </row>
    <row r="74" spans="1:17" x14ac:dyDescent="0.25">
      <c r="A74" s="75" t="s">
        <v>56</v>
      </c>
      <c r="B74" s="75" t="s">
        <v>7</v>
      </c>
      <c r="C74" s="75">
        <v>0</v>
      </c>
      <c r="D74" s="75">
        <v>10</v>
      </c>
      <c r="E74" s="75">
        <v>1E-3</v>
      </c>
      <c r="F74" s="75" t="s">
        <v>104</v>
      </c>
      <c r="G74" s="75" t="s">
        <v>22</v>
      </c>
      <c r="H74" s="75">
        <v>0</v>
      </c>
      <c r="I74" s="75">
        <v>0</v>
      </c>
      <c r="J74" s="75"/>
      <c r="K74" s="75">
        <v>578.24</v>
      </c>
      <c r="L74" s="75">
        <v>4.5206999999999997</v>
      </c>
      <c r="M74" s="75">
        <v>578.20000000000005</v>
      </c>
      <c r="N74" s="75">
        <v>4.5079000000000002</v>
      </c>
      <c r="O74" s="90" t="str">
        <f>IF(VLOOKUP(UncLookup[[#This Row],[Item]],Items!$A$1:$F$43,2,FALSE)=0,"",VLOOKUP(UncLookup[[#This Row],[Item]],Items!$A$1:$F$43,2,FALSE))</f>
        <v/>
      </c>
      <c r="P74" s="90" t="str">
        <f>IF(VLOOKUP(UncLookup[[#This Row],[Item]],Items!$A$1:$F$43,3,FALSE)=0,"",VLOOKUP(UncLookup[[#This Row],[Item]],Items!$A$1:$F$43,3,FALSE))</f>
        <v/>
      </c>
      <c r="Q74" s="90" t="str">
        <f>IF(VLOOKUP(UncLookup[[#This Row],[Item]],Items!$A$1:$F$43,4,FALSE)=0,"",VLOOKUP(UncLookup[[#This Row],[Item]],Items!$A$1:$F$43,4,FALSE))</f>
        <v/>
      </c>
    </row>
    <row r="75" spans="1:17" x14ac:dyDescent="0.25">
      <c r="A75" s="76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90" t="str">
        <f>IF(VLOOKUP(UncLookup[[#This Row],[Item]],Items!$A$1:$F$43,2,FALSE)=0,"",VLOOKUP(UncLookup[[#This Row],[Item]],Items!$A$1:$F$43,2,FALSE))</f>
        <v/>
      </c>
      <c r="P75" s="90" t="str">
        <f>IF(VLOOKUP(UncLookup[[#This Row],[Item]],Items!$A$1:$F$43,3,FALSE)=0,"",VLOOKUP(UncLookup[[#This Row],[Item]],Items!$A$1:$F$43,3,FALSE))</f>
        <v/>
      </c>
      <c r="Q75" s="90" t="str">
        <f>IF(VLOOKUP(UncLookup[[#This Row],[Item]],Items!$A$1:$F$43,4,FALSE)=0,"",VLOOKUP(UncLookup[[#This Row],[Item]],Items!$A$1:$F$43,4,FALSE))</f>
        <v/>
      </c>
    </row>
    <row r="76" spans="1:17" x14ac:dyDescent="0.25">
      <c r="A76" s="75" t="s">
        <v>56</v>
      </c>
      <c r="B76" s="75" t="s">
        <v>7</v>
      </c>
      <c r="C76" s="75">
        <v>0</v>
      </c>
      <c r="D76" s="75">
        <v>10</v>
      </c>
      <c r="E76" s="75">
        <v>0.1</v>
      </c>
      <c r="F76" s="75" t="s">
        <v>104</v>
      </c>
      <c r="G76" s="75" t="s">
        <v>22</v>
      </c>
      <c r="H76" s="75">
        <v>0</v>
      </c>
      <c r="I76" s="75">
        <v>0</v>
      </c>
      <c r="J76" s="75"/>
      <c r="K76" s="75">
        <v>57736</v>
      </c>
      <c r="L76" s="75">
        <v>4.9352E-2</v>
      </c>
      <c r="M76" s="75">
        <v>57736</v>
      </c>
      <c r="N76" s="75">
        <v>4.7080999999999998E-2</v>
      </c>
      <c r="O76" s="90" t="str">
        <f>IF(VLOOKUP(UncLookup[[#This Row],[Item]],Items!$A$1:$F$43,2,FALSE)=0,"",VLOOKUP(UncLookup[[#This Row],[Item]],Items!$A$1:$F$43,2,FALSE))</f>
        <v/>
      </c>
      <c r="P76" s="90" t="str">
        <f>IF(VLOOKUP(UncLookup[[#This Row],[Item]],Items!$A$1:$F$43,3,FALSE)=0,"",VLOOKUP(UncLookup[[#This Row],[Item]],Items!$A$1:$F$43,3,FALSE))</f>
        <v/>
      </c>
      <c r="Q76" s="90" t="str">
        <f>IF(VLOOKUP(UncLookup[[#This Row],[Item]],Items!$A$1:$F$43,4,FALSE)=0,"",VLOOKUP(UncLookup[[#This Row],[Item]],Items!$A$1:$F$43,4,FALSE))</f>
        <v/>
      </c>
    </row>
    <row r="77" spans="1:17" x14ac:dyDescent="0.25">
      <c r="A77" s="76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90" t="str">
        <f>IF(VLOOKUP(UncLookup[[#This Row],[Item]],Items!$A$1:$F$43,2,FALSE)=0,"",VLOOKUP(UncLookup[[#This Row],[Item]],Items!$A$1:$F$43,2,FALSE))</f>
        <v/>
      </c>
      <c r="P77" s="90" t="str">
        <f>IF(VLOOKUP(UncLookup[[#This Row],[Item]],Items!$A$1:$F$43,3,FALSE)=0,"",VLOOKUP(UncLookup[[#This Row],[Item]],Items!$A$1:$F$43,3,FALSE))</f>
        <v/>
      </c>
      <c r="Q77" s="90" t="str">
        <f>IF(VLOOKUP(UncLookup[[#This Row],[Item]],Items!$A$1:$F$43,4,FALSE)=0,"",VLOOKUP(UncLookup[[#This Row],[Item]],Items!$A$1:$F$43,4,FALSE))</f>
        <v/>
      </c>
    </row>
    <row r="78" spans="1:17" x14ac:dyDescent="0.25">
      <c r="A78" s="75" t="s">
        <v>56</v>
      </c>
      <c r="B78" s="75" t="s">
        <v>7</v>
      </c>
      <c r="C78" s="75">
        <v>0</v>
      </c>
      <c r="D78" s="75">
        <v>10</v>
      </c>
      <c r="E78" s="75">
        <v>10</v>
      </c>
      <c r="F78" s="75" t="s">
        <v>104</v>
      </c>
      <c r="G78" s="75" t="s">
        <v>22</v>
      </c>
      <c r="H78" s="75">
        <v>0</v>
      </c>
      <c r="I78" s="75">
        <v>0</v>
      </c>
      <c r="J78" s="75"/>
      <c r="K78" s="75">
        <v>5770000</v>
      </c>
      <c r="L78" s="75">
        <v>8.3416999999999996E-4</v>
      </c>
      <c r="M78" s="75">
        <v>5770000</v>
      </c>
      <c r="N78" s="75">
        <v>4.7081E-4</v>
      </c>
      <c r="O78" s="90" t="str">
        <f>IF(VLOOKUP(UncLookup[[#This Row],[Item]],Items!$A$1:$F$43,2,FALSE)=0,"",VLOOKUP(UncLookup[[#This Row],[Item]],Items!$A$1:$F$43,2,FALSE))</f>
        <v/>
      </c>
      <c r="P78" s="90" t="str">
        <f>IF(VLOOKUP(UncLookup[[#This Row],[Item]],Items!$A$1:$F$43,3,FALSE)=0,"",VLOOKUP(UncLookup[[#This Row],[Item]],Items!$A$1:$F$43,3,FALSE))</f>
        <v/>
      </c>
      <c r="Q78" s="90" t="str">
        <f>IF(VLOOKUP(UncLookup[[#This Row],[Item]],Items!$A$1:$F$43,4,FALSE)=0,"",VLOOKUP(UncLookup[[#This Row],[Item]],Items!$A$1:$F$43,4,FALSE))</f>
        <v/>
      </c>
    </row>
    <row r="79" spans="1:17" x14ac:dyDescent="0.25">
      <c r="A79" s="76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90" t="str">
        <f>IF(VLOOKUP(UncLookup[[#This Row],[Item]],Items!$A$1:$F$43,2,FALSE)=0,"",VLOOKUP(UncLookup[[#This Row],[Item]],Items!$A$1:$F$43,2,FALSE))</f>
        <v/>
      </c>
      <c r="P79" s="90" t="str">
        <f>IF(VLOOKUP(UncLookup[[#This Row],[Item]],Items!$A$1:$F$43,3,FALSE)=0,"",VLOOKUP(UncLookup[[#This Row],[Item]],Items!$A$1:$F$43,3,FALSE))</f>
        <v/>
      </c>
      <c r="Q79" s="90" t="str">
        <f>IF(VLOOKUP(UncLookup[[#This Row],[Item]],Items!$A$1:$F$43,4,FALSE)=0,"",VLOOKUP(UncLookup[[#This Row],[Item]],Items!$A$1:$F$43,4,FALSE))</f>
        <v/>
      </c>
    </row>
    <row r="80" spans="1:17" x14ac:dyDescent="0.25">
      <c r="A80" s="75" t="s">
        <v>56</v>
      </c>
      <c r="B80" s="75" t="s">
        <v>7</v>
      </c>
      <c r="C80" s="75">
        <v>0</v>
      </c>
      <c r="D80" s="75">
        <v>10</v>
      </c>
      <c r="E80" s="75">
        <v>1000</v>
      </c>
      <c r="F80" s="75" t="s">
        <v>104</v>
      </c>
      <c r="G80" s="75" t="s">
        <v>22</v>
      </c>
      <c r="H80" s="75">
        <v>0</v>
      </c>
      <c r="I80" s="75">
        <v>0</v>
      </c>
      <c r="J80" s="75"/>
      <c r="K80" s="75">
        <v>577360000</v>
      </c>
      <c r="L80" s="75">
        <v>6.2849999999999996E-5</v>
      </c>
      <c r="M80" s="75">
        <v>577360000</v>
      </c>
      <c r="N80" s="75">
        <v>4.7021000000000003E-6</v>
      </c>
      <c r="O80" s="90" t="str">
        <f>IF(VLOOKUP(UncLookup[[#This Row],[Item]],Items!$A$1:$F$43,2,FALSE)=0,"",VLOOKUP(UncLookup[[#This Row],[Item]],Items!$A$1:$F$43,2,FALSE))</f>
        <v/>
      </c>
      <c r="P80" s="90" t="str">
        <f>IF(VLOOKUP(UncLookup[[#This Row],[Item]],Items!$A$1:$F$43,3,FALSE)=0,"",VLOOKUP(UncLookup[[#This Row],[Item]],Items!$A$1:$F$43,3,FALSE))</f>
        <v/>
      </c>
      <c r="Q80" s="90" t="str">
        <f>IF(VLOOKUP(UncLookup[[#This Row],[Item]],Items!$A$1:$F$43,4,FALSE)=0,"",VLOOKUP(UncLookup[[#This Row],[Item]],Items!$A$1:$F$43,4,FALSE))</f>
        <v/>
      </c>
    </row>
    <row r="81" spans="1:17" x14ac:dyDescent="0.25">
      <c r="A81" s="76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90" t="str">
        <f>IF(VLOOKUP(UncLookup[[#This Row],[Item]],Items!$A$1:$F$43,2,FALSE)=0,"",VLOOKUP(UncLookup[[#This Row],[Item]],Items!$A$1:$F$43,2,FALSE))</f>
        <v/>
      </c>
      <c r="P81" s="90" t="str">
        <f>IF(VLOOKUP(UncLookup[[#This Row],[Item]],Items!$A$1:$F$43,3,FALSE)=0,"",VLOOKUP(UncLookup[[#This Row],[Item]],Items!$A$1:$F$43,3,FALSE))</f>
        <v/>
      </c>
      <c r="Q81" s="90" t="str">
        <f>IF(VLOOKUP(UncLookup[[#This Row],[Item]],Items!$A$1:$F$43,4,FALSE)=0,"",VLOOKUP(UncLookup[[#This Row],[Item]],Items!$A$1:$F$43,4,FALSE))</f>
        <v/>
      </c>
    </row>
    <row r="82" spans="1:17" x14ac:dyDescent="0.25">
      <c r="A82" s="75" t="s">
        <v>56</v>
      </c>
      <c r="B82" s="75" t="s">
        <v>7</v>
      </c>
      <c r="C82" s="75">
        <v>0</v>
      </c>
      <c r="D82" s="75">
        <v>10</v>
      </c>
      <c r="E82" s="75">
        <v>100000</v>
      </c>
      <c r="F82" s="75" t="s">
        <v>104</v>
      </c>
      <c r="G82" s="75" t="s">
        <v>22</v>
      </c>
      <c r="H82" s="75">
        <v>0</v>
      </c>
      <c r="I82" s="75">
        <v>0</v>
      </c>
      <c r="J82" s="75"/>
      <c r="K82" s="75">
        <v>57736000000</v>
      </c>
      <c r="L82" s="75">
        <v>8.4771000000000005E-6</v>
      </c>
      <c r="M82" s="75">
        <v>57736000000</v>
      </c>
      <c r="N82" s="75">
        <v>0</v>
      </c>
      <c r="O82" s="90" t="str">
        <f>IF(VLOOKUP(UncLookup[[#This Row],[Item]],Items!$A$1:$F$43,2,FALSE)=0,"",VLOOKUP(UncLookup[[#This Row],[Item]],Items!$A$1:$F$43,2,FALSE))</f>
        <v/>
      </c>
      <c r="P82" s="90" t="str">
        <f>IF(VLOOKUP(UncLookup[[#This Row],[Item]],Items!$A$1:$F$43,3,FALSE)=0,"",VLOOKUP(UncLookup[[#This Row],[Item]],Items!$A$1:$F$43,3,FALSE))</f>
        <v/>
      </c>
      <c r="Q82" s="90" t="str">
        <f>IF(VLOOKUP(UncLookup[[#This Row],[Item]],Items!$A$1:$F$43,4,FALSE)=0,"",VLOOKUP(UncLookup[[#This Row],[Item]],Items!$A$1:$F$43,4,FALSE))</f>
        <v/>
      </c>
    </row>
    <row r="83" spans="1:17" x14ac:dyDescent="0.25">
      <c r="A83" s="76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90" t="str">
        <f>IF(VLOOKUP(UncLookup[[#This Row],[Item]],Items!$A$1:$F$43,2,FALSE)=0,"",VLOOKUP(UncLookup[[#This Row],[Item]],Items!$A$1:$F$43,2,FALSE))</f>
        <v/>
      </c>
      <c r="P83" s="90" t="str">
        <f>IF(VLOOKUP(UncLookup[[#This Row],[Item]],Items!$A$1:$F$43,3,FALSE)=0,"",VLOOKUP(UncLookup[[#This Row],[Item]],Items!$A$1:$F$43,3,FALSE))</f>
        <v/>
      </c>
      <c r="Q83" s="90" t="str">
        <f>IF(VLOOKUP(UncLookup[[#This Row],[Item]],Items!$A$1:$F$43,4,FALSE)=0,"",VLOOKUP(UncLookup[[#This Row],[Item]],Items!$A$1:$F$43,4,FALSE))</f>
        <v/>
      </c>
    </row>
    <row r="84" spans="1:17" x14ac:dyDescent="0.25">
      <c r="A84" s="75" t="s">
        <v>56</v>
      </c>
      <c r="B84" s="75" t="s">
        <v>7</v>
      </c>
      <c r="C84" s="75">
        <v>10</v>
      </c>
      <c r="D84" s="75">
        <v>100</v>
      </c>
      <c r="E84" s="75">
        <v>1.0000000000000001E-5</v>
      </c>
      <c r="F84" s="75" t="s">
        <v>104</v>
      </c>
      <c r="G84" s="75" t="s">
        <v>22</v>
      </c>
      <c r="H84" s="75">
        <v>0</v>
      </c>
      <c r="I84" s="75">
        <v>0</v>
      </c>
      <c r="J84" s="75"/>
      <c r="K84" s="75">
        <v>580</v>
      </c>
      <c r="L84" s="75">
        <v>14</v>
      </c>
      <c r="M84" s="75">
        <v>577.27</v>
      </c>
      <c r="N84" s="75">
        <v>0</v>
      </c>
      <c r="O84" s="90" t="str">
        <f>IF(VLOOKUP(UncLookup[[#This Row],[Item]],Items!$A$1:$F$43,2,FALSE)=0,"",VLOOKUP(UncLookup[[#This Row],[Item]],Items!$A$1:$F$43,2,FALSE))</f>
        <v/>
      </c>
      <c r="P84" s="90" t="str">
        <f>IF(VLOOKUP(UncLookup[[#This Row],[Item]],Items!$A$1:$F$43,3,FALSE)=0,"",VLOOKUP(UncLookup[[#This Row],[Item]],Items!$A$1:$F$43,3,FALSE))</f>
        <v/>
      </c>
      <c r="Q84" s="90" t="str">
        <f>IF(VLOOKUP(UncLookup[[#This Row],[Item]],Items!$A$1:$F$43,4,FALSE)=0,"",VLOOKUP(UncLookup[[#This Row],[Item]],Items!$A$1:$F$43,4,FALSE))</f>
        <v/>
      </c>
    </row>
    <row r="85" spans="1:17" x14ac:dyDescent="0.25">
      <c r="A85" s="76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90" t="str">
        <f>IF(VLOOKUP(UncLookup[[#This Row],[Item]],Items!$A$1:$F$43,2,FALSE)=0,"",VLOOKUP(UncLookup[[#This Row],[Item]],Items!$A$1:$F$43,2,FALSE))</f>
        <v/>
      </c>
      <c r="P85" s="90" t="str">
        <f>IF(VLOOKUP(UncLookup[[#This Row],[Item]],Items!$A$1:$F$43,3,FALSE)=0,"",VLOOKUP(UncLookup[[#This Row],[Item]],Items!$A$1:$F$43,3,FALSE))</f>
        <v/>
      </c>
      <c r="Q85" s="90" t="str">
        <f>IF(VLOOKUP(UncLookup[[#This Row],[Item]],Items!$A$1:$F$43,4,FALSE)=0,"",VLOOKUP(UncLookup[[#This Row],[Item]],Items!$A$1:$F$43,4,FALSE))</f>
        <v/>
      </c>
    </row>
    <row r="86" spans="1:17" x14ac:dyDescent="0.25">
      <c r="A86" s="75" t="s">
        <v>56</v>
      </c>
      <c r="B86" s="75" t="s">
        <v>7</v>
      </c>
      <c r="C86" s="75">
        <v>10</v>
      </c>
      <c r="D86" s="75">
        <v>100</v>
      </c>
      <c r="E86" s="75">
        <v>1E-3</v>
      </c>
      <c r="F86" s="75" t="s">
        <v>104</v>
      </c>
      <c r="G86" s="75" t="s">
        <v>22</v>
      </c>
      <c r="H86" s="75">
        <v>0</v>
      </c>
      <c r="I86" s="75">
        <v>0</v>
      </c>
      <c r="J86" s="75"/>
      <c r="K86" s="75">
        <v>794.35</v>
      </c>
      <c r="L86" s="75">
        <v>12.648</v>
      </c>
      <c r="M86" s="75">
        <v>794.24</v>
      </c>
      <c r="N86" s="75">
        <v>12.648</v>
      </c>
      <c r="O86" s="90" t="str">
        <f>IF(VLOOKUP(UncLookup[[#This Row],[Item]],Items!$A$1:$F$43,2,FALSE)=0,"",VLOOKUP(UncLookup[[#This Row],[Item]],Items!$A$1:$F$43,2,FALSE))</f>
        <v/>
      </c>
      <c r="P86" s="90" t="str">
        <f>IF(VLOOKUP(UncLookup[[#This Row],[Item]],Items!$A$1:$F$43,3,FALSE)=0,"",VLOOKUP(UncLookup[[#This Row],[Item]],Items!$A$1:$F$43,3,FALSE))</f>
        <v/>
      </c>
      <c r="Q86" s="90" t="str">
        <f>IF(VLOOKUP(UncLookup[[#This Row],[Item]],Items!$A$1:$F$43,4,FALSE)=0,"",VLOOKUP(UncLookup[[#This Row],[Item]],Items!$A$1:$F$43,4,FALSE))</f>
        <v/>
      </c>
    </row>
    <row r="87" spans="1:17" x14ac:dyDescent="0.25">
      <c r="A87" s="76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90" t="str">
        <f>IF(VLOOKUP(UncLookup[[#This Row],[Item]],Items!$A$1:$F$43,2,FALSE)=0,"",VLOOKUP(UncLookup[[#This Row],[Item]],Items!$A$1:$F$43,2,FALSE))</f>
        <v/>
      </c>
      <c r="P87" s="90" t="str">
        <f>IF(VLOOKUP(UncLookup[[#This Row],[Item]],Items!$A$1:$F$43,3,FALSE)=0,"",VLOOKUP(UncLookup[[#This Row],[Item]],Items!$A$1:$F$43,3,FALSE))</f>
        <v/>
      </c>
      <c r="Q87" s="90" t="str">
        <f>IF(VLOOKUP(UncLookup[[#This Row],[Item]],Items!$A$1:$F$43,4,FALSE)=0,"",VLOOKUP(UncLookup[[#This Row],[Item]],Items!$A$1:$F$43,4,FALSE))</f>
        <v/>
      </c>
    </row>
    <row r="88" spans="1:17" x14ac:dyDescent="0.25">
      <c r="A88" s="75" t="s">
        <v>56</v>
      </c>
      <c r="B88" s="75" t="s">
        <v>7</v>
      </c>
      <c r="C88" s="75">
        <v>10</v>
      </c>
      <c r="D88" s="75">
        <v>100</v>
      </c>
      <c r="E88" s="75">
        <v>0.1</v>
      </c>
      <c r="F88" s="75" t="s">
        <v>104</v>
      </c>
      <c r="G88" s="75" t="s">
        <v>22</v>
      </c>
      <c r="H88" s="75">
        <v>0</v>
      </c>
      <c r="I88" s="75">
        <v>0</v>
      </c>
      <c r="J88" s="75"/>
      <c r="K88" s="75">
        <v>57737</v>
      </c>
      <c r="L88" s="75">
        <v>0.32668999999999998</v>
      </c>
      <c r="M88" s="75">
        <v>57737</v>
      </c>
      <c r="N88" s="75">
        <v>0.32628000000000001</v>
      </c>
      <c r="O88" s="90" t="str">
        <f>IF(VLOOKUP(UncLookup[[#This Row],[Item]],Items!$A$1:$F$43,2,FALSE)=0,"",VLOOKUP(UncLookup[[#This Row],[Item]],Items!$A$1:$F$43,2,FALSE))</f>
        <v/>
      </c>
      <c r="P88" s="90" t="str">
        <f>IF(VLOOKUP(UncLookup[[#This Row],[Item]],Items!$A$1:$F$43,3,FALSE)=0,"",VLOOKUP(UncLookup[[#This Row],[Item]],Items!$A$1:$F$43,3,FALSE))</f>
        <v/>
      </c>
      <c r="Q88" s="90" t="str">
        <f>IF(VLOOKUP(UncLookup[[#This Row],[Item]],Items!$A$1:$F$43,4,FALSE)=0,"",VLOOKUP(UncLookup[[#This Row],[Item]],Items!$A$1:$F$43,4,FALSE))</f>
        <v/>
      </c>
    </row>
    <row r="89" spans="1:17" x14ac:dyDescent="0.25">
      <c r="A89" s="76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90" t="str">
        <f>IF(VLOOKUP(UncLookup[[#This Row],[Item]],Items!$A$1:$F$43,2,FALSE)=0,"",VLOOKUP(UncLookup[[#This Row],[Item]],Items!$A$1:$F$43,2,FALSE))</f>
        <v/>
      </c>
      <c r="P89" s="90" t="str">
        <f>IF(VLOOKUP(UncLookup[[#This Row],[Item]],Items!$A$1:$F$43,3,FALSE)=0,"",VLOOKUP(UncLookup[[#This Row],[Item]],Items!$A$1:$F$43,3,FALSE))</f>
        <v/>
      </c>
      <c r="Q89" s="90" t="str">
        <f>IF(VLOOKUP(UncLookup[[#This Row],[Item]],Items!$A$1:$F$43,4,FALSE)=0,"",VLOOKUP(UncLookup[[#This Row],[Item]],Items!$A$1:$F$43,4,FALSE))</f>
        <v/>
      </c>
    </row>
    <row r="90" spans="1:17" x14ac:dyDescent="0.25">
      <c r="A90" s="75" t="s">
        <v>56</v>
      </c>
      <c r="B90" s="75" t="s">
        <v>7</v>
      </c>
      <c r="C90" s="75">
        <v>100</v>
      </c>
      <c r="D90" s="75">
        <v>1000</v>
      </c>
      <c r="E90" s="75">
        <v>1E-4</v>
      </c>
      <c r="F90" s="75" t="s">
        <v>104</v>
      </c>
      <c r="G90" s="75" t="s">
        <v>22</v>
      </c>
      <c r="H90" s="75">
        <v>0</v>
      </c>
      <c r="I90" s="75">
        <v>0</v>
      </c>
      <c r="J90" s="75"/>
      <c r="K90" s="75">
        <v>590</v>
      </c>
      <c r="L90" s="75">
        <v>12</v>
      </c>
      <c r="M90" s="75">
        <v>568.01</v>
      </c>
      <c r="N90" s="75">
        <v>11.811999999999999</v>
      </c>
      <c r="O90" s="90" t="str">
        <f>IF(VLOOKUP(UncLookup[[#This Row],[Item]],Items!$A$1:$F$43,2,FALSE)=0,"",VLOOKUP(UncLookup[[#This Row],[Item]],Items!$A$1:$F$43,2,FALSE))</f>
        <v/>
      </c>
      <c r="P90" s="90" t="str">
        <f>IF(VLOOKUP(UncLookup[[#This Row],[Item]],Items!$A$1:$F$43,3,FALSE)=0,"",VLOOKUP(UncLookup[[#This Row],[Item]],Items!$A$1:$F$43,3,FALSE))</f>
        <v/>
      </c>
      <c r="Q90" s="90" t="str">
        <f>IF(VLOOKUP(UncLookup[[#This Row],[Item]],Items!$A$1:$F$43,4,FALSE)=0,"",VLOOKUP(UncLookup[[#This Row],[Item]],Items!$A$1:$F$43,4,FALSE))</f>
        <v/>
      </c>
    </row>
    <row r="91" spans="1:17" x14ac:dyDescent="0.25">
      <c r="A91" s="76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90" t="str">
        <f>IF(VLOOKUP(UncLookup[[#This Row],[Item]],Items!$A$1:$F$43,2,FALSE)=0,"",VLOOKUP(UncLookup[[#This Row],[Item]],Items!$A$1:$F$43,2,FALSE))</f>
        <v/>
      </c>
      <c r="P91" s="90" t="str">
        <f>IF(VLOOKUP(UncLookup[[#This Row],[Item]],Items!$A$1:$F$43,3,FALSE)=0,"",VLOOKUP(UncLookup[[#This Row],[Item]],Items!$A$1:$F$43,3,FALSE))</f>
        <v/>
      </c>
      <c r="Q91" s="90" t="str">
        <f>IF(VLOOKUP(UncLookup[[#This Row],[Item]],Items!$A$1:$F$43,4,FALSE)=0,"",VLOOKUP(UncLookup[[#This Row],[Item]],Items!$A$1:$F$43,4,FALSE))</f>
        <v/>
      </c>
    </row>
    <row r="92" spans="1:17" x14ac:dyDescent="0.25">
      <c r="A92" s="75" t="s">
        <v>56</v>
      </c>
      <c r="B92" s="75" t="s">
        <v>7</v>
      </c>
      <c r="C92" s="75">
        <v>100</v>
      </c>
      <c r="D92" s="75">
        <v>1000</v>
      </c>
      <c r="E92" s="75">
        <v>0.01</v>
      </c>
      <c r="F92" s="75" t="s">
        <v>104</v>
      </c>
      <c r="G92" s="75" t="s">
        <v>22</v>
      </c>
      <c r="H92" s="75">
        <v>0</v>
      </c>
      <c r="I92" s="75">
        <v>0</v>
      </c>
      <c r="J92" s="75"/>
      <c r="K92" s="75">
        <v>5185.8</v>
      </c>
      <c r="L92" s="75">
        <v>8.4755000000000003</v>
      </c>
      <c r="M92" s="75">
        <v>5185</v>
      </c>
      <c r="N92" s="75">
        <v>8.4748000000000001</v>
      </c>
      <c r="O92" s="90" t="str">
        <f>IF(VLOOKUP(UncLookup[[#This Row],[Item]],Items!$A$1:$F$43,2,FALSE)=0,"",VLOOKUP(UncLookup[[#This Row],[Item]],Items!$A$1:$F$43,2,FALSE))</f>
        <v/>
      </c>
      <c r="P92" s="90" t="str">
        <f>IF(VLOOKUP(UncLookup[[#This Row],[Item]],Items!$A$1:$F$43,3,FALSE)=0,"",VLOOKUP(UncLookup[[#This Row],[Item]],Items!$A$1:$F$43,3,FALSE))</f>
        <v/>
      </c>
      <c r="Q92" s="90" t="str">
        <f>IF(VLOOKUP(UncLookup[[#This Row],[Item]],Items!$A$1:$F$43,4,FALSE)=0,"",VLOOKUP(UncLookup[[#This Row],[Item]],Items!$A$1:$F$43,4,FALSE))</f>
        <v/>
      </c>
    </row>
    <row r="93" spans="1:17" x14ac:dyDescent="0.25">
      <c r="A93" s="76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90" t="str">
        <f>IF(VLOOKUP(UncLookup[[#This Row],[Item]],Items!$A$1:$F$43,2,FALSE)=0,"",VLOOKUP(UncLookup[[#This Row],[Item]],Items!$A$1:$F$43,2,FALSE))</f>
        <v/>
      </c>
      <c r="P93" s="90" t="str">
        <f>IF(VLOOKUP(UncLookup[[#This Row],[Item]],Items!$A$1:$F$43,3,FALSE)=0,"",VLOOKUP(UncLookup[[#This Row],[Item]],Items!$A$1:$F$43,3,FALSE))</f>
        <v/>
      </c>
      <c r="Q93" s="90" t="str">
        <f>IF(VLOOKUP(UncLookup[[#This Row],[Item]],Items!$A$1:$F$43,4,FALSE)=0,"",VLOOKUP(UncLookup[[#This Row],[Item]],Items!$A$1:$F$43,4,FALSE))</f>
        <v/>
      </c>
    </row>
    <row r="94" spans="1:17" x14ac:dyDescent="0.25">
      <c r="A94" s="75" t="s">
        <v>56</v>
      </c>
      <c r="B94" s="75" t="s">
        <v>7</v>
      </c>
      <c r="C94" s="75">
        <v>100</v>
      </c>
      <c r="D94" s="75">
        <v>1000</v>
      </c>
      <c r="E94" s="75">
        <v>1</v>
      </c>
      <c r="F94" s="75" t="s">
        <v>104</v>
      </c>
      <c r="G94" s="75" t="s">
        <v>22</v>
      </c>
      <c r="H94" s="75">
        <v>0</v>
      </c>
      <c r="I94" s="75">
        <v>0</v>
      </c>
      <c r="J94" s="75"/>
      <c r="K94" s="75">
        <v>577340</v>
      </c>
      <c r="L94" s="75">
        <v>0.14501</v>
      </c>
      <c r="M94" s="75">
        <v>577340</v>
      </c>
      <c r="N94" s="75">
        <v>0.14451</v>
      </c>
      <c r="O94" s="90" t="str">
        <f>IF(VLOOKUP(UncLookup[[#This Row],[Item]],Items!$A$1:$F$43,2,FALSE)=0,"",VLOOKUP(UncLookup[[#This Row],[Item]],Items!$A$1:$F$43,2,FALSE))</f>
        <v/>
      </c>
      <c r="P94" s="90" t="str">
        <f>IF(VLOOKUP(UncLookup[[#This Row],[Item]],Items!$A$1:$F$43,3,FALSE)=0,"",VLOOKUP(UncLookup[[#This Row],[Item]],Items!$A$1:$F$43,3,FALSE))</f>
        <v/>
      </c>
      <c r="Q94" s="90" t="str">
        <f>IF(VLOOKUP(UncLookup[[#This Row],[Item]],Items!$A$1:$F$43,4,FALSE)=0,"",VLOOKUP(UncLookup[[#This Row],[Item]],Items!$A$1:$F$43,4,FALSE))</f>
        <v/>
      </c>
    </row>
    <row r="95" spans="1:17" x14ac:dyDescent="0.25">
      <c r="A95" s="76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90" t="str">
        <f>IF(VLOOKUP(UncLookup[[#This Row],[Item]],Items!$A$1:$F$43,2,FALSE)=0,"",VLOOKUP(UncLookup[[#This Row],[Item]],Items!$A$1:$F$43,2,FALSE))</f>
        <v/>
      </c>
      <c r="P95" s="90" t="str">
        <f>IF(VLOOKUP(UncLookup[[#This Row],[Item]],Items!$A$1:$F$43,3,FALSE)=0,"",VLOOKUP(UncLookup[[#This Row],[Item]],Items!$A$1:$F$43,3,FALSE))</f>
        <v/>
      </c>
      <c r="Q95" s="90" t="str">
        <f>IF(VLOOKUP(UncLookup[[#This Row],[Item]],Items!$A$1:$F$43,4,FALSE)=0,"",VLOOKUP(UncLookup[[#This Row],[Item]],Items!$A$1:$F$43,4,FALSE))</f>
        <v/>
      </c>
    </row>
    <row r="96" spans="1:17" x14ac:dyDescent="0.25">
      <c r="A96" s="75" t="s">
        <v>56</v>
      </c>
      <c r="B96" s="75" t="s">
        <v>7</v>
      </c>
      <c r="C96" s="75">
        <v>1000</v>
      </c>
      <c r="D96" s="75">
        <v>10000</v>
      </c>
      <c r="E96" s="75">
        <v>1E-3</v>
      </c>
      <c r="F96" s="75" t="s">
        <v>104</v>
      </c>
      <c r="G96" s="75" t="s">
        <v>48</v>
      </c>
      <c r="H96" s="75">
        <v>0</v>
      </c>
      <c r="I96" s="75">
        <v>0</v>
      </c>
      <c r="J96" s="75"/>
      <c r="K96" s="75">
        <v>5.9</v>
      </c>
      <c r="L96" s="75">
        <v>1.2E-2</v>
      </c>
      <c r="M96" s="75">
        <v>5.8777999999999997</v>
      </c>
      <c r="N96" s="75">
        <v>1.1642E-2</v>
      </c>
      <c r="O96" s="90" t="str">
        <f>IF(VLOOKUP(UncLookup[[#This Row],[Item]],Items!$A$1:$F$43,2,FALSE)=0,"",VLOOKUP(UncLookup[[#This Row],[Item]],Items!$A$1:$F$43,2,FALSE))</f>
        <v/>
      </c>
      <c r="P96" s="90" t="str">
        <f>IF(VLOOKUP(UncLookup[[#This Row],[Item]],Items!$A$1:$F$43,3,FALSE)=0,"",VLOOKUP(UncLookup[[#This Row],[Item]],Items!$A$1:$F$43,3,FALSE))</f>
        <v/>
      </c>
      <c r="Q96" s="90" t="str">
        <f>IF(VLOOKUP(UncLookup[[#This Row],[Item]],Items!$A$1:$F$43,4,FALSE)=0,"",VLOOKUP(UncLookup[[#This Row],[Item]],Items!$A$1:$F$43,4,FALSE))</f>
        <v/>
      </c>
    </row>
    <row r="97" spans="1:17" x14ac:dyDescent="0.25">
      <c r="A97" s="76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90" t="str">
        <f>IF(VLOOKUP(UncLookup[[#This Row],[Item]],Items!$A$1:$F$43,2,FALSE)=0,"",VLOOKUP(UncLookup[[#This Row],[Item]],Items!$A$1:$F$43,2,FALSE))</f>
        <v/>
      </c>
      <c r="P97" s="90" t="str">
        <f>IF(VLOOKUP(UncLookup[[#This Row],[Item]],Items!$A$1:$F$43,3,FALSE)=0,"",VLOOKUP(UncLookup[[#This Row],[Item]],Items!$A$1:$F$43,3,FALSE))</f>
        <v/>
      </c>
      <c r="Q97" s="90" t="str">
        <f>IF(VLOOKUP(UncLookup[[#This Row],[Item]],Items!$A$1:$F$43,4,FALSE)=0,"",VLOOKUP(UncLookup[[#This Row],[Item]],Items!$A$1:$F$43,4,FALSE))</f>
        <v/>
      </c>
    </row>
    <row r="98" spans="1:17" x14ac:dyDescent="0.25">
      <c r="A98" s="75" t="s">
        <v>56</v>
      </c>
      <c r="B98" s="75" t="s">
        <v>7</v>
      </c>
      <c r="C98" s="75">
        <v>1000</v>
      </c>
      <c r="D98" s="75">
        <v>10000</v>
      </c>
      <c r="E98" s="75">
        <v>0.1</v>
      </c>
      <c r="F98" s="75" t="s">
        <v>104</v>
      </c>
      <c r="G98" s="75" t="s">
        <v>48</v>
      </c>
      <c r="H98" s="75">
        <v>0</v>
      </c>
      <c r="I98" s="75">
        <v>0</v>
      </c>
      <c r="J98" s="75"/>
      <c r="K98" s="75">
        <v>52.024000000000001</v>
      </c>
      <c r="L98" s="75">
        <v>8.3239000000000004E-3</v>
      </c>
      <c r="M98" s="75">
        <v>52.009</v>
      </c>
      <c r="N98" s="75">
        <v>8.3230999999999999E-3</v>
      </c>
      <c r="O98" s="90" t="str">
        <f>IF(VLOOKUP(UncLookup[[#This Row],[Item]],Items!$A$1:$F$43,2,FALSE)=0,"",VLOOKUP(UncLookup[[#This Row],[Item]],Items!$A$1:$F$43,2,FALSE))</f>
        <v/>
      </c>
      <c r="P98" s="90" t="str">
        <f>IF(VLOOKUP(UncLookup[[#This Row],[Item]],Items!$A$1:$F$43,3,FALSE)=0,"",VLOOKUP(UncLookup[[#This Row],[Item]],Items!$A$1:$F$43,3,FALSE))</f>
        <v/>
      </c>
      <c r="Q98" s="90" t="str">
        <f>IF(VLOOKUP(UncLookup[[#This Row],[Item]],Items!$A$1:$F$43,4,FALSE)=0,"",VLOOKUP(UncLookup[[#This Row],[Item]],Items!$A$1:$F$43,4,FALSE))</f>
        <v/>
      </c>
    </row>
    <row r="99" spans="1:17" x14ac:dyDescent="0.25">
      <c r="A99" s="76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90" t="str">
        <f>IF(VLOOKUP(UncLookup[[#This Row],[Item]],Items!$A$1:$F$43,2,FALSE)=0,"",VLOOKUP(UncLookup[[#This Row],[Item]],Items!$A$1:$F$43,2,FALSE))</f>
        <v/>
      </c>
      <c r="P99" s="90" t="str">
        <f>IF(VLOOKUP(UncLookup[[#This Row],[Item]],Items!$A$1:$F$43,3,FALSE)=0,"",VLOOKUP(UncLookup[[#This Row],[Item]],Items!$A$1:$F$43,3,FALSE))</f>
        <v/>
      </c>
      <c r="Q99" s="90" t="str">
        <f>IF(VLOOKUP(UncLookup[[#This Row],[Item]],Items!$A$1:$F$43,4,FALSE)=0,"",VLOOKUP(UncLookup[[#This Row],[Item]],Items!$A$1:$F$43,4,FALSE))</f>
        <v/>
      </c>
    </row>
    <row r="100" spans="1:17" x14ac:dyDescent="0.25">
      <c r="A100" s="75" t="s">
        <v>56</v>
      </c>
      <c r="B100" s="75" t="s">
        <v>7</v>
      </c>
      <c r="C100" s="75">
        <v>1000</v>
      </c>
      <c r="D100" s="75">
        <v>10000</v>
      </c>
      <c r="E100" s="75">
        <v>10</v>
      </c>
      <c r="F100" s="75" t="s">
        <v>104</v>
      </c>
      <c r="G100" s="75" t="s">
        <v>48</v>
      </c>
      <c r="H100" s="75">
        <v>0</v>
      </c>
      <c r="I100" s="75">
        <v>0</v>
      </c>
      <c r="J100" s="75"/>
      <c r="K100" s="75">
        <v>5773.4</v>
      </c>
      <c r="L100" s="75">
        <v>1.416E-4</v>
      </c>
      <c r="M100" s="75">
        <v>5773.4</v>
      </c>
      <c r="N100" s="75">
        <v>1.4095000000000001E-4</v>
      </c>
      <c r="O100" s="90" t="str">
        <f>IF(VLOOKUP(UncLookup[[#This Row],[Item]],Items!$A$1:$F$43,2,FALSE)=0,"",VLOOKUP(UncLookup[[#This Row],[Item]],Items!$A$1:$F$43,2,FALSE))</f>
        <v/>
      </c>
      <c r="P100" s="90" t="str">
        <f>IF(VLOOKUP(UncLookup[[#This Row],[Item]],Items!$A$1:$F$43,3,FALSE)=0,"",VLOOKUP(UncLookup[[#This Row],[Item]],Items!$A$1:$F$43,3,FALSE))</f>
        <v/>
      </c>
      <c r="Q100" s="90" t="str">
        <f>IF(VLOOKUP(UncLookup[[#This Row],[Item]],Items!$A$1:$F$43,4,FALSE)=0,"",VLOOKUP(UncLookup[[#This Row],[Item]],Items!$A$1:$F$43,4,FALSE))</f>
        <v/>
      </c>
    </row>
    <row r="101" spans="1:17" x14ac:dyDescent="0.25">
      <c r="A101" s="76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90" t="str">
        <f>IF(VLOOKUP(UncLookup[[#This Row],[Item]],Items!$A$1:$F$43,2,FALSE)=0,"",VLOOKUP(UncLookup[[#This Row],[Item]],Items!$A$1:$F$43,2,FALSE))</f>
        <v/>
      </c>
      <c r="P101" s="90" t="str">
        <f>IF(VLOOKUP(UncLookup[[#This Row],[Item]],Items!$A$1:$F$43,3,FALSE)=0,"",VLOOKUP(UncLookup[[#This Row],[Item]],Items!$A$1:$F$43,3,FALSE))</f>
        <v/>
      </c>
      <c r="Q101" s="90" t="str">
        <f>IF(VLOOKUP(UncLookup[[#This Row],[Item]],Items!$A$1:$F$43,4,FALSE)=0,"",VLOOKUP(UncLookup[[#This Row],[Item]],Items!$A$1:$F$43,4,FALSE))</f>
        <v/>
      </c>
    </row>
    <row r="102" spans="1:17" x14ac:dyDescent="0.25">
      <c r="A102" s="75" t="s">
        <v>56</v>
      </c>
      <c r="B102" s="75" t="s">
        <v>7</v>
      </c>
      <c r="C102" s="75">
        <v>10000</v>
      </c>
      <c r="D102" s="75">
        <v>100000</v>
      </c>
      <c r="E102" s="75">
        <v>0.01</v>
      </c>
      <c r="F102" s="75" t="s">
        <v>104</v>
      </c>
      <c r="G102" s="75" t="s">
        <v>48</v>
      </c>
      <c r="H102" s="75">
        <v>0</v>
      </c>
      <c r="I102" s="75">
        <v>0</v>
      </c>
      <c r="J102" s="75"/>
      <c r="K102" s="75">
        <v>58</v>
      </c>
      <c r="L102" s="75">
        <v>1.2E-2</v>
      </c>
      <c r="M102" s="75">
        <v>53.872999999999998</v>
      </c>
      <c r="N102" s="75">
        <v>1.2026999999999999E-2</v>
      </c>
      <c r="O102" s="90" t="str">
        <f>IF(VLOOKUP(UncLookup[[#This Row],[Item]],Items!$A$1:$F$43,2,FALSE)=0,"",VLOOKUP(UncLookup[[#This Row],[Item]],Items!$A$1:$F$43,2,FALSE))</f>
        <v/>
      </c>
      <c r="P102" s="90" t="str">
        <f>IF(VLOOKUP(UncLookup[[#This Row],[Item]],Items!$A$1:$F$43,3,FALSE)=0,"",VLOOKUP(UncLookup[[#This Row],[Item]],Items!$A$1:$F$43,3,FALSE))</f>
        <v/>
      </c>
      <c r="Q102" s="90" t="str">
        <f>IF(VLOOKUP(UncLookup[[#This Row],[Item]],Items!$A$1:$F$43,4,FALSE)=0,"",VLOOKUP(UncLookup[[#This Row],[Item]],Items!$A$1:$F$43,4,FALSE))</f>
        <v/>
      </c>
    </row>
    <row r="103" spans="1:17" x14ac:dyDescent="0.25">
      <c r="A103" s="76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90" t="str">
        <f>IF(VLOOKUP(UncLookup[[#This Row],[Item]],Items!$A$1:$F$43,2,FALSE)=0,"",VLOOKUP(UncLookup[[#This Row],[Item]],Items!$A$1:$F$43,2,FALSE))</f>
        <v/>
      </c>
      <c r="P103" s="90" t="str">
        <f>IF(VLOOKUP(UncLookup[[#This Row],[Item]],Items!$A$1:$F$43,3,FALSE)=0,"",VLOOKUP(UncLookup[[#This Row],[Item]],Items!$A$1:$F$43,3,FALSE))</f>
        <v/>
      </c>
      <c r="Q103" s="90" t="str">
        <f>IF(VLOOKUP(UncLookup[[#This Row],[Item]],Items!$A$1:$F$43,4,FALSE)=0,"",VLOOKUP(UncLookup[[#This Row],[Item]],Items!$A$1:$F$43,4,FALSE))</f>
        <v/>
      </c>
    </row>
    <row r="104" spans="1:17" x14ac:dyDescent="0.25">
      <c r="A104" s="75" t="s">
        <v>56</v>
      </c>
      <c r="B104" s="75" t="s">
        <v>7</v>
      </c>
      <c r="C104" s="75">
        <v>10000</v>
      </c>
      <c r="D104" s="75">
        <v>100000</v>
      </c>
      <c r="E104" s="75">
        <v>1</v>
      </c>
      <c r="F104" s="75" t="s">
        <v>104</v>
      </c>
      <c r="G104" s="75" t="s">
        <v>48</v>
      </c>
      <c r="H104" s="75">
        <v>0</v>
      </c>
      <c r="I104" s="75">
        <v>0</v>
      </c>
      <c r="J104" s="75"/>
      <c r="K104" s="75">
        <v>516.51</v>
      </c>
      <c r="L104" s="75">
        <v>8.6656000000000007E-3</v>
      </c>
      <c r="M104" s="75">
        <v>516.37</v>
      </c>
      <c r="N104" s="75">
        <v>8.6648999999999997E-3</v>
      </c>
      <c r="O104" s="90" t="str">
        <f>IF(VLOOKUP(UncLookup[[#This Row],[Item]],Items!$A$1:$F$43,2,FALSE)=0,"",VLOOKUP(UncLookup[[#This Row],[Item]],Items!$A$1:$F$43,2,FALSE))</f>
        <v/>
      </c>
      <c r="P104" s="90" t="str">
        <f>IF(VLOOKUP(UncLookup[[#This Row],[Item]],Items!$A$1:$F$43,3,FALSE)=0,"",VLOOKUP(UncLookup[[#This Row],[Item]],Items!$A$1:$F$43,3,FALSE))</f>
        <v/>
      </c>
      <c r="Q104" s="90" t="str">
        <f>IF(VLOOKUP(UncLookup[[#This Row],[Item]],Items!$A$1:$F$43,4,FALSE)=0,"",VLOOKUP(UncLookup[[#This Row],[Item]],Items!$A$1:$F$43,4,FALSE))</f>
        <v/>
      </c>
    </row>
    <row r="105" spans="1:17" x14ac:dyDescent="0.25">
      <c r="A105" s="76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90" t="str">
        <f>IF(VLOOKUP(UncLookup[[#This Row],[Item]],Items!$A$1:$F$43,2,FALSE)=0,"",VLOOKUP(UncLookup[[#This Row],[Item]],Items!$A$1:$F$43,2,FALSE))</f>
        <v/>
      </c>
      <c r="P105" s="90" t="str">
        <f>IF(VLOOKUP(UncLookup[[#This Row],[Item]],Items!$A$1:$F$43,3,FALSE)=0,"",VLOOKUP(UncLookup[[#This Row],[Item]],Items!$A$1:$F$43,3,FALSE))</f>
        <v/>
      </c>
      <c r="Q105" s="90" t="str">
        <f>IF(VLOOKUP(UncLookup[[#This Row],[Item]],Items!$A$1:$F$43,4,FALSE)=0,"",VLOOKUP(UncLookup[[#This Row],[Item]],Items!$A$1:$F$43,4,FALSE))</f>
        <v/>
      </c>
    </row>
    <row r="106" spans="1:17" x14ac:dyDescent="0.25">
      <c r="A106" s="75" t="s">
        <v>56</v>
      </c>
      <c r="B106" s="75" t="s">
        <v>7</v>
      </c>
      <c r="C106" s="75">
        <v>10000</v>
      </c>
      <c r="D106" s="75">
        <v>100000</v>
      </c>
      <c r="E106" s="75">
        <v>100</v>
      </c>
      <c r="F106" s="75" t="s">
        <v>104</v>
      </c>
      <c r="G106" s="75" t="s">
        <v>48</v>
      </c>
      <c r="H106" s="75">
        <v>0</v>
      </c>
      <c r="I106" s="75">
        <v>0</v>
      </c>
      <c r="J106" s="75"/>
      <c r="K106" s="75">
        <v>57734</v>
      </c>
      <c r="L106" s="75">
        <v>1.4965000000000001E-4</v>
      </c>
      <c r="M106" s="75">
        <v>57734</v>
      </c>
      <c r="N106" s="75">
        <v>1.4899999999999999E-4</v>
      </c>
      <c r="O106" s="90" t="str">
        <f>IF(VLOOKUP(UncLookup[[#This Row],[Item]],Items!$A$1:$F$43,2,FALSE)=0,"",VLOOKUP(UncLookup[[#This Row],[Item]],Items!$A$1:$F$43,2,FALSE))</f>
        <v/>
      </c>
      <c r="P106" s="90" t="str">
        <f>IF(VLOOKUP(UncLookup[[#This Row],[Item]],Items!$A$1:$F$43,3,FALSE)=0,"",VLOOKUP(UncLookup[[#This Row],[Item]],Items!$A$1:$F$43,3,FALSE))</f>
        <v/>
      </c>
      <c r="Q106" s="90" t="str">
        <f>IF(VLOOKUP(UncLookup[[#This Row],[Item]],Items!$A$1:$F$43,4,FALSE)=0,"",VLOOKUP(UncLookup[[#This Row],[Item]],Items!$A$1:$F$43,4,FALSE))</f>
        <v/>
      </c>
    </row>
    <row r="107" spans="1:17" x14ac:dyDescent="0.25">
      <c r="A107" s="76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90" t="str">
        <f>IF(VLOOKUP(UncLookup[[#This Row],[Item]],Items!$A$1:$F$43,2,FALSE)=0,"",VLOOKUP(UncLookup[[#This Row],[Item]],Items!$A$1:$F$43,2,FALSE))</f>
        <v/>
      </c>
      <c r="P107" s="90" t="str">
        <f>IF(VLOOKUP(UncLookup[[#This Row],[Item]],Items!$A$1:$F$43,3,FALSE)=0,"",VLOOKUP(UncLookup[[#This Row],[Item]],Items!$A$1:$F$43,3,FALSE))</f>
        <v/>
      </c>
      <c r="Q107" s="90" t="str">
        <f>IF(VLOOKUP(UncLookup[[#This Row],[Item]],Items!$A$1:$F$43,4,FALSE)=0,"",VLOOKUP(UncLookup[[#This Row],[Item]],Items!$A$1:$F$43,4,FALSE))</f>
        <v/>
      </c>
    </row>
    <row r="108" spans="1:17" x14ac:dyDescent="0.25">
      <c r="A108" s="75" t="s">
        <v>56</v>
      </c>
      <c r="B108" s="75" t="s">
        <v>7</v>
      </c>
      <c r="C108" s="75">
        <v>100000</v>
      </c>
      <c r="D108" s="75">
        <v>1000000</v>
      </c>
      <c r="E108" s="75">
        <v>0.1</v>
      </c>
      <c r="F108" s="75" t="s">
        <v>104</v>
      </c>
      <c r="G108" s="75" t="s">
        <v>49</v>
      </c>
      <c r="H108" s="75">
        <v>0</v>
      </c>
      <c r="I108" s="75">
        <v>0</v>
      </c>
      <c r="J108" s="75"/>
      <c r="K108" s="75">
        <v>2.2999999999999998</v>
      </c>
      <c r="L108" s="75">
        <v>1.8E-5</v>
      </c>
      <c r="M108" s="75">
        <v>2.2686999999999999</v>
      </c>
      <c r="N108" s="75">
        <v>1.7870999999999999E-5</v>
      </c>
      <c r="O108" s="90" t="str">
        <f>IF(VLOOKUP(UncLookup[[#This Row],[Item]],Items!$A$1:$F$43,2,FALSE)=0,"",VLOOKUP(UncLookup[[#This Row],[Item]],Items!$A$1:$F$43,2,FALSE))</f>
        <v/>
      </c>
      <c r="P108" s="90" t="str">
        <f>IF(VLOOKUP(UncLookup[[#This Row],[Item]],Items!$A$1:$F$43,3,FALSE)=0,"",VLOOKUP(UncLookup[[#This Row],[Item]],Items!$A$1:$F$43,3,FALSE))</f>
        <v/>
      </c>
      <c r="Q108" s="90" t="str">
        <f>IF(VLOOKUP(UncLookup[[#This Row],[Item]],Items!$A$1:$F$43,4,FALSE)=0,"",VLOOKUP(UncLookup[[#This Row],[Item]],Items!$A$1:$F$43,4,FALSE))</f>
        <v/>
      </c>
    </row>
    <row r="109" spans="1:17" x14ac:dyDescent="0.25">
      <c r="A109" s="76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90" t="str">
        <f>IF(VLOOKUP(UncLookup[[#This Row],[Item]],Items!$A$1:$F$43,2,FALSE)=0,"",VLOOKUP(UncLookup[[#This Row],[Item]],Items!$A$1:$F$43,2,FALSE))</f>
        <v/>
      </c>
      <c r="P109" s="90" t="str">
        <f>IF(VLOOKUP(UncLookup[[#This Row],[Item]],Items!$A$1:$F$43,3,FALSE)=0,"",VLOOKUP(UncLookup[[#This Row],[Item]],Items!$A$1:$F$43,3,FALSE))</f>
        <v/>
      </c>
      <c r="Q109" s="90" t="str">
        <f>IF(VLOOKUP(UncLookup[[#This Row],[Item]],Items!$A$1:$F$43,4,FALSE)=0,"",VLOOKUP(UncLookup[[#This Row],[Item]],Items!$A$1:$F$43,4,FALSE))</f>
        <v/>
      </c>
    </row>
    <row r="110" spans="1:17" x14ac:dyDescent="0.25">
      <c r="A110" s="75" t="s">
        <v>56</v>
      </c>
      <c r="B110" s="75" t="s">
        <v>7</v>
      </c>
      <c r="C110" s="75">
        <v>100000</v>
      </c>
      <c r="D110" s="75">
        <v>1000000</v>
      </c>
      <c r="E110" s="75">
        <v>10</v>
      </c>
      <c r="F110" s="75" t="s">
        <v>104</v>
      </c>
      <c r="G110" s="75" t="s">
        <v>49</v>
      </c>
      <c r="H110" s="75">
        <v>0</v>
      </c>
      <c r="I110" s="75">
        <v>0</v>
      </c>
      <c r="J110" s="75"/>
      <c r="K110" s="75">
        <v>5.5163000000000002</v>
      </c>
      <c r="L110" s="75">
        <v>1.5438E-5</v>
      </c>
      <c r="M110" s="75">
        <v>5.5115999999999996</v>
      </c>
      <c r="N110" s="75">
        <v>1.5438999999999999E-5</v>
      </c>
      <c r="O110" s="90" t="str">
        <f>IF(VLOOKUP(UncLookup[[#This Row],[Item]],Items!$A$1:$F$43,2,FALSE)=0,"",VLOOKUP(UncLookup[[#This Row],[Item]],Items!$A$1:$F$43,2,FALSE))</f>
        <v/>
      </c>
      <c r="P110" s="90" t="str">
        <f>IF(VLOOKUP(UncLookup[[#This Row],[Item]],Items!$A$1:$F$43,3,FALSE)=0,"",VLOOKUP(UncLookup[[#This Row],[Item]],Items!$A$1:$F$43,3,FALSE))</f>
        <v/>
      </c>
      <c r="Q110" s="90" t="str">
        <f>IF(VLOOKUP(UncLookup[[#This Row],[Item]],Items!$A$1:$F$43,4,FALSE)=0,"",VLOOKUP(UncLookup[[#This Row],[Item]],Items!$A$1:$F$43,4,FALSE))</f>
        <v/>
      </c>
    </row>
    <row r="111" spans="1:17" x14ac:dyDescent="0.25">
      <c r="A111" s="76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90" t="str">
        <f>IF(VLOOKUP(UncLookup[[#This Row],[Item]],Items!$A$1:$F$43,2,FALSE)=0,"",VLOOKUP(UncLookup[[#This Row],[Item]],Items!$A$1:$F$43,2,FALSE))</f>
        <v/>
      </c>
      <c r="P111" s="90" t="str">
        <f>IF(VLOOKUP(UncLookup[[#This Row],[Item]],Items!$A$1:$F$43,3,FALSE)=0,"",VLOOKUP(UncLookup[[#This Row],[Item]],Items!$A$1:$F$43,3,FALSE))</f>
        <v/>
      </c>
      <c r="Q111" s="90" t="str">
        <f>IF(VLOOKUP(UncLookup[[#This Row],[Item]],Items!$A$1:$F$43,4,FALSE)=0,"",VLOOKUP(UncLookup[[#This Row],[Item]],Items!$A$1:$F$43,4,FALSE))</f>
        <v/>
      </c>
    </row>
    <row r="112" spans="1:17" x14ac:dyDescent="0.25">
      <c r="A112" s="75" t="s">
        <v>56</v>
      </c>
      <c r="B112" s="75" t="s">
        <v>7</v>
      </c>
      <c r="C112" s="75">
        <v>100000</v>
      </c>
      <c r="D112" s="75">
        <v>1000000</v>
      </c>
      <c r="E112" s="75">
        <v>1000</v>
      </c>
      <c r="F112" s="75" t="s">
        <v>104</v>
      </c>
      <c r="G112" s="75" t="s">
        <v>49</v>
      </c>
      <c r="H112" s="75">
        <v>0</v>
      </c>
      <c r="I112" s="75">
        <v>0</v>
      </c>
      <c r="J112" s="75"/>
      <c r="K112" s="75">
        <v>577.33000000000004</v>
      </c>
      <c r="L112" s="75">
        <v>3.7584000000000001E-7</v>
      </c>
      <c r="M112" s="75">
        <v>577.33000000000004</v>
      </c>
      <c r="N112" s="75">
        <v>3.7432999999999999E-7</v>
      </c>
      <c r="O112" s="90" t="str">
        <f>IF(VLOOKUP(UncLookup[[#This Row],[Item]],Items!$A$1:$F$43,2,FALSE)=0,"",VLOOKUP(UncLookup[[#This Row],[Item]],Items!$A$1:$F$43,2,FALSE))</f>
        <v/>
      </c>
      <c r="P112" s="90" t="str">
        <f>IF(VLOOKUP(UncLookup[[#This Row],[Item]],Items!$A$1:$F$43,3,FALSE)=0,"",VLOOKUP(UncLookup[[#This Row],[Item]],Items!$A$1:$F$43,3,FALSE))</f>
        <v/>
      </c>
      <c r="Q112" s="90" t="str">
        <f>IF(VLOOKUP(UncLookup[[#This Row],[Item]],Items!$A$1:$F$43,4,FALSE)=0,"",VLOOKUP(UncLookup[[#This Row],[Item]],Items!$A$1:$F$43,4,FALSE))</f>
        <v/>
      </c>
    </row>
    <row r="113" spans="1:17" x14ac:dyDescent="0.25">
      <c r="A113" s="76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90" t="str">
        <f>IF(VLOOKUP(UncLookup[[#This Row],[Item]],Items!$A$1:$F$43,2,FALSE)=0,"",VLOOKUP(UncLookup[[#This Row],[Item]],Items!$A$1:$F$43,2,FALSE))</f>
        <v/>
      </c>
      <c r="P113" s="90" t="str">
        <f>IF(VLOOKUP(UncLookup[[#This Row],[Item]],Items!$A$1:$F$43,3,FALSE)=0,"",VLOOKUP(UncLookup[[#This Row],[Item]],Items!$A$1:$F$43,3,FALSE))</f>
        <v/>
      </c>
      <c r="Q113" s="90" t="str">
        <f>IF(VLOOKUP(UncLookup[[#This Row],[Item]],Items!$A$1:$F$43,4,FALSE)=0,"",VLOOKUP(UncLookup[[#This Row],[Item]],Items!$A$1:$F$43,4,FALSE))</f>
        <v/>
      </c>
    </row>
    <row r="114" spans="1:17" x14ac:dyDescent="0.25">
      <c r="A114" s="75" t="s">
        <v>56</v>
      </c>
      <c r="B114" s="75" t="s">
        <v>7</v>
      </c>
      <c r="C114" s="75">
        <v>1000000</v>
      </c>
      <c r="D114" s="75">
        <v>10000000</v>
      </c>
      <c r="E114" s="75">
        <v>1</v>
      </c>
      <c r="F114" s="75" t="s">
        <v>104</v>
      </c>
      <c r="G114" s="75" t="s">
        <v>49</v>
      </c>
      <c r="H114" s="75">
        <v>0</v>
      </c>
      <c r="I114" s="75">
        <v>0</v>
      </c>
      <c r="J114" s="75"/>
      <c r="K114" s="75">
        <v>120</v>
      </c>
      <c r="L114" s="75">
        <v>5.8999999999999998E-5</v>
      </c>
      <c r="M114" s="75">
        <v>115.5</v>
      </c>
      <c r="N114" s="75">
        <v>5.7738999999999997E-5</v>
      </c>
      <c r="O114" s="90" t="str">
        <f>IF(VLOOKUP(UncLookup[[#This Row],[Item]],Items!$A$1:$F$43,2,FALSE)=0,"",VLOOKUP(UncLookup[[#This Row],[Item]],Items!$A$1:$F$43,2,FALSE))</f>
        <v/>
      </c>
      <c r="P114" s="90" t="str">
        <f>IF(VLOOKUP(UncLookup[[#This Row],[Item]],Items!$A$1:$F$43,3,FALSE)=0,"",VLOOKUP(UncLookup[[#This Row],[Item]],Items!$A$1:$F$43,3,FALSE))</f>
        <v/>
      </c>
      <c r="Q114" s="90" t="str">
        <f>IF(VLOOKUP(UncLookup[[#This Row],[Item]],Items!$A$1:$F$43,4,FALSE)=0,"",VLOOKUP(UncLookup[[#This Row],[Item]],Items!$A$1:$F$43,4,FALSE))</f>
        <v/>
      </c>
    </row>
    <row r="115" spans="1:17" x14ac:dyDescent="0.25">
      <c r="A115" s="76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90" t="str">
        <f>IF(VLOOKUP(UncLookup[[#This Row],[Item]],Items!$A$1:$F$43,2,FALSE)=0,"",VLOOKUP(UncLookup[[#This Row],[Item]],Items!$A$1:$F$43,2,FALSE))</f>
        <v/>
      </c>
      <c r="P115" s="90" t="str">
        <f>IF(VLOOKUP(UncLookup[[#This Row],[Item]],Items!$A$1:$F$43,3,FALSE)=0,"",VLOOKUP(UncLookup[[#This Row],[Item]],Items!$A$1:$F$43,3,FALSE))</f>
        <v/>
      </c>
      <c r="Q115" s="90" t="str">
        <f>IF(VLOOKUP(UncLookup[[#This Row],[Item]],Items!$A$1:$F$43,4,FALSE)=0,"",VLOOKUP(UncLookup[[#This Row],[Item]],Items!$A$1:$F$43,4,FALSE))</f>
        <v/>
      </c>
    </row>
    <row r="116" spans="1:17" x14ac:dyDescent="0.25">
      <c r="A116" s="75" t="s">
        <v>56</v>
      </c>
      <c r="B116" s="75" t="s">
        <v>7</v>
      </c>
      <c r="C116" s="75">
        <v>1000000</v>
      </c>
      <c r="D116" s="75">
        <v>10000000</v>
      </c>
      <c r="E116" s="75">
        <v>100</v>
      </c>
      <c r="F116" s="75" t="s">
        <v>104</v>
      </c>
      <c r="G116" s="75" t="s">
        <v>49</v>
      </c>
      <c r="H116" s="75">
        <v>0</v>
      </c>
      <c r="I116" s="75">
        <v>0</v>
      </c>
      <c r="J116" s="75"/>
      <c r="K116" s="75">
        <v>124.34</v>
      </c>
      <c r="L116" s="75">
        <v>5.8566999999999997E-5</v>
      </c>
      <c r="M116" s="75">
        <v>125.65</v>
      </c>
      <c r="N116" s="75">
        <v>5.6965000000000001E-5</v>
      </c>
      <c r="O116" s="90" t="str">
        <f>IF(VLOOKUP(UncLookup[[#This Row],[Item]],Items!$A$1:$F$43,2,FALSE)=0,"",VLOOKUP(UncLookup[[#This Row],[Item]],Items!$A$1:$F$43,2,FALSE))</f>
        <v/>
      </c>
      <c r="P116" s="90" t="str">
        <f>IF(VLOOKUP(UncLookup[[#This Row],[Item]],Items!$A$1:$F$43,3,FALSE)=0,"",VLOOKUP(UncLookup[[#This Row],[Item]],Items!$A$1:$F$43,3,FALSE))</f>
        <v/>
      </c>
      <c r="Q116" s="90" t="str">
        <f>IF(VLOOKUP(UncLookup[[#This Row],[Item]],Items!$A$1:$F$43,4,FALSE)=0,"",VLOOKUP(UncLookup[[#This Row],[Item]],Items!$A$1:$F$43,4,FALSE))</f>
        <v/>
      </c>
    </row>
    <row r="117" spans="1:17" x14ac:dyDescent="0.25">
      <c r="A117" s="76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90" t="str">
        <f>IF(VLOOKUP(UncLookup[[#This Row],[Item]],Items!$A$1:$F$43,2,FALSE)=0,"",VLOOKUP(UncLookup[[#This Row],[Item]],Items!$A$1:$F$43,2,FALSE))</f>
        <v/>
      </c>
      <c r="P117" s="90" t="str">
        <f>IF(VLOOKUP(UncLookup[[#This Row],[Item]],Items!$A$1:$F$43,3,FALSE)=0,"",VLOOKUP(UncLookup[[#This Row],[Item]],Items!$A$1:$F$43,3,FALSE))</f>
        <v/>
      </c>
      <c r="Q117" s="90" t="str">
        <f>IF(VLOOKUP(UncLookup[[#This Row],[Item]],Items!$A$1:$F$43,4,FALSE)=0,"",VLOOKUP(UncLookup[[#This Row],[Item]],Items!$A$1:$F$43,4,FALSE))</f>
        <v/>
      </c>
    </row>
    <row r="118" spans="1:17" x14ac:dyDescent="0.25">
      <c r="A118" s="75" t="s">
        <v>56</v>
      </c>
      <c r="B118" s="75" t="s">
        <v>7</v>
      </c>
      <c r="C118" s="75">
        <v>1000000</v>
      </c>
      <c r="D118" s="75">
        <v>10000000</v>
      </c>
      <c r="E118" s="75">
        <v>10000</v>
      </c>
      <c r="F118" s="75" t="s">
        <v>104</v>
      </c>
      <c r="G118" s="75" t="s">
        <v>49</v>
      </c>
      <c r="H118" s="75">
        <v>0</v>
      </c>
      <c r="I118" s="75">
        <v>0</v>
      </c>
      <c r="J118" s="75"/>
      <c r="K118" s="75">
        <v>5771.9</v>
      </c>
      <c r="L118" s="75">
        <v>4.3707999999999997E-6</v>
      </c>
      <c r="M118" s="75">
        <v>5771.8</v>
      </c>
      <c r="N118" s="75">
        <v>4.3144999999999999E-6</v>
      </c>
      <c r="O118" s="90" t="str">
        <f>IF(VLOOKUP(UncLookup[[#This Row],[Item]],Items!$A$1:$F$43,2,FALSE)=0,"",VLOOKUP(UncLookup[[#This Row],[Item]],Items!$A$1:$F$43,2,FALSE))</f>
        <v/>
      </c>
      <c r="P118" s="90" t="str">
        <f>IF(VLOOKUP(UncLookup[[#This Row],[Item]],Items!$A$1:$F$43,3,FALSE)=0,"",VLOOKUP(UncLookup[[#This Row],[Item]],Items!$A$1:$F$43,3,FALSE))</f>
        <v/>
      </c>
      <c r="Q118" s="90" t="str">
        <f>IF(VLOOKUP(UncLookup[[#This Row],[Item]],Items!$A$1:$F$43,4,FALSE)=0,"",VLOOKUP(UncLookup[[#This Row],[Item]],Items!$A$1:$F$43,4,FALSE))</f>
        <v/>
      </c>
    </row>
    <row r="119" spans="1:17" x14ac:dyDescent="0.25">
      <c r="A119" s="76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90" t="str">
        <f>IF(VLOOKUP(UncLookup[[#This Row],[Item]],Items!$A$1:$F$43,2,FALSE)=0,"",VLOOKUP(UncLookup[[#This Row],[Item]],Items!$A$1:$F$43,2,FALSE))</f>
        <v/>
      </c>
      <c r="P119" s="90" t="str">
        <f>IF(VLOOKUP(UncLookup[[#This Row],[Item]],Items!$A$1:$F$43,3,FALSE)=0,"",VLOOKUP(UncLookup[[#This Row],[Item]],Items!$A$1:$F$43,3,FALSE))</f>
        <v/>
      </c>
      <c r="Q119" s="90" t="str">
        <f>IF(VLOOKUP(UncLookup[[#This Row],[Item]],Items!$A$1:$F$43,4,FALSE)=0,"",VLOOKUP(UncLookup[[#This Row],[Item]],Items!$A$1:$F$43,4,FALSE))</f>
        <v/>
      </c>
    </row>
    <row r="120" spans="1:17" x14ac:dyDescent="0.25">
      <c r="A120" s="75" t="s">
        <v>56</v>
      </c>
      <c r="B120" s="75" t="s">
        <v>7</v>
      </c>
      <c r="C120" s="75">
        <v>10000000</v>
      </c>
      <c r="D120" s="75">
        <v>100000000</v>
      </c>
      <c r="E120" s="75">
        <v>10</v>
      </c>
      <c r="F120" s="75" t="s">
        <v>104</v>
      </c>
      <c r="G120" s="75" t="s">
        <v>642</v>
      </c>
      <c r="H120" s="75">
        <v>0</v>
      </c>
      <c r="I120" s="75">
        <v>0</v>
      </c>
      <c r="J120" s="75"/>
      <c r="K120" s="75">
        <v>1.2</v>
      </c>
      <c r="L120" s="75">
        <v>5.7999999999999995E-7</v>
      </c>
      <c r="M120" s="75">
        <v>1.1508</v>
      </c>
      <c r="N120" s="75">
        <v>5.7800000000000001E-7</v>
      </c>
      <c r="O120" s="90" t="str">
        <f>IF(VLOOKUP(UncLookup[[#This Row],[Item]],Items!$A$1:$F$43,2,FALSE)=0,"",VLOOKUP(UncLookup[[#This Row],[Item]],Items!$A$1:$F$43,2,FALSE))</f>
        <v/>
      </c>
      <c r="P120" s="90" t="str">
        <f>IF(VLOOKUP(UncLookup[[#This Row],[Item]],Items!$A$1:$F$43,3,FALSE)=0,"",VLOOKUP(UncLookup[[#This Row],[Item]],Items!$A$1:$F$43,3,FALSE))</f>
        <v/>
      </c>
      <c r="Q120" s="90" t="str">
        <f>IF(VLOOKUP(UncLookup[[#This Row],[Item]],Items!$A$1:$F$43,4,FALSE)=0,"",VLOOKUP(UncLookup[[#This Row],[Item]],Items!$A$1:$F$43,4,FALSE))</f>
        <v/>
      </c>
    </row>
    <row r="121" spans="1:17" x14ac:dyDescent="0.25">
      <c r="A121" s="76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642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90" t="str">
        <f>IF(VLOOKUP(UncLookup[[#This Row],[Item]],Items!$A$1:$F$43,2,FALSE)=0,"",VLOOKUP(UncLookup[[#This Row],[Item]],Items!$A$1:$F$43,2,FALSE))</f>
        <v/>
      </c>
      <c r="P121" s="90" t="str">
        <f>IF(VLOOKUP(UncLookup[[#This Row],[Item]],Items!$A$1:$F$43,3,FALSE)=0,"",VLOOKUP(UncLookup[[#This Row],[Item]],Items!$A$1:$F$43,3,FALSE))</f>
        <v/>
      </c>
      <c r="Q121" s="90" t="str">
        <f>IF(VLOOKUP(UncLookup[[#This Row],[Item]],Items!$A$1:$F$43,4,FALSE)=0,"",VLOOKUP(UncLookup[[#This Row],[Item]],Items!$A$1:$F$43,4,FALSE))</f>
        <v/>
      </c>
    </row>
    <row r="122" spans="1:17" x14ac:dyDescent="0.25">
      <c r="A122" s="75" t="s">
        <v>56</v>
      </c>
      <c r="B122" s="75" t="s">
        <v>7</v>
      </c>
      <c r="C122" s="75">
        <v>10000000</v>
      </c>
      <c r="D122" s="75">
        <v>100000000</v>
      </c>
      <c r="E122" s="75">
        <v>1000</v>
      </c>
      <c r="F122" s="75" t="s">
        <v>104</v>
      </c>
      <c r="G122" s="75" t="s">
        <v>642</v>
      </c>
      <c r="H122" s="75">
        <v>0</v>
      </c>
      <c r="I122" s="75">
        <v>0</v>
      </c>
      <c r="J122" s="75"/>
      <c r="K122" s="75">
        <v>1.2</v>
      </c>
      <c r="L122" s="75">
        <v>5.7999999999999995E-7</v>
      </c>
      <c r="M122" s="75">
        <v>1.1777</v>
      </c>
      <c r="N122" s="75">
        <v>5.7756000000000004E-7</v>
      </c>
      <c r="O122" s="90" t="str">
        <f>IF(VLOOKUP(UncLookup[[#This Row],[Item]],Items!$A$1:$F$43,2,FALSE)=0,"",VLOOKUP(UncLookup[[#This Row],[Item]],Items!$A$1:$F$43,2,FALSE))</f>
        <v/>
      </c>
      <c r="P122" s="90" t="str">
        <f>IF(VLOOKUP(UncLookup[[#This Row],[Item]],Items!$A$1:$F$43,3,FALSE)=0,"",VLOOKUP(UncLookup[[#This Row],[Item]],Items!$A$1:$F$43,3,FALSE))</f>
        <v/>
      </c>
      <c r="Q122" s="90" t="str">
        <f>IF(VLOOKUP(UncLookup[[#This Row],[Item]],Items!$A$1:$F$43,4,FALSE)=0,"",VLOOKUP(UncLookup[[#This Row],[Item]],Items!$A$1:$F$43,4,FALSE))</f>
        <v/>
      </c>
    </row>
    <row r="123" spans="1:17" x14ac:dyDescent="0.25">
      <c r="A123" s="76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642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90" t="str">
        <f>IF(VLOOKUP(UncLookup[[#This Row],[Item]],Items!$A$1:$F$43,2,FALSE)=0,"",VLOOKUP(UncLookup[[#This Row],[Item]],Items!$A$1:$F$43,2,FALSE))</f>
        <v/>
      </c>
      <c r="P123" s="90" t="str">
        <f>IF(VLOOKUP(UncLookup[[#This Row],[Item]],Items!$A$1:$F$43,3,FALSE)=0,"",VLOOKUP(UncLookup[[#This Row],[Item]],Items!$A$1:$F$43,3,FALSE))</f>
        <v/>
      </c>
      <c r="Q123" s="90" t="str">
        <f>IF(VLOOKUP(UncLookup[[#This Row],[Item]],Items!$A$1:$F$43,4,FALSE)=0,"",VLOOKUP(UncLookup[[#This Row],[Item]],Items!$A$1:$F$43,4,FALSE))</f>
        <v/>
      </c>
    </row>
    <row r="124" spans="1:17" x14ac:dyDescent="0.25">
      <c r="A124" s="75" t="s">
        <v>56</v>
      </c>
      <c r="B124" s="75" t="s">
        <v>7</v>
      </c>
      <c r="C124" s="75">
        <v>10000000</v>
      </c>
      <c r="D124" s="75">
        <v>100000000</v>
      </c>
      <c r="E124" s="75">
        <v>100000</v>
      </c>
      <c r="F124" s="75" t="s">
        <v>104</v>
      </c>
      <c r="G124" s="75" t="s">
        <v>642</v>
      </c>
      <c r="H124" s="75">
        <v>0</v>
      </c>
      <c r="I124" s="75">
        <v>0</v>
      </c>
      <c r="J124" s="75"/>
      <c r="K124" s="75">
        <v>55.448999999999998</v>
      </c>
      <c r="L124" s="75">
        <v>2.7074E-7</v>
      </c>
      <c r="M124" s="75">
        <v>55.444000000000003</v>
      </c>
      <c r="N124" s="75">
        <v>2.7056000000000001E-7</v>
      </c>
      <c r="O124" s="90" t="str">
        <f>IF(VLOOKUP(UncLookup[[#This Row],[Item]],Items!$A$1:$F$43,2,FALSE)=0,"",VLOOKUP(UncLookup[[#This Row],[Item]],Items!$A$1:$F$43,2,FALSE))</f>
        <v/>
      </c>
      <c r="P124" s="90" t="str">
        <f>IF(VLOOKUP(UncLookup[[#This Row],[Item]],Items!$A$1:$F$43,3,FALSE)=0,"",VLOOKUP(UncLookup[[#This Row],[Item]],Items!$A$1:$F$43,3,FALSE))</f>
        <v/>
      </c>
      <c r="Q124" s="90" t="str">
        <f>IF(VLOOKUP(UncLookup[[#This Row],[Item]],Items!$A$1:$F$43,4,FALSE)=0,"",VLOOKUP(UncLookup[[#This Row],[Item]],Items!$A$1:$F$43,4,FALSE))</f>
        <v/>
      </c>
    </row>
    <row r="125" spans="1:17" x14ac:dyDescent="0.25">
      <c r="A125" s="76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642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90" t="str">
        <f>IF(VLOOKUP(UncLookup[[#This Row],[Item]],Items!$A$1:$F$43,2,FALSE)=0,"",VLOOKUP(UncLookup[[#This Row],[Item]],Items!$A$1:$F$43,2,FALSE))</f>
        <v/>
      </c>
      <c r="P125" s="90" t="str">
        <f>IF(VLOOKUP(UncLookup[[#This Row],[Item]],Items!$A$1:$F$43,3,FALSE)=0,"",VLOOKUP(UncLookup[[#This Row],[Item]],Items!$A$1:$F$43,3,FALSE))</f>
        <v/>
      </c>
      <c r="Q125" s="90" t="str">
        <f>IF(VLOOKUP(UncLookup[[#This Row],[Item]],Items!$A$1:$F$43,4,FALSE)=0,"",VLOOKUP(UncLookup[[#This Row],[Item]],Items!$A$1:$F$43,4,FALSE))</f>
        <v/>
      </c>
    </row>
    <row r="126" spans="1:17" x14ac:dyDescent="0.25">
      <c r="A126" s="75" t="s">
        <v>56</v>
      </c>
      <c r="B126" s="75" t="s">
        <v>7</v>
      </c>
      <c r="C126" s="75">
        <v>100000000</v>
      </c>
      <c r="D126" s="75">
        <v>1000000000</v>
      </c>
      <c r="E126" s="75">
        <v>100</v>
      </c>
      <c r="F126" s="75" t="s">
        <v>104</v>
      </c>
      <c r="G126" s="75" t="s">
        <v>642</v>
      </c>
      <c r="H126" s="75">
        <v>0</v>
      </c>
      <c r="I126" s="75">
        <v>0</v>
      </c>
      <c r="J126" s="75"/>
      <c r="K126" s="75">
        <v>12</v>
      </c>
      <c r="L126" s="75">
        <v>5.8000000000000004E-6</v>
      </c>
      <c r="M126" s="75">
        <v>11.592000000000001</v>
      </c>
      <c r="N126" s="75">
        <v>5.7734999999999999E-6</v>
      </c>
      <c r="O126" s="90" t="str">
        <f>IF(VLOOKUP(UncLookup[[#This Row],[Item]],Items!$A$1:$F$43,2,FALSE)=0,"",VLOOKUP(UncLookup[[#This Row],[Item]],Items!$A$1:$F$43,2,FALSE))</f>
        <v/>
      </c>
      <c r="P126" s="90" t="str">
        <f>IF(VLOOKUP(UncLookup[[#This Row],[Item]],Items!$A$1:$F$43,3,FALSE)=0,"",VLOOKUP(UncLookup[[#This Row],[Item]],Items!$A$1:$F$43,3,FALSE))</f>
        <v/>
      </c>
      <c r="Q126" s="90" t="str">
        <f>IF(VLOOKUP(UncLookup[[#This Row],[Item]],Items!$A$1:$F$43,4,FALSE)=0,"",VLOOKUP(UncLookup[[#This Row],[Item]],Items!$A$1:$F$43,4,FALSE))</f>
        <v/>
      </c>
    </row>
    <row r="127" spans="1:17" x14ac:dyDescent="0.25">
      <c r="A127" s="76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642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90" t="str">
        <f>IF(VLOOKUP(UncLookup[[#This Row],[Item]],Items!$A$1:$F$43,2,FALSE)=0,"",VLOOKUP(UncLookup[[#This Row],[Item]],Items!$A$1:$F$43,2,FALSE))</f>
        <v/>
      </c>
      <c r="P127" s="90" t="str">
        <f>IF(VLOOKUP(UncLookup[[#This Row],[Item]],Items!$A$1:$F$43,3,FALSE)=0,"",VLOOKUP(UncLookup[[#This Row],[Item]],Items!$A$1:$F$43,3,FALSE))</f>
        <v/>
      </c>
      <c r="Q127" s="90" t="str">
        <f>IF(VLOOKUP(UncLookup[[#This Row],[Item]],Items!$A$1:$F$43,4,FALSE)=0,"",VLOOKUP(UncLookup[[#This Row],[Item]],Items!$A$1:$F$43,4,FALSE))</f>
        <v/>
      </c>
    </row>
    <row r="128" spans="1:17" x14ac:dyDescent="0.25">
      <c r="A128" s="75" t="s">
        <v>56</v>
      </c>
      <c r="B128" s="75" t="s">
        <v>7</v>
      </c>
      <c r="C128" s="75">
        <v>100000000</v>
      </c>
      <c r="D128" s="75">
        <v>1000000000</v>
      </c>
      <c r="E128" s="75">
        <v>10000</v>
      </c>
      <c r="F128" s="75" t="s">
        <v>104</v>
      </c>
      <c r="G128" s="75" t="s">
        <v>642</v>
      </c>
      <c r="H128" s="75">
        <v>0</v>
      </c>
      <c r="I128" s="75">
        <v>0</v>
      </c>
      <c r="J128" s="75"/>
      <c r="K128" s="75">
        <v>12</v>
      </c>
      <c r="L128" s="75">
        <v>5.8000000000000004E-6</v>
      </c>
      <c r="M128" s="75">
        <v>11.595000000000001</v>
      </c>
      <c r="N128" s="75">
        <v>5.7706999999999997E-6</v>
      </c>
      <c r="O128" s="90" t="str">
        <f>IF(VLOOKUP(UncLookup[[#This Row],[Item]],Items!$A$1:$F$43,2,FALSE)=0,"",VLOOKUP(UncLookup[[#This Row],[Item]],Items!$A$1:$F$43,2,FALSE))</f>
        <v/>
      </c>
      <c r="P128" s="90" t="str">
        <f>IF(VLOOKUP(UncLookup[[#This Row],[Item]],Items!$A$1:$F$43,3,FALSE)=0,"",VLOOKUP(UncLookup[[#This Row],[Item]],Items!$A$1:$F$43,3,FALSE))</f>
        <v/>
      </c>
      <c r="Q128" s="90" t="str">
        <f>IF(VLOOKUP(UncLookup[[#This Row],[Item]],Items!$A$1:$F$43,4,FALSE)=0,"",VLOOKUP(UncLookup[[#This Row],[Item]],Items!$A$1:$F$43,4,FALSE))</f>
        <v/>
      </c>
    </row>
    <row r="129" spans="1:17" x14ac:dyDescent="0.25">
      <c r="A129" s="76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642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90" t="str">
        <f>IF(VLOOKUP(UncLookup[[#This Row],[Item]],Items!$A$1:$F$43,2,FALSE)=0,"",VLOOKUP(UncLookup[[#This Row],[Item]],Items!$A$1:$F$43,2,FALSE))</f>
        <v/>
      </c>
      <c r="P129" s="90" t="str">
        <f>IF(VLOOKUP(UncLookup[[#This Row],[Item]],Items!$A$1:$F$43,3,FALSE)=0,"",VLOOKUP(UncLookup[[#This Row],[Item]],Items!$A$1:$F$43,3,FALSE))</f>
        <v/>
      </c>
      <c r="Q129" s="90" t="str">
        <f>IF(VLOOKUP(UncLookup[[#This Row],[Item]],Items!$A$1:$F$43,4,FALSE)=0,"",VLOOKUP(UncLookup[[#This Row],[Item]],Items!$A$1:$F$43,4,FALSE))</f>
        <v/>
      </c>
    </row>
    <row r="130" spans="1:17" x14ac:dyDescent="0.25">
      <c r="A130" s="75" t="s">
        <v>56</v>
      </c>
      <c r="B130" s="75" t="s">
        <v>7</v>
      </c>
      <c r="C130" s="75">
        <v>100000000</v>
      </c>
      <c r="D130" s="75">
        <v>1000000000</v>
      </c>
      <c r="E130" s="75">
        <v>10000000</v>
      </c>
      <c r="F130" s="75" t="s">
        <v>104</v>
      </c>
      <c r="G130" s="75" t="s">
        <v>642</v>
      </c>
      <c r="H130" s="75">
        <v>0</v>
      </c>
      <c r="I130" s="75">
        <v>0</v>
      </c>
      <c r="J130" s="75"/>
      <c r="K130" s="75">
        <v>5540.2</v>
      </c>
      <c r="L130" s="75">
        <v>2.6330999999999998E-6</v>
      </c>
      <c r="M130" s="75">
        <v>5540.2</v>
      </c>
      <c r="N130" s="75">
        <v>2.633E-6</v>
      </c>
      <c r="O130" s="90" t="str">
        <f>IF(VLOOKUP(UncLookup[[#This Row],[Item]],Items!$A$1:$F$43,2,FALSE)=0,"",VLOOKUP(UncLookup[[#This Row],[Item]],Items!$A$1:$F$43,2,FALSE))</f>
        <v/>
      </c>
      <c r="P130" s="90" t="str">
        <f>IF(VLOOKUP(UncLookup[[#This Row],[Item]],Items!$A$1:$F$43,3,FALSE)=0,"",VLOOKUP(UncLookup[[#This Row],[Item]],Items!$A$1:$F$43,3,FALSE))</f>
        <v/>
      </c>
      <c r="Q130" s="90" t="str">
        <f>IF(VLOOKUP(UncLookup[[#This Row],[Item]],Items!$A$1:$F$43,4,FALSE)=0,"",VLOOKUP(UncLookup[[#This Row],[Item]],Items!$A$1:$F$43,4,FALSE))</f>
        <v/>
      </c>
    </row>
    <row r="131" spans="1:17" x14ac:dyDescent="0.25">
      <c r="A131" s="76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642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90" t="str">
        <f>IF(VLOOKUP(UncLookup[[#This Row],[Item]],Items!$A$1:$F$43,2,FALSE)=0,"",VLOOKUP(UncLookup[[#This Row],[Item]],Items!$A$1:$F$43,2,FALSE))</f>
        <v/>
      </c>
      <c r="P131" s="90" t="str">
        <f>IF(VLOOKUP(UncLookup[[#This Row],[Item]],Items!$A$1:$F$43,3,FALSE)=0,"",VLOOKUP(UncLookup[[#This Row],[Item]],Items!$A$1:$F$43,3,FALSE))</f>
        <v/>
      </c>
      <c r="Q131" s="90" t="str">
        <f>IF(VLOOKUP(UncLookup[[#This Row],[Item]],Items!$A$1:$F$43,4,FALSE)=0,"",VLOOKUP(UncLookup[[#This Row],[Item]],Items!$A$1:$F$43,4,FALSE))</f>
        <v/>
      </c>
    </row>
    <row r="132" spans="1:17" x14ac:dyDescent="0.25">
      <c r="A132" s="75" t="s">
        <v>56</v>
      </c>
      <c r="B132" s="75" t="s">
        <v>17</v>
      </c>
      <c r="C132" s="75">
        <v>0</v>
      </c>
      <c r="D132" s="75">
        <v>40</v>
      </c>
      <c r="E132" s="75">
        <v>9.9999999999999995E-7</v>
      </c>
      <c r="F132" s="75" t="s">
        <v>9</v>
      </c>
      <c r="G132" s="75" t="s">
        <v>9</v>
      </c>
      <c r="H132" s="75">
        <v>0</v>
      </c>
      <c r="I132" s="75">
        <v>0</v>
      </c>
      <c r="J132" s="75"/>
      <c r="K132" s="75">
        <v>0</v>
      </c>
      <c r="L132" s="75">
        <v>6E-10</v>
      </c>
      <c r="M132" s="75">
        <v>1.1000000000000001E-11</v>
      </c>
      <c r="N132" s="75">
        <v>5.7699999999999997E-10</v>
      </c>
      <c r="O132" s="90" t="str">
        <f>IF(VLOOKUP(UncLookup[[#This Row],[Item]],Items!$A$1:$F$43,2,FALSE)=0,"",VLOOKUP(UncLookup[[#This Row],[Item]],Items!$A$1:$F$43,2,FALSE))</f>
        <v/>
      </c>
      <c r="P132" s="90" t="str">
        <f>IF(VLOOKUP(UncLookup[[#This Row],[Item]],Items!$A$1:$F$43,3,FALSE)=0,"",VLOOKUP(UncLookup[[#This Row],[Item]],Items!$A$1:$F$43,3,FALSE))</f>
        <v/>
      </c>
      <c r="Q132" s="90" t="str">
        <f>IF(VLOOKUP(UncLookup[[#This Row],[Item]],Items!$A$1:$F$43,4,FALSE)=0,"",VLOOKUP(UncLookup[[#This Row],[Item]],Items!$A$1:$F$43,4,FALSE))</f>
        <v/>
      </c>
    </row>
    <row r="133" spans="1:17" x14ac:dyDescent="0.25">
      <c r="A133" s="76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90" t="str">
        <f>IF(VLOOKUP(UncLookup[[#This Row],[Item]],Items!$A$1:$F$43,2,FALSE)=0,"",VLOOKUP(UncLookup[[#This Row],[Item]],Items!$A$1:$F$43,2,FALSE))</f>
        <v/>
      </c>
      <c r="P133" s="90" t="str">
        <f>IF(VLOOKUP(UncLookup[[#This Row],[Item]],Items!$A$1:$F$43,3,FALSE)=0,"",VLOOKUP(UncLookup[[#This Row],[Item]],Items!$A$1:$F$43,3,FALSE))</f>
        <v/>
      </c>
      <c r="Q133" s="90" t="str">
        <f>IF(VLOOKUP(UncLookup[[#This Row],[Item]],Items!$A$1:$F$43,4,FALSE)=0,"",VLOOKUP(UncLookup[[#This Row],[Item]],Items!$A$1:$F$43,4,FALSE))</f>
        <v/>
      </c>
    </row>
    <row r="134" spans="1:17" x14ac:dyDescent="0.25">
      <c r="A134" s="75" t="s">
        <v>56</v>
      </c>
      <c r="B134" s="75" t="s">
        <v>17</v>
      </c>
      <c r="C134" s="75">
        <v>0</v>
      </c>
      <c r="D134" s="75">
        <v>40</v>
      </c>
      <c r="E134" s="75">
        <v>1E-4</v>
      </c>
      <c r="F134" s="75" t="s">
        <v>9</v>
      </c>
      <c r="G134" s="75" t="s">
        <v>9</v>
      </c>
      <c r="H134" s="75">
        <v>0</v>
      </c>
      <c r="I134" s="75">
        <v>0</v>
      </c>
      <c r="J134" s="75"/>
      <c r="K134" s="75">
        <v>0</v>
      </c>
      <c r="L134" s="75">
        <v>6E-10</v>
      </c>
      <c r="M134" s="75">
        <v>2.9509999999999998E-9</v>
      </c>
      <c r="N134" s="75">
        <v>5.7699999999999997E-10</v>
      </c>
      <c r="O134" s="90" t="str">
        <f>IF(VLOOKUP(UncLookup[[#This Row],[Item]],Items!$A$1:$F$43,2,FALSE)=0,"",VLOOKUP(UncLookup[[#This Row],[Item]],Items!$A$1:$F$43,2,FALSE))</f>
        <v/>
      </c>
      <c r="P134" s="90" t="str">
        <f>IF(VLOOKUP(UncLookup[[#This Row],[Item]],Items!$A$1:$F$43,3,FALSE)=0,"",VLOOKUP(UncLookup[[#This Row],[Item]],Items!$A$1:$F$43,3,FALSE))</f>
        <v/>
      </c>
      <c r="Q134" s="90" t="str">
        <f>IF(VLOOKUP(UncLookup[[#This Row],[Item]],Items!$A$1:$F$43,4,FALSE)=0,"",VLOOKUP(UncLookup[[#This Row],[Item]],Items!$A$1:$F$43,4,FALSE))</f>
        <v/>
      </c>
    </row>
    <row r="135" spans="1:17" x14ac:dyDescent="0.25">
      <c r="A135" s="76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90" t="str">
        <f>IF(VLOOKUP(UncLookup[[#This Row],[Item]],Items!$A$1:$F$43,2,FALSE)=0,"",VLOOKUP(UncLookup[[#This Row],[Item]],Items!$A$1:$F$43,2,FALSE))</f>
        <v/>
      </c>
      <c r="P135" s="90" t="str">
        <f>IF(VLOOKUP(UncLookup[[#This Row],[Item]],Items!$A$1:$F$43,3,FALSE)=0,"",VLOOKUP(UncLookup[[#This Row],[Item]],Items!$A$1:$F$43,3,FALSE))</f>
        <v/>
      </c>
      <c r="Q135" s="90" t="str">
        <f>IF(VLOOKUP(UncLookup[[#This Row],[Item]],Items!$A$1:$F$43,4,FALSE)=0,"",VLOOKUP(UncLookup[[#This Row],[Item]],Items!$A$1:$F$43,4,FALSE))</f>
        <v/>
      </c>
    </row>
    <row r="136" spans="1:17" x14ac:dyDescent="0.25">
      <c r="A136" s="75" t="s">
        <v>56</v>
      </c>
      <c r="B136" s="75" t="s">
        <v>17</v>
      </c>
      <c r="C136" s="75">
        <v>0</v>
      </c>
      <c r="D136" s="75">
        <v>40</v>
      </c>
      <c r="E136" s="75">
        <v>0.01</v>
      </c>
      <c r="F136" s="75" t="s">
        <v>9</v>
      </c>
      <c r="G136" s="75" t="s">
        <v>9</v>
      </c>
      <c r="H136" s="75">
        <v>0</v>
      </c>
      <c r="I136" s="75">
        <v>0</v>
      </c>
      <c r="J136" s="75"/>
      <c r="K136" s="75">
        <v>5.3364999999999996E-6</v>
      </c>
      <c r="L136" s="75">
        <v>4.6700000000000004E-10</v>
      </c>
      <c r="M136" s="75">
        <v>5.3407999999999998E-6</v>
      </c>
      <c r="N136" s="75">
        <v>4.6200000000000001E-10</v>
      </c>
      <c r="O136" s="90" t="str">
        <f>IF(VLOOKUP(UncLookup[[#This Row],[Item]],Items!$A$1:$F$43,2,FALSE)=0,"",VLOOKUP(UncLookup[[#This Row],[Item]],Items!$A$1:$F$43,2,FALSE))</f>
        <v/>
      </c>
      <c r="P136" s="90" t="str">
        <f>IF(VLOOKUP(UncLookup[[#This Row],[Item]],Items!$A$1:$F$43,3,FALSE)=0,"",VLOOKUP(UncLookup[[#This Row],[Item]],Items!$A$1:$F$43,3,FALSE))</f>
        <v/>
      </c>
      <c r="Q136" s="90" t="str">
        <f>IF(VLOOKUP(UncLookup[[#This Row],[Item]],Items!$A$1:$F$43,4,FALSE)=0,"",VLOOKUP(UncLookup[[#This Row],[Item]],Items!$A$1:$F$43,4,FALSE))</f>
        <v/>
      </c>
    </row>
    <row r="137" spans="1:17" x14ac:dyDescent="0.25">
      <c r="A137" s="76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90" t="str">
        <f>IF(VLOOKUP(UncLookup[[#This Row],[Item]],Items!$A$1:$F$43,2,FALSE)=0,"",VLOOKUP(UncLookup[[#This Row],[Item]],Items!$A$1:$F$43,2,FALSE))</f>
        <v/>
      </c>
      <c r="P137" s="90" t="str">
        <f>IF(VLOOKUP(UncLookup[[#This Row],[Item]],Items!$A$1:$F$43,3,FALSE)=0,"",VLOOKUP(UncLookup[[#This Row],[Item]],Items!$A$1:$F$43,3,FALSE))</f>
        <v/>
      </c>
      <c r="Q137" s="90" t="str">
        <f>IF(VLOOKUP(UncLookup[[#This Row],[Item]],Items!$A$1:$F$43,4,FALSE)=0,"",VLOOKUP(UncLookup[[#This Row],[Item]],Items!$A$1:$F$43,4,FALSE))</f>
        <v/>
      </c>
    </row>
    <row r="138" spans="1:17" x14ac:dyDescent="0.25">
      <c r="A138" s="75" t="s">
        <v>56</v>
      </c>
      <c r="B138" s="75" t="s">
        <v>17</v>
      </c>
      <c r="C138" s="75">
        <v>0</v>
      </c>
      <c r="D138" s="75">
        <v>40</v>
      </c>
      <c r="E138" s="75">
        <v>1</v>
      </c>
      <c r="F138" s="75" t="s">
        <v>9</v>
      </c>
      <c r="G138" s="75" t="s">
        <v>9</v>
      </c>
      <c r="H138" s="75">
        <v>0</v>
      </c>
      <c r="I138" s="75">
        <v>0</v>
      </c>
      <c r="J138" s="75"/>
      <c r="K138" s="75">
        <v>5.7700000000000004E-4</v>
      </c>
      <c r="L138" s="75">
        <v>1.2000000000000001E-11</v>
      </c>
      <c r="M138" s="75">
        <v>5.7700000000000004E-4</v>
      </c>
      <c r="N138" s="75">
        <v>1.2000000000000001E-11</v>
      </c>
      <c r="O138" s="90" t="str">
        <f>IF(VLOOKUP(UncLookup[[#This Row],[Item]],Items!$A$1:$F$43,2,FALSE)=0,"",VLOOKUP(UncLookup[[#This Row],[Item]],Items!$A$1:$F$43,2,FALSE))</f>
        <v/>
      </c>
      <c r="P138" s="90" t="str">
        <f>IF(VLOOKUP(UncLookup[[#This Row],[Item]],Items!$A$1:$F$43,3,FALSE)=0,"",VLOOKUP(UncLookup[[#This Row],[Item]],Items!$A$1:$F$43,3,FALSE))</f>
        <v/>
      </c>
      <c r="Q138" s="90" t="str">
        <f>IF(VLOOKUP(UncLookup[[#This Row],[Item]],Items!$A$1:$F$43,4,FALSE)=0,"",VLOOKUP(UncLookup[[#This Row],[Item]],Items!$A$1:$F$43,4,FALSE))</f>
        <v/>
      </c>
    </row>
    <row r="139" spans="1:17" x14ac:dyDescent="0.25">
      <c r="A139" s="76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90" t="str">
        <f>IF(VLOOKUP(UncLookup[[#This Row],[Item]],Items!$A$1:$F$43,2,FALSE)=0,"",VLOOKUP(UncLookup[[#This Row],[Item]],Items!$A$1:$F$43,2,FALSE))</f>
        <v/>
      </c>
      <c r="P139" s="90" t="str">
        <f>IF(VLOOKUP(UncLookup[[#This Row],[Item]],Items!$A$1:$F$43,3,FALSE)=0,"",VLOOKUP(UncLookup[[#This Row],[Item]],Items!$A$1:$F$43,3,FALSE))</f>
        <v/>
      </c>
      <c r="Q139" s="90" t="str">
        <f>IF(VLOOKUP(UncLookup[[#This Row],[Item]],Items!$A$1:$F$43,4,FALSE)=0,"",VLOOKUP(UncLookup[[#This Row],[Item]],Items!$A$1:$F$43,4,FALSE))</f>
        <v/>
      </c>
    </row>
    <row r="140" spans="1:17" x14ac:dyDescent="0.25">
      <c r="A140" s="75" t="s">
        <v>56</v>
      </c>
      <c r="B140" s="75" t="s">
        <v>17</v>
      </c>
      <c r="C140" s="75">
        <v>0</v>
      </c>
      <c r="D140" s="75">
        <v>40</v>
      </c>
      <c r="E140" s="75">
        <v>100</v>
      </c>
      <c r="F140" s="75" t="s">
        <v>9</v>
      </c>
      <c r="G140" s="75" t="s">
        <v>9</v>
      </c>
      <c r="H140" s="75">
        <v>0</v>
      </c>
      <c r="I140" s="75">
        <v>0</v>
      </c>
      <c r="J140" s="75"/>
      <c r="K140" s="75">
        <v>5.7736000000000003E-2</v>
      </c>
      <c r="L140" s="75">
        <v>0</v>
      </c>
      <c r="M140" s="75">
        <v>5.7735000000000002E-2</v>
      </c>
      <c r="N140" s="75">
        <v>0</v>
      </c>
      <c r="O140" s="90" t="str">
        <f>IF(VLOOKUP(UncLookup[[#This Row],[Item]],Items!$A$1:$F$43,2,FALSE)=0,"",VLOOKUP(UncLookup[[#This Row],[Item]],Items!$A$1:$F$43,2,FALSE))</f>
        <v/>
      </c>
      <c r="P140" s="90" t="str">
        <f>IF(VLOOKUP(UncLookup[[#This Row],[Item]],Items!$A$1:$F$43,3,FALSE)=0,"",VLOOKUP(UncLookup[[#This Row],[Item]],Items!$A$1:$F$43,3,FALSE))</f>
        <v/>
      </c>
      <c r="Q140" s="90" t="str">
        <f>IF(VLOOKUP(UncLookup[[#This Row],[Item]],Items!$A$1:$F$43,4,FALSE)=0,"",VLOOKUP(UncLookup[[#This Row],[Item]],Items!$A$1:$F$43,4,FALSE))</f>
        <v/>
      </c>
    </row>
    <row r="141" spans="1:17" x14ac:dyDescent="0.25">
      <c r="A141" s="76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90" t="str">
        <f>IF(VLOOKUP(UncLookup[[#This Row],[Item]],Items!$A$1:$F$43,2,FALSE)=0,"",VLOOKUP(UncLookup[[#This Row],[Item]],Items!$A$1:$F$43,2,FALSE))</f>
        <v/>
      </c>
      <c r="P141" s="90" t="str">
        <f>IF(VLOOKUP(UncLookup[[#This Row],[Item]],Items!$A$1:$F$43,3,FALSE)=0,"",VLOOKUP(UncLookup[[#This Row],[Item]],Items!$A$1:$F$43,3,FALSE))</f>
        <v/>
      </c>
      <c r="Q141" s="90" t="str">
        <f>IF(VLOOKUP(UncLookup[[#This Row],[Item]],Items!$A$1:$F$43,4,FALSE)=0,"",VLOOKUP(UncLookup[[#This Row],[Item]],Items!$A$1:$F$43,4,FALSE))</f>
        <v/>
      </c>
    </row>
    <row r="142" spans="1:17" x14ac:dyDescent="0.25">
      <c r="A142" s="75" t="s">
        <v>56</v>
      </c>
      <c r="B142" s="75" t="s">
        <v>17</v>
      </c>
      <c r="C142" s="75">
        <v>0</v>
      </c>
      <c r="D142" s="75">
        <v>40</v>
      </c>
      <c r="E142" s="75">
        <v>10000</v>
      </c>
      <c r="F142" s="75" t="s">
        <v>9</v>
      </c>
      <c r="G142" s="75" t="s">
        <v>9</v>
      </c>
      <c r="H142" s="75">
        <v>0</v>
      </c>
      <c r="I142" s="75">
        <v>0</v>
      </c>
      <c r="J142" s="75"/>
      <c r="K142" s="75">
        <v>5.7736000000000001</v>
      </c>
      <c r="L142" s="75">
        <v>0</v>
      </c>
      <c r="M142" s="75">
        <v>5.7736000000000001</v>
      </c>
      <c r="N142" s="75">
        <v>0</v>
      </c>
      <c r="O142" s="90" t="str">
        <f>IF(VLOOKUP(UncLookup[[#This Row],[Item]],Items!$A$1:$F$43,2,FALSE)=0,"",VLOOKUP(UncLookup[[#This Row],[Item]],Items!$A$1:$F$43,2,FALSE))</f>
        <v/>
      </c>
      <c r="P142" s="90" t="str">
        <f>IF(VLOOKUP(UncLookup[[#This Row],[Item]],Items!$A$1:$F$43,3,FALSE)=0,"",VLOOKUP(UncLookup[[#This Row],[Item]],Items!$A$1:$F$43,3,FALSE))</f>
        <v/>
      </c>
      <c r="Q142" s="90" t="str">
        <f>IF(VLOOKUP(UncLookup[[#This Row],[Item]],Items!$A$1:$F$43,4,FALSE)=0,"",VLOOKUP(UncLookup[[#This Row],[Item]],Items!$A$1:$F$43,4,FALSE))</f>
        <v/>
      </c>
    </row>
    <row r="143" spans="1:17" x14ac:dyDescent="0.25">
      <c r="A143" s="76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90" t="str">
        <f>IF(VLOOKUP(UncLookup[[#This Row],[Item]],Items!$A$1:$F$43,2,FALSE)=0,"",VLOOKUP(UncLookup[[#This Row],[Item]],Items!$A$1:$F$43,2,FALSE))</f>
        <v/>
      </c>
      <c r="P143" s="90" t="str">
        <f>IF(VLOOKUP(UncLookup[[#This Row],[Item]],Items!$A$1:$F$43,3,FALSE)=0,"",VLOOKUP(UncLookup[[#This Row],[Item]],Items!$A$1:$F$43,3,FALSE))</f>
        <v/>
      </c>
      <c r="Q143" s="90" t="str">
        <f>IF(VLOOKUP(UncLookup[[#This Row],[Item]],Items!$A$1:$F$43,4,FALSE)=0,"",VLOOKUP(UncLookup[[#This Row],[Item]],Items!$A$1:$F$43,4,FALSE))</f>
        <v/>
      </c>
    </row>
    <row r="144" spans="1:17" x14ac:dyDescent="0.25">
      <c r="A144" s="75" t="s">
        <v>56</v>
      </c>
      <c r="B144" s="75" t="s">
        <v>17</v>
      </c>
      <c r="C144" s="75">
        <v>40</v>
      </c>
      <c r="D144" s="75">
        <v>1000</v>
      </c>
      <c r="E144" s="75">
        <v>1E-3</v>
      </c>
      <c r="F144" s="75" t="s">
        <v>9</v>
      </c>
      <c r="G144" s="75" t="s">
        <v>9</v>
      </c>
      <c r="H144" s="75">
        <v>0</v>
      </c>
      <c r="I144" s="75">
        <v>0</v>
      </c>
      <c r="J144" s="75"/>
      <c r="K144" s="75">
        <v>6.5700000000000002E-7</v>
      </c>
      <c r="L144" s="75">
        <v>1.2893999999999999E-7</v>
      </c>
      <c r="M144" s="75">
        <v>5.9800000000000003E-7</v>
      </c>
      <c r="N144" s="75">
        <v>1.2907E-7</v>
      </c>
      <c r="O144" s="90" t="str">
        <f>IF(VLOOKUP(UncLookup[[#This Row],[Item]],Items!$A$1:$F$43,2,FALSE)=0,"",VLOOKUP(UncLookup[[#This Row],[Item]],Items!$A$1:$F$43,2,FALSE))</f>
        <v/>
      </c>
      <c r="P144" s="90" t="str">
        <f>IF(VLOOKUP(UncLookup[[#This Row],[Item]],Items!$A$1:$F$43,3,FALSE)=0,"",VLOOKUP(UncLookup[[#This Row],[Item]],Items!$A$1:$F$43,3,FALSE))</f>
        <v/>
      </c>
      <c r="Q144" s="90" t="str">
        <f>IF(VLOOKUP(UncLookup[[#This Row],[Item]],Items!$A$1:$F$43,4,FALSE)=0,"",VLOOKUP(UncLookup[[#This Row],[Item]],Items!$A$1:$F$43,4,FALSE))</f>
        <v/>
      </c>
    </row>
    <row r="145" spans="1:17" x14ac:dyDescent="0.25">
      <c r="A145" s="76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90" t="str">
        <f>IF(VLOOKUP(UncLookup[[#This Row],[Item]],Items!$A$1:$F$43,2,FALSE)=0,"",VLOOKUP(UncLookup[[#This Row],[Item]],Items!$A$1:$F$43,2,FALSE))</f>
        <v/>
      </c>
      <c r="P145" s="90" t="str">
        <f>IF(VLOOKUP(UncLookup[[#This Row],[Item]],Items!$A$1:$F$43,3,FALSE)=0,"",VLOOKUP(UncLookup[[#This Row],[Item]],Items!$A$1:$F$43,3,FALSE))</f>
        <v/>
      </c>
      <c r="Q145" s="90" t="str">
        <f>IF(VLOOKUP(UncLookup[[#This Row],[Item]],Items!$A$1:$F$43,4,FALSE)=0,"",VLOOKUP(UncLookup[[#This Row],[Item]],Items!$A$1:$F$43,4,FALSE))</f>
        <v/>
      </c>
    </row>
    <row r="146" spans="1:17" x14ac:dyDescent="0.25">
      <c r="A146" s="75" t="s">
        <v>56</v>
      </c>
      <c r="B146" s="75" t="s">
        <v>17</v>
      </c>
      <c r="C146" s="75">
        <v>40</v>
      </c>
      <c r="D146" s="75">
        <v>1000</v>
      </c>
      <c r="E146" s="75">
        <v>0.1</v>
      </c>
      <c r="F146" s="75" t="s">
        <v>9</v>
      </c>
      <c r="G146" s="75" t="s">
        <v>9</v>
      </c>
      <c r="H146" s="75">
        <v>0</v>
      </c>
      <c r="I146" s="75">
        <v>0</v>
      </c>
      <c r="J146" s="75"/>
      <c r="K146" s="75">
        <v>3.9689E-4</v>
      </c>
      <c r="L146" s="75">
        <v>5.5570000000000003E-7</v>
      </c>
      <c r="M146" s="75">
        <v>3.9680999999999999E-4</v>
      </c>
      <c r="N146" s="75">
        <v>5.5588000000000003E-7</v>
      </c>
      <c r="O146" s="90" t="str">
        <f>IF(VLOOKUP(UncLookup[[#This Row],[Item]],Items!$A$1:$F$43,2,FALSE)=0,"",VLOOKUP(UncLookup[[#This Row],[Item]],Items!$A$1:$F$43,2,FALSE))</f>
        <v/>
      </c>
      <c r="P146" s="90" t="str">
        <f>IF(VLOOKUP(UncLookup[[#This Row],[Item]],Items!$A$1:$F$43,3,FALSE)=0,"",VLOOKUP(UncLookup[[#This Row],[Item]],Items!$A$1:$F$43,3,FALSE))</f>
        <v/>
      </c>
      <c r="Q146" s="90" t="str">
        <f>IF(VLOOKUP(UncLookup[[#This Row],[Item]],Items!$A$1:$F$43,4,FALSE)=0,"",VLOOKUP(UncLookup[[#This Row],[Item]],Items!$A$1:$F$43,4,FALSE))</f>
        <v/>
      </c>
    </row>
    <row r="147" spans="1:17" x14ac:dyDescent="0.25">
      <c r="A147" s="76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90" t="str">
        <f>IF(VLOOKUP(UncLookup[[#This Row],[Item]],Items!$A$1:$F$43,2,FALSE)=0,"",VLOOKUP(UncLookup[[#This Row],[Item]],Items!$A$1:$F$43,2,FALSE))</f>
        <v/>
      </c>
      <c r="P147" s="90" t="str">
        <f>IF(VLOOKUP(UncLookup[[#This Row],[Item]],Items!$A$1:$F$43,3,FALSE)=0,"",VLOOKUP(UncLookup[[#This Row],[Item]],Items!$A$1:$F$43,3,FALSE))</f>
        <v/>
      </c>
      <c r="Q147" s="90" t="str">
        <f>IF(VLOOKUP(UncLookup[[#This Row],[Item]],Items!$A$1:$F$43,4,FALSE)=0,"",VLOOKUP(UncLookup[[#This Row],[Item]],Items!$A$1:$F$43,4,FALSE))</f>
        <v/>
      </c>
    </row>
    <row r="148" spans="1:17" x14ac:dyDescent="0.25">
      <c r="A148" s="75" t="s">
        <v>56</v>
      </c>
      <c r="B148" s="75" t="s">
        <v>17</v>
      </c>
      <c r="C148" s="75">
        <v>40</v>
      </c>
      <c r="D148" s="75">
        <v>1000</v>
      </c>
      <c r="E148" s="75">
        <v>10</v>
      </c>
      <c r="F148" s="75" t="s">
        <v>9</v>
      </c>
      <c r="G148" s="75" t="s">
        <v>9</v>
      </c>
      <c r="H148" s="75">
        <v>0</v>
      </c>
      <c r="I148" s="75">
        <v>0</v>
      </c>
      <c r="J148" s="75"/>
      <c r="K148" s="75">
        <v>5.5948999999999999E-2</v>
      </c>
      <c r="L148" s="75">
        <v>5.41E-5</v>
      </c>
      <c r="M148" s="75">
        <v>5.5948999999999999E-2</v>
      </c>
      <c r="N148" s="75">
        <v>5.41E-5</v>
      </c>
      <c r="O148" s="90" t="str">
        <f>IF(VLOOKUP(UncLookup[[#This Row],[Item]],Items!$A$1:$F$43,2,FALSE)=0,"",VLOOKUP(UncLookup[[#This Row],[Item]],Items!$A$1:$F$43,2,FALSE))</f>
        <v/>
      </c>
      <c r="P148" s="90" t="str">
        <f>IF(VLOOKUP(UncLookup[[#This Row],[Item]],Items!$A$1:$F$43,3,FALSE)=0,"",VLOOKUP(UncLookup[[#This Row],[Item]],Items!$A$1:$F$43,3,FALSE))</f>
        <v/>
      </c>
      <c r="Q148" s="90" t="str">
        <f>IF(VLOOKUP(UncLookup[[#This Row],[Item]],Items!$A$1:$F$43,4,FALSE)=0,"",VLOOKUP(UncLookup[[#This Row],[Item]],Items!$A$1:$F$43,4,FALSE))</f>
        <v/>
      </c>
    </row>
    <row r="149" spans="1:17" x14ac:dyDescent="0.25">
      <c r="A149" s="76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90" t="str">
        <f>IF(VLOOKUP(UncLookup[[#This Row],[Item]],Items!$A$1:$F$43,2,FALSE)=0,"",VLOOKUP(UncLookup[[#This Row],[Item]],Items!$A$1:$F$43,2,FALSE))</f>
        <v/>
      </c>
      <c r="P149" s="90" t="str">
        <f>IF(VLOOKUP(UncLookup[[#This Row],[Item]],Items!$A$1:$F$43,3,FALSE)=0,"",VLOOKUP(UncLookup[[#This Row],[Item]],Items!$A$1:$F$43,3,FALSE))</f>
        <v/>
      </c>
      <c r="Q149" s="90" t="str">
        <f>IF(VLOOKUP(UncLookup[[#This Row],[Item]],Items!$A$1:$F$43,4,FALSE)=0,"",VLOOKUP(UncLookup[[#This Row],[Item]],Items!$A$1:$F$43,4,FALSE))</f>
        <v/>
      </c>
    </row>
    <row r="150" spans="1:17" x14ac:dyDescent="0.25">
      <c r="A150" s="75" t="s">
        <v>56</v>
      </c>
      <c r="B150" s="75" t="s">
        <v>17</v>
      </c>
      <c r="C150" s="75">
        <v>1000</v>
      </c>
      <c r="D150" s="75">
        <v>10000</v>
      </c>
      <c r="E150" s="75">
        <v>0.01</v>
      </c>
      <c r="F150" s="75" t="s">
        <v>9</v>
      </c>
      <c r="G150" s="75" t="s">
        <v>9</v>
      </c>
      <c r="H150" s="75">
        <v>0</v>
      </c>
      <c r="I150" s="75">
        <v>0</v>
      </c>
      <c r="J150" s="75"/>
      <c r="K150" s="75">
        <v>1.9500000000000001E-7</v>
      </c>
      <c r="L150" s="75">
        <v>1.29E-7</v>
      </c>
      <c r="M150" s="75">
        <v>1.3799999999999999E-7</v>
      </c>
      <c r="N150" s="75">
        <v>1.2921E-7</v>
      </c>
      <c r="O150" s="90" t="str">
        <f>IF(VLOOKUP(UncLookup[[#This Row],[Item]],Items!$A$1:$F$43,2,FALSE)=0,"",VLOOKUP(UncLookup[[#This Row],[Item]],Items!$A$1:$F$43,2,FALSE))</f>
        <v/>
      </c>
      <c r="P150" s="90" t="str">
        <f>IF(VLOOKUP(UncLookup[[#This Row],[Item]],Items!$A$1:$F$43,3,FALSE)=0,"",VLOOKUP(UncLookup[[#This Row],[Item]],Items!$A$1:$F$43,3,FALSE))</f>
        <v/>
      </c>
      <c r="Q150" s="90" t="str">
        <f>IF(VLOOKUP(UncLookup[[#This Row],[Item]],Items!$A$1:$F$43,4,FALSE)=0,"",VLOOKUP(UncLookup[[#This Row],[Item]],Items!$A$1:$F$43,4,FALSE))</f>
        <v/>
      </c>
    </row>
    <row r="151" spans="1:17" x14ac:dyDescent="0.25">
      <c r="A151" s="76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90" t="str">
        <f>IF(VLOOKUP(UncLookup[[#This Row],[Item]],Items!$A$1:$F$43,2,FALSE)=0,"",VLOOKUP(UncLookup[[#This Row],[Item]],Items!$A$1:$F$43,2,FALSE))</f>
        <v/>
      </c>
      <c r="P151" s="90" t="str">
        <f>IF(VLOOKUP(UncLookup[[#This Row],[Item]],Items!$A$1:$F$43,3,FALSE)=0,"",VLOOKUP(UncLookup[[#This Row],[Item]],Items!$A$1:$F$43,3,FALSE))</f>
        <v/>
      </c>
      <c r="Q151" s="90" t="str">
        <f>IF(VLOOKUP(UncLookup[[#This Row],[Item]],Items!$A$1:$F$43,4,FALSE)=0,"",VLOOKUP(UncLookup[[#This Row],[Item]],Items!$A$1:$F$43,4,FALSE))</f>
        <v/>
      </c>
    </row>
    <row r="152" spans="1:17" x14ac:dyDescent="0.25">
      <c r="A152" s="75" t="s">
        <v>56</v>
      </c>
      <c r="B152" s="75" t="s">
        <v>17</v>
      </c>
      <c r="C152" s="75">
        <v>1000</v>
      </c>
      <c r="D152" s="75">
        <v>10000</v>
      </c>
      <c r="E152" s="75">
        <v>1</v>
      </c>
      <c r="F152" s="75" t="s">
        <v>9</v>
      </c>
      <c r="G152" s="75" t="s">
        <v>9</v>
      </c>
      <c r="H152" s="75">
        <v>0</v>
      </c>
      <c r="I152" s="75">
        <v>0</v>
      </c>
      <c r="J152" s="75"/>
      <c r="K152" s="75">
        <v>6.8566000000000005E-4</v>
      </c>
      <c r="L152" s="75">
        <v>9.1516999999999998E-8</v>
      </c>
      <c r="M152" s="75">
        <v>6.8565E-4</v>
      </c>
      <c r="N152" s="75">
        <v>9.1517999999999999E-8</v>
      </c>
      <c r="O152" s="90" t="str">
        <f>IF(VLOOKUP(UncLookup[[#This Row],[Item]],Items!$A$1:$F$43,2,FALSE)=0,"",VLOOKUP(UncLookup[[#This Row],[Item]],Items!$A$1:$F$43,2,FALSE))</f>
        <v/>
      </c>
      <c r="P152" s="90" t="str">
        <f>IF(VLOOKUP(UncLookup[[#This Row],[Item]],Items!$A$1:$F$43,3,FALSE)=0,"",VLOOKUP(UncLookup[[#This Row],[Item]],Items!$A$1:$F$43,3,FALSE))</f>
        <v/>
      </c>
      <c r="Q152" s="90" t="str">
        <f>IF(VLOOKUP(UncLookup[[#This Row],[Item]],Items!$A$1:$F$43,4,FALSE)=0,"",VLOOKUP(UncLookup[[#This Row],[Item]],Items!$A$1:$F$43,4,FALSE))</f>
        <v/>
      </c>
    </row>
    <row r="153" spans="1:17" x14ac:dyDescent="0.25">
      <c r="A153" s="76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90" t="str">
        <f>IF(VLOOKUP(UncLookup[[#This Row],[Item]],Items!$A$1:$F$43,2,FALSE)=0,"",VLOOKUP(UncLookup[[#This Row],[Item]],Items!$A$1:$F$43,2,FALSE))</f>
        <v/>
      </c>
      <c r="P153" s="90" t="str">
        <f>IF(VLOOKUP(UncLookup[[#This Row],[Item]],Items!$A$1:$F$43,3,FALSE)=0,"",VLOOKUP(UncLookup[[#This Row],[Item]],Items!$A$1:$F$43,3,FALSE))</f>
        <v/>
      </c>
      <c r="Q153" s="90" t="str">
        <f>IF(VLOOKUP(UncLookup[[#This Row],[Item]],Items!$A$1:$F$43,4,FALSE)=0,"",VLOOKUP(UncLookup[[#This Row],[Item]],Items!$A$1:$F$43,4,FALSE))</f>
        <v/>
      </c>
    </row>
    <row r="154" spans="1:17" x14ac:dyDescent="0.25">
      <c r="A154" s="75" t="s">
        <v>56</v>
      </c>
      <c r="B154" s="75" t="s">
        <v>17</v>
      </c>
      <c r="C154" s="75">
        <v>1000</v>
      </c>
      <c r="D154" s="75">
        <v>10000</v>
      </c>
      <c r="E154" s="75">
        <v>100</v>
      </c>
      <c r="F154" s="75" t="s">
        <v>9</v>
      </c>
      <c r="G154" s="75" t="s">
        <v>9</v>
      </c>
      <c r="H154" s="75">
        <v>0</v>
      </c>
      <c r="I154" s="75">
        <v>0</v>
      </c>
      <c r="J154" s="75"/>
      <c r="K154" s="75">
        <v>5.7734000000000001E-2</v>
      </c>
      <c r="L154" s="75">
        <v>1.5900000000000001E-9</v>
      </c>
      <c r="M154" s="75">
        <v>5.772E-2</v>
      </c>
      <c r="N154" s="75">
        <v>1.5900000000000001E-9</v>
      </c>
      <c r="O154" s="90" t="str">
        <f>IF(VLOOKUP(UncLookup[[#This Row],[Item]],Items!$A$1:$F$43,2,FALSE)=0,"",VLOOKUP(UncLookup[[#This Row],[Item]],Items!$A$1:$F$43,2,FALSE))</f>
        <v/>
      </c>
      <c r="P154" s="90" t="str">
        <f>IF(VLOOKUP(UncLookup[[#This Row],[Item]],Items!$A$1:$F$43,3,FALSE)=0,"",VLOOKUP(UncLookup[[#This Row],[Item]],Items!$A$1:$F$43,3,FALSE))</f>
        <v/>
      </c>
      <c r="Q154" s="90" t="str">
        <f>IF(VLOOKUP(UncLookup[[#This Row],[Item]],Items!$A$1:$F$43,4,FALSE)=0,"",VLOOKUP(UncLookup[[#This Row],[Item]],Items!$A$1:$F$43,4,FALSE))</f>
        <v/>
      </c>
    </row>
    <row r="155" spans="1:17" x14ac:dyDescent="0.25">
      <c r="A155" s="76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90" t="str">
        <f>IF(VLOOKUP(UncLookup[[#This Row],[Item]],Items!$A$1:$F$43,2,FALSE)=0,"",VLOOKUP(UncLookup[[#This Row],[Item]],Items!$A$1:$F$43,2,FALSE))</f>
        <v/>
      </c>
      <c r="P155" s="90" t="str">
        <f>IF(VLOOKUP(UncLookup[[#This Row],[Item]],Items!$A$1:$F$43,3,FALSE)=0,"",VLOOKUP(UncLookup[[#This Row],[Item]],Items!$A$1:$F$43,3,FALSE))</f>
        <v/>
      </c>
      <c r="Q155" s="90" t="str">
        <f>IF(VLOOKUP(UncLookup[[#This Row],[Item]],Items!$A$1:$F$43,4,FALSE)=0,"",VLOOKUP(UncLookup[[#This Row],[Item]],Items!$A$1:$F$43,4,FALSE))</f>
        <v/>
      </c>
    </row>
    <row r="156" spans="1:17" x14ac:dyDescent="0.25">
      <c r="A156" s="75" t="s">
        <v>56</v>
      </c>
      <c r="B156" s="75" t="s">
        <v>17</v>
      </c>
      <c r="C156" s="75">
        <v>10000</v>
      </c>
      <c r="D156" s="75">
        <v>100000</v>
      </c>
      <c r="E156" s="75">
        <v>0.1</v>
      </c>
      <c r="F156" s="75" t="s">
        <v>9</v>
      </c>
      <c r="G156" s="75" t="s">
        <v>9</v>
      </c>
      <c r="H156" s="75">
        <v>0</v>
      </c>
      <c r="I156" s="75">
        <v>0</v>
      </c>
      <c r="J156" s="75"/>
      <c r="K156" s="75">
        <v>1.9518000000000001E-6</v>
      </c>
      <c r="L156" s="75">
        <v>1.384E-9</v>
      </c>
      <c r="M156" s="75">
        <v>1.3799999999999999E-6</v>
      </c>
      <c r="N156" s="75">
        <v>1.2921E-7</v>
      </c>
      <c r="O156" s="90" t="str">
        <f>IF(VLOOKUP(UncLookup[[#This Row],[Item]],Items!$A$1:$F$43,2,FALSE)=0,"",VLOOKUP(UncLookup[[#This Row],[Item]],Items!$A$1:$F$43,2,FALSE))</f>
        <v/>
      </c>
      <c r="P156" s="90" t="str">
        <f>IF(VLOOKUP(UncLookup[[#This Row],[Item]],Items!$A$1:$F$43,3,FALSE)=0,"",VLOOKUP(UncLookup[[#This Row],[Item]],Items!$A$1:$F$43,3,FALSE))</f>
        <v/>
      </c>
      <c r="Q156" s="90" t="str">
        <f>IF(VLOOKUP(UncLookup[[#This Row],[Item]],Items!$A$1:$F$43,4,FALSE)=0,"",VLOOKUP(UncLookup[[#This Row],[Item]],Items!$A$1:$F$43,4,FALSE))</f>
        <v/>
      </c>
    </row>
    <row r="157" spans="1:17" x14ac:dyDescent="0.25">
      <c r="A157" s="76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90" t="str">
        <f>IF(VLOOKUP(UncLookup[[#This Row],[Item]],Items!$A$1:$F$43,2,FALSE)=0,"",VLOOKUP(UncLookup[[#This Row],[Item]],Items!$A$1:$F$43,2,FALSE))</f>
        <v/>
      </c>
      <c r="P157" s="90" t="str">
        <f>IF(VLOOKUP(UncLookup[[#This Row],[Item]],Items!$A$1:$F$43,3,FALSE)=0,"",VLOOKUP(UncLookup[[#This Row],[Item]],Items!$A$1:$F$43,3,FALSE))</f>
        <v/>
      </c>
      <c r="Q157" s="90" t="str">
        <f>IF(VLOOKUP(UncLookup[[#This Row],[Item]],Items!$A$1:$F$43,4,FALSE)=0,"",VLOOKUP(UncLookup[[#This Row],[Item]],Items!$A$1:$F$43,4,FALSE))</f>
        <v/>
      </c>
    </row>
    <row r="158" spans="1:17" x14ac:dyDescent="0.25">
      <c r="A158" s="75" t="s">
        <v>56</v>
      </c>
      <c r="B158" s="75" t="s">
        <v>17</v>
      </c>
      <c r="C158" s="75">
        <v>10000</v>
      </c>
      <c r="D158" s="75">
        <v>100000</v>
      </c>
      <c r="E158" s="75">
        <v>10</v>
      </c>
      <c r="F158" s="75" t="s">
        <v>9</v>
      </c>
      <c r="G158" s="75" t="s">
        <v>9</v>
      </c>
      <c r="H158" s="75">
        <v>0</v>
      </c>
      <c r="I158" s="75">
        <v>0</v>
      </c>
      <c r="J158" s="75"/>
      <c r="K158" s="75">
        <v>6.8566E-3</v>
      </c>
      <c r="L158" s="75">
        <v>6.8565000000000003E-6</v>
      </c>
      <c r="M158" s="75">
        <v>6.8564999999999997E-3</v>
      </c>
      <c r="N158" s="75">
        <v>9.1517999999999999E-8</v>
      </c>
      <c r="O158" s="90" t="str">
        <f>IF(VLOOKUP(UncLookup[[#This Row],[Item]],Items!$A$1:$F$43,2,FALSE)=0,"",VLOOKUP(UncLookup[[#This Row],[Item]],Items!$A$1:$F$43,2,FALSE))</f>
        <v/>
      </c>
      <c r="P158" s="90" t="str">
        <f>IF(VLOOKUP(UncLookup[[#This Row],[Item]],Items!$A$1:$F$43,3,FALSE)=0,"",VLOOKUP(UncLookup[[#This Row],[Item]],Items!$A$1:$F$43,3,FALSE))</f>
        <v/>
      </c>
      <c r="Q158" s="90" t="str">
        <f>IF(VLOOKUP(UncLookup[[#This Row],[Item]],Items!$A$1:$F$43,4,FALSE)=0,"",VLOOKUP(UncLookup[[#This Row],[Item]],Items!$A$1:$F$43,4,FALSE))</f>
        <v/>
      </c>
    </row>
    <row r="159" spans="1:17" x14ac:dyDescent="0.25">
      <c r="A159" s="76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90" t="str">
        <f>IF(VLOOKUP(UncLookup[[#This Row],[Item]],Items!$A$1:$F$43,2,FALSE)=0,"",VLOOKUP(UncLookup[[#This Row],[Item]],Items!$A$1:$F$43,2,FALSE))</f>
        <v/>
      </c>
      <c r="P159" s="90" t="str">
        <f>IF(VLOOKUP(UncLookup[[#This Row],[Item]],Items!$A$1:$F$43,3,FALSE)=0,"",VLOOKUP(UncLookup[[#This Row],[Item]],Items!$A$1:$F$43,3,FALSE))</f>
        <v/>
      </c>
      <c r="Q159" s="90" t="str">
        <f>IF(VLOOKUP(UncLookup[[#This Row],[Item]],Items!$A$1:$F$43,4,FALSE)=0,"",VLOOKUP(UncLookup[[#This Row],[Item]],Items!$A$1:$F$43,4,FALSE))</f>
        <v/>
      </c>
    </row>
    <row r="160" spans="1:17" x14ac:dyDescent="0.25">
      <c r="A160" s="75" t="s">
        <v>56</v>
      </c>
      <c r="B160" s="75" t="s">
        <v>17</v>
      </c>
      <c r="C160" s="75">
        <v>10000</v>
      </c>
      <c r="D160" s="75">
        <v>100000</v>
      </c>
      <c r="E160" s="75">
        <v>1000</v>
      </c>
      <c r="F160" s="75" t="s">
        <v>9</v>
      </c>
      <c r="G160" s="75" t="s">
        <v>9</v>
      </c>
      <c r="H160" s="75">
        <v>0</v>
      </c>
      <c r="I160" s="75">
        <v>0</v>
      </c>
      <c r="J160" s="75"/>
      <c r="K160" s="75">
        <v>0.57733999999999996</v>
      </c>
      <c r="L160" s="75">
        <v>5.7720000000000004E-4</v>
      </c>
      <c r="M160" s="75">
        <v>0.57720000000000005</v>
      </c>
      <c r="N160" s="75">
        <v>1.5900000000000001E-9</v>
      </c>
      <c r="O160" s="90" t="str">
        <f>IF(VLOOKUP(UncLookup[[#This Row],[Item]],Items!$A$1:$F$43,2,FALSE)=0,"",VLOOKUP(UncLookup[[#This Row],[Item]],Items!$A$1:$F$43,2,FALSE))</f>
        <v/>
      </c>
      <c r="P160" s="90" t="str">
        <f>IF(VLOOKUP(UncLookup[[#This Row],[Item]],Items!$A$1:$F$43,3,FALSE)=0,"",VLOOKUP(UncLookup[[#This Row],[Item]],Items!$A$1:$F$43,3,FALSE))</f>
        <v/>
      </c>
      <c r="Q160" s="90" t="str">
        <f>IF(VLOOKUP(UncLookup[[#This Row],[Item]],Items!$A$1:$F$43,4,FALSE)=0,"",VLOOKUP(UncLookup[[#This Row],[Item]],Items!$A$1:$F$43,4,FALSE))</f>
        <v/>
      </c>
    </row>
    <row r="161" spans="1:17" x14ac:dyDescent="0.25">
      <c r="A161" s="76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90" t="str">
        <f>IF(VLOOKUP(UncLookup[[#This Row],[Item]],Items!$A$1:$F$43,2,FALSE)=0,"",VLOOKUP(UncLookup[[#This Row],[Item]],Items!$A$1:$F$43,2,FALSE))</f>
        <v/>
      </c>
      <c r="P161" s="90" t="str">
        <f>IF(VLOOKUP(UncLookup[[#This Row],[Item]],Items!$A$1:$F$43,3,FALSE)=0,"",VLOOKUP(UncLookup[[#This Row],[Item]],Items!$A$1:$F$43,3,FALSE))</f>
        <v/>
      </c>
      <c r="Q161" s="90" t="str">
        <f>IF(VLOOKUP(UncLookup[[#This Row],[Item]],Items!$A$1:$F$43,4,FALSE)=0,"",VLOOKUP(UncLookup[[#This Row],[Item]],Items!$A$1:$F$43,4,FALSE))</f>
        <v/>
      </c>
    </row>
    <row r="162" spans="1:17" x14ac:dyDescent="0.25">
      <c r="A162" s="75" t="s">
        <v>56</v>
      </c>
      <c r="B162" s="75" t="s">
        <v>17</v>
      </c>
      <c r="C162" s="75">
        <v>100000</v>
      </c>
      <c r="D162" s="75">
        <v>1000000</v>
      </c>
      <c r="E162" s="75">
        <v>0.1</v>
      </c>
      <c r="F162" s="75" t="s">
        <v>9</v>
      </c>
      <c r="G162" s="75" t="s">
        <v>9</v>
      </c>
      <c r="H162" s="75">
        <v>0</v>
      </c>
      <c r="I162" s="75">
        <v>0</v>
      </c>
      <c r="J162" s="75"/>
      <c r="K162" s="75">
        <v>4.4000000000000002E-7</v>
      </c>
      <c r="L162" s="75">
        <v>1.3E-7</v>
      </c>
      <c r="M162" s="75">
        <v>7.4099999999999995E-8</v>
      </c>
      <c r="N162" s="75">
        <v>1.2921999999999999E-7</v>
      </c>
      <c r="O162" s="90" t="str">
        <f>IF(VLOOKUP(UncLookup[[#This Row],[Item]],Items!$A$1:$F$43,2,FALSE)=0,"",VLOOKUP(UncLookup[[#This Row],[Item]],Items!$A$1:$F$43,2,FALSE))</f>
        <v/>
      </c>
      <c r="P162" s="90" t="str">
        <f>IF(VLOOKUP(UncLookup[[#This Row],[Item]],Items!$A$1:$F$43,3,FALSE)=0,"",VLOOKUP(UncLookup[[#This Row],[Item]],Items!$A$1:$F$43,3,FALSE))</f>
        <v/>
      </c>
      <c r="Q162" s="90" t="str">
        <f>IF(VLOOKUP(UncLookup[[#This Row],[Item]],Items!$A$1:$F$43,4,FALSE)=0,"",VLOOKUP(UncLookup[[#This Row],[Item]],Items!$A$1:$F$43,4,FALSE))</f>
        <v/>
      </c>
    </row>
    <row r="163" spans="1:17" x14ac:dyDescent="0.25">
      <c r="A163" s="76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90" t="str">
        <f>IF(VLOOKUP(UncLookup[[#This Row],[Item]],Items!$A$1:$F$43,2,FALSE)=0,"",VLOOKUP(UncLookup[[#This Row],[Item]],Items!$A$1:$F$43,2,FALSE))</f>
        <v/>
      </c>
      <c r="P163" s="90" t="str">
        <f>IF(VLOOKUP(UncLookup[[#This Row],[Item]],Items!$A$1:$F$43,3,FALSE)=0,"",VLOOKUP(UncLookup[[#This Row],[Item]],Items!$A$1:$F$43,3,FALSE))</f>
        <v/>
      </c>
      <c r="Q163" s="90" t="str">
        <f>IF(VLOOKUP(UncLookup[[#This Row],[Item]],Items!$A$1:$F$43,4,FALSE)=0,"",VLOOKUP(UncLookup[[#This Row],[Item]],Items!$A$1:$F$43,4,FALSE))</f>
        <v/>
      </c>
    </row>
    <row r="164" spans="1:17" x14ac:dyDescent="0.25">
      <c r="A164" s="75" t="s">
        <v>56</v>
      </c>
      <c r="B164" s="75" t="s">
        <v>17</v>
      </c>
      <c r="C164" s="75">
        <v>100000</v>
      </c>
      <c r="D164" s="75">
        <v>1000000</v>
      </c>
      <c r="E164" s="75">
        <v>10</v>
      </c>
      <c r="F164" s="75" t="s">
        <v>9</v>
      </c>
      <c r="G164" s="75" t="s">
        <v>9</v>
      </c>
      <c r="H164" s="75">
        <v>0</v>
      </c>
      <c r="I164" s="75">
        <v>0</v>
      </c>
      <c r="J164" s="75"/>
      <c r="K164" s="75">
        <v>1.3573999999999999E-3</v>
      </c>
      <c r="L164" s="75">
        <v>1.2799E-7</v>
      </c>
      <c r="M164" s="75">
        <v>1.3571E-3</v>
      </c>
      <c r="N164" s="75">
        <v>1.2799E-7</v>
      </c>
      <c r="O164" s="90" t="str">
        <f>IF(VLOOKUP(UncLookup[[#This Row],[Item]],Items!$A$1:$F$43,2,FALSE)=0,"",VLOOKUP(UncLookup[[#This Row],[Item]],Items!$A$1:$F$43,2,FALSE))</f>
        <v/>
      </c>
      <c r="P164" s="90" t="str">
        <f>IF(VLOOKUP(UncLookup[[#This Row],[Item]],Items!$A$1:$F$43,3,FALSE)=0,"",VLOOKUP(UncLookup[[#This Row],[Item]],Items!$A$1:$F$43,3,FALSE))</f>
        <v/>
      </c>
      <c r="Q164" s="90" t="str">
        <f>IF(VLOOKUP(UncLookup[[#This Row],[Item]],Items!$A$1:$F$43,4,FALSE)=0,"",VLOOKUP(UncLookup[[#This Row],[Item]],Items!$A$1:$F$43,4,FALSE))</f>
        <v/>
      </c>
    </row>
    <row r="165" spans="1:17" x14ac:dyDescent="0.25">
      <c r="A165" s="76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90" t="str">
        <f>IF(VLOOKUP(UncLookup[[#This Row],[Item]],Items!$A$1:$F$43,2,FALSE)=0,"",VLOOKUP(UncLookup[[#This Row],[Item]],Items!$A$1:$F$43,2,FALSE))</f>
        <v/>
      </c>
      <c r="P165" s="90" t="str">
        <f>IF(VLOOKUP(UncLookup[[#This Row],[Item]],Items!$A$1:$F$43,3,FALSE)=0,"",VLOOKUP(UncLookup[[#This Row],[Item]],Items!$A$1:$F$43,3,FALSE))</f>
        <v/>
      </c>
      <c r="Q165" s="90" t="str">
        <f>IF(VLOOKUP(UncLookup[[#This Row],[Item]],Items!$A$1:$F$43,4,FALSE)=0,"",VLOOKUP(UncLookup[[#This Row],[Item]],Items!$A$1:$F$43,4,FALSE))</f>
        <v/>
      </c>
    </row>
    <row r="166" spans="1:17" x14ac:dyDescent="0.25">
      <c r="A166" s="75" t="s">
        <v>56</v>
      </c>
      <c r="B166" s="75" t="s">
        <v>17</v>
      </c>
      <c r="C166" s="75">
        <v>100000</v>
      </c>
      <c r="D166" s="75">
        <v>1000000</v>
      </c>
      <c r="E166" s="75">
        <v>1000</v>
      </c>
      <c r="F166" s="75" t="s">
        <v>9</v>
      </c>
      <c r="G166" s="75" t="s">
        <v>9</v>
      </c>
      <c r="H166" s="75">
        <v>0</v>
      </c>
      <c r="I166" s="75">
        <v>0</v>
      </c>
      <c r="J166" s="75"/>
      <c r="K166" s="75">
        <v>0.57843999999999995</v>
      </c>
      <c r="L166" s="75">
        <v>1.571E-8</v>
      </c>
      <c r="M166" s="75">
        <v>0.57843999999999995</v>
      </c>
      <c r="N166" s="75">
        <v>1.571E-8</v>
      </c>
      <c r="O166" s="90" t="str">
        <f>IF(VLOOKUP(UncLookup[[#This Row],[Item]],Items!$A$1:$F$43,2,FALSE)=0,"",VLOOKUP(UncLookup[[#This Row],[Item]],Items!$A$1:$F$43,2,FALSE))</f>
        <v/>
      </c>
      <c r="P166" s="90" t="str">
        <f>IF(VLOOKUP(UncLookup[[#This Row],[Item]],Items!$A$1:$F$43,3,FALSE)=0,"",VLOOKUP(UncLookup[[#This Row],[Item]],Items!$A$1:$F$43,3,FALSE))</f>
        <v/>
      </c>
      <c r="Q166" s="90" t="str">
        <f>IF(VLOOKUP(UncLookup[[#This Row],[Item]],Items!$A$1:$F$43,4,FALSE)=0,"",VLOOKUP(UncLookup[[#This Row],[Item]],Items!$A$1:$F$43,4,FALSE))</f>
        <v/>
      </c>
    </row>
    <row r="167" spans="1:17" x14ac:dyDescent="0.25">
      <c r="A167" s="76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90" t="str">
        <f>IF(VLOOKUP(UncLookup[[#This Row],[Item]],Items!$A$1:$F$43,2,FALSE)=0,"",VLOOKUP(UncLookup[[#This Row],[Item]],Items!$A$1:$F$43,2,FALSE))</f>
        <v/>
      </c>
      <c r="P167" s="90" t="str">
        <f>IF(VLOOKUP(UncLookup[[#This Row],[Item]],Items!$A$1:$F$43,3,FALSE)=0,"",VLOOKUP(UncLookup[[#This Row],[Item]],Items!$A$1:$F$43,3,FALSE))</f>
        <v/>
      </c>
      <c r="Q167" s="90" t="str">
        <f>IF(VLOOKUP(UncLookup[[#This Row],[Item]],Items!$A$1:$F$43,4,FALSE)=0,"",VLOOKUP(UncLookup[[#This Row],[Item]],Items!$A$1:$F$43,4,FALSE))</f>
        <v/>
      </c>
    </row>
    <row r="168" spans="1:17" x14ac:dyDescent="0.25">
      <c r="A168" s="75" t="s">
        <v>56</v>
      </c>
      <c r="B168" s="75" t="s">
        <v>17</v>
      </c>
      <c r="C168" s="75">
        <v>1000000</v>
      </c>
      <c r="D168" s="75">
        <v>10000000</v>
      </c>
      <c r="E168" s="75">
        <v>1</v>
      </c>
      <c r="F168" s="75" t="s">
        <v>9</v>
      </c>
      <c r="G168" s="75" t="s">
        <v>9</v>
      </c>
      <c r="H168" s="75">
        <v>0</v>
      </c>
      <c r="I168" s="75">
        <v>0</v>
      </c>
      <c r="J168" s="75"/>
      <c r="K168" s="75">
        <v>4.4000000000000002E-6</v>
      </c>
      <c r="L168" s="75">
        <v>1.3E-7</v>
      </c>
      <c r="M168" s="75">
        <v>7.4137000000000003E-7</v>
      </c>
      <c r="N168" s="75">
        <v>1.2921999999999999E-7</v>
      </c>
      <c r="O168" s="90" t="str">
        <f>IF(VLOOKUP(UncLookup[[#This Row],[Item]],Items!$A$1:$F$43,2,FALSE)=0,"",VLOOKUP(UncLookup[[#This Row],[Item]],Items!$A$1:$F$43,2,FALSE))</f>
        <v/>
      </c>
      <c r="P168" s="90" t="str">
        <f>IF(VLOOKUP(UncLookup[[#This Row],[Item]],Items!$A$1:$F$43,3,FALSE)=0,"",VLOOKUP(UncLookup[[#This Row],[Item]],Items!$A$1:$F$43,3,FALSE))</f>
        <v/>
      </c>
      <c r="Q168" s="90" t="str">
        <f>IF(VLOOKUP(UncLookup[[#This Row],[Item]],Items!$A$1:$F$43,4,FALSE)=0,"",VLOOKUP(UncLookup[[#This Row],[Item]],Items!$A$1:$F$43,4,FALSE))</f>
        <v/>
      </c>
    </row>
    <row r="169" spans="1:17" x14ac:dyDescent="0.25">
      <c r="A169" s="76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90" t="str">
        <f>IF(VLOOKUP(UncLookup[[#This Row],[Item]],Items!$A$1:$F$43,2,FALSE)=0,"",VLOOKUP(UncLookup[[#This Row],[Item]],Items!$A$1:$F$43,2,FALSE))</f>
        <v/>
      </c>
      <c r="P169" s="90" t="str">
        <f>IF(VLOOKUP(UncLookup[[#This Row],[Item]],Items!$A$1:$F$43,3,FALSE)=0,"",VLOOKUP(UncLookup[[#This Row],[Item]],Items!$A$1:$F$43,3,FALSE))</f>
        <v/>
      </c>
      <c r="Q169" s="90" t="str">
        <f>IF(VLOOKUP(UncLookup[[#This Row],[Item]],Items!$A$1:$F$43,4,FALSE)=0,"",VLOOKUP(UncLookup[[#This Row],[Item]],Items!$A$1:$F$43,4,FALSE))</f>
        <v/>
      </c>
    </row>
    <row r="170" spans="1:17" x14ac:dyDescent="0.25">
      <c r="A170" s="75" t="s">
        <v>56</v>
      </c>
      <c r="B170" s="75" t="s">
        <v>17</v>
      </c>
      <c r="C170" s="75">
        <v>1000000</v>
      </c>
      <c r="D170" s="75">
        <v>10000000</v>
      </c>
      <c r="E170" s="75">
        <v>100</v>
      </c>
      <c r="F170" s="75" t="s">
        <v>9</v>
      </c>
      <c r="G170" s="75" t="s">
        <v>9</v>
      </c>
      <c r="H170" s="75">
        <v>0</v>
      </c>
      <c r="I170" s="75">
        <v>0</v>
      </c>
      <c r="J170" s="75"/>
      <c r="K170" s="75">
        <v>1.3573999999999999E-2</v>
      </c>
      <c r="L170" s="75">
        <v>1.2799E-7</v>
      </c>
      <c r="M170" s="75">
        <v>1.3571E-2</v>
      </c>
      <c r="N170" s="75">
        <v>1.2799E-7</v>
      </c>
      <c r="O170" s="90" t="str">
        <f>IF(VLOOKUP(UncLookup[[#This Row],[Item]],Items!$A$1:$F$43,2,FALSE)=0,"",VLOOKUP(UncLookup[[#This Row],[Item]],Items!$A$1:$F$43,2,FALSE))</f>
        <v/>
      </c>
      <c r="P170" s="90" t="str">
        <f>IF(VLOOKUP(UncLookup[[#This Row],[Item]],Items!$A$1:$F$43,3,FALSE)=0,"",VLOOKUP(UncLookup[[#This Row],[Item]],Items!$A$1:$F$43,3,FALSE))</f>
        <v/>
      </c>
      <c r="Q170" s="90" t="str">
        <f>IF(VLOOKUP(UncLookup[[#This Row],[Item]],Items!$A$1:$F$43,4,FALSE)=0,"",VLOOKUP(UncLookup[[#This Row],[Item]],Items!$A$1:$F$43,4,FALSE))</f>
        <v/>
      </c>
    </row>
    <row r="171" spans="1:17" x14ac:dyDescent="0.25">
      <c r="A171" s="76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90" t="str">
        <f>IF(VLOOKUP(UncLookup[[#This Row],[Item]],Items!$A$1:$F$43,2,FALSE)=0,"",VLOOKUP(UncLookup[[#This Row],[Item]],Items!$A$1:$F$43,2,FALSE))</f>
        <v/>
      </c>
      <c r="P171" s="90" t="str">
        <f>IF(VLOOKUP(UncLookup[[#This Row],[Item]],Items!$A$1:$F$43,3,FALSE)=0,"",VLOOKUP(UncLookup[[#This Row],[Item]],Items!$A$1:$F$43,3,FALSE))</f>
        <v/>
      </c>
      <c r="Q171" s="90" t="str">
        <f>IF(VLOOKUP(UncLookup[[#This Row],[Item]],Items!$A$1:$F$43,4,FALSE)=0,"",VLOOKUP(UncLookup[[#This Row],[Item]],Items!$A$1:$F$43,4,FALSE))</f>
        <v/>
      </c>
    </row>
    <row r="172" spans="1:17" x14ac:dyDescent="0.25">
      <c r="A172" s="75" t="s">
        <v>56</v>
      </c>
      <c r="B172" s="75" t="s">
        <v>17</v>
      </c>
      <c r="C172" s="75">
        <v>1000000</v>
      </c>
      <c r="D172" s="75">
        <v>10000000</v>
      </c>
      <c r="E172" s="75">
        <v>10000</v>
      </c>
      <c r="F172" s="75" t="s">
        <v>9</v>
      </c>
      <c r="G172" s="75" t="s">
        <v>9</v>
      </c>
      <c r="H172" s="75">
        <v>0</v>
      </c>
      <c r="I172" s="75">
        <v>0</v>
      </c>
      <c r="J172" s="75"/>
      <c r="K172" s="75">
        <v>5.7843999999999998</v>
      </c>
      <c r="L172" s="75">
        <v>1.571E-8</v>
      </c>
      <c r="M172" s="75">
        <v>5.7843999999999998</v>
      </c>
      <c r="N172" s="75">
        <v>1.571E-8</v>
      </c>
      <c r="O172" s="90" t="str">
        <f>IF(VLOOKUP(UncLookup[[#This Row],[Item]],Items!$A$1:$F$43,2,FALSE)=0,"",VLOOKUP(UncLookup[[#This Row],[Item]],Items!$A$1:$F$43,2,FALSE))</f>
        <v/>
      </c>
      <c r="P172" s="90" t="str">
        <f>IF(VLOOKUP(UncLookup[[#This Row],[Item]],Items!$A$1:$F$43,3,FALSE)=0,"",VLOOKUP(UncLookup[[#This Row],[Item]],Items!$A$1:$F$43,3,FALSE))</f>
        <v/>
      </c>
      <c r="Q172" s="90" t="str">
        <f>IF(VLOOKUP(UncLookup[[#This Row],[Item]],Items!$A$1:$F$43,4,FALSE)=0,"",VLOOKUP(UncLookup[[#This Row],[Item]],Items!$A$1:$F$43,4,FALSE))</f>
        <v/>
      </c>
    </row>
    <row r="173" spans="1:17" x14ac:dyDescent="0.25">
      <c r="A173" s="76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90" t="str">
        <f>IF(VLOOKUP(UncLookup[[#This Row],[Item]],Items!$A$1:$F$43,2,FALSE)=0,"",VLOOKUP(UncLookup[[#This Row],[Item]],Items!$A$1:$F$43,2,FALSE))</f>
        <v/>
      </c>
      <c r="P173" s="90" t="str">
        <f>IF(VLOOKUP(UncLookup[[#This Row],[Item]],Items!$A$1:$F$43,3,FALSE)=0,"",VLOOKUP(UncLookup[[#This Row],[Item]],Items!$A$1:$F$43,3,FALSE))</f>
        <v/>
      </c>
      <c r="Q173" s="90" t="str">
        <f>IF(VLOOKUP(UncLookup[[#This Row],[Item]],Items!$A$1:$F$43,4,FALSE)=0,"",VLOOKUP(UncLookup[[#This Row],[Item]],Items!$A$1:$F$43,4,FALSE))</f>
        <v/>
      </c>
    </row>
    <row r="174" spans="1:17" x14ac:dyDescent="0.25">
      <c r="A174" s="75" t="s">
        <v>56</v>
      </c>
      <c r="B174" s="75" t="s">
        <v>88</v>
      </c>
      <c r="C174" s="75">
        <v>-454</v>
      </c>
      <c r="D174" s="75">
        <v>-400.00099999999998</v>
      </c>
      <c r="E174" s="75">
        <v>0.1</v>
      </c>
      <c r="F174" s="75" t="s">
        <v>26</v>
      </c>
      <c r="G174" s="75" t="s">
        <v>26</v>
      </c>
      <c r="H174" s="75">
        <v>0</v>
      </c>
      <c r="I174" s="75">
        <v>0</v>
      </c>
      <c r="J174" s="75"/>
      <c r="K174" s="75">
        <v>0.41398294899999999</v>
      </c>
      <c r="L174" s="75">
        <v>0</v>
      </c>
      <c r="M174" s="75">
        <v>0.39270743800000002</v>
      </c>
      <c r="N174" s="75">
        <v>0</v>
      </c>
      <c r="O174" s="90" t="str">
        <f>IF(VLOOKUP(UncLookup[[#This Row],[Item]],Items!$A$1:$F$43,2,FALSE)=0,"",VLOOKUP(UncLookup[[#This Row],[Item]],Items!$A$1:$F$43,2,FALSE))</f>
        <v/>
      </c>
      <c r="P174" s="90" t="str">
        <f>IF(VLOOKUP(UncLookup[[#This Row],[Item]],Items!$A$1:$F$43,3,FALSE)=0,"",VLOOKUP(UncLookup[[#This Row],[Item]],Items!$A$1:$F$43,3,FALSE))</f>
        <v/>
      </c>
      <c r="Q174" s="90" t="str">
        <f>IF(VLOOKUP(UncLookup[[#This Row],[Item]],Items!$A$1:$F$43,4,FALSE)=0,"",VLOOKUP(UncLookup[[#This Row],[Item]],Items!$A$1:$F$43,4,FALSE))</f>
        <v>T</v>
      </c>
    </row>
    <row r="175" spans="1:17" x14ac:dyDescent="0.25">
      <c r="A175" s="76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90" t="str">
        <f>IF(VLOOKUP(UncLookup[[#This Row],[Item]],Items!$A$1:$F$43,2,FALSE)=0,"",VLOOKUP(UncLookup[[#This Row],[Item]],Items!$A$1:$F$43,2,FALSE))</f>
        <v/>
      </c>
      <c r="P175" s="90" t="str">
        <f>IF(VLOOKUP(UncLookup[[#This Row],[Item]],Items!$A$1:$F$43,3,FALSE)=0,"",VLOOKUP(UncLookup[[#This Row],[Item]],Items!$A$1:$F$43,3,FALSE))</f>
        <v/>
      </c>
      <c r="Q175" s="90" t="str">
        <f>IF(VLOOKUP(UncLookup[[#This Row],[Item]],Items!$A$1:$F$43,4,FALSE)=0,"",VLOOKUP(UncLookup[[#This Row],[Item]],Items!$A$1:$F$43,4,FALSE))</f>
        <v>T</v>
      </c>
    </row>
    <row r="176" spans="1:17" x14ac:dyDescent="0.25">
      <c r="A176" s="75" t="s">
        <v>56</v>
      </c>
      <c r="B176" s="75" t="s">
        <v>88</v>
      </c>
      <c r="C176" s="75">
        <v>-400</v>
      </c>
      <c r="D176" s="75">
        <v>199.999</v>
      </c>
      <c r="E176" s="75">
        <v>0.1</v>
      </c>
      <c r="F176" s="75" t="s">
        <v>26</v>
      </c>
      <c r="G176" s="75" t="s">
        <v>26</v>
      </c>
      <c r="H176" s="75">
        <v>0</v>
      </c>
      <c r="I176" s="75">
        <v>0</v>
      </c>
      <c r="J176" s="75"/>
      <c r="K176" s="75">
        <v>0.18</v>
      </c>
      <c r="L176" s="75">
        <v>0</v>
      </c>
      <c r="M176" s="75">
        <v>0.124119993</v>
      </c>
      <c r="N176" s="75">
        <v>0</v>
      </c>
      <c r="O176" s="90" t="str">
        <f>IF(VLOOKUP(UncLookup[[#This Row],[Item]],Items!$A$1:$F$43,2,FALSE)=0,"",VLOOKUP(UncLookup[[#This Row],[Item]],Items!$A$1:$F$43,2,FALSE))</f>
        <v/>
      </c>
      <c r="P176" s="90" t="str">
        <f>IF(VLOOKUP(UncLookup[[#This Row],[Item]],Items!$A$1:$F$43,3,FALSE)=0,"",VLOOKUP(UncLookup[[#This Row],[Item]],Items!$A$1:$F$43,3,FALSE))</f>
        <v/>
      </c>
      <c r="Q176" s="90" t="str">
        <f>IF(VLOOKUP(UncLookup[[#This Row],[Item]],Items!$A$1:$F$43,4,FALSE)=0,"",VLOOKUP(UncLookup[[#This Row],[Item]],Items!$A$1:$F$43,4,FALSE))</f>
        <v>T</v>
      </c>
    </row>
    <row r="177" spans="1:17" x14ac:dyDescent="0.25">
      <c r="A177" s="76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90" t="str">
        <f>IF(VLOOKUP(UncLookup[[#This Row],[Item]],Items!$A$1:$F$43,2,FALSE)=0,"",VLOOKUP(UncLookup[[#This Row],[Item]],Items!$A$1:$F$43,2,FALSE))</f>
        <v/>
      </c>
      <c r="P177" s="90" t="str">
        <f>IF(VLOOKUP(UncLookup[[#This Row],[Item]],Items!$A$1:$F$43,3,FALSE)=0,"",VLOOKUP(UncLookup[[#This Row],[Item]],Items!$A$1:$F$43,3,FALSE))</f>
        <v/>
      </c>
      <c r="Q177" s="90" t="str">
        <f>IF(VLOOKUP(UncLookup[[#This Row],[Item]],Items!$A$1:$F$43,4,FALSE)=0,"",VLOOKUP(UncLookup[[#This Row],[Item]],Items!$A$1:$F$43,4,FALSE))</f>
        <v>T</v>
      </c>
    </row>
    <row r="178" spans="1:17" x14ac:dyDescent="0.25">
      <c r="A178" s="75" t="s">
        <v>56</v>
      </c>
      <c r="B178" s="75" t="s">
        <v>88</v>
      </c>
      <c r="C178" s="75">
        <v>200</v>
      </c>
      <c r="D178" s="75">
        <v>752</v>
      </c>
      <c r="E178" s="75">
        <v>0.1</v>
      </c>
      <c r="F178" s="75" t="s">
        <v>26</v>
      </c>
      <c r="G178" s="75" t="s">
        <v>26</v>
      </c>
      <c r="H178" s="75">
        <v>0</v>
      </c>
      <c r="I178" s="75">
        <v>0</v>
      </c>
      <c r="J178" s="75"/>
      <c r="K178" s="75">
        <v>0.11</v>
      </c>
      <c r="L178" s="75">
        <v>0</v>
      </c>
      <c r="M178" s="75">
        <v>8.3094007999999997E-2</v>
      </c>
      <c r="N178" s="75">
        <v>0</v>
      </c>
      <c r="O178" s="90" t="str">
        <f>IF(VLOOKUP(UncLookup[[#This Row],[Item]],Items!$A$1:$F$43,2,FALSE)=0,"",VLOOKUP(UncLookup[[#This Row],[Item]],Items!$A$1:$F$43,2,FALSE))</f>
        <v/>
      </c>
      <c r="P178" s="90" t="str">
        <f>IF(VLOOKUP(UncLookup[[#This Row],[Item]],Items!$A$1:$F$43,3,FALSE)=0,"",VLOOKUP(UncLookup[[#This Row],[Item]],Items!$A$1:$F$43,3,FALSE))</f>
        <v/>
      </c>
      <c r="Q178" s="90" t="str">
        <f>IF(VLOOKUP(UncLookup[[#This Row],[Item]],Items!$A$1:$F$43,4,FALSE)=0,"",VLOOKUP(UncLookup[[#This Row],[Item]],Items!$A$1:$F$43,4,FALSE))</f>
        <v>T</v>
      </c>
    </row>
    <row r="179" spans="1:17" x14ac:dyDescent="0.25">
      <c r="A179" s="76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90" t="str">
        <f>IF(VLOOKUP(UncLookup[[#This Row],[Item]],Items!$A$1:$F$43,2,FALSE)=0,"",VLOOKUP(UncLookup[[#This Row],[Item]],Items!$A$1:$F$43,2,FALSE))</f>
        <v/>
      </c>
      <c r="P179" s="90" t="str">
        <f>IF(VLOOKUP(UncLookup[[#This Row],[Item]],Items!$A$1:$F$43,3,FALSE)=0,"",VLOOKUP(UncLookup[[#This Row],[Item]],Items!$A$1:$F$43,3,FALSE))</f>
        <v/>
      </c>
      <c r="Q179" s="90" t="str">
        <f>IF(VLOOKUP(UncLookup[[#This Row],[Item]],Items!$A$1:$F$43,4,FALSE)=0,"",VLOOKUP(UncLookup[[#This Row],[Item]],Items!$A$1:$F$43,4,FALSE))</f>
        <v>T</v>
      </c>
    </row>
    <row r="180" spans="1:17" x14ac:dyDescent="0.25">
      <c r="A180" s="75" t="s">
        <v>56</v>
      </c>
      <c r="B180" s="75" t="s">
        <v>87</v>
      </c>
      <c r="C180" s="75">
        <v>-58</v>
      </c>
      <c r="D180" s="75">
        <v>31.998999999999999</v>
      </c>
      <c r="E180" s="75">
        <v>0.1</v>
      </c>
      <c r="F180" s="75" t="s">
        <v>26</v>
      </c>
      <c r="G180" s="75" t="s">
        <v>26</v>
      </c>
      <c r="H180" s="75">
        <v>0</v>
      </c>
      <c r="I180" s="75">
        <v>0</v>
      </c>
      <c r="J180" s="75"/>
      <c r="K180" s="75">
        <v>0.22</v>
      </c>
      <c r="L180" s="75">
        <v>0</v>
      </c>
      <c r="M180" s="75">
        <v>0.17935751599999999</v>
      </c>
      <c r="N180" s="75">
        <v>0</v>
      </c>
      <c r="O180" s="90" t="str">
        <f>IF(VLOOKUP(UncLookup[[#This Row],[Item]],Items!$A$1:$F$43,2,FALSE)=0,"",VLOOKUP(UncLookup[[#This Row],[Item]],Items!$A$1:$F$43,2,FALSE))</f>
        <v/>
      </c>
      <c r="P180" s="90" t="str">
        <f>IF(VLOOKUP(UncLookup[[#This Row],[Item]],Items!$A$1:$F$43,3,FALSE)=0,"",VLOOKUP(UncLookup[[#This Row],[Item]],Items!$A$1:$F$43,3,FALSE))</f>
        <v/>
      </c>
      <c r="Q180" s="90" t="str">
        <f>IF(VLOOKUP(UncLookup[[#This Row],[Item]],Items!$A$1:$F$43,4,FALSE)=0,"",VLOOKUP(UncLookup[[#This Row],[Item]],Items!$A$1:$F$43,4,FALSE))</f>
        <v>S</v>
      </c>
    </row>
    <row r="181" spans="1:17" x14ac:dyDescent="0.25">
      <c r="A181" s="76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90" t="str">
        <f>IF(VLOOKUP(UncLookup[[#This Row],[Item]],Items!$A$1:$F$43,2,FALSE)=0,"",VLOOKUP(UncLookup[[#This Row],[Item]],Items!$A$1:$F$43,2,FALSE))</f>
        <v/>
      </c>
      <c r="P181" s="90" t="str">
        <f>IF(VLOOKUP(UncLookup[[#This Row],[Item]],Items!$A$1:$F$43,3,FALSE)=0,"",VLOOKUP(UncLookup[[#This Row],[Item]],Items!$A$1:$F$43,3,FALSE))</f>
        <v/>
      </c>
      <c r="Q181" s="90" t="str">
        <f>IF(VLOOKUP(UncLookup[[#This Row],[Item]],Items!$A$1:$F$43,4,FALSE)=0,"",VLOOKUP(UncLookup[[#This Row],[Item]],Items!$A$1:$F$43,4,FALSE))</f>
        <v>S</v>
      </c>
    </row>
    <row r="182" spans="1:17" x14ac:dyDescent="0.25">
      <c r="A182" s="75" t="s">
        <v>56</v>
      </c>
      <c r="B182" s="75" t="s">
        <v>87</v>
      </c>
      <c r="C182" s="75">
        <v>32</v>
      </c>
      <c r="D182" s="75">
        <v>1100</v>
      </c>
      <c r="E182" s="75">
        <v>0.1</v>
      </c>
      <c r="F182" s="75" t="s">
        <v>26</v>
      </c>
      <c r="G182" s="75" t="s">
        <v>26</v>
      </c>
      <c r="H182" s="75">
        <v>0</v>
      </c>
      <c r="I182" s="75">
        <v>0</v>
      </c>
      <c r="J182" s="75"/>
      <c r="K182" s="75">
        <v>0.18</v>
      </c>
      <c r="L182" s="75">
        <v>0</v>
      </c>
      <c r="M182" s="75">
        <v>0.12667225100000001</v>
      </c>
      <c r="N182" s="75">
        <v>0</v>
      </c>
      <c r="O182" s="90" t="str">
        <f>IF(VLOOKUP(UncLookup[[#This Row],[Item]],Items!$A$1:$F$43,2,FALSE)=0,"",VLOOKUP(UncLookup[[#This Row],[Item]],Items!$A$1:$F$43,2,FALSE))</f>
        <v/>
      </c>
      <c r="P182" s="90" t="str">
        <f>IF(VLOOKUP(UncLookup[[#This Row],[Item]],Items!$A$1:$F$43,3,FALSE)=0,"",VLOOKUP(UncLookup[[#This Row],[Item]],Items!$A$1:$F$43,3,FALSE))</f>
        <v/>
      </c>
      <c r="Q182" s="90" t="str">
        <f>IF(VLOOKUP(UncLookup[[#This Row],[Item]],Items!$A$1:$F$43,4,FALSE)=0,"",VLOOKUP(UncLookup[[#This Row],[Item]],Items!$A$1:$F$43,4,FALSE))</f>
        <v>S</v>
      </c>
    </row>
    <row r="183" spans="1:17" x14ac:dyDescent="0.25">
      <c r="A183" s="76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90" t="str">
        <f>IF(VLOOKUP(UncLookup[[#This Row],[Item]],Items!$A$1:$F$43,2,FALSE)=0,"",VLOOKUP(UncLookup[[#This Row],[Item]],Items!$A$1:$F$43,2,FALSE))</f>
        <v/>
      </c>
      <c r="P183" s="90" t="str">
        <f>IF(VLOOKUP(UncLookup[[#This Row],[Item]],Items!$A$1:$F$43,3,FALSE)=0,"",VLOOKUP(UncLookup[[#This Row],[Item]],Items!$A$1:$F$43,3,FALSE))</f>
        <v/>
      </c>
      <c r="Q183" s="90" t="str">
        <f>IF(VLOOKUP(UncLookup[[#This Row],[Item]],Items!$A$1:$F$43,4,FALSE)=0,"",VLOOKUP(UncLookup[[#This Row],[Item]],Items!$A$1:$F$43,4,FALSE))</f>
        <v>S</v>
      </c>
    </row>
    <row r="184" spans="1:17" x14ac:dyDescent="0.25">
      <c r="A184" s="75" t="s">
        <v>56</v>
      </c>
      <c r="B184" s="75" t="s">
        <v>87</v>
      </c>
      <c r="C184" s="75">
        <v>1100.001</v>
      </c>
      <c r="D184" s="75">
        <v>2200</v>
      </c>
      <c r="E184" s="75">
        <v>0.1</v>
      </c>
      <c r="F184" s="75" t="s">
        <v>26</v>
      </c>
      <c r="G184" s="75" t="s">
        <v>26</v>
      </c>
      <c r="H184" s="75">
        <v>0</v>
      </c>
      <c r="I184" s="75">
        <v>0</v>
      </c>
      <c r="J184" s="75"/>
      <c r="K184" s="75">
        <v>0.17</v>
      </c>
      <c r="L184" s="75">
        <v>0</v>
      </c>
      <c r="M184" s="75">
        <v>0.105713381</v>
      </c>
      <c r="N184" s="75">
        <v>0</v>
      </c>
      <c r="O184" s="90" t="str">
        <f>IF(VLOOKUP(UncLookup[[#This Row],[Item]],Items!$A$1:$F$43,2,FALSE)=0,"",VLOOKUP(UncLookup[[#This Row],[Item]],Items!$A$1:$F$43,2,FALSE))</f>
        <v/>
      </c>
      <c r="P184" s="90" t="str">
        <f>IF(VLOOKUP(UncLookup[[#This Row],[Item]],Items!$A$1:$F$43,3,FALSE)=0,"",VLOOKUP(UncLookup[[#This Row],[Item]],Items!$A$1:$F$43,3,FALSE))</f>
        <v/>
      </c>
      <c r="Q184" s="90" t="str">
        <f>IF(VLOOKUP(UncLookup[[#This Row],[Item]],Items!$A$1:$F$43,4,FALSE)=0,"",VLOOKUP(UncLookup[[#This Row],[Item]],Items!$A$1:$F$43,4,FALSE))</f>
        <v>S</v>
      </c>
    </row>
    <row r="185" spans="1:17" x14ac:dyDescent="0.25">
      <c r="A185" s="76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90" t="str">
        <f>IF(VLOOKUP(UncLookup[[#This Row],[Item]],Items!$A$1:$F$43,2,FALSE)=0,"",VLOOKUP(UncLookup[[#This Row],[Item]],Items!$A$1:$F$43,2,FALSE))</f>
        <v/>
      </c>
      <c r="P185" s="90" t="str">
        <f>IF(VLOOKUP(UncLookup[[#This Row],[Item]],Items!$A$1:$F$43,3,FALSE)=0,"",VLOOKUP(UncLookup[[#This Row],[Item]],Items!$A$1:$F$43,3,FALSE))</f>
        <v/>
      </c>
      <c r="Q185" s="90" t="str">
        <f>IF(VLOOKUP(UncLookup[[#This Row],[Item]],Items!$A$1:$F$43,4,FALSE)=0,"",VLOOKUP(UncLookup[[#This Row],[Item]],Items!$A$1:$F$43,4,FALSE))</f>
        <v>S</v>
      </c>
    </row>
    <row r="186" spans="1:17" x14ac:dyDescent="0.25">
      <c r="A186" s="75" t="s">
        <v>56</v>
      </c>
      <c r="B186" s="75" t="s">
        <v>87</v>
      </c>
      <c r="C186" s="75">
        <v>2200.0010000000002</v>
      </c>
      <c r="D186" s="75">
        <v>3214</v>
      </c>
      <c r="E186" s="75">
        <v>0.1</v>
      </c>
      <c r="F186" s="75" t="s">
        <v>26</v>
      </c>
      <c r="G186" s="75" t="s">
        <v>26</v>
      </c>
      <c r="H186" s="75">
        <v>0</v>
      </c>
      <c r="I186" s="75">
        <v>0</v>
      </c>
      <c r="J186" s="75"/>
      <c r="K186" s="75">
        <v>0.17</v>
      </c>
      <c r="L186" s="75">
        <v>0</v>
      </c>
      <c r="M186" s="75">
        <v>0.122419896</v>
      </c>
      <c r="N186" s="75">
        <v>0</v>
      </c>
      <c r="O186" s="90" t="str">
        <f>IF(VLOOKUP(UncLookup[[#This Row],[Item]],Items!$A$1:$F$43,2,FALSE)=0,"",VLOOKUP(UncLookup[[#This Row],[Item]],Items!$A$1:$F$43,2,FALSE))</f>
        <v/>
      </c>
      <c r="P186" s="90" t="str">
        <f>IF(VLOOKUP(UncLookup[[#This Row],[Item]],Items!$A$1:$F$43,3,FALSE)=0,"",VLOOKUP(UncLookup[[#This Row],[Item]],Items!$A$1:$F$43,3,FALSE))</f>
        <v/>
      </c>
      <c r="Q186" s="90" t="str">
        <f>IF(VLOOKUP(UncLookup[[#This Row],[Item]],Items!$A$1:$F$43,4,FALSE)=0,"",VLOOKUP(UncLookup[[#This Row],[Item]],Items!$A$1:$F$43,4,FALSE))</f>
        <v>S</v>
      </c>
    </row>
    <row r="187" spans="1:17" x14ac:dyDescent="0.25">
      <c r="A187" s="76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90" t="str">
        <f>IF(VLOOKUP(UncLookup[[#This Row],[Item]],Items!$A$1:$F$43,2,FALSE)=0,"",VLOOKUP(UncLookup[[#This Row],[Item]],Items!$A$1:$F$43,2,FALSE))</f>
        <v/>
      </c>
      <c r="P187" s="90" t="str">
        <f>IF(VLOOKUP(UncLookup[[#This Row],[Item]],Items!$A$1:$F$43,3,FALSE)=0,"",VLOOKUP(UncLookup[[#This Row],[Item]],Items!$A$1:$F$43,3,FALSE))</f>
        <v/>
      </c>
      <c r="Q187" s="90" t="str">
        <f>IF(VLOOKUP(UncLookup[[#This Row],[Item]],Items!$A$1:$F$43,4,FALSE)=0,"",VLOOKUP(UncLookup[[#This Row],[Item]],Items!$A$1:$F$43,4,FALSE))</f>
        <v>S</v>
      </c>
    </row>
    <row r="188" spans="1:17" x14ac:dyDescent="0.25">
      <c r="A188" s="75" t="s">
        <v>56</v>
      </c>
      <c r="B188" s="75" t="s">
        <v>86</v>
      </c>
      <c r="C188" s="75">
        <v>-58</v>
      </c>
      <c r="D188" s="75">
        <v>31.998999999999999</v>
      </c>
      <c r="E188" s="75">
        <v>0.1</v>
      </c>
      <c r="F188" s="75" t="s">
        <v>26</v>
      </c>
      <c r="G188" s="75" t="s">
        <v>26</v>
      </c>
      <c r="H188" s="75">
        <v>0</v>
      </c>
      <c r="I188" s="75">
        <v>0</v>
      </c>
      <c r="J188" s="75"/>
      <c r="K188" s="75">
        <v>0.26</v>
      </c>
      <c r="L188" s="75">
        <v>0</v>
      </c>
      <c r="M188" s="75">
        <v>0.22214629799999999</v>
      </c>
      <c r="N188" s="75">
        <v>0</v>
      </c>
      <c r="O188" s="90" t="str">
        <f>IF(VLOOKUP(UncLookup[[#This Row],[Item]],Items!$A$1:$F$43,2,FALSE)=0,"",VLOOKUP(UncLookup[[#This Row],[Item]],Items!$A$1:$F$43,2,FALSE))</f>
        <v/>
      </c>
      <c r="P188" s="90" t="str">
        <f>IF(VLOOKUP(UncLookup[[#This Row],[Item]],Items!$A$1:$F$43,3,FALSE)=0,"",VLOOKUP(UncLookup[[#This Row],[Item]],Items!$A$1:$F$43,3,FALSE))</f>
        <v/>
      </c>
      <c r="Q188" s="90" t="str">
        <f>IF(VLOOKUP(UncLookup[[#This Row],[Item]],Items!$A$1:$F$43,4,FALSE)=0,"",VLOOKUP(UncLookup[[#This Row],[Item]],Items!$A$1:$F$43,4,FALSE))</f>
        <v>R</v>
      </c>
    </row>
    <row r="189" spans="1:17" x14ac:dyDescent="0.25">
      <c r="A189" s="76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90" t="str">
        <f>IF(VLOOKUP(UncLookup[[#This Row],[Item]],Items!$A$1:$F$43,2,FALSE)=0,"",VLOOKUP(UncLookup[[#This Row],[Item]],Items!$A$1:$F$43,2,FALSE))</f>
        <v/>
      </c>
      <c r="P189" s="90" t="str">
        <f>IF(VLOOKUP(UncLookup[[#This Row],[Item]],Items!$A$1:$F$43,3,FALSE)=0,"",VLOOKUP(UncLookup[[#This Row],[Item]],Items!$A$1:$F$43,3,FALSE))</f>
        <v/>
      </c>
      <c r="Q189" s="90" t="str">
        <f>IF(VLOOKUP(UncLookup[[#This Row],[Item]],Items!$A$1:$F$43,4,FALSE)=0,"",VLOOKUP(UncLookup[[#This Row],[Item]],Items!$A$1:$F$43,4,FALSE))</f>
        <v>R</v>
      </c>
    </row>
    <row r="190" spans="1:17" x14ac:dyDescent="0.25">
      <c r="A190" s="75" t="s">
        <v>56</v>
      </c>
      <c r="B190" s="75" t="s">
        <v>86</v>
      </c>
      <c r="C190" s="75">
        <v>32</v>
      </c>
      <c r="D190" s="75">
        <v>1100</v>
      </c>
      <c r="E190" s="75">
        <v>0.1</v>
      </c>
      <c r="F190" s="75" t="s">
        <v>26</v>
      </c>
      <c r="G190" s="75" t="s">
        <v>26</v>
      </c>
      <c r="H190" s="75">
        <v>0</v>
      </c>
      <c r="I190" s="75">
        <v>0</v>
      </c>
      <c r="J190" s="75"/>
      <c r="K190" s="75">
        <v>0.19</v>
      </c>
      <c r="L190" s="75">
        <v>0</v>
      </c>
      <c r="M190" s="75">
        <v>0.13897985700000001</v>
      </c>
      <c r="N190" s="75">
        <v>0</v>
      </c>
      <c r="O190" s="90" t="str">
        <f>IF(VLOOKUP(UncLookup[[#This Row],[Item]],Items!$A$1:$F$43,2,FALSE)=0,"",VLOOKUP(UncLookup[[#This Row],[Item]],Items!$A$1:$F$43,2,FALSE))</f>
        <v/>
      </c>
      <c r="P190" s="90" t="str">
        <f>IF(VLOOKUP(UncLookup[[#This Row],[Item]],Items!$A$1:$F$43,3,FALSE)=0,"",VLOOKUP(UncLookup[[#This Row],[Item]],Items!$A$1:$F$43,3,FALSE))</f>
        <v/>
      </c>
      <c r="Q190" s="90" t="str">
        <f>IF(VLOOKUP(UncLookup[[#This Row],[Item]],Items!$A$1:$F$43,4,FALSE)=0,"",VLOOKUP(UncLookup[[#This Row],[Item]],Items!$A$1:$F$43,4,FALSE))</f>
        <v>R</v>
      </c>
    </row>
    <row r="191" spans="1:17" x14ac:dyDescent="0.25">
      <c r="A191" s="76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90" t="str">
        <f>IF(VLOOKUP(UncLookup[[#This Row],[Item]],Items!$A$1:$F$43,2,FALSE)=0,"",VLOOKUP(UncLookup[[#This Row],[Item]],Items!$A$1:$F$43,2,FALSE))</f>
        <v/>
      </c>
      <c r="P191" s="90" t="str">
        <f>IF(VLOOKUP(UncLookup[[#This Row],[Item]],Items!$A$1:$F$43,3,FALSE)=0,"",VLOOKUP(UncLookup[[#This Row],[Item]],Items!$A$1:$F$43,3,FALSE))</f>
        <v/>
      </c>
      <c r="Q191" s="90" t="str">
        <f>IF(VLOOKUP(UncLookup[[#This Row],[Item]],Items!$A$1:$F$43,4,FALSE)=0,"",VLOOKUP(UncLookup[[#This Row],[Item]],Items!$A$1:$F$43,4,FALSE))</f>
        <v>R</v>
      </c>
    </row>
    <row r="192" spans="1:17" x14ac:dyDescent="0.25">
      <c r="A192" s="75" t="s">
        <v>56</v>
      </c>
      <c r="B192" s="75" t="s">
        <v>86</v>
      </c>
      <c r="C192" s="75">
        <v>1100.001</v>
      </c>
      <c r="D192" s="75">
        <v>2200</v>
      </c>
      <c r="E192" s="75">
        <v>0.1</v>
      </c>
      <c r="F192" s="75" t="s">
        <v>26</v>
      </c>
      <c r="G192" s="75" t="s">
        <v>26</v>
      </c>
      <c r="H192" s="75">
        <v>0</v>
      </c>
      <c r="I192" s="75">
        <v>0</v>
      </c>
      <c r="J192" s="75"/>
      <c r="K192" s="75">
        <v>0.16</v>
      </c>
      <c r="L192" s="75">
        <v>0</v>
      </c>
      <c r="M192" s="75">
        <v>0.105713381</v>
      </c>
      <c r="N192" s="75">
        <v>0</v>
      </c>
      <c r="O192" s="90" t="str">
        <f>IF(VLOOKUP(UncLookup[[#This Row],[Item]],Items!$A$1:$F$43,2,FALSE)=0,"",VLOOKUP(UncLookup[[#This Row],[Item]],Items!$A$1:$F$43,2,FALSE))</f>
        <v/>
      </c>
      <c r="P192" s="90" t="str">
        <f>IF(VLOOKUP(UncLookup[[#This Row],[Item]],Items!$A$1:$F$43,3,FALSE)=0,"",VLOOKUP(UncLookup[[#This Row],[Item]],Items!$A$1:$F$43,3,FALSE))</f>
        <v/>
      </c>
      <c r="Q192" s="90" t="str">
        <f>IF(VLOOKUP(UncLookup[[#This Row],[Item]],Items!$A$1:$F$43,4,FALSE)=0,"",VLOOKUP(UncLookup[[#This Row],[Item]],Items!$A$1:$F$43,4,FALSE))</f>
        <v>R</v>
      </c>
    </row>
    <row r="193" spans="1:17" x14ac:dyDescent="0.25">
      <c r="A193" s="76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90" t="str">
        <f>IF(VLOOKUP(UncLookup[[#This Row],[Item]],Items!$A$1:$F$43,2,FALSE)=0,"",VLOOKUP(UncLookup[[#This Row],[Item]],Items!$A$1:$F$43,2,FALSE))</f>
        <v/>
      </c>
      <c r="P193" s="90" t="str">
        <f>IF(VLOOKUP(UncLookup[[#This Row],[Item]],Items!$A$1:$F$43,3,FALSE)=0,"",VLOOKUP(UncLookup[[#This Row],[Item]],Items!$A$1:$F$43,3,FALSE))</f>
        <v/>
      </c>
      <c r="Q193" s="90" t="str">
        <f>IF(VLOOKUP(UncLookup[[#This Row],[Item]],Items!$A$1:$F$43,4,FALSE)=0,"",VLOOKUP(UncLookup[[#This Row],[Item]],Items!$A$1:$F$43,4,FALSE))</f>
        <v>R</v>
      </c>
    </row>
    <row r="194" spans="1:17" x14ac:dyDescent="0.25">
      <c r="A194" s="75" t="s">
        <v>56</v>
      </c>
      <c r="B194" s="75" t="s">
        <v>86</v>
      </c>
      <c r="C194" s="75">
        <v>2200.0010000000002</v>
      </c>
      <c r="D194" s="75">
        <v>3214</v>
      </c>
      <c r="E194" s="75">
        <v>0.1</v>
      </c>
      <c r="F194" s="75" t="s">
        <v>26</v>
      </c>
      <c r="G194" s="75" t="s">
        <v>26</v>
      </c>
      <c r="H194" s="75">
        <v>0</v>
      </c>
      <c r="I194" s="75">
        <v>0</v>
      </c>
      <c r="J194" s="75"/>
      <c r="K194" s="75">
        <v>0.17</v>
      </c>
      <c r="L194" s="75">
        <v>0</v>
      </c>
      <c r="M194" s="75">
        <v>0.122419896</v>
      </c>
      <c r="N194" s="75">
        <v>0</v>
      </c>
      <c r="O194" s="90" t="str">
        <f>IF(VLOOKUP(UncLookup[[#This Row],[Item]],Items!$A$1:$F$43,2,FALSE)=0,"",VLOOKUP(UncLookup[[#This Row],[Item]],Items!$A$1:$F$43,2,FALSE))</f>
        <v/>
      </c>
      <c r="P194" s="90" t="str">
        <f>IF(VLOOKUP(UncLookup[[#This Row],[Item]],Items!$A$1:$F$43,3,FALSE)=0,"",VLOOKUP(UncLookup[[#This Row],[Item]],Items!$A$1:$F$43,3,FALSE))</f>
        <v/>
      </c>
      <c r="Q194" s="90" t="str">
        <f>IF(VLOOKUP(UncLookup[[#This Row],[Item]],Items!$A$1:$F$43,4,FALSE)=0,"",VLOOKUP(UncLookup[[#This Row],[Item]],Items!$A$1:$F$43,4,FALSE))</f>
        <v>R</v>
      </c>
    </row>
    <row r="195" spans="1:17" x14ac:dyDescent="0.25">
      <c r="A195" s="76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90" t="str">
        <f>IF(VLOOKUP(UncLookup[[#This Row],[Item]],Items!$A$1:$F$43,2,FALSE)=0,"",VLOOKUP(UncLookup[[#This Row],[Item]],Items!$A$1:$F$43,2,FALSE))</f>
        <v/>
      </c>
      <c r="P195" s="90" t="str">
        <f>IF(VLOOKUP(UncLookup[[#This Row],[Item]],Items!$A$1:$F$43,3,FALSE)=0,"",VLOOKUP(UncLookup[[#This Row],[Item]],Items!$A$1:$F$43,3,FALSE))</f>
        <v/>
      </c>
      <c r="Q195" s="90" t="str">
        <f>IF(VLOOKUP(UncLookup[[#This Row],[Item]],Items!$A$1:$F$43,4,FALSE)=0,"",VLOOKUP(UncLookup[[#This Row],[Item]],Items!$A$1:$F$43,4,FALSE))</f>
        <v>R</v>
      </c>
    </row>
    <row r="196" spans="1:17" x14ac:dyDescent="0.25">
      <c r="A196" s="75" t="s">
        <v>56</v>
      </c>
      <c r="B196" s="75" t="s">
        <v>90</v>
      </c>
      <c r="C196" s="75">
        <v>-320</v>
      </c>
      <c r="D196" s="75">
        <v>32</v>
      </c>
      <c r="E196" s="75">
        <v>0.01</v>
      </c>
      <c r="F196" s="75" t="s">
        <v>26</v>
      </c>
      <c r="G196" s="75" t="s">
        <v>26</v>
      </c>
      <c r="H196" s="75">
        <v>0</v>
      </c>
      <c r="I196" s="75">
        <v>0</v>
      </c>
      <c r="J196" s="75"/>
      <c r="K196" s="75">
        <v>9.049797E-3</v>
      </c>
      <c r="L196" s="75">
        <v>0</v>
      </c>
      <c r="M196" s="75">
        <v>8.0620870000000008E-3</v>
      </c>
      <c r="N196" s="75">
        <v>0</v>
      </c>
      <c r="O196" s="90" t="str">
        <f>IF(VLOOKUP(UncLookup[[#This Row],[Item]],Items!$A$1:$F$43,2,FALSE)=0,"",VLOOKUP(UncLookup[[#This Row],[Item]],Items!$A$1:$F$43,2,FALSE))</f>
        <v/>
      </c>
      <c r="P196" s="90" t="str">
        <f>IF(VLOOKUP(UncLookup[[#This Row],[Item]],Items!$A$1:$F$43,3,FALSE)=0,"",VLOOKUP(UncLookup[[#This Row],[Item]],Items!$A$1:$F$43,3,FALSE))</f>
        <v/>
      </c>
      <c r="Q196" s="90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76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90" t="str">
        <f>IF(VLOOKUP(UncLookup[[#This Row],[Item]],Items!$A$1:$F$43,2,FALSE)=0,"",VLOOKUP(UncLookup[[#This Row],[Item]],Items!$A$1:$F$43,2,FALSE))</f>
        <v/>
      </c>
      <c r="P197" s="90" t="str">
        <f>IF(VLOOKUP(UncLookup[[#This Row],[Item]],Items!$A$1:$F$43,3,FALSE)=0,"",VLOOKUP(UncLookup[[#This Row],[Item]],Items!$A$1:$F$43,3,FALSE))</f>
        <v/>
      </c>
      <c r="Q197" s="90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5" t="s">
        <v>56</v>
      </c>
      <c r="B198" s="75" t="s">
        <v>90</v>
      </c>
      <c r="C198" s="75">
        <v>-320</v>
      </c>
      <c r="D198" s="75">
        <v>32</v>
      </c>
      <c r="E198" s="75">
        <v>1</v>
      </c>
      <c r="F198" s="75" t="s">
        <v>26</v>
      </c>
      <c r="G198" s="75" t="s">
        <v>26</v>
      </c>
      <c r="H198" s="75">
        <v>0</v>
      </c>
      <c r="I198" s="75">
        <v>0</v>
      </c>
      <c r="J198" s="75"/>
      <c r="K198" s="75">
        <v>0.57761182700000002</v>
      </c>
      <c r="L198" s="75">
        <v>0</v>
      </c>
      <c r="M198" s="75">
        <v>0.57737769000000005</v>
      </c>
      <c r="N198" s="75">
        <v>0</v>
      </c>
      <c r="O198" s="90" t="str">
        <f>IF(VLOOKUP(UncLookup[[#This Row],[Item]],Items!$A$1:$F$43,2,FALSE)=0,"",VLOOKUP(UncLookup[[#This Row],[Item]],Items!$A$1:$F$43,2,FALSE))</f>
        <v/>
      </c>
      <c r="P198" s="90" t="str">
        <f>IF(VLOOKUP(UncLookup[[#This Row],[Item]],Items!$A$1:$F$43,3,FALSE)=0,"",VLOOKUP(UncLookup[[#This Row],[Item]],Items!$A$1:$F$43,3,FALSE))</f>
        <v/>
      </c>
      <c r="Q198" s="90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76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90" t="str">
        <f>IF(VLOOKUP(UncLookup[[#This Row],[Item]],Items!$A$1:$F$43,2,FALSE)=0,"",VLOOKUP(UncLookup[[#This Row],[Item]],Items!$A$1:$F$43,2,FALSE))</f>
        <v/>
      </c>
      <c r="P199" s="90" t="str">
        <f>IF(VLOOKUP(UncLookup[[#This Row],[Item]],Items!$A$1:$F$43,3,FALSE)=0,"",VLOOKUP(UncLookup[[#This Row],[Item]],Items!$A$1:$F$43,3,FALSE))</f>
        <v/>
      </c>
      <c r="Q199" s="90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5" t="s">
        <v>56</v>
      </c>
      <c r="B200" s="75" t="s">
        <v>90</v>
      </c>
      <c r="C200" s="75">
        <v>32.000999999999998</v>
      </c>
      <c r="D200" s="75">
        <v>400</v>
      </c>
      <c r="E200" s="75">
        <v>0.1</v>
      </c>
      <c r="F200" s="75" t="s">
        <v>26</v>
      </c>
      <c r="G200" s="75" t="s">
        <v>26</v>
      </c>
      <c r="H200" s="75">
        <v>0</v>
      </c>
      <c r="I200" s="75">
        <v>0</v>
      </c>
      <c r="J200" s="75"/>
      <c r="K200" s="75">
        <v>5.9981477999999998E-2</v>
      </c>
      <c r="L200" s="75">
        <v>0</v>
      </c>
      <c r="M200" s="75">
        <v>5.9239132999999999E-2</v>
      </c>
      <c r="N200" s="75">
        <v>0</v>
      </c>
      <c r="O200" s="90" t="str">
        <f>IF(VLOOKUP(UncLookup[[#This Row],[Item]],Items!$A$1:$F$43,2,FALSE)=0,"",VLOOKUP(UncLookup[[#This Row],[Item]],Items!$A$1:$F$43,2,FALSE))</f>
        <v/>
      </c>
      <c r="P200" s="90" t="str">
        <f>IF(VLOOKUP(UncLookup[[#This Row],[Item]],Items!$A$1:$F$43,3,FALSE)=0,"",VLOOKUP(UncLookup[[#This Row],[Item]],Items!$A$1:$F$43,3,FALSE))</f>
        <v/>
      </c>
      <c r="Q200" s="90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76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90" t="str">
        <f>IF(VLOOKUP(UncLookup[[#This Row],[Item]],Items!$A$1:$F$43,2,FALSE)=0,"",VLOOKUP(UncLookup[[#This Row],[Item]],Items!$A$1:$F$43,2,FALSE))</f>
        <v/>
      </c>
      <c r="P201" s="90" t="str">
        <f>IF(VLOOKUP(UncLookup[[#This Row],[Item]],Items!$A$1:$F$43,3,FALSE)=0,"",VLOOKUP(UncLookup[[#This Row],[Item]],Items!$A$1:$F$43,3,FALSE))</f>
        <v/>
      </c>
      <c r="Q201" s="90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5" t="s">
        <v>56</v>
      </c>
      <c r="B202" s="75" t="s">
        <v>90</v>
      </c>
      <c r="C202" s="75">
        <v>400.00099999999998</v>
      </c>
      <c r="D202" s="75">
        <v>800</v>
      </c>
      <c r="E202" s="75">
        <v>0.01</v>
      </c>
      <c r="F202" s="75" t="s">
        <v>26</v>
      </c>
      <c r="G202" s="75" t="s">
        <v>26</v>
      </c>
      <c r="H202" s="75">
        <v>0</v>
      </c>
      <c r="I202" s="75">
        <v>0</v>
      </c>
      <c r="J202" s="75"/>
      <c r="K202" s="75">
        <v>0.02</v>
      </c>
      <c r="L202" s="75">
        <v>0</v>
      </c>
      <c r="M202" s="75">
        <v>1.8758799E-2</v>
      </c>
      <c r="N202" s="75">
        <v>0</v>
      </c>
      <c r="O202" s="90" t="str">
        <f>IF(VLOOKUP(UncLookup[[#This Row],[Item]],Items!$A$1:$F$43,2,FALSE)=0,"",VLOOKUP(UncLookup[[#This Row],[Item]],Items!$A$1:$F$43,2,FALSE))</f>
        <v/>
      </c>
      <c r="P202" s="90" t="str">
        <f>IF(VLOOKUP(UncLookup[[#This Row],[Item]],Items!$A$1:$F$43,3,FALSE)=0,"",VLOOKUP(UncLookup[[#This Row],[Item]],Items!$A$1:$F$43,3,FALSE))</f>
        <v/>
      </c>
      <c r="Q202" s="90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76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90" t="str">
        <f>IF(VLOOKUP(UncLookup[[#This Row],[Item]],Items!$A$1:$F$43,2,FALSE)=0,"",VLOOKUP(UncLookup[[#This Row],[Item]],Items!$A$1:$F$43,2,FALSE))</f>
        <v/>
      </c>
      <c r="P203" s="90" t="str">
        <f>IF(VLOOKUP(UncLookup[[#This Row],[Item]],Items!$A$1:$F$43,3,FALSE)=0,"",VLOOKUP(UncLookup[[#This Row],[Item]],Items!$A$1:$F$43,3,FALSE))</f>
        <v/>
      </c>
      <c r="Q203" s="90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5" t="s">
        <v>56</v>
      </c>
      <c r="B204" s="75" t="s">
        <v>90</v>
      </c>
      <c r="C204" s="75">
        <v>400.00099999999998</v>
      </c>
      <c r="D204" s="75">
        <v>800</v>
      </c>
      <c r="E204" s="75">
        <v>1</v>
      </c>
      <c r="F204" s="75" t="s">
        <v>26</v>
      </c>
      <c r="G204" s="75" t="s">
        <v>26</v>
      </c>
      <c r="H204" s="75">
        <v>0</v>
      </c>
      <c r="I204" s="75">
        <v>0</v>
      </c>
      <c r="J204" s="75"/>
      <c r="K204" s="75">
        <v>0.57793243900000002</v>
      </c>
      <c r="L204" s="75">
        <v>0</v>
      </c>
      <c r="M204" s="75">
        <v>0.57762608400000004</v>
      </c>
      <c r="N204" s="75">
        <v>0</v>
      </c>
      <c r="O204" s="90" t="str">
        <f>IF(VLOOKUP(UncLookup[[#This Row],[Item]],Items!$A$1:$F$43,2,FALSE)=0,"",VLOOKUP(UncLookup[[#This Row],[Item]],Items!$A$1:$F$43,2,FALSE))</f>
        <v/>
      </c>
      <c r="P204" s="90" t="str">
        <f>IF(VLOOKUP(UncLookup[[#This Row],[Item]],Items!$A$1:$F$43,3,FALSE)=0,"",VLOOKUP(UncLookup[[#This Row],[Item]],Items!$A$1:$F$43,3,FALSE))</f>
        <v/>
      </c>
      <c r="Q204" s="90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76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90" t="str">
        <f>IF(VLOOKUP(UncLookup[[#This Row],[Item]],Items!$A$1:$F$43,2,FALSE)=0,"",VLOOKUP(UncLookup[[#This Row],[Item]],Items!$A$1:$F$43,2,FALSE))</f>
        <v/>
      </c>
      <c r="P205" s="90" t="str">
        <f>IF(VLOOKUP(UncLookup[[#This Row],[Item]],Items!$A$1:$F$43,3,FALSE)=0,"",VLOOKUP(UncLookup[[#This Row],[Item]],Items!$A$1:$F$43,3,FALSE))</f>
        <v/>
      </c>
      <c r="Q205" s="90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5" t="s">
        <v>56</v>
      </c>
      <c r="B206" s="75" t="s">
        <v>90</v>
      </c>
      <c r="C206" s="75">
        <v>800.00099999999998</v>
      </c>
      <c r="D206" s="75">
        <v>1200</v>
      </c>
      <c r="E206" s="75">
        <v>0.1</v>
      </c>
      <c r="F206" s="75" t="s">
        <v>26</v>
      </c>
      <c r="G206" s="75" t="s">
        <v>26</v>
      </c>
      <c r="H206" s="75">
        <v>0</v>
      </c>
      <c r="I206" s="75">
        <v>0</v>
      </c>
      <c r="J206" s="75"/>
      <c r="K206" s="75">
        <v>6.4958135E-2</v>
      </c>
      <c r="L206" s="75">
        <v>0</v>
      </c>
      <c r="M206" s="75">
        <v>6.3017930999999999E-2</v>
      </c>
      <c r="N206" s="75">
        <v>0</v>
      </c>
      <c r="O206" s="90" t="str">
        <f>IF(VLOOKUP(UncLookup[[#This Row],[Item]],Items!$A$1:$F$43,2,FALSE)=0,"",VLOOKUP(UncLookup[[#This Row],[Item]],Items!$A$1:$F$43,2,FALSE))</f>
        <v/>
      </c>
      <c r="P206" s="90" t="str">
        <f>IF(VLOOKUP(UncLookup[[#This Row],[Item]],Items!$A$1:$F$43,3,FALSE)=0,"",VLOOKUP(UncLookup[[#This Row],[Item]],Items!$A$1:$F$43,3,FALSE))</f>
        <v/>
      </c>
      <c r="Q206" s="90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76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90" t="str">
        <f>IF(VLOOKUP(UncLookup[[#This Row],[Item]],Items!$A$1:$F$43,2,FALSE)=0,"",VLOOKUP(UncLookup[[#This Row],[Item]],Items!$A$1:$F$43,2,FALSE))</f>
        <v/>
      </c>
      <c r="P207" s="90" t="str">
        <f>IF(VLOOKUP(UncLookup[[#This Row],[Item]],Items!$A$1:$F$43,3,FALSE)=0,"",VLOOKUP(UncLookup[[#This Row],[Item]],Items!$A$1:$F$43,3,FALSE))</f>
        <v/>
      </c>
      <c r="Q207" s="90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5" t="s">
        <v>56</v>
      </c>
      <c r="B208" s="75" t="s">
        <v>90</v>
      </c>
      <c r="C208" s="75">
        <v>1200.001</v>
      </c>
      <c r="D208" s="75">
        <v>1562</v>
      </c>
      <c r="E208" s="75">
        <v>0.01</v>
      </c>
      <c r="F208" s="75" t="s">
        <v>26</v>
      </c>
      <c r="G208" s="75" t="s">
        <v>26</v>
      </c>
      <c r="H208" s="75">
        <v>0</v>
      </c>
      <c r="I208" s="75">
        <v>0</v>
      </c>
      <c r="J208" s="75"/>
      <c r="K208" s="75">
        <v>3.3168701000000002E-2</v>
      </c>
      <c r="L208" s="75">
        <v>0</v>
      </c>
      <c r="M208" s="75">
        <v>3.2593935999999997E-2</v>
      </c>
      <c r="N208" s="75">
        <v>0</v>
      </c>
      <c r="O208" s="90" t="str">
        <f>IF(VLOOKUP(UncLookup[[#This Row],[Item]],Items!$A$1:$F$43,2,FALSE)=0,"",VLOOKUP(UncLookup[[#This Row],[Item]],Items!$A$1:$F$43,2,FALSE))</f>
        <v/>
      </c>
      <c r="P208" s="90" t="str">
        <f>IF(VLOOKUP(UncLookup[[#This Row],[Item]],Items!$A$1:$F$43,3,FALSE)=0,"",VLOOKUP(UncLookup[[#This Row],[Item]],Items!$A$1:$F$43,3,FALSE))</f>
        <v/>
      </c>
      <c r="Q208" s="90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76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90" t="str">
        <f>IF(VLOOKUP(UncLookup[[#This Row],[Item]],Items!$A$1:$F$43,2,FALSE)=0,"",VLOOKUP(UncLookup[[#This Row],[Item]],Items!$A$1:$F$43,2,FALSE))</f>
        <v/>
      </c>
      <c r="P209" s="90" t="str">
        <f>IF(VLOOKUP(UncLookup[[#This Row],[Item]],Items!$A$1:$F$43,3,FALSE)=0,"",VLOOKUP(UncLookup[[#This Row],[Item]],Items!$A$1:$F$43,3,FALSE))</f>
        <v/>
      </c>
      <c r="Q209" s="90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5" t="s">
        <v>56</v>
      </c>
      <c r="B210" s="75" t="s">
        <v>90</v>
      </c>
      <c r="C210" s="75">
        <v>1200.001</v>
      </c>
      <c r="D210" s="75">
        <v>1562</v>
      </c>
      <c r="E210" s="75">
        <v>1</v>
      </c>
      <c r="F210" s="75" t="s">
        <v>26</v>
      </c>
      <c r="G210" s="75" t="s">
        <v>26</v>
      </c>
      <c r="H210" s="75">
        <v>0</v>
      </c>
      <c r="I210" s="75">
        <v>0</v>
      </c>
      <c r="J210" s="75"/>
      <c r="K210" s="75">
        <v>0.57876345299999998</v>
      </c>
      <c r="L210" s="75">
        <v>0</v>
      </c>
      <c r="M210" s="75">
        <v>0.57824074999999997</v>
      </c>
      <c r="N210" s="75">
        <v>0</v>
      </c>
      <c r="O210" s="90" t="str">
        <f>IF(VLOOKUP(UncLookup[[#This Row],[Item]],Items!$A$1:$F$43,2,FALSE)=0,"",VLOOKUP(UncLookup[[#This Row],[Item]],Items!$A$1:$F$43,2,FALSE))</f>
        <v/>
      </c>
      <c r="P210" s="90" t="str">
        <f>IF(VLOOKUP(UncLookup[[#This Row],[Item]],Items!$A$1:$F$43,3,FALSE)=0,"",VLOOKUP(UncLookup[[#This Row],[Item]],Items!$A$1:$F$43,3,FALSE))</f>
        <v/>
      </c>
      <c r="Q210" s="90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76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90" t="str">
        <f>IF(VLOOKUP(UncLookup[[#This Row],[Item]],Items!$A$1:$F$43,2,FALSE)=0,"",VLOOKUP(UncLookup[[#This Row],[Item]],Items!$A$1:$F$43,2,FALSE))</f>
        <v/>
      </c>
      <c r="P211" s="90" t="str">
        <f>IF(VLOOKUP(UncLookup[[#This Row],[Item]],Items!$A$1:$F$43,3,FALSE)=0,"",VLOOKUP(UncLookup[[#This Row],[Item]],Items!$A$1:$F$43,3,FALSE))</f>
        <v/>
      </c>
      <c r="Q211" s="90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5" t="s">
        <v>56</v>
      </c>
      <c r="B212" s="75" t="s">
        <v>89</v>
      </c>
      <c r="C212" s="75">
        <v>-320</v>
      </c>
      <c r="D212" s="75">
        <v>32</v>
      </c>
      <c r="E212" s="75">
        <v>0.1</v>
      </c>
      <c r="F212" s="75" t="s">
        <v>26</v>
      </c>
      <c r="G212" s="75" t="s">
        <v>26</v>
      </c>
      <c r="H212" s="75">
        <v>0</v>
      </c>
      <c r="I212" s="75">
        <v>0</v>
      </c>
      <c r="J212" s="75"/>
      <c r="K212" s="75">
        <v>5.9935600999999998E-2</v>
      </c>
      <c r="L212" s="75">
        <v>0</v>
      </c>
      <c r="M212" s="75">
        <v>5.8429797999999998E-2</v>
      </c>
      <c r="N212" s="75">
        <v>0</v>
      </c>
      <c r="O212" s="90" t="str">
        <f>IF(VLOOKUP(UncLookup[[#This Row],[Item]],Items!$A$1:$F$43,2,FALSE)=0,"",VLOOKUP(UncLookup[[#This Row],[Item]],Items!$A$1:$F$43,2,FALSE))</f>
        <v/>
      </c>
      <c r="P212" s="90" t="str">
        <f>IF(VLOOKUP(UncLookup[[#This Row],[Item]],Items!$A$1:$F$43,3,FALSE)=0,"",VLOOKUP(UncLookup[[#This Row],[Item]],Items!$A$1:$F$43,3,FALSE))</f>
        <v/>
      </c>
      <c r="Q212" s="90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76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90" t="str">
        <f>IF(VLOOKUP(UncLookup[[#This Row],[Item]],Items!$A$1:$F$43,2,FALSE)=0,"",VLOOKUP(UncLookup[[#This Row],[Item]],Items!$A$1:$F$43,2,FALSE))</f>
        <v/>
      </c>
      <c r="P213" s="90" t="str">
        <f>IF(VLOOKUP(UncLookup[[#This Row],[Item]],Items!$A$1:$F$43,3,FALSE)=0,"",VLOOKUP(UncLookup[[#This Row],[Item]],Items!$A$1:$F$43,3,FALSE))</f>
        <v/>
      </c>
      <c r="Q213" s="90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5" t="s">
        <v>56</v>
      </c>
      <c r="B214" s="75" t="s">
        <v>89</v>
      </c>
      <c r="C214" s="75">
        <v>32.000999999999998</v>
      </c>
      <c r="D214" s="75">
        <v>400</v>
      </c>
      <c r="E214" s="75">
        <v>0.01</v>
      </c>
      <c r="F214" s="75" t="s">
        <v>26</v>
      </c>
      <c r="G214" s="75" t="s">
        <v>26</v>
      </c>
      <c r="H214" s="75">
        <v>0</v>
      </c>
      <c r="I214" s="75">
        <v>0</v>
      </c>
      <c r="J214" s="75"/>
      <c r="K214" s="75">
        <v>1.6E-2</v>
      </c>
      <c r="L214" s="75">
        <v>0</v>
      </c>
      <c r="M214" s="75">
        <v>1.450648E-2</v>
      </c>
      <c r="N214" s="75">
        <v>0</v>
      </c>
      <c r="O214" s="90" t="str">
        <f>IF(VLOOKUP(UncLookup[[#This Row],[Item]],Items!$A$1:$F$43,2,FALSE)=0,"",VLOOKUP(UncLookup[[#This Row],[Item]],Items!$A$1:$F$43,2,FALSE))</f>
        <v/>
      </c>
      <c r="P214" s="90" t="str">
        <f>IF(VLOOKUP(UncLookup[[#This Row],[Item]],Items!$A$1:$F$43,3,FALSE)=0,"",VLOOKUP(UncLookup[[#This Row],[Item]],Items!$A$1:$F$43,3,FALSE))</f>
        <v/>
      </c>
      <c r="Q214" s="90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76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90" t="str">
        <f>IF(VLOOKUP(UncLookup[[#This Row],[Item]],Items!$A$1:$F$43,2,FALSE)=0,"",VLOOKUP(UncLookup[[#This Row],[Item]],Items!$A$1:$F$43,2,FALSE))</f>
        <v/>
      </c>
      <c r="P215" s="90" t="str">
        <f>IF(VLOOKUP(UncLookup[[#This Row],[Item]],Items!$A$1:$F$43,3,FALSE)=0,"",VLOOKUP(UncLookup[[#This Row],[Item]],Items!$A$1:$F$43,3,FALSE))</f>
        <v/>
      </c>
      <c r="Q215" s="90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5" t="s">
        <v>56</v>
      </c>
      <c r="B216" s="75" t="s">
        <v>89</v>
      </c>
      <c r="C216" s="75">
        <v>32.000999999999998</v>
      </c>
      <c r="D216" s="75">
        <v>400</v>
      </c>
      <c r="E216" s="75">
        <v>1</v>
      </c>
      <c r="F216" s="75" t="s">
        <v>26</v>
      </c>
      <c r="G216" s="75" t="s">
        <v>26</v>
      </c>
      <c r="H216" s="75">
        <v>0</v>
      </c>
      <c r="I216" s="75">
        <v>0</v>
      </c>
      <c r="J216" s="75"/>
      <c r="K216" s="75">
        <v>0.57812055600000001</v>
      </c>
      <c r="L216" s="75">
        <v>0</v>
      </c>
      <c r="M216" s="75">
        <v>0.57750362600000005</v>
      </c>
      <c r="N216" s="75">
        <v>0</v>
      </c>
      <c r="O216" s="90" t="str">
        <f>IF(VLOOKUP(UncLookup[[#This Row],[Item]],Items!$A$1:$F$43,2,FALSE)=0,"",VLOOKUP(UncLookup[[#This Row],[Item]],Items!$A$1:$F$43,2,FALSE))</f>
        <v/>
      </c>
      <c r="P216" s="90" t="str">
        <f>IF(VLOOKUP(UncLookup[[#This Row],[Item]],Items!$A$1:$F$43,3,FALSE)=0,"",VLOOKUP(UncLookup[[#This Row],[Item]],Items!$A$1:$F$43,3,FALSE))</f>
        <v/>
      </c>
      <c r="Q216" s="90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76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90" t="str">
        <f>IF(VLOOKUP(UncLookup[[#This Row],[Item]],Items!$A$1:$F$43,2,FALSE)=0,"",VLOOKUP(UncLookup[[#This Row],[Item]],Items!$A$1:$F$43,2,FALSE))</f>
        <v/>
      </c>
      <c r="P217" s="90" t="str">
        <f>IF(VLOOKUP(UncLookup[[#This Row],[Item]],Items!$A$1:$F$43,3,FALSE)=0,"",VLOOKUP(UncLookup[[#This Row],[Item]],Items!$A$1:$F$43,3,FALSE))</f>
        <v/>
      </c>
      <c r="Q217" s="90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5" t="s">
        <v>56</v>
      </c>
      <c r="B218" s="75" t="s">
        <v>89</v>
      </c>
      <c r="C218" s="75">
        <v>400.00099999999998</v>
      </c>
      <c r="D218" s="75">
        <v>800</v>
      </c>
      <c r="E218" s="75">
        <v>0.1</v>
      </c>
      <c r="F218" s="75" t="s">
        <v>26</v>
      </c>
      <c r="G218" s="75" t="s">
        <v>26</v>
      </c>
      <c r="H218" s="75">
        <v>0</v>
      </c>
      <c r="I218" s="75">
        <v>0</v>
      </c>
      <c r="J218" s="75"/>
      <c r="K218" s="75">
        <v>6.2482481999999999E-2</v>
      </c>
      <c r="L218" s="75">
        <v>0</v>
      </c>
      <c r="M218" s="75">
        <v>6.0462887999999999E-2</v>
      </c>
      <c r="N218" s="75">
        <v>0</v>
      </c>
      <c r="O218" s="90" t="str">
        <f>IF(VLOOKUP(UncLookup[[#This Row],[Item]],Items!$A$1:$F$43,2,FALSE)=0,"",VLOOKUP(UncLookup[[#This Row],[Item]],Items!$A$1:$F$43,2,FALSE))</f>
        <v/>
      </c>
      <c r="P218" s="90" t="str">
        <f>IF(VLOOKUP(UncLookup[[#This Row],[Item]],Items!$A$1:$F$43,3,FALSE)=0,"",VLOOKUP(UncLookup[[#This Row],[Item]],Items!$A$1:$F$43,3,FALSE))</f>
        <v/>
      </c>
      <c r="Q218" s="90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76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90" t="str">
        <f>IF(VLOOKUP(UncLookup[[#This Row],[Item]],Items!$A$1:$F$43,2,FALSE)=0,"",VLOOKUP(UncLookup[[#This Row],[Item]],Items!$A$1:$F$43,2,FALSE))</f>
        <v/>
      </c>
      <c r="P219" s="90" t="str">
        <f>IF(VLOOKUP(UncLookup[[#This Row],[Item]],Items!$A$1:$F$43,3,FALSE)=0,"",VLOOKUP(UncLookup[[#This Row],[Item]],Items!$A$1:$F$43,3,FALSE))</f>
        <v/>
      </c>
      <c r="Q219" s="90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5" t="s">
        <v>56</v>
      </c>
      <c r="B220" s="75" t="s">
        <v>89</v>
      </c>
      <c r="C220" s="75">
        <v>800.00099999999998</v>
      </c>
      <c r="D220" s="75">
        <v>1200</v>
      </c>
      <c r="E220" s="75">
        <v>0.01</v>
      </c>
      <c r="F220" s="75" t="s">
        <v>26</v>
      </c>
      <c r="G220" s="75" t="s">
        <v>26</v>
      </c>
      <c r="H220" s="75">
        <v>0</v>
      </c>
      <c r="I220" s="75">
        <v>0</v>
      </c>
      <c r="J220" s="75"/>
      <c r="K220" s="75">
        <v>2.7260507E-2</v>
      </c>
      <c r="L220" s="75">
        <v>0</v>
      </c>
      <c r="M220" s="75">
        <v>2.6097133000000002E-2</v>
      </c>
      <c r="N220" s="75">
        <v>0</v>
      </c>
      <c r="O220" s="90" t="str">
        <f>IF(VLOOKUP(UncLookup[[#This Row],[Item]],Items!$A$1:$F$43,2,FALSE)=0,"",VLOOKUP(UncLookup[[#This Row],[Item]],Items!$A$1:$F$43,2,FALSE))</f>
        <v/>
      </c>
      <c r="P220" s="90" t="str">
        <f>IF(VLOOKUP(UncLookup[[#This Row],[Item]],Items!$A$1:$F$43,3,FALSE)=0,"",VLOOKUP(UncLookup[[#This Row],[Item]],Items!$A$1:$F$43,3,FALSE))</f>
        <v/>
      </c>
      <c r="Q220" s="90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76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90" t="str">
        <f>IF(VLOOKUP(UncLookup[[#This Row],[Item]],Items!$A$1:$F$43,2,FALSE)=0,"",VLOOKUP(UncLookup[[#This Row],[Item]],Items!$A$1:$F$43,2,FALSE))</f>
        <v/>
      </c>
      <c r="P221" s="90" t="str">
        <f>IF(VLOOKUP(UncLookup[[#This Row],[Item]],Items!$A$1:$F$43,3,FALSE)=0,"",VLOOKUP(UncLookup[[#This Row],[Item]],Items!$A$1:$F$43,3,FALSE))</f>
        <v/>
      </c>
      <c r="Q221" s="90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5" t="s">
        <v>56</v>
      </c>
      <c r="B222" s="75" t="s">
        <v>89</v>
      </c>
      <c r="C222" s="75">
        <v>800.00099999999998</v>
      </c>
      <c r="D222" s="75">
        <v>1200</v>
      </c>
      <c r="E222" s="75">
        <v>1</v>
      </c>
      <c r="F222" s="75" t="s">
        <v>26</v>
      </c>
      <c r="G222" s="75" t="s">
        <v>26</v>
      </c>
      <c r="H222" s="75">
        <v>0</v>
      </c>
      <c r="I222" s="75">
        <v>0</v>
      </c>
      <c r="J222" s="75"/>
      <c r="K222" s="75">
        <v>0.57876960799999999</v>
      </c>
      <c r="L222" s="75">
        <v>0</v>
      </c>
      <c r="M222" s="75">
        <v>0.57791094499999995</v>
      </c>
      <c r="N222" s="75">
        <v>0</v>
      </c>
      <c r="O222" s="90" t="str">
        <f>IF(VLOOKUP(UncLookup[[#This Row],[Item]],Items!$A$1:$F$43,2,FALSE)=0,"",VLOOKUP(UncLookup[[#This Row],[Item]],Items!$A$1:$F$43,2,FALSE))</f>
        <v/>
      </c>
      <c r="P222" s="90" t="str">
        <f>IF(VLOOKUP(UncLookup[[#This Row],[Item]],Items!$A$1:$F$43,3,FALSE)=0,"",VLOOKUP(UncLookup[[#This Row],[Item]],Items!$A$1:$F$43,3,FALSE))</f>
        <v/>
      </c>
      <c r="Q222" s="90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76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90" t="str">
        <f>IF(VLOOKUP(UncLookup[[#This Row],[Item]],Items!$A$1:$F$43,2,FALSE)=0,"",VLOOKUP(UncLookup[[#This Row],[Item]],Items!$A$1:$F$43,2,FALSE))</f>
        <v/>
      </c>
      <c r="P223" s="90" t="str">
        <f>IF(VLOOKUP(UncLookup[[#This Row],[Item]],Items!$A$1:$F$43,3,FALSE)=0,"",VLOOKUP(UncLookup[[#This Row],[Item]],Items!$A$1:$F$43,3,FALSE))</f>
        <v/>
      </c>
      <c r="Q223" s="90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5" t="s">
        <v>56</v>
      </c>
      <c r="B224" s="75" t="s">
        <v>89</v>
      </c>
      <c r="C224" s="75">
        <v>1200.001</v>
      </c>
      <c r="D224" s="75">
        <v>1562</v>
      </c>
      <c r="E224" s="75">
        <v>0.1</v>
      </c>
      <c r="F224" s="75" t="s">
        <v>26</v>
      </c>
      <c r="G224" s="75" t="s">
        <v>26</v>
      </c>
      <c r="H224" s="75">
        <v>0</v>
      </c>
      <c r="I224" s="75">
        <v>0</v>
      </c>
      <c r="J224" s="75"/>
      <c r="K224" s="75">
        <v>6.9375096999999997E-2</v>
      </c>
      <c r="L224" s="75">
        <v>0</v>
      </c>
      <c r="M224" s="75">
        <v>6.6183255999999996E-2</v>
      </c>
      <c r="N224" s="75">
        <v>0</v>
      </c>
      <c r="O224" s="90" t="str">
        <f>IF(VLOOKUP(UncLookup[[#This Row],[Item]],Items!$A$1:$F$43,2,FALSE)=0,"",VLOOKUP(UncLookup[[#This Row],[Item]],Items!$A$1:$F$43,2,FALSE))</f>
        <v/>
      </c>
      <c r="P224" s="90" t="str">
        <f>IF(VLOOKUP(UncLookup[[#This Row],[Item]],Items!$A$1:$F$43,3,FALSE)=0,"",VLOOKUP(UncLookup[[#This Row],[Item]],Items!$A$1:$F$43,3,FALSE))</f>
        <v/>
      </c>
      <c r="Q224" s="90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76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90" t="str">
        <f>IF(VLOOKUP(UncLookup[[#This Row],[Item]],Items!$A$1:$F$43,2,FALSE)=0,"",VLOOKUP(UncLookup[[#This Row],[Item]],Items!$A$1:$F$43,2,FALSE))</f>
        <v/>
      </c>
      <c r="P225" s="90" t="str">
        <f>IF(VLOOKUP(UncLookup[[#This Row],[Item]],Items!$A$1:$F$43,3,FALSE)=0,"",VLOOKUP(UncLookup[[#This Row],[Item]],Items!$A$1:$F$43,3,FALSE))</f>
        <v/>
      </c>
      <c r="Q225" s="90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5" t="s">
        <v>56</v>
      </c>
      <c r="B226" s="75" t="s">
        <v>85</v>
      </c>
      <c r="C226" s="75">
        <v>-454</v>
      </c>
      <c r="D226" s="75">
        <v>-400.00099999999998</v>
      </c>
      <c r="E226" s="75">
        <v>0.1</v>
      </c>
      <c r="F226" s="75" t="s">
        <v>26</v>
      </c>
      <c r="G226" s="75" t="s">
        <v>26</v>
      </c>
      <c r="H226" s="75">
        <v>0</v>
      </c>
      <c r="I226" s="75">
        <v>0</v>
      </c>
      <c r="J226" s="75"/>
      <c r="K226" s="75">
        <v>1.5</v>
      </c>
      <c r="L226" s="75">
        <v>0</v>
      </c>
      <c r="M226" s="75">
        <v>1.4288134379999999</v>
      </c>
      <c r="N226" s="75">
        <v>0</v>
      </c>
      <c r="O226" s="90" t="str">
        <f>IF(VLOOKUP(UncLookup[[#This Row],[Item]],Items!$A$1:$F$43,2,FALSE)=0,"",VLOOKUP(UncLookup[[#This Row],[Item]],Items!$A$1:$F$43,2,FALSE))</f>
        <v/>
      </c>
      <c r="P226" s="90" t="str">
        <f>IF(VLOOKUP(UncLookup[[#This Row],[Item]],Items!$A$1:$F$43,3,FALSE)=0,"",VLOOKUP(UncLookup[[#This Row],[Item]],Items!$A$1:$F$43,3,FALSE))</f>
        <v/>
      </c>
      <c r="Q226" s="90" t="str">
        <f>IF(VLOOKUP(UncLookup[[#This Row],[Item]],Items!$A$1:$F$43,4,FALSE)=0,"",VLOOKUP(UncLookup[[#This Row],[Item]],Items!$A$1:$F$43,4,FALSE))</f>
        <v>N</v>
      </c>
    </row>
    <row r="227" spans="1:17" x14ac:dyDescent="0.25">
      <c r="A227" s="76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90" t="str">
        <f>IF(VLOOKUP(UncLookup[[#This Row],[Item]],Items!$A$1:$F$43,2,FALSE)=0,"",VLOOKUP(UncLookup[[#This Row],[Item]],Items!$A$1:$F$43,2,FALSE))</f>
        <v/>
      </c>
      <c r="P227" s="90" t="str">
        <f>IF(VLOOKUP(UncLookup[[#This Row],[Item]],Items!$A$1:$F$43,3,FALSE)=0,"",VLOOKUP(UncLookup[[#This Row],[Item]],Items!$A$1:$F$43,3,FALSE))</f>
        <v/>
      </c>
      <c r="Q227" s="90" t="str">
        <f>IF(VLOOKUP(UncLookup[[#This Row],[Item]],Items!$A$1:$F$43,4,FALSE)=0,"",VLOOKUP(UncLookup[[#This Row],[Item]],Items!$A$1:$F$43,4,FALSE))</f>
        <v>N</v>
      </c>
    </row>
    <row r="228" spans="1:17" x14ac:dyDescent="0.25">
      <c r="A228" s="75" t="s">
        <v>56</v>
      </c>
      <c r="B228" s="75" t="s">
        <v>85</v>
      </c>
      <c r="C228" s="75">
        <v>-400</v>
      </c>
      <c r="D228" s="75">
        <v>-150.001</v>
      </c>
      <c r="E228" s="75">
        <v>0.1</v>
      </c>
      <c r="F228" s="75" t="s">
        <v>26</v>
      </c>
      <c r="G228" s="75" t="s">
        <v>26</v>
      </c>
      <c r="H228" s="75">
        <v>0</v>
      </c>
      <c r="I228" s="75">
        <v>0</v>
      </c>
      <c r="J228" s="75"/>
      <c r="K228" s="75">
        <v>0.24</v>
      </c>
      <c r="L228" s="75">
        <v>0</v>
      </c>
      <c r="M228" s="75">
        <v>0.19872960000000001</v>
      </c>
      <c r="N228" s="75">
        <v>0</v>
      </c>
      <c r="O228" s="90" t="str">
        <f>IF(VLOOKUP(UncLookup[[#This Row],[Item]],Items!$A$1:$F$43,2,FALSE)=0,"",VLOOKUP(UncLookup[[#This Row],[Item]],Items!$A$1:$F$43,2,FALSE))</f>
        <v/>
      </c>
      <c r="P228" s="90" t="str">
        <f>IF(VLOOKUP(UncLookup[[#This Row],[Item]],Items!$A$1:$F$43,3,FALSE)=0,"",VLOOKUP(UncLookup[[#This Row],[Item]],Items!$A$1:$F$43,3,FALSE))</f>
        <v/>
      </c>
      <c r="Q228" s="90" t="str">
        <f>IF(VLOOKUP(UncLookup[[#This Row],[Item]],Items!$A$1:$F$43,4,FALSE)=0,"",VLOOKUP(UncLookup[[#This Row],[Item]],Items!$A$1:$F$43,4,FALSE))</f>
        <v>N</v>
      </c>
    </row>
    <row r="229" spans="1:17" x14ac:dyDescent="0.25">
      <c r="A229" s="76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90" t="str">
        <f>IF(VLOOKUP(UncLookup[[#This Row],[Item]],Items!$A$1:$F$43,2,FALSE)=0,"",VLOOKUP(UncLookup[[#This Row],[Item]],Items!$A$1:$F$43,2,FALSE))</f>
        <v/>
      </c>
      <c r="P229" s="90" t="str">
        <f>IF(VLOOKUP(UncLookup[[#This Row],[Item]],Items!$A$1:$F$43,3,FALSE)=0,"",VLOOKUP(UncLookup[[#This Row],[Item]],Items!$A$1:$F$43,3,FALSE))</f>
        <v/>
      </c>
      <c r="Q229" s="90" t="str">
        <f>IF(VLOOKUP(UncLookup[[#This Row],[Item]],Items!$A$1:$F$43,4,FALSE)=0,"",VLOOKUP(UncLookup[[#This Row],[Item]],Items!$A$1:$F$43,4,FALSE))</f>
        <v>N</v>
      </c>
    </row>
    <row r="230" spans="1:17" x14ac:dyDescent="0.25">
      <c r="A230" s="75" t="s">
        <v>56</v>
      </c>
      <c r="B230" s="75" t="s">
        <v>85</v>
      </c>
      <c r="C230" s="75">
        <v>-150</v>
      </c>
      <c r="D230" s="75">
        <v>700</v>
      </c>
      <c r="E230" s="75">
        <v>0.1</v>
      </c>
      <c r="F230" s="75" t="s">
        <v>26</v>
      </c>
      <c r="G230" s="75" t="s">
        <v>26</v>
      </c>
      <c r="H230" s="75">
        <v>0</v>
      </c>
      <c r="I230" s="75">
        <v>0</v>
      </c>
      <c r="J230" s="75"/>
      <c r="K230" s="75">
        <v>0.14000000000000001</v>
      </c>
      <c r="L230" s="75">
        <v>0</v>
      </c>
      <c r="M230" s="75">
        <v>8.8082791999999993E-2</v>
      </c>
      <c r="N230" s="75">
        <v>0</v>
      </c>
      <c r="O230" s="90" t="str">
        <f>IF(VLOOKUP(UncLookup[[#This Row],[Item]],Items!$A$1:$F$43,2,FALSE)=0,"",VLOOKUP(UncLookup[[#This Row],[Item]],Items!$A$1:$F$43,2,FALSE))</f>
        <v/>
      </c>
      <c r="P230" s="90" t="str">
        <f>IF(VLOOKUP(UncLookup[[#This Row],[Item]],Items!$A$1:$F$43,3,FALSE)=0,"",VLOOKUP(UncLookup[[#This Row],[Item]],Items!$A$1:$F$43,3,FALSE))</f>
        <v/>
      </c>
      <c r="Q230" s="90" t="str">
        <f>IF(VLOOKUP(UncLookup[[#This Row],[Item]],Items!$A$1:$F$43,4,FALSE)=0,"",VLOOKUP(UncLookup[[#This Row],[Item]],Items!$A$1:$F$43,4,FALSE))</f>
        <v>N</v>
      </c>
    </row>
    <row r="231" spans="1:17" x14ac:dyDescent="0.25">
      <c r="A231" s="76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90" t="str">
        <f>IF(VLOOKUP(UncLookup[[#This Row],[Item]],Items!$A$1:$F$43,2,FALSE)=0,"",VLOOKUP(UncLookup[[#This Row],[Item]],Items!$A$1:$F$43,2,FALSE))</f>
        <v/>
      </c>
      <c r="P231" s="90" t="str">
        <f>IF(VLOOKUP(UncLookup[[#This Row],[Item]],Items!$A$1:$F$43,3,FALSE)=0,"",VLOOKUP(UncLookup[[#This Row],[Item]],Items!$A$1:$F$43,3,FALSE))</f>
        <v/>
      </c>
      <c r="Q231" s="90" t="str">
        <f>IF(VLOOKUP(UncLookup[[#This Row],[Item]],Items!$A$1:$F$43,4,FALSE)=0,"",VLOOKUP(UncLookup[[#This Row],[Item]],Items!$A$1:$F$43,4,FALSE))</f>
        <v>N</v>
      </c>
    </row>
    <row r="232" spans="1:17" x14ac:dyDescent="0.25">
      <c r="A232" s="75" t="s">
        <v>56</v>
      </c>
      <c r="B232" s="75" t="s">
        <v>85</v>
      </c>
      <c r="C232" s="75">
        <v>700.00099999999998</v>
      </c>
      <c r="D232" s="75">
        <v>1500</v>
      </c>
      <c r="E232" s="75">
        <v>0.1</v>
      </c>
      <c r="F232" s="75" t="s">
        <v>26</v>
      </c>
      <c r="G232" s="75" t="s">
        <v>26</v>
      </c>
      <c r="H232" s="75">
        <v>0</v>
      </c>
      <c r="I232" s="75">
        <v>0</v>
      </c>
      <c r="J232" s="75"/>
      <c r="K232" s="75">
        <v>0.12</v>
      </c>
      <c r="L232" s="75">
        <v>0</v>
      </c>
      <c r="M232" s="75">
        <v>8.7954482E-2</v>
      </c>
      <c r="N232" s="75">
        <v>0</v>
      </c>
      <c r="O232" s="90" t="str">
        <f>IF(VLOOKUP(UncLookup[[#This Row],[Item]],Items!$A$1:$F$43,2,FALSE)=0,"",VLOOKUP(UncLookup[[#This Row],[Item]],Items!$A$1:$F$43,2,FALSE))</f>
        <v/>
      </c>
      <c r="P232" s="90" t="str">
        <f>IF(VLOOKUP(UncLookup[[#This Row],[Item]],Items!$A$1:$F$43,3,FALSE)=0,"",VLOOKUP(UncLookup[[#This Row],[Item]],Items!$A$1:$F$43,3,FALSE))</f>
        <v/>
      </c>
      <c r="Q232" s="90" t="str">
        <f>IF(VLOOKUP(UncLookup[[#This Row],[Item]],Items!$A$1:$F$43,4,FALSE)=0,"",VLOOKUP(UncLookup[[#This Row],[Item]],Items!$A$1:$F$43,4,FALSE))</f>
        <v>N</v>
      </c>
    </row>
    <row r="233" spans="1:17" x14ac:dyDescent="0.25">
      <c r="A233" s="76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90" t="str">
        <f>IF(VLOOKUP(UncLookup[[#This Row],[Item]],Items!$A$1:$F$43,2,FALSE)=0,"",VLOOKUP(UncLookup[[#This Row],[Item]],Items!$A$1:$F$43,2,FALSE))</f>
        <v/>
      </c>
      <c r="P233" s="90" t="str">
        <f>IF(VLOOKUP(UncLookup[[#This Row],[Item]],Items!$A$1:$F$43,3,FALSE)=0,"",VLOOKUP(UncLookup[[#This Row],[Item]],Items!$A$1:$F$43,3,FALSE))</f>
        <v/>
      </c>
      <c r="Q233" s="90" t="str">
        <f>IF(VLOOKUP(UncLookup[[#This Row],[Item]],Items!$A$1:$F$43,4,FALSE)=0,"",VLOOKUP(UncLookup[[#This Row],[Item]],Items!$A$1:$F$43,4,FALSE))</f>
        <v>N</v>
      </c>
    </row>
    <row r="234" spans="1:17" x14ac:dyDescent="0.25">
      <c r="A234" s="75" t="s">
        <v>56</v>
      </c>
      <c r="B234" s="75" t="s">
        <v>85</v>
      </c>
      <c r="C234" s="75">
        <v>1500.001</v>
      </c>
      <c r="D234" s="75">
        <v>2372</v>
      </c>
      <c r="E234" s="75">
        <v>0.1</v>
      </c>
      <c r="F234" s="75" t="s">
        <v>26</v>
      </c>
      <c r="G234" s="75" t="s">
        <v>26</v>
      </c>
      <c r="H234" s="75">
        <v>0</v>
      </c>
      <c r="I234" s="75">
        <v>0</v>
      </c>
      <c r="J234" s="75"/>
      <c r="K234" s="75">
        <v>0.13</v>
      </c>
      <c r="L234" s="75">
        <v>0</v>
      </c>
      <c r="M234" s="75">
        <v>9.4805566999999993E-2</v>
      </c>
      <c r="N234" s="75">
        <v>0</v>
      </c>
      <c r="O234" s="90" t="str">
        <f>IF(VLOOKUP(UncLookup[[#This Row],[Item]],Items!$A$1:$F$43,2,FALSE)=0,"",VLOOKUP(UncLookup[[#This Row],[Item]],Items!$A$1:$F$43,2,FALSE))</f>
        <v/>
      </c>
      <c r="P234" s="90" t="str">
        <f>IF(VLOOKUP(UncLookup[[#This Row],[Item]],Items!$A$1:$F$43,3,FALSE)=0,"",VLOOKUP(UncLookup[[#This Row],[Item]],Items!$A$1:$F$43,3,FALSE))</f>
        <v/>
      </c>
      <c r="Q234" s="90" t="str">
        <f>IF(VLOOKUP(UncLookup[[#This Row],[Item]],Items!$A$1:$F$43,4,FALSE)=0,"",VLOOKUP(UncLookup[[#This Row],[Item]],Items!$A$1:$F$43,4,FALSE))</f>
        <v>N</v>
      </c>
    </row>
    <row r="235" spans="1:17" x14ac:dyDescent="0.25">
      <c r="A235" s="76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90" t="str">
        <f>IF(VLOOKUP(UncLookup[[#This Row],[Item]],Items!$A$1:$F$43,2,FALSE)=0,"",VLOOKUP(UncLookup[[#This Row],[Item]],Items!$A$1:$F$43,2,FALSE))</f>
        <v/>
      </c>
      <c r="P235" s="90" t="str">
        <f>IF(VLOOKUP(UncLookup[[#This Row],[Item]],Items!$A$1:$F$43,3,FALSE)=0,"",VLOOKUP(UncLookup[[#This Row],[Item]],Items!$A$1:$F$43,3,FALSE))</f>
        <v/>
      </c>
      <c r="Q235" s="90" t="str">
        <f>IF(VLOOKUP(UncLookup[[#This Row],[Item]],Items!$A$1:$F$43,4,FALSE)=0,"",VLOOKUP(UncLookup[[#This Row],[Item]],Items!$A$1:$F$43,4,FALSE))</f>
        <v>N</v>
      </c>
    </row>
    <row r="236" spans="1:17" x14ac:dyDescent="0.25">
      <c r="A236" s="75" t="s">
        <v>56</v>
      </c>
      <c r="B236" s="75" t="s">
        <v>84</v>
      </c>
      <c r="C236" s="75">
        <v>-454</v>
      </c>
      <c r="D236" s="75">
        <v>-400.00099999999998</v>
      </c>
      <c r="E236" s="75">
        <v>0.1</v>
      </c>
      <c r="F236" s="75" t="s">
        <v>26</v>
      </c>
      <c r="G236" s="75" t="s">
        <v>26</v>
      </c>
      <c r="H236" s="75">
        <v>0</v>
      </c>
      <c r="I236" s="75">
        <v>0</v>
      </c>
      <c r="J236" s="75"/>
      <c r="K236" s="75">
        <v>0.77443041000000001</v>
      </c>
      <c r="L236" s="75">
        <v>0</v>
      </c>
      <c r="M236" s="75">
        <v>0.76326909399999998</v>
      </c>
      <c r="N236" s="75">
        <v>0</v>
      </c>
      <c r="O236" s="90" t="str">
        <f>IF(VLOOKUP(UncLookup[[#This Row],[Item]],Items!$A$1:$F$43,2,FALSE)=0,"",VLOOKUP(UncLookup[[#This Row],[Item]],Items!$A$1:$F$43,2,FALSE))</f>
        <v/>
      </c>
      <c r="P236" s="90" t="str">
        <f>IF(VLOOKUP(UncLookup[[#This Row],[Item]],Items!$A$1:$F$43,3,FALSE)=0,"",VLOOKUP(UncLookup[[#This Row],[Item]],Items!$A$1:$F$43,3,FALSE))</f>
        <v/>
      </c>
      <c r="Q236" s="90" t="str">
        <f>IF(VLOOKUP(UncLookup[[#This Row],[Item]],Items!$A$1:$F$43,4,FALSE)=0,"",VLOOKUP(UncLookup[[#This Row],[Item]],Items!$A$1:$F$43,4,FALSE))</f>
        <v>K</v>
      </c>
    </row>
    <row r="237" spans="1:17" x14ac:dyDescent="0.25">
      <c r="A237" s="76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90" t="str">
        <f>IF(VLOOKUP(UncLookup[[#This Row],[Item]],Items!$A$1:$F$43,2,FALSE)=0,"",VLOOKUP(UncLookup[[#This Row],[Item]],Items!$A$1:$F$43,2,FALSE))</f>
        <v/>
      </c>
      <c r="P237" s="90" t="str">
        <f>IF(VLOOKUP(UncLookup[[#This Row],[Item]],Items!$A$1:$F$43,3,FALSE)=0,"",VLOOKUP(UncLookup[[#This Row],[Item]],Items!$A$1:$F$43,3,FALSE))</f>
        <v/>
      </c>
      <c r="Q237" s="90" t="str">
        <f>IF(VLOOKUP(UncLookup[[#This Row],[Item]],Items!$A$1:$F$43,4,FALSE)=0,"",VLOOKUP(UncLookup[[#This Row],[Item]],Items!$A$1:$F$43,4,FALSE))</f>
        <v>K</v>
      </c>
    </row>
    <row r="238" spans="1:17" x14ac:dyDescent="0.25">
      <c r="A238" s="75" t="s">
        <v>56</v>
      </c>
      <c r="B238" s="75" t="s">
        <v>84</v>
      </c>
      <c r="C238" s="75">
        <v>-400</v>
      </c>
      <c r="D238" s="75">
        <v>499.99900000000002</v>
      </c>
      <c r="E238" s="75">
        <v>0.1</v>
      </c>
      <c r="F238" s="75" t="s">
        <v>26</v>
      </c>
      <c r="G238" s="75" t="s">
        <v>26</v>
      </c>
      <c r="H238" s="75">
        <v>0</v>
      </c>
      <c r="I238" s="75">
        <v>0</v>
      </c>
      <c r="J238" s="75"/>
      <c r="K238" s="75">
        <v>0.19</v>
      </c>
      <c r="L238" s="75">
        <v>0</v>
      </c>
      <c r="M238" s="75">
        <v>0.135879482</v>
      </c>
      <c r="N238" s="75">
        <v>0</v>
      </c>
      <c r="O238" s="90" t="str">
        <f>IF(VLOOKUP(UncLookup[[#This Row],[Item]],Items!$A$1:$F$43,2,FALSE)=0,"",VLOOKUP(UncLookup[[#This Row],[Item]],Items!$A$1:$F$43,2,FALSE))</f>
        <v/>
      </c>
      <c r="P238" s="90" t="str">
        <f>IF(VLOOKUP(UncLookup[[#This Row],[Item]],Items!$A$1:$F$43,3,FALSE)=0,"",VLOOKUP(UncLookup[[#This Row],[Item]],Items!$A$1:$F$43,3,FALSE))</f>
        <v/>
      </c>
      <c r="Q238" s="90" t="str">
        <f>IF(VLOOKUP(UncLookup[[#This Row],[Item]],Items!$A$1:$F$43,4,FALSE)=0,"",VLOOKUP(UncLookup[[#This Row],[Item]],Items!$A$1:$F$43,4,FALSE))</f>
        <v>K</v>
      </c>
    </row>
    <row r="239" spans="1:17" x14ac:dyDescent="0.25">
      <c r="A239" s="76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90" t="str">
        <f>IF(VLOOKUP(UncLookup[[#This Row],[Item]],Items!$A$1:$F$43,2,FALSE)=0,"",VLOOKUP(UncLookup[[#This Row],[Item]],Items!$A$1:$F$43,2,FALSE))</f>
        <v/>
      </c>
      <c r="P239" s="90" t="str">
        <f>IF(VLOOKUP(UncLookup[[#This Row],[Item]],Items!$A$1:$F$43,3,FALSE)=0,"",VLOOKUP(UncLookup[[#This Row],[Item]],Items!$A$1:$F$43,3,FALSE))</f>
        <v/>
      </c>
      <c r="Q239" s="90" t="str">
        <f>IF(VLOOKUP(UncLookup[[#This Row],[Item]],Items!$A$1:$F$43,4,FALSE)=0,"",VLOOKUP(UncLookup[[#This Row],[Item]],Items!$A$1:$F$43,4,FALSE))</f>
        <v>K</v>
      </c>
    </row>
    <row r="240" spans="1:17" x14ac:dyDescent="0.25">
      <c r="A240" s="75" t="s">
        <v>56</v>
      </c>
      <c r="B240" s="75" t="s">
        <v>84</v>
      </c>
      <c r="C240" s="75">
        <v>500</v>
      </c>
      <c r="D240" s="75">
        <v>1500</v>
      </c>
      <c r="E240" s="75">
        <v>0.1</v>
      </c>
      <c r="F240" s="75" t="s">
        <v>26</v>
      </c>
      <c r="G240" s="75" t="s">
        <v>26</v>
      </c>
      <c r="H240" s="75">
        <v>0</v>
      </c>
      <c r="I240" s="75">
        <v>0</v>
      </c>
      <c r="J240" s="75"/>
      <c r="K240" s="75">
        <v>0.12</v>
      </c>
      <c r="L240" s="75">
        <v>0</v>
      </c>
      <c r="M240" s="75">
        <v>8.8716091999999996E-2</v>
      </c>
      <c r="N240" s="75">
        <v>0</v>
      </c>
      <c r="O240" s="90" t="str">
        <f>IF(VLOOKUP(UncLookup[[#This Row],[Item]],Items!$A$1:$F$43,2,FALSE)=0,"",VLOOKUP(UncLookup[[#This Row],[Item]],Items!$A$1:$F$43,2,FALSE))</f>
        <v/>
      </c>
      <c r="P240" s="90" t="str">
        <f>IF(VLOOKUP(UncLookup[[#This Row],[Item]],Items!$A$1:$F$43,3,FALSE)=0,"",VLOOKUP(UncLookup[[#This Row],[Item]],Items!$A$1:$F$43,3,FALSE))</f>
        <v/>
      </c>
      <c r="Q240" s="90" t="str">
        <f>IF(VLOOKUP(UncLookup[[#This Row],[Item]],Items!$A$1:$F$43,4,FALSE)=0,"",VLOOKUP(UncLookup[[#This Row],[Item]],Items!$A$1:$F$43,4,FALSE))</f>
        <v>K</v>
      </c>
    </row>
    <row r="241" spans="1:17" x14ac:dyDescent="0.25">
      <c r="A241" s="76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90" t="str">
        <f>IF(VLOOKUP(UncLookup[[#This Row],[Item]],Items!$A$1:$F$43,2,FALSE)=0,"",VLOOKUP(UncLookup[[#This Row],[Item]],Items!$A$1:$F$43,2,FALSE))</f>
        <v/>
      </c>
      <c r="P241" s="90" t="str">
        <f>IF(VLOOKUP(UncLookup[[#This Row],[Item]],Items!$A$1:$F$43,3,FALSE)=0,"",VLOOKUP(UncLookup[[#This Row],[Item]],Items!$A$1:$F$43,3,FALSE))</f>
        <v/>
      </c>
      <c r="Q241" s="90" t="str">
        <f>IF(VLOOKUP(UncLookup[[#This Row],[Item]],Items!$A$1:$F$43,4,FALSE)=0,"",VLOOKUP(UncLookup[[#This Row],[Item]],Items!$A$1:$F$43,4,FALSE))</f>
        <v>K</v>
      </c>
    </row>
    <row r="242" spans="1:17" x14ac:dyDescent="0.25">
      <c r="A242" s="75" t="s">
        <v>56</v>
      </c>
      <c r="B242" s="75" t="s">
        <v>84</v>
      </c>
      <c r="C242" s="75">
        <v>1500.001</v>
      </c>
      <c r="D242" s="75">
        <v>2500</v>
      </c>
      <c r="E242" s="75">
        <v>0.1</v>
      </c>
      <c r="F242" s="75" t="s">
        <v>26</v>
      </c>
      <c r="G242" s="75" t="s">
        <v>26</v>
      </c>
      <c r="H242" s="75">
        <v>0</v>
      </c>
      <c r="I242" s="75">
        <v>0</v>
      </c>
      <c r="J242" s="75"/>
      <c r="K242" s="75">
        <v>0.131346933</v>
      </c>
      <c r="L242" s="75">
        <v>0</v>
      </c>
      <c r="M242" s="75">
        <v>9.8982265999999999E-2</v>
      </c>
      <c r="N242" s="75">
        <v>0</v>
      </c>
      <c r="O242" s="90" t="str">
        <f>IF(VLOOKUP(UncLookup[[#This Row],[Item]],Items!$A$1:$F$43,2,FALSE)=0,"",VLOOKUP(UncLookup[[#This Row],[Item]],Items!$A$1:$F$43,2,FALSE))</f>
        <v/>
      </c>
      <c r="P242" s="90" t="str">
        <f>IF(VLOOKUP(UncLookup[[#This Row],[Item]],Items!$A$1:$F$43,3,FALSE)=0,"",VLOOKUP(UncLookup[[#This Row],[Item]],Items!$A$1:$F$43,3,FALSE))</f>
        <v/>
      </c>
      <c r="Q242" s="90" t="str">
        <f>IF(VLOOKUP(UncLookup[[#This Row],[Item]],Items!$A$1:$F$43,4,FALSE)=0,"",VLOOKUP(UncLookup[[#This Row],[Item]],Items!$A$1:$F$43,4,FALSE))</f>
        <v>K</v>
      </c>
    </row>
    <row r="243" spans="1:17" x14ac:dyDescent="0.25">
      <c r="A243" s="76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90" t="str">
        <f>IF(VLOOKUP(UncLookup[[#This Row],[Item]],Items!$A$1:$F$43,2,FALSE)=0,"",VLOOKUP(UncLookup[[#This Row],[Item]],Items!$A$1:$F$43,2,FALSE))</f>
        <v/>
      </c>
      <c r="P243" s="90" t="str">
        <f>IF(VLOOKUP(UncLookup[[#This Row],[Item]],Items!$A$1:$F$43,3,FALSE)=0,"",VLOOKUP(UncLookup[[#This Row],[Item]],Items!$A$1:$F$43,3,FALSE))</f>
        <v/>
      </c>
      <c r="Q243" s="90" t="str">
        <f>IF(VLOOKUP(UncLookup[[#This Row],[Item]],Items!$A$1:$F$43,4,FALSE)=0,"",VLOOKUP(UncLookup[[#This Row],[Item]],Items!$A$1:$F$43,4,FALSE))</f>
        <v>K</v>
      </c>
    </row>
    <row r="244" spans="1:17" x14ac:dyDescent="0.25">
      <c r="A244" s="75" t="s">
        <v>56</v>
      </c>
      <c r="B244" s="75" t="s">
        <v>83</v>
      </c>
      <c r="C244" s="75">
        <v>-346</v>
      </c>
      <c r="D244" s="75">
        <v>499.99900000000002</v>
      </c>
      <c r="E244" s="75">
        <v>0.1</v>
      </c>
      <c r="F244" s="75" t="s">
        <v>26</v>
      </c>
      <c r="G244" s="75" t="s">
        <v>26</v>
      </c>
      <c r="H244" s="75">
        <v>0</v>
      </c>
      <c r="I244" s="75">
        <v>0</v>
      </c>
      <c r="J244" s="75"/>
      <c r="K244" s="75">
        <v>0.14000000000000001</v>
      </c>
      <c r="L244" s="75">
        <v>0</v>
      </c>
      <c r="M244" s="75">
        <v>9.1813959000000001E-2</v>
      </c>
      <c r="N244" s="75">
        <v>0</v>
      </c>
      <c r="O244" s="90" t="str">
        <f>IF(VLOOKUP(UncLookup[[#This Row],[Item]],Items!$A$1:$F$43,2,FALSE)=0,"",VLOOKUP(UncLookup[[#This Row],[Item]],Items!$A$1:$F$43,2,FALSE))</f>
        <v/>
      </c>
      <c r="P244" s="90" t="str">
        <f>IF(VLOOKUP(UncLookup[[#This Row],[Item]],Items!$A$1:$F$43,3,FALSE)=0,"",VLOOKUP(UncLookup[[#This Row],[Item]],Items!$A$1:$F$43,3,FALSE))</f>
        <v/>
      </c>
      <c r="Q244" s="90" t="str">
        <f>IF(VLOOKUP(UncLookup[[#This Row],[Item]],Items!$A$1:$F$43,4,FALSE)=0,"",VLOOKUP(UncLookup[[#This Row],[Item]],Items!$A$1:$F$43,4,FALSE))</f>
        <v>J</v>
      </c>
    </row>
    <row r="245" spans="1:17" x14ac:dyDescent="0.25">
      <c r="A245" s="76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90" t="str">
        <f>IF(VLOOKUP(UncLookup[[#This Row],[Item]],Items!$A$1:$F$43,2,FALSE)=0,"",VLOOKUP(UncLookup[[#This Row],[Item]],Items!$A$1:$F$43,2,FALSE))</f>
        <v/>
      </c>
      <c r="P245" s="90" t="str">
        <f>IF(VLOOKUP(UncLookup[[#This Row],[Item]],Items!$A$1:$F$43,3,FALSE)=0,"",VLOOKUP(UncLookup[[#This Row],[Item]],Items!$A$1:$F$43,3,FALSE))</f>
        <v/>
      </c>
      <c r="Q245" s="90" t="str">
        <f>IF(VLOOKUP(UncLookup[[#This Row],[Item]],Items!$A$1:$F$43,4,FALSE)=0,"",VLOOKUP(UncLookup[[#This Row],[Item]],Items!$A$1:$F$43,4,FALSE))</f>
        <v>J</v>
      </c>
    </row>
    <row r="246" spans="1:17" x14ac:dyDescent="0.25">
      <c r="A246" s="75" t="s">
        <v>56</v>
      </c>
      <c r="B246" s="75" t="s">
        <v>83</v>
      </c>
      <c r="C246" s="75">
        <v>500</v>
      </c>
      <c r="D246" s="75">
        <v>1350</v>
      </c>
      <c r="E246" s="75">
        <v>0.1</v>
      </c>
      <c r="F246" s="75" t="s">
        <v>26</v>
      </c>
      <c r="G246" s="75" t="s">
        <v>26</v>
      </c>
      <c r="H246" s="75">
        <v>0</v>
      </c>
      <c r="I246" s="75">
        <v>0</v>
      </c>
      <c r="J246" s="75"/>
      <c r="K246" s="75">
        <v>0.11</v>
      </c>
      <c r="L246" s="75">
        <v>0</v>
      </c>
      <c r="M246" s="75">
        <v>8.5418892999999996E-2</v>
      </c>
      <c r="N246" s="75">
        <v>0</v>
      </c>
      <c r="O246" s="90" t="str">
        <f>IF(VLOOKUP(UncLookup[[#This Row],[Item]],Items!$A$1:$F$43,2,FALSE)=0,"",VLOOKUP(UncLookup[[#This Row],[Item]],Items!$A$1:$F$43,2,FALSE))</f>
        <v/>
      </c>
      <c r="P246" s="90" t="str">
        <f>IF(VLOOKUP(UncLookup[[#This Row],[Item]],Items!$A$1:$F$43,3,FALSE)=0,"",VLOOKUP(UncLookup[[#This Row],[Item]],Items!$A$1:$F$43,3,FALSE))</f>
        <v/>
      </c>
      <c r="Q246" s="90" t="str">
        <f>IF(VLOOKUP(UncLookup[[#This Row],[Item]],Items!$A$1:$F$43,4,FALSE)=0,"",VLOOKUP(UncLookup[[#This Row],[Item]],Items!$A$1:$F$43,4,FALSE))</f>
        <v>J</v>
      </c>
    </row>
    <row r="247" spans="1:17" x14ac:dyDescent="0.25">
      <c r="A247" s="76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90" t="str">
        <f>IF(VLOOKUP(UncLookup[[#This Row],[Item]],Items!$A$1:$F$43,2,FALSE)=0,"",VLOOKUP(UncLookup[[#This Row],[Item]],Items!$A$1:$F$43,2,FALSE))</f>
        <v/>
      </c>
      <c r="P247" s="90" t="str">
        <f>IF(VLOOKUP(UncLookup[[#This Row],[Item]],Items!$A$1:$F$43,3,FALSE)=0,"",VLOOKUP(UncLookup[[#This Row],[Item]],Items!$A$1:$F$43,3,FALSE))</f>
        <v/>
      </c>
      <c r="Q247" s="90" t="str">
        <f>IF(VLOOKUP(UncLookup[[#This Row],[Item]],Items!$A$1:$F$43,4,FALSE)=0,"",VLOOKUP(UncLookup[[#This Row],[Item]],Items!$A$1:$F$43,4,FALSE))</f>
        <v>J</v>
      </c>
    </row>
    <row r="248" spans="1:17" x14ac:dyDescent="0.25">
      <c r="A248" s="75" t="s">
        <v>56</v>
      </c>
      <c r="B248" s="75" t="s">
        <v>83</v>
      </c>
      <c r="C248" s="75">
        <v>1350.001</v>
      </c>
      <c r="D248" s="75">
        <v>2192</v>
      </c>
      <c r="E248" s="75">
        <v>0.1</v>
      </c>
      <c r="F248" s="75" t="s">
        <v>26</v>
      </c>
      <c r="G248" s="75" t="s">
        <v>26</v>
      </c>
      <c r="H248" s="75">
        <v>0</v>
      </c>
      <c r="I248" s="75">
        <v>0</v>
      </c>
      <c r="J248" s="75"/>
      <c r="K248" s="75">
        <v>0.11</v>
      </c>
      <c r="L248" s="75">
        <v>0</v>
      </c>
      <c r="M248" s="75">
        <v>9.0691639000000004E-2</v>
      </c>
      <c r="N248" s="75">
        <v>0</v>
      </c>
      <c r="O248" s="90" t="str">
        <f>IF(VLOOKUP(UncLookup[[#This Row],[Item]],Items!$A$1:$F$43,2,FALSE)=0,"",VLOOKUP(UncLookup[[#This Row],[Item]],Items!$A$1:$F$43,2,FALSE))</f>
        <v/>
      </c>
      <c r="P248" s="90" t="str">
        <f>IF(VLOOKUP(UncLookup[[#This Row],[Item]],Items!$A$1:$F$43,3,FALSE)=0,"",VLOOKUP(UncLookup[[#This Row],[Item]],Items!$A$1:$F$43,3,FALSE))</f>
        <v/>
      </c>
      <c r="Q248" s="90" t="str">
        <f>IF(VLOOKUP(UncLookup[[#This Row],[Item]],Items!$A$1:$F$43,4,FALSE)=0,"",VLOOKUP(UncLookup[[#This Row],[Item]],Items!$A$1:$F$43,4,FALSE))</f>
        <v>J</v>
      </c>
    </row>
    <row r="249" spans="1:17" x14ac:dyDescent="0.25">
      <c r="A249" s="76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90" t="str">
        <f>IF(VLOOKUP(UncLookup[[#This Row],[Item]],Items!$A$1:$F$43,2,FALSE)=0,"",VLOOKUP(UncLookup[[#This Row],[Item]],Items!$A$1:$F$43,2,FALSE))</f>
        <v/>
      </c>
      <c r="P249" s="90" t="str">
        <f>IF(VLOOKUP(UncLookup[[#This Row],[Item]],Items!$A$1:$F$43,3,FALSE)=0,"",VLOOKUP(UncLookup[[#This Row],[Item]],Items!$A$1:$F$43,3,FALSE))</f>
        <v/>
      </c>
      <c r="Q249" s="90" t="str">
        <f>IF(VLOOKUP(UncLookup[[#This Row],[Item]],Items!$A$1:$F$43,4,FALSE)=0,"",VLOOKUP(UncLookup[[#This Row],[Item]],Items!$A$1:$F$43,4,FALSE))</f>
        <v>J</v>
      </c>
    </row>
    <row r="250" spans="1:17" x14ac:dyDescent="0.25">
      <c r="A250" s="75" t="s">
        <v>56</v>
      </c>
      <c r="B250" s="75" t="s">
        <v>82</v>
      </c>
      <c r="C250" s="75">
        <v>-454</v>
      </c>
      <c r="D250" s="75">
        <v>300</v>
      </c>
      <c r="E250" s="75">
        <v>0.1</v>
      </c>
      <c r="F250" s="75" t="s">
        <v>26</v>
      </c>
      <c r="G250" s="75" t="s">
        <v>26</v>
      </c>
      <c r="H250" s="75">
        <v>0</v>
      </c>
      <c r="I250" s="75">
        <v>0</v>
      </c>
      <c r="J250" s="75"/>
      <c r="K250" s="75">
        <v>0.12</v>
      </c>
      <c r="L250" s="75">
        <v>0</v>
      </c>
      <c r="M250" s="75">
        <v>8.4620388000000005E-2</v>
      </c>
      <c r="N250" s="75">
        <v>0</v>
      </c>
      <c r="O250" s="90" t="str">
        <f>IF(VLOOKUP(UncLookup[[#This Row],[Item]],Items!$A$1:$F$43,2,FALSE)=0,"",VLOOKUP(UncLookup[[#This Row],[Item]],Items!$A$1:$F$43,2,FALSE))</f>
        <v/>
      </c>
      <c r="P250" s="90" t="str">
        <f>IF(VLOOKUP(UncLookup[[#This Row],[Item]],Items!$A$1:$F$43,3,FALSE)=0,"",VLOOKUP(UncLookup[[#This Row],[Item]],Items!$A$1:$F$43,3,FALSE))</f>
        <v/>
      </c>
      <c r="Q250" s="90" t="str">
        <f>IF(VLOOKUP(UncLookup[[#This Row],[Item]],Items!$A$1:$F$43,4,FALSE)=0,"",VLOOKUP(UncLookup[[#This Row],[Item]],Items!$A$1:$F$43,4,FALSE))</f>
        <v>E</v>
      </c>
    </row>
    <row r="251" spans="1:17" x14ac:dyDescent="0.25">
      <c r="A251" s="76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90" t="str">
        <f>IF(VLOOKUP(UncLookup[[#This Row],[Item]],Items!$A$1:$F$43,2,FALSE)=0,"",VLOOKUP(UncLookup[[#This Row],[Item]],Items!$A$1:$F$43,2,FALSE))</f>
        <v/>
      </c>
      <c r="P251" s="90" t="str">
        <f>IF(VLOOKUP(UncLookup[[#This Row],[Item]],Items!$A$1:$F$43,3,FALSE)=0,"",VLOOKUP(UncLookup[[#This Row],[Item]],Items!$A$1:$F$43,3,FALSE))</f>
        <v/>
      </c>
      <c r="Q251" s="90" t="str">
        <f>IF(VLOOKUP(UncLookup[[#This Row],[Item]],Items!$A$1:$F$43,4,FALSE)=0,"",VLOOKUP(UncLookup[[#This Row],[Item]],Items!$A$1:$F$43,4,FALSE))</f>
        <v>E</v>
      </c>
    </row>
    <row r="252" spans="1:17" x14ac:dyDescent="0.25">
      <c r="A252" s="75" t="s">
        <v>56</v>
      </c>
      <c r="B252" s="75" t="s">
        <v>82</v>
      </c>
      <c r="C252" s="75">
        <v>300.00099999999998</v>
      </c>
      <c r="D252" s="75">
        <v>1100</v>
      </c>
      <c r="E252" s="75">
        <v>0.1</v>
      </c>
      <c r="F252" s="75" t="s">
        <v>26</v>
      </c>
      <c r="G252" s="75" t="s">
        <v>26</v>
      </c>
      <c r="H252" s="75">
        <v>0</v>
      </c>
      <c r="I252" s="75">
        <v>0</v>
      </c>
      <c r="J252" s="75"/>
      <c r="K252" s="75">
        <v>0.09</v>
      </c>
      <c r="L252" s="75">
        <v>0</v>
      </c>
      <c r="M252" s="75">
        <v>8.4258116999999993E-2</v>
      </c>
      <c r="N252" s="75">
        <v>0</v>
      </c>
      <c r="O252" s="90" t="str">
        <f>IF(VLOOKUP(UncLookup[[#This Row],[Item]],Items!$A$1:$F$43,2,FALSE)=0,"",VLOOKUP(UncLookup[[#This Row],[Item]],Items!$A$1:$F$43,2,FALSE))</f>
        <v/>
      </c>
      <c r="P252" s="90" t="str">
        <f>IF(VLOOKUP(UncLookup[[#This Row],[Item]],Items!$A$1:$F$43,3,FALSE)=0,"",VLOOKUP(UncLookup[[#This Row],[Item]],Items!$A$1:$F$43,3,FALSE))</f>
        <v/>
      </c>
      <c r="Q252" s="90" t="str">
        <f>IF(VLOOKUP(UncLookup[[#This Row],[Item]],Items!$A$1:$F$43,4,FALSE)=0,"",VLOOKUP(UncLookup[[#This Row],[Item]],Items!$A$1:$F$43,4,FALSE))</f>
        <v>E</v>
      </c>
    </row>
    <row r="253" spans="1:17" x14ac:dyDescent="0.25">
      <c r="A253" s="76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90" t="str">
        <f>IF(VLOOKUP(UncLookup[[#This Row],[Item]],Items!$A$1:$F$43,2,FALSE)=0,"",VLOOKUP(UncLookup[[#This Row],[Item]],Items!$A$1:$F$43,2,FALSE))</f>
        <v/>
      </c>
      <c r="P253" s="90" t="str">
        <f>IF(VLOOKUP(UncLookup[[#This Row],[Item]],Items!$A$1:$F$43,3,FALSE)=0,"",VLOOKUP(UncLookup[[#This Row],[Item]],Items!$A$1:$F$43,3,FALSE))</f>
        <v/>
      </c>
      <c r="Q253" s="90" t="str">
        <f>IF(VLOOKUP(UncLookup[[#This Row],[Item]],Items!$A$1:$F$43,4,FALSE)=0,"",VLOOKUP(UncLookup[[#This Row],[Item]],Items!$A$1:$F$43,4,FALSE))</f>
        <v>E</v>
      </c>
    </row>
    <row r="254" spans="1:17" x14ac:dyDescent="0.25">
      <c r="A254" s="75" t="s">
        <v>56</v>
      </c>
      <c r="B254" s="75" t="s">
        <v>82</v>
      </c>
      <c r="C254" s="75">
        <v>1100.001</v>
      </c>
      <c r="D254" s="75">
        <v>1832</v>
      </c>
      <c r="E254" s="75">
        <v>0.1</v>
      </c>
      <c r="F254" s="75" t="s">
        <v>26</v>
      </c>
      <c r="G254" s="75" t="s">
        <v>26</v>
      </c>
      <c r="H254" s="75">
        <v>0</v>
      </c>
      <c r="I254" s="75">
        <v>0</v>
      </c>
      <c r="J254" s="75"/>
      <c r="K254" s="75">
        <v>9.1750578999999999E-2</v>
      </c>
      <c r="L254" s="75">
        <v>0</v>
      </c>
      <c r="M254" s="75">
        <v>8.7890410000000002E-2</v>
      </c>
      <c r="N254" s="75">
        <v>0</v>
      </c>
      <c r="O254" s="90" t="str">
        <f>IF(VLOOKUP(UncLookup[[#This Row],[Item]],Items!$A$1:$F$43,2,FALSE)=0,"",VLOOKUP(UncLookup[[#This Row],[Item]],Items!$A$1:$F$43,2,FALSE))</f>
        <v/>
      </c>
      <c r="P254" s="90" t="str">
        <f>IF(VLOOKUP(UncLookup[[#This Row],[Item]],Items!$A$1:$F$43,3,FALSE)=0,"",VLOOKUP(UncLookup[[#This Row],[Item]],Items!$A$1:$F$43,3,FALSE))</f>
        <v/>
      </c>
      <c r="Q254" s="90" t="str">
        <f>IF(VLOOKUP(UncLookup[[#This Row],[Item]],Items!$A$1:$F$43,4,FALSE)=0,"",VLOOKUP(UncLookup[[#This Row],[Item]],Items!$A$1:$F$43,4,FALSE))</f>
        <v>E</v>
      </c>
    </row>
    <row r="255" spans="1:17" x14ac:dyDescent="0.25">
      <c r="A255" s="76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90" t="str">
        <f>IF(VLOOKUP(UncLookup[[#This Row],[Item]],Items!$A$1:$F$43,2,FALSE)=0,"",VLOOKUP(UncLookup[[#This Row],[Item]],Items!$A$1:$F$43,2,FALSE))</f>
        <v/>
      </c>
      <c r="P255" s="90" t="str">
        <f>IF(VLOOKUP(UncLookup[[#This Row],[Item]],Items!$A$1:$F$43,3,FALSE)=0,"",VLOOKUP(UncLookup[[#This Row],[Item]],Items!$A$1:$F$43,3,FALSE))</f>
        <v/>
      </c>
      <c r="Q255" s="90" t="str">
        <f>IF(VLOOKUP(UncLookup[[#This Row],[Item]],Items!$A$1:$F$43,4,FALSE)=0,"",VLOOKUP(UncLookup[[#This Row],[Item]],Items!$A$1:$F$43,4,FALSE))</f>
        <v>E</v>
      </c>
    </row>
    <row r="256" spans="1:17" x14ac:dyDescent="0.25">
      <c r="A256" s="75" t="s">
        <v>56</v>
      </c>
      <c r="B256" s="75" t="s">
        <v>3</v>
      </c>
      <c r="C256" s="75">
        <v>0</v>
      </c>
      <c r="D256" s="75">
        <v>0.1</v>
      </c>
      <c r="E256" s="75">
        <v>1E-8</v>
      </c>
      <c r="F256" s="75" t="s">
        <v>6</v>
      </c>
      <c r="G256" s="75" t="s">
        <v>5</v>
      </c>
      <c r="H256" s="75">
        <v>0</v>
      </c>
      <c r="I256" s="75">
        <v>0</v>
      </c>
      <c r="J256" s="75"/>
      <c r="K256" s="75">
        <v>0.62</v>
      </c>
      <c r="L256" s="75">
        <v>8</v>
      </c>
      <c r="M256" s="75">
        <v>0.60546</v>
      </c>
      <c r="N256" s="75">
        <v>8.1091999999999995</v>
      </c>
      <c r="O256" s="90" t="str">
        <f>IF(VLOOKUP(UncLookup[[#This Row],[Item]],Items!$A$1:$F$43,2,FALSE)=0,"",VLOOKUP(UncLookup[[#This Row],[Item]],Items!$A$1:$F$43,2,FALSE))</f>
        <v/>
      </c>
      <c r="P256" s="90" t="str">
        <f>IF(VLOOKUP(UncLookup[[#This Row],[Item]],Items!$A$1:$F$43,3,FALSE)=0,"",VLOOKUP(UncLookup[[#This Row],[Item]],Items!$A$1:$F$43,3,FALSE))</f>
        <v/>
      </c>
      <c r="Q256" s="90" t="str">
        <f>IF(VLOOKUP(UncLookup[[#This Row],[Item]],Items!$A$1:$F$43,4,FALSE)=0,"",VLOOKUP(UncLookup[[#This Row],[Item]],Items!$A$1:$F$43,4,FALSE))</f>
        <v/>
      </c>
    </row>
    <row r="257" spans="1:17" x14ac:dyDescent="0.25">
      <c r="A257" s="76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90" t="str">
        <f>IF(VLOOKUP(UncLookup[[#This Row],[Item]],Items!$A$1:$F$43,2,FALSE)=0,"",VLOOKUP(UncLookup[[#This Row],[Item]],Items!$A$1:$F$43,2,FALSE))</f>
        <v/>
      </c>
      <c r="P257" s="90" t="str">
        <f>IF(VLOOKUP(UncLookup[[#This Row],[Item]],Items!$A$1:$F$43,3,FALSE)=0,"",VLOOKUP(UncLookup[[#This Row],[Item]],Items!$A$1:$F$43,3,FALSE))</f>
        <v/>
      </c>
      <c r="Q257" s="90" t="str">
        <f>IF(VLOOKUP(UncLookup[[#This Row],[Item]],Items!$A$1:$F$43,4,FALSE)=0,"",VLOOKUP(UncLookup[[#This Row],[Item]],Items!$A$1:$F$43,4,FALSE))</f>
        <v/>
      </c>
    </row>
    <row r="258" spans="1:17" x14ac:dyDescent="0.25">
      <c r="A258" s="75" t="s">
        <v>56</v>
      </c>
      <c r="B258" s="75" t="s">
        <v>3</v>
      </c>
      <c r="C258" s="75">
        <v>0</v>
      </c>
      <c r="D258" s="75">
        <v>0.1</v>
      </c>
      <c r="E258" s="75">
        <v>9.9999999999999995E-7</v>
      </c>
      <c r="F258" s="75" t="s">
        <v>6</v>
      </c>
      <c r="G258" s="75" t="s">
        <v>5</v>
      </c>
      <c r="H258" s="75">
        <v>0</v>
      </c>
      <c r="I258" s="75">
        <v>0</v>
      </c>
      <c r="J258" s="75"/>
      <c r="K258" s="75">
        <v>0.83938000000000001</v>
      </c>
      <c r="L258" s="75">
        <v>6.96</v>
      </c>
      <c r="M258" s="75">
        <v>0.83736999999999995</v>
      </c>
      <c r="N258" s="75">
        <v>6.93</v>
      </c>
      <c r="O258" s="90" t="str">
        <f>IF(VLOOKUP(UncLookup[[#This Row],[Item]],Items!$A$1:$F$43,2,FALSE)=0,"",VLOOKUP(UncLookup[[#This Row],[Item]],Items!$A$1:$F$43,2,FALSE))</f>
        <v/>
      </c>
      <c r="P258" s="90" t="str">
        <f>IF(VLOOKUP(UncLookup[[#This Row],[Item]],Items!$A$1:$F$43,3,FALSE)=0,"",VLOOKUP(UncLookup[[#This Row],[Item]],Items!$A$1:$F$43,3,FALSE))</f>
        <v/>
      </c>
      <c r="Q258" s="90" t="str">
        <f>IF(VLOOKUP(UncLookup[[#This Row],[Item]],Items!$A$1:$F$43,4,FALSE)=0,"",VLOOKUP(UncLookup[[#This Row],[Item]],Items!$A$1:$F$43,4,FALSE))</f>
        <v/>
      </c>
    </row>
    <row r="259" spans="1:17" x14ac:dyDescent="0.25">
      <c r="A259" s="76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90" t="str">
        <f>IF(VLOOKUP(UncLookup[[#This Row],[Item]],Items!$A$1:$F$43,2,FALSE)=0,"",VLOOKUP(UncLookup[[#This Row],[Item]],Items!$A$1:$F$43,2,FALSE))</f>
        <v/>
      </c>
      <c r="P259" s="90" t="str">
        <f>IF(VLOOKUP(UncLookup[[#This Row],[Item]],Items!$A$1:$F$43,3,FALSE)=0,"",VLOOKUP(UncLookup[[#This Row],[Item]],Items!$A$1:$F$43,3,FALSE))</f>
        <v/>
      </c>
      <c r="Q259" s="90" t="str">
        <f>IF(VLOOKUP(UncLookup[[#This Row],[Item]],Items!$A$1:$F$43,4,FALSE)=0,"",VLOOKUP(UncLookup[[#This Row],[Item]],Items!$A$1:$F$43,4,FALSE))</f>
        <v/>
      </c>
    </row>
    <row r="260" spans="1:17" x14ac:dyDescent="0.25">
      <c r="A260" s="75" t="s">
        <v>56</v>
      </c>
      <c r="B260" s="75" t="s">
        <v>3</v>
      </c>
      <c r="C260" s="75">
        <v>0</v>
      </c>
      <c r="D260" s="75">
        <v>0.1</v>
      </c>
      <c r="E260" s="75">
        <v>1E-4</v>
      </c>
      <c r="F260" s="75" t="s">
        <v>6</v>
      </c>
      <c r="G260" s="75" t="s">
        <v>5</v>
      </c>
      <c r="H260" s="75">
        <v>0</v>
      </c>
      <c r="I260" s="75">
        <v>0</v>
      </c>
      <c r="J260" s="75"/>
      <c r="K260" s="75">
        <v>58.003999999999998</v>
      </c>
      <c r="L260" s="75">
        <v>0.15762999999999999</v>
      </c>
      <c r="M260" s="75">
        <v>58.003</v>
      </c>
      <c r="N260" s="75">
        <v>0.14188000000000001</v>
      </c>
      <c r="O260" s="90" t="str">
        <f>IF(VLOOKUP(UncLookup[[#This Row],[Item]],Items!$A$1:$F$43,2,FALSE)=0,"",VLOOKUP(UncLookup[[#This Row],[Item]],Items!$A$1:$F$43,2,FALSE))</f>
        <v/>
      </c>
      <c r="P260" s="90" t="str">
        <f>IF(VLOOKUP(UncLookup[[#This Row],[Item]],Items!$A$1:$F$43,3,FALSE)=0,"",VLOOKUP(UncLookup[[#This Row],[Item]],Items!$A$1:$F$43,3,FALSE))</f>
        <v/>
      </c>
      <c r="Q260" s="90" t="str">
        <f>IF(VLOOKUP(UncLookup[[#This Row],[Item]],Items!$A$1:$F$43,4,FALSE)=0,"",VLOOKUP(UncLookup[[#This Row],[Item]],Items!$A$1:$F$43,4,FALSE))</f>
        <v/>
      </c>
    </row>
    <row r="261" spans="1:17" x14ac:dyDescent="0.25">
      <c r="A261" s="76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90" t="str">
        <f>IF(VLOOKUP(UncLookup[[#This Row],[Item]],Items!$A$1:$F$43,2,FALSE)=0,"",VLOOKUP(UncLookup[[#This Row],[Item]],Items!$A$1:$F$43,2,FALSE))</f>
        <v/>
      </c>
      <c r="P261" s="90" t="str">
        <f>IF(VLOOKUP(UncLookup[[#This Row],[Item]],Items!$A$1:$F$43,3,FALSE)=0,"",VLOOKUP(UncLookup[[#This Row],[Item]],Items!$A$1:$F$43,3,FALSE))</f>
        <v/>
      </c>
      <c r="Q261" s="90" t="str">
        <f>IF(VLOOKUP(UncLookup[[#This Row],[Item]],Items!$A$1:$F$43,4,FALSE)=0,"",VLOOKUP(UncLookup[[#This Row],[Item]],Items!$A$1:$F$43,4,FALSE))</f>
        <v/>
      </c>
    </row>
    <row r="262" spans="1:17" x14ac:dyDescent="0.25">
      <c r="A262" s="75" t="s">
        <v>56</v>
      </c>
      <c r="B262" s="75" t="s">
        <v>3</v>
      </c>
      <c r="C262" s="75">
        <v>0</v>
      </c>
      <c r="D262" s="75">
        <v>0.1</v>
      </c>
      <c r="E262" s="75">
        <v>0.01</v>
      </c>
      <c r="F262" s="75" t="s">
        <v>6</v>
      </c>
      <c r="G262" s="75" t="s">
        <v>4</v>
      </c>
      <c r="H262" s="75">
        <v>0</v>
      </c>
      <c r="I262" s="75">
        <v>0</v>
      </c>
      <c r="J262" s="75"/>
      <c r="K262" s="75">
        <v>5.8</v>
      </c>
      <c r="L262" s="75">
        <v>3.9400000000000004E-6</v>
      </c>
      <c r="M262" s="75">
        <v>5.7999000000000001</v>
      </c>
      <c r="N262" s="75">
        <v>1.4191000000000001E-6</v>
      </c>
      <c r="O262" s="90" t="str">
        <f>IF(VLOOKUP(UncLookup[[#This Row],[Item]],Items!$A$1:$F$43,2,FALSE)=0,"",VLOOKUP(UncLookup[[#This Row],[Item]],Items!$A$1:$F$43,2,FALSE))</f>
        <v/>
      </c>
      <c r="P262" s="90" t="str">
        <f>IF(VLOOKUP(UncLookup[[#This Row],[Item]],Items!$A$1:$F$43,3,FALSE)=0,"",VLOOKUP(UncLookup[[#This Row],[Item]],Items!$A$1:$F$43,3,FALSE))</f>
        <v/>
      </c>
      <c r="Q262" s="90" t="str">
        <f>IF(VLOOKUP(UncLookup[[#This Row],[Item]],Items!$A$1:$F$43,4,FALSE)=0,"",VLOOKUP(UncLookup[[#This Row],[Item]],Items!$A$1:$F$43,4,FALSE))</f>
        <v/>
      </c>
    </row>
    <row r="263" spans="1:17" x14ac:dyDescent="0.25">
      <c r="A263" s="76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90" t="str">
        <f>IF(VLOOKUP(UncLookup[[#This Row],[Item]],Items!$A$1:$F$43,2,FALSE)=0,"",VLOOKUP(UncLookup[[#This Row],[Item]],Items!$A$1:$F$43,2,FALSE))</f>
        <v/>
      </c>
      <c r="P263" s="90" t="str">
        <f>IF(VLOOKUP(UncLookup[[#This Row],[Item]],Items!$A$1:$F$43,3,FALSE)=0,"",VLOOKUP(UncLookup[[#This Row],[Item]],Items!$A$1:$F$43,3,FALSE))</f>
        <v/>
      </c>
      <c r="Q263" s="90" t="str">
        <f>IF(VLOOKUP(UncLookup[[#This Row],[Item]],Items!$A$1:$F$43,4,FALSE)=0,"",VLOOKUP(UncLookup[[#This Row],[Item]],Items!$A$1:$F$43,4,FALSE))</f>
        <v/>
      </c>
    </row>
    <row r="264" spans="1:17" x14ac:dyDescent="0.25">
      <c r="A264" s="75" t="s">
        <v>56</v>
      </c>
      <c r="B264" s="75" t="s">
        <v>3</v>
      </c>
      <c r="C264" s="75">
        <v>0</v>
      </c>
      <c r="D264" s="75">
        <v>0.1</v>
      </c>
      <c r="E264" s="75">
        <v>1</v>
      </c>
      <c r="F264" s="75" t="s">
        <v>6</v>
      </c>
      <c r="G264" s="75" t="s">
        <v>4</v>
      </c>
      <c r="H264" s="75">
        <v>0</v>
      </c>
      <c r="I264" s="75">
        <v>0</v>
      </c>
      <c r="J264" s="75"/>
      <c r="K264" s="75">
        <v>580</v>
      </c>
      <c r="L264" s="75">
        <v>4.1754000000000002E-7</v>
      </c>
      <c r="M264" s="75">
        <v>580</v>
      </c>
      <c r="N264" s="75">
        <v>1.4190999999999999E-8</v>
      </c>
      <c r="O264" s="90" t="str">
        <f>IF(VLOOKUP(UncLookup[[#This Row],[Item]],Items!$A$1:$F$43,2,FALSE)=0,"",VLOOKUP(UncLookup[[#This Row],[Item]],Items!$A$1:$F$43,2,FALSE))</f>
        <v/>
      </c>
      <c r="P264" s="90" t="str">
        <f>IF(VLOOKUP(UncLookup[[#This Row],[Item]],Items!$A$1:$F$43,3,FALSE)=0,"",VLOOKUP(UncLookup[[#This Row],[Item]],Items!$A$1:$F$43,3,FALSE))</f>
        <v/>
      </c>
      <c r="Q264" s="90" t="str">
        <f>IF(VLOOKUP(UncLookup[[#This Row],[Item]],Items!$A$1:$F$43,4,FALSE)=0,"",VLOOKUP(UncLookup[[#This Row],[Item]],Items!$A$1:$F$43,4,FALSE))</f>
        <v/>
      </c>
    </row>
    <row r="265" spans="1:17" x14ac:dyDescent="0.25">
      <c r="A265" s="76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90" t="str">
        <f>IF(VLOOKUP(UncLookup[[#This Row],[Item]],Items!$A$1:$F$43,2,FALSE)=0,"",VLOOKUP(UncLookup[[#This Row],[Item]],Items!$A$1:$F$43,2,FALSE))</f>
        <v/>
      </c>
      <c r="P265" s="90" t="str">
        <f>IF(VLOOKUP(UncLookup[[#This Row],[Item]],Items!$A$1:$F$43,3,FALSE)=0,"",VLOOKUP(UncLookup[[#This Row],[Item]],Items!$A$1:$F$43,3,FALSE))</f>
        <v/>
      </c>
      <c r="Q265" s="90" t="str">
        <f>IF(VLOOKUP(UncLookup[[#This Row],[Item]],Items!$A$1:$F$43,4,FALSE)=0,"",VLOOKUP(UncLookup[[#This Row],[Item]],Items!$A$1:$F$43,4,FALSE))</f>
        <v/>
      </c>
    </row>
    <row r="266" spans="1:17" x14ac:dyDescent="0.25">
      <c r="A266" s="75" t="s">
        <v>56</v>
      </c>
      <c r="B266" s="75" t="s">
        <v>3</v>
      </c>
      <c r="C266" s="75">
        <v>0.1</v>
      </c>
      <c r="D266" s="75">
        <v>1</v>
      </c>
      <c r="E266" s="75">
        <v>9.9999999999999995E-8</v>
      </c>
      <c r="F266" s="75" t="s">
        <v>6</v>
      </c>
      <c r="G266" s="75" t="s">
        <v>5</v>
      </c>
      <c r="H266" s="75">
        <v>0</v>
      </c>
      <c r="I266" s="75">
        <v>0</v>
      </c>
      <c r="J266" s="75"/>
      <c r="K266" s="75">
        <v>0.44094</v>
      </c>
      <c r="L266" s="75">
        <v>5.99</v>
      </c>
      <c r="M266" s="75">
        <v>0.43908999999999998</v>
      </c>
      <c r="N266" s="75">
        <v>5.9911000000000003</v>
      </c>
      <c r="O266" s="90" t="str">
        <f>IF(VLOOKUP(UncLookup[[#This Row],[Item]],Items!$A$1:$F$43,2,FALSE)=0,"",VLOOKUP(UncLookup[[#This Row],[Item]],Items!$A$1:$F$43,2,FALSE))</f>
        <v/>
      </c>
      <c r="P266" s="90" t="str">
        <f>IF(VLOOKUP(UncLookup[[#This Row],[Item]],Items!$A$1:$F$43,3,FALSE)=0,"",VLOOKUP(UncLookup[[#This Row],[Item]],Items!$A$1:$F$43,3,FALSE))</f>
        <v/>
      </c>
      <c r="Q266" s="90" t="str">
        <f>IF(VLOOKUP(UncLookup[[#This Row],[Item]],Items!$A$1:$F$43,4,FALSE)=0,"",VLOOKUP(UncLookup[[#This Row],[Item]],Items!$A$1:$F$43,4,FALSE))</f>
        <v/>
      </c>
    </row>
    <row r="267" spans="1:17" x14ac:dyDescent="0.25">
      <c r="A267" s="76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90" t="str">
        <f>IF(VLOOKUP(UncLookup[[#This Row],[Item]],Items!$A$1:$F$43,2,FALSE)=0,"",VLOOKUP(UncLookup[[#This Row],[Item]],Items!$A$1:$F$43,2,FALSE))</f>
        <v/>
      </c>
      <c r="P267" s="90" t="str">
        <f>IF(VLOOKUP(UncLookup[[#This Row],[Item]],Items!$A$1:$F$43,3,FALSE)=0,"",VLOOKUP(UncLookup[[#This Row],[Item]],Items!$A$1:$F$43,3,FALSE))</f>
        <v/>
      </c>
      <c r="Q267" s="90" t="str">
        <f>IF(VLOOKUP(UncLookup[[#This Row],[Item]],Items!$A$1:$F$43,4,FALSE)=0,"",VLOOKUP(UncLookup[[#This Row],[Item]],Items!$A$1:$F$43,4,FALSE))</f>
        <v/>
      </c>
    </row>
    <row r="268" spans="1:17" x14ac:dyDescent="0.25">
      <c r="A268" s="75" t="s">
        <v>56</v>
      </c>
      <c r="B268" s="75" t="s">
        <v>3</v>
      </c>
      <c r="C268" s="75">
        <v>0.1</v>
      </c>
      <c r="D268" s="75">
        <v>1</v>
      </c>
      <c r="E268" s="75">
        <v>1.0000000000000001E-5</v>
      </c>
      <c r="F268" s="75" t="s">
        <v>6</v>
      </c>
      <c r="G268" s="75" t="s">
        <v>5</v>
      </c>
      <c r="H268" s="75">
        <v>0</v>
      </c>
      <c r="I268" s="75">
        <v>0</v>
      </c>
      <c r="J268" s="75"/>
      <c r="K268" s="75">
        <v>5.5890000000000004</v>
      </c>
      <c r="L268" s="75">
        <v>3.0792000000000002</v>
      </c>
      <c r="M268" s="75">
        <v>5.5845000000000002</v>
      </c>
      <c r="N268" s="75">
        <v>3.0749</v>
      </c>
      <c r="O268" s="90" t="str">
        <f>IF(VLOOKUP(UncLookup[[#This Row],[Item]],Items!$A$1:$F$43,2,FALSE)=0,"",VLOOKUP(UncLookup[[#This Row],[Item]],Items!$A$1:$F$43,2,FALSE))</f>
        <v/>
      </c>
      <c r="P268" s="90" t="str">
        <f>IF(VLOOKUP(UncLookup[[#This Row],[Item]],Items!$A$1:$F$43,3,FALSE)=0,"",VLOOKUP(UncLookup[[#This Row],[Item]],Items!$A$1:$F$43,3,FALSE))</f>
        <v/>
      </c>
      <c r="Q268" s="90" t="str">
        <f>IF(VLOOKUP(UncLookup[[#This Row],[Item]],Items!$A$1:$F$43,4,FALSE)=0,"",VLOOKUP(UncLookup[[#This Row],[Item]],Items!$A$1:$F$43,4,FALSE))</f>
        <v/>
      </c>
    </row>
    <row r="269" spans="1:17" x14ac:dyDescent="0.25">
      <c r="A269" s="76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90" t="str">
        <f>IF(VLOOKUP(UncLookup[[#This Row],[Item]],Items!$A$1:$F$43,2,FALSE)=0,"",VLOOKUP(UncLookup[[#This Row],[Item]],Items!$A$1:$F$43,2,FALSE))</f>
        <v/>
      </c>
      <c r="P269" s="90" t="str">
        <f>IF(VLOOKUP(UncLookup[[#This Row],[Item]],Items!$A$1:$F$43,3,FALSE)=0,"",VLOOKUP(UncLookup[[#This Row],[Item]],Items!$A$1:$F$43,3,FALSE))</f>
        <v/>
      </c>
      <c r="Q269" s="90" t="str">
        <f>IF(VLOOKUP(UncLookup[[#This Row],[Item]],Items!$A$1:$F$43,4,FALSE)=0,"",VLOOKUP(UncLookup[[#This Row],[Item]],Items!$A$1:$F$43,4,FALSE))</f>
        <v/>
      </c>
    </row>
    <row r="270" spans="1:17" x14ac:dyDescent="0.25">
      <c r="A270" s="75" t="s">
        <v>56</v>
      </c>
      <c r="B270" s="75" t="s">
        <v>3</v>
      </c>
      <c r="C270" s="75">
        <v>0.1</v>
      </c>
      <c r="D270" s="75">
        <v>1</v>
      </c>
      <c r="E270" s="75">
        <v>1E-3</v>
      </c>
      <c r="F270" s="75" t="s">
        <v>6</v>
      </c>
      <c r="G270" s="75" t="s">
        <v>5</v>
      </c>
      <c r="H270" s="75">
        <v>0</v>
      </c>
      <c r="I270" s="75">
        <v>0</v>
      </c>
      <c r="J270" s="75"/>
      <c r="K270" s="75">
        <v>580</v>
      </c>
      <c r="L270" s="75">
        <v>4.0017999999999998E-2</v>
      </c>
      <c r="M270" s="75">
        <v>579.96</v>
      </c>
      <c r="N270" s="75">
        <v>3.8571000000000001E-2</v>
      </c>
      <c r="O270" s="90" t="str">
        <f>IF(VLOOKUP(UncLookup[[#This Row],[Item]],Items!$A$1:$F$43,2,FALSE)=0,"",VLOOKUP(UncLookup[[#This Row],[Item]],Items!$A$1:$F$43,2,FALSE))</f>
        <v/>
      </c>
      <c r="P270" s="90" t="str">
        <f>IF(VLOOKUP(UncLookup[[#This Row],[Item]],Items!$A$1:$F$43,3,FALSE)=0,"",VLOOKUP(UncLookup[[#This Row],[Item]],Items!$A$1:$F$43,3,FALSE))</f>
        <v/>
      </c>
      <c r="Q270" s="90" t="str">
        <f>IF(VLOOKUP(UncLookup[[#This Row],[Item]],Items!$A$1:$F$43,4,FALSE)=0,"",VLOOKUP(UncLookup[[#This Row],[Item]],Items!$A$1:$F$43,4,FALSE))</f>
        <v/>
      </c>
    </row>
    <row r="271" spans="1:17" x14ac:dyDescent="0.25">
      <c r="A271" s="76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90" t="str">
        <f>IF(VLOOKUP(UncLookup[[#This Row],[Item]],Items!$A$1:$F$43,2,FALSE)=0,"",VLOOKUP(UncLookup[[#This Row],[Item]],Items!$A$1:$F$43,2,FALSE))</f>
        <v/>
      </c>
      <c r="P271" s="90" t="str">
        <f>IF(VLOOKUP(UncLookup[[#This Row],[Item]],Items!$A$1:$F$43,3,FALSE)=0,"",VLOOKUP(UncLookup[[#This Row],[Item]],Items!$A$1:$F$43,3,FALSE))</f>
        <v/>
      </c>
      <c r="Q271" s="90" t="str">
        <f>IF(VLOOKUP(UncLookup[[#This Row],[Item]],Items!$A$1:$F$43,4,FALSE)=0,"",VLOOKUP(UncLookup[[#This Row],[Item]],Items!$A$1:$F$43,4,FALSE))</f>
        <v/>
      </c>
    </row>
    <row r="272" spans="1:17" x14ac:dyDescent="0.25">
      <c r="A272" s="75" t="s">
        <v>56</v>
      </c>
      <c r="B272" s="75" t="s">
        <v>3</v>
      </c>
      <c r="C272" s="75">
        <v>1</v>
      </c>
      <c r="D272" s="75">
        <v>10</v>
      </c>
      <c r="E272" s="75">
        <v>9.9999999999999995E-7</v>
      </c>
      <c r="F272" s="75" t="s">
        <v>6</v>
      </c>
      <c r="G272" s="75" t="s">
        <v>5</v>
      </c>
      <c r="H272" s="75">
        <v>0</v>
      </c>
      <c r="I272" s="75">
        <v>0</v>
      </c>
      <c r="J272" s="75"/>
      <c r="K272" s="75">
        <v>1.2</v>
      </c>
      <c r="L272" s="75">
        <v>5.3409000000000004</v>
      </c>
      <c r="M272" s="75">
        <v>0.78898000000000001</v>
      </c>
      <c r="N272" s="75">
        <v>5.3410000000000002</v>
      </c>
      <c r="O272" s="90" t="str">
        <f>IF(VLOOKUP(UncLookup[[#This Row],[Item]],Items!$A$1:$F$43,2,FALSE)=0,"",VLOOKUP(UncLookup[[#This Row],[Item]],Items!$A$1:$F$43,2,FALSE))</f>
        <v/>
      </c>
      <c r="P272" s="90" t="str">
        <f>IF(VLOOKUP(UncLookup[[#This Row],[Item]],Items!$A$1:$F$43,3,FALSE)=0,"",VLOOKUP(UncLookup[[#This Row],[Item]],Items!$A$1:$F$43,3,FALSE))</f>
        <v/>
      </c>
      <c r="Q272" s="90" t="str">
        <f>IF(VLOOKUP(UncLookup[[#This Row],[Item]],Items!$A$1:$F$43,4,FALSE)=0,"",VLOOKUP(UncLookup[[#This Row],[Item]],Items!$A$1:$F$43,4,FALSE))</f>
        <v/>
      </c>
    </row>
    <row r="273" spans="1:17" x14ac:dyDescent="0.25">
      <c r="A273" s="76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90" t="str">
        <f>IF(VLOOKUP(UncLookup[[#This Row],[Item]],Items!$A$1:$F$43,2,FALSE)=0,"",VLOOKUP(UncLookup[[#This Row],[Item]],Items!$A$1:$F$43,2,FALSE))</f>
        <v/>
      </c>
      <c r="P273" s="90" t="str">
        <f>IF(VLOOKUP(UncLookup[[#This Row],[Item]],Items!$A$1:$F$43,3,FALSE)=0,"",VLOOKUP(UncLookup[[#This Row],[Item]],Items!$A$1:$F$43,3,FALSE))</f>
        <v/>
      </c>
      <c r="Q273" s="90" t="str">
        <f>IF(VLOOKUP(UncLookup[[#This Row],[Item]],Items!$A$1:$F$43,4,FALSE)=0,"",VLOOKUP(UncLookup[[#This Row],[Item]],Items!$A$1:$F$43,4,FALSE))</f>
        <v/>
      </c>
    </row>
    <row r="274" spans="1:17" x14ac:dyDescent="0.25">
      <c r="A274" s="75" t="s">
        <v>56</v>
      </c>
      <c r="B274" s="75" t="s">
        <v>3</v>
      </c>
      <c r="C274" s="75">
        <v>1</v>
      </c>
      <c r="D274" s="75">
        <v>10</v>
      </c>
      <c r="E274" s="75">
        <v>1E-4</v>
      </c>
      <c r="F274" s="75" t="s">
        <v>6</v>
      </c>
      <c r="G274" s="75" t="s">
        <v>5</v>
      </c>
      <c r="H274" s="75">
        <v>0</v>
      </c>
      <c r="I274" s="75">
        <v>0</v>
      </c>
      <c r="J274" s="75"/>
      <c r="K274" s="75">
        <v>55.981000000000002</v>
      </c>
      <c r="L274" s="75">
        <v>2.3401000000000001</v>
      </c>
      <c r="M274" s="75">
        <v>55.98</v>
      </c>
      <c r="N274" s="75">
        <v>2.34</v>
      </c>
      <c r="O274" s="90" t="str">
        <f>IF(VLOOKUP(UncLookup[[#This Row],[Item]],Items!$A$1:$F$43,2,FALSE)=0,"",VLOOKUP(UncLookup[[#This Row],[Item]],Items!$A$1:$F$43,2,FALSE))</f>
        <v/>
      </c>
      <c r="P274" s="90" t="str">
        <f>IF(VLOOKUP(UncLookup[[#This Row],[Item]],Items!$A$1:$F$43,3,FALSE)=0,"",VLOOKUP(UncLookup[[#This Row],[Item]],Items!$A$1:$F$43,3,FALSE))</f>
        <v/>
      </c>
      <c r="Q274" s="90" t="str">
        <f>IF(VLOOKUP(UncLookup[[#This Row],[Item]],Items!$A$1:$F$43,4,FALSE)=0,"",VLOOKUP(UncLookup[[#This Row],[Item]],Items!$A$1:$F$43,4,FALSE))</f>
        <v/>
      </c>
    </row>
    <row r="275" spans="1:17" x14ac:dyDescent="0.25">
      <c r="A275" s="76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90" t="str">
        <f>IF(VLOOKUP(UncLookup[[#This Row],[Item]],Items!$A$1:$F$43,2,FALSE)=0,"",VLOOKUP(UncLookup[[#This Row],[Item]],Items!$A$1:$F$43,2,FALSE))</f>
        <v/>
      </c>
      <c r="P275" s="90" t="str">
        <f>IF(VLOOKUP(UncLookup[[#This Row],[Item]],Items!$A$1:$F$43,3,FALSE)=0,"",VLOOKUP(UncLookup[[#This Row],[Item]],Items!$A$1:$F$43,3,FALSE))</f>
        <v/>
      </c>
      <c r="Q275" s="90" t="str">
        <f>IF(VLOOKUP(UncLookup[[#This Row],[Item]],Items!$A$1:$F$43,4,FALSE)=0,"",VLOOKUP(UncLookup[[#This Row],[Item]],Items!$A$1:$F$43,4,FALSE))</f>
        <v/>
      </c>
    </row>
    <row r="276" spans="1:17" x14ac:dyDescent="0.25">
      <c r="A276" s="75" t="s">
        <v>56</v>
      </c>
      <c r="B276" s="75" t="s">
        <v>3</v>
      </c>
      <c r="C276" s="75">
        <v>1</v>
      </c>
      <c r="D276" s="75">
        <v>10</v>
      </c>
      <c r="E276" s="75">
        <v>0.01</v>
      </c>
      <c r="F276" s="75" t="s">
        <v>6</v>
      </c>
      <c r="G276" s="75" t="s">
        <v>5</v>
      </c>
      <c r="H276" s="75">
        <v>0</v>
      </c>
      <c r="I276" s="75">
        <v>0</v>
      </c>
      <c r="J276" s="75"/>
      <c r="K276" s="75">
        <v>5800</v>
      </c>
      <c r="L276" s="75">
        <v>2.7807999999999999E-2</v>
      </c>
      <c r="M276" s="75">
        <v>5799.7</v>
      </c>
      <c r="N276" s="75">
        <v>2.7777E-2</v>
      </c>
      <c r="O276" s="90" t="str">
        <f>IF(VLOOKUP(UncLookup[[#This Row],[Item]],Items!$A$1:$F$43,2,FALSE)=0,"",VLOOKUP(UncLookup[[#This Row],[Item]],Items!$A$1:$F$43,2,FALSE))</f>
        <v/>
      </c>
      <c r="P276" s="90" t="str">
        <f>IF(VLOOKUP(UncLookup[[#This Row],[Item]],Items!$A$1:$F$43,3,FALSE)=0,"",VLOOKUP(UncLookup[[#This Row],[Item]],Items!$A$1:$F$43,3,FALSE))</f>
        <v/>
      </c>
      <c r="Q276" s="90" t="str">
        <f>IF(VLOOKUP(UncLookup[[#This Row],[Item]],Items!$A$1:$F$43,4,FALSE)=0,"",VLOOKUP(UncLookup[[#This Row],[Item]],Items!$A$1:$F$43,4,FALSE))</f>
        <v/>
      </c>
    </row>
    <row r="277" spans="1:17" x14ac:dyDescent="0.25">
      <c r="A277" s="76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90" t="str">
        <f>IF(VLOOKUP(UncLookup[[#This Row],[Item]],Items!$A$1:$F$43,2,FALSE)=0,"",VLOOKUP(UncLookup[[#This Row],[Item]],Items!$A$1:$F$43,2,FALSE))</f>
        <v/>
      </c>
      <c r="P277" s="90" t="str">
        <f>IF(VLOOKUP(UncLookup[[#This Row],[Item]],Items!$A$1:$F$43,3,FALSE)=0,"",VLOOKUP(UncLookup[[#This Row],[Item]],Items!$A$1:$F$43,3,FALSE))</f>
        <v/>
      </c>
      <c r="Q277" s="90" t="str">
        <f>IF(VLOOKUP(UncLookup[[#This Row],[Item]],Items!$A$1:$F$43,4,FALSE)=0,"",VLOOKUP(UncLookup[[#This Row],[Item]],Items!$A$1:$F$43,4,FALSE))</f>
        <v/>
      </c>
    </row>
    <row r="278" spans="1:17" x14ac:dyDescent="0.25">
      <c r="A278" s="75" t="s">
        <v>56</v>
      </c>
      <c r="B278" s="75" t="s">
        <v>3</v>
      </c>
      <c r="C278" s="75">
        <v>10</v>
      </c>
      <c r="D278" s="75">
        <v>100</v>
      </c>
      <c r="E278" s="75">
        <v>1.0000000000000001E-5</v>
      </c>
      <c r="F278" s="75" t="s">
        <v>6</v>
      </c>
      <c r="G278" s="75" t="s">
        <v>5</v>
      </c>
      <c r="H278" s="75">
        <v>0</v>
      </c>
      <c r="I278" s="75">
        <v>0</v>
      </c>
      <c r="J278" s="75"/>
      <c r="K278" s="75">
        <v>34</v>
      </c>
      <c r="L278" s="75">
        <v>7.7847999999999997</v>
      </c>
      <c r="M278" s="75">
        <v>33.299999999999997</v>
      </c>
      <c r="N278" s="75">
        <v>7.7850999999999999</v>
      </c>
      <c r="O278" s="90" t="str">
        <f>IF(VLOOKUP(UncLookup[[#This Row],[Item]],Items!$A$1:$F$43,2,FALSE)=0,"",VLOOKUP(UncLookup[[#This Row],[Item]],Items!$A$1:$F$43,2,FALSE))</f>
        <v/>
      </c>
      <c r="P278" s="90" t="str">
        <f>IF(VLOOKUP(UncLookup[[#This Row],[Item]],Items!$A$1:$F$43,3,FALSE)=0,"",VLOOKUP(UncLookup[[#This Row],[Item]],Items!$A$1:$F$43,3,FALSE))</f>
        <v/>
      </c>
      <c r="Q278" s="90" t="str">
        <f>IF(VLOOKUP(UncLookup[[#This Row],[Item]],Items!$A$1:$F$43,4,FALSE)=0,"",VLOOKUP(UncLookup[[#This Row],[Item]],Items!$A$1:$F$43,4,FALSE))</f>
        <v/>
      </c>
    </row>
    <row r="279" spans="1:17" x14ac:dyDescent="0.25">
      <c r="A279" s="76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90" t="str">
        <f>IF(VLOOKUP(UncLookup[[#This Row],[Item]],Items!$A$1:$F$43,2,FALSE)=0,"",VLOOKUP(UncLookup[[#This Row],[Item]],Items!$A$1:$F$43,2,FALSE))</f>
        <v/>
      </c>
      <c r="P279" s="90" t="str">
        <f>IF(VLOOKUP(UncLookup[[#This Row],[Item]],Items!$A$1:$F$43,3,FALSE)=0,"",VLOOKUP(UncLookup[[#This Row],[Item]],Items!$A$1:$F$43,3,FALSE))</f>
        <v/>
      </c>
      <c r="Q279" s="90" t="str">
        <f>IF(VLOOKUP(UncLookup[[#This Row],[Item]],Items!$A$1:$F$43,4,FALSE)=0,"",VLOOKUP(UncLookup[[#This Row],[Item]],Items!$A$1:$F$43,4,FALSE))</f>
        <v/>
      </c>
    </row>
    <row r="280" spans="1:17" x14ac:dyDescent="0.25">
      <c r="A280" s="75" t="s">
        <v>56</v>
      </c>
      <c r="B280" s="75" t="s">
        <v>3</v>
      </c>
      <c r="C280" s="75">
        <v>10</v>
      </c>
      <c r="D280" s="75">
        <v>100</v>
      </c>
      <c r="E280" s="75">
        <v>1E-3</v>
      </c>
      <c r="F280" s="75" t="s">
        <v>6</v>
      </c>
      <c r="G280" s="75" t="s">
        <v>5</v>
      </c>
      <c r="H280" s="75">
        <v>0</v>
      </c>
      <c r="I280" s="75">
        <v>0</v>
      </c>
      <c r="J280" s="75"/>
      <c r="K280" s="75">
        <v>545.46</v>
      </c>
      <c r="L280" s="75">
        <v>4.5282999999999998</v>
      </c>
      <c r="M280" s="75">
        <v>545.28</v>
      </c>
      <c r="N280" s="75">
        <v>4.5242000000000004</v>
      </c>
      <c r="O280" s="90" t="str">
        <f>IF(VLOOKUP(UncLookup[[#This Row],[Item]],Items!$A$1:$F$43,2,FALSE)=0,"",VLOOKUP(UncLookup[[#This Row],[Item]],Items!$A$1:$F$43,2,FALSE))</f>
        <v/>
      </c>
      <c r="P280" s="90" t="str">
        <f>IF(VLOOKUP(UncLookup[[#This Row],[Item]],Items!$A$1:$F$43,3,FALSE)=0,"",VLOOKUP(UncLookup[[#This Row],[Item]],Items!$A$1:$F$43,3,FALSE))</f>
        <v/>
      </c>
      <c r="Q280" s="90" t="str">
        <f>IF(VLOOKUP(UncLookup[[#This Row],[Item]],Items!$A$1:$F$43,4,FALSE)=0,"",VLOOKUP(UncLookup[[#This Row],[Item]],Items!$A$1:$F$43,4,FALSE))</f>
        <v/>
      </c>
    </row>
    <row r="281" spans="1:17" x14ac:dyDescent="0.25">
      <c r="A281" s="76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90" t="str">
        <f>IF(VLOOKUP(UncLookup[[#This Row],[Item]],Items!$A$1:$F$43,2,FALSE)=0,"",VLOOKUP(UncLookup[[#This Row],[Item]],Items!$A$1:$F$43,2,FALSE))</f>
        <v/>
      </c>
      <c r="P281" s="90" t="str">
        <f>IF(VLOOKUP(UncLookup[[#This Row],[Item]],Items!$A$1:$F$43,3,FALSE)=0,"",VLOOKUP(UncLookup[[#This Row],[Item]],Items!$A$1:$F$43,3,FALSE))</f>
        <v/>
      </c>
      <c r="Q281" s="90" t="str">
        <f>IF(VLOOKUP(UncLookup[[#This Row],[Item]],Items!$A$1:$F$43,4,FALSE)=0,"",VLOOKUP(UncLookup[[#This Row],[Item]],Items!$A$1:$F$43,4,FALSE))</f>
        <v/>
      </c>
    </row>
    <row r="282" spans="1:17" x14ac:dyDescent="0.25">
      <c r="A282" s="75" t="s">
        <v>56</v>
      </c>
      <c r="B282" s="75" t="s">
        <v>3</v>
      </c>
      <c r="C282" s="75">
        <v>100</v>
      </c>
      <c r="D282" s="75">
        <v>1000</v>
      </c>
      <c r="E282" s="75">
        <v>1.0000000000000001E-5</v>
      </c>
      <c r="F282" s="75" t="s">
        <v>6</v>
      </c>
      <c r="G282" s="75" t="s">
        <v>4</v>
      </c>
      <c r="H282" s="75">
        <v>0</v>
      </c>
      <c r="I282" s="75">
        <v>0</v>
      </c>
      <c r="J282" s="75"/>
      <c r="K282" s="75">
        <v>0.11</v>
      </c>
      <c r="L282" s="75">
        <v>8.6999999999999994E-3</v>
      </c>
      <c r="M282" s="75">
        <v>0.10063999999999999</v>
      </c>
      <c r="N282" s="75">
        <v>8.6546999999999995E-3</v>
      </c>
      <c r="O282" s="90" t="str">
        <f>IF(VLOOKUP(UncLookup[[#This Row],[Item]],Items!$A$1:$F$43,2,FALSE)=0,"",VLOOKUP(UncLookup[[#This Row],[Item]],Items!$A$1:$F$43,2,FALSE))</f>
        <v/>
      </c>
      <c r="P282" s="90" t="str">
        <f>IF(VLOOKUP(UncLookup[[#This Row],[Item]],Items!$A$1:$F$43,3,FALSE)=0,"",VLOOKUP(UncLookup[[#This Row],[Item]],Items!$A$1:$F$43,3,FALSE))</f>
        <v/>
      </c>
      <c r="Q282" s="90" t="str">
        <f>IF(VLOOKUP(UncLookup[[#This Row],[Item]],Items!$A$1:$F$43,4,FALSE)=0,"",VLOOKUP(UncLookup[[#This Row],[Item]],Items!$A$1:$F$43,4,FALSE))</f>
        <v/>
      </c>
    </row>
    <row r="283" spans="1:17" x14ac:dyDescent="0.25">
      <c r="A283" s="76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90" t="str">
        <f>IF(VLOOKUP(UncLookup[[#This Row],[Item]],Items!$A$1:$F$43,2,FALSE)=0,"",VLOOKUP(UncLookup[[#This Row],[Item]],Items!$A$1:$F$43,2,FALSE))</f>
        <v/>
      </c>
      <c r="P283" s="90" t="str">
        <f>IF(VLOOKUP(UncLookup[[#This Row],[Item]],Items!$A$1:$F$43,3,FALSE)=0,"",VLOOKUP(UncLookup[[#This Row],[Item]],Items!$A$1:$F$43,3,FALSE))</f>
        <v/>
      </c>
      <c r="Q283" s="90" t="str">
        <f>IF(VLOOKUP(UncLookup[[#This Row],[Item]],Items!$A$1:$F$43,4,FALSE)=0,"",VLOOKUP(UncLookup[[#This Row],[Item]],Items!$A$1:$F$43,4,FALSE))</f>
        <v/>
      </c>
    </row>
    <row r="284" spans="1:17" x14ac:dyDescent="0.25">
      <c r="A284" s="75" t="s">
        <v>56</v>
      </c>
      <c r="B284" s="75" t="s">
        <v>3</v>
      </c>
      <c r="C284" s="75">
        <v>100</v>
      </c>
      <c r="D284" s="75">
        <v>1000</v>
      </c>
      <c r="E284" s="75">
        <v>1E-3</v>
      </c>
      <c r="F284" s="75" t="s">
        <v>6</v>
      </c>
      <c r="G284" s="75" t="s">
        <v>4</v>
      </c>
      <c r="H284" s="75">
        <v>0</v>
      </c>
      <c r="I284" s="75">
        <v>0</v>
      </c>
      <c r="J284" s="75"/>
      <c r="K284" s="75">
        <v>0.27989000000000003</v>
      </c>
      <c r="L284" s="75">
        <v>8.4975999999999993E-3</v>
      </c>
      <c r="M284" s="75">
        <v>0.27706999999999998</v>
      </c>
      <c r="N284" s="75">
        <v>8.4974999999999998E-3</v>
      </c>
      <c r="O284" s="90" t="str">
        <f>IF(VLOOKUP(UncLookup[[#This Row],[Item]],Items!$A$1:$F$43,2,FALSE)=0,"",VLOOKUP(UncLookup[[#This Row],[Item]],Items!$A$1:$F$43,2,FALSE))</f>
        <v/>
      </c>
      <c r="P284" s="90" t="str">
        <f>IF(VLOOKUP(UncLookup[[#This Row],[Item]],Items!$A$1:$F$43,3,FALSE)=0,"",VLOOKUP(UncLookup[[#This Row],[Item]],Items!$A$1:$F$43,3,FALSE))</f>
        <v/>
      </c>
      <c r="Q284" s="90" t="str">
        <f>IF(VLOOKUP(UncLookup[[#This Row],[Item]],Items!$A$1:$F$43,4,FALSE)=0,"",VLOOKUP(UncLookup[[#This Row],[Item]],Items!$A$1:$F$43,4,FALSE))</f>
        <v/>
      </c>
    </row>
    <row r="285" spans="1:17" x14ac:dyDescent="0.25">
      <c r="A285" s="76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90" t="str">
        <f>IF(VLOOKUP(UncLookup[[#This Row],[Item]],Items!$A$1:$F$43,2,FALSE)=0,"",VLOOKUP(UncLookup[[#This Row],[Item]],Items!$A$1:$F$43,2,FALSE))</f>
        <v/>
      </c>
      <c r="P285" s="90" t="str">
        <f>IF(VLOOKUP(UncLookup[[#This Row],[Item]],Items!$A$1:$F$43,3,FALSE)=0,"",VLOOKUP(UncLookup[[#This Row],[Item]],Items!$A$1:$F$43,3,FALSE))</f>
        <v/>
      </c>
      <c r="Q285" s="90" t="str">
        <f>IF(VLOOKUP(UncLookup[[#This Row],[Item]],Items!$A$1:$F$43,4,FALSE)=0,"",VLOOKUP(UncLookup[[#This Row],[Item]],Items!$A$1:$F$43,4,FALSE))</f>
        <v/>
      </c>
    </row>
    <row r="286" spans="1:17" x14ac:dyDescent="0.25">
      <c r="A286" s="75" t="s">
        <v>56</v>
      </c>
      <c r="B286" s="75" t="s">
        <v>3</v>
      </c>
      <c r="C286" s="75">
        <v>100</v>
      </c>
      <c r="D286" s="75">
        <v>1000</v>
      </c>
      <c r="E286" s="75">
        <v>0.1</v>
      </c>
      <c r="F286" s="75" t="s">
        <v>6</v>
      </c>
      <c r="G286" s="75" t="s">
        <v>4</v>
      </c>
      <c r="H286" s="75">
        <v>0</v>
      </c>
      <c r="I286" s="75">
        <v>0</v>
      </c>
      <c r="J286" s="75"/>
      <c r="K286" s="75">
        <v>57.936</v>
      </c>
      <c r="L286" s="75">
        <v>7.2802999999999995E-4</v>
      </c>
      <c r="M286" s="75">
        <v>57.936</v>
      </c>
      <c r="N286" s="75">
        <v>7.2117999999999998E-4</v>
      </c>
      <c r="O286" s="90" t="str">
        <f>IF(VLOOKUP(UncLookup[[#This Row],[Item]],Items!$A$1:$F$43,2,FALSE)=0,"",VLOOKUP(UncLookup[[#This Row],[Item]],Items!$A$1:$F$43,2,FALSE))</f>
        <v/>
      </c>
      <c r="P286" s="90" t="str">
        <f>IF(VLOOKUP(UncLookup[[#This Row],[Item]],Items!$A$1:$F$43,3,FALSE)=0,"",VLOOKUP(UncLookup[[#This Row],[Item]],Items!$A$1:$F$43,3,FALSE))</f>
        <v/>
      </c>
      <c r="Q286" s="90" t="str">
        <f>IF(VLOOKUP(UncLookup[[#This Row],[Item]],Items!$A$1:$F$43,4,FALSE)=0,"",VLOOKUP(UncLookup[[#This Row],[Item]],Items!$A$1:$F$43,4,FALSE))</f>
        <v/>
      </c>
    </row>
    <row r="287" spans="1:17" x14ac:dyDescent="0.25">
      <c r="A287" s="76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90" t="str">
        <f>IF(VLOOKUP(UncLookup[[#This Row],[Item]],Items!$A$1:$F$43,2,FALSE)=0,"",VLOOKUP(UncLookup[[#This Row],[Item]],Items!$A$1:$F$43,2,FALSE))</f>
        <v/>
      </c>
      <c r="P287" s="90" t="str">
        <f>IF(VLOOKUP(UncLookup[[#This Row],[Item]],Items!$A$1:$F$43,3,FALSE)=0,"",VLOOKUP(UncLookup[[#This Row],[Item]],Items!$A$1:$F$43,3,FALSE))</f>
        <v/>
      </c>
      <c r="Q287" s="90" t="str">
        <f>IF(VLOOKUP(UncLookup[[#This Row],[Item]],Items!$A$1:$F$43,4,FALSE)=0,"",VLOOKUP(UncLookup[[#This Row],[Item]],Items!$A$1:$F$43,4,FALSE))</f>
        <v/>
      </c>
    </row>
    <row r="288" spans="1:17" x14ac:dyDescent="0.25">
      <c r="A288" s="75" t="s">
        <v>56</v>
      </c>
      <c r="B288" s="75" t="s">
        <v>46</v>
      </c>
      <c r="C288" s="75">
        <v>0</v>
      </c>
      <c r="D288" s="75">
        <v>9.9999999999999995E-8</v>
      </c>
      <c r="E288" s="75">
        <v>9.9999999999999998E-13</v>
      </c>
      <c r="F288" s="75" t="s">
        <v>13</v>
      </c>
      <c r="G288" s="75" t="s">
        <v>72</v>
      </c>
      <c r="H288" s="75">
        <v>0</v>
      </c>
      <c r="I288" s="75">
        <v>0</v>
      </c>
      <c r="J288" s="75"/>
      <c r="K288" s="75">
        <v>4.8000000000000001E-2</v>
      </c>
      <c r="L288" s="75">
        <v>34000</v>
      </c>
      <c r="M288" s="75">
        <v>4.6246000000000002E-2</v>
      </c>
      <c r="N288" s="75">
        <v>34649</v>
      </c>
      <c r="O288" s="90" t="str">
        <f>IF(VLOOKUP(UncLookup[[#This Row],[Item]],Items!$A$1:$F$43,2,FALSE)=0,"",VLOOKUP(UncLookup[[#This Row],[Item]],Items!$A$1:$F$43,2,FALSE))</f>
        <v/>
      </c>
      <c r="P288" s="90" t="str">
        <f>IF(VLOOKUP(UncLookup[[#This Row],[Item]],Items!$A$1:$F$43,3,FALSE)=0,"",VLOOKUP(UncLookup[[#This Row],[Item]],Items!$A$1:$F$43,3,FALSE))</f>
        <v/>
      </c>
      <c r="Q288" s="90" t="str">
        <f>IF(VLOOKUP(UncLookup[[#This Row],[Item]],Items!$A$1:$F$43,4,FALSE)=0,"",VLOOKUP(UncLookup[[#This Row],[Item]],Items!$A$1:$F$43,4,FALSE))</f>
        <v/>
      </c>
    </row>
    <row r="289" spans="1:17" x14ac:dyDescent="0.25">
      <c r="A289" s="76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90" t="str">
        <f>IF(VLOOKUP(UncLookup[[#This Row],[Item]],Items!$A$1:$F$43,2,FALSE)=0,"",VLOOKUP(UncLookup[[#This Row],[Item]],Items!$A$1:$F$43,2,FALSE))</f>
        <v/>
      </c>
      <c r="P289" s="90" t="str">
        <f>IF(VLOOKUP(UncLookup[[#This Row],[Item]],Items!$A$1:$F$43,3,FALSE)=0,"",VLOOKUP(UncLookup[[#This Row],[Item]],Items!$A$1:$F$43,3,FALSE))</f>
        <v/>
      </c>
      <c r="Q289" s="90" t="str">
        <f>IF(VLOOKUP(UncLookup[[#This Row],[Item]],Items!$A$1:$F$43,4,FALSE)=0,"",VLOOKUP(UncLookup[[#This Row],[Item]],Items!$A$1:$F$43,4,FALSE))</f>
        <v/>
      </c>
    </row>
    <row r="290" spans="1:17" x14ac:dyDescent="0.25">
      <c r="A290" s="75" t="s">
        <v>56</v>
      </c>
      <c r="B290" s="75" t="s">
        <v>46</v>
      </c>
      <c r="C290" s="75">
        <v>0</v>
      </c>
      <c r="D290" s="75">
        <v>9.9999999999999995E-8</v>
      </c>
      <c r="E290" s="75">
        <v>1E-10</v>
      </c>
      <c r="F290" s="75" t="s">
        <v>13</v>
      </c>
      <c r="G290" s="75" t="s">
        <v>72</v>
      </c>
      <c r="H290" s="75">
        <v>0</v>
      </c>
      <c r="I290" s="75">
        <v>0</v>
      </c>
      <c r="J290" s="75"/>
      <c r="K290" s="75">
        <v>7.4257000000000004E-2</v>
      </c>
      <c r="L290" s="75">
        <v>24027</v>
      </c>
      <c r="M290" s="75">
        <v>7.3969999999999994E-2</v>
      </c>
      <c r="N290" s="75">
        <v>22146</v>
      </c>
      <c r="O290" s="90" t="str">
        <f>IF(VLOOKUP(UncLookup[[#This Row],[Item]],Items!$A$1:$F$43,2,FALSE)=0,"",VLOOKUP(UncLookup[[#This Row],[Item]],Items!$A$1:$F$43,2,FALSE))</f>
        <v/>
      </c>
      <c r="P290" s="90" t="str">
        <f>IF(VLOOKUP(UncLookup[[#This Row],[Item]],Items!$A$1:$F$43,3,FALSE)=0,"",VLOOKUP(UncLookup[[#This Row],[Item]],Items!$A$1:$F$43,3,FALSE))</f>
        <v/>
      </c>
      <c r="Q290" s="90" t="str">
        <f>IF(VLOOKUP(UncLookup[[#This Row],[Item]],Items!$A$1:$F$43,4,FALSE)=0,"",VLOOKUP(UncLookup[[#This Row],[Item]],Items!$A$1:$F$43,4,FALSE))</f>
        <v/>
      </c>
    </row>
    <row r="291" spans="1:17" x14ac:dyDescent="0.25">
      <c r="A291" s="76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90" t="str">
        <f>IF(VLOOKUP(UncLookup[[#This Row],[Item]],Items!$A$1:$F$43,2,FALSE)=0,"",VLOOKUP(UncLookup[[#This Row],[Item]],Items!$A$1:$F$43,2,FALSE))</f>
        <v/>
      </c>
      <c r="P291" s="90" t="str">
        <f>IF(VLOOKUP(UncLookup[[#This Row],[Item]],Items!$A$1:$F$43,3,FALSE)=0,"",VLOOKUP(UncLookup[[#This Row],[Item]],Items!$A$1:$F$43,3,FALSE))</f>
        <v/>
      </c>
      <c r="Q291" s="90" t="str">
        <f>IF(VLOOKUP(UncLookup[[#This Row],[Item]],Items!$A$1:$F$43,4,FALSE)=0,"",VLOOKUP(UncLookup[[#This Row],[Item]],Items!$A$1:$F$43,4,FALSE))</f>
        <v/>
      </c>
    </row>
    <row r="292" spans="1:17" x14ac:dyDescent="0.25">
      <c r="A292" s="75" t="s">
        <v>56</v>
      </c>
      <c r="B292" s="75" t="s">
        <v>46</v>
      </c>
      <c r="C292" s="75">
        <v>0</v>
      </c>
      <c r="D292" s="75">
        <v>9.9999999999999995E-8</v>
      </c>
      <c r="E292" s="75">
        <v>1E-8</v>
      </c>
      <c r="F292" s="75" t="s">
        <v>13</v>
      </c>
      <c r="G292" s="75" t="s">
        <v>72</v>
      </c>
      <c r="H292" s="75">
        <v>0</v>
      </c>
      <c r="I292" s="75">
        <v>0</v>
      </c>
      <c r="J292" s="75"/>
      <c r="K292" s="75">
        <v>5.7737999999999996</v>
      </c>
      <c r="L292" s="75">
        <v>700.9</v>
      </c>
      <c r="M292" s="75">
        <v>5.7736999999999998</v>
      </c>
      <c r="N292" s="75">
        <v>288.02</v>
      </c>
      <c r="O292" s="90" t="str">
        <f>IF(VLOOKUP(UncLookup[[#This Row],[Item]],Items!$A$1:$F$43,2,FALSE)=0,"",VLOOKUP(UncLookup[[#This Row],[Item]],Items!$A$1:$F$43,2,FALSE))</f>
        <v/>
      </c>
      <c r="P292" s="90" t="str">
        <f>IF(VLOOKUP(UncLookup[[#This Row],[Item]],Items!$A$1:$F$43,3,FALSE)=0,"",VLOOKUP(UncLookup[[#This Row],[Item]],Items!$A$1:$F$43,3,FALSE))</f>
        <v/>
      </c>
      <c r="Q292" s="90" t="str">
        <f>IF(VLOOKUP(UncLookup[[#This Row],[Item]],Items!$A$1:$F$43,4,FALSE)=0,"",VLOOKUP(UncLookup[[#This Row],[Item]],Items!$A$1:$F$43,4,FALSE))</f>
        <v/>
      </c>
    </row>
    <row r="293" spans="1:17" x14ac:dyDescent="0.25">
      <c r="A293" s="76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90" t="str">
        <f>IF(VLOOKUP(UncLookup[[#This Row],[Item]],Items!$A$1:$F$43,2,FALSE)=0,"",VLOOKUP(UncLookup[[#This Row],[Item]],Items!$A$1:$F$43,2,FALSE))</f>
        <v/>
      </c>
      <c r="P293" s="90" t="str">
        <f>IF(VLOOKUP(UncLookup[[#This Row],[Item]],Items!$A$1:$F$43,3,FALSE)=0,"",VLOOKUP(UncLookup[[#This Row],[Item]],Items!$A$1:$F$43,3,FALSE))</f>
        <v/>
      </c>
      <c r="Q293" s="90" t="str">
        <f>IF(VLOOKUP(UncLookup[[#This Row],[Item]],Items!$A$1:$F$43,4,FALSE)=0,"",VLOOKUP(UncLookup[[#This Row],[Item]],Items!$A$1:$F$43,4,FALSE))</f>
        <v/>
      </c>
    </row>
    <row r="294" spans="1:17" x14ac:dyDescent="0.25">
      <c r="A294" s="75" t="s">
        <v>56</v>
      </c>
      <c r="B294" s="75" t="s">
        <v>46</v>
      </c>
      <c r="C294" s="75">
        <v>0</v>
      </c>
      <c r="D294" s="75">
        <v>9.9999999999999995E-8</v>
      </c>
      <c r="E294" s="75">
        <v>9.9999999999999995E-7</v>
      </c>
      <c r="F294" s="75" t="s">
        <v>13</v>
      </c>
      <c r="G294" s="75" t="s">
        <v>72</v>
      </c>
      <c r="H294" s="75">
        <v>0</v>
      </c>
      <c r="I294" s="75">
        <v>0</v>
      </c>
      <c r="J294" s="75"/>
      <c r="K294" s="75">
        <v>577.36</v>
      </c>
      <c r="L294" s="75">
        <v>68.944999999999993</v>
      </c>
      <c r="M294" s="75">
        <v>577.36</v>
      </c>
      <c r="N294" s="75">
        <v>2.8803000000000001</v>
      </c>
      <c r="O294" s="90" t="str">
        <f>IF(VLOOKUP(UncLookup[[#This Row],[Item]],Items!$A$1:$F$43,2,FALSE)=0,"",VLOOKUP(UncLookup[[#This Row],[Item]],Items!$A$1:$F$43,2,FALSE))</f>
        <v/>
      </c>
      <c r="P294" s="90" t="str">
        <f>IF(VLOOKUP(UncLookup[[#This Row],[Item]],Items!$A$1:$F$43,3,FALSE)=0,"",VLOOKUP(UncLookup[[#This Row],[Item]],Items!$A$1:$F$43,3,FALSE))</f>
        <v/>
      </c>
      <c r="Q294" s="90" t="str">
        <f>IF(VLOOKUP(UncLookup[[#This Row],[Item]],Items!$A$1:$F$43,4,FALSE)=0,"",VLOOKUP(UncLookup[[#This Row],[Item]],Items!$A$1:$F$43,4,FALSE))</f>
        <v/>
      </c>
    </row>
    <row r="295" spans="1:17" x14ac:dyDescent="0.25">
      <c r="A295" s="76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90" t="str">
        <f>IF(VLOOKUP(UncLookup[[#This Row],[Item]],Items!$A$1:$F$43,2,FALSE)=0,"",VLOOKUP(UncLookup[[#This Row],[Item]],Items!$A$1:$F$43,2,FALSE))</f>
        <v/>
      </c>
      <c r="P295" s="90" t="str">
        <f>IF(VLOOKUP(UncLookup[[#This Row],[Item]],Items!$A$1:$F$43,3,FALSE)=0,"",VLOOKUP(UncLookup[[#This Row],[Item]],Items!$A$1:$F$43,3,FALSE))</f>
        <v/>
      </c>
      <c r="Q295" s="90" t="str">
        <f>IF(VLOOKUP(UncLookup[[#This Row],[Item]],Items!$A$1:$F$43,4,FALSE)=0,"",VLOOKUP(UncLookup[[#This Row],[Item]],Items!$A$1:$F$43,4,FALSE))</f>
        <v/>
      </c>
    </row>
    <row r="296" spans="1:17" x14ac:dyDescent="0.25">
      <c r="A296" s="75" t="s">
        <v>56</v>
      </c>
      <c r="B296" s="75" t="s">
        <v>46</v>
      </c>
      <c r="C296" s="75">
        <v>0</v>
      </c>
      <c r="D296" s="75">
        <v>9.9999999999999995E-8</v>
      </c>
      <c r="E296" s="75">
        <v>1E-4</v>
      </c>
      <c r="F296" s="75" t="s">
        <v>13</v>
      </c>
      <c r="G296" s="75" t="s">
        <v>72</v>
      </c>
      <c r="H296" s="75">
        <v>0</v>
      </c>
      <c r="I296" s="75">
        <v>0</v>
      </c>
      <c r="J296" s="75"/>
      <c r="K296" s="75">
        <v>57736</v>
      </c>
      <c r="L296" s="75">
        <v>10.599</v>
      </c>
      <c r="M296" s="75">
        <v>57736</v>
      </c>
      <c r="N296" s="75">
        <v>2.8736000000000001E-2</v>
      </c>
      <c r="O296" s="90" t="str">
        <f>IF(VLOOKUP(UncLookup[[#This Row],[Item]],Items!$A$1:$F$43,2,FALSE)=0,"",VLOOKUP(UncLookup[[#This Row],[Item]],Items!$A$1:$F$43,2,FALSE))</f>
        <v/>
      </c>
      <c r="P296" s="90" t="str">
        <f>IF(VLOOKUP(UncLookup[[#This Row],[Item]],Items!$A$1:$F$43,3,FALSE)=0,"",VLOOKUP(UncLookup[[#This Row],[Item]],Items!$A$1:$F$43,3,FALSE))</f>
        <v/>
      </c>
      <c r="Q296" s="90" t="str">
        <f>IF(VLOOKUP(UncLookup[[#This Row],[Item]],Items!$A$1:$F$43,4,FALSE)=0,"",VLOOKUP(UncLookup[[#This Row],[Item]],Items!$A$1:$F$43,4,FALSE))</f>
        <v/>
      </c>
    </row>
    <row r="297" spans="1:17" x14ac:dyDescent="0.25">
      <c r="A297" s="76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90" t="str">
        <f>IF(VLOOKUP(UncLookup[[#This Row],[Item]],Items!$A$1:$F$43,2,FALSE)=0,"",VLOOKUP(UncLookup[[#This Row],[Item]],Items!$A$1:$F$43,2,FALSE))</f>
        <v/>
      </c>
      <c r="P297" s="90" t="str">
        <f>IF(VLOOKUP(UncLookup[[#This Row],[Item]],Items!$A$1:$F$43,3,FALSE)=0,"",VLOOKUP(UncLookup[[#This Row],[Item]],Items!$A$1:$F$43,3,FALSE))</f>
        <v/>
      </c>
      <c r="Q297" s="90" t="str">
        <f>IF(VLOOKUP(UncLookup[[#This Row],[Item]],Items!$A$1:$F$43,4,FALSE)=0,"",VLOOKUP(UncLookup[[#This Row],[Item]],Items!$A$1:$F$43,4,FALSE))</f>
        <v/>
      </c>
    </row>
    <row r="298" spans="1:17" x14ac:dyDescent="0.25">
      <c r="A298" s="75" t="s">
        <v>56</v>
      </c>
      <c r="B298" s="75" t="s">
        <v>46</v>
      </c>
      <c r="C298" s="75">
        <v>0</v>
      </c>
      <c r="D298" s="75">
        <v>9.9999999999999995E-8</v>
      </c>
      <c r="E298" s="75">
        <v>0.01</v>
      </c>
      <c r="F298" s="75" t="s">
        <v>13</v>
      </c>
      <c r="G298" s="75" t="s">
        <v>72</v>
      </c>
      <c r="H298" s="75">
        <v>0</v>
      </c>
      <c r="I298" s="75">
        <v>0</v>
      </c>
      <c r="J298" s="75"/>
      <c r="K298" s="75">
        <v>5773600</v>
      </c>
      <c r="L298" s="75">
        <v>1.6933</v>
      </c>
      <c r="M298" s="75">
        <v>5773600</v>
      </c>
      <c r="N298" s="75">
        <v>0</v>
      </c>
      <c r="O298" s="90" t="str">
        <f>IF(VLOOKUP(UncLookup[[#This Row],[Item]],Items!$A$1:$F$43,2,FALSE)=0,"",VLOOKUP(UncLookup[[#This Row],[Item]],Items!$A$1:$F$43,2,FALSE))</f>
        <v/>
      </c>
      <c r="P298" s="90" t="str">
        <f>IF(VLOOKUP(UncLookup[[#This Row],[Item]],Items!$A$1:$F$43,3,FALSE)=0,"",VLOOKUP(UncLookup[[#This Row],[Item]],Items!$A$1:$F$43,3,FALSE))</f>
        <v/>
      </c>
      <c r="Q298" s="90" t="str">
        <f>IF(VLOOKUP(UncLookup[[#This Row],[Item]],Items!$A$1:$F$43,4,FALSE)=0,"",VLOOKUP(UncLookup[[#This Row],[Item]],Items!$A$1:$F$43,4,FALSE))</f>
        <v/>
      </c>
    </row>
    <row r="299" spans="1:17" x14ac:dyDescent="0.25">
      <c r="A299" s="76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90" t="str">
        <f>IF(VLOOKUP(UncLookup[[#This Row],[Item]],Items!$A$1:$F$43,2,FALSE)=0,"",VLOOKUP(UncLookup[[#This Row],[Item]],Items!$A$1:$F$43,2,FALSE))</f>
        <v/>
      </c>
      <c r="P299" s="90" t="str">
        <f>IF(VLOOKUP(UncLookup[[#This Row],[Item]],Items!$A$1:$F$43,3,FALSE)=0,"",VLOOKUP(UncLookup[[#This Row],[Item]],Items!$A$1:$F$43,3,FALSE))</f>
        <v/>
      </c>
      <c r="Q299" s="90" t="str">
        <f>IF(VLOOKUP(UncLookup[[#This Row],[Item]],Items!$A$1:$F$43,4,FALSE)=0,"",VLOOKUP(UncLookup[[#This Row],[Item]],Items!$A$1:$F$43,4,FALSE))</f>
        <v/>
      </c>
    </row>
    <row r="300" spans="1:17" x14ac:dyDescent="0.25">
      <c r="A300" s="75" t="s">
        <v>56</v>
      </c>
      <c r="B300" s="75" t="s">
        <v>46</v>
      </c>
      <c r="C300" s="75">
        <v>9.9999999999999995E-8</v>
      </c>
      <c r="D300" s="75">
        <v>9.9999999999999995E-7</v>
      </c>
      <c r="E300" s="75">
        <v>9.9999999999999998E-13</v>
      </c>
      <c r="F300" s="75" t="s">
        <v>13</v>
      </c>
      <c r="G300" s="75" t="s">
        <v>72</v>
      </c>
      <c r="H300" s="75">
        <v>0</v>
      </c>
      <c r="I300" s="75">
        <v>0</v>
      </c>
      <c r="J300" s="75"/>
      <c r="K300" s="75">
        <v>4.8000000000000001E-2</v>
      </c>
      <c r="L300" s="75">
        <v>23000</v>
      </c>
      <c r="M300" s="75">
        <v>4.6073000000000003E-2</v>
      </c>
      <c r="N300" s="75">
        <v>24826</v>
      </c>
      <c r="O300" s="90" t="str">
        <f>IF(VLOOKUP(UncLookup[[#This Row],[Item]],Items!$A$1:$F$43,2,FALSE)=0,"",VLOOKUP(UncLookup[[#This Row],[Item]],Items!$A$1:$F$43,2,FALSE))</f>
        <v/>
      </c>
      <c r="P300" s="90" t="str">
        <f>IF(VLOOKUP(UncLookup[[#This Row],[Item]],Items!$A$1:$F$43,3,FALSE)=0,"",VLOOKUP(UncLookup[[#This Row],[Item]],Items!$A$1:$F$43,3,FALSE))</f>
        <v/>
      </c>
      <c r="Q300" s="90" t="str">
        <f>IF(VLOOKUP(UncLookup[[#This Row],[Item]],Items!$A$1:$F$43,4,FALSE)=0,"",VLOOKUP(UncLookup[[#This Row],[Item]],Items!$A$1:$F$43,4,FALSE))</f>
        <v/>
      </c>
    </row>
    <row r="301" spans="1:17" x14ac:dyDescent="0.25">
      <c r="A301" s="76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90" t="str">
        <f>IF(VLOOKUP(UncLookup[[#This Row],[Item]],Items!$A$1:$F$43,2,FALSE)=0,"",VLOOKUP(UncLookup[[#This Row],[Item]],Items!$A$1:$F$43,2,FALSE))</f>
        <v/>
      </c>
      <c r="P301" s="90" t="str">
        <f>IF(VLOOKUP(UncLookup[[#This Row],[Item]],Items!$A$1:$F$43,3,FALSE)=0,"",VLOOKUP(UncLookup[[#This Row],[Item]],Items!$A$1:$F$43,3,FALSE))</f>
        <v/>
      </c>
      <c r="Q301" s="90" t="str">
        <f>IF(VLOOKUP(UncLookup[[#This Row],[Item]],Items!$A$1:$F$43,4,FALSE)=0,"",VLOOKUP(UncLookup[[#This Row],[Item]],Items!$A$1:$F$43,4,FALSE))</f>
        <v/>
      </c>
    </row>
    <row r="302" spans="1:17" x14ac:dyDescent="0.25">
      <c r="A302" s="75" t="s">
        <v>56</v>
      </c>
      <c r="B302" s="75" t="s">
        <v>46</v>
      </c>
      <c r="C302" s="75">
        <v>9.9999999999999995E-8</v>
      </c>
      <c r="D302" s="75">
        <v>9.9999999999999995E-7</v>
      </c>
      <c r="E302" s="75">
        <v>1E-10</v>
      </c>
      <c r="F302" s="75" t="s">
        <v>13</v>
      </c>
      <c r="G302" s="75" t="s">
        <v>72</v>
      </c>
      <c r="H302" s="75">
        <v>0</v>
      </c>
      <c r="I302" s="75">
        <v>0</v>
      </c>
      <c r="J302" s="75"/>
      <c r="K302" s="75">
        <v>7.4091000000000004E-2</v>
      </c>
      <c r="L302" s="75">
        <v>17690</v>
      </c>
      <c r="M302" s="75">
        <v>7.3660000000000003E-2</v>
      </c>
      <c r="N302" s="75">
        <v>17772</v>
      </c>
      <c r="O302" s="90" t="str">
        <f>IF(VLOOKUP(UncLookup[[#This Row],[Item]],Items!$A$1:$F$43,2,FALSE)=0,"",VLOOKUP(UncLookup[[#This Row],[Item]],Items!$A$1:$F$43,2,FALSE))</f>
        <v/>
      </c>
      <c r="P302" s="90" t="str">
        <f>IF(VLOOKUP(UncLookup[[#This Row],[Item]],Items!$A$1:$F$43,3,FALSE)=0,"",VLOOKUP(UncLookup[[#This Row],[Item]],Items!$A$1:$F$43,3,FALSE))</f>
        <v/>
      </c>
      <c r="Q302" s="90" t="str">
        <f>IF(VLOOKUP(UncLookup[[#This Row],[Item]],Items!$A$1:$F$43,4,FALSE)=0,"",VLOOKUP(UncLookup[[#This Row],[Item]],Items!$A$1:$F$43,4,FALSE))</f>
        <v/>
      </c>
    </row>
    <row r="303" spans="1:17" x14ac:dyDescent="0.25">
      <c r="A303" s="76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90" t="str">
        <f>IF(VLOOKUP(UncLookup[[#This Row],[Item]],Items!$A$1:$F$43,2,FALSE)=0,"",VLOOKUP(UncLookup[[#This Row],[Item]],Items!$A$1:$F$43,2,FALSE))</f>
        <v/>
      </c>
      <c r="P303" s="90" t="str">
        <f>IF(VLOOKUP(UncLookup[[#This Row],[Item]],Items!$A$1:$F$43,3,FALSE)=0,"",VLOOKUP(UncLookup[[#This Row],[Item]],Items!$A$1:$F$43,3,FALSE))</f>
        <v/>
      </c>
      <c r="Q303" s="90" t="str">
        <f>IF(VLOOKUP(UncLookup[[#This Row],[Item]],Items!$A$1:$F$43,4,FALSE)=0,"",VLOOKUP(UncLookup[[#This Row],[Item]],Items!$A$1:$F$43,4,FALSE))</f>
        <v/>
      </c>
    </row>
    <row r="304" spans="1:17" x14ac:dyDescent="0.25">
      <c r="A304" s="75" t="s">
        <v>56</v>
      </c>
      <c r="B304" s="75" t="s">
        <v>46</v>
      </c>
      <c r="C304" s="75">
        <v>9.9999999999999995E-8</v>
      </c>
      <c r="D304" s="75">
        <v>9.9999999999999995E-7</v>
      </c>
      <c r="E304" s="75">
        <v>1E-8</v>
      </c>
      <c r="F304" s="75" t="s">
        <v>13</v>
      </c>
      <c r="G304" s="75" t="s">
        <v>72</v>
      </c>
      <c r="H304" s="75">
        <v>0</v>
      </c>
      <c r="I304" s="75">
        <v>0</v>
      </c>
      <c r="J304" s="75"/>
      <c r="K304" s="75">
        <v>5.7737999999999996</v>
      </c>
      <c r="L304" s="75">
        <v>256.81</v>
      </c>
      <c r="M304" s="75">
        <v>5.7736999999999998</v>
      </c>
      <c r="N304" s="75">
        <v>256.81</v>
      </c>
      <c r="O304" s="90" t="str">
        <f>IF(VLOOKUP(UncLookup[[#This Row],[Item]],Items!$A$1:$F$43,2,FALSE)=0,"",VLOOKUP(UncLookup[[#This Row],[Item]],Items!$A$1:$F$43,2,FALSE))</f>
        <v/>
      </c>
      <c r="P304" s="90" t="str">
        <f>IF(VLOOKUP(UncLookup[[#This Row],[Item]],Items!$A$1:$F$43,3,FALSE)=0,"",VLOOKUP(UncLookup[[#This Row],[Item]],Items!$A$1:$F$43,3,FALSE))</f>
        <v/>
      </c>
      <c r="Q304" s="90" t="str">
        <f>IF(VLOOKUP(UncLookup[[#This Row],[Item]],Items!$A$1:$F$43,4,FALSE)=0,"",VLOOKUP(UncLookup[[#This Row],[Item]],Items!$A$1:$F$43,4,FALSE))</f>
        <v/>
      </c>
    </row>
    <row r="305" spans="1:17" x14ac:dyDescent="0.25">
      <c r="A305" s="76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90" t="str">
        <f>IF(VLOOKUP(UncLookup[[#This Row],[Item]],Items!$A$1:$F$43,2,FALSE)=0,"",VLOOKUP(UncLookup[[#This Row],[Item]],Items!$A$1:$F$43,2,FALSE))</f>
        <v/>
      </c>
      <c r="P305" s="90" t="str">
        <f>IF(VLOOKUP(UncLookup[[#This Row],[Item]],Items!$A$1:$F$43,3,FALSE)=0,"",VLOOKUP(UncLookup[[#This Row],[Item]],Items!$A$1:$F$43,3,FALSE))</f>
        <v/>
      </c>
      <c r="Q305" s="90" t="str">
        <f>IF(VLOOKUP(UncLookup[[#This Row],[Item]],Items!$A$1:$F$43,4,FALSE)=0,"",VLOOKUP(UncLookup[[#This Row],[Item]],Items!$A$1:$F$43,4,FALSE))</f>
        <v/>
      </c>
    </row>
    <row r="306" spans="1:17" x14ac:dyDescent="0.25">
      <c r="A306" s="75" t="s">
        <v>56</v>
      </c>
      <c r="B306" s="75" t="s">
        <v>46</v>
      </c>
      <c r="C306" s="75">
        <v>9.9999999999999995E-7</v>
      </c>
      <c r="D306" s="75">
        <v>1.0000000000000001E-5</v>
      </c>
      <c r="E306" s="75">
        <v>9.9999999999999998E-13</v>
      </c>
      <c r="F306" s="75" t="s">
        <v>13</v>
      </c>
      <c r="G306" s="75" t="s">
        <v>72</v>
      </c>
      <c r="H306" s="75">
        <v>0</v>
      </c>
      <c r="I306" s="75">
        <v>0</v>
      </c>
      <c r="J306" s="75"/>
      <c r="K306" s="75">
        <v>0.13</v>
      </c>
      <c r="L306" s="75">
        <v>25000</v>
      </c>
      <c r="M306" s="75">
        <v>0.11375</v>
      </c>
      <c r="N306" s="75">
        <v>25625</v>
      </c>
      <c r="O306" s="90" t="str">
        <f>IF(VLOOKUP(UncLookup[[#This Row],[Item]],Items!$A$1:$F$43,2,FALSE)=0,"",VLOOKUP(UncLookup[[#This Row],[Item]],Items!$A$1:$F$43,2,FALSE))</f>
        <v/>
      </c>
      <c r="P306" s="90" t="str">
        <f>IF(VLOOKUP(UncLookup[[#This Row],[Item]],Items!$A$1:$F$43,3,FALSE)=0,"",VLOOKUP(UncLookup[[#This Row],[Item]],Items!$A$1:$F$43,3,FALSE))</f>
        <v/>
      </c>
      <c r="Q306" s="90" t="str">
        <f>IF(VLOOKUP(UncLookup[[#This Row],[Item]],Items!$A$1:$F$43,4,FALSE)=0,"",VLOOKUP(UncLookup[[#This Row],[Item]],Items!$A$1:$F$43,4,FALSE))</f>
        <v/>
      </c>
    </row>
    <row r="307" spans="1:17" x14ac:dyDescent="0.25">
      <c r="A307" s="76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90" t="str">
        <f>IF(VLOOKUP(UncLookup[[#This Row],[Item]],Items!$A$1:$F$43,2,FALSE)=0,"",VLOOKUP(UncLookup[[#This Row],[Item]],Items!$A$1:$F$43,2,FALSE))</f>
        <v/>
      </c>
      <c r="P307" s="90" t="str">
        <f>IF(VLOOKUP(UncLookup[[#This Row],[Item]],Items!$A$1:$F$43,3,FALSE)=0,"",VLOOKUP(UncLookup[[#This Row],[Item]],Items!$A$1:$F$43,3,FALSE))</f>
        <v/>
      </c>
      <c r="Q307" s="90" t="str">
        <f>IF(VLOOKUP(UncLookup[[#This Row],[Item]],Items!$A$1:$F$43,4,FALSE)=0,"",VLOOKUP(UncLookup[[#This Row],[Item]],Items!$A$1:$F$43,4,FALSE))</f>
        <v/>
      </c>
    </row>
    <row r="308" spans="1:17" x14ac:dyDescent="0.25">
      <c r="A308" s="75" t="s">
        <v>56</v>
      </c>
      <c r="B308" s="75" t="s">
        <v>46</v>
      </c>
      <c r="C308" s="75">
        <v>9.9999999999999995E-7</v>
      </c>
      <c r="D308" s="75">
        <v>1.0000000000000001E-5</v>
      </c>
      <c r="E308" s="75">
        <v>1E-10</v>
      </c>
      <c r="F308" s="75" t="s">
        <v>13</v>
      </c>
      <c r="G308" s="75" t="s">
        <v>72</v>
      </c>
      <c r="H308" s="75">
        <v>0</v>
      </c>
      <c r="I308" s="75">
        <v>0</v>
      </c>
      <c r="J308" s="75"/>
      <c r="K308" s="75">
        <v>0.13</v>
      </c>
      <c r="L308" s="75">
        <v>24832</v>
      </c>
      <c r="M308" s="75">
        <v>0.12601999999999999</v>
      </c>
      <c r="N308" s="75">
        <v>24846</v>
      </c>
      <c r="O308" s="90" t="str">
        <f>IF(VLOOKUP(UncLookup[[#This Row],[Item]],Items!$A$1:$F$43,2,FALSE)=0,"",VLOOKUP(UncLookup[[#This Row],[Item]],Items!$A$1:$F$43,2,FALSE))</f>
        <v/>
      </c>
      <c r="P308" s="90" t="str">
        <f>IF(VLOOKUP(UncLookup[[#This Row],[Item]],Items!$A$1:$F$43,3,FALSE)=0,"",VLOOKUP(UncLookup[[#This Row],[Item]],Items!$A$1:$F$43,3,FALSE))</f>
        <v/>
      </c>
      <c r="Q308" s="90" t="str">
        <f>IF(VLOOKUP(UncLookup[[#This Row],[Item]],Items!$A$1:$F$43,4,FALSE)=0,"",VLOOKUP(UncLookup[[#This Row],[Item]],Items!$A$1:$F$43,4,FALSE))</f>
        <v/>
      </c>
    </row>
    <row r="309" spans="1:17" x14ac:dyDescent="0.25">
      <c r="A309" s="76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90" t="str">
        <f>IF(VLOOKUP(UncLookup[[#This Row],[Item]],Items!$A$1:$F$43,2,FALSE)=0,"",VLOOKUP(UncLookup[[#This Row],[Item]],Items!$A$1:$F$43,2,FALSE))</f>
        <v/>
      </c>
      <c r="P309" s="90" t="str">
        <f>IF(VLOOKUP(UncLookup[[#This Row],[Item]],Items!$A$1:$F$43,3,FALSE)=0,"",VLOOKUP(UncLookup[[#This Row],[Item]],Items!$A$1:$F$43,3,FALSE))</f>
        <v/>
      </c>
      <c r="Q309" s="90" t="str">
        <f>IF(VLOOKUP(UncLookup[[#This Row],[Item]],Items!$A$1:$F$43,4,FALSE)=0,"",VLOOKUP(UncLookup[[#This Row],[Item]],Items!$A$1:$F$43,4,FALSE))</f>
        <v/>
      </c>
    </row>
    <row r="310" spans="1:17" x14ac:dyDescent="0.25">
      <c r="A310" s="75" t="s">
        <v>56</v>
      </c>
      <c r="B310" s="75" t="s">
        <v>46</v>
      </c>
      <c r="C310" s="75">
        <v>9.9999999999999995E-7</v>
      </c>
      <c r="D310" s="75">
        <v>1.0000000000000001E-5</v>
      </c>
      <c r="E310" s="75">
        <v>1E-8</v>
      </c>
      <c r="F310" s="75" t="s">
        <v>13</v>
      </c>
      <c r="G310" s="75" t="s">
        <v>72</v>
      </c>
      <c r="H310" s="75">
        <v>0</v>
      </c>
      <c r="I310" s="75">
        <v>0</v>
      </c>
      <c r="J310" s="75"/>
      <c r="K310" s="75">
        <v>5.7742000000000004</v>
      </c>
      <c r="L310" s="75">
        <v>1129.0999999999999</v>
      </c>
      <c r="M310" s="75">
        <v>5.7740999999999998</v>
      </c>
      <c r="N310" s="75">
        <v>1129.0999999999999</v>
      </c>
      <c r="O310" s="90" t="str">
        <f>IF(VLOOKUP(UncLookup[[#This Row],[Item]],Items!$A$1:$F$43,2,FALSE)=0,"",VLOOKUP(UncLookup[[#This Row],[Item]],Items!$A$1:$F$43,2,FALSE))</f>
        <v/>
      </c>
      <c r="P310" s="90" t="str">
        <f>IF(VLOOKUP(UncLookup[[#This Row],[Item]],Items!$A$1:$F$43,3,FALSE)=0,"",VLOOKUP(UncLookup[[#This Row],[Item]],Items!$A$1:$F$43,3,FALSE))</f>
        <v/>
      </c>
      <c r="Q310" s="90" t="str">
        <f>IF(VLOOKUP(UncLookup[[#This Row],[Item]],Items!$A$1:$F$43,4,FALSE)=0,"",VLOOKUP(UncLookup[[#This Row],[Item]],Items!$A$1:$F$43,4,FALSE))</f>
        <v/>
      </c>
    </row>
    <row r="311" spans="1:17" x14ac:dyDescent="0.25">
      <c r="A311" s="76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90" t="str">
        <f>IF(VLOOKUP(UncLookup[[#This Row],[Item]],Items!$A$1:$F$43,2,FALSE)=0,"",VLOOKUP(UncLookup[[#This Row],[Item]],Items!$A$1:$F$43,2,FALSE))</f>
        <v/>
      </c>
      <c r="P311" s="90" t="str">
        <f>IF(VLOOKUP(UncLookup[[#This Row],[Item]],Items!$A$1:$F$43,3,FALSE)=0,"",VLOOKUP(UncLookup[[#This Row],[Item]],Items!$A$1:$F$43,3,FALSE))</f>
        <v/>
      </c>
      <c r="Q311" s="90" t="str">
        <f>IF(VLOOKUP(UncLookup[[#This Row],[Item]],Items!$A$1:$F$43,4,FALSE)=0,"",VLOOKUP(UncLookup[[#This Row],[Item]],Items!$A$1:$F$43,4,FALSE))</f>
        <v/>
      </c>
    </row>
    <row r="312" spans="1:17" x14ac:dyDescent="0.25">
      <c r="A312" s="75" t="s">
        <v>56</v>
      </c>
      <c r="B312" s="75" t="s">
        <v>46</v>
      </c>
      <c r="C312" s="75">
        <v>1.0000000000000001E-5</v>
      </c>
      <c r="D312" s="75">
        <v>1E-4</v>
      </c>
      <c r="E312" s="75">
        <v>9.9999999999999994E-12</v>
      </c>
      <c r="F312" s="75" t="s">
        <v>13</v>
      </c>
      <c r="G312" s="75" t="s">
        <v>72</v>
      </c>
      <c r="H312" s="75">
        <v>0</v>
      </c>
      <c r="I312" s="75">
        <v>0</v>
      </c>
      <c r="J312" s="75"/>
      <c r="K312" s="75">
        <v>0.16</v>
      </c>
      <c r="L312" s="75">
        <v>23000</v>
      </c>
      <c r="M312" s="75">
        <v>0.11411</v>
      </c>
      <c r="N312" s="75">
        <v>23000</v>
      </c>
      <c r="O312" s="90" t="str">
        <f>IF(VLOOKUP(UncLookup[[#This Row],[Item]],Items!$A$1:$F$43,2,FALSE)=0,"",VLOOKUP(UncLookup[[#This Row],[Item]],Items!$A$1:$F$43,2,FALSE))</f>
        <v/>
      </c>
      <c r="P312" s="90" t="str">
        <f>IF(VLOOKUP(UncLookup[[#This Row],[Item]],Items!$A$1:$F$43,3,FALSE)=0,"",VLOOKUP(UncLookup[[#This Row],[Item]],Items!$A$1:$F$43,3,FALSE))</f>
        <v/>
      </c>
      <c r="Q312" s="90" t="str">
        <f>IF(VLOOKUP(UncLookup[[#This Row],[Item]],Items!$A$1:$F$43,4,FALSE)=0,"",VLOOKUP(UncLookup[[#This Row],[Item]],Items!$A$1:$F$43,4,FALSE))</f>
        <v/>
      </c>
    </row>
    <row r="313" spans="1:17" x14ac:dyDescent="0.25">
      <c r="A313" s="76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90" t="str">
        <f>IF(VLOOKUP(UncLookup[[#This Row],[Item]],Items!$A$1:$F$43,2,FALSE)=0,"",VLOOKUP(UncLookup[[#This Row],[Item]],Items!$A$1:$F$43,2,FALSE))</f>
        <v/>
      </c>
      <c r="P313" s="90" t="str">
        <f>IF(VLOOKUP(UncLookup[[#This Row],[Item]],Items!$A$1:$F$43,3,FALSE)=0,"",VLOOKUP(UncLookup[[#This Row],[Item]],Items!$A$1:$F$43,3,FALSE))</f>
        <v/>
      </c>
      <c r="Q313" s="90" t="str">
        <f>IF(VLOOKUP(UncLookup[[#This Row],[Item]],Items!$A$1:$F$43,4,FALSE)=0,"",VLOOKUP(UncLookup[[#This Row],[Item]],Items!$A$1:$F$43,4,FALSE))</f>
        <v/>
      </c>
    </row>
    <row r="314" spans="1:17" x14ac:dyDescent="0.25">
      <c r="A314" s="75" t="s">
        <v>56</v>
      </c>
      <c r="B314" s="75" t="s">
        <v>46</v>
      </c>
      <c r="C314" s="75">
        <v>1.0000000000000001E-5</v>
      </c>
      <c r="D314" s="75">
        <v>1E-4</v>
      </c>
      <c r="E314" s="75">
        <v>1.0000000000000001E-9</v>
      </c>
      <c r="F314" s="75" t="s">
        <v>13</v>
      </c>
      <c r="G314" s="75" t="s">
        <v>72</v>
      </c>
      <c r="H314" s="75">
        <v>0</v>
      </c>
      <c r="I314" s="75">
        <v>0</v>
      </c>
      <c r="J314" s="75"/>
      <c r="K314" s="75">
        <v>0.47123999999999999</v>
      </c>
      <c r="L314" s="75">
        <v>20574</v>
      </c>
      <c r="M314" s="75">
        <v>0.46866000000000002</v>
      </c>
      <c r="N314" s="75">
        <v>20574</v>
      </c>
      <c r="O314" s="90" t="str">
        <f>IF(VLOOKUP(UncLookup[[#This Row],[Item]],Items!$A$1:$F$43,2,FALSE)=0,"",VLOOKUP(UncLookup[[#This Row],[Item]],Items!$A$1:$F$43,2,FALSE))</f>
        <v/>
      </c>
      <c r="P314" s="90" t="str">
        <f>IF(VLOOKUP(UncLookup[[#This Row],[Item]],Items!$A$1:$F$43,3,FALSE)=0,"",VLOOKUP(UncLookup[[#This Row],[Item]],Items!$A$1:$F$43,3,FALSE))</f>
        <v/>
      </c>
      <c r="Q314" s="90" t="str">
        <f>IF(VLOOKUP(UncLookup[[#This Row],[Item]],Items!$A$1:$F$43,4,FALSE)=0,"",VLOOKUP(UncLookup[[#This Row],[Item]],Items!$A$1:$F$43,4,FALSE))</f>
        <v/>
      </c>
    </row>
    <row r="315" spans="1:17" x14ac:dyDescent="0.25">
      <c r="A315" s="76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90" t="str">
        <f>IF(VLOOKUP(UncLookup[[#This Row],[Item]],Items!$A$1:$F$43,2,FALSE)=0,"",VLOOKUP(UncLookup[[#This Row],[Item]],Items!$A$1:$F$43,2,FALSE))</f>
        <v/>
      </c>
      <c r="P315" s="90" t="str">
        <f>IF(VLOOKUP(UncLookup[[#This Row],[Item]],Items!$A$1:$F$43,3,FALSE)=0,"",VLOOKUP(UncLookup[[#This Row],[Item]],Items!$A$1:$F$43,3,FALSE))</f>
        <v/>
      </c>
      <c r="Q315" s="90" t="str">
        <f>IF(VLOOKUP(UncLookup[[#This Row],[Item]],Items!$A$1:$F$43,4,FALSE)=0,"",VLOOKUP(UncLookup[[#This Row],[Item]],Items!$A$1:$F$43,4,FALSE))</f>
        <v/>
      </c>
    </row>
    <row r="316" spans="1:17" x14ac:dyDescent="0.25">
      <c r="A316" s="75" t="s">
        <v>56</v>
      </c>
      <c r="B316" s="75" t="s">
        <v>46</v>
      </c>
      <c r="C316" s="75">
        <v>1.0000000000000001E-5</v>
      </c>
      <c r="D316" s="75">
        <v>1E-4</v>
      </c>
      <c r="E316" s="75">
        <v>9.9999999999999995E-8</v>
      </c>
      <c r="F316" s="75" t="s">
        <v>13</v>
      </c>
      <c r="G316" s="75" t="s">
        <v>72</v>
      </c>
      <c r="H316" s="75">
        <v>0</v>
      </c>
      <c r="I316" s="75">
        <v>0</v>
      </c>
      <c r="J316" s="75"/>
      <c r="K316" s="75">
        <v>57.731000000000002</v>
      </c>
      <c r="L316" s="75">
        <v>581.51</v>
      </c>
      <c r="M316" s="75">
        <v>57.731000000000002</v>
      </c>
      <c r="N316" s="75">
        <v>581.51</v>
      </c>
      <c r="O316" s="90" t="str">
        <f>IF(VLOOKUP(UncLookup[[#This Row],[Item]],Items!$A$1:$F$43,2,FALSE)=0,"",VLOOKUP(UncLookup[[#This Row],[Item]],Items!$A$1:$F$43,2,FALSE))</f>
        <v/>
      </c>
      <c r="P316" s="90" t="str">
        <f>IF(VLOOKUP(UncLookup[[#This Row],[Item]],Items!$A$1:$F$43,3,FALSE)=0,"",VLOOKUP(UncLookup[[#This Row],[Item]],Items!$A$1:$F$43,3,FALSE))</f>
        <v/>
      </c>
      <c r="Q316" s="90" t="str">
        <f>IF(VLOOKUP(UncLookup[[#This Row],[Item]],Items!$A$1:$F$43,4,FALSE)=0,"",VLOOKUP(UncLookup[[#This Row],[Item]],Items!$A$1:$F$43,4,FALSE))</f>
        <v/>
      </c>
    </row>
    <row r="317" spans="1:17" x14ac:dyDescent="0.25">
      <c r="A317" s="76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90" t="str">
        <f>IF(VLOOKUP(UncLookup[[#This Row],[Item]],Items!$A$1:$F$43,2,FALSE)=0,"",VLOOKUP(UncLookup[[#This Row],[Item]],Items!$A$1:$F$43,2,FALSE))</f>
        <v/>
      </c>
      <c r="P317" s="90" t="str">
        <f>IF(VLOOKUP(UncLookup[[#This Row],[Item]],Items!$A$1:$F$43,3,FALSE)=0,"",VLOOKUP(UncLookup[[#This Row],[Item]],Items!$A$1:$F$43,3,FALSE))</f>
        <v/>
      </c>
      <c r="Q317" s="90" t="str">
        <f>IF(VLOOKUP(UncLookup[[#This Row],[Item]],Items!$A$1:$F$43,4,FALSE)=0,"",VLOOKUP(UncLookup[[#This Row],[Item]],Items!$A$1:$F$43,4,FALSE))</f>
        <v/>
      </c>
    </row>
    <row r="318" spans="1:17" x14ac:dyDescent="0.25">
      <c r="A318" s="75" t="s">
        <v>56</v>
      </c>
      <c r="B318" s="75" t="s">
        <v>46</v>
      </c>
      <c r="C318" s="75">
        <v>1E-4</v>
      </c>
      <c r="D318" s="75">
        <v>1E-3</v>
      </c>
      <c r="E318" s="75">
        <v>1E-10</v>
      </c>
      <c r="F318" s="75" t="s">
        <v>13</v>
      </c>
      <c r="G318" s="75" t="s">
        <v>72</v>
      </c>
      <c r="H318" s="75">
        <v>0</v>
      </c>
      <c r="I318" s="75">
        <v>0</v>
      </c>
      <c r="J318" s="75"/>
      <c r="K318" s="75">
        <v>6.3</v>
      </c>
      <c r="L318" s="75">
        <v>23000</v>
      </c>
      <c r="M318" s="75">
        <v>5.7455999999999996</v>
      </c>
      <c r="N318" s="75">
        <v>23552</v>
      </c>
      <c r="O318" s="90" t="str">
        <f>IF(VLOOKUP(UncLookup[[#This Row],[Item]],Items!$A$1:$F$43,2,FALSE)=0,"",VLOOKUP(UncLookup[[#This Row],[Item]],Items!$A$1:$F$43,2,FALSE))</f>
        <v/>
      </c>
      <c r="P318" s="90" t="str">
        <f>IF(VLOOKUP(UncLookup[[#This Row],[Item]],Items!$A$1:$F$43,3,FALSE)=0,"",VLOOKUP(UncLookup[[#This Row],[Item]],Items!$A$1:$F$43,3,FALSE))</f>
        <v/>
      </c>
      <c r="Q318" s="90" t="str">
        <f>IF(VLOOKUP(UncLookup[[#This Row],[Item]],Items!$A$1:$F$43,4,FALSE)=0,"",VLOOKUP(UncLookup[[#This Row],[Item]],Items!$A$1:$F$43,4,FALSE))</f>
        <v/>
      </c>
    </row>
    <row r="319" spans="1:17" x14ac:dyDescent="0.25">
      <c r="A319" s="76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90" t="str">
        <f>IF(VLOOKUP(UncLookup[[#This Row],[Item]],Items!$A$1:$F$43,2,FALSE)=0,"",VLOOKUP(UncLookup[[#This Row],[Item]],Items!$A$1:$F$43,2,FALSE))</f>
        <v/>
      </c>
      <c r="P319" s="90" t="str">
        <f>IF(VLOOKUP(UncLookup[[#This Row],[Item]],Items!$A$1:$F$43,3,FALSE)=0,"",VLOOKUP(UncLookup[[#This Row],[Item]],Items!$A$1:$F$43,3,FALSE))</f>
        <v/>
      </c>
      <c r="Q319" s="90" t="str">
        <f>IF(VLOOKUP(UncLookup[[#This Row],[Item]],Items!$A$1:$F$43,4,FALSE)=0,"",VLOOKUP(UncLookup[[#This Row],[Item]],Items!$A$1:$F$43,4,FALSE))</f>
        <v/>
      </c>
    </row>
    <row r="320" spans="1:17" x14ac:dyDescent="0.25">
      <c r="A320" s="75" t="s">
        <v>56</v>
      </c>
      <c r="B320" s="75" t="s">
        <v>46</v>
      </c>
      <c r="C320" s="75">
        <v>1E-4</v>
      </c>
      <c r="D320" s="75">
        <v>1E-3</v>
      </c>
      <c r="E320" s="75">
        <v>1E-8</v>
      </c>
      <c r="F320" s="75" t="s">
        <v>13</v>
      </c>
      <c r="G320" s="75" t="s">
        <v>72</v>
      </c>
      <c r="H320" s="75">
        <v>0</v>
      </c>
      <c r="I320" s="75">
        <v>0</v>
      </c>
      <c r="J320" s="75"/>
      <c r="K320" s="75">
        <v>7.7388000000000003</v>
      </c>
      <c r="L320" s="75">
        <v>22133</v>
      </c>
      <c r="M320" s="75">
        <v>7.7351000000000001</v>
      </c>
      <c r="N320" s="75">
        <v>22126</v>
      </c>
      <c r="O320" s="90" t="str">
        <f>IF(VLOOKUP(UncLookup[[#This Row],[Item]],Items!$A$1:$F$43,2,FALSE)=0,"",VLOOKUP(UncLookup[[#This Row],[Item]],Items!$A$1:$F$43,2,FALSE))</f>
        <v/>
      </c>
      <c r="P320" s="90" t="str">
        <f>IF(VLOOKUP(UncLookup[[#This Row],[Item]],Items!$A$1:$F$43,3,FALSE)=0,"",VLOOKUP(UncLookup[[#This Row],[Item]],Items!$A$1:$F$43,3,FALSE))</f>
        <v/>
      </c>
      <c r="Q320" s="90" t="str">
        <f>IF(VLOOKUP(UncLookup[[#This Row],[Item]],Items!$A$1:$F$43,4,FALSE)=0,"",VLOOKUP(UncLookup[[#This Row],[Item]],Items!$A$1:$F$43,4,FALSE))</f>
        <v/>
      </c>
    </row>
    <row r="321" spans="1:17" x14ac:dyDescent="0.25">
      <c r="A321" s="76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90" t="str">
        <f>IF(VLOOKUP(UncLookup[[#This Row],[Item]],Items!$A$1:$F$43,2,FALSE)=0,"",VLOOKUP(UncLookup[[#This Row],[Item]],Items!$A$1:$F$43,2,FALSE))</f>
        <v/>
      </c>
      <c r="P321" s="90" t="str">
        <f>IF(VLOOKUP(UncLookup[[#This Row],[Item]],Items!$A$1:$F$43,3,FALSE)=0,"",VLOOKUP(UncLookup[[#This Row],[Item]],Items!$A$1:$F$43,3,FALSE))</f>
        <v/>
      </c>
      <c r="Q321" s="90" t="str">
        <f>IF(VLOOKUP(UncLookup[[#This Row],[Item]],Items!$A$1:$F$43,4,FALSE)=0,"",VLOOKUP(UncLookup[[#This Row],[Item]],Items!$A$1:$F$43,4,FALSE))</f>
        <v/>
      </c>
    </row>
    <row r="322" spans="1:17" x14ac:dyDescent="0.25">
      <c r="A322" s="75" t="s">
        <v>56</v>
      </c>
      <c r="B322" s="75" t="s">
        <v>46</v>
      </c>
      <c r="C322" s="75">
        <v>1E-4</v>
      </c>
      <c r="D322" s="75">
        <v>1E-3</v>
      </c>
      <c r="E322" s="75">
        <v>9.9999999999999995E-7</v>
      </c>
      <c r="F322" s="75" t="s">
        <v>13</v>
      </c>
      <c r="G322" s="75" t="s">
        <v>72</v>
      </c>
      <c r="H322" s="75">
        <v>0</v>
      </c>
      <c r="I322" s="75">
        <v>0</v>
      </c>
      <c r="J322" s="75"/>
      <c r="K322" s="75">
        <v>577.34</v>
      </c>
      <c r="L322" s="75">
        <v>770.78</v>
      </c>
      <c r="M322" s="75">
        <v>577.34</v>
      </c>
      <c r="N322" s="75">
        <v>762.27</v>
      </c>
      <c r="O322" s="90" t="str">
        <f>IF(VLOOKUP(UncLookup[[#This Row],[Item]],Items!$A$1:$F$43,2,FALSE)=0,"",VLOOKUP(UncLookup[[#This Row],[Item]],Items!$A$1:$F$43,2,FALSE))</f>
        <v/>
      </c>
      <c r="P322" s="90" t="str">
        <f>IF(VLOOKUP(UncLookup[[#This Row],[Item]],Items!$A$1:$F$43,3,FALSE)=0,"",VLOOKUP(UncLookup[[#This Row],[Item]],Items!$A$1:$F$43,3,FALSE))</f>
        <v/>
      </c>
      <c r="Q322" s="90" t="str">
        <f>IF(VLOOKUP(UncLookup[[#This Row],[Item]],Items!$A$1:$F$43,4,FALSE)=0,"",VLOOKUP(UncLookup[[#This Row],[Item]],Items!$A$1:$F$43,4,FALSE))</f>
        <v/>
      </c>
    </row>
    <row r="323" spans="1:17" x14ac:dyDescent="0.25">
      <c r="A323" s="76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90" t="str">
        <f>IF(VLOOKUP(UncLookup[[#This Row],[Item]],Items!$A$1:$F$43,2,FALSE)=0,"",VLOOKUP(UncLookup[[#This Row],[Item]],Items!$A$1:$F$43,2,FALSE))</f>
        <v/>
      </c>
      <c r="P323" s="90" t="str">
        <f>IF(VLOOKUP(UncLookup[[#This Row],[Item]],Items!$A$1:$F$43,3,FALSE)=0,"",VLOOKUP(UncLookup[[#This Row],[Item]],Items!$A$1:$F$43,3,FALSE))</f>
        <v/>
      </c>
      <c r="Q323" s="90" t="str">
        <f>IF(VLOOKUP(UncLookup[[#This Row],[Item]],Items!$A$1:$F$43,4,FALSE)=0,"",VLOOKUP(UncLookup[[#This Row],[Item]],Items!$A$1:$F$43,4,FALSE))</f>
        <v/>
      </c>
    </row>
    <row r="324" spans="1:17" x14ac:dyDescent="0.25">
      <c r="A324" s="75" t="s">
        <v>56</v>
      </c>
      <c r="B324" s="75" t="s">
        <v>46</v>
      </c>
      <c r="C324" s="75">
        <v>1E-3</v>
      </c>
      <c r="D324" s="75">
        <v>0.01</v>
      </c>
      <c r="E324" s="75">
        <v>1.0000000000000001E-9</v>
      </c>
      <c r="F324" s="75" t="s">
        <v>13</v>
      </c>
      <c r="G324" s="75" t="s">
        <v>11</v>
      </c>
      <c r="H324" s="75">
        <v>0</v>
      </c>
      <c r="I324" s="75">
        <v>0</v>
      </c>
      <c r="J324" s="75"/>
      <c r="K324" s="75">
        <v>6.4000000000000001E-2</v>
      </c>
      <c r="L324" s="75">
        <v>23</v>
      </c>
      <c r="M324" s="75">
        <v>5.7395000000000002E-2</v>
      </c>
      <c r="N324" s="75">
        <v>23.593</v>
      </c>
      <c r="O324" s="90" t="str">
        <f>IF(VLOOKUP(UncLookup[[#This Row],[Item]],Items!$A$1:$F$43,2,FALSE)=0,"",VLOOKUP(UncLookup[[#This Row],[Item]],Items!$A$1:$F$43,2,FALSE))</f>
        <v/>
      </c>
      <c r="P324" s="90" t="str">
        <f>IF(VLOOKUP(UncLookup[[#This Row],[Item]],Items!$A$1:$F$43,3,FALSE)=0,"",VLOOKUP(UncLookup[[#This Row],[Item]],Items!$A$1:$F$43,3,FALSE))</f>
        <v/>
      </c>
      <c r="Q324" s="90" t="str">
        <f>IF(VLOOKUP(UncLookup[[#This Row],[Item]],Items!$A$1:$F$43,4,FALSE)=0,"",VLOOKUP(UncLookup[[#This Row],[Item]],Items!$A$1:$F$43,4,FALSE))</f>
        <v/>
      </c>
    </row>
    <row r="325" spans="1:17" x14ac:dyDescent="0.25">
      <c r="A325" s="76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90" t="str">
        <f>IF(VLOOKUP(UncLookup[[#This Row],[Item]],Items!$A$1:$F$43,2,FALSE)=0,"",VLOOKUP(UncLookup[[#This Row],[Item]],Items!$A$1:$F$43,2,FALSE))</f>
        <v/>
      </c>
      <c r="P325" s="90" t="str">
        <f>IF(VLOOKUP(UncLookup[[#This Row],[Item]],Items!$A$1:$F$43,3,FALSE)=0,"",VLOOKUP(UncLookup[[#This Row],[Item]],Items!$A$1:$F$43,3,FALSE))</f>
        <v/>
      </c>
      <c r="Q325" s="90" t="str">
        <f>IF(VLOOKUP(UncLookup[[#This Row],[Item]],Items!$A$1:$F$43,4,FALSE)=0,"",VLOOKUP(UncLookup[[#This Row],[Item]],Items!$A$1:$F$43,4,FALSE))</f>
        <v/>
      </c>
    </row>
    <row r="326" spans="1:17" x14ac:dyDescent="0.25">
      <c r="A326" s="75" t="s">
        <v>56</v>
      </c>
      <c r="B326" s="75" t="s">
        <v>46</v>
      </c>
      <c r="C326" s="75">
        <v>1E-3</v>
      </c>
      <c r="D326" s="75">
        <v>0.01</v>
      </c>
      <c r="E326" s="75">
        <v>9.9999999999999995E-8</v>
      </c>
      <c r="F326" s="75" t="s">
        <v>13</v>
      </c>
      <c r="G326" s="75" t="s">
        <v>11</v>
      </c>
      <c r="H326" s="75">
        <v>0</v>
      </c>
      <c r="I326" s="75">
        <v>0</v>
      </c>
      <c r="J326" s="75"/>
      <c r="K326" s="75">
        <v>7.7329999999999996E-2</v>
      </c>
      <c r="L326" s="75">
        <v>22.172999999999998</v>
      </c>
      <c r="M326" s="75">
        <v>7.7294000000000002E-2</v>
      </c>
      <c r="N326" s="75">
        <v>22.166</v>
      </c>
      <c r="O326" s="90" t="str">
        <f>IF(VLOOKUP(UncLookup[[#This Row],[Item]],Items!$A$1:$F$43,2,FALSE)=0,"",VLOOKUP(UncLookup[[#This Row],[Item]],Items!$A$1:$F$43,2,FALSE))</f>
        <v/>
      </c>
      <c r="P326" s="90" t="str">
        <f>IF(VLOOKUP(UncLookup[[#This Row],[Item]],Items!$A$1:$F$43,3,FALSE)=0,"",VLOOKUP(UncLookup[[#This Row],[Item]],Items!$A$1:$F$43,3,FALSE))</f>
        <v/>
      </c>
      <c r="Q326" s="90" t="str">
        <f>IF(VLOOKUP(UncLookup[[#This Row],[Item]],Items!$A$1:$F$43,4,FALSE)=0,"",VLOOKUP(UncLookup[[#This Row],[Item]],Items!$A$1:$F$43,4,FALSE))</f>
        <v/>
      </c>
    </row>
    <row r="327" spans="1:17" x14ac:dyDescent="0.25">
      <c r="A327" s="76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90" t="str">
        <f>IF(VLOOKUP(UncLookup[[#This Row],[Item]],Items!$A$1:$F$43,2,FALSE)=0,"",VLOOKUP(UncLookup[[#This Row],[Item]],Items!$A$1:$F$43,2,FALSE))</f>
        <v/>
      </c>
      <c r="P327" s="90" t="str">
        <f>IF(VLOOKUP(UncLookup[[#This Row],[Item]],Items!$A$1:$F$43,3,FALSE)=0,"",VLOOKUP(UncLookup[[#This Row],[Item]],Items!$A$1:$F$43,3,FALSE))</f>
        <v/>
      </c>
      <c r="Q327" s="90" t="str">
        <f>IF(VLOOKUP(UncLookup[[#This Row],[Item]],Items!$A$1:$F$43,4,FALSE)=0,"",VLOOKUP(UncLookup[[#This Row],[Item]],Items!$A$1:$F$43,4,FALSE))</f>
        <v/>
      </c>
    </row>
    <row r="328" spans="1:17" x14ac:dyDescent="0.25">
      <c r="A328" s="75" t="s">
        <v>56</v>
      </c>
      <c r="B328" s="75" t="s">
        <v>46</v>
      </c>
      <c r="C328" s="75">
        <v>1E-3</v>
      </c>
      <c r="D328" s="75">
        <v>0.01</v>
      </c>
      <c r="E328" s="75">
        <v>1.0000000000000001E-5</v>
      </c>
      <c r="F328" s="75" t="s">
        <v>13</v>
      </c>
      <c r="G328" s="75" t="s">
        <v>11</v>
      </c>
      <c r="H328" s="75">
        <v>0</v>
      </c>
      <c r="I328" s="75">
        <v>0</v>
      </c>
      <c r="J328" s="75"/>
      <c r="K328" s="75">
        <v>5.7733999999999996</v>
      </c>
      <c r="L328" s="75">
        <v>0.77276999999999996</v>
      </c>
      <c r="M328" s="75">
        <v>5.7733999999999996</v>
      </c>
      <c r="N328" s="75">
        <v>0.76426000000000005</v>
      </c>
      <c r="O328" s="90" t="str">
        <f>IF(VLOOKUP(UncLookup[[#This Row],[Item]],Items!$A$1:$F$43,2,FALSE)=0,"",VLOOKUP(UncLookup[[#This Row],[Item]],Items!$A$1:$F$43,2,FALSE))</f>
        <v/>
      </c>
      <c r="P328" s="90" t="str">
        <f>IF(VLOOKUP(UncLookup[[#This Row],[Item]],Items!$A$1:$F$43,3,FALSE)=0,"",VLOOKUP(UncLookup[[#This Row],[Item]],Items!$A$1:$F$43,3,FALSE))</f>
        <v/>
      </c>
      <c r="Q328" s="90" t="str">
        <f>IF(VLOOKUP(UncLookup[[#This Row],[Item]],Items!$A$1:$F$43,4,FALSE)=0,"",VLOOKUP(UncLookup[[#This Row],[Item]],Items!$A$1:$F$43,4,FALSE))</f>
        <v/>
      </c>
    </row>
    <row r="329" spans="1:17" x14ac:dyDescent="0.25">
      <c r="A329" s="76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90" t="str">
        <f>IF(VLOOKUP(UncLookup[[#This Row],[Item]],Items!$A$1:$F$43,2,FALSE)=0,"",VLOOKUP(UncLookup[[#This Row],[Item]],Items!$A$1:$F$43,2,FALSE))</f>
        <v/>
      </c>
      <c r="P329" s="90" t="str">
        <f>IF(VLOOKUP(UncLookup[[#This Row],[Item]],Items!$A$1:$F$43,3,FALSE)=0,"",VLOOKUP(UncLookup[[#This Row],[Item]],Items!$A$1:$F$43,3,FALSE))</f>
        <v/>
      </c>
      <c r="Q329" s="90" t="str">
        <f>IF(VLOOKUP(UncLookup[[#This Row],[Item]],Items!$A$1:$F$43,4,FALSE)=0,"",VLOOKUP(UncLookup[[#This Row],[Item]],Items!$A$1:$F$43,4,FALSE))</f>
        <v/>
      </c>
    </row>
    <row r="330" spans="1:17" x14ac:dyDescent="0.25">
      <c r="A330" s="75" t="s">
        <v>56</v>
      </c>
      <c r="B330" s="75" t="s">
        <v>46</v>
      </c>
      <c r="C330" s="75">
        <v>0.01</v>
      </c>
      <c r="D330" s="75">
        <v>0.1</v>
      </c>
      <c r="E330" s="75">
        <v>1E-8</v>
      </c>
      <c r="F330" s="75" t="s">
        <v>13</v>
      </c>
      <c r="G330" s="75" t="s">
        <v>11</v>
      </c>
      <c r="H330" s="75">
        <v>0</v>
      </c>
      <c r="I330" s="75">
        <v>0</v>
      </c>
      <c r="J330" s="75"/>
      <c r="K330" s="75">
        <v>0.67</v>
      </c>
      <c r="L330" s="75">
        <v>40</v>
      </c>
      <c r="M330" s="75">
        <v>0.57450999999999997</v>
      </c>
      <c r="N330" s="75">
        <v>40.857999999999997</v>
      </c>
      <c r="O330" s="90" t="str">
        <f>IF(VLOOKUP(UncLookup[[#This Row],[Item]],Items!$A$1:$F$43,2,FALSE)=0,"",VLOOKUP(UncLookup[[#This Row],[Item]],Items!$A$1:$F$43,2,FALSE))</f>
        <v/>
      </c>
      <c r="P330" s="90" t="str">
        <f>IF(VLOOKUP(UncLookup[[#This Row],[Item]],Items!$A$1:$F$43,3,FALSE)=0,"",VLOOKUP(UncLookup[[#This Row],[Item]],Items!$A$1:$F$43,3,FALSE))</f>
        <v/>
      </c>
      <c r="Q330" s="90" t="str">
        <f>IF(VLOOKUP(UncLookup[[#This Row],[Item]],Items!$A$1:$F$43,4,FALSE)=0,"",VLOOKUP(UncLookup[[#This Row],[Item]],Items!$A$1:$F$43,4,FALSE))</f>
        <v/>
      </c>
    </row>
    <row r="331" spans="1:17" x14ac:dyDescent="0.25">
      <c r="A331" s="76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90" t="str">
        <f>IF(VLOOKUP(UncLookup[[#This Row],[Item]],Items!$A$1:$F$43,2,FALSE)=0,"",VLOOKUP(UncLookup[[#This Row],[Item]],Items!$A$1:$F$43,2,FALSE))</f>
        <v/>
      </c>
      <c r="P331" s="90" t="str">
        <f>IF(VLOOKUP(UncLookup[[#This Row],[Item]],Items!$A$1:$F$43,3,FALSE)=0,"",VLOOKUP(UncLookup[[#This Row],[Item]],Items!$A$1:$F$43,3,FALSE))</f>
        <v/>
      </c>
      <c r="Q331" s="90" t="str">
        <f>IF(VLOOKUP(UncLookup[[#This Row],[Item]],Items!$A$1:$F$43,4,FALSE)=0,"",VLOOKUP(UncLookup[[#This Row],[Item]],Items!$A$1:$F$43,4,FALSE))</f>
        <v/>
      </c>
    </row>
    <row r="332" spans="1:17" x14ac:dyDescent="0.25">
      <c r="A332" s="75" t="s">
        <v>56</v>
      </c>
      <c r="B332" s="75" t="s">
        <v>46</v>
      </c>
      <c r="C332" s="75">
        <v>0.01</v>
      </c>
      <c r="D332" s="75">
        <v>0.1</v>
      </c>
      <c r="E332" s="75">
        <v>9.9999999999999995E-7</v>
      </c>
      <c r="F332" s="75" t="s">
        <v>13</v>
      </c>
      <c r="G332" s="75" t="s">
        <v>11</v>
      </c>
      <c r="H332" s="75">
        <v>0</v>
      </c>
      <c r="I332" s="75">
        <v>0</v>
      </c>
      <c r="J332" s="75"/>
      <c r="K332" s="75">
        <v>0.75326000000000004</v>
      </c>
      <c r="L332" s="75">
        <v>39.473999999999997</v>
      </c>
      <c r="M332" s="75">
        <v>0.74494000000000005</v>
      </c>
      <c r="N332" s="75">
        <v>39.51</v>
      </c>
      <c r="O332" s="90" t="str">
        <f>IF(VLOOKUP(UncLookup[[#This Row],[Item]],Items!$A$1:$F$43,2,FALSE)=0,"",VLOOKUP(UncLookup[[#This Row],[Item]],Items!$A$1:$F$43,2,FALSE))</f>
        <v/>
      </c>
      <c r="P332" s="90" t="str">
        <f>IF(VLOOKUP(UncLookup[[#This Row],[Item]],Items!$A$1:$F$43,3,FALSE)=0,"",VLOOKUP(UncLookup[[#This Row],[Item]],Items!$A$1:$F$43,3,FALSE))</f>
        <v/>
      </c>
      <c r="Q332" s="90" t="str">
        <f>IF(VLOOKUP(UncLookup[[#This Row],[Item]],Items!$A$1:$F$43,4,FALSE)=0,"",VLOOKUP(UncLookup[[#This Row],[Item]],Items!$A$1:$F$43,4,FALSE))</f>
        <v/>
      </c>
    </row>
    <row r="333" spans="1:17" x14ac:dyDescent="0.25">
      <c r="A333" s="76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90" t="str">
        <f>IF(VLOOKUP(UncLookup[[#This Row],[Item]],Items!$A$1:$F$43,2,FALSE)=0,"",VLOOKUP(UncLookup[[#This Row],[Item]],Items!$A$1:$F$43,2,FALSE))</f>
        <v/>
      </c>
      <c r="P333" s="90" t="str">
        <f>IF(VLOOKUP(UncLookup[[#This Row],[Item]],Items!$A$1:$F$43,3,FALSE)=0,"",VLOOKUP(UncLookup[[#This Row],[Item]],Items!$A$1:$F$43,3,FALSE))</f>
        <v/>
      </c>
      <c r="Q333" s="90" t="str">
        <f>IF(VLOOKUP(UncLookup[[#This Row],[Item]],Items!$A$1:$F$43,4,FALSE)=0,"",VLOOKUP(UncLookup[[#This Row],[Item]],Items!$A$1:$F$43,4,FALSE))</f>
        <v/>
      </c>
    </row>
    <row r="334" spans="1:17" x14ac:dyDescent="0.25">
      <c r="A334" s="75" t="s">
        <v>56</v>
      </c>
      <c r="B334" s="75" t="s">
        <v>46</v>
      </c>
      <c r="C334" s="75">
        <v>0.01</v>
      </c>
      <c r="D334" s="75">
        <v>0.1</v>
      </c>
      <c r="E334" s="75">
        <v>1E-4</v>
      </c>
      <c r="F334" s="75" t="s">
        <v>13</v>
      </c>
      <c r="G334" s="75" t="s">
        <v>11</v>
      </c>
      <c r="H334" s="75">
        <v>0</v>
      </c>
      <c r="I334" s="75">
        <v>0</v>
      </c>
      <c r="J334" s="75"/>
      <c r="K334" s="75">
        <v>57.725999999999999</v>
      </c>
      <c r="L334" s="75">
        <v>2.0333999999999999</v>
      </c>
      <c r="M334" s="75">
        <v>57.723999999999997</v>
      </c>
      <c r="N334" s="75">
        <v>1.9935</v>
      </c>
      <c r="O334" s="90" t="str">
        <f>IF(VLOOKUP(UncLookup[[#This Row],[Item]],Items!$A$1:$F$43,2,FALSE)=0,"",VLOOKUP(UncLookup[[#This Row],[Item]],Items!$A$1:$F$43,2,FALSE))</f>
        <v/>
      </c>
      <c r="P334" s="90" t="str">
        <f>IF(VLOOKUP(UncLookup[[#This Row],[Item]],Items!$A$1:$F$43,3,FALSE)=0,"",VLOOKUP(UncLookup[[#This Row],[Item]],Items!$A$1:$F$43,3,FALSE))</f>
        <v/>
      </c>
      <c r="Q334" s="90" t="str">
        <f>IF(VLOOKUP(UncLookup[[#This Row],[Item]],Items!$A$1:$F$43,4,FALSE)=0,"",VLOOKUP(UncLookup[[#This Row],[Item]],Items!$A$1:$F$43,4,FALSE))</f>
        <v/>
      </c>
    </row>
    <row r="335" spans="1:17" x14ac:dyDescent="0.25">
      <c r="A335" s="76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90" t="str">
        <f>IF(VLOOKUP(UncLookup[[#This Row],[Item]],Items!$A$1:$F$43,2,FALSE)=0,"",VLOOKUP(UncLookup[[#This Row],[Item]],Items!$A$1:$F$43,2,FALSE))</f>
        <v/>
      </c>
      <c r="P335" s="90" t="str">
        <f>IF(VLOOKUP(UncLookup[[#This Row],[Item]],Items!$A$1:$F$43,3,FALSE)=0,"",VLOOKUP(UncLookup[[#This Row],[Item]],Items!$A$1:$F$43,3,FALSE))</f>
        <v/>
      </c>
      <c r="Q335" s="90" t="str">
        <f>IF(VLOOKUP(UncLookup[[#This Row],[Item]],Items!$A$1:$F$43,4,FALSE)=0,"",VLOOKUP(UncLookup[[#This Row],[Item]],Items!$A$1:$F$43,4,FALSE))</f>
        <v/>
      </c>
    </row>
    <row r="336" spans="1:17" x14ac:dyDescent="0.25">
      <c r="A336" s="75" t="s">
        <v>56</v>
      </c>
      <c r="B336" s="75" t="s">
        <v>46</v>
      </c>
      <c r="C336" s="75">
        <v>0.1</v>
      </c>
      <c r="D336" s="75">
        <v>1</v>
      </c>
      <c r="E336" s="75">
        <v>9.9999999999999995E-8</v>
      </c>
      <c r="F336" s="75" t="s">
        <v>13</v>
      </c>
      <c r="G336" s="75" t="s">
        <v>11</v>
      </c>
      <c r="H336" s="75">
        <v>0</v>
      </c>
      <c r="I336" s="75">
        <v>0</v>
      </c>
      <c r="J336" s="75"/>
      <c r="K336" s="75">
        <v>12</v>
      </c>
      <c r="L336" s="75">
        <v>130</v>
      </c>
      <c r="M336" s="75">
        <v>11.536</v>
      </c>
      <c r="N336" s="75">
        <v>127.22</v>
      </c>
      <c r="O336" s="90" t="str">
        <f>IF(VLOOKUP(UncLookup[[#This Row],[Item]],Items!$A$1:$F$43,2,FALSE)=0,"",VLOOKUP(UncLookup[[#This Row],[Item]],Items!$A$1:$F$43,2,FALSE))</f>
        <v/>
      </c>
      <c r="P336" s="90" t="str">
        <f>IF(VLOOKUP(UncLookup[[#This Row],[Item]],Items!$A$1:$F$43,3,FALSE)=0,"",VLOOKUP(UncLookup[[#This Row],[Item]],Items!$A$1:$F$43,3,FALSE))</f>
        <v/>
      </c>
      <c r="Q336" s="90" t="str">
        <f>IF(VLOOKUP(UncLookup[[#This Row],[Item]],Items!$A$1:$F$43,4,FALSE)=0,"",VLOOKUP(UncLookup[[#This Row],[Item]],Items!$A$1:$F$43,4,FALSE))</f>
        <v/>
      </c>
    </row>
    <row r="337" spans="1:17" x14ac:dyDescent="0.25">
      <c r="A337" s="76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90" t="str">
        <f>IF(VLOOKUP(UncLookup[[#This Row],[Item]],Items!$A$1:$F$43,2,FALSE)=0,"",VLOOKUP(UncLookup[[#This Row],[Item]],Items!$A$1:$F$43,2,FALSE))</f>
        <v/>
      </c>
      <c r="P337" s="90" t="str">
        <f>IF(VLOOKUP(UncLookup[[#This Row],[Item]],Items!$A$1:$F$43,3,FALSE)=0,"",VLOOKUP(UncLookup[[#This Row],[Item]],Items!$A$1:$F$43,3,FALSE))</f>
        <v/>
      </c>
      <c r="Q337" s="90" t="str">
        <f>IF(VLOOKUP(UncLookup[[#This Row],[Item]],Items!$A$1:$F$43,4,FALSE)=0,"",VLOOKUP(UncLookup[[#This Row],[Item]],Items!$A$1:$F$43,4,FALSE))</f>
        <v/>
      </c>
    </row>
    <row r="338" spans="1:17" x14ac:dyDescent="0.25">
      <c r="A338" s="75" t="s">
        <v>56</v>
      </c>
      <c r="B338" s="75" t="s">
        <v>46</v>
      </c>
      <c r="C338" s="75">
        <v>0.1</v>
      </c>
      <c r="D338" s="75">
        <v>1</v>
      </c>
      <c r="E338" s="75">
        <v>1.0000000000000001E-5</v>
      </c>
      <c r="F338" s="75" t="s">
        <v>13</v>
      </c>
      <c r="G338" s="75" t="s">
        <v>11</v>
      </c>
      <c r="H338" s="75">
        <v>0</v>
      </c>
      <c r="I338" s="75">
        <v>0</v>
      </c>
      <c r="J338" s="75"/>
      <c r="K338" s="75">
        <v>12</v>
      </c>
      <c r="L338" s="75">
        <v>130</v>
      </c>
      <c r="M338" s="75">
        <v>12.276999999999999</v>
      </c>
      <c r="N338" s="75">
        <v>126.6</v>
      </c>
      <c r="O338" s="90" t="str">
        <f>IF(VLOOKUP(UncLookup[[#This Row],[Item]],Items!$A$1:$F$43,2,FALSE)=0,"",VLOOKUP(UncLookup[[#This Row],[Item]],Items!$A$1:$F$43,2,FALSE))</f>
        <v/>
      </c>
      <c r="P338" s="90" t="str">
        <f>IF(VLOOKUP(UncLookup[[#This Row],[Item]],Items!$A$1:$F$43,3,FALSE)=0,"",VLOOKUP(UncLookup[[#This Row],[Item]],Items!$A$1:$F$43,3,FALSE))</f>
        <v/>
      </c>
      <c r="Q338" s="90" t="str">
        <f>IF(VLOOKUP(UncLookup[[#This Row],[Item]],Items!$A$1:$F$43,4,FALSE)=0,"",VLOOKUP(UncLookup[[#This Row],[Item]],Items!$A$1:$F$43,4,FALSE))</f>
        <v/>
      </c>
    </row>
    <row r="339" spans="1:17" x14ac:dyDescent="0.25">
      <c r="A339" s="76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90" t="str">
        <f>IF(VLOOKUP(UncLookup[[#This Row],[Item]],Items!$A$1:$F$43,2,FALSE)=0,"",VLOOKUP(UncLookup[[#This Row],[Item]],Items!$A$1:$F$43,2,FALSE))</f>
        <v/>
      </c>
      <c r="P339" s="90" t="str">
        <f>IF(VLOOKUP(UncLookup[[#This Row],[Item]],Items!$A$1:$F$43,3,FALSE)=0,"",VLOOKUP(UncLookup[[#This Row],[Item]],Items!$A$1:$F$43,3,FALSE))</f>
        <v/>
      </c>
      <c r="Q339" s="90" t="str">
        <f>IF(VLOOKUP(UncLookup[[#This Row],[Item]],Items!$A$1:$F$43,4,FALSE)=0,"",VLOOKUP(UncLookup[[#This Row],[Item]],Items!$A$1:$F$43,4,FALSE))</f>
        <v/>
      </c>
    </row>
    <row r="340" spans="1:17" x14ac:dyDescent="0.25">
      <c r="A340" s="75" t="s">
        <v>56</v>
      </c>
      <c r="B340" s="75" t="s">
        <v>46</v>
      </c>
      <c r="C340" s="75">
        <v>0.1</v>
      </c>
      <c r="D340" s="75">
        <v>1</v>
      </c>
      <c r="E340" s="75">
        <v>1E-3</v>
      </c>
      <c r="F340" s="75" t="s">
        <v>13</v>
      </c>
      <c r="G340" s="75" t="s">
        <v>11</v>
      </c>
      <c r="H340" s="75">
        <v>0</v>
      </c>
      <c r="I340" s="75">
        <v>0</v>
      </c>
      <c r="J340" s="75"/>
      <c r="K340" s="75">
        <v>576.12</v>
      </c>
      <c r="L340" s="75">
        <v>17.673999999999999</v>
      </c>
      <c r="M340" s="75">
        <v>576.1</v>
      </c>
      <c r="N340" s="75">
        <v>17.7</v>
      </c>
      <c r="O340" s="90" t="str">
        <f>IF(VLOOKUP(UncLookup[[#This Row],[Item]],Items!$A$1:$F$43,2,FALSE)=0,"",VLOOKUP(UncLookup[[#This Row],[Item]],Items!$A$1:$F$43,2,FALSE))</f>
        <v/>
      </c>
      <c r="P340" s="90" t="str">
        <f>IF(VLOOKUP(UncLookup[[#This Row],[Item]],Items!$A$1:$F$43,3,FALSE)=0,"",VLOOKUP(UncLookup[[#This Row],[Item]],Items!$A$1:$F$43,3,FALSE))</f>
        <v/>
      </c>
      <c r="Q340" s="90" t="str">
        <f>IF(VLOOKUP(UncLookup[[#This Row],[Item]],Items!$A$1:$F$43,4,FALSE)=0,"",VLOOKUP(UncLookup[[#This Row],[Item]],Items!$A$1:$F$43,4,FALSE))</f>
        <v/>
      </c>
    </row>
    <row r="341" spans="1:17" x14ac:dyDescent="0.25">
      <c r="A341" s="76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90" t="str">
        <f>IF(VLOOKUP(UncLookup[[#This Row],[Item]],Items!$A$1:$F$43,2,FALSE)=0,"",VLOOKUP(UncLookup[[#This Row],[Item]],Items!$A$1:$F$43,2,FALSE))</f>
        <v/>
      </c>
      <c r="P341" s="90" t="str">
        <f>IF(VLOOKUP(UncLookup[[#This Row],[Item]],Items!$A$1:$F$43,3,FALSE)=0,"",VLOOKUP(UncLookup[[#This Row],[Item]],Items!$A$1:$F$43,3,FALSE))</f>
        <v/>
      </c>
      <c r="Q341" s="90" t="str">
        <f>IF(VLOOKUP(UncLookup[[#This Row],[Item]],Items!$A$1:$F$43,4,FALSE)=0,"",VLOOKUP(UncLookup[[#This Row],[Item]],Items!$A$1:$F$43,4,FALSE))</f>
        <v/>
      </c>
    </row>
    <row r="342" spans="1:17" x14ac:dyDescent="0.25">
      <c r="A342" s="75" t="s">
        <v>56</v>
      </c>
      <c r="B342" s="75" t="s">
        <v>46</v>
      </c>
      <c r="C342" s="75">
        <v>1</v>
      </c>
      <c r="D342" s="75">
        <v>20</v>
      </c>
      <c r="E342" s="75">
        <v>9.9999999999999995E-7</v>
      </c>
      <c r="F342" s="75" t="s">
        <v>13</v>
      </c>
      <c r="G342" s="75" t="s">
        <v>12</v>
      </c>
      <c r="H342" s="75">
        <v>0</v>
      </c>
      <c r="I342" s="75">
        <v>0</v>
      </c>
      <c r="J342" s="75"/>
      <c r="K342" s="75">
        <v>6.8000000000000005E-2</v>
      </c>
      <c r="L342" s="75">
        <v>3.5999999999999999E-3</v>
      </c>
      <c r="M342" s="75">
        <v>4.2999999999999997E-2</v>
      </c>
      <c r="N342" s="75">
        <v>4.7600000000000003E-3</v>
      </c>
      <c r="O342" s="90" t="str">
        <f>IF(VLOOKUP(UncLookup[[#This Row],[Item]],Items!$A$1:$F$43,2,FALSE)=0,"",VLOOKUP(UncLookup[[#This Row],[Item]],Items!$A$1:$F$43,2,FALSE))</f>
        <v/>
      </c>
      <c r="P342" s="90" t="str">
        <f>IF(VLOOKUP(UncLookup[[#This Row],[Item]],Items!$A$1:$F$43,3,FALSE)=0,"",VLOOKUP(UncLookup[[#This Row],[Item]],Items!$A$1:$F$43,3,FALSE))</f>
        <v/>
      </c>
      <c r="Q342" s="90" t="str">
        <f>IF(VLOOKUP(UncLookup[[#This Row],[Item]],Items!$A$1:$F$43,4,FALSE)=0,"",VLOOKUP(UncLookup[[#This Row],[Item]],Items!$A$1:$F$43,4,FALSE))</f>
        <v/>
      </c>
    </row>
    <row r="343" spans="1:17" x14ac:dyDescent="0.25">
      <c r="A343" s="76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90" t="str">
        <f>IF(VLOOKUP(UncLookup[[#This Row],[Item]],Items!$A$1:$F$43,2,FALSE)=0,"",VLOOKUP(UncLookup[[#This Row],[Item]],Items!$A$1:$F$43,2,FALSE))</f>
        <v/>
      </c>
      <c r="P343" s="90" t="str">
        <f>IF(VLOOKUP(UncLookup[[#This Row],[Item]],Items!$A$1:$F$43,3,FALSE)=0,"",VLOOKUP(UncLookup[[#This Row],[Item]],Items!$A$1:$F$43,3,FALSE))</f>
        <v/>
      </c>
      <c r="Q343" s="90" t="str">
        <f>IF(VLOOKUP(UncLookup[[#This Row],[Item]],Items!$A$1:$F$43,4,FALSE)=0,"",VLOOKUP(UncLookup[[#This Row],[Item]],Items!$A$1:$F$43,4,FALSE))</f>
        <v/>
      </c>
    </row>
    <row r="344" spans="1:17" x14ac:dyDescent="0.25">
      <c r="A344" s="75" t="s">
        <v>56</v>
      </c>
      <c r="B344" s="75" t="s">
        <v>46</v>
      </c>
      <c r="C344" s="75">
        <v>1</v>
      </c>
      <c r="D344" s="75">
        <v>20</v>
      </c>
      <c r="E344" s="75">
        <v>1E-4</v>
      </c>
      <c r="F344" s="75" t="s">
        <v>13</v>
      </c>
      <c r="G344" s="75" t="s">
        <v>12</v>
      </c>
      <c r="H344" s="75">
        <v>0</v>
      </c>
      <c r="I344" s="75">
        <v>0</v>
      </c>
      <c r="J344" s="75"/>
      <c r="K344" s="75">
        <v>7.0892999999999998E-2</v>
      </c>
      <c r="L344" s="75">
        <v>3.8964999999999998E-3</v>
      </c>
      <c r="M344" s="75">
        <v>6.8928000000000003E-2</v>
      </c>
      <c r="N344" s="75">
        <v>3.8257999999999999E-3</v>
      </c>
      <c r="O344" s="90" t="str">
        <f>IF(VLOOKUP(UncLookup[[#This Row],[Item]],Items!$A$1:$F$43,2,FALSE)=0,"",VLOOKUP(UncLookup[[#This Row],[Item]],Items!$A$1:$F$43,2,FALSE))</f>
        <v/>
      </c>
      <c r="P344" s="90" t="str">
        <f>IF(VLOOKUP(UncLookup[[#This Row],[Item]],Items!$A$1:$F$43,3,FALSE)=0,"",VLOOKUP(UncLookup[[#This Row],[Item]],Items!$A$1:$F$43,3,FALSE))</f>
        <v/>
      </c>
      <c r="Q344" s="90" t="str">
        <f>IF(VLOOKUP(UncLookup[[#This Row],[Item]],Items!$A$1:$F$43,4,FALSE)=0,"",VLOOKUP(UncLookup[[#This Row],[Item]],Items!$A$1:$F$43,4,FALSE))</f>
        <v/>
      </c>
    </row>
    <row r="345" spans="1:17" x14ac:dyDescent="0.25">
      <c r="A345" s="76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90" t="str">
        <f>IF(VLOOKUP(UncLookup[[#This Row],[Item]],Items!$A$1:$F$43,2,FALSE)=0,"",VLOOKUP(UncLookup[[#This Row],[Item]],Items!$A$1:$F$43,2,FALSE))</f>
        <v/>
      </c>
      <c r="P345" s="90" t="str">
        <f>IF(VLOOKUP(UncLookup[[#This Row],[Item]],Items!$A$1:$F$43,3,FALSE)=0,"",VLOOKUP(UncLookup[[#This Row],[Item]],Items!$A$1:$F$43,3,FALSE))</f>
        <v/>
      </c>
      <c r="Q345" s="90" t="str">
        <f>IF(VLOOKUP(UncLookup[[#This Row],[Item]],Items!$A$1:$F$43,4,FALSE)=0,"",VLOOKUP(UncLookup[[#This Row],[Item]],Items!$A$1:$F$43,4,FALSE))</f>
        <v/>
      </c>
    </row>
    <row r="346" spans="1:17" x14ac:dyDescent="0.25">
      <c r="A346" s="75" t="s">
        <v>56</v>
      </c>
      <c r="B346" s="75" t="s">
        <v>46</v>
      </c>
      <c r="C346" s="75">
        <v>1</v>
      </c>
      <c r="D346" s="75">
        <v>20</v>
      </c>
      <c r="E346" s="75">
        <v>0.01</v>
      </c>
      <c r="F346" s="75" t="s">
        <v>13</v>
      </c>
      <c r="G346" s="75" t="s">
        <v>12</v>
      </c>
      <c r="H346" s="75">
        <v>0</v>
      </c>
      <c r="I346" s="75">
        <v>0</v>
      </c>
      <c r="J346" s="75"/>
      <c r="K346" s="75">
        <v>5.7739000000000003</v>
      </c>
      <c r="L346" s="75">
        <v>1.1677E-4</v>
      </c>
      <c r="M346" s="75">
        <v>5.7736000000000001</v>
      </c>
      <c r="N346" s="75">
        <v>7.0888000000000003E-5</v>
      </c>
      <c r="O346" s="90" t="str">
        <f>IF(VLOOKUP(UncLookup[[#This Row],[Item]],Items!$A$1:$F$43,2,FALSE)=0,"",VLOOKUP(UncLookup[[#This Row],[Item]],Items!$A$1:$F$43,2,FALSE))</f>
        <v/>
      </c>
      <c r="P346" s="90" t="str">
        <f>IF(VLOOKUP(UncLookup[[#This Row],[Item]],Items!$A$1:$F$43,3,FALSE)=0,"",VLOOKUP(UncLookup[[#This Row],[Item]],Items!$A$1:$F$43,3,FALSE))</f>
        <v/>
      </c>
      <c r="Q346" s="90" t="str">
        <f>IF(VLOOKUP(UncLookup[[#This Row],[Item]],Items!$A$1:$F$43,4,FALSE)=0,"",VLOOKUP(UncLookup[[#This Row],[Item]],Items!$A$1:$F$43,4,FALSE))</f>
        <v/>
      </c>
    </row>
    <row r="347" spans="1:17" x14ac:dyDescent="0.25">
      <c r="A347" s="76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90" t="str">
        <f>IF(VLOOKUP(UncLookup[[#This Row],[Item]],Items!$A$1:$F$43,2,FALSE)=0,"",VLOOKUP(UncLookup[[#This Row],[Item]],Items!$A$1:$F$43,2,FALSE))</f>
        <v/>
      </c>
      <c r="P347" s="90" t="str">
        <f>IF(VLOOKUP(UncLookup[[#This Row],[Item]],Items!$A$1:$F$43,3,FALSE)=0,"",VLOOKUP(UncLookup[[#This Row],[Item]],Items!$A$1:$F$43,3,FALSE))</f>
        <v/>
      </c>
      <c r="Q347" s="90" t="str">
        <f>IF(VLOOKUP(UncLookup[[#This Row],[Item]],Items!$A$1:$F$43,4,FALSE)=0,"",VLOOKUP(UncLookup[[#This Row],[Item]],Items!$A$1:$F$43,4,FALSE))</f>
        <v/>
      </c>
    </row>
    <row r="348" spans="1:17" x14ac:dyDescent="0.25">
      <c r="A348" s="75" t="s">
        <v>56</v>
      </c>
      <c r="B348" s="75" t="s">
        <v>97</v>
      </c>
      <c r="C348" s="75">
        <v>-270</v>
      </c>
      <c r="D348" s="75">
        <v>-240.001</v>
      </c>
      <c r="E348" s="75">
        <v>0.1</v>
      </c>
      <c r="F348" s="75" t="s">
        <v>23</v>
      </c>
      <c r="G348" s="75" t="s">
        <v>23</v>
      </c>
      <c r="H348" s="75">
        <v>0</v>
      </c>
      <c r="I348" s="75">
        <v>0</v>
      </c>
      <c r="J348" s="75"/>
      <c r="K348" s="75">
        <v>0.24590050099999999</v>
      </c>
      <c r="L348" s="75">
        <v>0</v>
      </c>
      <c r="M348" s="75">
        <v>0.234882761</v>
      </c>
      <c r="N348" s="75">
        <v>0</v>
      </c>
      <c r="O348" s="90" t="str">
        <f>IF(VLOOKUP(UncLookup[[#This Row],[Item]],Items!$A$1:$F$43,2,FALSE)=0,"",VLOOKUP(UncLookup[[#This Row],[Item]],Items!$A$1:$F$43,2,FALSE))</f>
        <v/>
      </c>
      <c r="P348" s="90" t="str">
        <f>IF(VLOOKUP(UncLookup[[#This Row],[Item]],Items!$A$1:$F$43,3,FALSE)=0,"",VLOOKUP(UncLookup[[#This Row],[Item]],Items!$A$1:$F$43,3,FALSE))</f>
        <v/>
      </c>
      <c r="Q348" s="90" t="str">
        <f>IF(VLOOKUP(UncLookup[[#This Row],[Item]],Items!$A$1:$F$43,4,FALSE)=0,"",VLOOKUP(UncLookup[[#This Row],[Item]],Items!$A$1:$F$43,4,FALSE))</f>
        <v>T</v>
      </c>
    </row>
    <row r="349" spans="1:17" x14ac:dyDescent="0.25">
      <c r="A349" s="76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90" t="str">
        <f>IF(VLOOKUP(UncLookup[[#This Row],[Item]],Items!$A$1:$F$43,2,FALSE)=0,"",VLOOKUP(UncLookup[[#This Row],[Item]],Items!$A$1:$F$43,2,FALSE))</f>
        <v/>
      </c>
      <c r="P349" s="90" t="str">
        <f>IF(VLOOKUP(UncLookup[[#This Row],[Item]],Items!$A$1:$F$43,3,FALSE)=0,"",VLOOKUP(UncLookup[[#This Row],[Item]],Items!$A$1:$F$43,3,FALSE))</f>
        <v/>
      </c>
      <c r="Q349" s="90" t="str">
        <f>IF(VLOOKUP(UncLookup[[#This Row],[Item]],Items!$A$1:$F$43,4,FALSE)=0,"",VLOOKUP(UncLookup[[#This Row],[Item]],Items!$A$1:$F$43,4,FALSE))</f>
        <v>T</v>
      </c>
    </row>
    <row r="350" spans="1:17" x14ac:dyDescent="0.25">
      <c r="A350" s="75" t="s">
        <v>56</v>
      </c>
      <c r="B350" s="75" t="s">
        <v>97</v>
      </c>
      <c r="C350" s="75">
        <v>-240</v>
      </c>
      <c r="D350" s="75">
        <v>92.998999999999995</v>
      </c>
      <c r="E350" s="75">
        <v>0.1</v>
      </c>
      <c r="F350" s="75" t="s">
        <v>23</v>
      </c>
      <c r="G350" s="75" t="s">
        <v>23</v>
      </c>
      <c r="H350" s="75">
        <v>0</v>
      </c>
      <c r="I350" s="75">
        <v>0</v>
      </c>
      <c r="J350" s="75"/>
      <c r="K350" s="75">
        <v>0.108409273</v>
      </c>
      <c r="L350" s="75">
        <v>0</v>
      </c>
      <c r="M350" s="75">
        <v>8.5819788999999994E-2</v>
      </c>
      <c r="N350" s="75">
        <v>0</v>
      </c>
      <c r="O350" s="90" t="str">
        <f>IF(VLOOKUP(UncLookup[[#This Row],[Item]],Items!$A$1:$F$43,2,FALSE)=0,"",VLOOKUP(UncLookup[[#This Row],[Item]],Items!$A$1:$F$43,2,FALSE))</f>
        <v/>
      </c>
      <c r="P350" s="90" t="str">
        <f>IF(VLOOKUP(UncLookup[[#This Row],[Item]],Items!$A$1:$F$43,3,FALSE)=0,"",VLOOKUP(UncLookup[[#This Row],[Item]],Items!$A$1:$F$43,3,FALSE))</f>
        <v/>
      </c>
      <c r="Q350" s="90" t="str">
        <f>IF(VLOOKUP(UncLookup[[#This Row],[Item]],Items!$A$1:$F$43,4,FALSE)=0,"",VLOOKUP(UncLookup[[#This Row],[Item]],Items!$A$1:$F$43,4,FALSE))</f>
        <v>T</v>
      </c>
    </row>
    <row r="351" spans="1:17" x14ac:dyDescent="0.25">
      <c r="A351" s="76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90" t="str">
        <f>IF(VLOOKUP(UncLookup[[#This Row],[Item]],Items!$A$1:$F$43,2,FALSE)=0,"",VLOOKUP(UncLookup[[#This Row],[Item]],Items!$A$1:$F$43,2,FALSE))</f>
        <v/>
      </c>
      <c r="P351" s="90" t="str">
        <f>IF(VLOOKUP(UncLookup[[#This Row],[Item]],Items!$A$1:$F$43,3,FALSE)=0,"",VLOOKUP(UncLookup[[#This Row],[Item]],Items!$A$1:$F$43,3,FALSE))</f>
        <v/>
      </c>
      <c r="Q351" s="90" t="str">
        <f>IF(VLOOKUP(UncLookup[[#This Row],[Item]],Items!$A$1:$F$43,4,FALSE)=0,"",VLOOKUP(UncLookup[[#This Row],[Item]],Items!$A$1:$F$43,4,FALSE))</f>
        <v>T</v>
      </c>
    </row>
    <row r="352" spans="1:17" x14ac:dyDescent="0.25">
      <c r="A352" s="75" t="s">
        <v>56</v>
      </c>
      <c r="B352" s="75" t="s">
        <v>97</v>
      </c>
      <c r="C352" s="75">
        <v>93</v>
      </c>
      <c r="D352" s="75">
        <v>400</v>
      </c>
      <c r="E352" s="75">
        <v>0.1</v>
      </c>
      <c r="F352" s="75" t="s">
        <v>23</v>
      </c>
      <c r="G352" s="75" t="s">
        <v>23</v>
      </c>
      <c r="H352" s="75">
        <v>0</v>
      </c>
      <c r="I352" s="75">
        <v>0</v>
      </c>
      <c r="J352" s="75"/>
      <c r="K352" s="75">
        <v>7.6721655999999999E-2</v>
      </c>
      <c r="L352" s="75">
        <v>0</v>
      </c>
      <c r="M352" s="75">
        <v>6.6644854000000003E-2</v>
      </c>
      <c r="N352" s="75">
        <v>0</v>
      </c>
      <c r="O352" s="90" t="str">
        <f>IF(VLOOKUP(UncLookup[[#This Row],[Item]],Items!$A$1:$F$43,2,FALSE)=0,"",VLOOKUP(UncLookup[[#This Row],[Item]],Items!$A$1:$F$43,2,FALSE))</f>
        <v/>
      </c>
      <c r="P352" s="90" t="str">
        <f>IF(VLOOKUP(UncLookup[[#This Row],[Item]],Items!$A$1:$F$43,3,FALSE)=0,"",VLOOKUP(UncLookup[[#This Row],[Item]],Items!$A$1:$F$43,3,FALSE))</f>
        <v/>
      </c>
      <c r="Q352" s="90" t="str">
        <f>IF(VLOOKUP(UncLookup[[#This Row],[Item]],Items!$A$1:$F$43,4,FALSE)=0,"",VLOOKUP(UncLookup[[#This Row],[Item]],Items!$A$1:$F$43,4,FALSE))</f>
        <v>T</v>
      </c>
    </row>
    <row r="353" spans="1:17" x14ac:dyDescent="0.25">
      <c r="A353" s="76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90" t="str">
        <f>IF(VLOOKUP(UncLookup[[#This Row],[Item]],Items!$A$1:$F$43,2,FALSE)=0,"",VLOOKUP(UncLookup[[#This Row],[Item]],Items!$A$1:$F$43,2,FALSE))</f>
        <v/>
      </c>
      <c r="P353" s="90" t="str">
        <f>IF(VLOOKUP(UncLookup[[#This Row],[Item]],Items!$A$1:$F$43,3,FALSE)=0,"",VLOOKUP(UncLookup[[#This Row],[Item]],Items!$A$1:$F$43,3,FALSE))</f>
        <v/>
      </c>
      <c r="Q353" s="90" t="str">
        <f>IF(VLOOKUP(UncLookup[[#This Row],[Item]],Items!$A$1:$F$43,4,FALSE)=0,"",VLOOKUP(UncLookup[[#This Row],[Item]],Items!$A$1:$F$43,4,FALSE))</f>
        <v>T</v>
      </c>
    </row>
    <row r="354" spans="1:17" x14ac:dyDescent="0.25">
      <c r="A354" s="75" t="s">
        <v>56</v>
      </c>
      <c r="B354" s="75" t="s">
        <v>96</v>
      </c>
      <c r="C354" s="75">
        <v>-50</v>
      </c>
      <c r="D354" s="75">
        <v>-1E-3</v>
      </c>
      <c r="E354" s="75">
        <v>0.1</v>
      </c>
      <c r="F354" s="75" t="s">
        <v>23</v>
      </c>
      <c r="G354" s="75" t="s">
        <v>23</v>
      </c>
      <c r="H354" s="75">
        <v>0</v>
      </c>
      <c r="I354" s="75">
        <v>0</v>
      </c>
      <c r="J354" s="75"/>
      <c r="K354" s="75">
        <v>0.13149422599999999</v>
      </c>
      <c r="L354" s="75">
        <v>0</v>
      </c>
      <c r="M354" s="75">
        <v>0.111692189</v>
      </c>
      <c r="N354" s="75">
        <v>0</v>
      </c>
      <c r="O354" s="90" t="str">
        <f>IF(VLOOKUP(UncLookup[[#This Row],[Item]],Items!$A$1:$F$43,2,FALSE)=0,"",VLOOKUP(UncLookup[[#This Row],[Item]],Items!$A$1:$F$43,2,FALSE))</f>
        <v/>
      </c>
      <c r="P354" s="90" t="str">
        <f>IF(VLOOKUP(UncLookup[[#This Row],[Item]],Items!$A$1:$F$43,3,FALSE)=0,"",VLOOKUP(UncLookup[[#This Row],[Item]],Items!$A$1:$F$43,3,FALSE))</f>
        <v/>
      </c>
      <c r="Q354" s="90" t="str">
        <f>IF(VLOOKUP(UncLookup[[#This Row],[Item]],Items!$A$1:$F$43,4,FALSE)=0,"",VLOOKUP(UncLookup[[#This Row],[Item]],Items!$A$1:$F$43,4,FALSE))</f>
        <v>S</v>
      </c>
    </row>
    <row r="355" spans="1:17" x14ac:dyDescent="0.25">
      <c r="A355" s="76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90" t="str">
        <f>IF(VLOOKUP(UncLookup[[#This Row],[Item]],Items!$A$1:$F$43,2,FALSE)=0,"",VLOOKUP(UncLookup[[#This Row],[Item]],Items!$A$1:$F$43,2,FALSE))</f>
        <v/>
      </c>
      <c r="P355" s="90" t="str">
        <f>IF(VLOOKUP(UncLookup[[#This Row],[Item]],Items!$A$1:$F$43,3,FALSE)=0,"",VLOOKUP(UncLookup[[#This Row],[Item]],Items!$A$1:$F$43,3,FALSE))</f>
        <v/>
      </c>
      <c r="Q355" s="90" t="str">
        <f>IF(VLOOKUP(UncLookup[[#This Row],[Item]],Items!$A$1:$F$43,4,FALSE)=0,"",VLOOKUP(UncLookup[[#This Row],[Item]],Items!$A$1:$F$43,4,FALSE))</f>
        <v>S</v>
      </c>
    </row>
    <row r="356" spans="1:17" x14ac:dyDescent="0.25">
      <c r="A356" s="75" t="s">
        <v>56</v>
      </c>
      <c r="B356" s="75" t="s">
        <v>96</v>
      </c>
      <c r="C356" s="75">
        <v>0</v>
      </c>
      <c r="D356" s="75">
        <v>593</v>
      </c>
      <c r="E356" s="75">
        <v>0.1</v>
      </c>
      <c r="F356" s="75" t="s">
        <v>23</v>
      </c>
      <c r="G356" s="75" t="s">
        <v>23</v>
      </c>
      <c r="H356" s="75">
        <v>0</v>
      </c>
      <c r="I356" s="75">
        <v>0</v>
      </c>
      <c r="J356" s="75"/>
      <c r="K356" s="75">
        <v>0.109757297</v>
      </c>
      <c r="L356" s="75">
        <v>0</v>
      </c>
      <c r="M356" s="75">
        <v>8.5662658000000003E-2</v>
      </c>
      <c r="N356" s="75">
        <v>0</v>
      </c>
      <c r="O356" s="90" t="str">
        <f>IF(VLOOKUP(UncLookup[[#This Row],[Item]],Items!$A$1:$F$43,2,FALSE)=0,"",VLOOKUP(UncLookup[[#This Row],[Item]],Items!$A$1:$F$43,2,FALSE))</f>
        <v/>
      </c>
      <c r="P356" s="90" t="str">
        <f>IF(VLOOKUP(UncLookup[[#This Row],[Item]],Items!$A$1:$F$43,3,FALSE)=0,"",VLOOKUP(UncLookup[[#This Row],[Item]],Items!$A$1:$F$43,3,FALSE))</f>
        <v/>
      </c>
      <c r="Q356" s="90" t="str">
        <f>IF(VLOOKUP(UncLookup[[#This Row],[Item]],Items!$A$1:$F$43,4,FALSE)=0,"",VLOOKUP(UncLookup[[#This Row],[Item]],Items!$A$1:$F$43,4,FALSE))</f>
        <v>S</v>
      </c>
    </row>
    <row r="357" spans="1:17" x14ac:dyDescent="0.25">
      <c r="A357" s="76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90" t="str">
        <f>IF(VLOOKUP(UncLookup[[#This Row],[Item]],Items!$A$1:$F$43,2,FALSE)=0,"",VLOOKUP(UncLookup[[#This Row],[Item]],Items!$A$1:$F$43,2,FALSE))</f>
        <v/>
      </c>
      <c r="P357" s="90" t="str">
        <f>IF(VLOOKUP(UncLookup[[#This Row],[Item]],Items!$A$1:$F$43,3,FALSE)=0,"",VLOOKUP(UncLookup[[#This Row],[Item]],Items!$A$1:$F$43,3,FALSE))</f>
        <v/>
      </c>
      <c r="Q357" s="90" t="str">
        <f>IF(VLOOKUP(UncLookup[[#This Row],[Item]],Items!$A$1:$F$43,4,FALSE)=0,"",VLOOKUP(UncLookup[[#This Row],[Item]],Items!$A$1:$F$43,4,FALSE))</f>
        <v>S</v>
      </c>
    </row>
    <row r="358" spans="1:17" x14ac:dyDescent="0.25">
      <c r="A358" s="75" t="s">
        <v>56</v>
      </c>
      <c r="B358" s="75" t="s">
        <v>96</v>
      </c>
      <c r="C358" s="75">
        <v>593.00099999999998</v>
      </c>
      <c r="D358" s="75">
        <v>1204</v>
      </c>
      <c r="E358" s="75">
        <v>0.1</v>
      </c>
      <c r="F358" s="75" t="s">
        <v>23</v>
      </c>
      <c r="G358" s="75" t="s">
        <v>23</v>
      </c>
      <c r="H358" s="75">
        <v>0</v>
      </c>
      <c r="I358" s="75">
        <v>0</v>
      </c>
      <c r="J358" s="75"/>
      <c r="K358" s="75">
        <v>0.100632445</v>
      </c>
      <c r="L358" s="75">
        <v>0</v>
      </c>
      <c r="M358" s="75">
        <v>7.9868484000000003E-2</v>
      </c>
      <c r="N358" s="75">
        <v>0</v>
      </c>
      <c r="O358" s="90" t="str">
        <f>IF(VLOOKUP(UncLookup[[#This Row],[Item]],Items!$A$1:$F$43,2,FALSE)=0,"",VLOOKUP(UncLookup[[#This Row],[Item]],Items!$A$1:$F$43,2,FALSE))</f>
        <v/>
      </c>
      <c r="P358" s="90" t="str">
        <f>IF(VLOOKUP(UncLookup[[#This Row],[Item]],Items!$A$1:$F$43,3,FALSE)=0,"",VLOOKUP(UncLookup[[#This Row],[Item]],Items!$A$1:$F$43,3,FALSE))</f>
        <v/>
      </c>
      <c r="Q358" s="90" t="str">
        <f>IF(VLOOKUP(UncLookup[[#This Row],[Item]],Items!$A$1:$F$43,4,FALSE)=0,"",VLOOKUP(UncLookup[[#This Row],[Item]],Items!$A$1:$F$43,4,FALSE))</f>
        <v>S</v>
      </c>
    </row>
    <row r="359" spans="1:17" x14ac:dyDescent="0.25">
      <c r="A359" s="76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90" t="str">
        <f>IF(VLOOKUP(UncLookup[[#This Row],[Item]],Items!$A$1:$F$43,2,FALSE)=0,"",VLOOKUP(UncLookup[[#This Row],[Item]],Items!$A$1:$F$43,2,FALSE))</f>
        <v/>
      </c>
      <c r="P359" s="90" t="str">
        <f>IF(VLOOKUP(UncLookup[[#This Row],[Item]],Items!$A$1:$F$43,3,FALSE)=0,"",VLOOKUP(UncLookup[[#This Row],[Item]],Items!$A$1:$F$43,3,FALSE))</f>
        <v/>
      </c>
      <c r="Q359" s="90" t="str">
        <f>IF(VLOOKUP(UncLookup[[#This Row],[Item]],Items!$A$1:$F$43,4,FALSE)=0,"",VLOOKUP(UncLookup[[#This Row],[Item]],Items!$A$1:$F$43,4,FALSE))</f>
        <v>S</v>
      </c>
    </row>
    <row r="360" spans="1:17" x14ac:dyDescent="0.25">
      <c r="A360" s="75" t="s">
        <v>56</v>
      </c>
      <c r="B360" s="75" t="s">
        <v>96</v>
      </c>
      <c r="C360" s="75">
        <v>1204.001</v>
      </c>
      <c r="D360" s="75">
        <v>1768</v>
      </c>
      <c r="E360" s="75">
        <v>0.1</v>
      </c>
      <c r="F360" s="75" t="s">
        <v>23</v>
      </c>
      <c r="G360" s="75" t="s">
        <v>23</v>
      </c>
      <c r="H360" s="75">
        <v>0</v>
      </c>
      <c r="I360" s="75">
        <v>0</v>
      </c>
      <c r="J360" s="75"/>
      <c r="K360" s="75">
        <v>0.11141328</v>
      </c>
      <c r="L360" s="75">
        <v>0</v>
      </c>
      <c r="M360" s="75">
        <v>9.1358763999999995E-2</v>
      </c>
      <c r="N360" s="75">
        <v>0</v>
      </c>
      <c r="O360" s="90" t="str">
        <f>IF(VLOOKUP(UncLookup[[#This Row],[Item]],Items!$A$1:$F$43,2,FALSE)=0,"",VLOOKUP(UncLookup[[#This Row],[Item]],Items!$A$1:$F$43,2,FALSE))</f>
        <v/>
      </c>
      <c r="P360" s="90" t="str">
        <f>IF(VLOOKUP(UncLookup[[#This Row],[Item]],Items!$A$1:$F$43,3,FALSE)=0,"",VLOOKUP(UncLookup[[#This Row],[Item]],Items!$A$1:$F$43,3,FALSE))</f>
        <v/>
      </c>
      <c r="Q360" s="90" t="str">
        <f>IF(VLOOKUP(UncLookup[[#This Row],[Item]],Items!$A$1:$F$43,4,FALSE)=0,"",VLOOKUP(UncLookup[[#This Row],[Item]],Items!$A$1:$F$43,4,FALSE))</f>
        <v>S</v>
      </c>
    </row>
    <row r="361" spans="1:17" x14ac:dyDescent="0.25">
      <c r="A361" s="76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90" t="str">
        <f>IF(VLOOKUP(UncLookup[[#This Row],[Item]],Items!$A$1:$F$43,2,FALSE)=0,"",VLOOKUP(UncLookup[[#This Row],[Item]],Items!$A$1:$F$43,2,FALSE))</f>
        <v/>
      </c>
      <c r="P361" s="90" t="str">
        <f>IF(VLOOKUP(UncLookup[[#This Row],[Item]],Items!$A$1:$F$43,3,FALSE)=0,"",VLOOKUP(UncLookup[[#This Row],[Item]],Items!$A$1:$F$43,3,FALSE))</f>
        <v/>
      </c>
      <c r="Q361" s="90" t="str">
        <f>IF(VLOOKUP(UncLookup[[#This Row],[Item]],Items!$A$1:$F$43,4,FALSE)=0,"",VLOOKUP(UncLookup[[#This Row],[Item]],Items!$A$1:$F$43,4,FALSE))</f>
        <v>S</v>
      </c>
    </row>
    <row r="362" spans="1:17" x14ac:dyDescent="0.25">
      <c r="A362" s="75" t="s">
        <v>56</v>
      </c>
      <c r="B362" s="75" t="s">
        <v>95</v>
      </c>
      <c r="C362" s="75">
        <v>-50</v>
      </c>
      <c r="D362" s="75">
        <v>-1E-3</v>
      </c>
      <c r="E362" s="75">
        <v>0.1</v>
      </c>
      <c r="F362" s="75" t="s">
        <v>23</v>
      </c>
      <c r="G362" s="75" t="s">
        <v>23</v>
      </c>
      <c r="H362" s="75">
        <v>0</v>
      </c>
      <c r="I362" s="75">
        <v>0</v>
      </c>
      <c r="J362" s="75"/>
      <c r="K362" s="75">
        <v>0.150846182</v>
      </c>
      <c r="L362" s="75">
        <v>0</v>
      </c>
      <c r="M362" s="75">
        <v>0.13393649299999999</v>
      </c>
      <c r="N362" s="75">
        <v>0</v>
      </c>
      <c r="O362" s="90" t="str">
        <f>IF(VLOOKUP(UncLookup[[#This Row],[Item]],Items!$A$1:$F$43,2,FALSE)=0,"",VLOOKUP(UncLookup[[#This Row],[Item]],Items!$A$1:$F$43,2,FALSE))</f>
        <v/>
      </c>
      <c r="P362" s="90" t="str">
        <f>IF(VLOOKUP(UncLookup[[#This Row],[Item]],Items!$A$1:$F$43,3,FALSE)=0,"",VLOOKUP(UncLookup[[#This Row],[Item]],Items!$A$1:$F$43,3,FALSE))</f>
        <v/>
      </c>
      <c r="Q362" s="90" t="str">
        <f>IF(VLOOKUP(UncLookup[[#This Row],[Item]],Items!$A$1:$F$43,4,FALSE)=0,"",VLOOKUP(UncLookup[[#This Row],[Item]],Items!$A$1:$F$43,4,FALSE))</f>
        <v>R</v>
      </c>
    </row>
    <row r="363" spans="1:17" x14ac:dyDescent="0.25">
      <c r="A363" s="76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90" t="str">
        <f>IF(VLOOKUP(UncLookup[[#This Row],[Item]],Items!$A$1:$F$43,2,FALSE)=0,"",VLOOKUP(UncLookup[[#This Row],[Item]],Items!$A$1:$F$43,2,FALSE))</f>
        <v/>
      </c>
      <c r="P363" s="90" t="str">
        <f>IF(VLOOKUP(UncLookup[[#This Row],[Item]],Items!$A$1:$F$43,3,FALSE)=0,"",VLOOKUP(UncLookup[[#This Row],[Item]],Items!$A$1:$F$43,3,FALSE))</f>
        <v/>
      </c>
      <c r="Q363" s="90" t="str">
        <f>IF(VLOOKUP(UncLookup[[#This Row],[Item]],Items!$A$1:$F$43,4,FALSE)=0,"",VLOOKUP(UncLookup[[#This Row],[Item]],Items!$A$1:$F$43,4,FALSE))</f>
        <v>R</v>
      </c>
    </row>
    <row r="364" spans="1:17" x14ac:dyDescent="0.25">
      <c r="A364" s="75" t="s">
        <v>56</v>
      </c>
      <c r="B364" s="75" t="s">
        <v>95</v>
      </c>
      <c r="C364" s="75">
        <v>0</v>
      </c>
      <c r="D364" s="75">
        <v>593</v>
      </c>
      <c r="E364" s="75">
        <v>0.1</v>
      </c>
      <c r="F364" s="75" t="s">
        <v>23</v>
      </c>
      <c r="G364" s="75" t="s">
        <v>23</v>
      </c>
      <c r="H364" s="75">
        <v>0</v>
      </c>
      <c r="I364" s="75">
        <v>0</v>
      </c>
      <c r="J364" s="75"/>
      <c r="K364" s="75">
        <v>0.11485242499999999</v>
      </c>
      <c r="L364" s="75">
        <v>0</v>
      </c>
      <c r="M364" s="75">
        <v>9.1517720999999996E-2</v>
      </c>
      <c r="N364" s="75">
        <v>0</v>
      </c>
      <c r="O364" s="90" t="str">
        <f>IF(VLOOKUP(UncLookup[[#This Row],[Item]],Items!$A$1:$F$43,2,FALSE)=0,"",VLOOKUP(UncLookup[[#This Row],[Item]],Items!$A$1:$F$43,2,FALSE))</f>
        <v/>
      </c>
      <c r="P364" s="90" t="str">
        <f>IF(VLOOKUP(UncLookup[[#This Row],[Item]],Items!$A$1:$F$43,3,FALSE)=0,"",VLOOKUP(UncLookup[[#This Row],[Item]],Items!$A$1:$F$43,3,FALSE))</f>
        <v/>
      </c>
      <c r="Q364" s="90" t="str">
        <f>IF(VLOOKUP(UncLookup[[#This Row],[Item]],Items!$A$1:$F$43,4,FALSE)=0,"",VLOOKUP(UncLookup[[#This Row],[Item]],Items!$A$1:$F$43,4,FALSE))</f>
        <v>R</v>
      </c>
    </row>
    <row r="365" spans="1:17" x14ac:dyDescent="0.25">
      <c r="A365" s="76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90" t="str">
        <f>IF(VLOOKUP(UncLookup[[#This Row],[Item]],Items!$A$1:$F$43,2,FALSE)=0,"",VLOOKUP(UncLookup[[#This Row],[Item]],Items!$A$1:$F$43,2,FALSE))</f>
        <v/>
      </c>
      <c r="P365" s="90" t="str">
        <f>IF(VLOOKUP(UncLookup[[#This Row],[Item]],Items!$A$1:$F$43,3,FALSE)=0,"",VLOOKUP(UncLookup[[#This Row],[Item]],Items!$A$1:$F$43,3,FALSE))</f>
        <v/>
      </c>
      <c r="Q365" s="90" t="str">
        <f>IF(VLOOKUP(UncLookup[[#This Row],[Item]],Items!$A$1:$F$43,4,FALSE)=0,"",VLOOKUP(UncLookup[[#This Row],[Item]],Items!$A$1:$F$43,4,FALSE))</f>
        <v>R</v>
      </c>
    </row>
    <row r="366" spans="1:17" x14ac:dyDescent="0.25">
      <c r="A366" s="75" t="s">
        <v>56</v>
      </c>
      <c r="B366" s="75" t="s">
        <v>95</v>
      </c>
      <c r="C366" s="75">
        <v>593.00099999999998</v>
      </c>
      <c r="D366" s="75">
        <v>1204</v>
      </c>
      <c r="E366" s="75">
        <v>0.1</v>
      </c>
      <c r="F366" s="75" t="s">
        <v>23</v>
      </c>
      <c r="G366" s="75" t="s">
        <v>23</v>
      </c>
      <c r="H366" s="75">
        <v>0</v>
      </c>
      <c r="I366" s="75">
        <v>0</v>
      </c>
      <c r="J366" s="75"/>
      <c r="K366" s="75">
        <v>0.100632445</v>
      </c>
      <c r="L366" s="75">
        <v>0</v>
      </c>
      <c r="M366" s="75">
        <v>7.7848530999999999E-2</v>
      </c>
      <c r="N366" s="75">
        <v>0</v>
      </c>
      <c r="O366" s="90" t="str">
        <f>IF(VLOOKUP(UncLookup[[#This Row],[Item]],Items!$A$1:$F$43,2,FALSE)=0,"",VLOOKUP(UncLookup[[#This Row],[Item]],Items!$A$1:$F$43,2,FALSE))</f>
        <v/>
      </c>
      <c r="P366" s="90" t="str">
        <f>IF(VLOOKUP(UncLookup[[#This Row],[Item]],Items!$A$1:$F$43,3,FALSE)=0,"",VLOOKUP(UncLookup[[#This Row],[Item]],Items!$A$1:$F$43,3,FALSE))</f>
        <v/>
      </c>
      <c r="Q366" s="90" t="str">
        <f>IF(VLOOKUP(UncLookup[[#This Row],[Item]],Items!$A$1:$F$43,4,FALSE)=0,"",VLOOKUP(UncLookup[[#This Row],[Item]],Items!$A$1:$F$43,4,FALSE))</f>
        <v>R</v>
      </c>
    </row>
    <row r="367" spans="1:17" x14ac:dyDescent="0.25">
      <c r="A367" s="76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90" t="str">
        <f>IF(VLOOKUP(UncLookup[[#This Row],[Item]],Items!$A$1:$F$43,2,FALSE)=0,"",VLOOKUP(UncLookup[[#This Row],[Item]],Items!$A$1:$F$43,2,FALSE))</f>
        <v/>
      </c>
      <c r="P367" s="90" t="str">
        <f>IF(VLOOKUP(UncLookup[[#This Row],[Item]],Items!$A$1:$F$43,3,FALSE)=0,"",VLOOKUP(UncLookup[[#This Row],[Item]],Items!$A$1:$F$43,3,FALSE))</f>
        <v/>
      </c>
      <c r="Q367" s="90" t="str">
        <f>IF(VLOOKUP(UncLookup[[#This Row],[Item]],Items!$A$1:$F$43,4,FALSE)=0,"",VLOOKUP(UncLookup[[#This Row],[Item]],Items!$A$1:$F$43,4,FALSE))</f>
        <v>R</v>
      </c>
    </row>
    <row r="368" spans="1:17" x14ac:dyDescent="0.25">
      <c r="A368" s="75" t="s">
        <v>56</v>
      </c>
      <c r="B368" s="75" t="s">
        <v>95</v>
      </c>
      <c r="C368" s="75">
        <v>1204.001</v>
      </c>
      <c r="D368" s="75">
        <v>1768</v>
      </c>
      <c r="E368" s="75">
        <v>0.1</v>
      </c>
      <c r="F368" s="75" t="s">
        <v>23</v>
      </c>
      <c r="G368" s="75" t="s">
        <v>23</v>
      </c>
      <c r="H368" s="75">
        <v>0</v>
      </c>
      <c r="I368" s="75">
        <v>0</v>
      </c>
      <c r="J368" s="75"/>
      <c r="K368" s="75">
        <v>0.108719156</v>
      </c>
      <c r="L368" s="75">
        <v>0</v>
      </c>
      <c r="M368" s="75">
        <v>8.8053164000000003E-2</v>
      </c>
      <c r="N368" s="75">
        <v>0</v>
      </c>
      <c r="O368" s="90" t="str">
        <f>IF(VLOOKUP(UncLookup[[#This Row],[Item]],Items!$A$1:$F$43,2,FALSE)=0,"",VLOOKUP(UncLookup[[#This Row],[Item]],Items!$A$1:$F$43,2,FALSE))</f>
        <v/>
      </c>
      <c r="P368" s="90" t="str">
        <f>IF(VLOOKUP(UncLookup[[#This Row],[Item]],Items!$A$1:$F$43,3,FALSE)=0,"",VLOOKUP(UncLookup[[#This Row],[Item]],Items!$A$1:$F$43,3,FALSE))</f>
        <v/>
      </c>
      <c r="Q368" s="90" t="str">
        <f>IF(VLOOKUP(UncLookup[[#This Row],[Item]],Items!$A$1:$F$43,4,FALSE)=0,"",VLOOKUP(UncLookup[[#This Row],[Item]],Items!$A$1:$F$43,4,FALSE))</f>
        <v>R</v>
      </c>
    </row>
    <row r="369" spans="1:17" x14ac:dyDescent="0.25">
      <c r="A369" s="76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90" t="str">
        <f>IF(VLOOKUP(UncLookup[[#This Row],[Item]],Items!$A$1:$F$43,2,FALSE)=0,"",VLOOKUP(UncLookup[[#This Row],[Item]],Items!$A$1:$F$43,2,FALSE))</f>
        <v/>
      </c>
      <c r="P369" s="90" t="str">
        <f>IF(VLOOKUP(UncLookup[[#This Row],[Item]],Items!$A$1:$F$43,3,FALSE)=0,"",VLOOKUP(UncLookup[[#This Row],[Item]],Items!$A$1:$F$43,3,FALSE))</f>
        <v/>
      </c>
      <c r="Q369" s="90" t="str">
        <f>IF(VLOOKUP(UncLookup[[#This Row],[Item]],Items!$A$1:$F$43,4,FALSE)=0,"",VLOOKUP(UncLookup[[#This Row],[Item]],Items!$A$1:$F$43,4,FALSE))</f>
        <v>R</v>
      </c>
    </row>
    <row r="370" spans="1:17" x14ac:dyDescent="0.25">
      <c r="A370" s="75" t="s">
        <v>56</v>
      </c>
      <c r="B370" s="75" t="s">
        <v>99</v>
      </c>
      <c r="C370" s="75">
        <v>-195.6</v>
      </c>
      <c r="D370" s="75">
        <v>0</v>
      </c>
      <c r="E370" s="75">
        <v>0.01</v>
      </c>
      <c r="F370" s="75" t="s">
        <v>23</v>
      </c>
      <c r="G370" s="75" t="s">
        <v>23</v>
      </c>
      <c r="H370" s="75">
        <v>0</v>
      </c>
      <c r="I370" s="75">
        <v>0</v>
      </c>
      <c r="J370" s="75"/>
      <c r="K370" s="75">
        <v>6.9514520000000003E-3</v>
      </c>
      <c r="L370" s="75">
        <v>0</v>
      </c>
      <c r="M370" s="75">
        <v>6.5655269999999998E-3</v>
      </c>
      <c r="N370" s="75">
        <v>0</v>
      </c>
      <c r="O370" s="90" t="str">
        <f>IF(VLOOKUP(UncLookup[[#This Row],[Item]],Items!$A$1:$F$43,2,FALSE)=0,"",VLOOKUP(UncLookup[[#This Row],[Item]],Items!$A$1:$F$43,2,FALSE))</f>
        <v/>
      </c>
      <c r="P370" s="90" t="str">
        <f>IF(VLOOKUP(UncLookup[[#This Row],[Item]],Items!$A$1:$F$43,3,FALSE)=0,"",VLOOKUP(UncLookup[[#This Row],[Item]],Items!$A$1:$F$43,3,FALSE))</f>
        <v/>
      </c>
      <c r="Q370" s="90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76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90" t="str">
        <f>IF(VLOOKUP(UncLookup[[#This Row],[Item]],Items!$A$1:$F$43,2,FALSE)=0,"",VLOOKUP(UncLookup[[#This Row],[Item]],Items!$A$1:$F$43,2,FALSE))</f>
        <v/>
      </c>
      <c r="P371" s="90" t="str">
        <f>IF(VLOOKUP(UncLookup[[#This Row],[Item]],Items!$A$1:$F$43,3,FALSE)=0,"",VLOOKUP(UncLookup[[#This Row],[Item]],Items!$A$1:$F$43,3,FALSE))</f>
        <v/>
      </c>
      <c r="Q371" s="90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5" t="s">
        <v>56</v>
      </c>
      <c r="B372" s="75" t="s">
        <v>99</v>
      </c>
      <c r="C372" s="75">
        <v>-195.6</v>
      </c>
      <c r="D372" s="75">
        <v>0</v>
      </c>
      <c r="E372" s="75">
        <v>1</v>
      </c>
      <c r="F372" s="75" t="s">
        <v>23</v>
      </c>
      <c r="G372" s="75" t="s">
        <v>23</v>
      </c>
      <c r="H372" s="75">
        <v>0</v>
      </c>
      <c r="I372" s="75">
        <v>0</v>
      </c>
      <c r="J372" s="75"/>
      <c r="K372" s="75">
        <v>0.57743100999999997</v>
      </c>
      <c r="L372" s="75">
        <v>0</v>
      </c>
      <c r="M372" s="75">
        <v>0.57735873299999996</v>
      </c>
      <c r="N372" s="75">
        <v>0</v>
      </c>
      <c r="O372" s="90" t="str">
        <f>IF(VLOOKUP(UncLookup[[#This Row],[Item]],Items!$A$1:$F$43,2,FALSE)=0,"",VLOOKUP(UncLookup[[#This Row],[Item]],Items!$A$1:$F$43,2,FALSE))</f>
        <v/>
      </c>
      <c r="P372" s="90" t="str">
        <f>IF(VLOOKUP(UncLookup[[#This Row],[Item]],Items!$A$1:$F$43,3,FALSE)=0,"",VLOOKUP(UncLookup[[#This Row],[Item]],Items!$A$1:$F$43,3,FALSE))</f>
        <v/>
      </c>
      <c r="Q372" s="90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76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90" t="str">
        <f>IF(VLOOKUP(UncLookup[[#This Row],[Item]],Items!$A$1:$F$43,2,FALSE)=0,"",VLOOKUP(UncLookup[[#This Row],[Item]],Items!$A$1:$F$43,2,FALSE))</f>
        <v/>
      </c>
      <c r="P373" s="90" t="str">
        <f>IF(VLOOKUP(UncLookup[[#This Row],[Item]],Items!$A$1:$F$43,3,FALSE)=0,"",VLOOKUP(UncLookup[[#This Row],[Item]],Items!$A$1:$F$43,3,FALSE))</f>
        <v/>
      </c>
      <c r="Q373" s="90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5" t="s">
        <v>56</v>
      </c>
      <c r="B374" s="75" t="s">
        <v>99</v>
      </c>
      <c r="C374" s="75">
        <v>1E-3</v>
      </c>
      <c r="D374" s="75">
        <v>204.44399999999999</v>
      </c>
      <c r="E374" s="75">
        <v>0.1</v>
      </c>
      <c r="F374" s="75" t="s">
        <v>23</v>
      </c>
      <c r="G374" s="75" t="s">
        <v>23</v>
      </c>
      <c r="H374" s="75">
        <v>0</v>
      </c>
      <c r="I374" s="75">
        <v>0</v>
      </c>
      <c r="J374" s="75"/>
      <c r="K374" s="75">
        <v>5.8437589999999998E-2</v>
      </c>
      <c r="L374" s="75">
        <v>0</v>
      </c>
      <c r="M374" s="75">
        <v>5.8203404E-2</v>
      </c>
      <c r="N374" s="75">
        <v>0</v>
      </c>
      <c r="O374" s="90" t="str">
        <f>IF(VLOOKUP(UncLookup[[#This Row],[Item]],Items!$A$1:$F$43,2,FALSE)=0,"",VLOOKUP(UncLookup[[#This Row],[Item]],Items!$A$1:$F$43,2,FALSE))</f>
        <v/>
      </c>
      <c r="P374" s="90" t="str">
        <f>IF(VLOOKUP(UncLookup[[#This Row],[Item]],Items!$A$1:$F$43,3,FALSE)=0,"",VLOOKUP(UncLookup[[#This Row],[Item]],Items!$A$1:$F$43,3,FALSE))</f>
        <v/>
      </c>
      <c r="Q374" s="90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76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90" t="str">
        <f>IF(VLOOKUP(UncLookup[[#This Row],[Item]],Items!$A$1:$F$43,2,FALSE)=0,"",VLOOKUP(UncLookup[[#This Row],[Item]],Items!$A$1:$F$43,2,FALSE))</f>
        <v/>
      </c>
      <c r="P375" s="90" t="str">
        <f>IF(VLOOKUP(UncLookup[[#This Row],[Item]],Items!$A$1:$F$43,3,FALSE)=0,"",VLOOKUP(UncLookup[[#This Row],[Item]],Items!$A$1:$F$43,3,FALSE))</f>
        <v/>
      </c>
      <c r="Q375" s="90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5" t="s">
        <v>56</v>
      </c>
      <c r="B376" s="75" t="s">
        <v>99</v>
      </c>
      <c r="C376" s="75">
        <v>204.44499999999999</v>
      </c>
      <c r="D376" s="75">
        <v>426.66699999999997</v>
      </c>
      <c r="E376" s="75">
        <v>0.01</v>
      </c>
      <c r="F376" s="75" t="s">
        <v>23</v>
      </c>
      <c r="G376" s="75" t="s">
        <v>23</v>
      </c>
      <c r="H376" s="75">
        <v>0</v>
      </c>
      <c r="I376" s="75">
        <v>0</v>
      </c>
      <c r="J376" s="75"/>
      <c r="K376" s="75">
        <v>1.176788E-2</v>
      </c>
      <c r="L376" s="75">
        <v>0</v>
      </c>
      <c r="M376" s="75">
        <v>1.1474061000000001E-2</v>
      </c>
      <c r="N376" s="75">
        <v>0</v>
      </c>
      <c r="O376" s="90" t="str">
        <f>IF(VLOOKUP(UncLookup[[#This Row],[Item]],Items!$A$1:$F$43,2,FALSE)=0,"",VLOOKUP(UncLookup[[#This Row],[Item]],Items!$A$1:$F$43,2,FALSE))</f>
        <v/>
      </c>
      <c r="P376" s="90" t="str">
        <f>IF(VLOOKUP(UncLookup[[#This Row],[Item]],Items!$A$1:$F$43,3,FALSE)=0,"",VLOOKUP(UncLookup[[#This Row],[Item]],Items!$A$1:$F$43,3,FALSE))</f>
        <v/>
      </c>
      <c r="Q376" s="90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76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90" t="str">
        <f>IF(VLOOKUP(UncLookup[[#This Row],[Item]],Items!$A$1:$F$43,2,FALSE)=0,"",VLOOKUP(UncLookup[[#This Row],[Item]],Items!$A$1:$F$43,2,FALSE))</f>
        <v/>
      </c>
      <c r="P377" s="90" t="str">
        <f>IF(VLOOKUP(UncLookup[[#This Row],[Item]],Items!$A$1:$F$43,3,FALSE)=0,"",VLOOKUP(UncLookup[[#This Row],[Item]],Items!$A$1:$F$43,3,FALSE))</f>
        <v/>
      </c>
      <c r="Q377" s="90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5" t="s">
        <v>56</v>
      </c>
      <c r="B378" s="75" t="s">
        <v>99</v>
      </c>
      <c r="C378" s="75">
        <v>204.44499999999999</v>
      </c>
      <c r="D378" s="75">
        <v>426.66699999999997</v>
      </c>
      <c r="E378" s="75">
        <v>1</v>
      </c>
      <c r="F378" s="75" t="s">
        <v>23</v>
      </c>
      <c r="G378" s="75" t="s">
        <v>23</v>
      </c>
      <c r="H378" s="75">
        <v>0</v>
      </c>
      <c r="I378" s="75">
        <v>0</v>
      </c>
      <c r="J378" s="75"/>
      <c r="K378" s="75">
        <v>0.57753001400000004</v>
      </c>
      <c r="L378" s="75">
        <v>0</v>
      </c>
      <c r="M378" s="75">
        <v>0.57743541099999995</v>
      </c>
      <c r="N378" s="75">
        <v>0</v>
      </c>
      <c r="O378" s="90" t="str">
        <f>IF(VLOOKUP(UncLookup[[#This Row],[Item]],Items!$A$1:$F$43,2,FALSE)=0,"",VLOOKUP(UncLookup[[#This Row],[Item]],Items!$A$1:$F$43,2,FALSE))</f>
        <v/>
      </c>
      <c r="P378" s="90" t="str">
        <f>IF(VLOOKUP(UncLookup[[#This Row],[Item]],Items!$A$1:$F$43,3,FALSE)=0,"",VLOOKUP(UncLookup[[#This Row],[Item]],Items!$A$1:$F$43,3,FALSE))</f>
        <v/>
      </c>
      <c r="Q378" s="90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76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90" t="str">
        <f>IF(VLOOKUP(UncLookup[[#This Row],[Item]],Items!$A$1:$F$43,2,FALSE)=0,"",VLOOKUP(UncLookup[[#This Row],[Item]],Items!$A$1:$F$43,2,FALSE))</f>
        <v/>
      </c>
      <c r="P379" s="90" t="str">
        <f>IF(VLOOKUP(UncLookup[[#This Row],[Item]],Items!$A$1:$F$43,3,FALSE)=0,"",VLOOKUP(UncLookup[[#This Row],[Item]],Items!$A$1:$F$43,3,FALSE))</f>
        <v/>
      </c>
      <c r="Q379" s="90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5" t="s">
        <v>56</v>
      </c>
      <c r="B380" s="75" t="s">
        <v>99</v>
      </c>
      <c r="C380" s="75">
        <v>426.66800000000001</v>
      </c>
      <c r="D380" s="75">
        <v>648.88900000000001</v>
      </c>
      <c r="E380" s="75">
        <v>0.1</v>
      </c>
      <c r="F380" s="75" t="s">
        <v>23</v>
      </c>
      <c r="G380" s="75" t="s">
        <v>23</v>
      </c>
      <c r="H380" s="75">
        <v>0</v>
      </c>
      <c r="I380" s="75">
        <v>0</v>
      </c>
      <c r="J380" s="75"/>
      <c r="K380" s="75">
        <v>6.0057138000000003E-2</v>
      </c>
      <c r="L380" s="75">
        <v>0</v>
      </c>
      <c r="M380" s="75">
        <v>5.941569E-2</v>
      </c>
      <c r="N380" s="75">
        <v>0</v>
      </c>
      <c r="O380" s="90" t="str">
        <f>IF(VLOOKUP(UncLookup[[#This Row],[Item]],Items!$A$1:$F$43,2,FALSE)=0,"",VLOOKUP(UncLookup[[#This Row],[Item]],Items!$A$1:$F$43,2,FALSE))</f>
        <v/>
      </c>
      <c r="P380" s="90" t="str">
        <f>IF(VLOOKUP(UncLookup[[#This Row],[Item]],Items!$A$1:$F$43,3,FALSE)=0,"",VLOOKUP(UncLookup[[#This Row],[Item]],Items!$A$1:$F$43,3,FALSE))</f>
        <v/>
      </c>
      <c r="Q380" s="90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76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90" t="str">
        <f>IF(VLOOKUP(UncLookup[[#This Row],[Item]],Items!$A$1:$F$43,2,FALSE)=0,"",VLOOKUP(UncLookup[[#This Row],[Item]],Items!$A$1:$F$43,2,FALSE))</f>
        <v/>
      </c>
      <c r="P381" s="90" t="str">
        <f>IF(VLOOKUP(UncLookup[[#This Row],[Item]],Items!$A$1:$F$43,3,FALSE)=0,"",VLOOKUP(UncLookup[[#This Row],[Item]],Items!$A$1:$F$43,3,FALSE))</f>
        <v/>
      </c>
      <c r="Q381" s="90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5" t="s">
        <v>56</v>
      </c>
      <c r="B382" s="75" t="s">
        <v>99</v>
      </c>
      <c r="C382" s="75">
        <v>648.89</v>
      </c>
      <c r="D382" s="75">
        <v>850</v>
      </c>
      <c r="E382" s="75">
        <v>0.01</v>
      </c>
      <c r="F382" s="75" t="s">
        <v>23</v>
      </c>
      <c r="G382" s="75" t="s">
        <v>23</v>
      </c>
      <c r="H382" s="75">
        <v>0</v>
      </c>
      <c r="I382" s="75">
        <v>0</v>
      </c>
      <c r="J382" s="75"/>
      <c r="K382" s="75">
        <v>1.9042103000000001E-2</v>
      </c>
      <c r="L382" s="75">
        <v>0</v>
      </c>
      <c r="M382" s="75">
        <v>1.8733275000000001E-2</v>
      </c>
      <c r="N382" s="75">
        <v>0</v>
      </c>
      <c r="O382" s="90" t="str">
        <f>IF(VLOOKUP(UncLookup[[#This Row],[Item]],Items!$A$1:$F$43,2,FALSE)=0,"",VLOOKUP(UncLookup[[#This Row],[Item]],Items!$A$1:$F$43,2,FALSE))</f>
        <v/>
      </c>
      <c r="P382" s="90" t="str">
        <f>IF(VLOOKUP(UncLookup[[#This Row],[Item]],Items!$A$1:$F$43,3,FALSE)=0,"",VLOOKUP(UncLookup[[#This Row],[Item]],Items!$A$1:$F$43,3,FALSE))</f>
        <v/>
      </c>
      <c r="Q382" s="90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76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90" t="str">
        <f>IF(VLOOKUP(UncLookup[[#This Row],[Item]],Items!$A$1:$F$43,2,FALSE)=0,"",VLOOKUP(UncLookup[[#This Row],[Item]],Items!$A$1:$F$43,2,FALSE))</f>
        <v/>
      </c>
      <c r="P383" s="90" t="str">
        <f>IF(VLOOKUP(UncLookup[[#This Row],[Item]],Items!$A$1:$F$43,3,FALSE)=0,"",VLOOKUP(UncLookup[[#This Row],[Item]],Items!$A$1:$F$43,3,FALSE))</f>
        <v/>
      </c>
      <c r="Q383" s="90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5" t="s">
        <v>56</v>
      </c>
      <c r="B384" s="75" t="s">
        <v>99</v>
      </c>
      <c r="C384" s="75">
        <v>648.89</v>
      </c>
      <c r="D384" s="75">
        <v>850</v>
      </c>
      <c r="E384" s="75">
        <v>1</v>
      </c>
      <c r="F384" s="75" t="s">
        <v>23</v>
      </c>
      <c r="G384" s="75" t="s">
        <v>23</v>
      </c>
      <c r="H384" s="75">
        <v>0</v>
      </c>
      <c r="I384" s="75">
        <v>0</v>
      </c>
      <c r="J384" s="75"/>
      <c r="K384" s="75">
        <v>0.57778680599999999</v>
      </c>
      <c r="L384" s="75">
        <v>0</v>
      </c>
      <c r="M384" s="75">
        <v>0.57762525499999995</v>
      </c>
      <c r="N384" s="75">
        <v>0</v>
      </c>
      <c r="O384" s="90" t="str">
        <f>IF(VLOOKUP(UncLookup[[#This Row],[Item]],Items!$A$1:$F$43,2,FALSE)=0,"",VLOOKUP(UncLookup[[#This Row],[Item]],Items!$A$1:$F$43,2,FALSE))</f>
        <v/>
      </c>
      <c r="P384" s="90" t="str">
        <f>IF(VLOOKUP(UncLookup[[#This Row],[Item]],Items!$A$1:$F$43,3,FALSE)=0,"",VLOOKUP(UncLookup[[#This Row],[Item]],Items!$A$1:$F$43,3,FALSE))</f>
        <v/>
      </c>
      <c r="Q384" s="90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76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90" t="str">
        <f>IF(VLOOKUP(UncLookup[[#This Row],[Item]],Items!$A$1:$F$43,2,FALSE)=0,"",VLOOKUP(UncLookup[[#This Row],[Item]],Items!$A$1:$F$43,2,FALSE))</f>
        <v/>
      </c>
      <c r="P385" s="90" t="str">
        <f>IF(VLOOKUP(UncLookup[[#This Row],[Item]],Items!$A$1:$F$43,3,FALSE)=0,"",VLOOKUP(UncLookup[[#This Row],[Item]],Items!$A$1:$F$43,3,FALSE))</f>
        <v/>
      </c>
      <c r="Q385" s="90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5" t="s">
        <v>56</v>
      </c>
      <c r="B386" s="75" t="s">
        <v>98</v>
      </c>
      <c r="C386" s="75">
        <v>-195.6</v>
      </c>
      <c r="D386" s="75">
        <v>0</v>
      </c>
      <c r="E386" s="75">
        <v>0.1</v>
      </c>
      <c r="F386" s="75" t="s">
        <v>23</v>
      </c>
      <c r="G386" s="75" t="s">
        <v>23</v>
      </c>
      <c r="H386" s="75">
        <v>0</v>
      </c>
      <c r="I386" s="75">
        <v>0</v>
      </c>
      <c r="J386" s="75"/>
      <c r="K386" s="75">
        <v>5.8423059999999999E-2</v>
      </c>
      <c r="L386" s="75">
        <v>0</v>
      </c>
      <c r="M386" s="75">
        <v>5.7950350999999997E-2</v>
      </c>
      <c r="N386" s="75">
        <v>0</v>
      </c>
      <c r="O386" s="90" t="str">
        <f>IF(VLOOKUP(UncLookup[[#This Row],[Item]],Items!$A$1:$F$43,2,FALSE)=0,"",VLOOKUP(UncLookup[[#This Row],[Item]],Items!$A$1:$F$43,2,FALSE))</f>
        <v/>
      </c>
      <c r="P386" s="90" t="str">
        <f>IF(VLOOKUP(UncLookup[[#This Row],[Item]],Items!$A$1:$F$43,3,FALSE)=0,"",VLOOKUP(UncLookup[[#This Row],[Item]],Items!$A$1:$F$43,3,FALSE))</f>
        <v/>
      </c>
      <c r="Q386" s="90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76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90" t="str">
        <f>IF(VLOOKUP(UncLookup[[#This Row],[Item]],Items!$A$1:$F$43,2,FALSE)=0,"",VLOOKUP(UncLookup[[#This Row],[Item]],Items!$A$1:$F$43,2,FALSE))</f>
        <v/>
      </c>
      <c r="P387" s="90" t="str">
        <f>IF(VLOOKUP(UncLookup[[#This Row],[Item]],Items!$A$1:$F$43,3,FALSE)=0,"",VLOOKUP(UncLookup[[#This Row],[Item]],Items!$A$1:$F$43,3,FALSE))</f>
        <v/>
      </c>
      <c r="Q387" s="90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5" t="s">
        <v>56</v>
      </c>
      <c r="B388" s="75" t="s">
        <v>98</v>
      </c>
      <c r="C388" s="75">
        <v>1E-3</v>
      </c>
      <c r="D388" s="75">
        <v>204.44399999999999</v>
      </c>
      <c r="E388" s="75">
        <v>0.01</v>
      </c>
      <c r="F388" s="75" t="s">
        <v>23</v>
      </c>
      <c r="G388" s="75" t="s">
        <v>23</v>
      </c>
      <c r="H388" s="75">
        <v>0</v>
      </c>
      <c r="I388" s="75">
        <v>0</v>
      </c>
      <c r="J388" s="75"/>
      <c r="K388" s="75">
        <v>1.0087018999999999E-2</v>
      </c>
      <c r="L388" s="75">
        <v>0</v>
      </c>
      <c r="M388" s="75">
        <v>9.380579E-3</v>
      </c>
      <c r="N388" s="75">
        <v>0</v>
      </c>
      <c r="O388" s="90" t="str">
        <f>IF(VLOOKUP(UncLookup[[#This Row],[Item]],Items!$A$1:$F$43,2,FALSE)=0,"",VLOOKUP(UncLookup[[#This Row],[Item]],Items!$A$1:$F$43,2,FALSE))</f>
        <v/>
      </c>
      <c r="P388" s="90" t="str">
        <f>IF(VLOOKUP(UncLookup[[#This Row],[Item]],Items!$A$1:$F$43,3,FALSE)=0,"",VLOOKUP(UncLookup[[#This Row],[Item]],Items!$A$1:$F$43,3,FALSE))</f>
        <v/>
      </c>
      <c r="Q388" s="90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76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90" t="str">
        <f>IF(VLOOKUP(UncLookup[[#This Row],[Item]],Items!$A$1:$F$43,2,FALSE)=0,"",VLOOKUP(UncLookup[[#This Row],[Item]],Items!$A$1:$F$43,2,FALSE))</f>
        <v/>
      </c>
      <c r="P389" s="90" t="str">
        <f>IF(VLOOKUP(UncLookup[[#This Row],[Item]],Items!$A$1:$F$43,3,FALSE)=0,"",VLOOKUP(UncLookup[[#This Row],[Item]],Items!$A$1:$F$43,3,FALSE))</f>
        <v/>
      </c>
      <c r="Q389" s="90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5" t="s">
        <v>56</v>
      </c>
      <c r="B390" s="75" t="s">
        <v>98</v>
      </c>
      <c r="C390" s="75">
        <v>1E-3</v>
      </c>
      <c r="D390" s="75">
        <v>204.44399999999999</v>
      </c>
      <c r="E390" s="75">
        <v>1</v>
      </c>
      <c r="F390" s="75" t="s">
        <v>23</v>
      </c>
      <c r="G390" s="75" t="s">
        <v>23</v>
      </c>
      <c r="H390" s="75">
        <v>0</v>
      </c>
      <c r="I390" s="75">
        <v>0</v>
      </c>
      <c r="J390" s="75"/>
      <c r="K390" s="75">
        <v>0.57758812199999998</v>
      </c>
      <c r="L390" s="75">
        <v>0</v>
      </c>
      <c r="M390" s="75">
        <v>0.57739760600000001</v>
      </c>
      <c r="N390" s="75">
        <v>0</v>
      </c>
      <c r="O390" s="90" t="str">
        <f>IF(VLOOKUP(UncLookup[[#This Row],[Item]],Items!$A$1:$F$43,2,FALSE)=0,"",VLOOKUP(UncLookup[[#This Row],[Item]],Items!$A$1:$F$43,2,FALSE))</f>
        <v/>
      </c>
      <c r="P390" s="90" t="str">
        <f>IF(VLOOKUP(UncLookup[[#This Row],[Item]],Items!$A$1:$F$43,3,FALSE)=0,"",VLOOKUP(UncLookup[[#This Row],[Item]],Items!$A$1:$F$43,3,FALSE))</f>
        <v/>
      </c>
      <c r="Q390" s="90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76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90" t="str">
        <f>IF(VLOOKUP(UncLookup[[#This Row],[Item]],Items!$A$1:$F$43,2,FALSE)=0,"",VLOOKUP(UncLookup[[#This Row],[Item]],Items!$A$1:$F$43,2,FALSE))</f>
        <v/>
      </c>
      <c r="P391" s="90" t="str">
        <f>IF(VLOOKUP(UncLookup[[#This Row],[Item]],Items!$A$1:$F$43,3,FALSE)=0,"",VLOOKUP(UncLookup[[#This Row],[Item]],Items!$A$1:$F$43,3,FALSE))</f>
        <v/>
      </c>
      <c r="Q391" s="90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5" t="s">
        <v>56</v>
      </c>
      <c r="B392" s="75" t="s">
        <v>98</v>
      </c>
      <c r="C392" s="75">
        <v>204.44499999999999</v>
      </c>
      <c r="D392" s="75">
        <v>426.66699999999997</v>
      </c>
      <c r="E392" s="75">
        <v>0.1</v>
      </c>
      <c r="F392" s="75" t="s">
        <v>23</v>
      </c>
      <c r="G392" s="75" t="s">
        <v>23</v>
      </c>
      <c r="H392" s="75">
        <v>0</v>
      </c>
      <c r="I392" s="75">
        <v>0</v>
      </c>
      <c r="J392" s="75"/>
      <c r="K392" s="75">
        <v>5.9240896000000001E-2</v>
      </c>
      <c r="L392" s="75">
        <v>0</v>
      </c>
      <c r="M392" s="75">
        <v>5.8590510999999998E-2</v>
      </c>
      <c r="N392" s="75">
        <v>0</v>
      </c>
      <c r="O392" s="90" t="str">
        <f>IF(VLOOKUP(UncLookup[[#This Row],[Item]],Items!$A$1:$F$43,2,FALSE)=0,"",VLOOKUP(UncLookup[[#This Row],[Item]],Items!$A$1:$F$43,2,FALSE))</f>
        <v/>
      </c>
      <c r="P392" s="90" t="str">
        <f>IF(VLOOKUP(UncLookup[[#This Row],[Item]],Items!$A$1:$F$43,3,FALSE)=0,"",VLOOKUP(UncLookup[[#This Row],[Item]],Items!$A$1:$F$43,3,FALSE))</f>
        <v/>
      </c>
      <c r="Q392" s="90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76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90" t="str">
        <f>IF(VLOOKUP(UncLookup[[#This Row],[Item]],Items!$A$1:$F$43,2,FALSE)=0,"",VLOOKUP(UncLookup[[#This Row],[Item]],Items!$A$1:$F$43,2,FALSE))</f>
        <v/>
      </c>
      <c r="P393" s="90" t="str">
        <f>IF(VLOOKUP(UncLookup[[#This Row],[Item]],Items!$A$1:$F$43,3,FALSE)=0,"",VLOOKUP(UncLookup[[#This Row],[Item]],Items!$A$1:$F$43,3,FALSE))</f>
        <v/>
      </c>
      <c r="Q393" s="90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5" t="s">
        <v>56</v>
      </c>
      <c r="B394" s="75" t="s">
        <v>98</v>
      </c>
      <c r="C394" s="75">
        <v>426.66800000000001</v>
      </c>
      <c r="D394" s="75">
        <v>648.88900000000001</v>
      </c>
      <c r="E394" s="75">
        <v>0.01</v>
      </c>
      <c r="F394" s="75" t="s">
        <v>23</v>
      </c>
      <c r="G394" s="75" t="s">
        <v>23</v>
      </c>
      <c r="H394" s="75">
        <v>0</v>
      </c>
      <c r="I394" s="75">
        <v>0</v>
      </c>
      <c r="J394" s="75"/>
      <c r="K394" s="75">
        <v>1.5887353999999999E-2</v>
      </c>
      <c r="L394" s="75">
        <v>0</v>
      </c>
      <c r="M394" s="75">
        <v>1.5272493999999999E-2</v>
      </c>
      <c r="N394" s="75">
        <v>0</v>
      </c>
      <c r="O394" s="90" t="str">
        <f>IF(VLOOKUP(UncLookup[[#This Row],[Item]],Items!$A$1:$F$43,2,FALSE)=0,"",VLOOKUP(UncLookup[[#This Row],[Item]],Items!$A$1:$F$43,2,FALSE))</f>
        <v/>
      </c>
      <c r="P394" s="90" t="str">
        <f>IF(VLOOKUP(UncLookup[[#This Row],[Item]],Items!$A$1:$F$43,3,FALSE)=0,"",VLOOKUP(UncLookup[[#This Row],[Item]],Items!$A$1:$F$43,3,FALSE))</f>
        <v/>
      </c>
      <c r="Q394" s="90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76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90" t="str">
        <f>IF(VLOOKUP(UncLookup[[#This Row],[Item]],Items!$A$1:$F$43,2,FALSE)=0,"",VLOOKUP(UncLookup[[#This Row],[Item]],Items!$A$1:$F$43,2,FALSE))</f>
        <v/>
      </c>
      <c r="P395" s="90" t="str">
        <f>IF(VLOOKUP(UncLookup[[#This Row],[Item]],Items!$A$1:$F$43,3,FALSE)=0,"",VLOOKUP(UncLookup[[#This Row],[Item]],Items!$A$1:$F$43,3,FALSE))</f>
        <v/>
      </c>
      <c r="Q395" s="90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5" t="s">
        <v>56</v>
      </c>
      <c r="B396" s="75" t="s">
        <v>98</v>
      </c>
      <c r="C396" s="75">
        <v>426.66800000000001</v>
      </c>
      <c r="D396" s="75">
        <v>648.88900000000001</v>
      </c>
      <c r="E396" s="75">
        <v>1</v>
      </c>
      <c r="F396" s="75" t="s">
        <v>23</v>
      </c>
      <c r="G396" s="75" t="s">
        <v>23</v>
      </c>
      <c r="H396" s="75">
        <v>0</v>
      </c>
      <c r="I396" s="75">
        <v>0</v>
      </c>
      <c r="J396" s="75"/>
      <c r="K396" s="75">
        <v>0.57778870900000001</v>
      </c>
      <c r="L396" s="75">
        <v>0</v>
      </c>
      <c r="M396" s="75">
        <v>0.57752337499999995</v>
      </c>
      <c r="N396" s="75">
        <v>0</v>
      </c>
      <c r="O396" s="90" t="str">
        <f>IF(VLOOKUP(UncLookup[[#This Row],[Item]],Items!$A$1:$F$43,2,FALSE)=0,"",VLOOKUP(UncLookup[[#This Row],[Item]],Items!$A$1:$F$43,2,FALSE))</f>
        <v/>
      </c>
      <c r="P396" s="90" t="str">
        <f>IF(VLOOKUP(UncLookup[[#This Row],[Item]],Items!$A$1:$F$43,3,FALSE)=0,"",VLOOKUP(UncLookup[[#This Row],[Item]],Items!$A$1:$F$43,3,FALSE))</f>
        <v/>
      </c>
      <c r="Q396" s="90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76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90" t="str">
        <f>IF(VLOOKUP(UncLookup[[#This Row],[Item]],Items!$A$1:$F$43,2,FALSE)=0,"",VLOOKUP(UncLookup[[#This Row],[Item]],Items!$A$1:$F$43,2,FALSE))</f>
        <v/>
      </c>
      <c r="P397" s="90" t="str">
        <f>IF(VLOOKUP(UncLookup[[#This Row],[Item]],Items!$A$1:$F$43,3,FALSE)=0,"",VLOOKUP(UncLookup[[#This Row],[Item]],Items!$A$1:$F$43,3,FALSE))</f>
        <v/>
      </c>
      <c r="Q397" s="90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5" t="s">
        <v>56</v>
      </c>
      <c r="B398" s="75" t="s">
        <v>98</v>
      </c>
      <c r="C398" s="75">
        <v>648.89</v>
      </c>
      <c r="D398" s="75">
        <v>850</v>
      </c>
      <c r="E398" s="75">
        <v>0.1</v>
      </c>
      <c r="F398" s="75" t="s">
        <v>23</v>
      </c>
      <c r="G398" s="75" t="s">
        <v>23</v>
      </c>
      <c r="H398" s="75">
        <v>0</v>
      </c>
      <c r="I398" s="75">
        <v>0</v>
      </c>
      <c r="J398" s="75"/>
      <c r="K398" s="75">
        <v>6.1562903000000002E-2</v>
      </c>
      <c r="L398" s="75">
        <v>0</v>
      </c>
      <c r="M398" s="75">
        <v>6.0468567000000001E-2</v>
      </c>
      <c r="N398" s="75">
        <v>0</v>
      </c>
      <c r="O398" s="90" t="str">
        <f>IF(VLOOKUP(UncLookup[[#This Row],[Item]],Items!$A$1:$F$43,2,FALSE)=0,"",VLOOKUP(UncLookup[[#This Row],[Item]],Items!$A$1:$F$43,2,FALSE))</f>
        <v/>
      </c>
      <c r="P398" s="90" t="str">
        <f>IF(VLOOKUP(UncLookup[[#This Row],[Item]],Items!$A$1:$F$43,3,FALSE)=0,"",VLOOKUP(UncLookup[[#This Row],[Item]],Items!$A$1:$F$43,3,FALSE))</f>
        <v/>
      </c>
      <c r="Q398" s="90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76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90" t="str">
        <f>IF(VLOOKUP(UncLookup[[#This Row],[Item]],Items!$A$1:$F$43,2,FALSE)=0,"",VLOOKUP(UncLookup[[#This Row],[Item]],Items!$A$1:$F$43,2,FALSE))</f>
        <v/>
      </c>
      <c r="P399" s="90" t="str">
        <f>IF(VLOOKUP(UncLookup[[#This Row],[Item]],Items!$A$1:$F$43,3,FALSE)=0,"",VLOOKUP(UncLookup[[#This Row],[Item]],Items!$A$1:$F$43,3,FALSE))</f>
        <v/>
      </c>
      <c r="Q399" s="90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5" t="s">
        <v>56</v>
      </c>
      <c r="B400" s="75" t="s">
        <v>94</v>
      </c>
      <c r="C400" s="75">
        <v>-270</v>
      </c>
      <c r="D400" s="75">
        <v>-240.001</v>
      </c>
      <c r="E400" s="75">
        <v>0.1</v>
      </c>
      <c r="F400" s="75" t="s">
        <v>23</v>
      </c>
      <c r="G400" s="75" t="s">
        <v>23</v>
      </c>
      <c r="H400" s="75">
        <v>0</v>
      </c>
      <c r="I400" s="75">
        <v>0</v>
      </c>
      <c r="J400" s="75"/>
      <c r="K400" s="75">
        <v>0.83169968400000005</v>
      </c>
      <c r="L400" s="75">
        <v>0</v>
      </c>
      <c r="M400" s="75">
        <v>0.82876732099999995</v>
      </c>
      <c r="N400" s="75">
        <v>0</v>
      </c>
      <c r="O400" s="90" t="str">
        <f>IF(VLOOKUP(UncLookup[[#This Row],[Item]],Items!$A$1:$F$43,2,FALSE)=0,"",VLOOKUP(UncLookup[[#This Row],[Item]],Items!$A$1:$F$43,2,FALSE))</f>
        <v/>
      </c>
      <c r="P400" s="90" t="str">
        <f>IF(VLOOKUP(UncLookup[[#This Row],[Item]],Items!$A$1:$F$43,3,FALSE)=0,"",VLOOKUP(UncLookup[[#This Row],[Item]],Items!$A$1:$F$43,3,FALSE))</f>
        <v/>
      </c>
      <c r="Q400" s="90" t="str">
        <f>IF(VLOOKUP(UncLookup[[#This Row],[Item]],Items!$A$1:$F$43,4,FALSE)=0,"",VLOOKUP(UncLookup[[#This Row],[Item]],Items!$A$1:$F$43,4,FALSE))</f>
        <v>N</v>
      </c>
    </row>
    <row r="401" spans="1:17" x14ac:dyDescent="0.25">
      <c r="A401" s="76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90" t="str">
        <f>IF(VLOOKUP(UncLookup[[#This Row],[Item]],Items!$A$1:$F$43,2,FALSE)=0,"",VLOOKUP(UncLookup[[#This Row],[Item]],Items!$A$1:$F$43,2,FALSE))</f>
        <v/>
      </c>
      <c r="P401" s="90" t="str">
        <f>IF(VLOOKUP(UncLookup[[#This Row],[Item]],Items!$A$1:$F$43,3,FALSE)=0,"",VLOOKUP(UncLookup[[#This Row],[Item]],Items!$A$1:$F$43,3,FALSE))</f>
        <v/>
      </c>
      <c r="Q401" s="90" t="str">
        <f>IF(VLOOKUP(UncLookup[[#This Row],[Item]],Items!$A$1:$F$43,4,FALSE)=0,"",VLOOKUP(UncLookup[[#This Row],[Item]],Items!$A$1:$F$43,4,FALSE))</f>
        <v>N</v>
      </c>
    </row>
    <row r="402" spans="1:17" x14ac:dyDescent="0.25">
      <c r="A402" s="75" t="s">
        <v>56</v>
      </c>
      <c r="B402" s="75" t="s">
        <v>94</v>
      </c>
      <c r="C402" s="75">
        <v>-240</v>
      </c>
      <c r="D402" s="75">
        <v>-101.001</v>
      </c>
      <c r="E402" s="75">
        <v>0.1</v>
      </c>
      <c r="F402" s="75" t="s">
        <v>23</v>
      </c>
      <c r="G402" s="75" t="s">
        <v>23</v>
      </c>
      <c r="H402" s="75">
        <v>0</v>
      </c>
      <c r="I402" s="75">
        <v>0</v>
      </c>
      <c r="J402" s="75"/>
      <c r="K402" s="75">
        <v>0.142236415</v>
      </c>
      <c r="L402" s="75">
        <v>0</v>
      </c>
      <c r="M402" s="75">
        <v>0.12394395800000001</v>
      </c>
      <c r="N402" s="75">
        <v>0</v>
      </c>
      <c r="O402" s="90" t="str">
        <f>IF(VLOOKUP(UncLookup[[#This Row],[Item]],Items!$A$1:$F$43,2,FALSE)=0,"",VLOOKUP(UncLookup[[#This Row],[Item]],Items!$A$1:$F$43,2,FALSE))</f>
        <v/>
      </c>
      <c r="P402" s="90" t="str">
        <f>IF(VLOOKUP(UncLookup[[#This Row],[Item]],Items!$A$1:$F$43,3,FALSE)=0,"",VLOOKUP(UncLookup[[#This Row],[Item]],Items!$A$1:$F$43,3,FALSE))</f>
        <v/>
      </c>
      <c r="Q402" s="90" t="str">
        <f>IF(VLOOKUP(UncLookup[[#This Row],[Item]],Items!$A$1:$F$43,4,FALSE)=0,"",VLOOKUP(UncLookup[[#This Row],[Item]],Items!$A$1:$F$43,4,FALSE))</f>
        <v>N</v>
      </c>
    </row>
    <row r="403" spans="1:17" x14ac:dyDescent="0.25">
      <c r="A403" s="76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90" t="str">
        <f>IF(VLOOKUP(UncLookup[[#This Row],[Item]],Items!$A$1:$F$43,2,FALSE)=0,"",VLOOKUP(UncLookup[[#This Row],[Item]],Items!$A$1:$F$43,2,FALSE))</f>
        <v/>
      </c>
      <c r="P403" s="90" t="str">
        <f>IF(VLOOKUP(UncLookup[[#This Row],[Item]],Items!$A$1:$F$43,3,FALSE)=0,"",VLOOKUP(UncLookup[[#This Row],[Item]],Items!$A$1:$F$43,3,FALSE))</f>
        <v/>
      </c>
      <c r="Q403" s="90" t="str">
        <f>IF(VLOOKUP(UncLookup[[#This Row],[Item]],Items!$A$1:$F$43,4,FALSE)=0,"",VLOOKUP(UncLookup[[#This Row],[Item]],Items!$A$1:$F$43,4,FALSE))</f>
        <v>N</v>
      </c>
    </row>
    <row r="404" spans="1:17" x14ac:dyDescent="0.25">
      <c r="A404" s="75" t="s">
        <v>56</v>
      </c>
      <c r="B404" s="75" t="s">
        <v>94</v>
      </c>
      <c r="C404" s="75">
        <v>-101</v>
      </c>
      <c r="D404" s="75">
        <v>371</v>
      </c>
      <c r="E404" s="75">
        <v>0.1</v>
      </c>
      <c r="F404" s="75" t="s">
        <v>23</v>
      </c>
      <c r="G404" s="75" t="s">
        <v>23</v>
      </c>
      <c r="H404" s="75">
        <v>0</v>
      </c>
      <c r="I404" s="75">
        <v>0</v>
      </c>
      <c r="J404" s="75"/>
      <c r="K404" s="75">
        <v>9.0241070000000007E-2</v>
      </c>
      <c r="L404" s="75">
        <v>0</v>
      </c>
      <c r="M404" s="75">
        <v>6.8695223999999999E-2</v>
      </c>
      <c r="N404" s="75">
        <v>0</v>
      </c>
      <c r="O404" s="90" t="str">
        <f>IF(VLOOKUP(UncLookup[[#This Row],[Item]],Items!$A$1:$F$43,2,FALSE)=0,"",VLOOKUP(UncLookup[[#This Row],[Item]],Items!$A$1:$F$43,2,FALSE))</f>
        <v/>
      </c>
      <c r="P404" s="90" t="str">
        <f>IF(VLOOKUP(UncLookup[[#This Row],[Item]],Items!$A$1:$F$43,3,FALSE)=0,"",VLOOKUP(UncLookup[[#This Row],[Item]],Items!$A$1:$F$43,3,FALSE))</f>
        <v/>
      </c>
      <c r="Q404" s="90" t="str">
        <f>IF(VLOOKUP(UncLookup[[#This Row],[Item]],Items!$A$1:$F$43,4,FALSE)=0,"",VLOOKUP(UncLookup[[#This Row],[Item]],Items!$A$1:$F$43,4,FALSE))</f>
        <v>N</v>
      </c>
    </row>
    <row r="405" spans="1:17" x14ac:dyDescent="0.25">
      <c r="A405" s="76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90" t="str">
        <f>IF(VLOOKUP(UncLookup[[#This Row],[Item]],Items!$A$1:$F$43,2,FALSE)=0,"",VLOOKUP(UncLookup[[#This Row],[Item]],Items!$A$1:$F$43,2,FALSE))</f>
        <v/>
      </c>
      <c r="P405" s="90" t="str">
        <f>IF(VLOOKUP(UncLookup[[#This Row],[Item]],Items!$A$1:$F$43,3,FALSE)=0,"",VLOOKUP(UncLookup[[#This Row],[Item]],Items!$A$1:$F$43,3,FALSE))</f>
        <v/>
      </c>
      <c r="Q405" s="90" t="str">
        <f>IF(VLOOKUP(UncLookup[[#This Row],[Item]],Items!$A$1:$F$43,4,FALSE)=0,"",VLOOKUP(UncLookup[[#This Row],[Item]],Items!$A$1:$F$43,4,FALSE))</f>
        <v>N</v>
      </c>
    </row>
    <row r="406" spans="1:17" x14ac:dyDescent="0.25">
      <c r="A406" s="75" t="s">
        <v>56</v>
      </c>
      <c r="B406" s="75" t="s">
        <v>94</v>
      </c>
      <c r="C406" s="75">
        <v>371.00099999999998</v>
      </c>
      <c r="D406" s="75">
        <v>816</v>
      </c>
      <c r="E406" s="75">
        <v>0.1</v>
      </c>
      <c r="F406" s="75" t="s">
        <v>23</v>
      </c>
      <c r="G406" s="75" t="s">
        <v>23</v>
      </c>
      <c r="H406" s="75">
        <v>0</v>
      </c>
      <c r="I406" s="75">
        <v>0</v>
      </c>
      <c r="J406" s="75"/>
      <c r="K406" s="75">
        <v>8.1513450000000001E-2</v>
      </c>
      <c r="L406" s="75">
        <v>0</v>
      </c>
      <c r="M406" s="75">
        <v>6.9463811E-2</v>
      </c>
      <c r="N406" s="75">
        <v>0</v>
      </c>
      <c r="O406" s="90" t="str">
        <f>IF(VLOOKUP(UncLookup[[#This Row],[Item]],Items!$A$1:$F$43,2,FALSE)=0,"",VLOOKUP(UncLookup[[#This Row],[Item]],Items!$A$1:$F$43,2,FALSE))</f>
        <v/>
      </c>
      <c r="P406" s="90" t="str">
        <f>IF(VLOOKUP(UncLookup[[#This Row],[Item]],Items!$A$1:$F$43,3,FALSE)=0,"",VLOOKUP(UncLookup[[#This Row],[Item]],Items!$A$1:$F$43,3,FALSE))</f>
        <v/>
      </c>
      <c r="Q406" s="90" t="str">
        <f>IF(VLOOKUP(UncLookup[[#This Row],[Item]],Items!$A$1:$F$43,4,FALSE)=0,"",VLOOKUP(UncLookup[[#This Row],[Item]],Items!$A$1:$F$43,4,FALSE))</f>
        <v>N</v>
      </c>
    </row>
    <row r="407" spans="1:17" x14ac:dyDescent="0.25">
      <c r="A407" s="76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90" t="str">
        <f>IF(VLOOKUP(UncLookup[[#This Row],[Item]],Items!$A$1:$F$43,2,FALSE)=0,"",VLOOKUP(UncLookup[[#This Row],[Item]],Items!$A$1:$F$43,2,FALSE))</f>
        <v/>
      </c>
      <c r="P407" s="90" t="str">
        <f>IF(VLOOKUP(UncLookup[[#This Row],[Item]],Items!$A$1:$F$43,3,FALSE)=0,"",VLOOKUP(UncLookup[[#This Row],[Item]],Items!$A$1:$F$43,3,FALSE))</f>
        <v/>
      </c>
      <c r="Q407" s="90" t="str">
        <f>IF(VLOOKUP(UncLookup[[#This Row],[Item]],Items!$A$1:$F$43,4,FALSE)=0,"",VLOOKUP(UncLookup[[#This Row],[Item]],Items!$A$1:$F$43,4,FALSE))</f>
        <v>N</v>
      </c>
    </row>
    <row r="408" spans="1:17" x14ac:dyDescent="0.25">
      <c r="A408" s="75" t="s">
        <v>56</v>
      </c>
      <c r="B408" s="75" t="s">
        <v>94</v>
      </c>
      <c r="C408" s="75">
        <v>816.00099999999998</v>
      </c>
      <c r="D408" s="75">
        <v>1300</v>
      </c>
      <c r="E408" s="75">
        <v>0.1</v>
      </c>
      <c r="F408" s="75" t="s">
        <v>23</v>
      </c>
      <c r="G408" s="75" t="s">
        <v>23</v>
      </c>
      <c r="H408" s="75">
        <v>0</v>
      </c>
      <c r="I408" s="75">
        <v>0</v>
      </c>
      <c r="J408" s="75"/>
      <c r="K408" s="75">
        <v>8.6273836000000007E-2</v>
      </c>
      <c r="L408" s="75">
        <v>0</v>
      </c>
      <c r="M408" s="75">
        <v>7.3915043999999999E-2</v>
      </c>
      <c r="N408" s="75">
        <v>0</v>
      </c>
      <c r="O408" s="90" t="str">
        <f>IF(VLOOKUP(UncLookup[[#This Row],[Item]],Items!$A$1:$F$43,2,FALSE)=0,"",VLOOKUP(UncLookup[[#This Row],[Item]],Items!$A$1:$F$43,2,FALSE))</f>
        <v/>
      </c>
      <c r="P408" s="90" t="str">
        <f>IF(VLOOKUP(UncLookup[[#This Row],[Item]],Items!$A$1:$F$43,3,FALSE)=0,"",VLOOKUP(UncLookup[[#This Row],[Item]],Items!$A$1:$F$43,3,FALSE))</f>
        <v/>
      </c>
      <c r="Q408" s="90" t="str">
        <f>IF(VLOOKUP(UncLookup[[#This Row],[Item]],Items!$A$1:$F$43,4,FALSE)=0,"",VLOOKUP(UncLookup[[#This Row],[Item]],Items!$A$1:$F$43,4,FALSE))</f>
        <v>N</v>
      </c>
    </row>
    <row r="409" spans="1:17" x14ac:dyDescent="0.25">
      <c r="A409" s="76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90" t="str">
        <f>IF(VLOOKUP(UncLookup[[#This Row],[Item]],Items!$A$1:$F$43,2,FALSE)=0,"",VLOOKUP(UncLookup[[#This Row],[Item]],Items!$A$1:$F$43,2,FALSE))</f>
        <v/>
      </c>
      <c r="P409" s="90" t="str">
        <f>IF(VLOOKUP(UncLookup[[#This Row],[Item]],Items!$A$1:$F$43,3,FALSE)=0,"",VLOOKUP(UncLookup[[#This Row],[Item]],Items!$A$1:$F$43,3,FALSE))</f>
        <v/>
      </c>
      <c r="Q409" s="90" t="str">
        <f>IF(VLOOKUP(UncLookup[[#This Row],[Item]],Items!$A$1:$F$43,4,FALSE)=0,"",VLOOKUP(UncLookup[[#This Row],[Item]],Items!$A$1:$F$43,4,FALSE))</f>
        <v>N</v>
      </c>
    </row>
    <row r="410" spans="1:17" x14ac:dyDescent="0.25">
      <c r="A410" s="75" t="s">
        <v>56</v>
      </c>
      <c r="B410" s="75" t="s">
        <v>91</v>
      </c>
      <c r="C410" s="75">
        <v>-270</v>
      </c>
      <c r="D410" s="75">
        <v>-240.001</v>
      </c>
      <c r="E410" s="75">
        <v>0.1</v>
      </c>
      <c r="F410" s="75" t="s">
        <v>23</v>
      </c>
      <c r="G410" s="75" t="s">
        <v>23</v>
      </c>
      <c r="H410" s="75">
        <v>0</v>
      </c>
      <c r="I410" s="75">
        <v>0</v>
      </c>
      <c r="J410" s="75"/>
      <c r="K410" s="75">
        <v>0.45662971600000002</v>
      </c>
      <c r="L410" s="75">
        <v>0</v>
      </c>
      <c r="M410" s="75">
        <v>0.45079213899999998</v>
      </c>
      <c r="N410" s="75">
        <v>0</v>
      </c>
      <c r="O410" s="90" t="str">
        <f>IF(VLOOKUP(UncLookup[[#This Row],[Item]],Items!$A$1:$F$43,2,FALSE)=0,"",VLOOKUP(UncLookup[[#This Row],[Item]],Items!$A$1:$F$43,2,FALSE))</f>
        <v/>
      </c>
      <c r="P410" s="90" t="str">
        <f>IF(VLOOKUP(UncLookup[[#This Row],[Item]],Items!$A$1:$F$43,3,FALSE)=0,"",VLOOKUP(UncLookup[[#This Row],[Item]],Items!$A$1:$F$43,3,FALSE))</f>
        <v/>
      </c>
      <c r="Q410" s="90" t="str">
        <f>IF(VLOOKUP(UncLookup[[#This Row],[Item]],Items!$A$1:$F$43,4,FALSE)=0,"",VLOOKUP(UncLookup[[#This Row],[Item]],Items!$A$1:$F$43,4,FALSE))</f>
        <v>K</v>
      </c>
    </row>
    <row r="411" spans="1:17" x14ac:dyDescent="0.25">
      <c r="A411" s="76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90" t="str">
        <f>IF(VLOOKUP(UncLookup[[#This Row],[Item]],Items!$A$1:$F$43,2,FALSE)=0,"",VLOOKUP(UncLookup[[#This Row],[Item]],Items!$A$1:$F$43,2,FALSE))</f>
        <v/>
      </c>
      <c r="P411" s="90" t="str">
        <f>IF(VLOOKUP(UncLookup[[#This Row],[Item]],Items!$A$1:$F$43,3,FALSE)=0,"",VLOOKUP(UncLookup[[#This Row],[Item]],Items!$A$1:$F$43,3,FALSE))</f>
        <v/>
      </c>
      <c r="Q411" s="90" t="str">
        <f>IF(VLOOKUP(UncLookup[[#This Row],[Item]],Items!$A$1:$F$43,4,FALSE)=0,"",VLOOKUP(UncLookup[[#This Row],[Item]],Items!$A$1:$F$43,4,FALSE))</f>
        <v>K</v>
      </c>
    </row>
    <row r="412" spans="1:17" x14ac:dyDescent="0.25">
      <c r="A412" s="75" t="s">
        <v>56</v>
      </c>
      <c r="B412" s="75" t="s">
        <v>91</v>
      </c>
      <c r="C412" s="75">
        <v>-240</v>
      </c>
      <c r="D412" s="75">
        <v>259.99900000000002</v>
      </c>
      <c r="E412" s="75">
        <v>0.1</v>
      </c>
      <c r="F412" s="75" t="s">
        <v>23</v>
      </c>
      <c r="G412" s="75" t="s">
        <v>23</v>
      </c>
      <c r="H412" s="75">
        <v>0</v>
      </c>
      <c r="I412" s="75">
        <v>0</v>
      </c>
      <c r="J412" s="75"/>
      <c r="K412" s="75">
        <v>0.113916513</v>
      </c>
      <c r="L412" s="75">
        <v>0</v>
      </c>
      <c r="M412" s="75">
        <v>9.1809138999999998E-2</v>
      </c>
      <c r="N412" s="75">
        <v>0</v>
      </c>
      <c r="O412" s="90" t="str">
        <f>IF(VLOOKUP(UncLookup[[#This Row],[Item]],Items!$A$1:$F$43,2,FALSE)=0,"",VLOOKUP(UncLookup[[#This Row],[Item]],Items!$A$1:$F$43,2,FALSE))</f>
        <v/>
      </c>
      <c r="P412" s="90" t="str">
        <f>IF(VLOOKUP(UncLookup[[#This Row],[Item]],Items!$A$1:$F$43,3,FALSE)=0,"",VLOOKUP(UncLookup[[#This Row],[Item]],Items!$A$1:$F$43,3,FALSE))</f>
        <v/>
      </c>
      <c r="Q412" s="90" t="str">
        <f>IF(VLOOKUP(UncLookup[[#This Row],[Item]],Items!$A$1:$F$43,4,FALSE)=0,"",VLOOKUP(UncLookup[[#This Row],[Item]],Items!$A$1:$F$43,4,FALSE))</f>
        <v>K</v>
      </c>
    </row>
    <row r="413" spans="1:17" x14ac:dyDescent="0.25">
      <c r="A413" s="76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90" t="str">
        <f>IF(VLOOKUP(UncLookup[[#This Row],[Item]],Items!$A$1:$F$43,2,FALSE)=0,"",VLOOKUP(UncLookup[[#This Row],[Item]],Items!$A$1:$F$43,2,FALSE))</f>
        <v/>
      </c>
      <c r="P413" s="90" t="str">
        <f>IF(VLOOKUP(UncLookup[[#This Row],[Item]],Items!$A$1:$F$43,3,FALSE)=0,"",VLOOKUP(UncLookup[[#This Row],[Item]],Items!$A$1:$F$43,3,FALSE))</f>
        <v/>
      </c>
      <c r="Q413" s="90" t="str">
        <f>IF(VLOOKUP(UncLookup[[#This Row],[Item]],Items!$A$1:$F$43,4,FALSE)=0,"",VLOOKUP(UncLookup[[#This Row],[Item]],Items!$A$1:$F$43,4,FALSE))</f>
        <v>K</v>
      </c>
    </row>
    <row r="414" spans="1:17" x14ac:dyDescent="0.25">
      <c r="A414" s="75" t="s">
        <v>56</v>
      </c>
      <c r="B414" s="75" t="s">
        <v>91</v>
      </c>
      <c r="C414" s="75">
        <v>260</v>
      </c>
      <c r="D414" s="75">
        <v>816</v>
      </c>
      <c r="E414" s="75">
        <v>0.1</v>
      </c>
      <c r="F414" s="75" t="s">
        <v>23</v>
      </c>
      <c r="G414" s="75" t="s">
        <v>23</v>
      </c>
      <c r="H414" s="75">
        <v>0</v>
      </c>
      <c r="I414" s="75">
        <v>0</v>
      </c>
      <c r="J414" s="75"/>
      <c r="K414" s="75">
        <v>8.0979847999999993E-2</v>
      </c>
      <c r="L414" s="75">
        <v>0</v>
      </c>
      <c r="M414" s="75">
        <v>6.9993098000000004E-2</v>
      </c>
      <c r="N414" s="75">
        <v>0</v>
      </c>
      <c r="O414" s="90" t="str">
        <f>IF(VLOOKUP(UncLookup[[#This Row],[Item]],Items!$A$1:$F$43,2,FALSE)=0,"",VLOOKUP(UncLookup[[#This Row],[Item]],Items!$A$1:$F$43,2,FALSE))</f>
        <v/>
      </c>
      <c r="P414" s="90" t="str">
        <f>IF(VLOOKUP(UncLookup[[#This Row],[Item]],Items!$A$1:$F$43,3,FALSE)=0,"",VLOOKUP(UncLookup[[#This Row],[Item]],Items!$A$1:$F$43,3,FALSE))</f>
        <v/>
      </c>
      <c r="Q414" s="90" t="str">
        <f>IF(VLOOKUP(UncLookup[[#This Row],[Item]],Items!$A$1:$F$43,4,FALSE)=0,"",VLOOKUP(UncLookup[[#This Row],[Item]],Items!$A$1:$F$43,4,FALSE))</f>
        <v>K</v>
      </c>
    </row>
    <row r="415" spans="1:17" x14ac:dyDescent="0.25">
      <c r="A415" s="76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90" t="str">
        <f>IF(VLOOKUP(UncLookup[[#This Row],[Item]],Items!$A$1:$F$43,2,FALSE)=0,"",VLOOKUP(UncLookup[[#This Row],[Item]],Items!$A$1:$F$43,2,FALSE))</f>
        <v/>
      </c>
      <c r="P415" s="90" t="str">
        <f>IF(VLOOKUP(UncLookup[[#This Row],[Item]],Items!$A$1:$F$43,3,FALSE)=0,"",VLOOKUP(UncLookup[[#This Row],[Item]],Items!$A$1:$F$43,3,FALSE))</f>
        <v/>
      </c>
      <c r="Q415" s="90" t="str">
        <f>IF(VLOOKUP(UncLookup[[#This Row],[Item]],Items!$A$1:$F$43,4,FALSE)=0,"",VLOOKUP(UncLookup[[#This Row],[Item]],Items!$A$1:$F$43,4,FALSE))</f>
        <v>K</v>
      </c>
    </row>
    <row r="416" spans="1:17" x14ac:dyDescent="0.25">
      <c r="A416" s="75" t="s">
        <v>56</v>
      </c>
      <c r="B416" s="75" t="s">
        <v>91</v>
      </c>
      <c r="C416" s="75">
        <v>816.00099999999998</v>
      </c>
      <c r="D416" s="75">
        <v>1371</v>
      </c>
      <c r="E416" s="75">
        <v>0.1</v>
      </c>
      <c r="F416" s="75" t="s">
        <v>23</v>
      </c>
      <c r="G416" s="75" t="s">
        <v>23</v>
      </c>
      <c r="H416" s="75">
        <v>0</v>
      </c>
      <c r="I416" s="75">
        <v>0</v>
      </c>
      <c r="J416" s="75"/>
      <c r="K416" s="75">
        <v>9.0471350000000006E-2</v>
      </c>
      <c r="L416" s="75">
        <v>0</v>
      </c>
      <c r="M416" s="75">
        <v>7.6709093000000006E-2</v>
      </c>
      <c r="N416" s="75">
        <v>0</v>
      </c>
      <c r="O416" s="90" t="str">
        <f>IF(VLOOKUP(UncLookup[[#This Row],[Item]],Items!$A$1:$F$43,2,FALSE)=0,"",VLOOKUP(UncLookup[[#This Row],[Item]],Items!$A$1:$F$43,2,FALSE))</f>
        <v/>
      </c>
      <c r="P416" s="90" t="str">
        <f>IF(VLOOKUP(UncLookup[[#This Row],[Item]],Items!$A$1:$F$43,3,FALSE)=0,"",VLOOKUP(UncLookup[[#This Row],[Item]],Items!$A$1:$F$43,3,FALSE))</f>
        <v/>
      </c>
      <c r="Q416" s="90" t="str">
        <f>IF(VLOOKUP(UncLookup[[#This Row],[Item]],Items!$A$1:$F$43,4,FALSE)=0,"",VLOOKUP(UncLookup[[#This Row],[Item]],Items!$A$1:$F$43,4,FALSE))</f>
        <v>K</v>
      </c>
    </row>
    <row r="417" spans="1:17" x14ac:dyDescent="0.25">
      <c r="A417" s="76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90" t="str">
        <f>IF(VLOOKUP(UncLookup[[#This Row],[Item]],Items!$A$1:$F$43,2,FALSE)=0,"",VLOOKUP(UncLookup[[#This Row],[Item]],Items!$A$1:$F$43,2,FALSE))</f>
        <v/>
      </c>
      <c r="P417" s="90" t="str">
        <f>IF(VLOOKUP(UncLookup[[#This Row],[Item]],Items!$A$1:$F$43,3,FALSE)=0,"",VLOOKUP(UncLookup[[#This Row],[Item]],Items!$A$1:$F$43,3,FALSE))</f>
        <v/>
      </c>
      <c r="Q417" s="90" t="str">
        <f>IF(VLOOKUP(UncLookup[[#This Row],[Item]],Items!$A$1:$F$43,4,FALSE)=0,"",VLOOKUP(UncLookup[[#This Row],[Item]],Items!$A$1:$F$43,4,FALSE))</f>
        <v>K</v>
      </c>
    </row>
    <row r="418" spans="1:17" x14ac:dyDescent="0.25">
      <c r="A418" s="75" t="s">
        <v>56</v>
      </c>
      <c r="B418" s="75" t="s">
        <v>92</v>
      </c>
      <c r="C418" s="75">
        <v>-210</v>
      </c>
      <c r="D418" s="75">
        <v>259.99900000000002</v>
      </c>
      <c r="E418" s="75">
        <v>0.1</v>
      </c>
      <c r="F418" s="75" t="s">
        <v>23</v>
      </c>
      <c r="G418" s="75" t="s">
        <v>23</v>
      </c>
      <c r="H418" s="75">
        <v>0</v>
      </c>
      <c r="I418" s="75">
        <v>0</v>
      </c>
      <c r="J418" s="75"/>
      <c r="K418" s="75">
        <v>9.1700324999999999E-2</v>
      </c>
      <c r="L418" s="75">
        <v>0</v>
      </c>
      <c r="M418" s="75">
        <v>7.0601223000000005E-2</v>
      </c>
      <c r="N418" s="75">
        <v>0</v>
      </c>
      <c r="O418" s="90" t="str">
        <f>IF(VLOOKUP(UncLookup[[#This Row],[Item]],Items!$A$1:$F$43,2,FALSE)=0,"",VLOOKUP(UncLookup[[#This Row],[Item]],Items!$A$1:$F$43,2,FALSE))</f>
        <v/>
      </c>
      <c r="P418" s="90" t="str">
        <f>IF(VLOOKUP(UncLookup[[#This Row],[Item]],Items!$A$1:$F$43,3,FALSE)=0,"",VLOOKUP(UncLookup[[#This Row],[Item]],Items!$A$1:$F$43,3,FALSE))</f>
        <v/>
      </c>
      <c r="Q418" s="90" t="str">
        <f>IF(VLOOKUP(UncLookup[[#This Row],[Item]],Items!$A$1:$F$43,4,FALSE)=0,"",VLOOKUP(UncLookup[[#This Row],[Item]],Items!$A$1:$F$43,4,FALSE))</f>
        <v>J</v>
      </c>
    </row>
    <row r="419" spans="1:17" x14ac:dyDescent="0.25">
      <c r="A419" s="76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90" t="str">
        <f>IF(VLOOKUP(UncLookup[[#This Row],[Item]],Items!$A$1:$F$43,2,FALSE)=0,"",VLOOKUP(UncLookup[[#This Row],[Item]],Items!$A$1:$F$43,2,FALSE))</f>
        <v/>
      </c>
      <c r="P419" s="90" t="str">
        <f>IF(VLOOKUP(UncLookup[[#This Row],[Item]],Items!$A$1:$F$43,3,FALSE)=0,"",VLOOKUP(UncLookup[[#This Row],[Item]],Items!$A$1:$F$43,3,FALSE))</f>
        <v/>
      </c>
      <c r="Q419" s="90" t="str">
        <f>IF(VLOOKUP(UncLookup[[#This Row],[Item]],Items!$A$1:$F$43,4,FALSE)=0,"",VLOOKUP(UncLookup[[#This Row],[Item]],Items!$A$1:$F$43,4,FALSE))</f>
        <v>J</v>
      </c>
    </row>
    <row r="420" spans="1:17" x14ac:dyDescent="0.25">
      <c r="A420" s="75" t="s">
        <v>56</v>
      </c>
      <c r="B420" s="75" t="s">
        <v>92</v>
      </c>
      <c r="C420" s="75">
        <v>260</v>
      </c>
      <c r="D420" s="75">
        <v>732</v>
      </c>
      <c r="E420" s="75">
        <v>0.1</v>
      </c>
      <c r="F420" s="75" t="s">
        <v>23</v>
      </c>
      <c r="G420" s="75" t="s">
        <v>23</v>
      </c>
      <c r="H420" s="75">
        <v>0</v>
      </c>
      <c r="I420" s="75">
        <v>0</v>
      </c>
      <c r="J420" s="75"/>
      <c r="K420" s="75">
        <v>7.3715325999999998E-2</v>
      </c>
      <c r="L420" s="75">
        <v>0</v>
      </c>
      <c r="M420" s="75">
        <v>6.8215379000000007E-2</v>
      </c>
      <c r="N420" s="75">
        <v>0</v>
      </c>
      <c r="O420" s="90" t="str">
        <f>IF(VLOOKUP(UncLookup[[#This Row],[Item]],Items!$A$1:$F$43,2,FALSE)=0,"",VLOOKUP(UncLookup[[#This Row],[Item]],Items!$A$1:$F$43,2,FALSE))</f>
        <v/>
      </c>
      <c r="P420" s="90" t="str">
        <f>IF(VLOOKUP(UncLookup[[#This Row],[Item]],Items!$A$1:$F$43,3,FALSE)=0,"",VLOOKUP(UncLookup[[#This Row],[Item]],Items!$A$1:$F$43,3,FALSE))</f>
        <v/>
      </c>
      <c r="Q420" s="90" t="str">
        <f>IF(VLOOKUP(UncLookup[[#This Row],[Item]],Items!$A$1:$F$43,4,FALSE)=0,"",VLOOKUP(UncLookup[[#This Row],[Item]],Items!$A$1:$F$43,4,FALSE))</f>
        <v>J</v>
      </c>
    </row>
    <row r="421" spans="1:17" x14ac:dyDescent="0.25">
      <c r="A421" s="76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90" t="str">
        <f>IF(VLOOKUP(UncLookup[[#This Row],[Item]],Items!$A$1:$F$43,2,FALSE)=0,"",VLOOKUP(UncLookup[[#This Row],[Item]],Items!$A$1:$F$43,2,FALSE))</f>
        <v/>
      </c>
      <c r="P421" s="90" t="str">
        <f>IF(VLOOKUP(UncLookup[[#This Row],[Item]],Items!$A$1:$F$43,3,FALSE)=0,"",VLOOKUP(UncLookup[[#This Row],[Item]],Items!$A$1:$F$43,3,FALSE))</f>
        <v/>
      </c>
      <c r="Q421" s="90" t="str">
        <f>IF(VLOOKUP(UncLookup[[#This Row],[Item]],Items!$A$1:$F$43,4,FALSE)=0,"",VLOOKUP(UncLookup[[#This Row],[Item]],Items!$A$1:$F$43,4,FALSE))</f>
        <v>J</v>
      </c>
    </row>
    <row r="422" spans="1:17" x14ac:dyDescent="0.25">
      <c r="A422" s="75" t="s">
        <v>56</v>
      </c>
      <c r="B422" s="75" t="s">
        <v>92</v>
      </c>
      <c r="C422" s="75">
        <v>732.00099999999998</v>
      </c>
      <c r="D422" s="75">
        <v>1200</v>
      </c>
      <c r="E422" s="75">
        <v>0.1</v>
      </c>
      <c r="F422" s="75" t="s">
        <v>23</v>
      </c>
      <c r="G422" s="75" t="s">
        <v>23</v>
      </c>
      <c r="H422" s="75">
        <v>0</v>
      </c>
      <c r="I422" s="75">
        <v>0</v>
      </c>
      <c r="J422" s="75"/>
      <c r="K422" s="75">
        <v>7.6446990000000006E-2</v>
      </c>
      <c r="L422" s="75">
        <v>0</v>
      </c>
      <c r="M422" s="75">
        <v>7.1753449999999996E-2</v>
      </c>
      <c r="N422" s="75">
        <v>0</v>
      </c>
      <c r="O422" s="90" t="str">
        <f>IF(VLOOKUP(UncLookup[[#This Row],[Item]],Items!$A$1:$F$43,2,FALSE)=0,"",VLOOKUP(UncLookup[[#This Row],[Item]],Items!$A$1:$F$43,2,FALSE))</f>
        <v/>
      </c>
      <c r="P422" s="90" t="str">
        <f>IF(VLOOKUP(UncLookup[[#This Row],[Item]],Items!$A$1:$F$43,3,FALSE)=0,"",VLOOKUP(UncLookup[[#This Row],[Item]],Items!$A$1:$F$43,3,FALSE))</f>
        <v/>
      </c>
      <c r="Q422" s="90" t="str">
        <f>IF(VLOOKUP(UncLookup[[#This Row],[Item]],Items!$A$1:$F$43,4,FALSE)=0,"",VLOOKUP(UncLookup[[#This Row],[Item]],Items!$A$1:$F$43,4,FALSE))</f>
        <v>J</v>
      </c>
    </row>
    <row r="423" spans="1:17" x14ac:dyDescent="0.25">
      <c r="A423" s="76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90" t="str">
        <f>IF(VLOOKUP(UncLookup[[#This Row],[Item]],Items!$A$1:$F$43,2,FALSE)=0,"",VLOOKUP(UncLookup[[#This Row],[Item]],Items!$A$1:$F$43,2,FALSE))</f>
        <v/>
      </c>
      <c r="P423" s="90" t="str">
        <f>IF(VLOOKUP(UncLookup[[#This Row],[Item]],Items!$A$1:$F$43,3,FALSE)=0,"",VLOOKUP(UncLookup[[#This Row],[Item]],Items!$A$1:$F$43,3,FALSE))</f>
        <v/>
      </c>
      <c r="Q423" s="90" t="str">
        <f>IF(VLOOKUP(UncLookup[[#This Row],[Item]],Items!$A$1:$F$43,4,FALSE)=0,"",VLOOKUP(UncLookup[[#This Row],[Item]],Items!$A$1:$F$43,4,FALSE))</f>
        <v>J</v>
      </c>
    </row>
    <row r="424" spans="1:17" x14ac:dyDescent="0.25">
      <c r="A424" s="75" t="s">
        <v>56</v>
      </c>
      <c r="B424" s="75" t="s">
        <v>93</v>
      </c>
      <c r="C424" s="75">
        <v>-270</v>
      </c>
      <c r="D424" s="75">
        <v>149</v>
      </c>
      <c r="E424" s="75">
        <v>0.1</v>
      </c>
      <c r="F424" s="75" t="s">
        <v>23</v>
      </c>
      <c r="G424" s="75" t="s">
        <v>23</v>
      </c>
      <c r="H424" s="75">
        <v>0</v>
      </c>
      <c r="I424" s="75">
        <v>0</v>
      </c>
      <c r="J424" s="75"/>
      <c r="K424" s="75">
        <v>8.0416114999999996E-2</v>
      </c>
      <c r="L424" s="75">
        <v>0</v>
      </c>
      <c r="M424" s="75">
        <v>6.7383358000000004E-2</v>
      </c>
      <c r="N424" s="75">
        <v>0</v>
      </c>
      <c r="O424" s="90" t="str">
        <f>IF(VLOOKUP(UncLookup[[#This Row],[Item]],Items!$A$1:$F$43,2,FALSE)=0,"",VLOOKUP(UncLookup[[#This Row],[Item]],Items!$A$1:$F$43,2,FALSE))</f>
        <v/>
      </c>
      <c r="P424" s="90" t="str">
        <f>IF(VLOOKUP(UncLookup[[#This Row],[Item]],Items!$A$1:$F$43,3,FALSE)=0,"",VLOOKUP(UncLookup[[#This Row],[Item]],Items!$A$1:$F$43,3,FALSE))</f>
        <v/>
      </c>
      <c r="Q424" s="90" t="str">
        <f>IF(VLOOKUP(UncLookup[[#This Row],[Item]],Items!$A$1:$F$43,4,FALSE)=0,"",VLOOKUP(UncLookup[[#This Row],[Item]],Items!$A$1:$F$43,4,FALSE))</f>
        <v>E</v>
      </c>
    </row>
    <row r="425" spans="1:17" x14ac:dyDescent="0.25">
      <c r="A425" s="76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90" t="str">
        <f>IF(VLOOKUP(UncLookup[[#This Row],[Item]],Items!$A$1:$F$43,2,FALSE)=0,"",VLOOKUP(UncLookup[[#This Row],[Item]],Items!$A$1:$F$43,2,FALSE))</f>
        <v/>
      </c>
      <c r="P425" s="90" t="str">
        <f>IF(VLOOKUP(UncLookup[[#This Row],[Item]],Items!$A$1:$F$43,3,FALSE)=0,"",VLOOKUP(UncLookup[[#This Row],[Item]],Items!$A$1:$F$43,3,FALSE))</f>
        <v/>
      </c>
      <c r="Q425" s="90" t="str">
        <f>IF(VLOOKUP(UncLookup[[#This Row],[Item]],Items!$A$1:$F$43,4,FALSE)=0,"",VLOOKUP(UncLookup[[#This Row],[Item]],Items!$A$1:$F$43,4,FALSE))</f>
        <v>E</v>
      </c>
    </row>
    <row r="426" spans="1:17" x14ac:dyDescent="0.25">
      <c r="A426" s="75" t="s">
        <v>56</v>
      </c>
      <c r="B426" s="75" t="s">
        <v>93</v>
      </c>
      <c r="C426" s="75">
        <v>149.001</v>
      </c>
      <c r="D426" s="75">
        <v>593</v>
      </c>
      <c r="E426" s="75">
        <v>0.1</v>
      </c>
      <c r="F426" s="75" t="s">
        <v>23</v>
      </c>
      <c r="G426" s="75" t="s">
        <v>23</v>
      </c>
      <c r="H426" s="75">
        <v>0</v>
      </c>
      <c r="I426" s="75">
        <v>0</v>
      </c>
      <c r="J426" s="75"/>
      <c r="K426" s="75">
        <v>6.9131376999999994E-2</v>
      </c>
      <c r="L426" s="75">
        <v>0</v>
      </c>
      <c r="M426" s="75">
        <v>6.7565681000000002E-2</v>
      </c>
      <c r="N426" s="75">
        <v>0</v>
      </c>
      <c r="O426" s="90" t="str">
        <f>IF(VLOOKUP(UncLookup[[#This Row],[Item]],Items!$A$1:$F$43,2,FALSE)=0,"",VLOOKUP(UncLookup[[#This Row],[Item]],Items!$A$1:$F$43,2,FALSE))</f>
        <v/>
      </c>
      <c r="P426" s="90" t="str">
        <f>IF(VLOOKUP(UncLookup[[#This Row],[Item]],Items!$A$1:$F$43,3,FALSE)=0,"",VLOOKUP(UncLookup[[#This Row],[Item]],Items!$A$1:$F$43,3,FALSE))</f>
        <v/>
      </c>
      <c r="Q426" s="90" t="str">
        <f>IF(VLOOKUP(UncLookup[[#This Row],[Item]],Items!$A$1:$F$43,4,FALSE)=0,"",VLOOKUP(UncLookup[[#This Row],[Item]],Items!$A$1:$F$43,4,FALSE))</f>
        <v>E</v>
      </c>
    </row>
    <row r="427" spans="1:17" x14ac:dyDescent="0.25">
      <c r="A427" s="76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90" t="str">
        <f>IF(VLOOKUP(UncLookup[[#This Row],[Item]],Items!$A$1:$F$43,2,FALSE)=0,"",VLOOKUP(UncLookup[[#This Row],[Item]],Items!$A$1:$F$43,2,FALSE))</f>
        <v/>
      </c>
      <c r="P427" s="90" t="str">
        <f>IF(VLOOKUP(UncLookup[[#This Row],[Item]],Items!$A$1:$F$43,3,FALSE)=0,"",VLOOKUP(UncLookup[[#This Row],[Item]],Items!$A$1:$F$43,3,FALSE))</f>
        <v/>
      </c>
      <c r="Q427" s="90" t="str">
        <f>IF(VLOOKUP(UncLookup[[#This Row],[Item]],Items!$A$1:$F$43,4,FALSE)=0,"",VLOOKUP(UncLookup[[#This Row],[Item]],Items!$A$1:$F$43,4,FALSE))</f>
        <v>E</v>
      </c>
    </row>
    <row r="428" spans="1:17" x14ac:dyDescent="0.25">
      <c r="A428" s="75" t="s">
        <v>56</v>
      </c>
      <c r="B428" s="75" t="s">
        <v>93</v>
      </c>
      <c r="C428" s="75">
        <v>593.00099999999998</v>
      </c>
      <c r="D428" s="75">
        <v>1000</v>
      </c>
      <c r="E428" s="75">
        <v>0.1</v>
      </c>
      <c r="F428" s="75" t="s">
        <v>23</v>
      </c>
      <c r="G428" s="75" t="s">
        <v>23</v>
      </c>
      <c r="H428" s="75">
        <v>0</v>
      </c>
      <c r="I428" s="75">
        <v>0</v>
      </c>
      <c r="J428" s="75"/>
      <c r="K428" s="75">
        <v>7.1535916000000005E-2</v>
      </c>
      <c r="L428" s="75">
        <v>0</v>
      </c>
      <c r="M428" s="75">
        <v>7.0024005E-2</v>
      </c>
      <c r="N428" s="75">
        <v>0</v>
      </c>
      <c r="O428" s="90" t="str">
        <f>IF(VLOOKUP(UncLookup[[#This Row],[Item]],Items!$A$1:$F$43,2,FALSE)=0,"",VLOOKUP(UncLookup[[#This Row],[Item]],Items!$A$1:$F$43,2,FALSE))</f>
        <v/>
      </c>
      <c r="P428" s="90" t="str">
        <f>IF(VLOOKUP(UncLookup[[#This Row],[Item]],Items!$A$1:$F$43,3,FALSE)=0,"",VLOOKUP(UncLookup[[#This Row],[Item]],Items!$A$1:$F$43,3,FALSE))</f>
        <v/>
      </c>
      <c r="Q428" s="90" t="str">
        <f>IF(VLOOKUP(UncLookup[[#This Row],[Item]],Items!$A$1:$F$43,4,FALSE)=0,"",VLOOKUP(UncLookup[[#This Row],[Item]],Items!$A$1:$F$43,4,FALSE))</f>
        <v>E</v>
      </c>
    </row>
    <row r="429" spans="1:17" x14ac:dyDescent="0.25">
      <c r="A429" s="76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90" t="str">
        <f>IF(VLOOKUP(UncLookup[[#This Row],[Item]],Items!$A$1:$F$43,2,FALSE)=0,"",VLOOKUP(UncLookup[[#This Row],[Item]],Items!$A$1:$F$43,2,FALSE))</f>
        <v/>
      </c>
      <c r="P429" s="90" t="str">
        <f>IF(VLOOKUP(UncLookup[[#This Row],[Item]],Items!$A$1:$F$43,3,FALSE)=0,"",VLOOKUP(UncLookup[[#This Row],[Item]],Items!$A$1:$F$43,3,FALSE))</f>
        <v/>
      </c>
      <c r="Q429" s="90" t="str">
        <f>IF(VLOOKUP(UncLookup[[#This Row],[Item]],Items!$A$1:$F$43,4,FALSE)=0,"",VLOOKUP(UncLookup[[#This Row],[Item]],Items!$A$1:$F$43,4,FALSE))</f>
        <v>E</v>
      </c>
    </row>
    <row r="430" spans="1:17" x14ac:dyDescent="0.25">
      <c r="A430" s="75" t="s">
        <v>56</v>
      </c>
      <c r="B430" s="75" t="s">
        <v>8</v>
      </c>
      <c r="C430" s="75">
        <v>0</v>
      </c>
      <c r="D430" s="75">
        <v>0.01</v>
      </c>
      <c r="E430" s="75">
        <v>1E-8</v>
      </c>
      <c r="F430" s="75" t="s">
        <v>6</v>
      </c>
      <c r="G430" s="75" t="s">
        <v>5</v>
      </c>
      <c r="H430" s="75">
        <v>1000</v>
      </c>
      <c r="I430" s="75">
        <v>4000</v>
      </c>
      <c r="J430" s="75" t="s">
        <v>10</v>
      </c>
      <c r="K430" s="75">
        <v>23</v>
      </c>
      <c r="L430" s="75">
        <v>80000</v>
      </c>
      <c r="M430" s="75">
        <v>22.678999999999998</v>
      </c>
      <c r="N430" s="75">
        <v>79411</v>
      </c>
      <c r="O430" s="90" t="str">
        <f>IF(VLOOKUP(UncLookup[[#This Row],[Item]],Items!$A$1:$F$43,2,FALSE)=0,"",VLOOKUP(UncLookup[[#This Row],[Item]],Items!$A$1:$F$43,2,FALSE))</f>
        <v/>
      </c>
      <c r="P430" s="90" t="str">
        <f>IF(VLOOKUP(UncLookup[[#This Row],[Item]],Items!$A$1:$F$43,3,FALSE)=0,"",VLOOKUP(UncLookup[[#This Row],[Item]],Items!$A$1:$F$43,3,FALSE))</f>
        <v/>
      </c>
      <c r="Q430" s="90" t="str">
        <f>IF(VLOOKUP(UncLookup[[#This Row],[Item]],Items!$A$1:$F$43,4,FALSE)=0,"",VLOOKUP(UncLookup[[#This Row],[Item]],Items!$A$1:$F$43,4,FALSE))</f>
        <v/>
      </c>
    </row>
    <row r="431" spans="1:17" x14ac:dyDescent="0.25">
      <c r="A431" s="76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90" t="str">
        <f>IF(VLOOKUP(UncLookup[[#This Row],[Item]],Items!$A$1:$F$43,2,FALSE)=0,"",VLOOKUP(UncLookup[[#This Row],[Item]],Items!$A$1:$F$43,2,FALSE))</f>
        <v/>
      </c>
      <c r="P431" s="90" t="str">
        <f>IF(VLOOKUP(UncLookup[[#This Row],[Item]],Items!$A$1:$F$43,3,FALSE)=0,"",VLOOKUP(UncLookup[[#This Row],[Item]],Items!$A$1:$F$43,3,FALSE))</f>
        <v/>
      </c>
      <c r="Q431" s="90" t="str">
        <f>IF(VLOOKUP(UncLookup[[#This Row],[Item]],Items!$A$1:$F$43,4,FALSE)=0,"",VLOOKUP(UncLookup[[#This Row],[Item]],Items!$A$1:$F$43,4,FALSE))</f>
        <v/>
      </c>
    </row>
    <row r="432" spans="1:17" x14ac:dyDescent="0.25">
      <c r="A432" s="75" t="s">
        <v>56</v>
      </c>
      <c r="B432" s="75" t="s">
        <v>8</v>
      </c>
      <c r="C432" s="75">
        <v>0</v>
      </c>
      <c r="D432" s="75">
        <v>0.01</v>
      </c>
      <c r="E432" s="75">
        <v>1E-8</v>
      </c>
      <c r="F432" s="75" t="s">
        <v>6</v>
      </c>
      <c r="G432" s="75" t="s">
        <v>5</v>
      </c>
      <c r="H432" s="75">
        <v>1E-3</v>
      </c>
      <c r="I432" s="75">
        <v>0.04</v>
      </c>
      <c r="J432" s="75" t="s">
        <v>10</v>
      </c>
      <c r="K432" s="75">
        <v>4.5</v>
      </c>
      <c r="L432" s="75">
        <v>310</v>
      </c>
      <c r="M432" s="75">
        <v>4.3849</v>
      </c>
      <c r="N432" s="75">
        <v>312.12</v>
      </c>
      <c r="O432" s="90" t="str">
        <f>IF(VLOOKUP(UncLookup[[#This Row],[Item]],Items!$A$1:$F$43,2,FALSE)=0,"",VLOOKUP(UncLookup[[#This Row],[Item]],Items!$A$1:$F$43,2,FALSE))</f>
        <v/>
      </c>
      <c r="P432" s="90" t="str">
        <f>IF(VLOOKUP(UncLookup[[#This Row],[Item]],Items!$A$1:$F$43,3,FALSE)=0,"",VLOOKUP(UncLookup[[#This Row],[Item]],Items!$A$1:$F$43,3,FALSE))</f>
        <v/>
      </c>
      <c r="Q432" s="90" t="str">
        <f>IF(VLOOKUP(UncLookup[[#This Row],[Item]],Items!$A$1:$F$43,4,FALSE)=0,"",VLOOKUP(UncLookup[[#This Row],[Item]],Items!$A$1:$F$43,4,FALSE))</f>
        <v/>
      </c>
    </row>
    <row r="433" spans="1:17" x14ac:dyDescent="0.25">
      <c r="A433" s="76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90" t="str">
        <f>IF(VLOOKUP(UncLookup[[#This Row],[Item]],Items!$A$1:$F$43,2,FALSE)=0,"",VLOOKUP(UncLookup[[#This Row],[Item]],Items!$A$1:$F$43,2,FALSE))</f>
        <v/>
      </c>
      <c r="P433" s="90" t="str">
        <f>IF(VLOOKUP(UncLookup[[#This Row],[Item]],Items!$A$1:$F$43,3,FALSE)=0,"",VLOOKUP(UncLookup[[#This Row],[Item]],Items!$A$1:$F$43,3,FALSE))</f>
        <v/>
      </c>
      <c r="Q433" s="90" t="str">
        <f>IF(VLOOKUP(UncLookup[[#This Row],[Item]],Items!$A$1:$F$43,4,FALSE)=0,"",VLOOKUP(UncLookup[[#This Row],[Item]],Items!$A$1:$F$43,4,FALSE))</f>
        <v/>
      </c>
    </row>
    <row r="434" spans="1:17" x14ac:dyDescent="0.25">
      <c r="A434" s="75" t="s">
        <v>56</v>
      </c>
      <c r="B434" s="75" t="s">
        <v>8</v>
      </c>
      <c r="C434" s="75">
        <v>0</v>
      </c>
      <c r="D434" s="75">
        <v>0.01</v>
      </c>
      <c r="E434" s="75">
        <v>1E-8</v>
      </c>
      <c r="F434" s="75" t="s">
        <v>6</v>
      </c>
      <c r="G434" s="75" t="s">
        <v>5</v>
      </c>
      <c r="H434" s="75">
        <v>1</v>
      </c>
      <c r="I434" s="75">
        <v>20</v>
      </c>
      <c r="J434" s="75" t="s">
        <v>10</v>
      </c>
      <c r="K434" s="75">
        <v>3.1</v>
      </c>
      <c r="L434" s="75">
        <v>254.16</v>
      </c>
      <c r="M434" s="75">
        <v>3.0562999999999998</v>
      </c>
      <c r="N434" s="75">
        <v>254.09</v>
      </c>
      <c r="O434" s="90" t="str">
        <f>IF(VLOOKUP(UncLookup[[#This Row],[Item]],Items!$A$1:$F$43,2,FALSE)=0,"",VLOOKUP(UncLookup[[#This Row],[Item]],Items!$A$1:$F$43,2,FALSE))</f>
        <v/>
      </c>
      <c r="P434" s="90" t="str">
        <f>IF(VLOOKUP(UncLookup[[#This Row],[Item]],Items!$A$1:$F$43,3,FALSE)=0,"",VLOOKUP(UncLookup[[#This Row],[Item]],Items!$A$1:$F$43,3,FALSE))</f>
        <v/>
      </c>
      <c r="Q434" s="90" t="str">
        <f>IF(VLOOKUP(UncLookup[[#This Row],[Item]],Items!$A$1:$F$43,4,FALSE)=0,"",VLOOKUP(UncLookup[[#This Row],[Item]],Items!$A$1:$F$43,4,FALSE))</f>
        <v/>
      </c>
    </row>
    <row r="435" spans="1:17" x14ac:dyDescent="0.25">
      <c r="A435" s="76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90" t="str">
        <f>IF(VLOOKUP(UncLookup[[#This Row],[Item]],Items!$A$1:$F$43,2,FALSE)=0,"",VLOOKUP(UncLookup[[#This Row],[Item]],Items!$A$1:$F$43,2,FALSE))</f>
        <v/>
      </c>
      <c r="P435" s="90" t="str">
        <f>IF(VLOOKUP(UncLookup[[#This Row],[Item]],Items!$A$1:$F$43,3,FALSE)=0,"",VLOOKUP(UncLookup[[#This Row],[Item]],Items!$A$1:$F$43,3,FALSE))</f>
        <v/>
      </c>
      <c r="Q435" s="90" t="str">
        <f>IF(VLOOKUP(UncLookup[[#This Row],[Item]],Items!$A$1:$F$43,4,FALSE)=0,"",VLOOKUP(UncLookup[[#This Row],[Item]],Items!$A$1:$F$43,4,FALSE))</f>
        <v/>
      </c>
    </row>
    <row r="436" spans="1:17" x14ac:dyDescent="0.25">
      <c r="A436" s="75" t="s">
        <v>56</v>
      </c>
      <c r="B436" s="75" t="s">
        <v>8</v>
      </c>
      <c r="C436" s="75">
        <v>0</v>
      </c>
      <c r="D436" s="75">
        <v>0.01</v>
      </c>
      <c r="E436" s="75">
        <v>1E-8</v>
      </c>
      <c r="F436" s="75" t="s">
        <v>6</v>
      </c>
      <c r="G436" s="75" t="s">
        <v>5</v>
      </c>
      <c r="H436" s="75">
        <v>0.04</v>
      </c>
      <c r="I436" s="75">
        <v>1</v>
      </c>
      <c r="J436" s="75" t="s">
        <v>10</v>
      </c>
      <c r="K436" s="75">
        <v>3</v>
      </c>
      <c r="L436" s="75">
        <v>160</v>
      </c>
      <c r="M436" s="75">
        <v>2.9725000000000001</v>
      </c>
      <c r="N436" s="75">
        <v>162.69</v>
      </c>
      <c r="O436" s="90" t="str">
        <f>IF(VLOOKUP(UncLookup[[#This Row],[Item]],Items!$A$1:$F$43,2,FALSE)=0,"",VLOOKUP(UncLookup[[#This Row],[Item]],Items!$A$1:$F$43,2,FALSE))</f>
        <v/>
      </c>
      <c r="P436" s="90" t="str">
        <f>IF(VLOOKUP(UncLookup[[#This Row],[Item]],Items!$A$1:$F$43,3,FALSE)=0,"",VLOOKUP(UncLookup[[#This Row],[Item]],Items!$A$1:$F$43,3,FALSE))</f>
        <v/>
      </c>
      <c r="Q436" s="90" t="str">
        <f>IF(VLOOKUP(UncLookup[[#This Row],[Item]],Items!$A$1:$F$43,4,FALSE)=0,"",VLOOKUP(UncLookup[[#This Row],[Item]],Items!$A$1:$F$43,4,FALSE))</f>
        <v/>
      </c>
    </row>
    <row r="437" spans="1:17" x14ac:dyDescent="0.25">
      <c r="A437" s="76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90" t="str">
        <f>IF(VLOOKUP(UncLookup[[#This Row],[Item]],Items!$A$1:$F$43,2,FALSE)=0,"",VLOOKUP(UncLookup[[#This Row],[Item]],Items!$A$1:$F$43,2,FALSE))</f>
        <v/>
      </c>
      <c r="P437" s="90" t="str">
        <f>IF(VLOOKUP(UncLookup[[#This Row],[Item]],Items!$A$1:$F$43,3,FALSE)=0,"",VLOOKUP(UncLookup[[#This Row],[Item]],Items!$A$1:$F$43,3,FALSE))</f>
        <v/>
      </c>
      <c r="Q437" s="90" t="str">
        <f>IF(VLOOKUP(UncLookup[[#This Row],[Item]],Items!$A$1:$F$43,4,FALSE)=0,"",VLOOKUP(UncLookup[[#This Row],[Item]],Items!$A$1:$F$43,4,FALSE))</f>
        <v/>
      </c>
    </row>
    <row r="438" spans="1:17" x14ac:dyDescent="0.25">
      <c r="A438" s="75" t="s">
        <v>56</v>
      </c>
      <c r="B438" s="75" t="s">
        <v>8</v>
      </c>
      <c r="C438" s="75">
        <v>0</v>
      </c>
      <c r="D438" s="75">
        <v>0.01</v>
      </c>
      <c r="E438" s="75">
        <v>1E-8</v>
      </c>
      <c r="F438" s="75" t="s">
        <v>6</v>
      </c>
      <c r="G438" s="75" t="s">
        <v>5</v>
      </c>
      <c r="H438" s="75">
        <v>50</v>
      </c>
      <c r="I438" s="75">
        <v>100</v>
      </c>
      <c r="J438" s="75" t="s">
        <v>10</v>
      </c>
      <c r="K438" s="75">
        <v>8.8000000000000007</v>
      </c>
      <c r="L438" s="75">
        <v>5100</v>
      </c>
      <c r="M438" s="75">
        <v>8.3102999999999998</v>
      </c>
      <c r="N438" s="78">
        <v>5147.5</v>
      </c>
      <c r="O438" s="90" t="str">
        <f>IF(VLOOKUP(UncLookup[[#This Row],[Item]],Items!$A$1:$F$43,2,FALSE)=0,"",VLOOKUP(UncLookup[[#This Row],[Item]],Items!$A$1:$F$43,2,FALSE))</f>
        <v/>
      </c>
      <c r="P438" s="90" t="str">
        <f>IF(VLOOKUP(UncLookup[[#This Row],[Item]],Items!$A$1:$F$43,3,FALSE)=0,"",VLOOKUP(UncLookup[[#This Row],[Item]],Items!$A$1:$F$43,3,FALSE))</f>
        <v/>
      </c>
      <c r="Q438" s="90" t="str">
        <f>IF(VLOOKUP(UncLookup[[#This Row],[Item]],Items!$A$1:$F$43,4,FALSE)=0,"",VLOOKUP(UncLookup[[#This Row],[Item]],Items!$A$1:$F$43,4,FALSE))</f>
        <v/>
      </c>
    </row>
    <row r="439" spans="1:17" x14ac:dyDescent="0.25">
      <c r="A439" s="76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77">
        <v>162.66999999999999</v>
      </c>
      <c r="O439" s="90" t="str">
        <f>IF(VLOOKUP(UncLookup[[#This Row],[Item]],Items!$A$1:$F$43,2,FALSE)=0,"",VLOOKUP(UncLookup[[#This Row],[Item]],Items!$A$1:$F$43,2,FALSE))</f>
        <v/>
      </c>
      <c r="P439" s="90" t="str">
        <f>IF(VLOOKUP(UncLookup[[#This Row],[Item]],Items!$A$1:$F$43,3,FALSE)=0,"",VLOOKUP(UncLookup[[#This Row],[Item]],Items!$A$1:$F$43,3,FALSE))</f>
        <v/>
      </c>
      <c r="Q439" s="90" t="str">
        <f>IF(VLOOKUP(UncLookup[[#This Row],[Item]],Items!$A$1:$F$43,4,FALSE)=0,"",VLOOKUP(UncLookup[[#This Row],[Item]],Items!$A$1:$F$43,4,FALSE))</f>
        <v/>
      </c>
    </row>
    <row r="440" spans="1:17" x14ac:dyDescent="0.25">
      <c r="A440" s="75" t="s">
        <v>56</v>
      </c>
      <c r="B440" s="75" t="s">
        <v>8</v>
      </c>
      <c r="C440" s="75">
        <v>0</v>
      </c>
      <c r="D440" s="75">
        <v>0.01</v>
      </c>
      <c r="E440" s="75">
        <v>9.9999999999999995E-8</v>
      </c>
      <c r="F440" s="75" t="s">
        <v>6</v>
      </c>
      <c r="G440" s="75" t="s">
        <v>5</v>
      </c>
      <c r="H440" s="75">
        <v>100</v>
      </c>
      <c r="I440" s="75">
        <v>300</v>
      </c>
      <c r="J440" s="75" t="s">
        <v>10</v>
      </c>
      <c r="K440" s="75">
        <v>4.2</v>
      </c>
      <c r="L440" s="75">
        <v>46000</v>
      </c>
      <c r="M440" s="75">
        <v>2.8935</v>
      </c>
      <c r="N440" s="75">
        <v>46131</v>
      </c>
      <c r="O440" s="90" t="str">
        <f>IF(VLOOKUP(UncLookup[[#This Row],[Item]],Items!$A$1:$F$43,2,FALSE)=0,"",VLOOKUP(UncLookup[[#This Row],[Item]],Items!$A$1:$F$43,2,FALSE))</f>
        <v/>
      </c>
      <c r="P440" s="90" t="str">
        <f>IF(VLOOKUP(UncLookup[[#This Row],[Item]],Items!$A$1:$F$43,3,FALSE)=0,"",VLOOKUP(UncLookup[[#This Row],[Item]],Items!$A$1:$F$43,3,FALSE))</f>
        <v/>
      </c>
      <c r="Q440" s="90" t="str">
        <f>IF(VLOOKUP(UncLookup[[#This Row],[Item]],Items!$A$1:$F$43,4,FALSE)=0,"",VLOOKUP(UncLookup[[#This Row],[Item]],Items!$A$1:$F$43,4,FALSE))</f>
        <v/>
      </c>
    </row>
    <row r="441" spans="1:17" x14ac:dyDescent="0.25">
      <c r="A441" s="76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90" t="str">
        <f>IF(VLOOKUP(UncLookup[[#This Row],[Item]],Items!$A$1:$F$43,2,FALSE)=0,"",VLOOKUP(UncLookup[[#This Row],[Item]],Items!$A$1:$F$43,2,FALSE))</f>
        <v/>
      </c>
      <c r="P441" s="90" t="str">
        <f>IF(VLOOKUP(UncLookup[[#This Row],[Item]],Items!$A$1:$F$43,3,FALSE)=0,"",VLOOKUP(UncLookup[[#This Row],[Item]],Items!$A$1:$F$43,3,FALSE))</f>
        <v/>
      </c>
      <c r="Q441" s="90" t="str">
        <f>IF(VLOOKUP(UncLookup[[#This Row],[Item]],Items!$A$1:$F$43,4,FALSE)=0,"",VLOOKUP(UncLookup[[#This Row],[Item]],Items!$A$1:$F$43,4,FALSE))</f>
        <v/>
      </c>
    </row>
    <row r="442" spans="1:17" x14ac:dyDescent="0.25">
      <c r="A442" s="75" t="s">
        <v>56</v>
      </c>
      <c r="B442" s="75" t="s">
        <v>8</v>
      </c>
      <c r="C442" s="75">
        <v>0</v>
      </c>
      <c r="D442" s="75">
        <v>0.01</v>
      </c>
      <c r="E442" s="75">
        <v>9.9999999999999995E-8</v>
      </c>
      <c r="F442" s="75" t="s">
        <v>6</v>
      </c>
      <c r="G442" s="75" t="s">
        <v>5</v>
      </c>
      <c r="H442" s="75">
        <v>1E-3</v>
      </c>
      <c r="I442" s="75">
        <v>0.04</v>
      </c>
      <c r="J442" s="75" t="s">
        <v>10</v>
      </c>
      <c r="K442" s="75">
        <v>4.5</v>
      </c>
      <c r="L442" s="75">
        <v>312.16000000000003</v>
      </c>
      <c r="M442" s="75">
        <v>4.3853</v>
      </c>
      <c r="N442" s="75">
        <v>312.11</v>
      </c>
      <c r="O442" s="90" t="str">
        <f>IF(VLOOKUP(UncLookup[[#This Row],[Item]],Items!$A$1:$F$43,2,FALSE)=0,"",VLOOKUP(UncLookup[[#This Row],[Item]],Items!$A$1:$F$43,2,FALSE))</f>
        <v/>
      </c>
      <c r="P442" s="90" t="str">
        <f>IF(VLOOKUP(UncLookup[[#This Row],[Item]],Items!$A$1:$F$43,3,FALSE)=0,"",VLOOKUP(UncLookup[[#This Row],[Item]],Items!$A$1:$F$43,3,FALSE))</f>
        <v/>
      </c>
      <c r="Q442" s="90" t="str">
        <f>IF(VLOOKUP(UncLookup[[#This Row],[Item]],Items!$A$1:$F$43,4,FALSE)=0,"",VLOOKUP(UncLookup[[#This Row],[Item]],Items!$A$1:$F$43,4,FALSE))</f>
        <v/>
      </c>
    </row>
    <row r="443" spans="1:17" x14ac:dyDescent="0.25">
      <c r="A443" s="76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90" t="str">
        <f>IF(VLOOKUP(UncLookup[[#This Row],[Item]],Items!$A$1:$F$43,2,FALSE)=0,"",VLOOKUP(UncLookup[[#This Row],[Item]],Items!$A$1:$F$43,2,FALSE))</f>
        <v/>
      </c>
      <c r="P443" s="90" t="str">
        <f>IF(VLOOKUP(UncLookup[[#This Row],[Item]],Items!$A$1:$F$43,3,FALSE)=0,"",VLOOKUP(UncLookup[[#This Row],[Item]],Items!$A$1:$F$43,3,FALSE))</f>
        <v/>
      </c>
      <c r="Q443" s="90" t="str">
        <f>IF(VLOOKUP(UncLookup[[#This Row],[Item]],Items!$A$1:$F$43,4,FALSE)=0,"",VLOOKUP(UncLookup[[#This Row],[Item]],Items!$A$1:$F$43,4,FALSE))</f>
        <v/>
      </c>
    </row>
    <row r="444" spans="1:17" x14ac:dyDescent="0.25">
      <c r="A444" s="75" t="s">
        <v>56</v>
      </c>
      <c r="B444" s="75" t="s">
        <v>8</v>
      </c>
      <c r="C444" s="75">
        <v>0</v>
      </c>
      <c r="D444" s="75">
        <v>0.01</v>
      </c>
      <c r="E444" s="75">
        <v>9.9999999999999995E-8</v>
      </c>
      <c r="F444" s="75" t="s">
        <v>6</v>
      </c>
      <c r="G444" s="75" t="s">
        <v>5</v>
      </c>
      <c r="H444" s="75">
        <v>300</v>
      </c>
      <c r="I444" s="75">
        <v>1000</v>
      </c>
      <c r="J444" s="75" t="s">
        <v>10</v>
      </c>
      <c r="K444" s="75">
        <v>18</v>
      </c>
      <c r="L444" s="75">
        <v>45496</v>
      </c>
      <c r="M444" s="75">
        <v>12.904</v>
      </c>
      <c r="N444" s="75">
        <v>45496</v>
      </c>
      <c r="O444" s="90" t="str">
        <f>IF(VLOOKUP(UncLookup[[#This Row],[Item]],Items!$A$1:$F$43,2,FALSE)=0,"",VLOOKUP(UncLookup[[#This Row],[Item]],Items!$A$1:$F$43,2,FALSE))</f>
        <v/>
      </c>
      <c r="P444" s="90" t="str">
        <f>IF(VLOOKUP(UncLookup[[#This Row],[Item]],Items!$A$1:$F$43,3,FALSE)=0,"",VLOOKUP(UncLookup[[#This Row],[Item]],Items!$A$1:$F$43,3,FALSE))</f>
        <v/>
      </c>
      <c r="Q444" s="90" t="str">
        <f>IF(VLOOKUP(UncLookup[[#This Row],[Item]],Items!$A$1:$F$43,4,FALSE)=0,"",VLOOKUP(UncLookup[[#This Row],[Item]],Items!$A$1:$F$43,4,FALSE))</f>
        <v/>
      </c>
    </row>
    <row r="445" spans="1:17" x14ac:dyDescent="0.25">
      <c r="A445" s="76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90" t="str">
        <f>IF(VLOOKUP(UncLookup[[#This Row],[Item]],Items!$A$1:$F$43,2,FALSE)=0,"",VLOOKUP(UncLookup[[#This Row],[Item]],Items!$A$1:$F$43,2,FALSE))</f>
        <v/>
      </c>
      <c r="P445" s="90" t="str">
        <f>IF(VLOOKUP(UncLookup[[#This Row],[Item]],Items!$A$1:$F$43,3,FALSE)=0,"",VLOOKUP(UncLookup[[#This Row],[Item]],Items!$A$1:$F$43,3,FALSE))</f>
        <v/>
      </c>
      <c r="Q445" s="90" t="str">
        <f>IF(VLOOKUP(UncLookup[[#This Row],[Item]],Items!$A$1:$F$43,4,FALSE)=0,"",VLOOKUP(UncLookup[[#This Row],[Item]],Items!$A$1:$F$43,4,FALSE))</f>
        <v/>
      </c>
    </row>
    <row r="446" spans="1:17" x14ac:dyDescent="0.25">
      <c r="A446" s="75" t="s">
        <v>56</v>
      </c>
      <c r="B446" s="75" t="s">
        <v>8</v>
      </c>
      <c r="C446" s="75">
        <v>0</v>
      </c>
      <c r="D446" s="75">
        <v>0.01</v>
      </c>
      <c r="E446" s="75">
        <v>9.9999999999999995E-8</v>
      </c>
      <c r="F446" s="75" t="s">
        <v>6</v>
      </c>
      <c r="G446" s="75" t="s">
        <v>5</v>
      </c>
      <c r="H446" s="75">
        <v>1000</v>
      </c>
      <c r="I446" s="75">
        <v>4000</v>
      </c>
      <c r="J446" s="75" t="s">
        <v>10</v>
      </c>
      <c r="K446" s="75">
        <v>23</v>
      </c>
      <c r="L446" s="75">
        <v>79583</v>
      </c>
      <c r="M446" s="75">
        <v>22.678999999999998</v>
      </c>
      <c r="N446" s="75">
        <v>79411</v>
      </c>
      <c r="O446" s="90" t="str">
        <f>IF(VLOOKUP(UncLookup[[#This Row],[Item]],Items!$A$1:$F$43,2,FALSE)=0,"",VLOOKUP(UncLookup[[#This Row],[Item]],Items!$A$1:$F$43,2,FALSE))</f>
        <v/>
      </c>
      <c r="P446" s="90" t="str">
        <f>IF(VLOOKUP(UncLookup[[#This Row],[Item]],Items!$A$1:$F$43,3,FALSE)=0,"",VLOOKUP(UncLookup[[#This Row],[Item]],Items!$A$1:$F$43,3,FALSE))</f>
        <v/>
      </c>
      <c r="Q446" s="90" t="str">
        <f>IF(VLOOKUP(UncLookup[[#This Row],[Item]],Items!$A$1:$F$43,4,FALSE)=0,"",VLOOKUP(UncLookup[[#This Row],[Item]],Items!$A$1:$F$43,4,FALSE))</f>
        <v/>
      </c>
    </row>
    <row r="447" spans="1:17" x14ac:dyDescent="0.25">
      <c r="A447" s="76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90" t="str">
        <f>IF(VLOOKUP(UncLookup[[#This Row],[Item]],Items!$A$1:$F$43,2,FALSE)=0,"",VLOOKUP(UncLookup[[#This Row],[Item]],Items!$A$1:$F$43,2,FALSE))</f>
        <v/>
      </c>
      <c r="P447" s="90" t="str">
        <f>IF(VLOOKUP(UncLookup[[#This Row],[Item]],Items!$A$1:$F$43,3,FALSE)=0,"",VLOOKUP(UncLookup[[#This Row],[Item]],Items!$A$1:$F$43,3,FALSE))</f>
        <v/>
      </c>
      <c r="Q447" s="90" t="str">
        <f>IF(VLOOKUP(UncLookup[[#This Row],[Item]],Items!$A$1:$F$43,4,FALSE)=0,"",VLOOKUP(UncLookup[[#This Row],[Item]],Items!$A$1:$F$43,4,FALSE))</f>
        <v/>
      </c>
    </row>
    <row r="448" spans="1:17" x14ac:dyDescent="0.25">
      <c r="A448" s="75" t="s">
        <v>56</v>
      </c>
      <c r="B448" s="75" t="s">
        <v>8</v>
      </c>
      <c r="C448" s="75">
        <v>0</v>
      </c>
      <c r="D448" s="75">
        <v>0.01</v>
      </c>
      <c r="E448" s="75">
        <v>9.9999999999999995E-7</v>
      </c>
      <c r="F448" s="75" t="s">
        <v>6</v>
      </c>
      <c r="G448" s="75" t="s">
        <v>5</v>
      </c>
      <c r="H448" s="75">
        <v>1</v>
      </c>
      <c r="I448" s="75">
        <v>20</v>
      </c>
      <c r="J448" s="75" t="s">
        <v>10</v>
      </c>
      <c r="K448" s="75">
        <v>3.1118999999999999</v>
      </c>
      <c r="L448" s="75">
        <v>251.96</v>
      </c>
      <c r="M448" s="75">
        <v>3.1095999999999999</v>
      </c>
      <c r="N448" s="75">
        <v>251.7</v>
      </c>
      <c r="O448" s="90" t="str">
        <f>IF(VLOOKUP(UncLookup[[#This Row],[Item]],Items!$A$1:$F$43,2,FALSE)=0,"",VLOOKUP(UncLookup[[#This Row],[Item]],Items!$A$1:$F$43,2,FALSE))</f>
        <v/>
      </c>
      <c r="P448" s="90" t="str">
        <f>IF(VLOOKUP(UncLookup[[#This Row],[Item]],Items!$A$1:$F$43,3,FALSE)=0,"",VLOOKUP(UncLookup[[#This Row],[Item]],Items!$A$1:$F$43,3,FALSE))</f>
        <v/>
      </c>
      <c r="Q448" s="90" t="str">
        <f>IF(VLOOKUP(UncLookup[[#This Row],[Item]],Items!$A$1:$F$43,4,FALSE)=0,"",VLOOKUP(UncLookup[[#This Row],[Item]],Items!$A$1:$F$43,4,FALSE))</f>
        <v/>
      </c>
    </row>
    <row r="449" spans="1:17" x14ac:dyDescent="0.25">
      <c r="A449" s="76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90" t="str">
        <f>IF(VLOOKUP(UncLookup[[#This Row],[Item]],Items!$A$1:$F$43,2,FALSE)=0,"",VLOOKUP(UncLookup[[#This Row],[Item]],Items!$A$1:$F$43,2,FALSE))</f>
        <v/>
      </c>
      <c r="P449" s="90" t="str">
        <f>IF(VLOOKUP(UncLookup[[#This Row],[Item]],Items!$A$1:$F$43,3,FALSE)=0,"",VLOOKUP(UncLookup[[#This Row],[Item]],Items!$A$1:$F$43,3,FALSE))</f>
        <v/>
      </c>
      <c r="Q449" s="90" t="str">
        <f>IF(VLOOKUP(UncLookup[[#This Row],[Item]],Items!$A$1:$F$43,4,FALSE)=0,"",VLOOKUP(UncLookup[[#This Row],[Item]],Items!$A$1:$F$43,4,FALSE))</f>
        <v/>
      </c>
    </row>
    <row r="450" spans="1:17" x14ac:dyDescent="0.25">
      <c r="A450" s="75" t="s">
        <v>56</v>
      </c>
      <c r="B450" s="75" t="s">
        <v>8</v>
      </c>
      <c r="C450" s="75">
        <v>0</v>
      </c>
      <c r="D450" s="75">
        <v>0.01</v>
      </c>
      <c r="E450" s="75">
        <v>9.9999999999999995E-7</v>
      </c>
      <c r="F450" s="75" t="s">
        <v>6</v>
      </c>
      <c r="G450" s="75" t="s">
        <v>5</v>
      </c>
      <c r="H450" s="75">
        <v>1E-3</v>
      </c>
      <c r="I450" s="75">
        <v>0.04</v>
      </c>
      <c r="J450" s="75" t="s">
        <v>10</v>
      </c>
      <c r="K450" s="75">
        <v>4.5</v>
      </c>
      <c r="L450" s="75">
        <v>310.77</v>
      </c>
      <c r="M450" s="75">
        <v>4.4226000000000001</v>
      </c>
      <c r="N450" s="75">
        <v>310.57</v>
      </c>
      <c r="O450" s="90" t="str">
        <f>IF(VLOOKUP(UncLookup[[#This Row],[Item]],Items!$A$1:$F$43,2,FALSE)=0,"",VLOOKUP(UncLookup[[#This Row],[Item]],Items!$A$1:$F$43,2,FALSE))</f>
        <v/>
      </c>
      <c r="P450" s="90" t="str">
        <f>IF(VLOOKUP(UncLookup[[#This Row],[Item]],Items!$A$1:$F$43,3,FALSE)=0,"",VLOOKUP(UncLookup[[#This Row],[Item]],Items!$A$1:$F$43,3,FALSE))</f>
        <v/>
      </c>
      <c r="Q450" s="90" t="str">
        <f>IF(VLOOKUP(UncLookup[[#This Row],[Item]],Items!$A$1:$F$43,4,FALSE)=0,"",VLOOKUP(UncLookup[[#This Row],[Item]],Items!$A$1:$F$43,4,FALSE))</f>
        <v/>
      </c>
    </row>
    <row r="451" spans="1:17" x14ac:dyDescent="0.25">
      <c r="A451" s="76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90" t="str">
        <f>IF(VLOOKUP(UncLookup[[#This Row],[Item]],Items!$A$1:$F$43,2,FALSE)=0,"",VLOOKUP(UncLookup[[#This Row],[Item]],Items!$A$1:$F$43,2,FALSE))</f>
        <v/>
      </c>
      <c r="P451" s="90" t="str">
        <f>IF(VLOOKUP(UncLookup[[#This Row],[Item]],Items!$A$1:$F$43,3,FALSE)=0,"",VLOOKUP(UncLookup[[#This Row],[Item]],Items!$A$1:$F$43,3,FALSE))</f>
        <v/>
      </c>
      <c r="Q451" s="90" t="str">
        <f>IF(VLOOKUP(UncLookup[[#This Row],[Item]],Items!$A$1:$F$43,4,FALSE)=0,"",VLOOKUP(UncLookup[[#This Row],[Item]],Items!$A$1:$F$43,4,FALSE))</f>
        <v/>
      </c>
    </row>
    <row r="452" spans="1:17" x14ac:dyDescent="0.25">
      <c r="A452" s="75" t="s">
        <v>56</v>
      </c>
      <c r="B452" s="75" t="s">
        <v>8</v>
      </c>
      <c r="C452" s="75">
        <v>0</v>
      </c>
      <c r="D452" s="75">
        <v>0.01</v>
      </c>
      <c r="E452" s="75">
        <v>9.9999999999999995E-7</v>
      </c>
      <c r="F452" s="75" t="s">
        <v>6</v>
      </c>
      <c r="G452" s="75" t="s">
        <v>5</v>
      </c>
      <c r="H452" s="75">
        <v>1000</v>
      </c>
      <c r="I452" s="75">
        <v>4000</v>
      </c>
      <c r="J452" s="75" t="s">
        <v>10</v>
      </c>
      <c r="K452" s="75">
        <v>23</v>
      </c>
      <c r="L452" s="75">
        <v>79581</v>
      </c>
      <c r="M452" s="75">
        <v>22.687999999999999</v>
      </c>
      <c r="N452" s="75">
        <v>79410</v>
      </c>
      <c r="O452" s="90" t="str">
        <f>IF(VLOOKUP(UncLookup[[#This Row],[Item]],Items!$A$1:$F$43,2,FALSE)=0,"",VLOOKUP(UncLookup[[#This Row],[Item]],Items!$A$1:$F$43,2,FALSE))</f>
        <v/>
      </c>
      <c r="P452" s="90" t="str">
        <f>IF(VLOOKUP(UncLookup[[#This Row],[Item]],Items!$A$1:$F$43,3,FALSE)=0,"",VLOOKUP(UncLookup[[#This Row],[Item]],Items!$A$1:$F$43,3,FALSE))</f>
        <v/>
      </c>
      <c r="Q452" s="90" t="str">
        <f>IF(VLOOKUP(UncLookup[[#This Row],[Item]],Items!$A$1:$F$43,4,FALSE)=0,"",VLOOKUP(UncLookup[[#This Row],[Item]],Items!$A$1:$F$43,4,FALSE))</f>
        <v/>
      </c>
    </row>
    <row r="453" spans="1:17" x14ac:dyDescent="0.25">
      <c r="A453" s="76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90" t="str">
        <f>IF(VLOOKUP(UncLookup[[#This Row],[Item]],Items!$A$1:$F$43,2,FALSE)=0,"",VLOOKUP(UncLookup[[#This Row],[Item]],Items!$A$1:$F$43,2,FALSE))</f>
        <v/>
      </c>
      <c r="P453" s="90" t="str">
        <f>IF(VLOOKUP(UncLookup[[#This Row],[Item]],Items!$A$1:$F$43,3,FALSE)=0,"",VLOOKUP(UncLookup[[#This Row],[Item]],Items!$A$1:$F$43,3,FALSE))</f>
        <v/>
      </c>
      <c r="Q453" s="90" t="str">
        <f>IF(VLOOKUP(UncLookup[[#This Row],[Item]],Items!$A$1:$F$43,4,FALSE)=0,"",VLOOKUP(UncLookup[[#This Row],[Item]],Items!$A$1:$F$43,4,FALSE))</f>
        <v/>
      </c>
    </row>
    <row r="454" spans="1:17" x14ac:dyDescent="0.25">
      <c r="A454" s="75" t="s">
        <v>56</v>
      </c>
      <c r="B454" s="75" t="s">
        <v>8</v>
      </c>
      <c r="C454" s="75">
        <v>0</v>
      </c>
      <c r="D454" s="75">
        <v>0.01</v>
      </c>
      <c r="E454" s="75">
        <v>9.9999999999999995E-7</v>
      </c>
      <c r="F454" s="75" t="s">
        <v>6</v>
      </c>
      <c r="G454" s="75" t="s">
        <v>5</v>
      </c>
      <c r="H454" s="75">
        <v>100</v>
      </c>
      <c r="I454" s="75">
        <v>300</v>
      </c>
      <c r="J454" s="75" t="s">
        <v>10</v>
      </c>
      <c r="K454" s="75">
        <v>4.2004999999999999</v>
      </c>
      <c r="L454" s="75">
        <v>46000</v>
      </c>
      <c r="M454" s="75">
        <v>2.919</v>
      </c>
      <c r="N454" s="75">
        <v>46128</v>
      </c>
      <c r="O454" s="90" t="str">
        <f>IF(VLOOKUP(UncLookup[[#This Row],[Item]],Items!$A$1:$F$43,2,FALSE)=0,"",VLOOKUP(UncLookup[[#This Row],[Item]],Items!$A$1:$F$43,2,FALSE))</f>
        <v/>
      </c>
      <c r="P454" s="90" t="str">
        <f>IF(VLOOKUP(UncLookup[[#This Row],[Item]],Items!$A$1:$F$43,3,FALSE)=0,"",VLOOKUP(UncLookup[[#This Row],[Item]],Items!$A$1:$F$43,3,FALSE))</f>
        <v/>
      </c>
      <c r="Q454" s="90" t="str">
        <f>IF(VLOOKUP(UncLookup[[#This Row],[Item]],Items!$A$1:$F$43,4,FALSE)=0,"",VLOOKUP(UncLookup[[#This Row],[Item]],Items!$A$1:$F$43,4,FALSE))</f>
        <v/>
      </c>
    </row>
    <row r="455" spans="1:17" x14ac:dyDescent="0.25">
      <c r="A455" s="76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90" t="str">
        <f>IF(VLOOKUP(UncLookup[[#This Row],[Item]],Items!$A$1:$F$43,2,FALSE)=0,"",VLOOKUP(UncLookup[[#This Row],[Item]],Items!$A$1:$F$43,2,FALSE))</f>
        <v/>
      </c>
      <c r="P455" s="90" t="str">
        <f>IF(VLOOKUP(UncLookup[[#This Row],[Item]],Items!$A$1:$F$43,3,FALSE)=0,"",VLOOKUP(UncLookup[[#This Row],[Item]],Items!$A$1:$F$43,3,FALSE))</f>
        <v/>
      </c>
      <c r="Q455" s="90" t="str">
        <f>IF(VLOOKUP(UncLookup[[#This Row],[Item]],Items!$A$1:$F$43,4,FALSE)=0,"",VLOOKUP(UncLookup[[#This Row],[Item]],Items!$A$1:$F$43,4,FALSE))</f>
        <v/>
      </c>
    </row>
    <row r="456" spans="1:17" x14ac:dyDescent="0.25">
      <c r="A456" s="75" t="s">
        <v>56</v>
      </c>
      <c r="B456" s="75" t="s">
        <v>8</v>
      </c>
      <c r="C456" s="75">
        <v>0</v>
      </c>
      <c r="D456" s="75">
        <v>0.01</v>
      </c>
      <c r="E456" s="75">
        <v>9.9999999999999995E-7</v>
      </c>
      <c r="F456" s="75" t="s">
        <v>6</v>
      </c>
      <c r="G456" s="75" t="s">
        <v>5</v>
      </c>
      <c r="H456" s="75">
        <v>20</v>
      </c>
      <c r="I456" s="75">
        <v>50</v>
      </c>
      <c r="J456" s="75" t="s">
        <v>10</v>
      </c>
      <c r="K456" s="75">
        <v>5.6</v>
      </c>
      <c r="L456" s="75">
        <v>837.24</v>
      </c>
      <c r="M456" s="75">
        <v>5.5655999999999999</v>
      </c>
      <c r="N456" s="75">
        <v>837.27</v>
      </c>
      <c r="O456" s="90" t="str">
        <f>IF(VLOOKUP(UncLookup[[#This Row],[Item]],Items!$A$1:$F$43,2,FALSE)=0,"",VLOOKUP(UncLookup[[#This Row],[Item]],Items!$A$1:$F$43,2,FALSE))</f>
        <v/>
      </c>
      <c r="P456" s="90" t="str">
        <f>IF(VLOOKUP(UncLookup[[#This Row],[Item]],Items!$A$1:$F$43,3,FALSE)=0,"",VLOOKUP(UncLookup[[#This Row],[Item]],Items!$A$1:$F$43,3,FALSE))</f>
        <v/>
      </c>
      <c r="Q456" s="90" t="str">
        <f>IF(VLOOKUP(UncLookup[[#This Row],[Item]],Items!$A$1:$F$43,4,FALSE)=0,"",VLOOKUP(UncLookup[[#This Row],[Item]],Items!$A$1:$F$43,4,FALSE))</f>
        <v/>
      </c>
    </row>
    <row r="457" spans="1:17" x14ac:dyDescent="0.25">
      <c r="A457" s="76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90" t="str">
        <f>IF(VLOOKUP(UncLookup[[#This Row],[Item]],Items!$A$1:$F$43,2,FALSE)=0,"",VLOOKUP(UncLookup[[#This Row],[Item]],Items!$A$1:$F$43,2,FALSE))</f>
        <v/>
      </c>
      <c r="P457" s="90" t="str">
        <f>IF(VLOOKUP(UncLookup[[#This Row],[Item]],Items!$A$1:$F$43,3,FALSE)=0,"",VLOOKUP(UncLookup[[#This Row],[Item]],Items!$A$1:$F$43,3,FALSE))</f>
        <v/>
      </c>
      <c r="Q457" s="90" t="str">
        <f>IF(VLOOKUP(UncLookup[[#This Row],[Item]],Items!$A$1:$F$43,4,FALSE)=0,"",VLOOKUP(UncLookup[[#This Row],[Item]],Items!$A$1:$F$43,4,FALSE))</f>
        <v/>
      </c>
    </row>
    <row r="458" spans="1:17" x14ac:dyDescent="0.25">
      <c r="A458" s="75" t="s">
        <v>56</v>
      </c>
      <c r="B458" s="75" t="s">
        <v>8</v>
      </c>
      <c r="C458" s="75">
        <v>0</v>
      </c>
      <c r="D458" s="75">
        <v>0.01</v>
      </c>
      <c r="E458" s="75">
        <v>1.0000000000000001E-5</v>
      </c>
      <c r="F458" s="75" t="s">
        <v>6</v>
      </c>
      <c r="G458" s="75" t="s">
        <v>5</v>
      </c>
      <c r="H458" s="75">
        <v>1E-3</v>
      </c>
      <c r="I458" s="75">
        <v>0.04</v>
      </c>
      <c r="J458" s="75" t="s">
        <v>10</v>
      </c>
      <c r="K458" s="75">
        <v>7.2506000000000004</v>
      </c>
      <c r="L458" s="75">
        <v>223.08</v>
      </c>
      <c r="M458" s="75">
        <v>7.2465999999999999</v>
      </c>
      <c r="N458" s="75">
        <v>222.31</v>
      </c>
      <c r="O458" s="90" t="str">
        <f>IF(VLOOKUP(UncLookup[[#This Row],[Item]],Items!$A$1:$F$43,2,FALSE)=0,"",VLOOKUP(UncLookup[[#This Row],[Item]],Items!$A$1:$F$43,2,FALSE))</f>
        <v/>
      </c>
      <c r="P458" s="90" t="str">
        <f>IF(VLOOKUP(UncLookup[[#This Row],[Item]],Items!$A$1:$F$43,3,FALSE)=0,"",VLOOKUP(UncLookup[[#This Row],[Item]],Items!$A$1:$F$43,3,FALSE))</f>
        <v/>
      </c>
      <c r="Q458" s="90" t="str">
        <f>IF(VLOOKUP(UncLookup[[#This Row],[Item]],Items!$A$1:$F$43,4,FALSE)=0,"",VLOOKUP(UncLookup[[#This Row],[Item]],Items!$A$1:$F$43,4,FALSE))</f>
        <v/>
      </c>
    </row>
    <row r="459" spans="1:17" x14ac:dyDescent="0.25">
      <c r="A459" s="76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90" t="str">
        <f>IF(VLOOKUP(UncLookup[[#This Row],[Item]],Items!$A$1:$F$43,2,FALSE)=0,"",VLOOKUP(UncLookup[[#This Row],[Item]],Items!$A$1:$F$43,2,FALSE))</f>
        <v/>
      </c>
      <c r="P459" s="90" t="str">
        <f>IF(VLOOKUP(UncLookup[[#This Row],[Item]],Items!$A$1:$F$43,3,FALSE)=0,"",VLOOKUP(UncLookup[[#This Row],[Item]],Items!$A$1:$F$43,3,FALSE))</f>
        <v/>
      </c>
      <c r="Q459" s="90" t="str">
        <f>IF(VLOOKUP(UncLookup[[#This Row],[Item]],Items!$A$1:$F$43,4,FALSE)=0,"",VLOOKUP(UncLookup[[#This Row],[Item]],Items!$A$1:$F$43,4,FALSE))</f>
        <v/>
      </c>
    </row>
    <row r="460" spans="1:17" x14ac:dyDescent="0.25">
      <c r="A460" s="75" t="s">
        <v>56</v>
      </c>
      <c r="B460" s="75" t="s">
        <v>8</v>
      </c>
      <c r="C460" s="75">
        <v>0</v>
      </c>
      <c r="D460" s="75">
        <v>0.01</v>
      </c>
      <c r="E460" s="75">
        <v>1.0000000000000001E-5</v>
      </c>
      <c r="F460" s="75" t="s">
        <v>6</v>
      </c>
      <c r="G460" s="75" t="s">
        <v>5</v>
      </c>
      <c r="H460" s="75">
        <v>1</v>
      </c>
      <c r="I460" s="75">
        <v>20</v>
      </c>
      <c r="J460" s="75" t="s">
        <v>10</v>
      </c>
      <c r="K460" s="75">
        <v>6.5335000000000001</v>
      </c>
      <c r="L460" s="75">
        <v>152.12</v>
      </c>
      <c r="M460" s="75">
        <v>6.5290999999999997</v>
      </c>
      <c r="N460" s="75">
        <v>151.19</v>
      </c>
      <c r="O460" s="90" t="str">
        <f>IF(VLOOKUP(UncLookup[[#This Row],[Item]],Items!$A$1:$F$43,2,FALSE)=0,"",VLOOKUP(UncLookup[[#This Row],[Item]],Items!$A$1:$F$43,2,FALSE))</f>
        <v/>
      </c>
      <c r="P460" s="90" t="str">
        <f>IF(VLOOKUP(UncLookup[[#This Row],[Item]],Items!$A$1:$F$43,3,FALSE)=0,"",VLOOKUP(UncLookup[[#This Row],[Item]],Items!$A$1:$F$43,3,FALSE))</f>
        <v/>
      </c>
      <c r="Q460" s="90" t="str">
        <f>IF(VLOOKUP(UncLookup[[#This Row],[Item]],Items!$A$1:$F$43,4,FALSE)=0,"",VLOOKUP(UncLookup[[#This Row],[Item]],Items!$A$1:$F$43,4,FALSE))</f>
        <v/>
      </c>
    </row>
    <row r="461" spans="1:17" x14ac:dyDescent="0.25">
      <c r="A461" s="76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90" t="str">
        <f>IF(VLOOKUP(UncLookup[[#This Row],[Item]],Items!$A$1:$F$43,2,FALSE)=0,"",VLOOKUP(UncLookup[[#This Row],[Item]],Items!$A$1:$F$43,2,FALSE))</f>
        <v/>
      </c>
      <c r="P461" s="90" t="str">
        <f>IF(VLOOKUP(UncLookup[[#This Row],[Item]],Items!$A$1:$F$43,3,FALSE)=0,"",VLOOKUP(UncLookup[[#This Row],[Item]],Items!$A$1:$F$43,3,FALSE))</f>
        <v/>
      </c>
      <c r="Q461" s="90" t="str">
        <f>IF(VLOOKUP(UncLookup[[#This Row],[Item]],Items!$A$1:$F$43,4,FALSE)=0,"",VLOOKUP(UncLookup[[#This Row],[Item]],Items!$A$1:$F$43,4,FALSE))</f>
        <v/>
      </c>
    </row>
    <row r="462" spans="1:17" x14ac:dyDescent="0.25">
      <c r="A462" s="75" t="s">
        <v>56</v>
      </c>
      <c r="B462" s="75" t="s">
        <v>8</v>
      </c>
      <c r="C462" s="75">
        <v>0</v>
      </c>
      <c r="D462" s="75">
        <v>0.01</v>
      </c>
      <c r="E462" s="75">
        <v>1.0000000000000001E-5</v>
      </c>
      <c r="F462" s="75" t="s">
        <v>6</v>
      </c>
      <c r="G462" s="75" t="s">
        <v>5</v>
      </c>
      <c r="H462" s="75">
        <v>300</v>
      </c>
      <c r="I462" s="75">
        <v>1000</v>
      </c>
      <c r="J462" s="75" t="s">
        <v>10</v>
      </c>
      <c r="K462" s="75">
        <v>18</v>
      </c>
      <c r="L462" s="75">
        <v>45403</v>
      </c>
      <c r="M462" s="75">
        <v>13.84</v>
      </c>
      <c r="N462" s="75">
        <v>45406</v>
      </c>
      <c r="O462" s="90" t="str">
        <f>IF(VLOOKUP(UncLookup[[#This Row],[Item]],Items!$A$1:$F$43,2,FALSE)=0,"",VLOOKUP(UncLookup[[#This Row],[Item]],Items!$A$1:$F$43,2,FALSE))</f>
        <v/>
      </c>
      <c r="P462" s="90" t="str">
        <f>IF(VLOOKUP(UncLookup[[#This Row],[Item]],Items!$A$1:$F$43,3,FALSE)=0,"",VLOOKUP(UncLookup[[#This Row],[Item]],Items!$A$1:$F$43,3,FALSE))</f>
        <v/>
      </c>
      <c r="Q462" s="90" t="str">
        <f>IF(VLOOKUP(UncLookup[[#This Row],[Item]],Items!$A$1:$F$43,4,FALSE)=0,"",VLOOKUP(UncLookup[[#This Row],[Item]],Items!$A$1:$F$43,4,FALSE))</f>
        <v/>
      </c>
    </row>
    <row r="463" spans="1:17" x14ac:dyDescent="0.25">
      <c r="A463" s="76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90" t="str">
        <f>IF(VLOOKUP(UncLookup[[#This Row],[Item]],Items!$A$1:$F$43,2,FALSE)=0,"",VLOOKUP(UncLookup[[#This Row],[Item]],Items!$A$1:$F$43,2,FALSE))</f>
        <v/>
      </c>
      <c r="P463" s="90" t="str">
        <f>IF(VLOOKUP(UncLookup[[#This Row],[Item]],Items!$A$1:$F$43,3,FALSE)=0,"",VLOOKUP(UncLookup[[#This Row],[Item]],Items!$A$1:$F$43,3,FALSE))</f>
        <v/>
      </c>
      <c r="Q463" s="90" t="str">
        <f>IF(VLOOKUP(UncLookup[[#This Row],[Item]],Items!$A$1:$F$43,4,FALSE)=0,"",VLOOKUP(UncLookup[[#This Row],[Item]],Items!$A$1:$F$43,4,FALSE))</f>
        <v/>
      </c>
    </row>
    <row r="464" spans="1:17" x14ac:dyDescent="0.25">
      <c r="A464" s="75" t="s">
        <v>56</v>
      </c>
      <c r="B464" s="75" t="s">
        <v>8</v>
      </c>
      <c r="C464" s="75">
        <v>0</v>
      </c>
      <c r="D464" s="75">
        <v>0.01</v>
      </c>
      <c r="E464" s="75">
        <v>1.0000000000000001E-5</v>
      </c>
      <c r="F464" s="75" t="s">
        <v>6</v>
      </c>
      <c r="G464" s="75" t="s">
        <v>5</v>
      </c>
      <c r="H464" s="75">
        <v>100</v>
      </c>
      <c r="I464" s="75">
        <v>300</v>
      </c>
      <c r="J464" s="75" t="s">
        <v>10</v>
      </c>
      <c r="K464" s="75">
        <v>4.9503000000000004</v>
      </c>
      <c r="L464" s="75">
        <v>45929</v>
      </c>
      <c r="M464" s="75">
        <v>4.8762999999999996</v>
      </c>
      <c r="N464" s="75">
        <v>45936</v>
      </c>
      <c r="O464" s="90" t="str">
        <f>IF(VLOOKUP(UncLookup[[#This Row],[Item]],Items!$A$1:$F$43,2,FALSE)=0,"",VLOOKUP(UncLookup[[#This Row],[Item]],Items!$A$1:$F$43,2,FALSE))</f>
        <v/>
      </c>
      <c r="P464" s="90" t="str">
        <f>IF(VLOOKUP(UncLookup[[#This Row],[Item]],Items!$A$1:$F$43,3,FALSE)=0,"",VLOOKUP(UncLookup[[#This Row],[Item]],Items!$A$1:$F$43,3,FALSE))</f>
        <v/>
      </c>
      <c r="Q464" s="90" t="str">
        <f>IF(VLOOKUP(UncLookup[[#This Row],[Item]],Items!$A$1:$F$43,4,FALSE)=0,"",VLOOKUP(UncLookup[[#This Row],[Item]],Items!$A$1:$F$43,4,FALSE))</f>
        <v/>
      </c>
    </row>
    <row r="465" spans="1:17" x14ac:dyDescent="0.25">
      <c r="A465" s="76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90" t="str">
        <f>IF(VLOOKUP(UncLookup[[#This Row],[Item]],Items!$A$1:$F$43,2,FALSE)=0,"",VLOOKUP(UncLookup[[#This Row],[Item]],Items!$A$1:$F$43,2,FALSE))</f>
        <v/>
      </c>
      <c r="P465" s="90" t="str">
        <f>IF(VLOOKUP(UncLookup[[#This Row],[Item]],Items!$A$1:$F$43,3,FALSE)=0,"",VLOOKUP(UncLookup[[#This Row],[Item]],Items!$A$1:$F$43,3,FALSE))</f>
        <v/>
      </c>
      <c r="Q465" s="90" t="str">
        <f>IF(VLOOKUP(UncLookup[[#This Row],[Item]],Items!$A$1:$F$43,4,FALSE)=0,"",VLOOKUP(UncLookup[[#This Row],[Item]],Items!$A$1:$F$43,4,FALSE))</f>
        <v/>
      </c>
    </row>
    <row r="466" spans="1:17" x14ac:dyDescent="0.25">
      <c r="A466" s="75" t="s">
        <v>56</v>
      </c>
      <c r="B466" s="75" t="s">
        <v>8</v>
      </c>
      <c r="C466" s="75">
        <v>0</v>
      </c>
      <c r="D466" s="75">
        <v>0.01</v>
      </c>
      <c r="E466" s="75">
        <v>1E-4</v>
      </c>
      <c r="F466" s="75" t="s">
        <v>6</v>
      </c>
      <c r="G466" s="75" t="s">
        <v>5</v>
      </c>
      <c r="H466" s="75">
        <v>20</v>
      </c>
      <c r="I466" s="75">
        <v>50</v>
      </c>
      <c r="J466" s="75" t="s">
        <v>10</v>
      </c>
      <c r="K466" s="75">
        <v>58</v>
      </c>
      <c r="L466" s="75">
        <v>140.31</v>
      </c>
      <c r="M466" s="75">
        <v>57.994</v>
      </c>
      <c r="N466" s="75">
        <v>139.69999999999999</v>
      </c>
      <c r="O466" s="90" t="str">
        <f>IF(VLOOKUP(UncLookup[[#This Row],[Item]],Items!$A$1:$F$43,2,FALSE)=0,"",VLOOKUP(UncLookup[[#This Row],[Item]],Items!$A$1:$F$43,2,FALSE))</f>
        <v/>
      </c>
      <c r="P466" s="90" t="str">
        <f>IF(VLOOKUP(UncLookup[[#This Row],[Item]],Items!$A$1:$F$43,3,FALSE)=0,"",VLOOKUP(UncLookup[[#This Row],[Item]],Items!$A$1:$F$43,3,FALSE))</f>
        <v/>
      </c>
      <c r="Q466" s="90" t="str">
        <f>IF(VLOOKUP(UncLookup[[#This Row],[Item]],Items!$A$1:$F$43,4,FALSE)=0,"",VLOOKUP(UncLookup[[#This Row],[Item]],Items!$A$1:$F$43,4,FALSE))</f>
        <v/>
      </c>
    </row>
    <row r="467" spans="1:17" x14ac:dyDescent="0.25">
      <c r="A467" s="76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90" t="str">
        <f>IF(VLOOKUP(UncLookup[[#This Row],[Item]],Items!$A$1:$F$43,2,FALSE)=0,"",VLOOKUP(UncLookup[[#This Row],[Item]],Items!$A$1:$F$43,2,FALSE))</f>
        <v/>
      </c>
      <c r="P467" s="90" t="str">
        <f>IF(VLOOKUP(UncLookup[[#This Row],[Item]],Items!$A$1:$F$43,3,FALSE)=0,"",VLOOKUP(UncLookup[[#This Row],[Item]],Items!$A$1:$F$43,3,FALSE))</f>
        <v/>
      </c>
      <c r="Q467" s="90" t="str">
        <f>IF(VLOOKUP(UncLookup[[#This Row],[Item]],Items!$A$1:$F$43,4,FALSE)=0,"",VLOOKUP(UncLookup[[#This Row],[Item]],Items!$A$1:$F$43,4,FALSE))</f>
        <v/>
      </c>
    </row>
    <row r="468" spans="1:17" x14ac:dyDescent="0.25">
      <c r="A468" s="75" t="s">
        <v>56</v>
      </c>
      <c r="B468" s="75" t="s">
        <v>8</v>
      </c>
      <c r="C468" s="75">
        <v>0</v>
      </c>
      <c r="D468" s="75">
        <v>0.01</v>
      </c>
      <c r="E468" s="75">
        <v>1E-4</v>
      </c>
      <c r="F468" s="75" t="s">
        <v>6</v>
      </c>
      <c r="G468" s="75" t="s">
        <v>5</v>
      </c>
      <c r="H468" s="75">
        <v>0.04</v>
      </c>
      <c r="I468" s="75">
        <v>1</v>
      </c>
      <c r="J468" s="75" t="s">
        <v>10</v>
      </c>
      <c r="K468" s="75">
        <v>57.814</v>
      </c>
      <c r="L468" s="75">
        <v>11.228999999999999</v>
      </c>
      <c r="M468" s="75">
        <v>57.811999999999998</v>
      </c>
      <c r="N468" s="75">
        <v>10.667</v>
      </c>
      <c r="O468" s="90" t="str">
        <f>IF(VLOOKUP(UncLookup[[#This Row],[Item]],Items!$A$1:$F$43,2,FALSE)=0,"",VLOOKUP(UncLookup[[#This Row],[Item]],Items!$A$1:$F$43,2,FALSE))</f>
        <v/>
      </c>
      <c r="P468" s="90" t="str">
        <f>IF(VLOOKUP(UncLookup[[#This Row],[Item]],Items!$A$1:$F$43,3,FALSE)=0,"",VLOOKUP(UncLookup[[#This Row],[Item]],Items!$A$1:$F$43,3,FALSE))</f>
        <v/>
      </c>
      <c r="Q468" s="90" t="str">
        <f>IF(VLOOKUP(UncLookup[[#This Row],[Item]],Items!$A$1:$F$43,4,FALSE)=0,"",VLOOKUP(UncLookup[[#This Row],[Item]],Items!$A$1:$F$43,4,FALSE))</f>
        <v/>
      </c>
    </row>
    <row r="469" spans="1:17" x14ac:dyDescent="0.25">
      <c r="A469" s="76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90" t="str">
        <f>IF(VLOOKUP(UncLookup[[#This Row],[Item]],Items!$A$1:$F$43,2,FALSE)=0,"",VLOOKUP(UncLookup[[#This Row],[Item]],Items!$A$1:$F$43,2,FALSE))</f>
        <v/>
      </c>
      <c r="P469" s="90" t="str">
        <f>IF(VLOOKUP(UncLookup[[#This Row],[Item]],Items!$A$1:$F$43,3,FALSE)=0,"",VLOOKUP(UncLookup[[#This Row],[Item]],Items!$A$1:$F$43,3,FALSE))</f>
        <v/>
      </c>
      <c r="Q469" s="90" t="str">
        <f>IF(VLOOKUP(UncLookup[[#This Row],[Item]],Items!$A$1:$F$43,4,FALSE)=0,"",VLOOKUP(UncLookup[[#This Row],[Item]],Items!$A$1:$F$43,4,FALSE))</f>
        <v/>
      </c>
    </row>
    <row r="470" spans="1:17" x14ac:dyDescent="0.25">
      <c r="A470" s="75" t="s">
        <v>56</v>
      </c>
      <c r="B470" s="75" t="s">
        <v>8</v>
      </c>
      <c r="C470" s="75">
        <v>0</v>
      </c>
      <c r="D470" s="75">
        <v>0.01</v>
      </c>
      <c r="E470" s="75">
        <v>1E-4</v>
      </c>
      <c r="F470" s="75" t="s">
        <v>6</v>
      </c>
      <c r="G470" s="75" t="s">
        <v>5</v>
      </c>
      <c r="H470" s="75">
        <v>50</v>
      </c>
      <c r="I470" s="75">
        <v>100</v>
      </c>
      <c r="J470" s="75" t="s">
        <v>10</v>
      </c>
      <c r="K470" s="75">
        <v>58.167999999999999</v>
      </c>
      <c r="L470" s="75">
        <v>2497.6999999999998</v>
      </c>
      <c r="M470" s="75">
        <v>58.156999999999996</v>
      </c>
      <c r="N470" s="75">
        <v>2495.6</v>
      </c>
      <c r="O470" s="90" t="str">
        <f>IF(VLOOKUP(UncLookup[[#This Row],[Item]],Items!$A$1:$F$43,2,FALSE)=0,"",VLOOKUP(UncLookup[[#This Row],[Item]],Items!$A$1:$F$43,2,FALSE))</f>
        <v/>
      </c>
      <c r="P470" s="90" t="str">
        <f>IF(VLOOKUP(UncLookup[[#This Row],[Item]],Items!$A$1:$F$43,3,FALSE)=0,"",VLOOKUP(UncLookup[[#This Row],[Item]],Items!$A$1:$F$43,3,FALSE))</f>
        <v/>
      </c>
      <c r="Q470" s="90" t="str">
        <f>IF(VLOOKUP(UncLookup[[#This Row],[Item]],Items!$A$1:$F$43,4,FALSE)=0,"",VLOOKUP(UncLookup[[#This Row],[Item]],Items!$A$1:$F$43,4,FALSE))</f>
        <v/>
      </c>
    </row>
    <row r="471" spans="1:17" x14ac:dyDescent="0.25">
      <c r="A471" s="76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90" t="str">
        <f>IF(VLOOKUP(UncLookup[[#This Row],[Item]],Items!$A$1:$F$43,2,FALSE)=0,"",VLOOKUP(UncLookup[[#This Row],[Item]],Items!$A$1:$F$43,2,FALSE))</f>
        <v/>
      </c>
      <c r="P471" s="90" t="str">
        <f>IF(VLOOKUP(UncLookup[[#This Row],[Item]],Items!$A$1:$F$43,3,FALSE)=0,"",VLOOKUP(UncLookup[[#This Row],[Item]],Items!$A$1:$F$43,3,FALSE))</f>
        <v/>
      </c>
      <c r="Q471" s="90" t="str">
        <f>IF(VLOOKUP(UncLookup[[#This Row],[Item]],Items!$A$1:$F$43,4,FALSE)=0,"",VLOOKUP(UncLookup[[#This Row],[Item]],Items!$A$1:$F$43,4,FALSE))</f>
        <v/>
      </c>
    </row>
    <row r="472" spans="1:17" x14ac:dyDescent="0.25">
      <c r="A472" s="75" t="s">
        <v>56</v>
      </c>
      <c r="B472" s="75" t="s">
        <v>8</v>
      </c>
      <c r="C472" s="75">
        <v>0</v>
      </c>
      <c r="D472" s="75">
        <v>0.01</v>
      </c>
      <c r="E472" s="75">
        <v>1E-4</v>
      </c>
      <c r="F472" s="75" t="s">
        <v>6</v>
      </c>
      <c r="G472" s="75" t="s">
        <v>5</v>
      </c>
      <c r="H472" s="75">
        <v>1000</v>
      </c>
      <c r="I472" s="75">
        <v>4000</v>
      </c>
      <c r="J472" s="75" t="s">
        <v>10</v>
      </c>
      <c r="K472" s="75">
        <v>57.908999999999999</v>
      </c>
      <c r="L472" s="75">
        <v>76095</v>
      </c>
      <c r="M472" s="75">
        <v>57.746000000000002</v>
      </c>
      <c r="N472" s="75">
        <v>76108</v>
      </c>
      <c r="O472" s="90" t="str">
        <f>IF(VLOOKUP(UncLookup[[#This Row],[Item]],Items!$A$1:$F$43,2,FALSE)=0,"",VLOOKUP(UncLookup[[#This Row],[Item]],Items!$A$1:$F$43,2,FALSE))</f>
        <v/>
      </c>
      <c r="P472" s="90" t="str">
        <f>IF(VLOOKUP(UncLookup[[#This Row],[Item]],Items!$A$1:$F$43,3,FALSE)=0,"",VLOOKUP(UncLookup[[#This Row],[Item]],Items!$A$1:$F$43,3,FALSE))</f>
        <v/>
      </c>
      <c r="Q472" s="90" t="str">
        <f>IF(VLOOKUP(UncLookup[[#This Row],[Item]],Items!$A$1:$F$43,4,FALSE)=0,"",VLOOKUP(UncLookup[[#This Row],[Item]],Items!$A$1:$F$43,4,FALSE))</f>
        <v/>
      </c>
    </row>
    <row r="473" spans="1:17" x14ac:dyDescent="0.25">
      <c r="A473" s="76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90" t="str">
        <f>IF(VLOOKUP(UncLookup[[#This Row],[Item]],Items!$A$1:$F$43,2,FALSE)=0,"",VLOOKUP(UncLookup[[#This Row],[Item]],Items!$A$1:$F$43,2,FALSE))</f>
        <v/>
      </c>
      <c r="P473" s="90" t="str">
        <f>IF(VLOOKUP(UncLookup[[#This Row],[Item]],Items!$A$1:$F$43,3,FALSE)=0,"",VLOOKUP(UncLookup[[#This Row],[Item]],Items!$A$1:$F$43,3,FALSE))</f>
        <v/>
      </c>
      <c r="Q473" s="90" t="str">
        <f>IF(VLOOKUP(UncLookup[[#This Row],[Item]],Items!$A$1:$F$43,4,FALSE)=0,"",VLOOKUP(UncLookup[[#This Row],[Item]],Items!$A$1:$F$43,4,FALSE))</f>
        <v/>
      </c>
    </row>
    <row r="474" spans="1:17" x14ac:dyDescent="0.25">
      <c r="A474" s="75" t="s">
        <v>56</v>
      </c>
      <c r="B474" s="75" t="s">
        <v>8</v>
      </c>
      <c r="C474" s="75">
        <v>0</v>
      </c>
      <c r="D474" s="75">
        <v>0.01</v>
      </c>
      <c r="E474" s="75">
        <v>1E-4</v>
      </c>
      <c r="F474" s="75" t="s">
        <v>6</v>
      </c>
      <c r="G474" s="75" t="s">
        <v>5</v>
      </c>
      <c r="H474" s="75">
        <v>100</v>
      </c>
      <c r="I474" s="75">
        <v>300</v>
      </c>
      <c r="J474" s="75" t="s">
        <v>10</v>
      </c>
      <c r="K474" s="75">
        <v>54.13</v>
      </c>
      <c r="L474" s="75">
        <v>41367</v>
      </c>
      <c r="M474" s="75">
        <v>54.085999999999999</v>
      </c>
      <c r="N474" s="75">
        <v>41369</v>
      </c>
      <c r="O474" s="90" t="str">
        <f>IF(VLOOKUP(UncLookup[[#This Row],[Item]],Items!$A$1:$F$43,2,FALSE)=0,"",VLOOKUP(UncLookup[[#This Row],[Item]],Items!$A$1:$F$43,2,FALSE))</f>
        <v/>
      </c>
      <c r="P474" s="90" t="str">
        <f>IF(VLOOKUP(UncLookup[[#This Row],[Item]],Items!$A$1:$F$43,3,FALSE)=0,"",VLOOKUP(UncLookup[[#This Row],[Item]],Items!$A$1:$F$43,3,FALSE))</f>
        <v/>
      </c>
      <c r="Q474" s="90" t="str">
        <f>IF(VLOOKUP(UncLookup[[#This Row],[Item]],Items!$A$1:$F$43,4,FALSE)=0,"",VLOOKUP(UncLookup[[#This Row],[Item]],Items!$A$1:$F$43,4,FALSE))</f>
        <v/>
      </c>
    </row>
    <row r="475" spans="1:17" x14ac:dyDescent="0.25">
      <c r="A475" s="76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90" t="str">
        <f>IF(VLOOKUP(UncLookup[[#This Row],[Item]],Items!$A$1:$F$43,2,FALSE)=0,"",VLOOKUP(UncLookup[[#This Row],[Item]],Items!$A$1:$F$43,2,FALSE))</f>
        <v/>
      </c>
      <c r="P475" s="90" t="str">
        <f>IF(VLOOKUP(UncLookup[[#This Row],[Item]],Items!$A$1:$F$43,3,FALSE)=0,"",VLOOKUP(UncLookup[[#This Row],[Item]],Items!$A$1:$F$43,3,FALSE))</f>
        <v/>
      </c>
      <c r="Q475" s="90" t="str">
        <f>IF(VLOOKUP(UncLookup[[#This Row],[Item]],Items!$A$1:$F$43,4,FALSE)=0,"",VLOOKUP(UncLookup[[#This Row],[Item]],Items!$A$1:$F$43,4,FALSE))</f>
        <v/>
      </c>
    </row>
    <row r="476" spans="1:17" x14ac:dyDescent="0.25">
      <c r="A476" s="75" t="s">
        <v>56</v>
      </c>
      <c r="B476" s="75" t="s">
        <v>8</v>
      </c>
      <c r="C476" s="75">
        <v>0</v>
      </c>
      <c r="D476" s="75">
        <v>0.01</v>
      </c>
      <c r="E476" s="75">
        <v>1E-3</v>
      </c>
      <c r="F476" s="75" t="s">
        <v>6</v>
      </c>
      <c r="G476" s="75" t="s">
        <v>5</v>
      </c>
      <c r="H476" s="75">
        <v>4000</v>
      </c>
      <c r="I476" s="75">
        <v>8000</v>
      </c>
      <c r="J476" s="75" t="s">
        <v>10</v>
      </c>
      <c r="K476" s="75">
        <v>561.69000000000005</v>
      </c>
      <c r="L476" s="75">
        <v>182820</v>
      </c>
      <c r="M476" s="75">
        <v>557.14</v>
      </c>
      <c r="N476" s="75">
        <v>182830</v>
      </c>
      <c r="O476" s="90" t="str">
        <f>IF(VLOOKUP(UncLookup[[#This Row],[Item]],Items!$A$1:$F$43,2,FALSE)=0,"",VLOOKUP(UncLookup[[#This Row],[Item]],Items!$A$1:$F$43,2,FALSE))</f>
        <v/>
      </c>
      <c r="P476" s="90" t="str">
        <f>IF(VLOOKUP(UncLookup[[#This Row],[Item]],Items!$A$1:$F$43,3,FALSE)=0,"",VLOOKUP(UncLookup[[#This Row],[Item]],Items!$A$1:$F$43,3,FALSE))</f>
        <v/>
      </c>
      <c r="Q476" s="90" t="str">
        <f>IF(VLOOKUP(UncLookup[[#This Row],[Item]],Items!$A$1:$F$43,4,FALSE)=0,"",VLOOKUP(UncLookup[[#This Row],[Item]],Items!$A$1:$F$43,4,FALSE))</f>
        <v/>
      </c>
    </row>
    <row r="477" spans="1:17" x14ac:dyDescent="0.25">
      <c r="A477" s="76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90" t="str">
        <f>IF(VLOOKUP(UncLookup[[#This Row],[Item]],Items!$A$1:$F$43,2,FALSE)=0,"",VLOOKUP(UncLookup[[#This Row],[Item]],Items!$A$1:$F$43,2,FALSE))</f>
        <v/>
      </c>
      <c r="P477" s="90" t="str">
        <f>IF(VLOOKUP(UncLookup[[#This Row],[Item]],Items!$A$1:$F$43,3,FALSE)=0,"",VLOOKUP(UncLookup[[#This Row],[Item]],Items!$A$1:$F$43,3,FALSE))</f>
        <v/>
      </c>
      <c r="Q477" s="90" t="str">
        <f>IF(VLOOKUP(UncLookup[[#This Row],[Item]],Items!$A$1:$F$43,4,FALSE)=0,"",VLOOKUP(UncLookup[[#This Row],[Item]],Items!$A$1:$F$43,4,FALSE))</f>
        <v/>
      </c>
    </row>
    <row r="478" spans="1:17" x14ac:dyDescent="0.25">
      <c r="A478" s="75" t="s">
        <v>56</v>
      </c>
      <c r="B478" s="75" t="s">
        <v>8</v>
      </c>
      <c r="C478" s="75">
        <v>0</v>
      </c>
      <c r="D478" s="75">
        <v>0.01</v>
      </c>
      <c r="E478" s="75">
        <v>1E-3</v>
      </c>
      <c r="F478" s="75" t="s">
        <v>6</v>
      </c>
      <c r="G478" s="75" t="s">
        <v>5</v>
      </c>
      <c r="H478" s="75">
        <v>1E-3</v>
      </c>
      <c r="I478" s="75">
        <v>0.04</v>
      </c>
      <c r="J478" s="75" t="s">
        <v>10</v>
      </c>
      <c r="K478" s="75">
        <v>577.37</v>
      </c>
      <c r="L478" s="75">
        <v>3.4481000000000002</v>
      </c>
      <c r="M478" s="75">
        <v>577.37</v>
      </c>
      <c r="N478" s="75">
        <v>3.2223999999999999</v>
      </c>
      <c r="O478" s="90" t="str">
        <f>IF(VLOOKUP(UncLookup[[#This Row],[Item]],Items!$A$1:$F$43,2,FALSE)=0,"",VLOOKUP(UncLookup[[#This Row],[Item]],Items!$A$1:$F$43,2,FALSE))</f>
        <v/>
      </c>
      <c r="P478" s="90" t="str">
        <f>IF(VLOOKUP(UncLookup[[#This Row],[Item]],Items!$A$1:$F$43,3,FALSE)=0,"",VLOOKUP(UncLookup[[#This Row],[Item]],Items!$A$1:$F$43,3,FALSE))</f>
        <v/>
      </c>
      <c r="Q478" s="90" t="str">
        <f>IF(VLOOKUP(UncLookup[[#This Row],[Item]],Items!$A$1:$F$43,4,FALSE)=0,"",VLOOKUP(UncLookup[[#This Row],[Item]],Items!$A$1:$F$43,4,FALSE))</f>
        <v/>
      </c>
    </row>
    <row r="479" spans="1:17" x14ac:dyDescent="0.25">
      <c r="A479" s="76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90" t="str">
        <f>IF(VLOOKUP(UncLookup[[#This Row],[Item]],Items!$A$1:$F$43,2,FALSE)=0,"",VLOOKUP(UncLookup[[#This Row],[Item]],Items!$A$1:$F$43,2,FALSE))</f>
        <v/>
      </c>
      <c r="P479" s="90" t="str">
        <f>IF(VLOOKUP(UncLookup[[#This Row],[Item]],Items!$A$1:$F$43,3,FALSE)=0,"",VLOOKUP(UncLookup[[#This Row],[Item]],Items!$A$1:$F$43,3,FALSE))</f>
        <v/>
      </c>
      <c r="Q479" s="90" t="str">
        <f>IF(VLOOKUP(UncLookup[[#This Row],[Item]],Items!$A$1:$F$43,4,FALSE)=0,"",VLOOKUP(UncLookup[[#This Row],[Item]],Items!$A$1:$F$43,4,FALSE))</f>
        <v/>
      </c>
    </row>
    <row r="480" spans="1:17" x14ac:dyDescent="0.25">
      <c r="A480" s="75" t="s">
        <v>56</v>
      </c>
      <c r="B480" s="75" t="s">
        <v>8</v>
      </c>
      <c r="C480" s="75">
        <v>0</v>
      </c>
      <c r="D480" s="75">
        <v>0.01</v>
      </c>
      <c r="E480" s="75">
        <v>1E-3</v>
      </c>
      <c r="F480" s="75" t="s">
        <v>6</v>
      </c>
      <c r="G480" s="75" t="s">
        <v>5</v>
      </c>
      <c r="H480" s="75">
        <v>20</v>
      </c>
      <c r="I480" s="75">
        <v>50</v>
      </c>
      <c r="J480" s="75" t="s">
        <v>10</v>
      </c>
      <c r="K480" s="75">
        <v>577.38</v>
      </c>
      <c r="L480" s="75">
        <v>14.459</v>
      </c>
      <c r="M480" s="75">
        <v>577.37</v>
      </c>
      <c r="N480" s="75">
        <v>14.2</v>
      </c>
      <c r="O480" s="90" t="str">
        <f>IF(VLOOKUP(UncLookup[[#This Row],[Item]],Items!$A$1:$F$43,2,FALSE)=0,"",VLOOKUP(UncLookup[[#This Row],[Item]],Items!$A$1:$F$43,2,FALSE))</f>
        <v/>
      </c>
      <c r="P480" s="90" t="str">
        <f>IF(VLOOKUP(UncLookup[[#This Row],[Item]],Items!$A$1:$F$43,3,FALSE)=0,"",VLOOKUP(UncLookup[[#This Row],[Item]],Items!$A$1:$F$43,3,FALSE))</f>
        <v/>
      </c>
      <c r="Q480" s="90" t="str">
        <f>IF(VLOOKUP(UncLookup[[#This Row],[Item]],Items!$A$1:$F$43,4,FALSE)=0,"",VLOOKUP(UncLookup[[#This Row],[Item]],Items!$A$1:$F$43,4,FALSE))</f>
        <v/>
      </c>
    </row>
    <row r="481" spans="1:17" x14ac:dyDescent="0.25">
      <c r="A481" s="76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90" t="str">
        <f>IF(VLOOKUP(UncLookup[[#This Row],[Item]],Items!$A$1:$F$43,2,FALSE)=0,"",VLOOKUP(UncLookup[[#This Row],[Item]],Items!$A$1:$F$43,2,FALSE))</f>
        <v/>
      </c>
      <c r="P481" s="90" t="str">
        <f>IF(VLOOKUP(UncLookup[[#This Row],[Item]],Items!$A$1:$F$43,3,FALSE)=0,"",VLOOKUP(UncLookup[[#This Row],[Item]],Items!$A$1:$F$43,3,FALSE))</f>
        <v/>
      </c>
      <c r="Q481" s="90" t="str">
        <f>IF(VLOOKUP(UncLookup[[#This Row],[Item]],Items!$A$1:$F$43,4,FALSE)=0,"",VLOOKUP(UncLookup[[#This Row],[Item]],Items!$A$1:$F$43,4,FALSE))</f>
        <v/>
      </c>
    </row>
    <row r="482" spans="1:17" x14ac:dyDescent="0.25">
      <c r="A482" s="75" t="s">
        <v>56</v>
      </c>
      <c r="B482" s="75" t="s">
        <v>8</v>
      </c>
      <c r="C482" s="75">
        <v>0</v>
      </c>
      <c r="D482" s="75">
        <v>0.01</v>
      </c>
      <c r="E482" s="75">
        <v>1E-3</v>
      </c>
      <c r="F482" s="75" t="s">
        <v>6</v>
      </c>
      <c r="G482" s="75" t="s">
        <v>5</v>
      </c>
      <c r="H482" s="75">
        <v>100</v>
      </c>
      <c r="I482" s="75">
        <v>300</v>
      </c>
      <c r="J482" s="75" t="s">
        <v>10</v>
      </c>
      <c r="K482" s="75">
        <v>575.77</v>
      </c>
      <c r="L482" s="75">
        <v>16511</v>
      </c>
      <c r="M482" s="75">
        <v>573.27</v>
      </c>
      <c r="N482" s="75">
        <v>16507</v>
      </c>
      <c r="O482" s="90" t="str">
        <f>IF(VLOOKUP(UncLookup[[#This Row],[Item]],Items!$A$1:$F$43,2,FALSE)=0,"",VLOOKUP(UncLookup[[#This Row],[Item]],Items!$A$1:$F$43,2,FALSE))</f>
        <v/>
      </c>
      <c r="P482" s="90" t="str">
        <f>IF(VLOOKUP(UncLookup[[#This Row],[Item]],Items!$A$1:$F$43,3,FALSE)=0,"",VLOOKUP(UncLookup[[#This Row],[Item]],Items!$A$1:$F$43,3,FALSE))</f>
        <v/>
      </c>
      <c r="Q482" s="90" t="str">
        <f>IF(VLOOKUP(UncLookup[[#This Row],[Item]],Items!$A$1:$F$43,4,FALSE)=0,"",VLOOKUP(UncLookup[[#This Row],[Item]],Items!$A$1:$F$43,4,FALSE))</f>
        <v/>
      </c>
    </row>
    <row r="483" spans="1:17" x14ac:dyDescent="0.25">
      <c r="A483" s="76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90" t="str">
        <f>IF(VLOOKUP(UncLookup[[#This Row],[Item]],Items!$A$1:$F$43,2,FALSE)=0,"",VLOOKUP(UncLookup[[#This Row],[Item]],Items!$A$1:$F$43,2,FALSE))</f>
        <v/>
      </c>
      <c r="P483" s="90" t="str">
        <f>IF(VLOOKUP(UncLookup[[#This Row],[Item]],Items!$A$1:$F$43,3,FALSE)=0,"",VLOOKUP(UncLookup[[#This Row],[Item]],Items!$A$1:$F$43,3,FALSE))</f>
        <v/>
      </c>
      <c r="Q483" s="90" t="str">
        <f>IF(VLOOKUP(UncLookup[[#This Row],[Item]],Items!$A$1:$F$43,4,FALSE)=0,"",VLOOKUP(UncLookup[[#This Row],[Item]],Items!$A$1:$F$43,4,FALSE))</f>
        <v/>
      </c>
    </row>
    <row r="484" spans="1:17" x14ac:dyDescent="0.25">
      <c r="A484" s="75" t="s">
        <v>56</v>
      </c>
      <c r="B484" s="75" t="s">
        <v>8</v>
      </c>
      <c r="C484" s="75">
        <v>0</v>
      </c>
      <c r="D484" s="75">
        <v>0.01</v>
      </c>
      <c r="E484" s="75">
        <v>0.01</v>
      </c>
      <c r="F484" s="75" t="s">
        <v>6</v>
      </c>
      <c r="G484" s="75" t="s">
        <v>5</v>
      </c>
      <c r="H484" s="75">
        <v>1000</v>
      </c>
      <c r="I484" s="75">
        <v>4000</v>
      </c>
      <c r="J484" s="75" t="s">
        <v>10</v>
      </c>
      <c r="K484" s="75">
        <v>5773.1</v>
      </c>
      <c r="L484" s="75">
        <v>5803.4</v>
      </c>
      <c r="M484" s="75">
        <v>5766</v>
      </c>
      <c r="N484" s="75">
        <v>5798.9</v>
      </c>
      <c r="O484" s="90" t="str">
        <f>IF(VLOOKUP(UncLookup[[#This Row],[Item]],Items!$A$1:$F$43,2,FALSE)=0,"",VLOOKUP(UncLookup[[#This Row],[Item]],Items!$A$1:$F$43,2,FALSE))</f>
        <v/>
      </c>
      <c r="P484" s="90" t="str">
        <f>IF(VLOOKUP(UncLookup[[#This Row],[Item]],Items!$A$1:$F$43,3,FALSE)=0,"",VLOOKUP(UncLookup[[#This Row],[Item]],Items!$A$1:$F$43,3,FALSE))</f>
        <v/>
      </c>
      <c r="Q484" s="90" t="str">
        <f>IF(VLOOKUP(UncLookup[[#This Row],[Item]],Items!$A$1:$F$43,4,FALSE)=0,"",VLOOKUP(UncLookup[[#This Row],[Item]],Items!$A$1:$F$43,4,FALSE))</f>
        <v/>
      </c>
    </row>
    <row r="485" spans="1:17" x14ac:dyDescent="0.25">
      <c r="A485" s="76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90" t="str">
        <f>IF(VLOOKUP(UncLookup[[#This Row],[Item]],Items!$A$1:$F$43,2,FALSE)=0,"",VLOOKUP(UncLookup[[#This Row],[Item]],Items!$A$1:$F$43,2,FALSE))</f>
        <v/>
      </c>
      <c r="P485" s="90" t="str">
        <f>IF(VLOOKUP(UncLookup[[#This Row],[Item]],Items!$A$1:$F$43,3,FALSE)=0,"",VLOOKUP(UncLookup[[#This Row],[Item]],Items!$A$1:$F$43,3,FALSE))</f>
        <v/>
      </c>
      <c r="Q485" s="90" t="str">
        <f>IF(VLOOKUP(UncLookup[[#This Row],[Item]],Items!$A$1:$F$43,4,FALSE)=0,"",VLOOKUP(UncLookup[[#This Row],[Item]],Items!$A$1:$F$43,4,FALSE))</f>
        <v/>
      </c>
    </row>
    <row r="486" spans="1:17" x14ac:dyDescent="0.25">
      <c r="A486" s="75" t="s">
        <v>56</v>
      </c>
      <c r="B486" s="75" t="s">
        <v>8</v>
      </c>
      <c r="C486" s="75">
        <v>0</v>
      </c>
      <c r="D486" s="75">
        <v>0.01</v>
      </c>
      <c r="E486" s="75">
        <v>0.1</v>
      </c>
      <c r="F486" s="75" t="s">
        <v>6</v>
      </c>
      <c r="G486" s="75" t="s">
        <v>5</v>
      </c>
      <c r="H486" s="75">
        <v>1000</v>
      </c>
      <c r="I486" s="75">
        <v>4000</v>
      </c>
      <c r="J486" s="75" t="s">
        <v>10</v>
      </c>
      <c r="K486" s="75">
        <v>57735</v>
      </c>
      <c r="L486" s="75">
        <v>584.6</v>
      </c>
      <c r="M486" s="75">
        <v>57728</v>
      </c>
      <c r="N486" s="75">
        <v>582.75</v>
      </c>
      <c r="O486" s="90" t="str">
        <f>IF(VLOOKUP(UncLookup[[#This Row],[Item]],Items!$A$1:$F$43,2,FALSE)=0,"",VLOOKUP(UncLookup[[#This Row],[Item]],Items!$A$1:$F$43,2,FALSE))</f>
        <v/>
      </c>
      <c r="P486" s="90" t="str">
        <f>IF(VLOOKUP(UncLookup[[#This Row],[Item]],Items!$A$1:$F$43,3,FALSE)=0,"",VLOOKUP(UncLookup[[#This Row],[Item]],Items!$A$1:$F$43,3,FALSE))</f>
        <v/>
      </c>
      <c r="Q486" s="90" t="str">
        <f>IF(VLOOKUP(UncLookup[[#This Row],[Item]],Items!$A$1:$F$43,4,FALSE)=0,"",VLOOKUP(UncLookup[[#This Row],[Item]],Items!$A$1:$F$43,4,FALSE))</f>
        <v/>
      </c>
    </row>
    <row r="487" spans="1:17" x14ac:dyDescent="0.25">
      <c r="A487" s="76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90" t="str">
        <f>IF(VLOOKUP(UncLookup[[#This Row],[Item]],Items!$A$1:$F$43,2,FALSE)=0,"",VLOOKUP(UncLookup[[#This Row],[Item]],Items!$A$1:$F$43,2,FALSE))</f>
        <v/>
      </c>
      <c r="P487" s="90" t="str">
        <f>IF(VLOOKUP(UncLookup[[#This Row],[Item]],Items!$A$1:$F$43,3,FALSE)=0,"",VLOOKUP(UncLookup[[#This Row],[Item]],Items!$A$1:$F$43,3,FALSE))</f>
        <v/>
      </c>
      <c r="Q487" s="90" t="str">
        <f>IF(VLOOKUP(UncLookup[[#This Row],[Item]],Items!$A$1:$F$43,4,FALSE)=0,"",VLOOKUP(UncLookup[[#This Row],[Item]],Items!$A$1:$F$43,4,FALSE))</f>
        <v/>
      </c>
    </row>
    <row r="488" spans="1:17" x14ac:dyDescent="0.25">
      <c r="A488" s="75" t="s">
        <v>56</v>
      </c>
      <c r="B488" s="75" t="s">
        <v>8</v>
      </c>
      <c r="C488" s="75">
        <v>0</v>
      </c>
      <c r="D488" s="75">
        <v>0.01</v>
      </c>
      <c r="E488" s="75">
        <v>1</v>
      </c>
      <c r="F488" s="75" t="s">
        <v>6</v>
      </c>
      <c r="G488" s="75" t="s">
        <v>5</v>
      </c>
      <c r="H488" s="75">
        <v>4000</v>
      </c>
      <c r="I488" s="75">
        <v>8000</v>
      </c>
      <c r="J488" s="75" t="s">
        <v>10</v>
      </c>
      <c r="K488" s="75">
        <v>577360</v>
      </c>
      <c r="L488" s="75">
        <v>471.57</v>
      </c>
      <c r="M488" s="75">
        <v>577330</v>
      </c>
      <c r="N488" s="75">
        <v>470.19</v>
      </c>
      <c r="O488" s="90" t="str">
        <f>IF(VLOOKUP(UncLookup[[#This Row],[Item]],Items!$A$1:$F$43,2,FALSE)=0,"",VLOOKUP(UncLookup[[#This Row],[Item]],Items!$A$1:$F$43,2,FALSE))</f>
        <v/>
      </c>
      <c r="P488" s="90" t="str">
        <f>IF(VLOOKUP(UncLookup[[#This Row],[Item]],Items!$A$1:$F$43,3,FALSE)=0,"",VLOOKUP(UncLookup[[#This Row],[Item]],Items!$A$1:$F$43,3,FALSE))</f>
        <v/>
      </c>
      <c r="Q488" s="90" t="str">
        <f>IF(VLOOKUP(UncLookup[[#This Row],[Item]],Items!$A$1:$F$43,4,FALSE)=0,"",VLOOKUP(UncLookup[[#This Row],[Item]],Items!$A$1:$F$43,4,FALSE))</f>
        <v/>
      </c>
    </row>
    <row r="489" spans="1:17" x14ac:dyDescent="0.25">
      <c r="A489" s="76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90" t="str">
        <f>IF(VLOOKUP(UncLookup[[#This Row],[Item]],Items!$A$1:$F$43,2,FALSE)=0,"",VLOOKUP(UncLookup[[#This Row],[Item]],Items!$A$1:$F$43,2,FALSE))</f>
        <v/>
      </c>
      <c r="P489" s="90" t="str">
        <f>IF(VLOOKUP(UncLookup[[#This Row],[Item]],Items!$A$1:$F$43,3,FALSE)=0,"",VLOOKUP(UncLookup[[#This Row],[Item]],Items!$A$1:$F$43,3,FALSE))</f>
        <v/>
      </c>
      <c r="Q489" s="90" t="str">
        <f>IF(VLOOKUP(UncLookup[[#This Row],[Item]],Items!$A$1:$F$43,4,FALSE)=0,"",VLOOKUP(UncLookup[[#This Row],[Item]],Items!$A$1:$F$43,4,FALSE))</f>
        <v/>
      </c>
    </row>
    <row r="490" spans="1:17" x14ac:dyDescent="0.25">
      <c r="A490" s="75" t="s">
        <v>56</v>
      </c>
      <c r="B490" s="75" t="s">
        <v>8</v>
      </c>
      <c r="C490" s="75">
        <v>0.01</v>
      </c>
      <c r="D490" s="75">
        <v>0.1</v>
      </c>
      <c r="E490" s="75">
        <v>1E-8</v>
      </c>
      <c r="F490" s="75" t="s">
        <v>6</v>
      </c>
      <c r="G490" s="75" t="s">
        <v>5</v>
      </c>
      <c r="H490" s="75">
        <v>20</v>
      </c>
      <c r="I490" s="75">
        <v>50</v>
      </c>
      <c r="J490" s="75" t="s">
        <v>10</v>
      </c>
      <c r="K490" s="75">
        <v>4.7</v>
      </c>
      <c r="L490" s="75">
        <v>330</v>
      </c>
      <c r="M490" s="75">
        <v>4.6688000000000001</v>
      </c>
      <c r="N490" s="75">
        <v>326.81</v>
      </c>
      <c r="O490" s="90" t="str">
        <f>IF(VLOOKUP(UncLookup[[#This Row],[Item]],Items!$A$1:$F$43,2,FALSE)=0,"",VLOOKUP(UncLookup[[#This Row],[Item]],Items!$A$1:$F$43,2,FALSE))</f>
        <v/>
      </c>
      <c r="P490" s="90" t="str">
        <f>IF(VLOOKUP(UncLookup[[#This Row],[Item]],Items!$A$1:$F$43,3,FALSE)=0,"",VLOOKUP(UncLookup[[#This Row],[Item]],Items!$A$1:$F$43,3,FALSE))</f>
        <v/>
      </c>
      <c r="Q490" s="90" t="str">
        <f>IF(VLOOKUP(UncLookup[[#This Row],[Item]],Items!$A$1:$F$43,4,FALSE)=0,"",VLOOKUP(UncLookup[[#This Row],[Item]],Items!$A$1:$F$43,4,FALSE))</f>
        <v/>
      </c>
    </row>
    <row r="491" spans="1:17" x14ac:dyDescent="0.25">
      <c r="A491" s="76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90" t="str">
        <f>IF(VLOOKUP(UncLookup[[#This Row],[Item]],Items!$A$1:$F$43,2,FALSE)=0,"",VLOOKUP(UncLookup[[#This Row],[Item]],Items!$A$1:$F$43,2,FALSE))</f>
        <v/>
      </c>
      <c r="P491" s="90" t="str">
        <f>IF(VLOOKUP(UncLookup[[#This Row],[Item]],Items!$A$1:$F$43,3,FALSE)=0,"",VLOOKUP(UncLookup[[#This Row],[Item]],Items!$A$1:$F$43,3,FALSE))</f>
        <v/>
      </c>
      <c r="Q491" s="90" t="str">
        <f>IF(VLOOKUP(UncLookup[[#This Row],[Item]],Items!$A$1:$F$43,4,FALSE)=0,"",VLOOKUP(UncLookup[[#This Row],[Item]],Items!$A$1:$F$43,4,FALSE))</f>
        <v/>
      </c>
    </row>
    <row r="492" spans="1:17" x14ac:dyDescent="0.25">
      <c r="A492" s="75" t="s">
        <v>56</v>
      </c>
      <c r="B492" s="75" t="s">
        <v>8</v>
      </c>
      <c r="C492" s="75">
        <v>0.01</v>
      </c>
      <c r="D492" s="75">
        <v>0.1</v>
      </c>
      <c r="E492" s="75">
        <v>1E-8</v>
      </c>
      <c r="F492" s="75" t="s">
        <v>6</v>
      </c>
      <c r="G492" s="75" t="s">
        <v>5</v>
      </c>
      <c r="H492" s="75">
        <v>50</v>
      </c>
      <c r="I492" s="75">
        <v>100</v>
      </c>
      <c r="J492" s="75" t="s">
        <v>10</v>
      </c>
      <c r="K492" s="75">
        <v>6</v>
      </c>
      <c r="L492" s="75">
        <v>910</v>
      </c>
      <c r="M492" s="75">
        <v>5.9729000000000001</v>
      </c>
      <c r="N492" s="75">
        <v>906.03</v>
      </c>
      <c r="O492" s="90" t="str">
        <f>IF(VLOOKUP(UncLookup[[#This Row],[Item]],Items!$A$1:$F$43,2,FALSE)=0,"",VLOOKUP(UncLookup[[#This Row],[Item]],Items!$A$1:$F$43,2,FALSE))</f>
        <v/>
      </c>
      <c r="P492" s="90" t="str">
        <f>IF(VLOOKUP(UncLookup[[#This Row],[Item]],Items!$A$1:$F$43,3,FALSE)=0,"",VLOOKUP(UncLookup[[#This Row],[Item]],Items!$A$1:$F$43,3,FALSE))</f>
        <v/>
      </c>
      <c r="Q492" s="90" t="str">
        <f>IF(VLOOKUP(UncLookup[[#This Row],[Item]],Items!$A$1:$F$43,4,FALSE)=0,"",VLOOKUP(UncLookup[[#This Row],[Item]],Items!$A$1:$F$43,4,FALSE))</f>
        <v/>
      </c>
    </row>
    <row r="493" spans="1:17" x14ac:dyDescent="0.25">
      <c r="A493" s="76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90" t="str">
        <f>IF(VLOOKUP(UncLookup[[#This Row],[Item]],Items!$A$1:$F$43,2,FALSE)=0,"",VLOOKUP(UncLookup[[#This Row],[Item]],Items!$A$1:$F$43,2,FALSE))</f>
        <v/>
      </c>
      <c r="P493" s="90" t="str">
        <f>IF(VLOOKUP(UncLookup[[#This Row],[Item]],Items!$A$1:$F$43,3,FALSE)=0,"",VLOOKUP(UncLookup[[#This Row],[Item]],Items!$A$1:$F$43,3,FALSE))</f>
        <v/>
      </c>
      <c r="Q493" s="90" t="str">
        <f>IF(VLOOKUP(UncLookup[[#This Row],[Item]],Items!$A$1:$F$43,4,FALSE)=0,"",VLOOKUP(UncLookup[[#This Row],[Item]],Items!$A$1:$F$43,4,FALSE))</f>
        <v/>
      </c>
    </row>
    <row r="494" spans="1:17" x14ac:dyDescent="0.25">
      <c r="A494" s="75" t="s">
        <v>56</v>
      </c>
      <c r="B494" s="75" t="s">
        <v>8</v>
      </c>
      <c r="C494" s="75">
        <v>0.01</v>
      </c>
      <c r="D494" s="75">
        <v>0.1</v>
      </c>
      <c r="E494" s="75">
        <v>1E-8</v>
      </c>
      <c r="F494" s="75" t="s">
        <v>6</v>
      </c>
      <c r="G494" s="75" t="s">
        <v>5</v>
      </c>
      <c r="H494" s="75">
        <v>4000</v>
      </c>
      <c r="I494" s="75">
        <v>8000</v>
      </c>
      <c r="J494" s="75" t="s">
        <v>10</v>
      </c>
      <c r="K494" s="75">
        <v>120</v>
      </c>
      <c r="L494" s="75">
        <v>46000</v>
      </c>
      <c r="M494" s="75">
        <v>92.256</v>
      </c>
      <c r="N494" s="75">
        <v>46261</v>
      </c>
      <c r="O494" s="90" t="str">
        <f>IF(VLOOKUP(UncLookup[[#This Row],[Item]],Items!$A$1:$F$43,2,FALSE)=0,"",VLOOKUP(UncLookup[[#This Row],[Item]],Items!$A$1:$F$43,2,FALSE))</f>
        <v/>
      </c>
      <c r="P494" s="90" t="str">
        <f>IF(VLOOKUP(UncLookup[[#This Row],[Item]],Items!$A$1:$F$43,3,FALSE)=0,"",VLOOKUP(UncLookup[[#This Row],[Item]],Items!$A$1:$F$43,3,FALSE))</f>
        <v/>
      </c>
      <c r="Q494" s="90" t="str">
        <f>IF(VLOOKUP(UncLookup[[#This Row],[Item]],Items!$A$1:$F$43,4,FALSE)=0,"",VLOOKUP(UncLookup[[#This Row],[Item]],Items!$A$1:$F$43,4,FALSE))</f>
        <v/>
      </c>
    </row>
    <row r="495" spans="1:17" x14ac:dyDescent="0.25">
      <c r="A495" s="76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90" t="str">
        <f>IF(VLOOKUP(UncLookup[[#This Row],[Item]],Items!$A$1:$F$43,2,FALSE)=0,"",VLOOKUP(UncLookup[[#This Row],[Item]],Items!$A$1:$F$43,2,FALSE))</f>
        <v/>
      </c>
      <c r="P495" s="90" t="str">
        <f>IF(VLOOKUP(UncLookup[[#This Row],[Item]],Items!$A$1:$F$43,3,FALSE)=0,"",VLOOKUP(UncLookup[[#This Row],[Item]],Items!$A$1:$F$43,3,FALSE))</f>
        <v/>
      </c>
      <c r="Q495" s="90" t="str">
        <f>IF(VLOOKUP(UncLookup[[#This Row],[Item]],Items!$A$1:$F$43,4,FALSE)=0,"",VLOOKUP(UncLookup[[#This Row],[Item]],Items!$A$1:$F$43,4,FALSE))</f>
        <v/>
      </c>
    </row>
    <row r="496" spans="1:17" x14ac:dyDescent="0.25">
      <c r="A496" s="75" t="s">
        <v>56</v>
      </c>
      <c r="B496" s="75" t="s">
        <v>8</v>
      </c>
      <c r="C496" s="75">
        <v>0.01</v>
      </c>
      <c r="D496" s="75">
        <v>0.1</v>
      </c>
      <c r="E496" s="75">
        <v>1E-8</v>
      </c>
      <c r="F496" s="75" t="s">
        <v>6</v>
      </c>
      <c r="G496" s="75" t="s">
        <v>5</v>
      </c>
      <c r="H496" s="75">
        <v>300</v>
      </c>
      <c r="I496" s="75">
        <v>1000</v>
      </c>
      <c r="J496" s="75" t="s">
        <v>10</v>
      </c>
      <c r="K496" s="75">
        <v>12</v>
      </c>
      <c r="L496" s="75">
        <v>12000</v>
      </c>
      <c r="M496" s="75">
        <v>11.521000000000001</v>
      </c>
      <c r="N496" s="75">
        <v>11631</v>
      </c>
      <c r="O496" s="90" t="str">
        <f>IF(VLOOKUP(UncLookup[[#This Row],[Item]],Items!$A$1:$F$43,2,FALSE)=0,"",VLOOKUP(UncLookup[[#This Row],[Item]],Items!$A$1:$F$43,2,FALSE))</f>
        <v/>
      </c>
      <c r="P496" s="90" t="str">
        <f>IF(VLOOKUP(UncLookup[[#This Row],[Item]],Items!$A$1:$F$43,3,FALSE)=0,"",VLOOKUP(UncLookup[[#This Row],[Item]],Items!$A$1:$F$43,3,FALSE))</f>
        <v/>
      </c>
      <c r="Q496" s="90" t="str">
        <f>IF(VLOOKUP(UncLookup[[#This Row],[Item]],Items!$A$1:$F$43,4,FALSE)=0,"",VLOOKUP(UncLookup[[#This Row],[Item]],Items!$A$1:$F$43,4,FALSE))</f>
        <v/>
      </c>
    </row>
    <row r="497" spans="1:17" x14ac:dyDescent="0.25">
      <c r="A497" s="76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90" t="str">
        <f>IF(VLOOKUP(UncLookup[[#This Row],[Item]],Items!$A$1:$F$43,2,FALSE)=0,"",VLOOKUP(UncLookup[[#This Row],[Item]],Items!$A$1:$F$43,2,FALSE))</f>
        <v/>
      </c>
      <c r="P497" s="90" t="str">
        <f>IF(VLOOKUP(UncLookup[[#This Row],[Item]],Items!$A$1:$F$43,3,FALSE)=0,"",VLOOKUP(UncLookup[[#This Row],[Item]],Items!$A$1:$F$43,3,FALSE))</f>
        <v/>
      </c>
      <c r="Q497" s="90" t="str">
        <f>IF(VLOOKUP(UncLookup[[#This Row],[Item]],Items!$A$1:$F$43,4,FALSE)=0,"",VLOOKUP(UncLookup[[#This Row],[Item]],Items!$A$1:$F$43,4,FALSE))</f>
        <v/>
      </c>
    </row>
    <row r="498" spans="1:17" x14ac:dyDescent="0.25">
      <c r="A498" s="75" t="s">
        <v>56</v>
      </c>
      <c r="B498" s="75" t="s">
        <v>8</v>
      </c>
      <c r="C498" s="75">
        <v>0.01</v>
      </c>
      <c r="D498" s="75">
        <v>0.1</v>
      </c>
      <c r="E498" s="75">
        <v>1E-8</v>
      </c>
      <c r="F498" s="75" t="s">
        <v>6</v>
      </c>
      <c r="G498" s="75" t="s">
        <v>5</v>
      </c>
      <c r="H498" s="75">
        <v>8000</v>
      </c>
      <c r="I498" s="75">
        <v>10000</v>
      </c>
      <c r="J498" s="75" t="s">
        <v>10</v>
      </c>
      <c r="K498" s="75">
        <v>450</v>
      </c>
      <c r="L498" s="75">
        <v>170000</v>
      </c>
      <c r="M498" s="75">
        <v>115.4</v>
      </c>
      <c r="N498" s="75">
        <v>173280</v>
      </c>
      <c r="O498" s="90" t="str">
        <f>IF(VLOOKUP(UncLookup[[#This Row],[Item]],Items!$A$1:$F$43,2,FALSE)=0,"",VLOOKUP(UncLookup[[#This Row],[Item]],Items!$A$1:$F$43,2,FALSE))</f>
        <v/>
      </c>
      <c r="P498" s="90" t="str">
        <f>IF(VLOOKUP(UncLookup[[#This Row],[Item]],Items!$A$1:$F$43,3,FALSE)=0,"",VLOOKUP(UncLookup[[#This Row],[Item]],Items!$A$1:$F$43,3,FALSE))</f>
        <v/>
      </c>
      <c r="Q498" s="90" t="str">
        <f>IF(VLOOKUP(UncLookup[[#This Row],[Item]],Items!$A$1:$F$43,4,FALSE)=0,"",VLOOKUP(UncLookup[[#This Row],[Item]],Items!$A$1:$F$43,4,FALSE))</f>
        <v/>
      </c>
    </row>
    <row r="499" spans="1:17" x14ac:dyDescent="0.25">
      <c r="A499" s="76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90" t="str">
        <f>IF(VLOOKUP(UncLookup[[#This Row],[Item]],Items!$A$1:$F$43,2,FALSE)=0,"",VLOOKUP(UncLookup[[#This Row],[Item]],Items!$A$1:$F$43,2,FALSE))</f>
        <v/>
      </c>
      <c r="P499" s="90" t="str">
        <f>IF(VLOOKUP(UncLookup[[#This Row],[Item]],Items!$A$1:$F$43,3,FALSE)=0,"",VLOOKUP(UncLookup[[#This Row],[Item]],Items!$A$1:$F$43,3,FALSE))</f>
        <v/>
      </c>
      <c r="Q499" s="90" t="str">
        <f>IF(VLOOKUP(UncLookup[[#This Row],[Item]],Items!$A$1:$F$43,4,FALSE)=0,"",VLOOKUP(UncLookup[[#This Row],[Item]],Items!$A$1:$F$43,4,FALSE))</f>
        <v/>
      </c>
    </row>
    <row r="500" spans="1:17" x14ac:dyDescent="0.25">
      <c r="A500" s="75" t="s">
        <v>56</v>
      </c>
      <c r="B500" s="75" t="s">
        <v>8</v>
      </c>
      <c r="C500" s="75">
        <v>0.01</v>
      </c>
      <c r="D500" s="75">
        <v>0.1</v>
      </c>
      <c r="E500" s="75">
        <v>1E-8</v>
      </c>
      <c r="F500" s="75" t="s">
        <v>6</v>
      </c>
      <c r="G500" s="75" t="s">
        <v>5</v>
      </c>
      <c r="H500" s="75">
        <v>2000</v>
      </c>
      <c r="I500" s="75">
        <v>4000</v>
      </c>
      <c r="J500" s="75" t="s">
        <v>10</v>
      </c>
      <c r="K500" s="75">
        <v>110</v>
      </c>
      <c r="L500" s="75">
        <v>46000</v>
      </c>
      <c r="M500" s="75">
        <v>80.778000000000006</v>
      </c>
      <c r="N500" s="75">
        <v>46223</v>
      </c>
      <c r="O500" s="90" t="str">
        <f>IF(VLOOKUP(UncLookup[[#This Row],[Item]],Items!$A$1:$F$43,2,FALSE)=0,"",VLOOKUP(UncLookup[[#This Row],[Item]],Items!$A$1:$F$43,2,FALSE))</f>
        <v/>
      </c>
      <c r="P500" s="90" t="str">
        <f>IF(VLOOKUP(UncLookup[[#This Row],[Item]],Items!$A$1:$F$43,3,FALSE)=0,"",VLOOKUP(UncLookup[[#This Row],[Item]],Items!$A$1:$F$43,3,FALSE))</f>
        <v/>
      </c>
      <c r="Q500" s="90" t="str">
        <f>IF(VLOOKUP(UncLookup[[#This Row],[Item]],Items!$A$1:$F$43,4,FALSE)=0,"",VLOOKUP(UncLookup[[#This Row],[Item]],Items!$A$1:$F$43,4,FALSE))</f>
        <v/>
      </c>
    </row>
    <row r="501" spans="1:17" x14ac:dyDescent="0.25">
      <c r="A501" s="76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90" t="str">
        <f>IF(VLOOKUP(UncLookup[[#This Row],[Item]],Items!$A$1:$F$43,2,FALSE)=0,"",VLOOKUP(UncLookup[[#This Row],[Item]],Items!$A$1:$F$43,2,FALSE))</f>
        <v/>
      </c>
      <c r="P501" s="90" t="str">
        <f>IF(VLOOKUP(UncLookup[[#This Row],[Item]],Items!$A$1:$F$43,3,FALSE)=0,"",VLOOKUP(UncLookup[[#This Row],[Item]],Items!$A$1:$F$43,3,FALSE))</f>
        <v/>
      </c>
      <c r="Q501" s="90" t="str">
        <f>IF(VLOOKUP(UncLookup[[#This Row],[Item]],Items!$A$1:$F$43,4,FALSE)=0,"",VLOOKUP(UncLookup[[#This Row],[Item]],Items!$A$1:$F$43,4,FALSE))</f>
        <v/>
      </c>
    </row>
    <row r="502" spans="1:17" x14ac:dyDescent="0.25">
      <c r="A502" s="75" t="s">
        <v>56</v>
      </c>
      <c r="B502" s="75" t="s">
        <v>8</v>
      </c>
      <c r="C502" s="75">
        <v>0.01</v>
      </c>
      <c r="D502" s="75">
        <v>0.1</v>
      </c>
      <c r="E502" s="75">
        <v>9.9999999999999995E-8</v>
      </c>
      <c r="F502" s="75" t="s">
        <v>6</v>
      </c>
      <c r="G502" s="75" t="s">
        <v>5</v>
      </c>
      <c r="H502" s="75">
        <v>100</v>
      </c>
      <c r="I502" s="75">
        <v>300</v>
      </c>
      <c r="J502" s="75" t="s">
        <v>10</v>
      </c>
      <c r="K502" s="75">
        <v>12</v>
      </c>
      <c r="L502" s="75">
        <v>3500</v>
      </c>
      <c r="M502" s="75">
        <v>11.521000000000001</v>
      </c>
      <c r="N502" s="75">
        <v>3476.1</v>
      </c>
      <c r="O502" s="90" t="str">
        <f>IF(VLOOKUP(UncLookup[[#This Row],[Item]],Items!$A$1:$F$43,2,FALSE)=0,"",VLOOKUP(UncLookup[[#This Row],[Item]],Items!$A$1:$F$43,2,FALSE))</f>
        <v/>
      </c>
      <c r="P502" s="90" t="str">
        <f>IF(VLOOKUP(UncLookup[[#This Row],[Item]],Items!$A$1:$F$43,3,FALSE)=0,"",VLOOKUP(UncLookup[[#This Row],[Item]],Items!$A$1:$F$43,3,FALSE))</f>
        <v/>
      </c>
      <c r="Q502" s="90" t="str">
        <f>IF(VLOOKUP(UncLookup[[#This Row],[Item]],Items!$A$1:$F$43,4,FALSE)=0,"",VLOOKUP(UncLookup[[#This Row],[Item]],Items!$A$1:$F$43,4,FALSE))</f>
        <v/>
      </c>
    </row>
    <row r="503" spans="1:17" x14ac:dyDescent="0.25">
      <c r="A503" s="76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90" t="str">
        <f>IF(VLOOKUP(UncLookup[[#This Row],[Item]],Items!$A$1:$F$43,2,FALSE)=0,"",VLOOKUP(UncLookup[[#This Row],[Item]],Items!$A$1:$F$43,2,FALSE))</f>
        <v/>
      </c>
      <c r="P503" s="90" t="str">
        <f>IF(VLOOKUP(UncLookup[[#This Row],[Item]],Items!$A$1:$F$43,3,FALSE)=0,"",VLOOKUP(UncLookup[[#This Row],[Item]],Items!$A$1:$F$43,3,FALSE))</f>
        <v/>
      </c>
      <c r="Q503" s="90" t="str">
        <f>IF(VLOOKUP(UncLookup[[#This Row],[Item]],Items!$A$1:$F$43,4,FALSE)=0,"",VLOOKUP(UncLookup[[#This Row],[Item]],Items!$A$1:$F$43,4,FALSE))</f>
        <v/>
      </c>
    </row>
    <row r="504" spans="1:17" x14ac:dyDescent="0.25">
      <c r="A504" s="75" t="s">
        <v>56</v>
      </c>
      <c r="B504" s="75" t="s">
        <v>8</v>
      </c>
      <c r="C504" s="75">
        <v>0.01</v>
      </c>
      <c r="D504" s="75">
        <v>0.1</v>
      </c>
      <c r="E504" s="75">
        <v>9.9999999999999995E-8</v>
      </c>
      <c r="F504" s="75" t="s">
        <v>6</v>
      </c>
      <c r="G504" s="75" t="s">
        <v>5</v>
      </c>
      <c r="H504" s="75">
        <v>50</v>
      </c>
      <c r="I504" s="75">
        <v>100</v>
      </c>
      <c r="J504" s="75" t="s">
        <v>10</v>
      </c>
      <c r="K504" s="75">
        <v>6</v>
      </c>
      <c r="L504" s="75">
        <v>906.02</v>
      </c>
      <c r="M504" s="75">
        <v>5.9729999999999999</v>
      </c>
      <c r="N504" s="75">
        <v>906.03</v>
      </c>
      <c r="O504" s="90" t="str">
        <f>IF(VLOOKUP(UncLookup[[#This Row],[Item]],Items!$A$1:$F$43,2,FALSE)=0,"",VLOOKUP(UncLookup[[#This Row],[Item]],Items!$A$1:$F$43,2,FALSE))</f>
        <v/>
      </c>
      <c r="P504" s="90" t="str">
        <f>IF(VLOOKUP(UncLookup[[#This Row],[Item]],Items!$A$1:$F$43,3,FALSE)=0,"",VLOOKUP(UncLookup[[#This Row],[Item]],Items!$A$1:$F$43,3,FALSE))</f>
        <v/>
      </c>
      <c r="Q504" s="90" t="str">
        <f>IF(VLOOKUP(UncLookup[[#This Row],[Item]],Items!$A$1:$F$43,4,FALSE)=0,"",VLOOKUP(UncLookup[[#This Row],[Item]],Items!$A$1:$F$43,4,FALSE))</f>
        <v/>
      </c>
    </row>
    <row r="505" spans="1:17" x14ac:dyDescent="0.25">
      <c r="A505" s="76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90" t="str">
        <f>IF(VLOOKUP(UncLookup[[#This Row],[Item]],Items!$A$1:$F$43,2,FALSE)=0,"",VLOOKUP(UncLookup[[#This Row],[Item]],Items!$A$1:$F$43,2,FALSE))</f>
        <v/>
      </c>
      <c r="P505" s="90" t="str">
        <f>IF(VLOOKUP(UncLookup[[#This Row],[Item]],Items!$A$1:$F$43,3,FALSE)=0,"",VLOOKUP(UncLookup[[#This Row],[Item]],Items!$A$1:$F$43,3,FALSE))</f>
        <v/>
      </c>
      <c r="Q505" s="90" t="str">
        <f>IF(VLOOKUP(UncLookup[[#This Row],[Item]],Items!$A$1:$F$43,4,FALSE)=0,"",VLOOKUP(UncLookup[[#This Row],[Item]],Items!$A$1:$F$43,4,FALSE))</f>
        <v/>
      </c>
    </row>
    <row r="506" spans="1:17" x14ac:dyDescent="0.25">
      <c r="A506" s="75" t="s">
        <v>56</v>
      </c>
      <c r="B506" s="75" t="s">
        <v>8</v>
      </c>
      <c r="C506" s="75">
        <v>0.01</v>
      </c>
      <c r="D506" s="75">
        <v>0.1</v>
      </c>
      <c r="E506" s="75">
        <v>9.9999999999999995E-8</v>
      </c>
      <c r="F506" s="75" t="s">
        <v>6</v>
      </c>
      <c r="G506" s="75" t="s">
        <v>5</v>
      </c>
      <c r="H506" s="75">
        <v>1000</v>
      </c>
      <c r="I506" s="75">
        <v>2000</v>
      </c>
      <c r="J506" s="75" t="s">
        <v>10</v>
      </c>
      <c r="K506" s="75">
        <v>53</v>
      </c>
      <c r="L506" s="75">
        <v>17054</v>
      </c>
      <c r="M506" s="75">
        <v>11.488</v>
      </c>
      <c r="N506" s="75">
        <v>17414</v>
      </c>
      <c r="O506" s="90" t="str">
        <f>IF(VLOOKUP(UncLookup[[#This Row],[Item]],Items!$A$1:$F$43,2,FALSE)=0,"",VLOOKUP(UncLookup[[#This Row],[Item]],Items!$A$1:$F$43,2,FALSE))</f>
        <v/>
      </c>
      <c r="P506" s="90" t="str">
        <f>IF(VLOOKUP(UncLookup[[#This Row],[Item]],Items!$A$1:$F$43,3,FALSE)=0,"",VLOOKUP(UncLookup[[#This Row],[Item]],Items!$A$1:$F$43,3,FALSE))</f>
        <v/>
      </c>
      <c r="Q506" s="90" t="str">
        <f>IF(VLOOKUP(UncLookup[[#This Row],[Item]],Items!$A$1:$F$43,4,FALSE)=0,"",VLOOKUP(UncLookup[[#This Row],[Item]],Items!$A$1:$F$43,4,FALSE))</f>
        <v/>
      </c>
    </row>
    <row r="507" spans="1:17" x14ac:dyDescent="0.25">
      <c r="A507" s="76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90" t="str">
        <f>IF(VLOOKUP(UncLookup[[#This Row],[Item]],Items!$A$1:$F$43,2,FALSE)=0,"",VLOOKUP(UncLookup[[#This Row],[Item]],Items!$A$1:$F$43,2,FALSE))</f>
        <v/>
      </c>
      <c r="P507" s="90" t="str">
        <f>IF(VLOOKUP(UncLookup[[#This Row],[Item]],Items!$A$1:$F$43,3,FALSE)=0,"",VLOOKUP(UncLookup[[#This Row],[Item]],Items!$A$1:$F$43,3,FALSE))</f>
        <v/>
      </c>
      <c r="Q507" s="90" t="str">
        <f>IF(VLOOKUP(UncLookup[[#This Row],[Item]],Items!$A$1:$F$43,4,FALSE)=0,"",VLOOKUP(UncLookup[[#This Row],[Item]],Items!$A$1:$F$43,4,FALSE))</f>
        <v/>
      </c>
    </row>
    <row r="508" spans="1:17" x14ac:dyDescent="0.25">
      <c r="A508" s="75" t="s">
        <v>56</v>
      </c>
      <c r="B508" s="75" t="s">
        <v>8</v>
      </c>
      <c r="C508" s="75">
        <v>0.01</v>
      </c>
      <c r="D508" s="75">
        <v>0.1</v>
      </c>
      <c r="E508" s="75">
        <v>9.9999999999999995E-8</v>
      </c>
      <c r="F508" s="75" t="s">
        <v>6</v>
      </c>
      <c r="G508" s="75" t="s">
        <v>5</v>
      </c>
      <c r="H508" s="75">
        <v>4000</v>
      </c>
      <c r="I508" s="75">
        <v>8000</v>
      </c>
      <c r="J508" s="75" t="s">
        <v>10</v>
      </c>
      <c r="K508" s="75">
        <v>120</v>
      </c>
      <c r="L508" s="75">
        <v>46000</v>
      </c>
      <c r="M508" s="75">
        <v>92.256</v>
      </c>
      <c r="N508" s="75">
        <v>46261</v>
      </c>
      <c r="O508" s="90" t="str">
        <f>IF(VLOOKUP(UncLookup[[#This Row],[Item]],Items!$A$1:$F$43,2,FALSE)=0,"",VLOOKUP(UncLookup[[#This Row],[Item]],Items!$A$1:$F$43,2,FALSE))</f>
        <v/>
      </c>
      <c r="P508" s="90" t="str">
        <f>IF(VLOOKUP(UncLookup[[#This Row],[Item]],Items!$A$1:$F$43,3,FALSE)=0,"",VLOOKUP(UncLookup[[#This Row],[Item]],Items!$A$1:$F$43,3,FALSE))</f>
        <v/>
      </c>
      <c r="Q508" s="90" t="str">
        <f>IF(VLOOKUP(UncLookup[[#This Row],[Item]],Items!$A$1:$F$43,4,FALSE)=0,"",VLOOKUP(UncLookup[[#This Row],[Item]],Items!$A$1:$F$43,4,FALSE))</f>
        <v/>
      </c>
    </row>
    <row r="509" spans="1:17" x14ac:dyDescent="0.25">
      <c r="A509" s="76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90" t="str">
        <f>IF(VLOOKUP(UncLookup[[#This Row],[Item]],Items!$A$1:$F$43,2,FALSE)=0,"",VLOOKUP(UncLookup[[#This Row],[Item]],Items!$A$1:$F$43,2,FALSE))</f>
        <v/>
      </c>
      <c r="P509" s="90" t="str">
        <f>IF(VLOOKUP(UncLookup[[#This Row],[Item]],Items!$A$1:$F$43,3,FALSE)=0,"",VLOOKUP(UncLookup[[#This Row],[Item]],Items!$A$1:$F$43,3,FALSE))</f>
        <v/>
      </c>
      <c r="Q509" s="90" t="str">
        <f>IF(VLOOKUP(UncLookup[[#This Row],[Item]],Items!$A$1:$F$43,4,FALSE)=0,"",VLOOKUP(UncLookup[[#This Row],[Item]],Items!$A$1:$F$43,4,FALSE))</f>
        <v/>
      </c>
    </row>
    <row r="510" spans="1:17" x14ac:dyDescent="0.25">
      <c r="A510" s="75" t="s">
        <v>56</v>
      </c>
      <c r="B510" s="75" t="s">
        <v>8</v>
      </c>
      <c r="C510" s="75">
        <v>0.01</v>
      </c>
      <c r="D510" s="75">
        <v>0.1</v>
      </c>
      <c r="E510" s="75">
        <v>9.9999999999999995E-8</v>
      </c>
      <c r="F510" s="75" t="s">
        <v>6</v>
      </c>
      <c r="G510" s="75" t="s">
        <v>5</v>
      </c>
      <c r="H510" s="75">
        <v>8000</v>
      </c>
      <c r="I510" s="75">
        <v>10000</v>
      </c>
      <c r="J510" s="75" t="s">
        <v>10</v>
      </c>
      <c r="K510" s="75">
        <v>450</v>
      </c>
      <c r="L510" s="75">
        <v>170030</v>
      </c>
      <c r="M510" s="75">
        <v>115.4</v>
      </c>
      <c r="N510" s="75">
        <v>173280</v>
      </c>
      <c r="O510" s="90" t="str">
        <f>IF(VLOOKUP(UncLookup[[#This Row],[Item]],Items!$A$1:$F$43,2,FALSE)=0,"",VLOOKUP(UncLookup[[#This Row],[Item]],Items!$A$1:$F$43,2,FALSE))</f>
        <v/>
      </c>
      <c r="P510" s="90" t="str">
        <f>IF(VLOOKUP(UncLookup[[#This Row],[Item]],Items!$A$1:$F$43,3,FALSE)=0,"",VLOOKUP(UncLookup[[#This Row],[Item]],Items!$A$1:$F$43,3,FALSE))</f>
        <v/>
      </c>
      <c r="Q510" s="90" t="str">
        <f>IF(VLOOKUP(UncLookup[[#This Row],[Item]],Items!$A$1:$F$43,4,FALSE)=0,"",VLOOKUP(UncLookup[[#This Row],[Item]],Items!$A$1:$F$43,4,FALSE))</f>
        <v/>
      </c>
    </row>
    <row r="511" spans="1:17" x14ac:dyDescent="0.25">
      <c r="A511" s="76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90" t="str">
        <f>IF(VLOOKUP(UncLookup[[#This Row],[Item]],Items!$A$1:$F$43,2,FALSE)=0,"",VLOOKUP(UncLookup[[#This Row],[Item]],Items!$A$1:$F$43,2,FALSE))</f>
        <v/>
      </c>
      <c r="P511" s="90" t="str">
        <f>IF(VLOOKUP(UncLookup[[#This Row],[Item]],Items!$A$1:$F$43,3,FALSE)=0,"",VLOOKUP(UncLookup[[#This Row],[Item]],Items!$A$1:$F$43,3,FALSE))</f>
        <v/>
      </c>
      <c r="Q511" s="90" t="str">
        <f>IF(VLOOKUP(UncLookup[[#This Row],[Item]],Items!$A$1:$F$43,4,FALSE)=0,"",VLOOKUP(UncLookup[[#This Row],[Item]],Items!$A$1:$F$43,4,FALSE))</f>
        <v/>
      </c>
    </row>
    <row r="512" spans="1:17" x14ac:dyDescent="0.25">
      <c r="A512" s="75" t="s">
        <v>56</v>
      </c>
      <c r="B512" s="75" t="s">
        <v>8</v>
      </c>
      <c r="C512" s="75">
        <v>0.01</v>
      </c>
      <c r="D512" s="75">
        <v>0.1</v>
      </c>
      <c r="E512" s="75">
        <v>9.9999999999999995E-7</v>
      </c>
      <c r="F512" s="75" t="s">
        <v>6</v>
      </c>
      <c r="G512" s="75" t="s">
        <v>5</v>
      </c>
      <c r="H512" s="75">
        <v>20</v>
      </c>
      <c r="I512" s="75">
        <v>50</v>
      </c>
      <c r="J512" s="75" t="s">
        <v>10</v>
      </c>
      <c r="K512" s="75">
        <v>4.7</v>
      </c>
      <c r="L512" s="75">
        <v>327.10000000000002</v>
      </c>
      <c r="M512" s="75">
        <v>4.6916000000000002</v>
      </c>
      <c r="N512" s="75">
        <v>326.63</v>
      </c>
      <c r="O512" s="90" t="str">
        <f>IF(VLOOKUP(UncLookup[[#This Row],[Item]],Items!$A$1:$F$43,2,FALSE)=0,"",VLOOKUP(UncLookup[[#This Row],[Item]],Items!$A$1:$F$43,2,FALSE))</f>
        <v/>
      </c>
      <c r="P512" s="90" t="str">
        <f>IF(VLOOKUP(UncLookup[[#This Row],[Item]],Items!$A$1:$F$43,3,FALSE)=0,"",VLOOKUP(UncLookup[[#This Row],[Item]],Items!$A$1:$F$43,3,FALSE))</f>
        <v/>
      </c>
      <c r="Q512" s="90" t="str">
        <f>IF(VLOOKUP(UncLookup[[#This Row],[Item]],Items!$A$1:$F$43,4,FALSE)=0,"",VLOOKUP(UncLookup[[#This Row],[Item]],Items!$A$1:$F$43,4,FALSE))</f>
        <v/>
      </c>
    </row>
    <row r="513" spans="1:17" x14ac:dyDescent="0.25">
      <c r="A513" s="76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90" t="str">
        <f>IF(VLOOKUP(UncLookup[[#This Row],[Item]],Items!$A$1:$F$43,2,FALSE)=0,"",VLOOKUP(UncLookup[[#This Row],[Item]],Items!$A$1:$F$43,2,FALSE))</f>
        <v/>
      </c>
      <c r="P513" s="90" t="str">
        <f>IF(VLOOKUP(UncLookup[[#This Row],[Item]],Items!$A$1:$F$43,3,FALSE)=0,"",VLOOKUP(UncLookup[[#This Row],[Item]],Items!$A$1:$F$43,3,FALSE))</f>
        <v/>
      </c>
      <c r="Q513" s="90" t="str">
        <f>IF(VLOOKUP(UncLookup[[#This Row],[Item]],Items!$A$1:$F$43,4,FALSE)=0,"",VLOOKUP(UncLookup[[#This Row],[Item]],Items!$A$1:$F$43,4,FALSE))</f>
        <v/>
      </c>
    </row>
    <row r="514" spans="1:17" x14ac:dyDescent="0.25">
      <c r="A514" s="75" t="s">
        <v>56</v>
      </c>
      <c r="B514" s="75" t="s">
        <v>8</v>
      </c>
      <c r="C514" s="75">
        <v>0.01</v>
      </c>
      <c r="D514" s="75">
        <v>0.1</v>
      </c>
      <c r="E514" s="75">
        <v>9.9999999999999995E-7</v>
      </c>
      <c r="F514" s="75" t="s">
        <v>6</v>
      </c>
      <c r="G514" s="75" t="s">
        <v>5</v>
      </c>
      <c r="H514" s="75">
        <v>300</v>
      </c>
      <c r="I514" s="75">
        <v>1000</v>
      </c>
      <c r="J514" s="75" t="s">
        <v>10</v>
      </c>
      <c r="K514" s="75">
        <v>12</v>
      </c>
      <c r="L514" s="75">
        <v>12000</v>
      </c>
      <c r="M514" s="75">
        <v>11.521000000000001</v>
      </c>
      <c r="N514" s="75">
        <v>11631</v>
      </c>
      <c r="O514" s="90" t="str">
        <f>IF(VLOOKUP(UncLookup[[#This Row],[Item]],Items!$A$1:$F$43,2,FALSE)=0,"",VLOOKUP(UncLookup[[#This Row],[Item]],Items!$A$1:$F$43,2,FALSE))</f>
        <v/>
      </c>
      <c r="P514" s="90" t="str">
        <f>IF(VLOOKUP(UncLookup[[#This Row],[Item]],Items!$A$1:$F$43,3,FALSE)=0,"",VLOOKUP(UncLookup[[#This Row],[Item]],Items!$A$1:$F$43,3,FALSE))</f>
        <v/>
      </c>
      <c r="Q514" s="90" t="str">
        <f>IF(VLOOKUP(UncLookup[[#This Row],[Item]],Items!$A$1:$F$43,4,FALSE)=0,"",VLOOKUP(UncLookup[[#This Row],[Item]],Items!$A$1:$F$43,4,FALSE))</f>
        <v/>
      </c>
    </row>
    <row r="515" spans="1:17" x14ac:dyDescent="0.25">
      <c r="A515" s="76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90" t="str">
        <f>IF(VLOOKUP(UncLookup[[#This Row],[Item]],Items!$A$1:$F$43,2,FALSE)=0,"",VLOOKUP(UncLookup[[#This Row],[Item]],Items!$A$1:$F$43,2,FALSE))</f>
        <v/>
      </c>
      <c r="P515" s="90" t="str">
        <f>IF(VLOOKUP(UncLookup[[#This Row],[Item]],Items!$A$1:$F$43,3,FALSE)=0,"",VLOOKUP(UncLookup[[#This Row],[Item]],Items!$A$1:$F$43,3,FALSE))</f>
        <v/>
      </c>
      <c r="Q515" s="90" t="str">
        <f>IF(VLOOKUP(UncLookup[[#This Row],[Item]],Items!$A$1:$F$43,4,FALSE)=0,"",VLOOKUP(UncLookup[[#This Row],[Item]],Items!$A$1:$F$43,4,FALSE))</f>
        <v/>
      </c>
    </row>
    <row r="516" spans="1:17" x14ac:dyDescent="0.25">
      <c r="A516" s="75" t="s">
        <v>56</v>
      </c>
      <c r="B516" s="75" t="s">
        <v>8</v>
      </c>
      <c r="C516" s="75">
        <v>0.01</v>
      </c>
      <c r="D516" s="75">
        <v>0.1</v>
      </c>
      <c r="E516" s="75">
        <v>9.9999999999999995E-7</v>
      </c>
      <c r="F516" s="75" t="s">
        <v>6</v>
      </c>
      <c r="G516" s="75" t="s">
        <v>5</v>
      </c>
      <c r="H516" s="75">
        <v>0.04</v>
      </c>
      <c r="I516" s="75">
        <v>1</v>
      </c>
      <c r="J516" s="75" t="s">
        <v>10</v>
      </c>
      <c r="K516" s="75">
        <v>3.5</v>
      </c>
      <c r="L516" s="75">
        <v>80.42</v>
      </c>
      <c r="M516" s="75">
        <v>3.4847999999999999</v>
      </c>
      <c r="N516" s="75">
        <v>80.411000000000001</v>
      </c>
      <c r="O516" s="90" t="str">
        <f>IF(VLOOKUP(UncLookup[[#This Row],[Item]],Items!$A$1:$F$43,2,FALSE)=0,"",VLOOKUP(UncLookup[[#This Row],[Item]],Items!$A$1:$F$43,2,FALSE))</f>
        <v/>
      </c>
      <c r="P516" s="90" t="str">
        <f>IF(VLOOKUP(UncLookup[[#This Row],[Item]],Items!$A$1:$F$43,3,FALSE)=0,"",VLOOKUP(UncLookup[[#This Row],[Item]],Items!$A$1:$F$43,3,FALSE))</f>
        <v/>
      </c>
      <c r="Q516" s="90" t="str">
        <f>IF(VLOOKUP(UncLookup[[#This Row],[Item]],Items!$A$1:$F$43,4,FALSE)=0,"",VLOOKUP(UncLookup[[#This Row],[Item]],Items!$A$1:$F$43,4,FALSE))</f>
        <v/>
      </c>
    </row>
    <row r="517" spans="1:17" x14ac:dyDescent="0.25">
      <c r="A517" s="76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90" t="str">
        <f>IF(VLOOKUP(UncLookup[[#This Row],[Item]],Items!$A$1:$F$43,2,FALSE)=0,"",VLOOKUP(UncLookup[[#This Row],[Item]],Items!$A$1:$F$43,2,FALSE))</f>
        <v/>
      </c>
      <c r="P517" s="90" t="str">
        <f>IF(VLOOKUP(UncLookup[[#This Row],[Item]],Items!$A$1:$F$43,3,FALSE)=0,"",VLOOKUP(UncLookup[[#This Row],[Item]],Items!$A$1:$F$43,3,FALSE))</f>
        <v/>
      </c>
      <c r="Q517" s="90" t="str">
        <f>IF(VLOOKUP(UncLookup[[#This Row],[Item]],Items!$A$1:$F$43,4,FALSE)=0,"",VLOOKUP(UncLookup[[#This Row],[Item]],Items!$A$1:$F$43,4,FALSE))</f>
        <v/>
      </c>
    </row>
    <row r="518" spans="1:17" x14ac:dyDescent="0.25">
      <c r="A518" s="75" t="s">
        <v>56</v>
      </c>
      <c r="B518" s="75" t="s">
        <v>8</v>
      </c>
      <c r="C518" s="75">
        <v>0.01</v>
      </c>
      <c r="D518" s="75">
        <v>0.1</v>
      </c>
      <c r="E518" s="75">
        <v>9.9999999999999995E-7</v>
      </c>
      <c r="F518" s="75" t="s">
        <v>6</v>
      </c>
      <c r="G518" s="75" t="s">
        <v>5</v>
      </c>
      <c r="H518" s="75">
        <v>50</v>
      </c>
      <c r="I518" s="75">
        <v>100</v>
      </c>
      <c r="J518" s="75" t="s">
        <v>10</v>
      </c>
      <c r="K518" s="75">
        <v>6</v>
      </c>
      <c r="L518" s="75">
        <v>905.89</v>
      </c>
      <c r="M518" s="75">
        <v>5.9854000000000003</v>
      </c>
      <c r="N518" s="75">
        <v>905.92</v>
      </c>
      <c r="O518" s="90" t="str">
        <f>IF(VLOOKUP(UncLookup[[#This Row],[Item]],Items!$A$1:$F$43,2,FALSE)=0,"",VLOOKUP(UncLookup[[#This Row],[Item]],Items!$A$1:$F$43,2,FALSE))</f>
        <v/>
      </c>
      <c r="P518" s="90" t="str">
        <f>IF(VLOOKUP(UncLookup[[#This Row],[Item]],Items!$A$1:$F$43,3,FALSE)=0,"",VLOOKUP(UncLookup[[#This Row],[Item]],Items!$A$1:$F$43,3,FALSE))</f>
        <v/>
      </c>
      <c r="Q518" s="90" t="str">
        <f>IF(VLOOKUP(UncLookup[[#This Row],[Item]],Items!$A$1:$F$43,4,FALSE)=0,"",VLOOKUP(UncLookup[[#This Row],[Item]],Items!$A$1:$F$43,4,FALSE))</f>
        <v/>
      </c>
    </row>
    <row r="519" spans="1:17" x14ac:dyDescent="0.25">
      <c r="A519" s="76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90" t="str">
        <f>IF(VLOOKUP(UncLookup[[#This Row],[Item]],Items!$A$1:$F$43,2,FALSE)=0,"",VLOOKUP(UncLookup[[#This Row],[Item]],Items!$A$1:$F$43,2,FALSE))</f>
        <v/>
      </c>
      <c r="P519" s="90" t="str">
        <f>IF(VLOOKUP(UncLookup[[#This Row],[Item]],Items!$A$1:$F$43,3,FALSE)=0,"",VLOOKUP(UncLookup[[#This Row],[Item]],Items!$A$1:$F$43,3,FALSE))</f>
        <v/>
      </c>
      <c r="Q519" s="90" t="str">
        <f>IF(VLOOKUP(UncLookup[[#This Row],[Item]],Items!$A$1:$F$43,4,FALSE)=0,"",VLOOKUP(UncLookup[[#This Row],[Item]],Items!$A$1:$F$43,4,FALSE))</f>
        <v/>
      </c>
    </row>
    <row r="520" spans="1:17" x14ac:dyDescent="0.25">
      <c r="A520" s="75" t="s">
        <v>56</v>
      </c>
      <c r="B520" s="75" t="s">
        <v>8</v>
      </c>
      <c r="C520" s="75">
        <v>0.01</v>
      </c>
      <c r="D520" s="75">
        <v>0.1</v>
      </c>
      <c r="E520" s="75">
        <v>9.9999999999999995E-7</v>
      </c>
      <c r="F520" s="75" t="s">
        <v>6</v>
      </c>
      <c r="G520" s="75" t="s">
        <v>5</v>
      </c>
      <c r="H520" s="75">
        <v>1</v>
      </c>
      <c r="I520" s="75">
        <v>20</v>
      </c>
      <c r="J520" s="75" t="s">
        <v>10</v>
      </c>
      <c r="K520" s="75">
        <v>3.4</v>
      </c>
      <c r="L520" s="75">
        <v>157.44999999999999</v>
      </c>
      <c r="M520" s="75">
        <v>3.3910999999999998</v>
      </c>
      <c r="N520" s="75">
        <v>157.44999999999999</v>
      </c>
      <c r="O520" s="90" t="str">
        <f>IF(VLOOKUP(UncLookup[[#This Row],[Item]],Items!$A$1:$F$43,2,FALSE)=0,"",VLOOKUP(UncLookup[[#This Row],[Item]],Items!$A$1:$F$43,2,FALSE))</f>
        <v/>
      </c>
      <c r="P520" s="90" t="str">
        <f>IF(VLOOKUP(UncLookup[[#This Row],[Item]],Items!$A$1:$F$43,3,FALSE)=0,"",VLOOKUP(UncLookup[[#This Row],[Item]],Items!$A$1:$F$43,3,FALSE))</f>
        <v/>
      </c>
      <c r="Q520" s="90" t="str">
        <f>IF(VLOOKUP(UncLookup[[#This Row],[Item]],Items!$A$1:$F$43,4,FALSE)=0,"",VLOOKUP(UncLookup[[#This Row],[Item]],Items!$A$1:$F$43,4,FALSE))</f>
        <v/>
      </c>
    </row>
    <row r="521" spans="1:17" x14ac:dyDescent="0.25">
      <c r="A521" s="76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90" t="str">
        <f>IF(VLOOKUP(UncLookup[[#This Row],[Item]],Items!$A$1:$F$43,2,FALSE)=0,"",VLOOKUP(UncLookup[[#This Row],[Item]],Items!$A$1:$F$43,2,FALSE))</f>
        <v/>
      </c>
      <c r="P521" s="90" t="str">
        <f>IF(VLOOKUP(UncLookup[[#This Row],[Item]],Items!$A$1:$F$43,3,FALSE)=0,"",VLOOKUP(UncLookup[[#This Row],[Item]],Items!$A$1:$F$43,3,FALSE))</f>
        <v/>
      </c>
      <c r="Q521" s="90" t="str">
        <f>IF(VLOOKUP(UncLookup[[#This Row],[Item]],Items!$A$1:$F$43,4,FALSE)=0,"",VLOOKUP(UncLookup[[#This Row],[Item]],Items!$A$1:$F$43,4,FALSE))</f>
        <v/>
      </c>
    </row>
    <row r="522" spans="1:17" x14ac:dyDescent="0.25">
      <c r="A522" s="75" t="s">
        <v>56</v>
      </c>
      <c r="B522" s="75" t="s">
        <v>8</v>
      </c>
      <c r="C522" s="75">
        <v>0.01</v>
      </c>
      <c r="D522" s="75">
        <v>0.1</v>
      </c>
      <c r="E522" s="75">
        <v>9.9999999999999995E-7</v>
      </c>
      <c r="F522" s="75" t="s">
        <v>6</v>
      </c>
      <c r="G522" s="75" t="s">
        <v>5</v>
      </c>
      <c r="H522" s="75">
        <v>2000</v>
      </c>
      <c r="I522" s="75">
        <v>4000</v>
      </c>
      <c r="J522" s="75" t="s">
        <v>10</v>
      </c>
      <c r="K522" s="75">
        <v>110</v>
      </c>
      <c r="L522" s="75">
        <v>46000</v>
      </c>
      <c r="M522" s="75">
        <v>80.778999999999996</v>
      </c>
      <c r="N522" s="75">
        <v>46223</v>
      </c>
      <c r="O522" s="90" t="str">
        <f>IF(VLOOKUP(UncLookup[[#This Row],[Item]],Items!$A$1:$F$43,2,FALSE)=0,"",VLOOKUP(UncLookup[[#This Row],[Item]],Items!$A$1:$F$43,2,FALSE))</f>
        <v/>
      </c>
      <c r="P522" s="90" t="str">
        <f>IF(VLOOKUP(UncLookup[[#This Row],[Item]],Items!$A$1:$F$43,3,FALSE)=0,"",VLOOKUP(UncLookup[[#This Row],[Item]],Items!$A$1:$F$43,3,FALSE))</f>
        <v/>
      </c>
      <c r="Q522" s="90" t="str">
        <f>IF(VLOOKUP(UncLookup[[#This Row],[Item]],Items!$A$1:$F$43,4,FALSE)=0,"",VLOOKUP(UncLookup[[#This Row],[Item]],Items!$A$1:$F$43,4,FALSE))</f>
        <v/>
      </c>
    </row>
    <row r="523" spans="1:17" x14ac:dyDescent="0.25">
      <c r="A523" s="76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90" t="str">
        <f>IF(VLOOKUP(UncLookup[[#This Row],[Item]],Items!$A$1:$F$43,2,FALSE)=0,"",VLOOKUP(UncLookup[[#This Row],[Item]],Items!$A$1:$F$43,2,FALSE))</f>
        <v/>
      </c>
      <c r="P523" s="90" t="str">
        <f>IF(VLOOKUP(UncLookup[[#This Row],[Item]],Items!$A$1:$F$43,3,FALSE)=0,"",VLOOKUP(UncLookup[[#This Row],[Item]],Items!$A$1:$F$43,3,FALSE))</f>
        <v/>
      </c>
      <c r="Q523" s="90" t="str">
        <f>IF(VLOOKUP(UncLookup[[#This Row],[Item]],Items!$A$1:$F$43,4,FALSE)=0,"",VLOOKUP(UncLookup[[#This Row],[Item]],Items!$A$1:$F$43,4,FALSE))</f>
        <v/>
      </c>
    </row>
    <row r="524" spans="1:17" x14ac:dyDescent="0.25">
      <c r="A524" s="75" t="s">
        <v>56</v>
      </c>
      <c r="B524" s="75" t="s">
        <v>8</v>
      </c>
      <c r="C524" s="75">
        <v>0.01</v>
      </c>
      <c r="D524" s="75">
        <v>0.1</v>
      </c>
      <c r="E524" s="75">
        <v>1.0000000000000001E-5</v>
      </c>
      <c r="F524" s="75" t="s">
        <v>6</v>
      </c>
      <c r="G524" s="75" t="s">
        <v>5</v>
      </c>
      <c r="H524" s="75">
        <v>1E-3</v>
      </c>
      <c r="I524" s="75">
        <v>0.04</v>
      </c>
      <c r="J524" s="75" t="s">
        <v>10</v>
      </c>
      <c r="K524" s="75">
        <v>7.7286000000000001</v>
      </c>
      <c r="L524" s="75">
        <v>70.834999999999994</v>
      </c>
      <c r="M524" s="75">
        <v>7.7257999999999996</v>
      </c>
      <c r="N524" s="75">
        <v>70.789000000000001</v>
      </c>
      <c r="O524" s="90" t="str">
        <f>IF(VLOOKUP(UncLookup[[#This Row],[Item]],Items!$A$1:$F$43,2,FALSE)=0,"",VLOOKUP(UncLookup[[#This Row],[Item]],Items!$A$1:$F$43,2,FALSE))</f>
        <v/>
      </c>
      <c r="P524" s="90" t="str">
        <f>IF(VLOOKUP(UncLookup[[#This Row],[Item]],Items!$A$1:$F$43,3,FALSE)=0,"",VLOOKUP(UncLookup[[#This Row],[Item]],Items!$A$1:$F$43,3,FALSE))</f>
        <v/>
      </c>
      <c r="Q524" s="90" t="str">
        <f>IF(VLOOKUP(UncLookup[[#This Row],[Item]],Items!$A$1:$F$43,4,FALSE)=0,"",VLOOKUP(UncLookup[[#This Row],[Item]],Items!$A$1:$F$43,4,FALSE))</f>
        <v/>
      </c>
    </row>
    <row r="525" spans="1:17" x14ac:dyDescent="0.25">
      <c r="A525" s="76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90" t="str">
        <f>IF(VLOOKUP(UncLookup[[#This Row],[Item]],Items!$A$1:$F$43,2,FALSE)=0,"",VLOOKUP(UncLookup[[#This Row],[Item]],Items!$A$1:$F$43,2,FALSE))</f>
        <v/>
      </c>
      <c r="P525" s="90" t="str">
        <f>IF(VLOOKUP(UncLookup[[#This Row],[Item]],Items!$A$1:$F$43,3,FALSE)=0,"",VLOOKUP(UncLookup[[#This Row],[Item]],Items!$A$1:$F$43,3,FALSE))</f>
        <v/>
      </c>
      <c r="Q525" s="90" t="str">
        <f>IF(VLOOKUP(UncLookup[[#This Row],[Item]],Items!$A$1:$F$43,4,FALSE)=0,"",VLOOKUP(UncLookup[[#This Row],[Item]],Items!$A$1:$F$43,4,FALSE))</f>
        <v/>
      </c>
    </row>
    <row r="526" spans="1:17" x14ac:dyDescent="0.25">
      <c r="A526" s="75" t="s">
        <v>56</v>
      </c>
      <c r="B526" s="75" t="s">
        <v>8</v>
      </c>
      <c r="C526" s="75">
        <v>0.01</v>
      </c>
      <c r="D526" s="75">
        <v>0.1</v>
      </c>
      <c r="E526" s="75">
        <v>1.0000000000000001E-5</v>
      </c>
      <c r="F526" s="75" t="s">
        <v>6</v>
      </c>
      <c r="G526" s="75" t="s">
        <v>5</v>
      </c>
      <c r="H526" s="75">
        <v>300</v>
      </c>
      <c r="I526" s="75">
        <v>1000</v>
      </c>
      <c r="J526" s="75" t="s">
        <v>10</v>
      </c>
      <c r="K526" s="75">
        <v>12</v>
      </c>
      <c r="L526" s="75">
        <v>12000</v>
      </c>
      <c r="M526" s="75">
        <v>11.635</v>
      </c>
      <c r="N526" s="75">
        <v>11630</v>
      </c>
      <c r="O526" s="90" t="str">
        <f>IF(VLOOKUP(UncLookup[[#This Row],[Item]],Items!$A$1:$F$43,2,FALSE)=0,"",VLOOKUP(UncLookup[[#This Row],[Item]],Items!$A$1:$F$43,2,FALSE))</f>
        <v/>
      </c>
      <c r="P526" s="90" t="str">
        <f>IF(VLOOKUP(UncLookup[[#This Row],[Item]],Items!$A$1:$F$43,3,FALSE)=0,"",VLOOKUP(UncLookup[[#This Row],[Item]],Items!$A$1:$F$43,3,FALSE))</f>
        <v/>
      </c>
      <c r="Q526" s="90" t="str">
        <f>IF(VLOOKUP(UncLookup[[#This Row],[Item]],Items!$A$1:$F$43,4,FALSE)=0,"",VLOOKUP(UncLookup[[#This Row],[Item]],Items!$A$1:$F$43,4,FALSE))</f>
        <v/>
      </c>
    </row>
    <row r="527" spans="1:17" x14ac:dyDescent="0.25">
      <c r="A527" s="76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90" t="str">
        <f>IF(VLOOKUP(UncLookup[[#This Row],[Item]],Items!$A$1:$F$43,2,FALSE)=0,"",VLOOKUP(UncLookup[[#This Row],[Item]],Items!$A$1:$F$43,2,FALSE))</f>
        <v/>
      </c>
      <c r="P527" s="90" t="str">
        <f>IF(VLOOKUP(UncLookup[[#This Row],[Item]],Items!$A$1:$F$43,3,FALSE)=0,"",VLOOKUP(UncLookup[[#This Row],[Item]],Items!$A$1:$F$43,3,FALSE))</f>
        <v/>
      </c>
      <c r="Q527" s="90" t="str">
        <f>IF(VLOOKUP(UncLookup[[#This Row],[Item]],Items!$A$1:$F$43,4,FALSE)=0,"",VLOOKUP(UncLookup[[#This Row],[Item]],Items!$A$1:$F$43,4,FALSE))</f>
        <v/>
      </c>
    </row>
    <row r="528" spans="1:17" x14ac:dyDescent="0.25">
      <c r="A528" s="75" t="s">
        <v>56</v>
      </c>
      <c r="B528" s="75" t="s">
        <v>8</v>
      </c>
      <c r="C528" s="75">
        <v>0.01</v>
      </c>
      <c r="D528" s="75">
        <v>0.1</v>
      </c>
      <c r="E528" s="75">
        <v>1.0000000000000001E-5</v>
      </c>
      <c r="F528" s="75" t="s">
        <v>6</v>
      </c>
      <c r="G528" s="75" t="s">
        <v>5</v>
      </c>
      <c r="H528" s="75">
        <v>0.04</v>
      </c>
      <c r="I528" s="75">
        <v>1</v>
      </c>
      <c r="J528" s="75" t="s">
        <v>10</v>
      </c>
      <c r="K528" s="75">
        <v>6.5380000000000003</v>
      </c>
      <c r="L528" s="75">
        <v>63.487000000000002</v>
      </c>
      <c r="M528" s="75">
        <v>6.5346000000000002</v>
      </c>
      <c r="N528" s="75">
        <v>63.435000000000002</v>
      </c>
      <c r="O528" s="90" t="str">
        <f>IF(VLOOKUP(UncLookup[[#This Row],[Item]],Items!$A$1:$F$43,2,FALSE)=0,"",VLOOKUP(UncLookup[[#This Row],[Item]],Items!$A$1:$F$43,2,FALSE))</f>
        <v/>
      </c>
      <c r="P528" s="90" t="str">
        <f>IF(VLOOKUP(UncLookup[[#This Row],[Item]],Items!$A$1:$F$43,3,FALSE)=0,"",VLOOKUP(UncLookup[[#This Row],[Item]],Items!$A$1:$F$43,3,FALSE))</f>
        <v/>
      </c>
      <c r="Q528" s="90" t="str">
        <f>IF(VLOOKUP(UncLookup[[#This Row],[Item]],Items!$A$1:$F$43,4,FALSE)=0,"",VLOOKUP(UncLookup[[#This Row],[Item]],Items!$A$1:$F$43,4,FALSE))</f>
        <v/>
      </c>
    </row>
    <row r="529" spans="1:17" x14ac:dyDescent="0.25">
      <c r="A529" s="76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90" t="str">
        <f>IF(VLOOKUP(UncLookup[[#This Row],[Item]],Items!$A$1:$F$43,2,FALSE)=0,"",VLOOKUP(UncLookup[[#This Row],[Item]],Items!$A$1:$F$43,2,FALSE))</f>
        <v/>
      </c>
      <c r="P529" s="90" t="str">
        <f>IF(VLOOKUP(UncLookup[[#This Row],[Item]],Items!$A$1:$F$43,3,FALSE)=0,"",VLOOKUP(UncLookup[[#This Row],[Item]],Items!$A$1:$F$43,3,FALSE))</f>
        <v/>
      </c>
      <c r="Q529" s="90" t="str">
        <f>IF(VLOOKUP(UncLookup[[#This Row],[Item]],Items!$A$1:$F$43,4,FALSE)=0,"",VLOOKUP(UncLookup[[#This Row],[Item]],Items!$A$1:$F$43,4,FALSE))</f>
        <v/>
      </c>
    </row>
    <row r="530" spans="1:17" x14ac:dyDescent="0.25">
      <c r="A530" s="75" t="s">
        <v>56</v>
      </c>
      <c r="B530" s="75" t="s">
        <v>8</v>
      </c>
      <c r="C530" s="75">
        <v>0.01</v>
      </c>
      <c r="D530" s="75">
        <v>0.1</v>
      </c>
      <c r="E530" s="75">
        <v>1.0000000000000001E-5</v>
      </c>
      <c r="F530" s="75" t="s">
        <v>6</v>
      </c>
      <c r="G530" s="75" t="s">
        <v>5</v>
      </c>
      <c r="H530" s="75">
        <v>8000</v>
      </c>
      <c r="I530" s="75">
        <v>10000</v>
      </c>
      <c r="J530" s="75" t="s">
        <v>10</v>
      </c>
      <c r="K530" s="75">
        <v>450</v>
      </c>
      <c r="L530" s="75">
        <v>170040</v>
      </c>
      <c r="M530" s="75">
        <v>115.41</v>
      </c>
      <c r="N530" s="75">
        <v>173280</v>
      </c>
      <c r="O530" s="90" t="str">
        <f>IF(VLOOKUP(UncLookup[[#This Row],[Item]],Items!$A$1:$F$43,2,FALSE)=0,"",VLOOKUP(UncLookup[[#This Row],[Item]],Items!$A$1:$F$43,2,FALSE))</f>
        <v/>
      </c>
      <c r="P530" s="90" t="str">
        <f>IF(VLOOKUP(UncLookup[[#This Row],[Item]],Items!$A$1:$F$43,3,FALSE)=0,"",VLOOKUP(UncLookup[[#This Row],[Item]],Items!$A$1:$F$43,3,FALSE))</f>
        <v/>
      </c>
      <c r="Q530" s="90" t="str">
        <f>IF(VLOOKUP(UncLookup[[#This Row],[Item]],Items!$A$1:$F$43,4,FALSE)=0,"",VLOOKUP(UncLookup[[#This Row],[Item]],Items!$A$1:$F$43,4,FALSE))</f>
        <v/>
      </c>
    </row>
    <row r="531" spans="1:17" x14ac:dyDescent="0.25">
      <c r="A531" s="76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90" t="str">
        <f>IF(VLOOKUP(UncLookup[[#This Row],[Item]],Items!$A$1:$F$43,2,FALSE)=0,"",VLOOKUP(UncLookup[[#This Row],[Item]],Items!$A$1:$F$43,2,FALSE))</f>
        <v/>
      </c>
      <c r="P531" s="90" t="str">
        <f>IF(VLOOKUP(UncLookup[[#This Row],[Item]],Items!$A$1:$F$43,3,FALSE)=0,"",VLOOKUP(UncLookup[[#This Row],[Item]],Items!$A$1:$F$43,3,FALSE))</f>
        <v/>
      </c>
      <c r="Q531" s="90" t="str">
        <f>IF(VLOOKUP(UncLookup[[#This Row],[Item]],Items!$A$1:$F$43,4,FALSE)=0,"",VLOOKUP(UncLookup[[#This Row],[Item]],Items!$A$1:$F$43,4,FALSE))</f>
        <v/>
      </c>
    </row>
    <row r="532" spans="1:17" x14ac:dyDescent="0.25">
      <c r="A532" s="75" t="s">
        <v>56</v>
      </c>
      <c r="B532" s="75" t="s">
        <v>8</v>
      </c>
      <c r="C532" s="75">
        <v>0.01</v>
      </c>
      <c r="D532" s="75">
        <v>0.1</v>
      </c>
      <c r="E532" s="75">
        <v>1.0000000000000001E-5</v>
      </c>
      <c r="F532" s="75" t="s">
        <v>6</v>
      </c>
      <c r="G532" s="75" t="s">
        <v>5</v>
      </c>
      <c r="H532" s="75">
        <v>4000</v>
      </c>
      <c r="I532" s="75">
        <v>8000</v>
      </c>
      <c r="J532" s="75" t="s">
        <v>10</v>
      </c>
      <c r="K532" s="75">
        <v>120</v>
      </c>
      <c r="L532" s="75">
        <v>46000</v>
      </c>
      <c r="M532" s="75">
        <v>92.287000000000006</v>
      </c>
      <c r="N532" s="75">
        <v>46261</v>
      </c>
      <c r="O532" s="90" t="str">
        <f>IF(VLOOKUP(UncLookup[[#This Row],[Item]],Items!$A$1:$F$43,2,FALSE)=0,"",VLOOKUP(UncLookup[[#This Row],[Item]],Items!$A$1:$F$43,2,FALSE))</f>
        <v/>
      </c>
      <c r="P532" s="90" t="str">
        <f>IF(VLOOKUP(UncLookup[[#This Row],[Item]],Items!$A$1:$F$43,3,FALSE)=0,"",VLOOKUP(UncLookup[[#This Row],[Item]],Items!$A$1:$F$43,3,FALSE))</f>
        <v/>
      </c>
      <c r="Q532" s="90" t="str">
        <f>IF(VLOOKUP(UncLookup[[#This Row],[Item]],Items!$A$1:$F$43,4,FALSE)=0,"",VLOOKUP(UncLookup[[#This Row],[Item]],Items!$A$1:$F$43,4,FALSE))</f>
        <v/>
      </c>
    </row>
    <row r="533" spans="1:17" x14ac:dyDescent="0.25">
      <c r="A533" s="76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90" t="str">
        <f>IF(VLOOKUP(UncLookup[[#This Row],[Item]],Items!$A$1:$F$43,2,FALSE)=0,"",VLOOKUP(UncLookup[[#This Row],[Item]],Items!$A$1:$F$43,2,FALSE))</f>
        <v/>
      </c>
      <c r="P533" s="90" t="str">
        <f>IF(VLOOKUP(UncLookup[[#This Row],[Item]],Items!$A$1:$F$43,3,FALSE)=0,"",VLOOKUP(UncLookup[[#This Row],[Item]],Items!$A$1:$F$43,3,FALSE))</f>
        <v/>
      </c>
      <c r="Q533" s="90" t="str">
        <f>IF(VLOOKUP(UncLookup[[#This Row],[Item]],Items!$A$1:$F$43,4,FALSE)=0,"",VLOOKUP(UncLookup[[#This Row],[Item]],Items!$A$1:$F$43,4,FALSE))</f>
        <v/>
      </c>
    </row>
    <row r="534" spans="1:17" x14ac:dyDescent="0.25">
      <c r="A534" s="75" t="s">
        <v>56</v>
      </c>
      <c r="B534" s="75" t="s">
        <v>8</v>
      </c>
      <c r="C534" s="75">
        <v>0.01</v>
      </c>
      <c r="D534" s="75">
        <v>0.1</v>
      </c>
      <c r="E534" s="75">
        <v>1E-4</v>
      </c>
      <c r="F534" s="75" t="s">
        <v>6</v>
      </c>
      <c r="G534" s="75" t="s">
        <v>5</v>
      </c>
      <c r="H534" s="75">
        <v>4000</v>
      </c>
      <c r="I534" s="75">
        <v>8000</v>
      </c>
      <c r="J534" s="75" t="s">
        <v>10</v>
      </c>
      <c r="K534" s="75">
        <v>120</v>
      </c>
      <c r="L534" s="75">
        <v>46000</v>
      </c>
      <c r="M534" s="75">
        <v>95.542000000000002</v>
      </c>
      <c r="N534" s="75">
        <v>46232</v>
      </c>
      <c r="O534" s="90" t="str">
        <f>IF(VLOOKUP(UncLookup[[#This Row],[Item]],Items!$A$1:$F$43,2,FALSE)=0,"",VLOOKUP(UncLookup[[#This Row],[Item]],Items!$A$1:$F$43,2,FALSE))</f>
        <v/>
      </c>
      <c r="P534" s="90" t="str">
        <f>IF(VLOOKUP(UncLookup[[#This Row],[Item]],Items!$A$1:$F$43,3,FALSE)=0,"",VLOOKUP(UncLookup[[#This Row],[Item]],Items!$A$1:$F$43,3,FALSE))</f>
        <v/>
      </c>
      <c r="Q534" s="90" t="str">
        <f>IF(VLOOKUP(UncLookup[[#This Row],[Item]],Items!$A$1:$F$43,4,FALSE)=0,"",VLOOKUP(UncLookup[[#This Row],[Item]],Items!$A$1:$F$43,4,FALSE))</f>
        <v/>
      </c>
    </row>
    <row r="535" spans="1:17" x14ac:dyDescent="0.25">
      <c r="A535" s="76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90" t="str">
        <f>IF(VLOOKUP(UncLookup[[#This Row],[Item]],Items!$A$1:$F$43,2,FALSE)=0,"",VLOOKUP(UncLookup[[#This Row],[Item]],Items!$A$1:$F$43,2,FALSE))</f>
        <v/>
      </c>
      <c r="P535" s="90" t="str">
        <f>IF(VLOOKUP(UncLookup[[#This Row],[Item]],Items!$A$1:$F$43,3,FALSE)=0,"",VLOOKUP(UncLookup[[#This Row],[Item]],Items!$A$1:$F$43,3,FALSE))</f>
        <v/>
      </c>
      <c r="Q535" s="90" t="str">
        <f>IF(VLOOKUP(UncLookup[[#This Row],[Item]],Items!$A$1:$F$43,4,FALSE)=0,"",VLOOKUP(UncLookup[[#This Row],[Item]],Items!$A$1:$F$43,4,FALSE))</f>
        <v/>
      </c>
    </row>
    <row r="536" spans="1:17" x14ac:dyDescent="0.25">
      <c r="A536" s="75" t="s">
        <v>56</v>
      </c>
      <c r="B536" s="75" t="s">
        <v>8</v>
      </c>
      <c r="C536" s="75">
        <v>0.01</v>
      </c>
      <c r="D536" s="75">
        <v>0.1</v>
      </c>
      <c r="E536" s="75">
        <v>1E-4</v>
      </c>
      <c r="F536" s="75" t="s">
        <v>6</v>
      </c>
      <c r="G536" s="75" t="s">
        <v>5</v>
      </c>
      <c r="H536" s="75">
        <v>1000</v>
      </c>
      <c r="I536" s="75">
        <v>2000</v>
      </c>
      <c r="J536" s="75" t="s">
        <v>10</v>
      </c>
      <c r="K536" s="75">
        <v>53</v>
      </c>
      <c r="L536" s="75">
        <v>17065</v>
      </c>
      <c r="M536" s="75">
        <v>21.129000000000001</v>
      </c>
      <c r="N536" s="75">
        <v>17327</v>
      </c>
      <c r="O536" s="90" t="str">
        <f>IF(VLOOKUP(UncLookup[[#This Row],[Item]],Items!$A$1:$F$43,2,FALSE)=0,"",VLOOKUP(UncLookup[[#This Row],[Item]],Items!$A$1:$F$43,2,FALSE))</f>
        <v/>
      </c>
      <c r="P536" s="90" t="str">
        <f>IF(VLOOKUP(UncLookup[[#This Row],[Item]],Items!$A$1:$F$43,3,FALSE)=0,"",VLOOKUP(UncLookup[[#This Row],[Item]],Items!$A$1:$F$43,3,FALSE))</f>
        <v/>
      </c>
      <c r="Q536" s="90" t="str">
        <f>IF(VLOOKUP(UncLookup[[#This Row],[Item]],Items!$A$1:$F$43,4,FALSE)=0,"",VLOOKUP(UncLookup[[#This Row],[Item]],Items!$A$1:$F$43,4,FALSE))</f>
        <v/>
      </c>
    </row>
    <row r="537" spans="1:17" x14ac:dyDescent="0.25">
      <c r="A537" s="76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90" t="str">
        <f>IF(VLOOKUP(UncLookup[[#This Row],[Item]],Items!$A$1:$F$43,2,FALSE)=0,"",VLOOKUP(UncLookup[[#This Row],[Item]],Items!$A$1:$F$43,2,FALSE))</f>
        <v/>
      </c>
      <c r="P537" s="90" t="str">
        <f>IF(VLOOKUP(UncLookup[[#This Row],[Item]],Items!$A$1:$F$43,3,FALSE)=0,"",VLOOKUP(UncLookup[[#This Row],[Item]],Items!$A$1:$F$43,3,FALSE))</f>
        <v/>
      </c>
      <c r="Q537" s="90" t="str">
        <f>IF(VLOOKUP(UncLookup[[#This Row],[Item]],Items!$A$1:$F$43,4,FALSE)=0,"",VLOOKUP(UncLookup[[#This Row],[Item]],Items!$A$1:$F$43,4,FALSE))</f>
        <v/>
      </c>
    </row>
    <row r="538" spans="1:17" x14ac:dyDescent="0.25">
      <c r="A538" s="75" t="s">
        <v>56</v>
      </c>
      <c r="B538" s="75" t="s">
        <v>8</v>
      </c>
      <c r="C538" s="75">
        <v>0.01</v>
      </c>
      <c r="D538" s="75">
        <v>0.1</v>
      </c>
      <c r="E538" s="75">
        <v>1E-4</v>
      </c>
      <c r="F538" s="75" t="s">
        <v>6</v>
      </c>
      <c r="G538" s="75" t="s">
        <v>5</v>
      </c>
      <c r="H538" s="75">
        <v>8000</v>
      </c>
      <c r="I538" s="75">
        <v>10000</v>
      </c>
      <c r="J538" s="75" t="s">
        <v>10</v>
      </c>
      <c r="K538" s="75">
        <v>450</v>
      </c>
      <c r="L538" s="75">
        <v>170040</v>
      </c>
      <c r="M538" s="75">
        <v>116.4</v>
      </c>
      <c r="N538" s="75">
        <v>173270</v>
      </c>
      <c r="O538" s="90" t="str">
        <f>IF(VLOOKUP(UncLookup[[#This Row],[Item]],Items!$A$1:$F$43,2,FALSE)=0,"",VLOOKUP(UncLookup[[#This Row],[Item]],Items!$A$1:$F$43,2,FALSE))</f>
        <v/>
      </c>
      <c r="P538" s="90" t="str">
        <f>IF(VLOOKUP(UncLookup[[#This Row],[Item]],Items!$A$1:$F$43,3,FALSE)=0,"",VLOOKUP(UncLookup[[#This Row],[Item]],Items!$A$1:$F$43,3,FALSE))</f>
        <v/>
      </c>
      <c r="Q538" s="90" t="str">
        <f>IF(VLOOKUP(UncLookup[[#This Row],[Item]],Items!$A$1:$F$43,4,FALSE)=0,"",VLOOKUP(UncLookup[[#This Row],[Item]],Items!$A$1:$F$43,4,FALSE))</f>
        <v/>
      </c>
    </row>
    <row r="539" spans="1:17" x14ac:dyDescent="0.25">
      <c r="A539" s="76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90" t="str">
        <f>IF(VLOOKUP(UncLookup[[#This Row],[Item]],Items!$A$1:$F$43,2,FALSE)=0,"",VLOOKUP(UncLookup[[#This Row],[Item]],Items!$A$1:$F$43,2,FALSE))</f>
        <v/>
      </c>
      <c r="P539" s="90" t="str">
        <f>IF(VLOOKUP(UncLookup[[#This Row],[Item]],Items!$A$1:$F$43,3,FALSE)=0,"",VLOOKUP(UncLookup[[#This Row],[Item]],Items!$A$1:$F$43,3,FALSE))</f>
        <v/>
      </c>
      <c r="Q539" s="90" t="str">
        <f>IF(VLOOKUP(UncLookup[[#This Row],[Item]],Items!$A$1:$F$43,4,FALSE)=0,"",VLOOKUP(UncLookup[[#This Row],[Item]],Items!$A$1:$F$43,4,FALSE))</f>
        <v/>
      </c>
    </row>
    <row r="540" spans="1:17" x14ac:dyDescent="0.25">
      <c r="A540" s="75" t="s">
        <v>56</v>
      </c>
      <c r="B540" s="75" t="s">
        <v>8</v>
      </c>
      <c r="C540" s="75">
        <v>0.01</v>
      </c>
      <c r="D540" s="75">
        <v>0.1</v>
      </c>
      <c r="E540" s="75">
        <v>1E-4</v>
      </c>
      <c r="F540" s="75" t="s">
        <v>6</v>
      </c>
      <c r="G540" s="75" t="s">
        <v>5</v>
      </c>
      <c r="H540" s="75">
        <v>2000</v>
      </c>
      <c r="I540" s="75">
        <v>4000</v>
      </c>
      <c r="J540" s="75" t="s">
        <v>10</v>
      </c>
      <c r="K540" s="75">
        <v>110</v>
      </c>
      <c r="L540" s="75">
        <v>46000</v>
      </c>
      <c r="M540" s="75">
        <v>84.138999999999996</v>
      </c>
      <c r="N540" s="75">
        <v>46193</v>
      </c>
      <c r="O540" s="90" t="str">
        <f>IF(VLOOKUP(UncLookup[[#This Row],[Item]],Items!$A$1:$F$43,2,FALSE)=0,"",VLOOKUP(UncLookup[[#This Row],[Item]],Items!$A$1:$F$43,2,FALSE))</f>
        <v/>
      </c>
      <c r="P540" s="90" t="str">
        <f>IF(VLOOKUP(UncLookup[[#This Row],[Item]],Items!$A$1:$F$43,3,FALSE)=0,"",VLOOKUP(UncLookup[[#This Row],[Item]],Items!$A$1:$F$43,3,FALSE))</f>
        <v/>
      </c>
      <c r="Q540" s="90" t="str">
        <f>IF(VLOOKUP(UncLookup[[#This Row],[Item]],Items!$A$1:$F$43,4,FALSE)=0,"",VLOOKUP(UncLookup[[#This Row],[Item]],Items!$A$1:$F$43,4,FALSE))</f>
        <v/>
      </c>
    </row>
    <row r="541" spans="1:17" x14ac:dyDescent="0.25">
      <c r="A541" s="76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90" t="str">
        <f>IF(VLOOKUP(UncLookup[[#This Row],[Item]],Items!$A$1:$F$43,2,FALSE)=0,"",VLOOKUP(UncLookup[[#This Row],[Item]],Items!$A$1:$F$43,2,FALSE))</f>
        <v/>
      </c>
      <c r="P541" s="90" t="str">
        <f>IF(VLOOKUP(UncLookup[[#This Row],[Item]],Items!$A$1:$F$43,3,FALSE)=0,"",VLOOKUP(UncLookup[[#This Row],[Item]],Items!$A$1:$F$43,3,FALSE))</f>
        <v/>
      </c>
      <c r="Q541" s="90" t="str">
        <f>IF(VLOOKUP(UncLookup[[#This Row],[Item]],Items!$A$1:$F$43,4,FALSE)=0,"",VLOOKUP(UncLookup[[#This Row],[Item]],Items!$A$1:$F$43,4,FALSE))</f>
        <v/>
      </c>
    </row>
    <row r="542" spans="1:17" x14ac:dyDescent="0.25">
      <c r="A542" s="75" t="s">
        <v>56</v>
      </c>
      <c r="B542" s="75" t="s">
        <v>8</v>
      </c>
      <c r="C542" s="75">
        <v>0.01</v>
      </c>
      <c r="D542" s="75">
        <v>0.1</v>
      </c>
      <c r="E542" s="75">
        <v>1E-4</v>
      </c>
      <c r="F542" s="75" t="s">
        <v>6</v>
      </c>
      <c r="G542" s="75" t="s">
        <v>5</v>
      </c>
      <c r="H542" s="75">
        <v>100</v>
      </c>
      <c r="I542" s="75">
        <v>300</v>
      </c>
      <c r="J542" s="75" t="s">
        <v>10</v>
      </c>
      <c r="K542" s="75">
        <v>41.904000000000003</v>
      </c>
      <c r="L542" s="75">
        <v>3219</v>
      </c>
      <c r="M542" s="75">
        <v>41.802</v>
      </c>
      <c r="N542" s="75">
        <v>3219.4</v>
      </c>
      <c r="O542" s="90" t="str">
        <f>IF(VLOOKUP(UncLookup[[#This Row],[Item]],Items!$A$1:$F$43,2,FALSE)=0,"",VLOOKUP(UncLookup[[#This Row],[Item]],Items!$A$1:$F$43,2,FALSE))</f>
        <v/>
      </c>
      <c r="P542" s="90" t="str">
        <f>IF(VLOOKUP(UncLookup[[#This Row],[Item]],Items!$A$1:$F$43,3,FALSE)=0,"",VLOOKUP(UncLookup[[#This Row],[Item]],Items!$A$1:$F$43,3,FALSE))</f>
        <v/>
      </c>
      <c r="Q542" s="90" t="str">
        <f>IF(VLOOKUP(UncLookup[[#This Row],[Item]],Items!$A$1:$F$43,4,FALSE)=0,"",VLOOKUP(UncLookup[[#This Row],[Item]],Items!$A$1:$F$43,4,FALSE))</f>
        <v/>
      </c>
    </row>
    <row r="543" spans="1:17" x14ac:dyDescent="0.25">
      <c r="A543" s="76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90" t="str">
        <f>IF(VLOOKUP(UncLookup[[#This Row],[Item]],Items!$A$1:$F$43,2,FALSE)=0,"",VLOOKUP(UncLookup[[#This Row],[Item]],Items!$A$1:$F$43,2,FALSE))</f>
        <v/>
      </c>
      <c r="P543" s="90" t="str">
        <f>IF(VLOOKUP(UncLookup[[#This Row],[Item]],Items!$A$1:$F$43,3,FALSE)=0,"",VLOOKUP(UncLookup[[#This Row],[Item]],Items!$A$1:$F$43,3,FALSE))</f>
        <v/>
      </c>
      <c r="Q543" s="90" t="str">
        <f>IF(VLOOKUP(UncLookup[[#This Row],[Item]],Items!$A$1:$F$43,4,FALSE)=0,"",VLOOKUP(UncLookup[[#This Row],[Item]],Items!$A$1:$F$43,4,FALSE))</f>
        <v/>
      </c>
    </row>
    <row r="544" spans="1:17" x14ac:dyDescent="0.25">
      <c r="A544" s="75" t="s">
        <v>56</v>
      </c>
      <c r="B544" s="75" t="s">
        <v>8</v>
      </c>
      <c r="C544" s="75">
        <v>0.01</v>
      </c>
      <c r="D544" s="75">
        <v>0.1</v>
      </c>
      <c r="E544" s="75">
        <v>1E-4</v>
      </c>
      <c r="F544" s="75" t="s">
        <v>6</v>
      </c>
      <c r="G544" s="75" t="s">
        <v>5</v>
      </c>
      <c r="H544" s="75">
        <v>1</v>
      </c>
      <c r="I544" s="75">
        <v>20</v>
      </c>
      <c r="J544" s="75" t="s">
        <v>10</v>
      </c>
      <c r="K544" s="75">
        <v>57.628</v>
      </c>
      <c r="L544" s="75">
        <v>32.01</v>
      </c>
      <c r="M544" s="75">
        <v>57.625999999999998</v>
      </c>
      <c r="N544" s="75">
        <v>31.951000000000001</v>
      </c>
      <c r="O544" s="90" t="str">
        <f>IF(VLOOKUP(UncLookup[[#This Row],[Item]],Items!$A$1:$F$43,2,FALSE)=0,"",VLOOKUP(UncLookup[[#This Row],[Item]],Items!$A$1:$F$43,2,FALSE))</f>
        <v/>
      </c>
      <c r="P544" s="90" t="str">
        <f>IF(VLOOKUP(UncLookup[[#This Row],[Item]],Items!$A$1:$F$43,3,FALSE)=0,"",VLOOKUP(UncLookup[[#This Row],[Item]],Items!$A$1:$F$43,3,FALSE))</f>
        <v/>
      </c>
      <c r="Q544" s="90" t="str">
        <f>IF(VLOOKUP(UncLookup[[#This Row],[Item]],Items!$A$1:$F$43,4,FALSE)=0,"",VLOOKUP(UncLookup[[#This Row],[Item]],Items!$A$1:$F$43,4,FALSE))</f>
        <v/>
      </c>
    </row>
    <row r="545" spans="1:17" x14ac:dyDescent="0.25">
      <c r="A545" s="76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90" t="str">
        <f>IF(VLOOKUP(UncLookup[[#This Row],[Item]],Items!$A$1:$F$43,2,FALSE)=0,"",VLOOKUP(UncLookup[[#This Row],[Item]],Items!$A$1:$F$43,2,FALSE))</f>
        <v/>
      </c>
      <c r="P545" s="90" t="str">
        <f>IF(VLOOKUP(UncLookup[[#This Row],[Item]],Items!$A$1:$F$43,3,FALSE)=0,"",VLOOKUP(UncLookup[[#This Row],[Item]],Items!$A$1:$F$43,3,FALSE))</f>
        <v/>
      </c>
      <c r="Q545" s="90" t="str">
        <f>IF(VLOOKUP(UncLookup[[#This Row],[Item]],Items!$A$1:$F$43,4,FALSE)=0,"",VLOOKUP(UncLookup[[#This Row],[Item]],Items!$A$1:$F$43,4,FALSE))</f>
        <v/>
      </c>
    </row>
    <row r="546" spans="1:17" x14ac:dyDescent="0.25">
      <c r="A546" s="75" t="s">
        <v>56</v>
      </c>
      <c r="B546" s="75" t="s">
        <v>8</v>
      </c>
      <c r="C546" s="75">
        <v>0.01</v>
      </c>
      <c r="D546" s="75">
        <v>0.1</v>
      </c>
      <c r="E546" s="75">
        <v>1E-3</v>
      </c>
      <c r="F546" s="75" t="s">
        <v>6</v>
      </c>
      <c r="G546" s="75" t="s">
        <v>5</v>
      </c>
      <c r="H546" s="75">
        <v>1000</v>
      </c>
      <c r="I546" s="75">
        <v>2000</v>
      </c>
      <c r="J546" s="75" t="s">
        <v>10</v>
      </c>
      <c r="K546" s="75">
        <v>469.05</v>
      </c>
      <c r="L546" s="75">
        <v>13766</v>
      </c>
      <c r="M546" s="75">
        <v>433.19</v>
      </c>
      <c r="N546" s="75">
        <v>13767</v>
      </c>
      <c r="O546" s="90" t="str">
        <f>IF(VLOOKUP(UncLookup[[#This Row],[Item]],Items!$A$1:$F$43,2,FALSE)=0,"",VLOOKUP(UncLookup[[#This Row],[Item]],Items!$A$1:$F$43,2,FALSE))</f>
        <v/>
      </c>
      <c r="P546" s="90" t="str">
        <f>IF(VLOOKUP(UncLookup[[#This Row],[Item]],Items!$A$1:$F$43,3,FALSE)=0,"",VLOOKUP(UncLookup[[#This Row],[Item]],Items!$A$1:$F$43,3,FALSE))</f>
        <v/>
      </c>
      <c r="Q546" s="90" t="str">
        <f>IF(VLOOKUP(UncLookup[[#This Row],[Item]],Items!$A$1:$F$43,4,FALSE)=0,"",VLOOKUP(UncLookup[[#This Row],[Item]],Items!$A$1:$F$43,4,FALSE))</f>
        <v/>
      </c>
    </row>
    <row r="547" spans="1:17" x14ac:dyDescent="0.25">
      <c r="A547" s="76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90" t="str">
        <f>IF(VLOOKUP(UncLookup[[#This Row],[Item]],Items!$A$1:$F$43,2,FALSE)=0,"",VLOOKUP(UncLookup[[#This Row],[Item]],Items!$A$1:$F$43,2,FALSE))</f>
        <v/>
      </c>
      <c r="P547" s="90" t="str">
        <f>IF(VLOOKUP(UncLookup[[#This Row],[Item]],Items!$A$1:$F$43,3,FALSE)=0,"",VLOOKUP(UncLookup[[#This Row],[Item]],Items!$A$1:$F$43,3,FALSE))</f>
        <v/>
      </c>
      <c r="Q547" s="90" t="str">
        <f>IF(VLOOKUP(UncLookup[[#This Row],[Item]],Items!$A$1:$F$43,4,FALSE)=0,"",VLOOKUP(UncLookup[[#This Row],[Item]],Items!$A$1:$F$43,4,FALSE))</f>
        <v/>
      </c>
    </row>
    <row r="548" spans="1:17" x14ac:dyDescent="0.25">
      <c r="A548" s="75" t="s">
        <v>56</v>
      </c>
      <c r="B548" s="75" t="s">
        <v>8</v>
      </c>
      <c r="C548" s="75">
        <v>0.01</v>
      </c>
      <c r="D548" s="75">
        <v>0.1</v>
      </c>
      <c r="E548" s="75">
        <v>1E-3</v>
      </c>
      <c r="F548" s="75" t="s">
        <v>6</v>
      </c>
      <c r="G548" s="75" t="s">
        <v>5</v>
      </c>
      <c r="H548" s="75">
        <v>0.04</v>
      </c>
      <c r="I548" s="75">
        <v>1</v>
      </c>
      <c r="J548" s="75" t="s">
        <v>10</v>
      </c>
      <c r="K548" s="75">
        <v>577.36</v>
      </c>
      <c r="L548" s="75">
        <v>1.1266</v>
      </c>
      <c r="M548" s="75">
        <v>577.26</v>
      </c>
      <c r="N548" s="75">
        <v>1.1012</v>
      </c>
      <c r="O548" s="90" t="str">
        <f>IF(VLOOKUP(UncLookup[[#This Row],[Item]],Items!$A$1:$F$43,2,FALSE)=0,"",VLOOKUP(UncLookup[[#This Row],[Item]],Items!$A$1:$F$43,2,FALSE))</f>
        <v/>
      </c>
      <c r="P548" s="90" t="str">
        <f>IF(VLOOKUP(UncLookup[[#This Row],[Item]],Items!$A$1:$F$43,3,FALSE)=0,"",VLOOKUP(UncLookup[[#This Row],[Item]],Items!$A$1:$F$43,3,FALSE))</f>
        <v/>
      </c>
      <c r="Q548" s="90" t="str">
        <f>IF(VLOOKUP(UncLookup[[#This Row],[Item]],Items!$A$1:$F$43,4,FALSE)=0,"",VLOOKUP(UncLookup[[#This Row],[Item]],Items!$A$1:$F$43,4,FALSE))</f>
        <v/>
      </c>
    </row>
    <row r="549" spans="1:17" x14ac:dyDescent="0.25">
      <c r="A549" s="76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90" t="str">
        <f>IF(VLOOKUP(UncLookup[[#This Row],[Item]],Items!$A$1:$F$43,2,FALSE)=0,"",VLOOKUP(UncLookup[[#This Row],[Item]],Items!$A$1:$F$43,2,FALSE))</f>
        <v/>
      </c>
      <c r="P549" s="90" t="str">
        <f>IF(VLOOKUP(UncLookup[[#This Row],[Item]],Items!$A$1:$F$43,3,FALSE)=0,"",VLOOKUP(UncLookup[[#This Row],[Item]],Items!$A$1:$F$43,3,FALSE))</f>
        <v/>
      </c>
      <c r="Q549" s="90" t="str">
        <f>IF(VLOOKUP(UncLookup[[#This Row],[Item]],Items!$A$1:$F$43,4,FALSE)=0,"",VLOOKUP(UncLookup[[#This Row],[Item]],Items!$A$1:$F$43,4,FALSE))</f>
        <v/>
      </c>
    </row>
    <row r="550" spans="1:17" x14ac:dyDescent="0.25">
      <c r="A550" s="75" t="s">
        <v>56</v>
      </c>
      <c r="B550" s="75" t="s">
        <v>8</v>
      </c>
      <c r="C550" s="75">
        <v>0.01</v>
      </c>
      <c r="D550" s="75">
        <v>0.1</v>
      </c>
      <c r="E550" s="75">
        <v>1E-3</v>
      </c>
      <c r="F550" s="75" t="s">
        <v>6</v>
      </c>
      <c r="G550" s="75" t="s">
        <v>5</v>
      </c>
      <c r="H550" s="75">
        <v>300</v>
      </c>
      <c r="I550" s="75">
        <v>1000</v>
      </c>
      <c r="J550" s="75" t="s">
        <v>10</v>
      </c>
      <c r="K550" s="75">
        <v>511.75</v>
      </c>
      <c r="L550" s="75">
        <v>7972.6</v>
      </c>
      <c r="M550" s="75">
        <v>476.24</v>
      </c>
      <c r="N550" s="75">
        <v>7972.4</v>
      </c>
      <c r="O550" s="90" t="str">
        <f>IF(VLOOKUP(UncLookup[[#This Row],[Item]],Items!$A$1:$F$43,2,FALSE)=0,"",VLOOKUP(UncLookup[[#This Row],[Item]],Items!$A$1:$F$43,2,FALSE))</f>
        <v/>
      </c>
      <c r="P550" s="90" t="str">
        <f>IF(VLOOKUP(UncLookup[[#This Row],[Item]],Items!$A$1:$F$43,3,FALSE)=0,"",VLOOKUP(UncLookup[[#This Row],[Item]],Items!$A$1:$F$43,3,FALSE))</f>
        <v/>
      </c>
      <c r="Q550" s="90" t="str">
        <f>IF(VLOOKUP(UncLookup[[#This Row],[Item]],Items!$A$1:$F$43,4,FALSE)=0,"",VLOOKUP(UncLookup[[#This Row],[Item]],Items!$A$1:$F$43,4,FALSE))</f>
        <v/>
      </c>
    </row>
    <row r="551" spans="1:17" x14ac:dyDescent="0.25">
      <c r="A551" s="76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90" t="str">
        <f>IF(VLOOKUP(UncLookup[[#This Row],[Item]],Items!$A$1:$F$43,2,FALSE)=0,"",VLOOKUP(UncLookup[[#This Row],[Item]],Items!$A$1:$F$43,2,FALSE))</f>
        <v/>
      </c>
      <c r="P551" s="90" t="str">
        <f>IF(VLOOKUP(UncLookup[[#This Row],[Item]],Items!$A$1:$F$43,3,FALSE)=0,"",VLOOKUP(UncLookup[[#This Row],[Item]],Items!$A$1:$F$43,3,FALSE))</f>
        <v/>
      </c>
      <c r="Q551" s="90" t="str">
        <f>IF(VLOOKUP(UncLookup[[#This Row],[Item]],Items!$A$1:$F$43,4,FALSE)=0,"",VLOOKUP(UncLookup[[#This Row],[Item]],Items!$A$1:$F$43,4,FALSE))</f>
        <v/>
      </c>
    </row>
    <row r="552" spans="1:17" x14ac:dyDescent="0.25">
      <c r="A552" s="75" t="s">
        <v>56</v>
      </c>
      <c r="B552" s="75" t="s">
        <v>8</v>
      </c>
      <c r="C552" s="75">
        <v>0.01</v>
      </c>
      <c r="D552" s="75">
        <v>0.1</v>
      </c>
      <c r="E552" s="75">
        <v>1E-3</v>
      </c>
      <c r="F552" s="75" t="s">
        <v>6</v>
      </c>
      <c r="G552" s="75" t="s">
        <v>5</v>
      </c>
      <c r="H552" s="75">
        <v>1</v>
      </c>
      <c r="I552" s="75">
        <v>20</v>
      </c>
      <c r="J552" s="75" t="s">
        <v>10</v>
      </c>
      <c r="K552" s="75">
        <v>577.34</v>
      </c>
      <c r="L552" s="75">
        <v>3.3107000000000002</v>
      </c>
      <c r="M552" s="75">
        <v>577.05999999999995</v>
      </c>
      <c r="N552" s="75">
        <v>3.2852999999999999</v>
      </c>
      <c r="O552" s="90" t="str">
        <f>IF(VLOOKUP(UncLookup[[#This Row],[Item]],Items!$A$1:$F$43,2,FALSE)=0,"",VLOOKUP(UncLookup[[#This Row],[Item]],Items!$A$1:$F$43,2,FALSE))</f>
        <v/>
      </c>
      <c r="P552" s="90" t="str">
        <f>IF(VLOOKUP(UncLookup[[#This Row],[Item]],Items!$A$1:$F$43,3,FALSE)=0,"",VLOOKUP(UncLookup[[#This Row],[Item]],Items!$A$1:$F$43,3,FALSE))</f>
        <v/>
      </c>
      <c r="Q552" s="90" t="str">
        <f>IF(VLOOKUP(UncLookup[[#This Row],[Item]],Items!$A$1:$F$43,4,FALSE)=0,"",VLOOKUP(UncLookup[[#This Row],[Item]],Items!$A$1:$F$43,4,FALSE))</f>
        <v/>
      </c>
    </row>
    <row r="553" spans="1:17" x14ac:dyDescent="0.25">
      <c r="A553" s="76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90" t="str">
        <f>IF(VLOOKUP(UncLookup[[#This Row],[Item]],Items!$A$1:$F$43,2,FALSE)=0,"",VLOOKUP(UncLookup[[#This Row],[Item]],Items!$A$1:$F$43,2,FALSE))</f>
        <v/>
      </c>
      <c r="P553" s="90" t="str">
        <f>IF(VLOOKUP(UncLookup[[#This Row],[Item]],Items!$A$1:$F$43,3,FALSE)=0,"",VLOOKUP(UncLookup[[#This Row],[Item]],Items!$A$1:$F$43,3,FALSE))</f>
        <v/>
      </c>
      <c r="Q553" s="90" t="str">
        <f>IF(VLOOKUP(UncLookup[[#This Row],[Item]],Items!$A$1:$F$43,4,FALSE)=0,"",VLOOKUP(UncLookup[[#This Row],[Item]],Items!$A$1:$F$43,4,FALSE))</f>
        <v/>
      </c>
    </row>
    <row r="554" spans="1:17" x14ac:dyDescent="0.25">
      <c r="A554" s="75" t="s">
        <v>56</v>
      </c>
      <c r="B554" s="75" t="s">
        <v>8</v>
      </c>
      <c r="C554" s="75">
        <v>0.01</v>
      </c>
      <c r="D554" s="75">
        <v>0.1</v>
      </c>
      <c r="E554" s="75">
        <v>1E-3</v>
      </c>
      <c r="F554" s="75" t="s">
        <v>6</v>
      </c>
      <c r="G554" s="75" t="s">
        <v>5</v>
      </c>
      <c r="H554" s="75">
        <v>8000</v>
      </c>
      <c r="I554" s="75">
        <v>10000</v>
      </c>
      <c r="J554" s="75" t="s">
        <v>10</v>
      </c>
      <c r="K554" s="75">
        <v>450</v>
      </c>
      <c r="L554" s="75">
        <v>170150</v>
      </c>
      <c r="M554" s="75">
        <v>203.58</v>
      </c>
      <c r="N554" s="75">
        <v>172400</v>
      </c>
      <c r="O554" s="90" t="str">
        <f>IF(VLOOKUP(UncLookup[[#This Row],[Item]],Items!$A$1:$F$43,2,FALSE)=0,"",VLOOKUP(UncLookup[[#This Row],[Item]],Items!$A$1:$F$43,2,FALSE))</f>
        <v/>
      </c>
      <c r="P554" s="90" t="str">
        <f>IF(VLOOKUP(UncLookup[[#This Row],[Item]],Items!$A$1:$F$43,3,FALSE)=0,"",VLOOKUP(UncLookup[[#This Row],[Item]],Items!$A$1:$F$43,3,FALSE))</f>
        <v/>
      </c>
      <c r="Q554" s="90" t="str">
        <f>IF(VLOOKUP(UncLookup[[#This Row],[Item]],Items!$A$1:$F$43,4,FALSE)=0,"",VLOOKUP(UncLookup[[#This Row],[Item]],Items!$A$1:$F$43,4,FALSE))</f>
        <v/>
      </c>
    </row>
    <row r="555" spans="1:17" x14ac:dyDescent="0.25">
      <c r="A555" s="76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90" t="str">
        <f>IF(VLOOKUP(UncLookup[[#This Row],[Item]],Items!$A$1:$F$43,2,FALSE)=0,"",VLOOKUP(UncLookup[[#This Row],[Item]],Items!$A$1:$F$43,2,FALSE))</f>
        <v/>
      </c>
      <c r="P555" s="90" t="str">
        <f>IF(VLOOKUP(UncLookup[[#This Row],[Item]],Items!$A$1:$F$43,3,FALSE)=0,"",VLOOKUP(UncLookup[[#This Row],[Item]],Items!$A$1:$F$43,3,FALSE))</f>
        <v/>
      </c>
      <c r="Q555" s="90" t="str">
        <f>IF(VLOOKUP(UncLookup[[#This Row],[Item]],Items!$A$1:$F$43,4,FALSE)=0,"",VLOOKUP(UncLookup[[#This Row],[Item]],Items!$A$1:$F$43,4,FALSE))</f>
        <v/>
      </c>
    </row>
    <row r="556" spans="1:17" x14ac:dyDescent="0.25">
      <c r="A556" s="75" t="s">
        <v>56</v>
      </c>
      <c r="B556" s="75" t="s">
        <v>8</v>
      </c>
      <c r="C556" s="75">
        <v>0.1</v>
      </c>
      <c r="D556" s="75">
        <v>1</v>
      </c>
      <c r="E556" s="75">
        <v>9.9999999999999995E-8</v>
      </c>
      <c r="F556" s="75" t="s">
        <v>6</v>
      </c>
      <c r="G556" s="75" t="s">
        <v>5</v>
      </c>
      <c r="H556" s="75">
        <v>50</v>
      </c>
      <c r="I556" s="75">
        <v>100</v>
      </c>
      <c r="J556" s="75" t="s">
        <v>10</v>
      </c>
      <c r="K556" s="75">
        <v>27</v>
      </c>
      <c r="L556" s="75">
        <v>940</v>
      </c>
      <c r="M556" s="75">
        <v>23.140999999999998</v>
      </c>
      <c r="N556" s="75">
        <v>938.86</v>
      </c>
      <c r="O556" s="90" t="str">
        <f>IF(VLOOKUP(UncLookup[[#This Row],[Item]],Items!$A$1:$F$43,2,FALSE)=0,"",VLOOKUP(UncLookup[[#This Row],[Item]],Items!$A$1:$F$43,2,FALSE))</f>
        <v/>
      </c>
      <c r="P556" s="90" t="str">
        <f>IF(VLOOKUP(UncLookup[[#This Row],[Item]],Items!$A$1:$F$43,3,FALSE)=0,"",VLOOKUP(UncLookup[[#This Row],[Item]],Items!$A$1:$F$43,3,FALSE))</f>
        <v/>
      </c>
      <c r="Q556" s="90" t="str">
        <f>IF(VLOOKUP(UncLookup[[#This Row],[Item]],Items!$A$1:$F$43,4,FALSE)=0,"",VLOOKUP(UncLookup[[#This Row],[Item]],Items!$A$1:$F$43,4,FALSE))</f>
        <v/>
      </c>
    </row>
    <row r="557" spans="1:17" x14ac:dyDescent="0.25">
      <c r="A557" s="76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90" t="str">
        <f>IF(VLOOKUP(UncLookup[[#This Row],[Item]],Items!$A$1:$F$43,2,FALSE)=0,"",VLOOKUP(UncLookup[[#This Row],[Item]],Items!$A$1:$F$43,2,FALSE))</f>
        <v/>
      </c>
      <c r="P557" s="90" t="str">
        <f>IF(VLOOKUP(UncLookup[[#This Row],[Item]],Items!$A$1:$F$43,3,FALSE)=0,"",VLOOKUP(UncLookup[[#This Row],[Item]],Items!$A$1:$F$43,3,FALSE))</f>
        <v/>
      </c>
      <c r="Q557" s="90" t="str">
        <f>IF(VLOOKUP(UncLookup[[#This Row],[Item]],Items!$A$1:$F$43,4,FALSE)=0,"",VLOOKUP(UncLookup[[#This Row],[Item]],Items!$A$1:$F$43,4,FALSE))</f>
        <v/>
      </c>
    </row>
    <row r="558" spans="1:17" x14ac:dyDescent="0.25">
      <c r="A558" s="75" t="s">
        <v>56</v>
      </c>
      <c r="B558" s="75" t="s">
        <v>8</v>
      </c>
      <c r="C558" s="75">
        <v>0.1</v>
      </c>
      <c r="D558" s="75">
        <v>1</v>
      </c>
      <c r="E558" s="75">
        <v>9.9999999999999995E-8</v>
      </c>
      <c r="F558" s="75" t="s">
        <v>6</v>
      </c>
      <c r="G558" s="75" t="s">
        <v>4</v>
      </c>
      <c r="H558" s="75">
        <v>4000</v>
      </c>
      <c r="I558" s="75">
        <v>8000</v>
      </c>
      <c r="J558" s="75" t="s">
        <v>10</v>
      </c>
      <c r="K558" s="75">
        <v>1.3</v>
      </c>
      <c r="L558" s="75">
        <v>46</v>
      </c>
      <c r="M558" s="75">
        <v>0.91605999999999999</v>
      </c>
      <c r="N558" s="75">
        <v>46.326000000000001</v>
      </c>
      <c r="O558" s="90" t="str">
        <f>IF(VLOOKUP(UncLookup[[#This Row],[Item]],Items!$A$1:$F$43,2,FALSE)=0,"",VLOOKUP(UncLookup[[#This Row],[Item]],Items!$A$1:$F$43,2,FALSE))</f>
        <v/>
      </c>
      <c r="P558" s="90" t="str">
        <f>IF(VLOOKUP(UncLookup[[#This Row],[Item]],Items!$A$1:$F$43,3,FALSE)=0,"",VLOOKUP(UncLookup[[#This Row],[Item]],Items!$A$1:$F$43,3,FALSE))</f>
        <v/>
      </c>
      <c r="Q558" s="90" t="str">
        <f>IF(VLOOKUP(UncLookup[[#This Row],[Item]],Items!$A$1:$F$43,4,FALSE)=0,"",VLOOKUP(UncLookup[[#This Row],[Item]],Items!$A$1:$F$43,4,FALSE))</f>
        <v/>
      </c>
    </row>
    <row r="559" spans="1:17" x14ac:dyDescent="0.25">
      <c r="A559" s="76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90" t="str">
        <f>IF(VLOOKUP(UncLookup[[#This Row],[Item]],Items!$A$1:$F$43,2,FALSE)=0,"",VLOOKUP(UncLookup[[#This Row],[Item]],Items!$A$1:$F$43,2,FALSE))</f>
        <v/>
      </c>
      <c r="P559" s="90" t="str">
        <f>IF(VLOOKUP(UncLookup[[#This Row],[Item]],Items!$A$1:$F$43,3,FALSE)=0,"",VLOOKUP(UncLookup[[#This Row],[Item]],Items!$A$1:$F$43,3,FALSE))</f>
        <v/>
      </c>
      <c r="Q559" s="90" t="str">
        <f>IF(VLOOKUP(UncLookup[[#This Row],[Item]],Items!$A$1:$F$43,4,FALSE)=0,"",VLOOKUP(UncLookup[[#This Row],[Item]],Items!$A$1:$F$43,4,FALSE))</f>
        <v/>
      </c>
    </row>
    <row r="560" spans="1:17" x14ac:dyDescent="0.25">
      <c r="A560" s="75" t="s">
        <v>56</v>
      </c>
      <c r="B560" s="75" t="s">
        <v>8</v>
      </c>
      <c r="C560" s="75">
        <v>0.1</v>
      </c>
      <c r="D560" s="75">
        <v>1</v>
      </c>
      <c r="E560" s="75">
        <v>9.9999999999999995E-8</v>
      </c>
      <c r="F560" s="75" t="s">
        <v>6</v>
      </c>
      <c r="G560" s="75" t="s">
        <v>5</v>
      </c>
      <c r="H560" s="75">
        <v>1000</v>
      </c>
      <c r="I560" s="75">
        <v>2000</v>
      </c>
      <c r="J560" s="75" t="s">
        <v>10</v>
      </c>
      <c r="K560" s="75">
        <v>590</v>
      </c>
      <c r="L560" s="75">
        <v>17000</v>
      </c>
      <c r="M560" s="75">
        <v>108.37</v>
      </c>
      <c r="N560" s="75">
        <v>17479</v>
      </c>
      <c r="O560" s="90" t="str">
        <f>IF(VLOOKUP(UncLookup[[#This Row],[Item]],Items!$A$1:$F$43,2,FALSE)=0,"",VLOOKUP(UncLookup[[#This Row],[Item]],Items!$A$1:$F$43,2,FALSE))</f>
        <v/>
      </c>
      <c r="P560" s="90" t="str">
        <f>IF(VLOOKUP(UncLookup[[#This Row],[Item]],Items!$A$1:$F$43,3,FALSE)=0,"",VLOOKUP(UncLookup[[#This Row],[Item]],Items!$A$1:$F$43,3,FALSE))</f>
        <v/>
      </c>
      <c r="Q560" s="90" t="str">
        <f>IF(VLOOKUP(UncLookup[[#This Row],[Item]],Items!$A$1:$F$43,4,FALSE)=0,"",VLOOKUP(UncLookup[[#This Row],[Item]],Items!$A$1:$F$43,4,FALSE))</f>
        <v/>
      </c>
    </row>
    <row r="561" spans="1:17" x14ac:dyDescent="0.25">
      <c r="A561" s="76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90" t="str">
        <f>IF(VLOOKUP(UncLookup[[#This Row],[Item]],Items!$A$1:$F$43,2,FALSE)=0,"",VLOOKUP(UncLookup[[#This Row],[Item]],Items!$A$1:$F$43,2,FALSE))</f>
        <v/>
      </c>
      <c r="P561" s="90" t="str">
        <f>IF(VLOOKUP(UncLookup[[#This Row],[Item]],Items!$A$1:$F$43,3,FALSE)=0,"",VLOOKUP(UncLookup[[#This Row],[Item]],Items!$A$1:$F$43,3,FALSE))</f>
        <v/>
      </c>
      <c r="Q561" s="90" t="str">
        <f>IF(VLOOKUP(UncLookup[[#This Row],[Item]],Items!$A$1:$F$43,4,FALSE)=0,"",VLOOKUP(UncLookup[[#This Row],[Item]],Items!$A$1:$F$43,4,FALSE))</f>
        <v/>
      </c>
    </row>
    <row r="562" spans="1:17" x14ac:dyDescent="0.25">
      <c r="A562" s="75" t="s">
        <v>56</v>
      </c>
      <c r="B562" s="75" t="s">
        <v>8</v>
      </c>
      <c r="C562" s="75">
        <v>0.1</v>
      </c>
      <c r="D562" s="75">
        <v>1</v>
      </c>
      <c r="E562" s="75">
        <v>9.9999999999999995E-8</v>
      </c>
      <c r="F562" s="75" t="s">
        <v>6</v>
      </c>
      <c r="G562" s="75" t="s">
        <v>5</v>
      </c>
      <c r="H562" s="75">
        <v>1</v>
      </c>
      <c r="I562" s="75">
        <v>20</v>
      </c>
      <c r="J562" s="75" t="s">
        <v>10</v>
      </c>
      <c r="K562" s="75">
        <v>26</v>
      </c>
      <c r="L562" s="75">
        <v>160</v>
      </c>
      <c r="M562" s="75">
        <v>23.437999999999999</v>
      </c>
      <c r="N562" s="75">
        <v>161.34</v>
      </c>
      <c r="O562" s="90" t="str">
        <f>IF(VLOOKUP(UncLookup[[#This Row],[Item]],Items!$A$1:$F$43,2,FALSE)=0,"",VLOOKUP(UncLookup[[#This Row],[Item]],Items!$A$1:$F$43,2,FALSE))</f>
        <v/>
      </c>
      <c r="P562" s="90" t="str">
        <f>IF(VLOOKUP(UncLookup[[#This Row],[Item]],Items!$A$1:$F$43,3,FALSE)=0,"",VLOOKUP(UncLookup[[#This Row],[Item]],Items!$A$1:$F$43,3,FALSE))</f>
        <v/>
      </c>
      <c r="Q562" s="90" t="str">
        <f>IF(VLOOKUP(UncLookup[[#This Row],[Item]],Items!$A$1:$F$43,4,FALSE)=0,"",VLOOKUP(UncLookup[[#This Row],[Item]],Items!$A$1:$F$43,4,FALSE))</f>
        <v/>
      </c>
    </row>
    <row r="563" spans="1:17" x14ac:dyDescent="0.25">
      <c r="A563" s="76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90" t="str">
        <f>IF(VLOOKUP(UncLookup[[#This Row],[Item]],Items!$A$1:$F$43,2,FALSE)=0,"",VLOOKUP(UncLookup[[#This Row],[Item]],Items!$A$1:$F$43,2,FALSE))</f>
        <v/>
      </c>
      <c r="P563" s="90" t="str">
        <f>IF(VLOOKUP(UncLookup[[#This Row],[Item]],Items!$A$1:$F$43,3,FALSE)=0,"",VLOOKUP(UncLookup[[#This Row],[Item]],Items!$A$1:$F$43,3,FALSE))</f>
        <v/>
      </c>
      <c r="Q563" s="90" t="str">
        <f>IF(VLOOKUP(UncLookup[[#This Row],[Item]],Items!$A$1:$F$43,4,FALSE)=0,"",VLOOKUP(UncLookup[[#This Row],[Item]],Items!$A$1:$F$43,4,FALSE))</f>
        <v/>
      </c>
    </row>
    <row r="564" spans="1:17" x14ac:dyDescent="0.25">
      <c r="A564" s="75" t="s">
        <v>56</v>
      </c>
      <c r="B564" s="75" t="s">
        <v>8</v>
      </c>
      <c r="C564" s="75">
        <v>0.1</v>
      </c>
      <c r="D564" s="75">
        <v>1</v>
      </c>
      <c r="E564" s="75">
        <v>9.9999999999999995E-8</v>
      </c>
      <c r="F564" s="75" t="s">
        <v>6</v>
      </c>
      <c r="G564" s="75" t="s">
        <v>5</v>
      </c>
      <c r="H564" s="75">
        <v>1E-3</v>
      </c>
      <c r="I564" s="75">
        <v>0.04</v>
      </c>
      <c r="J564" s="75" t="s">
        <v>10</v>
      </c>
      <c r="K564" s="75">
        <v>47</v>
      </c>
      <c r="L564" s="75">
        <v>82</v>
      </c>
      <c r="M564" s="75">
        <v>80.62</v>
      </c>
      <c r="N564" s="75">
        <v>80.62</v>
      </c>
      <c r="O564" s="90" t="str">
        <f>IF(VLOOKUP(UncLookup[[#This Row],[Item]],Items!$A$1:$F$43,2,FALSE)=0,"",VLOOKUP(UncLookup[[#This Row],[Item]],Items!$A$1:$F$43,2,FALSE))</f>
        <v/>
      </c>
      <c r="P564" s="90" t="str">
        <f>IF(VLOOKUP(UncLookup[[#This Row],[Item]],Items!$A$1:$F$43,3,FALSE)=0,"",VLOOKUP(UncLookup[[#This Row],[Item]],Items!$A$1:$F$43,3,FALSE))</f>
        <v/>
      </c>
      <c r="Q564" s="90" t="str">
        <f>IF(VLOOKUP(UncLookup[[#This Row],[Item]],Items!$A$1:$F$43,4,FALSE)=0,"",VLOOKUP(UncLookup[[#This Row],[Item]],Items!$A$1:$F$43,4,FALSE))</f>
        <v/>
      </c>
    </row>
    <row r="565" spans="1:17" x14ac:dyDescent="0.25">
      <c r="A565" s="76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90" t="str">
        <f>IF(VLOOKUP(UncLookup[[#This Row],[Item]],Items!$A$1:$F$43,2,FALSE)=0,"",VLOOKUP(UncLookup[[#This Row],[Item]],Items!$A$1:$F$43,2,FALSE))</f>
        <v/>
      </c>
      <c r="P565" s="90" t="str">
        <f>IF(VLOOKUP(UncLookup[[#This Row],[Item]],Items!$A$1:$F$43,3,FALSE)=0,"",VLOOKUP(UncLookup[[#This Row],[Item]],Items!$A$1:$F$43,3,FALSE))</f>
        <v/>
      </c>
      <c r="Q565" s="90" t="str">
        <f>IF(VLOOKUP(UncLookup[[#This Row],[Item]],Items!$A$1:$F$43,4,FALSE)=0,"",VLOOKUP(UncLookup[[#This Row],[Item]],Items!$A$1:$F$43,4,FALSE))</f>
        <v/>
      </c>
    </row>
    <row r="566" spans="1:17" x14ac:dyDescent="0.25">
      <c r="A566" s="75" t="s">
        <v>56</v>
      </c>
      <c r="B566" s="75" t="s">
        <v>8</v>
      </c>
      <c r="C566" s="75">
        <v>0.1</v>
      </c>
      <c r="D566" s="75">
        <v>1</v>
      </c>
      <c r="E566" s="75">
        <v>9.9999999999999995E-7</v>
      </c>
      <c r="F566" s="75" t="s">
        <v>6</v>
      </c>
      <c r="G566" s="75" t="s">
        <v>5</v>
      </c>
      <c r="H566" s="75">
        <v>0.04</v>
      </c>
      <c r="I566" s="75">
        <v>1</v>
      </c>
      <c r="J566" s="75" t="s">
        <v>10</v>
      </c>
      <c r="K566" s="75">
        <v>24</v>
      </c>
      <c r="L566" s="75">
        <v>82</v>
      </c>
      <c r="M566" s="75">
        <v>23.53</v>
      </c>
      <c r="N566" s="75">
        <v>80.441000000000003</v>
      </c>
      <c r="O566" s="90" t="str">
        <f>IF(VLOOKUP(UncLookup[[#This Row],[Item]],Items!$A$1:$F$43,2,FALSE)=0,"",VLOOKUP(UncLookup[[#This Row],[Item]],Items!$A$1:$F$43,2,FALSE))</f>
        <v/>
      </c>
      <c r="P566" s="90" t="str">
        <f>IF(VLOOKUP(UncLookup[[#This Row],[Item]],Items!$A$1:$F$43,3,FALSE)=0,"",VLOOKUP(UncLookup[[#This Row],[Item]],Items!$A$1:$F$43,3,FALSE))</f>
        <v/>
      </c>
      <c r="Q566" s="90" t="str">
        <f>IF(VLOOKUP(UncLookup[[#This Row],[Item]],Items!$A$1:$F$43,4,FALSE)=0,"",VLOOKUP(UncLookup[[#This Row],[Item]],Items!$A$1:$F$43,4,FALSE))</f>
        <v/>
      </c>
    </row>
    <row r="567" spans="1:17" x14ac:dyDescent="0.25">
      <c r="A567" s="76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90" t="str">
        <f>IF(VLOOKUP(UncLookup[[#This Row],[Item]],Items!$A$1:$F$43,2,FALSE)=0,"",VLOOKUP(UncLookup[[#This Row],[Item]],Items!$A$1:$F$43,2,FALSE))</f>
        <v/>
      </c>
      <c r="P567" s="90" t="str">
        <f>IF(VLOOKUP(UncLookup[[#This Row],[Item]],Items!$A$1:$F$43,3,FALSE)=0,"",VLOOKUP(UncLookup[[#This Row],[Item]],Items!$A$1:$F$43,3,FALSE))</f>
        <v/>
      </c>
      <c r="Q567" s="90" t="str">
        <f>IF(VLOOKUP(UncLookup[[#This Row],[Item]],Items!$A$1:$F$43,4,FALSE)=0,"",VLOOKUP(UncLookup[[#This Row],[Item]],Items!$A$1:$F$43,4,FALSE))</f>
        <v/>
      </c>
    </row>
    <row r="568" spans="1:17" x14ac:dyDescent="0.25">
      <c r="A568" s="75" t="s">
        <v>56</v>
      </c>
      <c r="B568" s="75" t="s">
        <v>8</v>
      </c>
      <c r="C568" s="75">
        <v>0.1</v>
      </c>
      <c r="D568" s="75">
        <v>1</v>
      </c>
      <c r="E568" s="75">
        <v>9.9999999999999995E-7</v>
      </c>
      <c r="F568" s="75" t="s">
        <v>6</v>
      </c>
      <c r="G568" s="75" t="s">
        <v>5</v>
      </c>
      <c r="H568" s="75">
        <v>50</v>
      </c>
      <c r="I568" s="75">
        <v>100</v>
      </c>
      <c r="J568" s="75" t="s">
        <v>10</v>
      </c>
      <c r="K568" s="75">
        <v>27</v>
      </c>
      <c r="L568" s="75">
        <v>935.56</v>
      </c>
      <c r="M568" s="75">
        <v>23.148</v>
      </c>
      <c r="N568" s="75">
        <v>938.85</v>
      </c>
      <c r="O568" s="90" t="str">
        <f>IF(VLOOKUP(UncLookup[[#This Row],[Item]],Items!$A$1:$F$43,2,FALSE)=0,"",VLOOKUP(UncLookup[[#This Row],[Item]],Items!$A$1:$F$43,2,FALSE))</f>
        <v/>
      </c>
      <c r="P568" s="90" t="str">
        <f>IF(VLOOKUP(UncLookup[[#This Row],[Item]],Items!$A$1:$F$43,3,FALSE)=0,"",VLOOKUP(UncLookup[[#This Row],[Item]],Items!$A$1:$F$43,3,FALSE))</f>
        <v/>
      </c>
      <c r="Q568" s="90" t="str">
        <f>IF(VLOOKUP(UncLookup[[#This Row],[Item]],Items!$A$1:$F$43,4,FALSE)=0,"",VLOOKUP(UncLookup[[#This Row],[Item]],Items!$A$1:$F$43,4,FALSE))</f>
        <v/>
      </c>
    </row>
    <row r="569" spans="1:17" x14ac:dyDescent="0.25">
      <c r="A569" s="76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90" t="str">
        <f>IF(VLOOKUP(UncLookup[[#This Row],[Item]],Items!$A$1:$F$43,2,FALSE)=0,"",VLOOKUP(UncLookup[[#This Row],[Item]],Items!$A$1:$F$43,2,FALSE))</f>
        <v/>
      </c>
      <c r="P569" s="90" t="str">
        <f>IF(VLOOKUP(UncLookup[[#This Row],[Item]],Items!$A$1:$F$43,3,FALSE)=0,"",VLOOKUP(UncLookup[[#This Row],[Item]],Items!$A$1:$F$43,3,FALSE))</f>
        <v/>
      </c>
      <c r="Q569" s="90" t="str">
        <f>IF(VLOOKUP(UncLookup[[#This Row],[Item]],Items!$A$1:$F$43,4,FALSE)=0,"",VLOOKUP(UncLookup[[#This Row],[Item]],Items!$A$1:$F$43,4,FALSE))</f>
        <v/>
      </c>
    </row>
    <row r="570" spans="1:17" x14ac:dyDescent="0.25">
      <c r="A570" s="75" t="s">
        <v>56</v>
      </c>
      <c r="B570" s="75" t="s">
        <v>8</v>
      </c>
      <c r="C570" s="75">
        <v>0.1</v>
      </c>
      <c r="D570" s="75">
        <v>1</v>
      </c>
      <c r="E570" s="75">
        <v>9.9999999999999995E-7</v>
      </c>
      <c r="F570" s="75" t="s">
        <v>6</v>
      </c>
      <c r="G570" s="75" t="s">
        <v>5</v>
      </c>
      <c r="H570" s="75">
        <v>300</v>
      </c>
      <c r="I570" s="75">
        <v>1000</v>
      </c>
      <c r="J570" s="75" t="s">
        <v>10</v>
      </c>
      <c r="K570" s="75">
        <v>120</v>
      </c>
      <c r="L570" s="75">
        <v>12000</v>
      </c>
      <c r="M570" s="75">
        <v>110.73</v>
      </c>
      <c r="N570" s="75">
        <v>11675</v>
      </c>
      <c r="O570" s="90" t="str">
        <f>IF(VLOOKUP(UncLookup[[#This Row],[Item]],Items!$A$1:$F$43,2,FALSE)=0,"",VLOOKUP(UncLookup[[#This Row],[Item]],Items!$A$1:$F$43,2,FALSE))</f>
        <v/>
      </c>
      <c r="P570" s="90" t="str">
        <f>IF(VLOOKUP(UncLookup[[#This Row],[Item]],Items!$A$1:$F$43,3,FALSE)=0,"",VLOOKUP(UncLookup[[#This Row],[Item]],Items!$A$1:$F$43,3,FALSE))</f>
        <v/>
      </c>
      <c r="Q570" s="90" t="str">
        <f>IF(VLOOKUP(UncLookup[[#This Row],[Item]],Items!$A$1:$F$43,4,FALSE)=0,"",VLOOKUP(UncLookup[[#This Row],[Item]],Items!$A$1:$F$43,4,FALSE))</f>
        <v/>
      </c>
    </row>
    <row r="571" spans="1:17" x14ac:dyDescent="0.25">
      <c r="A571" s="76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90" t="str">
        <f>IF(VLOOKUP(UncLookup[[#This Row],[Item]],Items!$A$1:$F$43,2,FALSE)=0,"",VLOOKUP(UncLookup[[#This Row],[Item]],Items!$A$1:$F$43,2,FALSE))</f>
        <v/>
      </c>
      <c r="P571" s="90" t="str">
        <f>IF(VLOOKUP(UncLookup[[#This Row],[Item]],Items!$A$1:$F$43,3,FALSE)=0,"",VLOOKUP(UncLookup[[#This Row],[Item]],Items!$A$1:$F$43,3,FALSE))</f>
        <v/>
      </c>
      <c r="Q571" s="90" t="str">
        <f>IF(VLOOKUP(UncLookup[[#This Row],[Item]],Items!$A$1:$F$43,4,FALSE)=0,"",VLOOKUP(UncLookup[[#This Row],[Item]],Items!$A$1:$F$43,4,FALSE))</f>
        <v/>
      </c>
    </row>
    <row r="572" spans="1:17" x14ac:dyDescent="0.25">
      <c r="A572" s="75" t="s">
        <v>56</v>
      </c>
      <c r="B572" s="75" t="s">
        <v>8</v>
      </c>
      <c r="C572" s="75">
        <v>0.1</v>
      </c>
      <c r="D572" s="75">
        <v>1</v>
      </c>
      <c r="E572" s="75">
        <v>9.9999999999999995E-7</v>
      </c>
      <c r="F572" s="75" t="s">
        <v>6</v>
      </c>
      <c r="G572" s="75" t="s">
        <v>5</v>
      </c>
      <c r="H572" s="75">
        <v>1</v>
      </c>
      <c r="I572" s="75">
        <v>20</v>
      </c>
      <c r="J572" s="75" t="s">
        <v>10</v>
      </c>
      <c r="K572" s="75">
        <v>26</v>
      </c>
      <c r="L572" s="75">
        <v>160</v>
      </c>
      <c r="M572" s="75">
        <v>23.442</v>
      </c>
      <c r="N572" s="75">
        <v>161.34</v>
      </c>
      <c r="O572" s="90" t="str">
        <f>IF(VLOOKUP(UncLookup[[#This Row],[Item]],Items!$A$1:$F$43,2,FALSE)=0,"",VLOOKUP(UncLookup[[#This Row],[Item]],Items!$A$1:$F$43,2,FALSE))</f>
        <v/>
      </c>
      <c r="P572" s="90" t="str">
        <f>IF(VLOOKUP(UncLookup[[#This Row],[Item]],Items!$A$1:$F$43,3,FALSE)=0,"",VLOOKUP(UncLookup[[#This Row],[Item]],Items!$A$1:$F$43,3,FALSE))</f>
        <v/>
      </c>
      <c r="Q572" s="90" t="str">
        <f>IF(VLOOKUP(UncLookup[[#This Row],[Item]],Items!$A$1:$F$43,4,FALSE)=0,"",VLOOKUP(UncLookup[[#This Row],[Item]],Items!$A$1:$F$43,4,FALSE))</f>
        <v/>
      </c>
    </row>
    <row r="573" spans="1:17" x14ac:dyDescent="0.25">
      <c r="A573" s="76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90" t="str">
        <f>IF(VLOOKUP(UncLookup[[#This Row],[Item]],Items!$A$1:$F$43,2,FALSE)=0,"",VLOOKUP(UncLookup[[#This Row],[Item]],Items!$A$1:$F$43,2,FALSE))</f>
        <v/>
      </c>
      <c r="P573" s="90" t="str">
        <f>IF(VLOOKUP(UncLookup[[#This Row],[Item]],Items!$A$1:$F$43,3,FALSE)=0,"",VLOOKUP(UncLookup[[#This Row],[Item]],Items!$A$1:$F$43,3,FALSE))</f>
        <v/>
      </c>
      <c r="Q573" s="90" t="str">
        <f>IF(VLOOKUP(UncLookup[[#This Row],[Item]],Items!$A$1:$F$43,4,FALSE)=0,"",VLOOKUP(UncLookup[[#This Row],[Item]],Items!$A$1:$F$43,4,FALSE))</f>
        <v/>
      </c>
    </row>
    <row r="574" spans="1:17" x14ac:dyDescent="0.25">
      <c r="A574" s="75" t="s">
        <v>56</v>
      </c>
      <c r="B574" s="75" t="s">
        <v>8</v>
      </c>
      <c r="C574" s="75">
        <v>0.1</v>
      </c>
      <c r="D574" s="75">
        <v>1</v>
      </c>
      <c r="E574" s="75">
        <v>9.9999999999999995E-7</v>
      </c>
      <c r="F574" s="75" t="s">
        <v>6</v>
      </c>
      <c r="G574" s="75" t="s">
        <v>5</v>
      </c>
      <c r="H574" s="75">
        <v>1000</v>
      </c>
      <c r="I574" s="75">
        <v>2000</v>
      </c>
      <c r="J574" s="75" t="s">
        <v>10</v>
      </c>
      <c r="K574" s="75">
        <v>590</v>
      </c>
      <c r="L574" s="75">
        <v>17152</v>
      </c>
      <c r="M574" s="75">
        <v>108.37</v>
      </c>
      <c r="N574" s="75">
        <v>17479</v>
      </c>
      <c r="O574" s="90" t="str">
        <f>IF(VLOOKUP(UncLookup[[#This Row],[Item]],Items!$A$1:$F$43,2,FALSE)=0,"",VLOOKUP(UncLookup[[#This Row],[Item]],Items!$A$1:$F$43,2,FALSE))</f>
        <v/>
      </c>
      <c r="P574" s="90" t="str">
        <f>IF(VLOOKUP(UncLookup[[#This Row],[Item]],Items!$A$1:$F$43,3,FALSE)=0,"",VLOOKUP(UncLookup[[#This Row],[Item]],Items!$A$1:$F$43,3,FALSE))</f>
        <v/>
      </c>
      <c r="Q574" s="90" t="str">
        <f>IF(VLOOKUP(UncLookup[[#This Row],[Item]],Items!$A$1:$F$43,4,FALSE)=0,"",VLOOKUP(UncLookup[[#This Row],[Item]],Items!$A$1:$F$43,4,FALSE))</f>
        <v/>
      </c>
    </row>
    <row r="575" spans="1:17" x14ac:dyDescent="0.25">
      <c r="A575" s="76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90" t="str">
        <f>IF(VLOOKUP(UncLookup[[#This Row],[Item]],Items!$A$1:$F$43,2,FALSE)=0,"",VLOOKUP(UncLookup[[#This Row],[Item]],Items!$A$1:$F$43,2,FALSE))</f>
        <v/>
      </c>
      <c r="P575" s="90" t="str">
        <f>IF(VLOOKUP(UncLookup[[#This Row],[Item]],Items!$A$1:$F$43,3,FALSE)=0,"",VLOOKUP(UncLookup[[#This Row],[Item]],Items!$A$1:$F$43,3,FALSE))</f>
        <v/>
      </c>
      <c r="Q575" s="90" t="str">
        <f>IF(VLOOKUP(UncLookup[[#This Row],[Item]],Items!$A$1:$F$43,4,FALSE)=0,"",VLOOKUP(UncLookup[[#This Row],[Item]],Items!$A$1:$F$43,4,FALSE))</f>
        <v/>
      </c>
    </row>
    <row r="576" spans="1:17" x14ac:dyDescent="0.25">
      <c r="A576" s="75" t="s">
        <v>56</v>
      </c>
      <c r="B576" s="75" t="s">
        <v>8</v>
      </c>
      <c r="C576" s="75">
        <v>0.1</v>
      </c>
      <c r="D576" s="75">
        <v>1</v>
      </c>
      <c r="E576" s="75">
        <v>9.9999999999999995E-7</v>
      </c>
      <c r="F576" s="75" t="s">
        <v>6</v>
      </c>
      <c r="G576" s="75" t="s">
        <v>4</v>
      </c>
      <c r="H576" s="75">
        <v>2000</v>
      </c>
      <c r="I576" s="75">
        <v>4000</v>
      </c>
      <c r="J576" s="75" t="s">
        <v>10</v>
      </c>
      <c r="K576" s="75">
        <v>1.2</v>
      </c>
      <c r="L576" s="75">
        <v>46.029000000000003</v>
      </c>
      <c r="M576" s="75">
        <v>0.80071999999999999</v>
      </c>
      <c r="N576" s="75">
        <v>46.326000000000001</v>
      </c>
      <c r="O576" s="90" t="str">
        <f>IF(VLOOKUP(UncLookup[[#This Row],[Item]],Items!$A$1:$F$43,2,FALSE)=0,"",VLOOKUP(UncLookup[[#This Row],[Item]],Items!$A$1:$F$43,2,FALSE))</f>
        <v/>
      </c>
      <c r="P576" s="90" t="str">
        <f>IF(VLOOKUP(UncLookup[[#This Row],[Item]],Items!$A$1:$F$43,3,FALSE)=0,"",VLOOKUP(UncLookup[[#This Row],[Item]],Items!$A$1:$F$43,3,FALSE))</f>
        <v/>
      </c>
      <c r="Q576" s="90" t="str">
        <f>IF(VLOOKUP(UncLookup[[#This Row],[Item]],Items!$A$1:$F$43,4,FALSE)=0,"",VLOOKUP(UncLookup[[#This Row],[Item]],Items!$A$1:$F$43,4,FALSE))</f>
        <v/>
      </c>
    </row>
    <row r="577" spans="1:17" x14ac:dyDescent="0.25">
      <c r="A577" s="76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90" t="str">
        <f>IF(VLOOKUP(UncLookup[[#This Row],[Item]],Items!$A$1:$F$43,2,FALSE)=0,"",VLOOKUP(UncLookup[[#This Row],[Item]],Items!$A$1:$F$43,2,FALSE))</f>
        <v/>
      </c>
      <c r="P577" s="90" t="str">
        <f>IF(VLOOKUP(UncLookup[[#This Row],[Item]],Items!$A$1:$F$43,3,FALSE)=0,"",VLOOKUP(UncLookup[[#This Row],[Item]],Items!$A$1:$F$43,3,FALSE))</f>
        <v/>
      </c>
      <c r="Q577" s="90" t="str">
        <f>IF(VLOOKUP(UncLookup[[#This Row],[Item]],Items!$A$1:$F$43,4,FALSE)=0,"",VLOOKUP(UncLookup[[#This Row],[Item]],Items!$A$1:$F$43,4,FALSE))</f>
        <v/>
      </c>
    </row>
    <row r="578" spans="1:17" x14ac:dyDescent="0.25">
      <c r="A578" s="75" t="s">
        <v>56</v>
      </c>
      <c r="B578" s="75" t="s">
        <v>8</v>
      </c>
      <c r="C578" s="75">
        <v>0.1</v>
      </c>
      <c r="D578" s="75">
        <v>1</v>
      </c>
      <c r="E578" s="75">
        <v>1.0000000000000001E-5</v>
      </c>
      <c r="F578" s="75" t="s">
        <v>6</v>
      </c>
      <c r="G578" s="75" t="s">
        <v>5</v>
      </c>
      <c r="H578" s="75">
        <v>100</v>
      </c>
      <c r="I578" s="75">
        <v>300</v>
      </c>
      <c r="J578" s="75" t="s">
        <v>10</v>
      </c>
      <c r="K578" s="75">
        <v>120</v>
      </c>
      <c r="L578" s="75">
        <v>3500</v>
      </c>
      <c r="M578" s="75">
        <v>116.55</v>
      </c>
      <c r="N578" s="75">
        <v>3463.2</v>
      </c>
      <c r="O578" s="90" t="str">
        <f>IF(VLOOKUP(UncLookup[[#This Row],[Item]],Items!$A$1:$F$43,2,FALSE)=0,"",VLOOKUP(UncLookup[[#This Row],[Item]],Items!$A$1:$F$43,2,FALSE))</f>
        <v/>
      </c>
      <c r="P578" s="90" t="str">
        <f>IF(VLOOKUP(UncLookup[[#This Row],[Item]],Items!$A$1:$F$43,3,FALSE)=0,"",VLOOKUP(UncLookup[[#This Row],[Item]],Items!$A$1:$F$43,3,FALSE))</f>
        <v/>
      </c>
      <c r="Q578" s="90" t="str">
        <f>IF(VLOOKUP(UncLookup[[#This Row],[Item]],Items!$A$1:$F$43,4,FALSE)=0,"",VLOOKUP(UncLookup[[#This Row],[Item]],Items!$A$1:$F$43,4,FALSE))</f>
        <v/>
      </c>
    </row>
    <row r="579" spans="1:17" x14ac:dyDescent="0.25">
      <c r="A579" s="76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90" t="str">
        <f>IF(VLOOKUP(UncLookup[[#This Row],[Item]],Items!$A$1:$F$43,2,FALSE)=0,"",VLOOKUP(UncLookup[[#This Row],[Item]],Items!$A$1:$F$43,2,FALSE))</f>
        <v/>
      </c>
      <c r="P579" s="90" t="str">
        <f>IF(VLOOKUP(UncLookup[[#This Row],[Item]],Items!$A$1:$F$43,3,FALSE)=0,"",VLOOKUP(UncLookup[[#This Row],[Item]],Items!$A$1:$F$43,3,FALSE))</f>
        <v/>
      </c>
      <c r="Q579" s="90" t="str">
        <f>IF(VLOOKUP(UncLookup[[#This Row],[Item]],Items!$A$1:$F$43,4,FALSE)=0,"",VLOOKUP(UncLookup[[#This Row],[Item]],Items!$A$1:$F$43,4,FALSE))</f>
        <v/>
      </c>
    </row>
    <row r="580" spans="1:17" x14ac:dyDescent="0.25">
      <c r="A580" s="75" t="s">
        <v>56</v>
      </c>
      <c r="B580" s="75" t="s">
        <v>8</v>
      </c>
      <c r="C580" s="75">
        <v>0.1</v>
      </c>
      <c r="D580" s="75">
        <v>1</v>
      </c>
      <c r="E580" s="75">
        <v>1.0000000000000001E-5</v>
      </c>
      <c r="F580" s="75" t="s">
        <v>6</v>
      </c>
      <c r="G580" s="75" t="s">
        <v>4</v>
      </c>
      <c r="H580" s="75">
        <v>8000</v>
      </c>
      <c r="I580" s="75">
        <v>10000</v>
      </c>
      <c r="J580" s="75" t="s">
        <v>10</v>
      </c>
      <c r="K580" s="75">
        <v>4.5999999999999996</v>
      </c>
      <c r="L580" s="75">
        <v>170.12</v>
      </c>
      <c r="M580" s="75">
        <v>1.1459999999999999</v>
      </c>
      <c r="N580" s="75">
        <v>173.36</v>
      </c>
      <c r="O580" s="90" t="str">
        <f>IF(VLOOKUP(UncLookup[[#This Row],[Item]],Items!$A$1:$F$43,2,FALSE)=0,"",VLOOKUP(UncLookup[[#This Row],[Item]],Items!$A$1:$F$43,2,FALSE))</f>
        <v/>
      </c>
      <c r="P580" s="90" t="str">
        <f>IF(VLOOKUP(UncLookup[[#This Row],[Item]],Items!$A$1:$F$43,3,FALSE)=0,"",VLOOKUP(UncLookup[[#This Row],[Item]],Items!$A$1:$F$43,3,FALSE))</f>
        <v/>
      </c>
      <c r="Q580" s="90" t="str">
        <f>IF(VLOOKUP(UncLookup[[#This Row],[Item]],Items!$A$1:$F$43,4,FALSE)=0,"",VLOOKUP(UncLookup[[#This Row],[Item]],Items!$A$1:$F$43,4,FALSE))</f>
        <v/>
      </c>
    </row>
    <row r="581" spans="1:17" x14ac:dyDescent="0.25">
      <c r="A581" s="76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90" t="str">
        <f>IF(VLOOKUP(UncLookup[[#This Row],[Item]],Items!$A$1:$F$43,2,FALSE)=0,"",VLOOKUP(UncLookup[[#This Row],[Item]],Items!$A$1:$F$43,2,FALSE))</f>
        <v/>
      </c>
      <c r="P581" s="90" t="str">
        <f>IF(VLOOKUP(UncLookup[[#This Row],[Item]],Items!$A$1:$F$43,3,FALSE)=0,"",VLOOKUP(UncLookup[[#This Row],[Item]],Items!$A$1:$F$43,3,FALSE))</f>
        <v/>
      </c>
      <c r="Q581" s="90" t="str">
        <f>IF(VLOOKUP(UncLookup[[#This Row],[Item]],Items!$A$1:$F$43,4,FALSE)=0,"",VLOOKUP(UncLookup[[#This Row],[Item]],Items!$A$1:$F$43,4,FALSE))</f>
        <v/>
      </c>
    </row>
    <row r="582" spans="1:17" x14ac:dyDescent="0.25">
      <c r="A582" s="75" t="s">
        <v>56</v>
      </c>
      <c r="B582" s="75" t="s">
        <v>8</v>
      </c>
      <c r="C582" s="75">
        <v>0.1</v>
      </c>
      <c r="D582" s="75">
        <v>1</v>
      </c>
      <c r="E582" s="75">
        <v>1.0000000000000001E-5</v>
      </c>
      <c r="F582" s="75" t="s">
        <v>6</v>
      </c>
      <c r="G582" s="75" t="s">
        <v>5</v>
      </c>
      <c r="H582" s="75">
        <v>0.04</v>
      </c>
      <c r="I582" s="75">
        <v>1</v>
      </c>
      <c r="J582" s="75" t="s">
        <v>10</v>
      </c>
      <c r="K582" s="75">
        <v>24</v>
      </c>
      <c r="L582" s="75">
        <v>82</v>
      </c>
      <c r="M582" s="75">
        <v>24.088000000000001</v>
      </c>
      <c r="N582" s="75">
        <v>80.040999999999997</v>
      </c>
      <c r="O582" s="90" t="str">
        <f>IF(VLOOKUP(UncLookup[[#This Row],[Item]],Items!$A$1:$F$43,2,FALSE)=0,"",VLOOKUP(UncLookup[[#This Row],[Item]],Items!$A$1:$F$43,2,FALSE))</f>
        <v/>
      </c>
      <c r="P582" s="90" t="str">
        <f>IF(VLOOKUP(UncLookup[[#This Row],[Item]],Items!$A$1:$F$43,3,FALSE)=0,"",VLOOKUP(UncLookup[[#This Row],[Item]],Items!$A$1:$F$43,3,FALSE))</f>
        <v/>
      </c>
      <c r="Q582" s="90" t="str">
        <f>IF(VLOOKUP(UncLookup[[#This Row],[Item]],Items!$A$1:$F$43,4,FALSE)=0,"",VLOOKUP(UncLookup[[#This Row],[Item]],Items!$A$1:$F$43,4,FALSE))</f>
        <v/>
      </c>
    </row>
    <row r="583" spans="1:17" x14ac:dyDescent="0.25">
      <c r="A583" s="76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90" t="str">
        <f>IF(VLOOKUP(UncLookup[[#This Row],[Item]],Items!$A$1:$F$43,2,FALSE)=0,"",VLOOKUP(UncLookup[[#This Row],[Item]],Items!$A$1:$F$43,2,FALSE))</f>
        <v/>
      </c>
      <c r="P583" s="90" t="str">
        <f>IF(VLOOKUP(UncLookup[[#This Row],[Item]],Items!$A$1:$F$43,3,FALSE)=0,"",VLOOKUP(UncLookup[[#This Row],[Item]],Items!$A$1:$F$43,3,FALSE))</f>
        <v/>
      </c>
      <c r="Q583" s="90" t="str">
        <f>IF(VLOOKUP(UncLookup[[#This Row],[Item]],Items!$A$1:$F$43,4,FALSE)=0,"",VLOOKUP(UncLookup[[#This Row],[Item]],Items!$A$1:$F$43,4,FALSE))</f>
        <v/>
      </c>
    </row>
    <row r="584" spans="1:17" x14ac:dyDescent="0.25">
      <c r="A584" s="75" t="s">
        <v>56</v>
      </c>
      <c r="B584" s="75" t="s">
        <v>8</v>
      </c>
      <c r="C584" s="75">
        <v>0.1</v>
      </c>
      <c r="D584" s="75">
        <v>1</v>
      </c>
      <c r="E584" s="75">
        <v>1.0000000000000001E-5</v>
      </c>
      <c r="F584" s="75" t="s">
        <v>6</v>
      </c>
      <c r="G584" s="75" t="s">
        <v>4</v>
      </c>
      <c r="H584" s="75">
        <v>4000</v>
      </c>
      <c r="I584" s="75">
        <v>8000</v>
      </c>
      <c r="J584" s="75" t="s">
        <v>10</v>
      </c>
      <c r="K584" s="75">
        <v>1.3</v>
      </c>
      <c r="L584" s="75">
        <v>46.045999999999999</v>
      </c>
      <c r="M584" s="75">
        <v>0.91607000000000005</v>
      </c>
      <c r="N584" s="75">
        <v>46.326000000000001</v>
      </c>
      <c r="O584" s="90" t="str">
        <f>IF(VLOOKUP(UncLookup[[#This Row],[Item]],Items!$A$1:$F$43,2,FALSE)=0,"",VLOOKUP(UncLookup[[#This Row],[Item]],Items!$A$1:$F$43,2,FALSE))</f>
        <v/>
      </c>
      <c r="P584" s="90" t="str">
        <f>IF(VLOOKUP(UncLookup[[#This Row],[Item]],Items!$A$1:$F$43,3,FALSE)=0,"",VLOOKUP(UncLookup[[#This Row],[Item]],Items!$A$1:$F$43,3,FALSE))</f>
        <v/>
      </c>
      <c r="Q584" s="90" t="str">
        <f>IF(VLOOKUP(UncLookup[[#This Row],[Item]],Items!$A$1:$F$43,4,FALSE)=0,"",VLOOKUP(UncLookup[[#This Row],[Item]],Items!$A$1:$F$43,4,FALSE))</f>
        <v/>
      </c>
    </row>
    <row r="585" spans="1:17" x14ac:dyDescent="0.25">
      <c r="A585" s="76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90" t="str">
        <f>IF(VLOOKUP(UncLookup[[#This Row],[Item]],Items!$A$1:$F$43,2,FALSE)=0,"",VLOOKUP(UncLookup[[#This Row],[Item]],Items!$A$1:$F$43,2,FALSE))</f>
        <v/>
      </c>
      <c r="P585" s="90" t="str">
        <f>IF(VLOOKUP(UncLookup[[#This Row],[Item]],Items!$A$1:$F$43,3,FALSE)=0,"",VLOOKUP(UncLookup[[#This Row],[Item]],Items!$A$1:$F$43,3,FALSE))</f>
        <v/>
      </c>
      <c r="Q585" s="90" t="str">
        <f>IF(VLOOKUP(UncLookup[[#This Row],[Item]],Items!$A$1:$F$43,4,FALSE)=0,"",VLOOKUP(UncLookup[[#This Row],[Item]],Items!$A$1:$F$43,4,FALSE))</f>
        <v/>
      </c>
    </row>
    <row r="586" spans="1:17" x14ac:dyDescent="0.25">
      <c r="A586" s="75" t="s">
        <v>56</v>
      </c>
      <c r="B586" s="75" t="s">
        <v>8</v>
      </c>
      <c r="C586" s="75">
        <v>0.1</v>
      </c>
      <c r="D586" s="75">
        <v>1</v>
      </c>
      <c r="E586" s="75">
        <v>1.0000000000000001E-5</v>
      </c>
      <c r="F586" s="75" t="s">
        <v>6</v>
      </c>
      <c r="G586" s="75" t="s">
        <v>5</v>
      </c>
      <c r="H586" s="75">
        <v>300</v>
      </c>
      <c r="I586" s="75">
        <v>1000</v>
      </c>
      <c r="J586" s="75" t="s">
        <v>10</v>
      </c>
      <c r="K586" s="75">
        <v>120</v>
      </c>
      <c r="L586" s="75">
        <v>12000</v>
      </c>
      <c r="M586" s="75">
        <v>110.73</v>
      </c>
      <c r="N586" s="75">
        <v>11675</v>
      </c>
      <c r="O586" s="90" t="str">
        <f>IF(VLOOKUP(UncLookup[[#This Row],[Item]],Items!$A$1:$F$43,2,FALSE)=0,"",VLOOKUP(UncLookup[[#This Row],[Item]],Items!$A$1:$F$43,2,FALSE))</f>
        <v/>
      </c>
      <c r="P586" s="90" t="str">
        <f>IF(VLOOKUP(UncLookup[[#This Row],[Item]],Items!$A$1:$F$43,3,FALSE)=0,"",VLOOKUP(UncLookup[[#This Row],[Item]],Items!$A$1:$F$43,3,FALSE))</f>
        <v/>
      </c>
      <c r="Q586" s="90" t="str">
        <f>IF(VLOOKUP(UncLookup[[#This Row],[Item]],Items!$A$1:$F$43,4,FALSE)=0,"",VLOOKUP(UncLookup[[#This Row],[Item]],Items!$A$1:$F$43,4,FALSE))</f>
        <v/>
      </c>
    </row>
    <row r="587" spans="1:17" x14ac:dyDescent="0.25">
      <c r="A587" s="76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90" t="str">
        <f>IF(VLOOKUP(UncLookup[[#This Row],[Item]],Items!$A$1:$F$43,2,FALSE)=0,"",VLOOKUP(UncLookup[[#This Row],[Item]],Items!$A$1:$F$43,2,FALSE))</f>
        <v/>
      </c>
      <c r="P587" s="90" t="str">
        <f>IF(VLOOKUP(UncLookup[[#This Row],[Item]],Items!$A$1:$F$43,3,FALSE)=0,"",VLOOKUP(UncLookup[[#This Row],[Item]],Items!$A$1:$F$43,3,FALSE))</f>
        <v/>
      </c>
      <c r="Q587" s="90" t="str">
        <f>IF(VLOOKUP(UncLookup[[#This Row],[Item]],Items!$A$1:$F$43,4,FALSE)=0,"",VLOOKUP(UncLookup[[#This Row],[Item]],Items!$A$1:$F$43,4,FALSE))</f>
        <v/>
      </c>
    </row>
    <row r="588" spans="1:17" x14ac:dyDescent="0.25">
      <c r="A588" s="75" t="s">
        <v>56</v>
      </c>
      <c r="B588" s="75" t="s">
        <v>8</v>
      </c>
      <c r="C588" s="75">
        <v>0.1</v>
      </c>
      <c r="D588" s="75">
        <v>1</v>
      </c>
      <c r="E588" s="75">
        <v>1E-4</v>
      </c>
      <c r="F588" s="75" t="s">
        <v>6</v>
      </c>
      <c r="G588" s="75" t="s">
        <v>5</v>
      </c>
      <c r="H588" s="75">
        <v>1000</v>
      </c>
      <c r="I588" s="75">
        <v>2000</v>
      </c>
      <c r="J588" s="75" t="s">
        <v>10</v>
      </c>
      <c r="K588" s="75">
        <v>590</v>
      </c>
      <c r="L588" s="75">
        <v>17152</v>
      </c>
      <c r="M588" s="75">
        <v>109.37</v>
      </c>
      <c r="N588" s="75">
        <v>17478</v>
      </c>
      <c r="O588" s="90" t="str">
        <f>IF(VLOOKUP(UncLookup[[#This Row],[Item]],Items!$A$1:$F$43,2,FALSE)=0,"",VLOOKUP(UncLookup[[#This Row],[Item]],Items!$A$1:$F$43,2,FALSE))</f>
        <v/>
      </c>
      <c r="P588" s="90" t="str">
        <f>IF(VLOOKUP(UncLookup[[#This Row],[Item]],Items!$A$1:$F$43,3,FALSE)=0,"",VLOOKUP(UncLookup[[#This Row],[Item]],Items!$A$1:$F$43,3,FALSE))</f>
        <v/>
      </c>
      <c r="Q588" s="90" t="str">
        <f>IF(VLOOKUP(UncLookup[[#This Row],[Item]],Items!$A$1:$F$43,4,FALSE)=0,"",VLOOKUP(UncLookup[[#This Row],[Item]],Items!$A$1:$F$43,4,FALSE))</f>
        <v/>
      </c>
    </row>
    <row r="589" spans="1:17" x14ac:dyDescent="0.25">
      <c r="A589" s="76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90" t="str">
        <f>IF(VLOOKUP(UncLookup[[#This Row],[Item]],Items!$A$1:$F$43,2,FALSE)=0,"",VLOOKUP(UncLookup[[#This Row],[Item]],Items!$A$1:$F$43,2,FALSE))</f>
        <v/>
      </c>
      <c r="P589" s="90" t="str">
        <f>IF(VLOOKUP(UncLookup[[#This Row],[Item]],Items!$A$1:$F$43,3,FALSE)=0,"",VLOOKUP(UncLookup[[#This Row],[Item]],Items!$A$1:$F$43,3,FALSE))</f>
        <v/>
      </c>
      <c r="Q589" s="90" t="str">
        <f>IF(VLOOKUP(UncLookup[[#This Row],[Item]],Items!$A$1:$F$43,4,FALSE)=0,"",VLOOKUP(UncLookup[[#This Row],[Item]],Items!$A$1:$F$43,4,FALSE))</f>
        <v/>
      </c>
    </row>
    <row r="590" spans="1:17" x14ac:dyDescent="0.25">
      <c r="A590" s="75" t="s">
        <v>56</v>
      </c>
      <c r="B590" s="75" t="s">
        <v>8</v>
      </c>
      <c r="C590" s="75">
        <v>0.1</v>
      </c>
      <c r="D590" s="75">
        <v>1</v>
      </c>
      <c r="E590" s="75">
        <v>1E-4</v>
      </c>
      <c r="F590" s="75" t="s">
        <v>6</v>
      </c>
      <c r="G590" s="75" t="s">
        <v>4</v>
      </c>
      <c r="H590" s="75">
        <v>4000</v>
      </c>
      <c r="I590" s="75">
        <v>8000</v>
      </c>
      <c r="J590" s="75" t="s">
        <v>10</v>
      </c>
      <c r="K590" s="75">
        <v>1.3</v>
      </c>
      <c r="L590" s="75">
        <v>46.045999999999999</v>
      </c>
      <c r="M590" s="75">
        <v>0.91664999999999996</v>
      </c>
      <c r="N590" s="75">
        <v>46.325000000000003</v>
      </c>
      <c r="O590" s="90" t="str">
        <f>IF(VLOOKUP(UncLookup[[#This Row],[Item]],Items!$A$1:$F$43,2,FALSE)=0,"",VLOOKUP(UncLookup[[#This Row],[Item]],Items!$A$1:$F$43,2,FALSE))</f>
        <v/>
      </c>
      <c r="P590" s="90" t="str">
        <f>IF(VLOOKUP(UncLookup[[#This Row],[Item]],Items!$A$1:$F$43,3,FALSE)=0,"",VLOOKUP(UncLookup[[#This Row],[Item]],Items!$A$1:$F$43,3,FALSE))</f>
        <v/>
      </c>
      <c r="Q590" s="90" t="str">
        <f>IF(VLOOKUP(UncLookup[[#This Row],[Item]],Items!$A$1:$F$43,4,FALSE)=0,"",VLOOKUP(UncLookup[[#This Row],[Item]],Items!$A$1:$F$43,4,FALSE))</f>
        <v/>
      </c>
    </row>
    <row r="591" spans="1:17" x14ac:dyDescent="0.25">
      <c r="A591" s="76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90" t="str">
        <f>IF(VLOOKUP(UncLookup[[#This Row],[Item]],Items!$A$1:$F$43,2,FALSE)=0,"",VLOOKUP(UncLookup[[#This Row],[Item]],Items!$A$1:$F$43,2,FALSE))</f>
        <v/>
      </c>
      <c r="P591" s="90" t="str">
        <f>IF(VLOOKUP(UncLookup[[#This Row],[Item]],Items!$A$1:$F$43,3,FALSE)=0,"",VLOOKUP(UncLookup[[#This Row],[Item]],Items!$A$1:$F$43,3,FALSE))</f>
        <v/>
      </c>
      <c r="Q591" s="90" t="str">
        <f>IF(VLOOKUP(UncLookup[[#This Row],[Item]],Items!$A$1:$F$43,4,FALSE)=0,"",VLOOKUP(UncLookup[[#This Row],[Item]],Items!$A$1:$F$43,4,FALSE))</f>
        <v/>
      </c>
    </row>
    <row r="592" spans="1:17" x14ac:dyDescent="0.25">
      <c r="A592" s="75" t="s">
        <v>56</v>
      </c>
      <c r="B592" s="75" t="s">
        <v>8</v>
      </c>
      <c r="C592" s="75">
        <v>0.1</v>
      </c>
      <c r="D592" s="75">
        <v>1</v>
      </c>
      <c r="E592" s="75">
        <v>1E-4</v>
      </c>
      <c r="F592" s="75" t="s">
        <v>6</v>
      </c>
      <c r="G592" s="75" t="s">
        <v>5</v>
      </c>
      <c r="H592" s="75">
        <v>300</v>
      </c>
      <c r="I592" s="75">
        <v>1000</v>
      </c>
      <c r="J592" s="75" t="s">
        <v>10</v>
      </c>
      <c r="K592" s="75">
        <v>120</v>
      </c>
      <c r="L592" s="75">
        <v>12000</v>
      </c>
      <c r="M592" s="75">
        <v>111.87</v>
      </c>
      <c r="N592" s="75">
        <v>11674</v>
      </c>
      <c r="O592" s="90" t="str">
        <f>IF(VLOOKUP(UncLookup[[#This Row],[Item]],Items!$A$1:$F$43,2,FALSE)=0,"",VLOOKUP(UncLookup[[#This Row],[Item]],Items!$A$1:$F$43,2,FALSE))</f>
        <v/>
      </c>
      <c r="P592" s="90" t="str">
        <f>IF(VLOOKUP(UncLookup[[#This Row],[Item]],Items!$A$1:$F$43,3,FALSE)=0,"",VLOOKUP(UncLookup[[#This Row],[Item]],Items!$A$1:$F$43,3,FALSE))</f>
        <v/>
      </c>
      <c r="Q592" s="90" t="str">
        <f>IF(VLOOKUP(UncLookup[[#This Row],[Item]],Items!$A$1:$F$43,4,FALSE)=0,"",VLOOKUP(UncLookup[[#This Row],[Item]],Items!$A$1:$F$43,4,FALSE))</f>
        <v/>
      </c>
    </row>
    <row r="593" spans="1:17" x14ac:dyDescent="0.25">
      <c r="A593" s="76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90" t="str">
        <f>IF(VLOOKUP(UncLookup[[#This Row],[Item]],Items!$A$1:$F$43,2,FALSE)=0,"",VLOOKUP(UncLookup[[#This Row],[Item]],Items!$A$1:$F$43,2,FALSE))</f>
        <v/>
      </c>
      <c r="P593" s="90" t="str">
        <f>IF(VLOOKUP(UncLookup[[#This Row],[Item]],Items!$A$1:$F$43,3,FALSE)=0,"",VLOOKUP(UncLookup[[#This Row],[Item]],Items!$A$1:$F$43,3,FALSE))</f>
        <v/>
      </c>
      <c r="Q593" s="90" t="str">
        <f>IF(VLOOKUP(UncLookup[[#This Row],[Item]],Items!$A$1:$F$43,4,FALSE)=0,"",VLOOKUP(UncLookup[[#This Row],[Item]],Items!$A$1:$F$43,4,FALSE))</f>
        <v/>
      </c>
    </row>
    <row r="594" spans="1:17" x14ac:dyDescent="0.25">
      <c r="A594" s="75" t="s">
        <v>56</v>
      </c>
      <c r="B594" s="75" t="s">
        <v>8</v>
      </c>
      <c r="C594" s="75">
        <v>0.1</v>
      </c>
      <c r="D594" s="75">
        <v>1</v>
      </c>
      <c r="E594" s="75">
        <v>1E-4</v>
      </c>
      <c r="F594" s="75" t="s">
        <v>6</v>
      </c>
      <c r="G594" s="75" t="s">
        <v>4</v>
      </c>
      <c r="H594" s="75">
        <v>8000</v>
      </c>
      <c r="I594" s="75">
        <v>10000</v>
      </c>
      <c r="J594" s="75" t="s">
        <v>10</v>
      </c>
      <c r="K594" s="75">
        <v>4.5999999999999996</v>
      </c>
      <c r="L594" s="75">
        <v>170.12</v>
      </c>
      <c r="M594" s="75">
        <v>1.1460999999999999</v>
      </c>
      <c r="N594" s="75">
        <v>173.36</v>
      </c>
      <c r="O594" s="90" t="str">
        <f>IF(VLOOKUP(UncLookup[[#This Row],[Item]],Items!$A$1:$F$43,2,FALSE)=0,"",VLOOKUP(UncLookup[[#This Row],[Item]],Items!$A$1:$F$43,2,FALSE))</f>
        <v/>
      </c>
      <c r="P594" s="90" t="str">
        <f>IF(VLOOKUP(UncLookup[[#This Row],[Item]],Items!$A$1:$F$43,3,FALSE)=0,"",VLOOKUP(UncLookup[[#This Row],[Item]],Items!$A$1:$F$43,3,FALSE))</f>
        <v/>
      </c>
      <c r="Q594" s="90" t="str">
        <f>IF(VLOOKUP(UncLookup[[#This Row],[Item]],Items!$A$1:$F$43,4,FALSE)=0,"",VLOOKUP(UncLookup[[#This Row],[Item]],Items!$A$1:$F$43,4,FALSE))</f>
        <v/>
      </c>
    </row>
    <row r="595" spans="1:17" x14ac:dyDescent="0.25">
      <c r="A595" s="76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90" t="str">
        <f>IF(VLOOKUP(UncLookup[[#This Row],[Item]],Items!$A$1:$F$43,2,FALSE)=0,"",VLOOKUP(UncLookup[[#This Row],[Item]],Items!$A$1:$F$43,2,FALSE))</f>
        <v/>
      </c>
      <c r="P595" s="90" t="str">
        <f>IF(VLOOKUP(UncLookup[[#This Row],[Item]],Items!$A$1:$F$43,3,FALSE)=0,"",VLOOKUP(UncLookup[[#This Row],[Item]],Items!$A$1:$F$43,3,FALSE))</f>
        <v/>
      </c>
      <c r="Q595" s="90" t="str">
        <f>IF(VLOOKUP(UncLookup[[#This Row],[Item]],Items!$A$1:$F$43,4,FALSE)=0,"",VLOOKUP(UncLookup[[#This Row],[Item]],Items!$A$1:$F$43,4,FALSE))</f>
        <v/>
      </c>
    </row>
    <row r="596" spans="1:17" x14ac:dyDescent="0.25">
      <c r="A596" s="75" t="s">
        <v>56</v>
      </c>
      <c r="B596" s="75" t="s">
        <v>8</v>
      </c>
      <c r="C596" s="75">
        <v>0.1</v>
      </c>
      <c r="D596" s="75">
        <v>1</v>
      </c>
      <c r="E596" s="75">
        <v>1E-4</v>
      </c>
      <c r="F596" s="75" t="s">
        <v>6</v>
      </c>
      <c r="G596" s="75" t="s">
        <v>5</v>
      </c>
      <c r="H596" s="75">
        <v>20</v>
      </c>
      <c r="I596" s="75">
        <v>50</v>
      </c>
      <c r="J596" s="75" t="s">
        <v>10</v>
      </c>
      <c r="K596" s="75">
        <v>49.713000000000001</v>
      </c>
      <c r="L596" s="75">
        <v>324.48</v>
      </c>
      <c r="M596" s="75">
        <v>49.371000000000002</v>
      </c>
      <c r="N596" s="75">
        <v>324.63</v>
      </c>
      <c r="O596" s="90" t="str">
        <f>IF(VLOOKUP(UncLookup[[#This Row],[Item]],Items!$A$1:$F$43,2,FALSE)=0,"",VLOOKUP(UncLookup[[#This Row],[Item]],Items!$A$1:$F$43,2,FALSE))</f>
        <v/>
      </c>
      <c r="P596" s="90" t="str">
        <f>IF(VLOOKUP(UncLookup[[#This Row],[Item]],Items!$A$1:$F$43,3,FALSE)=0,"",VLOOKUP(UncLookup[[#This Row],[Item]],Items!$A$1:$F$43,3,FALSE))</f>
        <v/>
      </c>
      <c r="Q596" s="90" t="str">
        <f>IF(VLOOKUP(UncLookup[[#This Row],[Item]],Items!$A$1:$F$43,4,FALSE)=0,"",VLOOKUP(UncLookup[[#This Row],[Item]],Items!$A$1:$F$43,4,FALSE))</f>
        <v/>
      </c>
    </row>
    <row r="597" spans="1:17" x14ac:dyDescent="0.25">
      <c r="A597" s="76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90" t="str">
        <f>IF(VLOOKUP(UncLookup[[#This Row],[Item]],Items!$A$1:$F$43,2,FALSE)=0,"",VLOOKUP(UncLookup[[#This Row],[Item]],Items!$A$1:$F$43,2,FALSE))</f>
        <v/>
      </c>
      <c r="P597" s="90" t="str">
        <f>IF(VLOOKUP(UncLookup[[#This Row],[Item]],Items!$A$1:$F$43,3,FALSE)=0,"",VLOOKUP(UncLookup[[#This Row],[Item]],Items!$A$1:$F$43,3,FALSE))</f>
        <v/>
      </c>
      <c r="Q597" s="90" t="str">
        <f>IF(VLOOKUP(UncLookup[[#This Row],[Item]],Items!$A$1:$F$43,4,FALSE)=0,"",VLOOKUP(UncLookup[[#This Row],[Item]],Items!$A$1:$F$43,4,FALSE))</f>
        <v/>
      </c>
    </row>
    <row r="598" spans="1:17" x14ac:dyDescent="0.25">
      <c r="A598" s="75" t="s">
        <v>56</v>
      </c>
      <c r="B598" s="75" t="s">
        <v>8</v>
      </c>
      <c r="C598" s="75">
        <v>0.1</v>
      </c>
      <c r="D598" s="75">
        <v>1</v>
      </c>
      <c r="E598" s="75">
        <v>1E-4</v>
      </c>
      <c r="F598" s="75" t="s">
        <v>6</v>
      </c>
      <c r="G598" s="75" t="s">
        <v>5</v>
      </c>
      <c r="H598" s="75">
        <v>1</v>
      </c>
      <c r="I598" s="75">
        <v>20</v>
      </c>
      <c r="J598" s="75" t="s">
        <v>10</v>
      </c>
      <c r="K598" s="75">
        <v>56.377000000000002</v>
      </c>
      <c r="L598" s="75">
        <v>137.35</v>
      </c>
      <c r="M598" s="75">
        <v>56.262</v>
      </c>
      <c r="N598" s="75">
        <v>137.33000000000001</v>
      </c>
      <c r="O598" s="90" t="str">
        <f>IF(VLOOKUP(UncLookup[[#This Row],[Item]],Items!$A$1:$F$43,2,FALSE)=0,"",VLOOKUP(UncLookup[[#This Row],[Item]],Items!$A$1:$F$43,2,FALSE))</f>
        <v/>
      </c>
      <c r="P598" s="90" t="str">
        <f>IF(VLOOKUP(UncLookup[[#This Row],[Item]],Items!$A$1:$F$43,3,FALSE)=0,"",VLOOKUP(UncLookup[[#This Row],[Item]],Items!$A$1:$F$43,3,FALSE))</f>
        <v/>
      </c>
      <c r="Q598" s="90" t="str">
        <f>IF(VLOOKUP(UncLookup[[#This Row],[Item]],Items!$A$1:$F$43,4,FALSE)=0,"",VLOOKUP(UncLookup[[#This Row],[Item]],Items!$A$1:$F$43,4,FALSE))</f>
        <v/>
      </c>
    </row>
    <row r="599" spans="1:17" x14ac:dyDescent="0.25">
      <c r="A599" s="76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90" t="str">
        <f>IF(VLOOKUP(UncLookup[[#This Row],[Item]],Items!$A$1:$F$43,2,FALSE)=0,"",VLOOKUP(UncLookup[[#This Row],[Item]],Items!$A$1:$F$43,2,FALSE))</f>
        <v/>
      </c>
      <c r="P599" s="90" t="str">
        <f>IF(VLOOKUP(UncLookup[[#This Row],[Item]],Items!$A$1:$F$43,3,FALSE)=0,"",VLOOKUP(UncLookup[[#This Row],[Item]],Items!$A$1:$F$43,3,FALSE))</f>
        <v/>
      </c>
      <c r="Q599" s="90" t="str">
        <f>IF(VLOOKUP(UncLookup[[#This Row],[Item]],Items!$A$1:$F$43,4,FALSE)=0,"",VLOOKUP(UncLookup[[#This Row],[Item]],Items!$A$1:$F$43,4,FALSE))</f>
        <v/>
      </c>
    </row>
    <row r="600" spans="1:17" x14ac:dyDescent="0.25">
      <c r="A600" s="75" t="s">
        <v>56</v>
      </c>
      <c r="B600" s="75" t="s">
        <v>8</v>
      </c>
      <c r="C600" s="75">
        <v>0.1</v>
      </c>
      <c r="D600" s="75">
        <v>1</v>
      </c>
      <c r="E600" s="75">
        <v>1E-3</v>
      </c>
      <c r="F600" s="75" t="s">
        <v>6</v>
      </c>
      <c r="G600" s="75" t="s">
        <v>5</v>
      </c>
      <c r="H600" s="75">
        <v>1</v>
      </c>
      <c r="I600" s="75">
        <v>20</v>
      </c>
      <c r="J600" s="75" t="s">
        <v>10</v>
      </c>
      <c r="K600" s="75">
        <v>575.70000000000005</v>
      </c>
      <c r="L600" s="75">
        <v>30.683</v>
      </c>
      <c r="M600" s="75">
        <v>575.66</v>
      </c>
      <c r="N600" s="75">
        <v>30.547999999999998</v>
      </c>
      <c r="O600" s="90" t="str">
        <f>IF(VLOOKUP(UncLookup[[#This Row],[Item]],Items!$A$1:$F$43,2,FALSE)=0,"",VLOOKUP(UncLookup[[#This Row],[Item]],Items!$A$1:$F$43,2,FALSE))</f>
        <v/>
      </c>
      <c r="P600" s="90" t="str">
        <f>IF(VLOOKUP(UncLookup[[#This Row],[Item]],Items!$A$1:$F$43,3,FALSE)=0,"",VLOOKUP(UncLookup[[#This Row],[Item]],Items!$A$1:$F$43,3,FALSE))</f>
        <v/>
      </c>
      <c r="Q600" s="90" t="str">
        <f>IF(VLOOKUP(UncLookup[[#This Row],[Item]],Items!$A$1:$F$43,4,FALSE)=0,"",VLOOKUP(UncLookup[[#This Row],[Item]],Items!$A$1:$F$43,4,FALSE))</f>
        <v/>
      </c>
    </row>
    <row r="601" spans="1:17" x14ac:dyDescent="0.25">
      <c r="A601" s="76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90" t="str">
        <f>IF(VLOOKUP(UncLookup[[#This Row],[Item]],Items!$A$1:$F$43,2,FALSE)=0,"",VLOOKUP(UncLookup[[#This Row],[Item]],Items!$A$1:$F$43,2,FALSE))</f>
        <v/>
      </c>
      <c r="P601" s="90" t="str">
        <f>IF(VLOOKUP(UncLookup[[#This Row],[Item]],Items!$A$1:$F$43,3,FALSE)=0,"",VLOOKUP(UncLookup[[#This Row],[Item]],Items!$A$1:$F$43,3,FALSE))</f>
        <v/>
      </c>
      <c r="Q601" s="90" t="str">
        <f>IF(VLOOKUP(UncLookup[[#This Row],[Item]],Items!$A$1:$F$43,4,FALSE)=0,"",VLOOKUP(UncLookup[[#This Row],[Item]],Items!$A$1:$F$43,4,FALSE))</f>
        <v/>
      </c>
    </row>
    <row r="602" spans="1:17" x14ac:dyDescent="0.25">
      <c r="A602" s="75" t="s">
        <v>56</v>
      </c>
      <c r="B602" s="75" t="s">
        <v>8</v>
      </c>
      <c r="C602" s="75">
        <v>0.1</v>
      </c>
      <c r="D602" s="75">
        <v>1</v>
      </c>
      <c r="E602" s="75">
        <v>1E-3</v>
      </c>
      <c r="F602" s="75" t="s">
        <v>6</v>
      </c>
      <c r="G602" s="75" t="s">
        <v>4</v>
      </c>
      <c r="H602" s="75">
        <v>2000</v>
      </c>
      <c r="I602" s="75">
        <v>4000</v>
      </c>
      <c r="J602" s="75" t="s">
        <v>10</v>
      </c>
      <c r="K602" s="75">
        <v>1.2</v>
      </c>
      <c r="L602" s="75">
        <v>46.033999999999999</v>
      </c>
      <c r="M602" s="75">
        <v>0.83431</v>
      </c>
      <c r="N602" s="75">
        <v>46.295999999999999</v>
      </c>
      <c r="O602" s="90" t="str">
        <f>IF(VLOOKUP(UncLookup[[#This Row],[Item]],Items!$A$1:$F$43,2,FALSE)=0,"",VLOOKUP(UncLookup[[#This Row],[Item]],Items!$A$1:$F$43,2,FALSE))</f>
        <v/>
      </c>
      <c r="P602" s="90" t="str">
        <f>IF(VLOOKUP(UncLookup[[#This Row],[Item]],Items!$A$1:$F$43,3,FALSE)=0,"",VLOOKUP(UncLookup[[#This Row],[Item]],Items!$A$1:$F$43,3,FALSE))</f>
        <v/>
      </c>
      <c r="Q602" s="90" t="str">
        <f>IF(VLOOKUP(UncLookup[[#This Row],[Item]],Items!$A$1:$F$43,4,FALSE)=0,"",VLOOKUP(UncLookup[[#This Row],[Item]],Items!$A$1:$F$43,4,FALSE))</f>
        <v/>
      </c>
    </row>
    <row r="603" spans="1:17" x14ac:dyDescent="0.25">
      <c r="A603" s="76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90" t="str">
        <f>IF(VLOOKUP(UncLookup[[#This Row],[Item]],Items!$A$1:$F$43,2,FALSE)=0,"",VLOOKUP(UncLookup[[#This Row],[Item]],Items!$A$1:$F$43,2,FALSE))</f>
        <v/>
      </c>
      <c r="P603" s="90" t="str">
        <f>IF(VLOOKUP(UncLookup[[#This Row],[Item]],Items!$A$1:$F$43,3,FALSE)=0,"",VLOOKUP(UncLookup[[#This Row],[Item]],Items!$A$1:$F$43,3,FALSE))</f>
        <v/>
      </c>
      <c r="Q603" s="90" t="str">
        <f>IF(VLOOKUP(UncLookup[[#This Row],[Item]],Items!$A$1:$F$43,4,FALSE)=0,"",VLOOKUP(UncLookup[[#This Row],[Item]],Items!$A$1:$F$43,4,FALSE))</f>
        <v/>
      </c>
    </row>
    <row r="604" spans="1:17" x14ac:dyDescent="0.25">
      <c r="A604" s="75" t="s">
        <v>56</v>
      </c>
      <c r="B604" s="75" t="s">
        <v>8</v>
      </c>
      <c r="C604" s="75">
        <v>0.1</v>
      </c>
      <c r="D604" s="75">
        <v>1</v>
      </c>
      <c r="E604" s="75">
        <v>1E-3</v>
      </c>
      <c r="F604" s="75" t="s">
        <v>6</v>
      </c>
      <c r="G604" s="75" t="s">
        <v>5</v>
      </c>
      <c r="H604" s="75">
        <v>300</v>
      </c>
      <c r="I604" s="75">
        <v>1000</v>
      </c>
      <c r="J604" s="75" t="s">
        <v>10</v>
      </c>
      <c r="K604" s="75">
        <v>212.67</v>
      </c>
      <c r="L604" s="75">
        <v>11907</v>
      </c>
      <c r="M604" s="75">
        <v>246.94</v>
      </c>
      <c r="N604" s="75">
        <v>11553</v>
      </c>
      <c r="O604" s="90" t="str">
        <f>IF(VLOOKUP(UncLookup[[#This Row],[Item]],Items!$A$1:$F$43,2,FALSE)=0,"",VLOOKUP(UncLookup[[#This Row],[Item]],Items!$A$1:$F$43,2,FALSE))</f>
        <v/>
      </c>
      <c r="P604" s="90" t="str">
        <f>IF(VLOOKUP(UncLookup[[#This Row],[Item]],Items!$A$1:$F$43,3,FALSE)=0,"",VLOOKUP(UncLookup[[#This Row],[Item]],Items!$A$1:$F$43,3,FALSE))</f>
        <v/>
      </c>
      <c r="Q604" s="90" t="str">
        <f>IF(VLOOKUP(UncLookup[[#This Row],[Item]],Items!$A$1:$F$43,4,FALSE)=0,"",VLOOKUP(UncLookup[[#This Row],[Item]],Items!$A$1:$F$43,4,FALSE))</f>
        <v/>
      </c>
    </row>
    <row r="605" spans="1:17" x14ac:dyDescent="0.25">
      <c r="A605" s="76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90" t="str">
        <f>IF(VLOOKUP(UncLookup[[#This Row],[Item]],Items!$A$1:$F$43,2,FALSE)=0,"",VLOOKUP(UncLookup[[#This Row],[Item]],Items!$A$1:$F$43,2,FALSE))</f>
        <v/>
      </c>
      <c r="P605" s="90" t="str">
        <f>IF(VLOOKUP(UncLookup[[#This Row],[Item]],Items!$A$1:$F$43,3,FALSE)=0,"",VLOOKUP(UncLookup[[#This Row],[Item]],Items!$A$1:$F$43,3,FALSE))</f>
        <v/>
      </c>
      <c r="Q605" s="90" t="str">
        <f>IF(VLOOKUP(UncLookup[[#This Row],[Item]],Items!$A$1:$F$43,4,FALSE)=0,"",VLOOKUP(UncLookup[[#This Row],[Item]],Items!$A$1:$F$43,4,FALSE))</f>
        <v/>
      </c>
    </row>
    <row r="606" spans="1:17" x14ac:dyDescent="0.25">
      <c r="A606" s="75" t="s">
        <v>56</v>
      </c>
      <c r="B606" s="75" t="s">
        <v>8</v>
      </c>
      <c r="C606" s="75">
        <v>0.1</v>
      </c>
      <c r="D606" s="75">
        <v>1</v>
      </c>
      <c r="E606" s="75">
        <v>1E-3</v>
      </c>
      <c r="F606" s="75" t="s">
        <v>6</v>
      </c>
      <c r="G606" s="75" t="s">
        <v>4</v>
      </c>
      <c r="H606" s="75">
        <v>8000</v>
      </c>
      <c r="I606" s="75">
        <v>10000</v>
      </c>
      <c r="J606" s="75" t="s">
        <v>10</v>
      </c>
      <c r="K606" s="75">
        <v>4.5999999999999996</v>
      </c>
      <c r="L606" s="75">
        <v>170.12</v>
      </c>
      <c r="M606" s="75">
        <v>1.1559999999999999</v>
      </c>
      <c r="N606" s="75">
        <v>173.35</v>
      </c>
      <c r="O606" s="90" t="str">
        <f>IF(VLOOKUP(UncLookup[[#This Row],[Item]],Items!$A$1:$F$43,2,FALSE)=0,"",VLOOKUP(UncLookup[[#This Row],[Item]],Items!$A$1:$F$43,2,FALSE))</f>
        <v/>
      </c>
      <c r="P606" s="90" t="str">
        <f>IF(VLOOKUP(UncLookup[[#This Row],[Item]],Items!$A$1:$F$43,3,FALSE)=0,"",VLOOKUP(UncLookup[[#This Row],[Item]],Items!$A$1:$F$43,3,FALSE))</f>
        <v/>
      </c>
      <c r="Q606" s="90" t="str">
        <f>IF(VLOOKUP(UncLookup[[#This Row],[Item]],Items!$A$1:$F$43,4,FALSE)=0,"",VLOOKUP(UncLookup[[#This Row],[Item]],Items!$A$1:$F$43,4,FALSE))</f>
        <v/>
      </c>
    </row>
    <row r="607" spans="1:17" x14ac:dyDescent="0.25">
      <c r="A607" s="76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90" t="str">
        <f>IF(VLOOKUP(UncLookup[[#This Row],[Item]],Items!$A$1:$F$43,2,FALSE)=0,"",VLOOKUP(UncLookup[[#This Row],[Item]],Items!$A$1:$F$43,2,FALSE))</f>
        <v/>
      </c>
      <c r="P607" s="90" t="str">
        <f>IF(VLOOKUP(UncLookup[[#This Row],[Item]],Items!$A$1:$F$43,3,FALSE)=0,"",VLOOKUP(UncLookup[[#This Row],[Item]],Items!$A$1:$F$43,3,FALSE))</f>
        <v/>
      </c>
      <c r="Q607" s="90" t="str">
        <f>IF(VLOOKUP(UncLookup[[#This Row],[Item]],Items!$A$1:$F$43,4,FALSE)=0,"",VLOOKUP(UncLookup[[#This Row],[Item]],Items!$A$1:$F$43,4,FALSE))</f>
        <v/>
      </c>
    </row>
    <row r="608" spans="1:17" x14ac:dyDescent="0.25">
      <c r="A608" s="75" t="s">
        <v>56</v>
      </c>
      <c r="B608" s="75" t="s">
        <v>8</v>
      </c>
      <c r="C608" s="75">
        <v>0.1</v>
      </c>
      <c r="D608" s="75">
        <v>1</v>
      </c>
      <c r="E608" s="75">
        <v>1E-3</v>
      </c>
      <c r="F608" s="75" t="s">
        <v>6</v>
      </c>
      <c r="G608" s="75" t="s">
        <v>5</v>
      </c>
      <c r="H608" s="75">
        <v>20</v>
      </c>
      <c r="I608" s="75">
        <v>50</v>
      </c>
      <c r="J608" s="75" t="s">
        <v>10</v>
      </c>
      <c r="K608" s="75">
        <v>568.73</v>
      </c>
      <c r="L608" s="75">
        <v>117.17</v>
      </c>
      <c r="M608" s="75">
        <v>568.57000000000005</v>
      </c>
      <c r="N608" s="75">
        <v>116.91</v>
      </c>
      <c r="O608" s="90" t="str">
        <f>IF(VLOOKUP(UncLookup[[#This Row],[Item]],Items!$A$1:$F$43,2,FALSE)=0,"",VLOOKUP(UncLookup[[#This Row],[Item]],Items!$A$1:$F$43,2,FALSE))</f>
        <v/>
      </c>
      <c r="P608" s="90" t="str">
        <f>IF(VLOOKUP(UncLookup[[#This Row],[Item]],Items!$A$1:$F$43,3,FALSE)=0,"",VLOOKUP(UncLookup[[#This Row],[Item]],Items!$A$1:$F$43,3,FALSE))</f>
        <v/>
      </c>
      <c r="Q608" s="90" t="str">
        <f>IF(VLOOKUP(UncLookup[[#This Row],[Item]],Items!$A$1:$F$43,4,FALSE)=0,"",VLOOKUP(UncLookup[[#This Row],[Item]],Items!$A$1:$F$43,4,FALSE))</f>
        <v/>
      </c>
    </row>
    <row r="609" spans="1:17" x14ac:dyDescent="0.25">
      <c r="A609" s="76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90" t="str">
        <f>IF(VLOOKUP(UncLookup[[#This Row],[Item]],Items!$A$1:$F$43,2,FALSE)=0,"",VLOOKUP(UncLookup[[#This Row],[Item]],Items!$A$1:$F$43,2,FALSE))</f>
        <v/>
      </c>
      <c r="P609" s="90" t="str">
        <f>IF(VLOOKUP(UncLookup[[#This Row],[Item]],Items!$A$1:$F$43,3,FALSE)=0,"",VLOOKUP(UncLookup[[#This Row],[Item]],Items!$A$1:$F$43,3,FALSE))</f>
        <v/>
      </c>
      <c r="Q609" s="90" t="str">
        <f>IF(VLOOKUP(UncLookup[[#This Row],[Item]],Items!$A$1:$F$43,4,FALSE)=0,"",VLOOKUP(UncLookup[[#This Row],[Item]],Items!$A$1:$F$43,4,FALSE))</f>
        <v/>
      </c>
    </row>
    <row r="610" spans="1:17" x14ac:dyDescent="0.25">
      <c r="A610" s="75" t="s">
        <v>56</v>
      </c>
      <c r="B610" s="75" t="s">
        <v>8</v>
      </c>
      <c r="C610" s="75">
        <v>0.1</v>
      </c>
      <c r="D610" s="75">
        <v>1</v>
      </c>
      <c r="E610" s="75">
        <v>0.01</v>
      </c>
      <c r="F610" s="75" t="s">
        <v>6</v>
      </c>
      <c r="G610" s="75" t="s">
        <v>5</v>
      </c>
      <c r="H610" s="75">
        <v>20</v>
      </c>
      <c r="I610" s="75">
        <v>50</v>
      </c>
      <c r="J610" s="75" t="s">
        <v>10</v>
      </c>
      <c r="K610" s="75">
        <v>5772.6</v>
      </c>
      <c r="L610" s="75">
        <v>12.94</v>
      </c>
      <c r="M610" s="75">
        <v>5762.2</v>
      </c>
      <c r="N610" s="75">
        <v>12.802</v>
      </c>
      <c r="O610" s="90" t="str">
        <f>IF(VLOOKUP(UncLookup[[#This Row],[Item]],Items!$A$1:$F$43,2,FALSE)=0,"",VLOOKUP(UncLookup[[#This Row],[Item]],Items!$A$1:$F$43,2,FALSE))</f>
        <v/>
      </c>
      <c r="P610" s="90" t="str">
        <f>IF(VLOOKUP(UncLookup[[#This Row],[Item]],Items!$A$1:$F$43,3,FALSE)=0,"",VLOOKUP(UncLookup[[#This Row],[Item]],Items!$A$1:$F$43,3,FALSE))</f>
        <v/>
      </c>
      <c r="Q610" s="90" t="str">
        <f>IF(VLOOKUP(UncLookup[[#This Row],[Item]],Items!$A$1:$F$43,4,FALSE)=0,"",VLOOKUP(UncLookup[[#This Row],[Item]],Items!$A$1:$F$43,4,FALSE))</f>
        <v/>
      </c>
    </row>
    <row r="611" spans="1:17" x14ac:dyDescent="0.25">
      <c r="A611" s="76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90" t="str">
        <f>IF(VLOOKUP(UncLookup[[#This Row],[Item]],Items!$A$1:$F$43,2,FALSE)=0,"",VLOOKUP(UncLookup[[#This Row],[Item]],Items!$A$1:$F$43,2,FALSE))</f>
        <v/>
      </c>
      <c r="P611" s="90" t="str">
        <f>IF(VLOOKUP(UncLookup[[#This Row],[Item]],Items!$A$1:$F$43,3,FALSE)=0,"",VLOOKUP(UncLookup[[#This Row],[Item]],Items!$A$1:$F$43,3,FALSE))</f>
        <v/>
      </c>
      <c r="Q611" s="90" t="str">
        <f>IF(VLOOKUP(UncLookup[[#This Row],[Item]],Items!$A$1:$F$43,4,FALSE)=0,"",VLOOKUP(UncLookup[[#This Row],[Item]],Items!$A$1:$F$43,4,FALSE))</f>
        <v/>
      </c>
    </row>
    <row r="612" spans="1:17" x14ac:dyDescent="0.25">
      <c r="A612" s="75" t="s">
        <v>56</v>
      </c>
      <c r="B612" s="75" t="s">
        <v>8</v>
      </c>
      <c r="C612" s="75">
        <v>0.1</v>
      </c>
      <c r="D612" s="75">
        <v>1</v>
      </c>
      <c r="E612" s="75">
        <v>0.01</v>
      </c>
      <c r="F612" s="75" t="s">
        <v>6</v>
      </c>
      <c r="G612" s="75" t="s">
        <v>5</v>
      </c>
      <c r="H612" s="75">
        <v>1</v>
      </c>
      <c r="I612" s="75">
        <v>20</v>
      </c>
      <c r="J612" s="75" t="s">
        <v>10</v>
      </c>
      <c r="K612" s="75">
        <v>5773.4</v>
      </c>
      <c r="L612" s="75">
        <v>3.1917</v>
      </c>
      <c r="M612" s="75">
        <v>5770.6</v>
      </c>
      <c r="N612" s="75">
        <v>0.31602999999999998</v>
      </c>
      <c r="O612" s="90" t="str">
        <f>IF(VLOOKUP(UncLookup[[#This Row],[Item]],Items!$A$1:$F$43,2,FALSE)=0,"",VLOOKUP(UncLookup[[#This Row],[Item]],Items!$A$1:$F$43,2,FALSE))</f>
        <v/>
      </c>
      <c r="P612" s="90" t="str">
        <f>IF(VLOOKUP(UncLookup[[#This Row],[Item]],Items!$A$1:$F$43,3,FALSE)=0,"",VLOOKUP(UncLookup[[#This Row],[Item]],Items!$A$1:$F$43,3,FALSE))</f>
        <v/>
      </c>
      <c r="Q612" s="90" t="str">
        <f>IF(VLOOKUP(UncLookup[[#This Row],[Item]],Items!$A$1:$F$43,4,FALSE)=0,"",VLOOKUP(UncLookup[[#This Row],[Item]],Items!$A$1:$F$43,4,FALSE))</f>
        <v/>
      </c>
    </row>
    <row r="613" spans="1:17" x14ac:dyDescent="0.25">
      <c r="A613" s="76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90" t="str">
        <f>IF(VLOOKUP(UncLookup[[#This Row],[Item]],Items!$A$1:$F$43,2,FALSE)=0,"",VLOOKUP(UncLookup[[#This Row],[Item]],Items!$A$1:$F$43,2,FALSE))</f>
        <v/>
      </c>
      <c r="P613" s="90" t="str">
        <f>IF(VLOOKUP(UncLookup[[#This Row],[Item]],Items!$A$1:$F$43,3,FALSE)=0,"",VLOOKUP(UncLookup[[#This Row],[Item]],Items!$A$1:$F$43,3,FALSE))</f>
        <v/>
      </c>
      <c r="Q613" s="90" t="str">
        <f>IF(VLOOKUP(UncLookup[[#This Row],[Item]],Items!$A$1:$F$43,4,FALSE)=0,"",VLOOKUP(UncLookup[[#This Row],[Item]],Items!$A$1:$F$43,4,FALSE))</f>
        <v/>
      </c>
    </row>
    <row r="614" spans="1:17" x14ac:dyDescent="0.25">
      <c r="A614" s="75" t="s">
        <v>56</v>
      </c>
      <c r="B614" s="75" t="s">
        <v>8</v>
      </c>
      <c r="C614" s="75">
        <v>0.1</v>
      </c>
      <c r="D614" s="75">
        <v>1</v>
      </c>
      <c r="E614" s="75">
        <v>0.01</v>
      </c>
      <c r="F614" s="75" t="s">
        <v>6</v>
      </c>
      <c r="G614" s="75" t="s">
        <v>4</v>
      </c>
      <c r="H614" s="75">
        <v>8000</v>
      </c>
      <c r="I614" s="75">
        <v>10000</v>
      </c>
      <c r="J614" s="75" t="s">
        <v>10</v>
      </c>
      <c r="K614" s="75">
        <v>4.5999999999999996</v>
      </c>
      <c r="L614" s="75">
        <v>170.23</v>
      </c>
      <c r="M614" s="75">
        <v>2.0278</v>
      </c>
      <c r="N614" s="75">
        <v>172.49</v>
      </c>
      <c r="O614" s="90" t="str">
        <f>IF(VLOOKUP(UncLookup[[#This Row],[Item]],Items!$A$1:$F$43,2,FALSE)=0,"",VLOOKUP(UncLookup[[#This Row],[Item]],Items!$A$1:$F$43,2,FALSE))</f>
        <v/>
      </c>
      <c r="P614" s="90" t="str">
        <f>IF(VLOOKUP(UncLookup[[#This Row],[Item]],Items!$A$1:$F$43,3,FALSE)=0,"",VLOOKUP(UncLookup[[#This Row],[Item]],Items!$A$1:$F$43,3,FALSE))</f>
        <v/>
      </c>
      <c r="Q614" s="90" t="str">
        <f>IF(VLOOKUP(UncLookup[[#This Row],[Item]],Items!$A$1:$F$43,4,FALSE)=0,"",VLOOKUP(UncLookup[[#This Row],[Item]],Items!$A$1:$F$43,4,FALSE))</f>
        <v/>
      </c>
    </row>
    <row r="615" spans="1:17" x14ac:dyDescent="0.25">
      <c r="A615" s="76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90" t="str">
        <f>IF(VLOOKUP(UncLookup[[#This Row],[Item]],Items!$A$1:$F$43,2,FALSE)=0,"",VLOOKUP(UncLookup[[#This Row],[Item]],Items!$A$1:$F$43,2,FALSE))</f>
        <v/>
      </c>
      <c r="P615" s="90" t="str">
        <f>IF(VLOOKUP(UncLookup[[#This Row],[Item]],Items!$A$1:$F$43,3,FALSE)=0,"",VLOOKUP(UncLookup[[#This Row],[Item]],Items!$A$1:$F$43,3,FALSE))</f>
        <v/>
      </c>
      <c r="Q615" s="90" t="str">
        <f>IF(VLOOKUP(UncLookup[[#This Row],[Item]],Items!$A$1:$F$43,4,FALSE)=0,"",VLOOKUP(UncLookup[[#This Row],[Item]],Items!$A$1:$F$43,4,FALSE))</f>
        <v/>
      </c>
    </row>
    <row r="616" spans="1:17" x14ac:dyDescent="0.25">
      <c r="A616" s="75" t="s">
        <v>56</v>
      </c>
      <c r="B616" s="75" t="s">
        <v>8</v>
      </c>
      <c r="C616" s="75">
        <v>0.1</v>
      </c>
      <c r="D616" s="75">
        <v>1</v>
      </c>
      <c r="E616" s="75">
        <v>0.01</v>
      </c>
      <c r="F616" s="75" t="s">
        <v>6</v>
      </c>
      <c r="G616" s="75" t="s">
        <v>5</v>
      </c>
      <c r="H616" s="75">
        <v>1E-3</v>
      </c>
      <c r="I616" s="75">
        <v>0.04</v>
      </c>
      <c r="J616" s="75" t="s">
        <v>10</v>
      </c>
      <c r="K616" s="75">
        <v>5773.7</v>
      </c>
      <c r="L616" s="75">
        <v>1.2830999999999999</v>
      </c>
      <c r="M616" s="75">
        <v>1.2674000000000001</v>
      </c>
      <c r="N616" s="75">
        <v>1.2674000000000001</v>
      </c>
      <c r="O616" s="90" t="str">
        <f>IF(VLOOKUP(UncLookup[[#This Row],[Item]],Items!$A$1:$F$43,2,FALSE)=0,"",VLOOKUP(UncLookup[[#This Row],[Item]],Items!$A$1:$F$43,2,FALSE))</f>
        <v/>
      </c>
      <c r="P616" s="90" t="str">
        <f>IF(VLOOKUP(UncLookup[[#This Row],[Item]],Items!$A$1:$F$43,3,FALSE)=0,"",VLOOKUP(UncLookup[[#This Row],[Item]],Items!$A$1:$F$43,3,FALSE))</f>
        <v/>
      </c>
      <c r="Q616" s="90" t="str">
        <f>IF(VLOOKUP(UncLookup[[#This Row],[Item]],Items!$A$1:$F$43,4,FALSE)=0,"",VLOOKUP(UncLookup[[#This Row],[Item]],Items!$A$1:$F$43,4,FALSE))</f>
        <v/>
      </c>
    </row>
    <row r="617" spans="1:17" x14ac:dyDescent="0.25">
      <c r="A617" s="76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90" t="str">
        <f>IF(VLOOKUP(UncLookup[[#This Row],[Item]],Items!$A$1:$F$43,2,FALSE)=0,"",VLOOKUP(UncLookup[[#This Row],[Item]],Items!$A$1:$F$43,2,FALSE))</f>
        <v/>
      </c>
      <c r="P617" s="90" t="str">
        <f>IF(VLOOKUP(UncLookup[[#This Row],[Item]],Items!$A$1:$F$43,3,FALSE)=0,"",VLOOKUP(UncLookup[[#This Row],[Item]],Items!$A$1:$F$43,3,FALSE))</f>
        <v/>
      </c>
      <c r="Q617" s="90" t="str">
        <f>IF(VLOOKUP(UncLookup[[#This Row],[Item]],Items!$A$1:$F$43,4,FALSE)=0,"",VLOOKUP(UncLookup[[#This Row],[Item]],Items!$A$1:$F$43,4,FALSE))</f>
        <v/>
      </c>
    </row>
    <row r="618" spans="1:17" x14ac:dyDescent="0.25">
      <c r="A618" s="75" t="s">
        <v>56</v>
      </c>
      <c r="B618" s="75" t="s">
        <v>8</v>
      </c>
      <c r="C618" s="75">
        <v>0.1</v>
      </c>
      <c r="D618" s="75">
        <v>1</v>
      </c>
      <c r="E618" s="75">
        <v>0.01</v>
      </c>
      <c r="F618" s="75" t="s">
        <v>6</v>
      </c>
      <c r="G618" s="75" t="s">
        <v>5</v>
      </c>
      <c r="H618" s="75">
        <v>300</v>
      </c>
      <c r="I618" s="75">
        <v>1000</v>
      </c>
      <c r="J618" s="75" t="s">
        <v>10</v>
      </c>
      <c r="K618" s="75">
        <v>5113.2</v>
      </c>
      <c r="L618" s="75">
        <v>8011.6</v>
      </c>
      <c r="M618" s="75">
        <v>4758</v>
      </c>
      <c r="N618" s="75">
        <v>8011.9</v>
      </c>
      <c r="O618" s="90" t="str">
        <f>IF(VLOOKUP(UncLookup[[#This Row],[Item]],Items!$A$1:$F$43,2,FALSE)=0,"",VLOOKUP(UncLookup[[#This Row],[Item]],Items!$A$1:$F$43,2,FALSE))</f>
        <v/>
      </c>
      <c r="P618" s="90" t="str">
        <f>IF(VLOOKUP(UncLookup[[#This Row],[Item]],Items!$A$1:$F$43,3,FALSE)=0,"",VLOOKUP(UncLookup[[#This Row],[Item]],Items!$A$1:$F$43,3,FALSE))</f>
        <v/>
      </c>
      <c r="Q618" s="90" t="str">
        <f>IF(VLOOKUP(UncLookup[[#This Row],[Item]],Items!$A$1:$F$43,4,FALSE)=0,"",VLOOKUP(UncLookup[[#This Row],[Item]],Items!$A$1:$F$43,4,FALSE))</f>
        <v/>
      </c>
    </row>
    <row r="619" spans="1:17" x14ac:dyDescent="0.25">
      <c r="A619" s="76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90" t="str">
        <f>IF(VLOOKUP(UncLookup[[#This Row],[Item]],Items!$A$1:$F$43,2,FALSE)=0,"",VLOOKUP(UncLookup[[#This Row],[Item]],Items!$A$1:$F$43,2,FALSE))</f>
        <v/>
      </c>
      <c r="P619" s="90" t="str">
        <f>IF(VLOOKUP(UncLookup[[#This Row],[Item]],Items!$A$1:$F$43,3,FALSE)=0,"",VLOOKUP(UncLookup[[#This Row],[Item]],Items!$A$1:$F$43,3,FALSE))</f>
        <v/>
      </c>
      <c r="Q619" s="90" t="str">
        <f>IF(VLOOKUP(UncLookup[[#This Row],[Item]],Items!$A$1:$F$43,4,FALSE)=0,"",VLOOKUP(UncLookup[[#This Row],[Item]],Items!$A$1:$F$43,4,FALSE))</f>
        <v/>
      </c>
    </row>
    <row r="620" spans="1:17" x14ac:dyDescent="0.25">
      <c r="A620" s="75" t="s">
        <v>56</v>
      </c>
      <c r="B620" s="75" t="s">
        <v>8</v>
      </c>
      <c r="C620" s="75">
        <v>0.1</v>
      </c>
      <c r="D620" s="75">
        <v>1</v>
      </c>
      <c r="E620" s="75">
        <v>0.01</v>
      </c>
      <c r="F620" s="75" t="s">
        <v>6</v>
      </c>
      <c r="G620" s="75" t="s">
        <v>5</v>
      </c>
      <c r="H620" s="75">
        <v>50</v>
      </c>
      <c r="I620" s="75">
        <v>100</v>
      </c>
      <c r="J620" s="75" t="s">
        <v>10</v>
      </c>
      <c r="K620" s="75">
        <v>5766.2</v>
      </c>
      <c r="L620" s="75">
        <v>87.391999999999996</v>
      </c>
      <c r="M620" s="75">
        <v>5715.5</v>
      </c>
      <c r="N620" s="75">
        <v>87.123000000000005</v>
      </c>
      <c r="O620" s="90" t="str">
        <f>IF(VLOOKUP(UncLookup[[#This Row],[Item]],Items!$A$1:$F$43,2,FALSE)=0,"",VLOOKUP(UncLookup[[#This Row],[Item]],Items!$A$1:$F$43,2,FALSE))</f>
        <v/>
      </c>
      <c r="P620" s="90" t="str">
        <f>IF(VLOOKUP(UncLookup[[#This Row],[Item]],Items!$A$1:$F$43,3,FALSE)=0,"",VLOOKUP(UncLookup[[#This Row],[Item]],Items!$A$1:$F$43,3,FALSE))</f>
        <v/>
      </c>
      <c r="Q620" s="90" t="str">
        <f>IF(VLOOKUP(UncLookup[[#This Row],[Item]],Items!$A$1:$F$43,4,FALSE)=0,"",VLOOKUP(UncLookup[[#This Row],[Item]],Items!$A$1:$F$43,4,FALSE))</f>
        <v/>
      </c>
    </row>
    <row r="621" spans="1:17" x14ac:dyDescent="0.25">
      <c r="A621" s="76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90" t="str">
        <f>IF(VLOOKUP(UncLookup[[#This Row],[Item]],Items!$A$1:$F$43,2,FALSE)=0,"",VLOOKUP(UncLookup[[#This Row],[Item]],Items!$A$1:$F$43,2,FALSE))</f>
        <v/>
      </c>
      <c r="P621" s="90" t="str">
        <f>IF(VLOOKUP(UncLookup[[#This Row],[Item]],Items!$A$1:$F$43,3,FALSE)=0,"",VLOOKUP(UncLookup[[#This Row],[Item]],Items!$A$1:$F$43,3,FALSE))</f>
        <v/>
      </c>
      <c r="Q621" s="90" t="str">
        <f>IF(VLOOKUP(UncLookup[[#This Row],[Item]],Items!$A$1:$F$43,4,FALSE)=0,"",VLOOKUP(UncLookup[[#This Row],[Item]],Items!$A$1:$F$43,4,FALSE))</f>
        <v/>
      </c>
    </row>
    <row r="622" spans="1:17" x14ac:dyDescent="0.25">
      <c r="A622" s="75" t="s">
        <v>56</v>
      </c>
      <c r="B622" s="75" t="s">
        <v>8</v>
      </c>
      <c r="C622" s="75">
        <v>1</v>
      </c>
      <c r="D622" s="75">
        <v>10</v>
      </c>
      <c r="E622" s="75">
        <v>9.9999999999999995E-7</v>
      </c>
      <c r="F622" s="75" t="s">
        <v>6</v>
      </c>
      <c r="G622" s="75" t="s">
        <v>4</v>
      </c>
      <c r="H622" s="75">
        <v>50</v>
      </c>
      <c r="I622" s="75">
        <v>100</v>
      </c>
      <c r="J622" s="75" t="s">
        <v>10</v>
      </c>
      <c r="K622" s="75">
        <v>0.27</v>
      </c>
      <c r="L622" s="75">
        <v>0.94</v>
      </c>
      <c r="M622" s="75">
        <v>0.22603000000000001</v>
      </c>
      <c r="N622" s="75">
        <v>0.94120999999999999</v>
      </c>
      <c r="O622" s="90" t="str">
        <f>IF(VLOOKUP(UncLookup[[#This Row],[Item]],Items!$A$1:$F$43,2,FALSE)=0,"",VLOOKUP(UncLookup[[#This Row],[Item]],Items!$A$1:$F$43,2,FALSE))</f>
        <v/>
      </c>
      <c r="P622" s="90" t="str">
        <f>IF(VLOOKUP(UncLookup[[#This Row],[Item]],Items!$A$1:$F$43,3,FALSE)=0,"",VLOOKUP(UncLookup[[#This Row],[Item]],Items!$A$1:$F$43,3,FALSE))</f>
        <v/>
      </c>
      <c r="Q622" s="90" t="str">
        <f>IF(VLOOKUP(UncLookup[[#This Row],[Item]],Items!$A$1:$F$43,4,FALSE)=0,"",VLOOKUP(UncLookup[[#This Row],[Item]],Items!$A$1:$F$43,4,FALSE))</f>
        <v/>
      </c>
    </row>
    <row r="623" spans="1:17" x14ac:dyDescent="0.25">
      <c r="A623" s="76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90" t="str">
        <f>IF(VLOOKUP(UncLookup[[#This Row],[Item]],Items!$A$1:$F$43,2,FALSE)=0,"",VLOOKUP(UncLookup[[#This Row],[Item]],Items!$A$1:$F$43,2,FALSE))</f>
        <v/>
      </c>
      <c r="P623" s="90" t="str">
        <f>IF(VLOOKUP(UncLookup[[#This Row],[Item]],Items!$A$1:$F$43,3,FALSE)=0,"",VLOOKUP(UncLookup[[#This Row],[Item]],Items!$A$1:$F$43,3,FALSE))</f>
        <v/>
      </c>
      <c r="Q623" s="90" t="str">
        <f>IF(VLOOKUP(UncLookup[[#This Row],[Item]],Items!$A$1:$F$43,4,FALSE)=0,"",VLOOKUP(UncLookup[[#This Row],[Item]],Items!$A$1:$F$43,4,FALSE))</f>
        <v/>
      </c>
    </row>
    <row r="624" spans="1:17" x14ac:dyDescent="0.25">
      <c r="A624" s="75" t="s">
        <v>56</v>
      </c>
      <c r="B624" s="75" t="s">
        <v>8</v>
      </c>
      <c r="C624" s="75">
        <v>1</v>
      </c>
      <c r="D624" s="75">
        <v>10</v>
      </c>
      <c r="E624" s="75">
        <v>9.9999999999999995E-7</v>
      </c>
      <c r="F624" s="75" t="s">
        <v>6</v>
      </c>
      <c r="G624" s="75" t="s">
        <v>4</v>
      </c>
      <c r="H624" s="75">
        <v>1E-3</v>
      </c>
      <c r="I624" s="75">
        <v>0.04</v>
      </c>
      <c r="J624" s="75" t="s">
        <v>10</v>
      </c>
      <c r="K624" s="75">
        <v>0.46</v>
      </c>
      <c r="L624" s="75">
        <v>9.1999999999999998E-2</v>
      </c>
      <c r="M624" s="75">
        <v>0.45052999999999999</v>
      </c>
      <c r="N624" s="75">
        <v>9.2199000000000003E-2</v>
      </c>
      <c r="O624" s="90" t="str">
        <f>IF(VLOOKUP(UncLookup[[#This Row],[Item]],Items!$A$1:$F$43,2,FALSE)=0,"",VLOOKUP(UncLookup[[#This Row],[Item]],Items!$A$1:$F$43,2,FALSE))</f>
        <v/>
      </c>
      <c r="P624" s="90" t="str">
        <f>IF(VLOOKUP(UncLookup[[#This Row],[Item]],Items!$A$1:$F$43,3,FALSE)=0,"",VLOOKUP(UncLookup[[#This Row],[Item]],Items!$A$1:$F$43,3,FALSE))</f>
        <v/>
      </c>
      <c r="Q624" s="90" t="str">
        <f>IF(VLOOKUP(UncLookup[[#This Row],[Item]],Items!$A$1:$F$43,4,FALSE)=0,"",VLOOKUP(UncLookup[[#This Row],[Item]],Items!$A$1:$F$43,4,FALSE))</f>
        <v/>
      </c>
    </row>
    <row r="625" spans="1:17" x14ac:dyDescent="0.25">
      <c r="A625" s="76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90" t="str">
        <f>IF(VLOOKUP(UncLookup[[#This Row],[Item]],Items!$A$1:$F$43,2,FALSE)=0,"",VLOOKUP(UncLookup[[#This Row],[Item]],Items!$A$1:$F$43,2,FALSE))</f>
        <v/>
      </c>
      <c r="P625" s="90" t="str">
        <f>IF(VLOOKUP(UncLookup[[#This Row],[Item]],Items!$A$1:$F$43,3,FALSE)=0,"",VLOOKUP(UncLookup[[#This Row],[Item]],Items!$A$1:$F$43,3,FALSE))</f>
        <v/>
      </c>
      <c r="Q625" s="90" t="str">
        <f>IF(VLOOKUP(UncLookup[[#This Row],[Item]],Items!$A$1:$F$43,4,FALSE)=0,"",VLOOKUP(UncLookup[[#This Row],[Item]],Items!$A$1:$F$43,4,FALSE))</f>
        <v/>
      </c>
    </row>
    <row r="626" spans="1:17" x14ac:dyDescent="0.25">
      <c r="A626" s="75" t="s">
        <v>56</v>
      </c>
      <c r="B626" s="75" t="s">
        <v>8</v>
      </c>
      <c r="C626" s="75">
        <v>1</v>
      </c>
      <c r="D626" s="75">
        <v>10</v>
      </c>
      <c r="E626" s="75">
        <v>9.9999999999999995E-7</v>
      </c>
      <c r="F626" s="75" t="s">
        <v>6</v>
      </c>
      <c r="G626" s="75" t="s">
        <v>4</v>
      </c>
      <c r="H626" s="75">
        <v>0.04</v>
      </c>
      <c r="I626" s="75">
        <v>1</v>
      </c>
      <c r="J626" s="75" t="s">
        <v>10</v>
      </c>
      <c r="K626" s="75">
        <v>0.25</v>
      </c>
      <c r="L626" s="75">
        <v>8.4000000000000005E-2</v>
      </c>
      <c r="M626" s="75">
        <v>0.22625000000000001</v>
      </c>
      <c r="N626" s="75">
        <v>8.5544999999999996E-2</v>
      </c>
      <c r="O626" s="90" t="str">
        <f>IF(VLOOKUP(UncLookup[[#This Row],[Item]],Items!$A$1:$F$43,2,FALSE)=0,"",VLOOKUP(UncLookup[[#This Row],[Item]],Items!$A$1:$F$43,2,FALSE))</f>
        <v/>
      </c>
      <c r="P626" s="90" t="str">
        <f>IF(VLOOKUP(UncLookup[[#This Row],[Item]],Items!$A$1:$F$43,3,FALSE)=0,"",VLOOKUP(UncLookup[[#This Row],[Item]],Items!$A$1:$F$43,3,FALSE))</f>
        <v/>
      </c>
      <c r="Q626" s="90" t="str">
        <f>IF(VLOOKUP(UncLookup[[#This Row],[Item]],Items!$A$1:$F$43,4,FALSE)=0,"",VLOOKUP(UncLookup[[#This Row],[Item]],Items!$A$1:$F$43,4,FALSE))</f>
        <v/>
      </c>
    </row>
    <row r="627" spans="1:17" x14ac:dyDescent="0.25">
      <c r="A627" s="76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90" t="str">
        <f>IF(VLOOKUP(UncLookup[[#This Row],[Item]],Items!$A$1:$F$43,2,FALSE)=0,"",VLOOKUP(UncLookup[[#This Row],[Item]],Items!$A$1:$F$43,2,FALSE))</f>
        <v/>
      </c>
      <c r="P627" s="90" t="str">
        <f>IF(VLOOKUP(UncLookup[[#This Row],[Item]],Items!$A$1:$F$43,3,FALSE)=0,"",VLOOKUP(UncLookup[[#This Row],[Item]],Items!$A$1:$F$43,3,FALSE))</f>
        <v/>
      </c>
      <c r="Q627" s="90" t="str">
        <f>IF(VLOOKUP(UncLookup[[#This Row],[Item]],Items!$A$1:$F$43,4,FALSE)=0,"",VLOOKUP(UncLookup[[#This Row],[Item]],Items!$A$1:$F$43,4,FALSE))</f>
        <v/>
      </c>
    </row>
    <row r="628" spans="1:17" x14ac:dyDescent="0.25">
      <c r="A628" s="75" t="s">
        <v>56</v>
      </c>
      <c r="B628" s="75" t="s">
        <v>8</v>
      </c>
      <c r="C628" s="75">
        <v>1</v>
      </c>
      <c r="D628" s="75">
        <v>10</v>
      </c>
      <c r="E628" s="75">
        <v>9.9999999999999995E-7</v>
      </c>
      <c r="F628" s="75" t="s">
        <v>6</v>
      </c>
      <c r="G628" s="75" t="s">
        <v>4</v>
      </c>
      <c r="H628" s="75">
        <v>20</v>
      </c>
      <c r="I628" s="75">
        <v>50</v>
      </c>
      <c r="J628" s="75" t="s">
        <v>10</v>
      </c>
      <c r="K628" s="75">
        <v>0.24</v>
      </c>
      <c r="L628" s="75">
        <v>0.35</v>
      </c>
      <c r="M628" s="75">
        <v>0.22967000000000001</v>
      </c>
      <c r="N628" s="75">
        <v>0.34776000000000001</v>
      </c>
      <c r="O628" s="90" t="str">
        <f>IF(VLOOKUP(UncLookup[[#This Row],[Item]],Items!$A$1:$F$43,2,FALSE)=0,"",VLOOKUP(UncLookup[[#This Row],[Item]],Items!$A$1:$F$43,2,FALSE))</f>
        <v/>
      </c>
      <c r="P628" s="90" t="str">
        <f>IF(VLOOKUP(UncLookup[[#This Row],[Item]],Items!$A$1:$F$43,3,FALSE)=0,"",VLOOKUP(UncLookup[[#This Row],[Item]],Items!$A$1:$F$43,3,FALSE))</f>
        <v/>
      </c>
      <c r="Q628" s="90" t="str">
        <f>IF(VLOOKUP(UncLookup[[#This Row],[Item]],Items!$A$1:$F$43,4,FALSE)=0,"",VLOOKUP(UncLookup[[#This Row],[Item]],Items!$A$1:$F$43,4,FALSE))</f>
        <v/>
      </c>
    </row>
    <row r="629" spans="1:17" x14ac:dyDescent="0.25">
      <c r="A629" s="76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90" t="str">
        <f>IF(VLOOKUP(UncLookup[[#This Row],[Item]],Items!$A$1:$F$43,2,FALSE)=0,"",VLOOKUP(UncLookup[[#This Row],[Item]],Items!$A$1:$F$43,2,FALSE))</f>
        <v/>
      </c>
      <c r="P629" s="90" t="str">
        <f>IF(VLOOKUP(UncLookup[[#This Row],[Item]],Items!$A$1:$F$43,3,FALSE)=0,"",VLOOKUP(UncLookup[[#This Row],[Item]],Items!$A$1:$F$43,3,FALSE))</f>
        <v/>
      </c>
      <c r="Q629" s="90" t="str">
        <f>IF(VLOOKUP(UncLookup[[#This Row],[Item]],Items!$A$1:$F$43,4,FALSE)=0,"",VLOOKUP(UncLookup[[#This Row],[Item]],Items!$A$1:$F$43,4,FALSE))</f>
        <v/>
      </c>
    </row>
    <row r="630" spans="1:17" x14ac:dyDescent="0.25">
      <c r="A630" s="75" t="s">
        <v>56</v>
      </c>
      <c r="B630" s="75" t="s">
        <v>8</v>
      </c>
      <c r="C630" s="75">
        <v>1</v>
      </c>
      <c r="D630" s="75">
        <v>10</v>
      </c>
      <c r="E630" s="75">
        <v>9.9999999999999995E-7</v>
      </c>
      <c r="F630" s="75" t="s">
        <v>6</v>
      </c>
      <c r="G630" s="75" t="s">
        <v>4</v>
      </c>
      <c r="H630" s="75">
        <v>1000</v>
      </c>
      <c r="I630" s="75">
        <v>2000</v>
      </c>
      <c r="J630" s="75" t="s">
        <v>10</v>
      </c>
      <c r="K630" s="75">
        <v>6.1</v>
      </c>
      <c r="L630" s="75">
        <v>17</v>
      </c>
      <c r="M630" s="75">
        <v>1.1337999999999999</v>
      </c>
      <c r="N630" s="75">
        <v>17.486999999999998</v>
      </c>
      <c r="O630" s="90" t="str">
        <f>IF(VLOOKUP(UncLookup[[#This Row],[Item]],Items!$A$1:$F$43,2,FALSE)=0,"",VLOOKUP(UncLookup[[#This Row],[Item]],Items!$A$1:$F$43,2,FALSE))</f>
        <v/>
      </c>
      <c r="P630" s="90" t="str">
        <f>IF(VLOOKUP(UncLookup[[#This Row],[Item]],Items!$A$1:$F$43,3,FALSE)=0,"",VLOOKUP(UncLookup[[#This Row],[Item]],Items!$A$1:$F$43,3,FALSE))</f>
        <v/>
      </c>
      <c r="Q630" s="90" t="str">
        <f>IF(VLOOKUP(UncLookup[[#This Row],[Item]],Items!$A$1:$F$43,4,FALSE)=0,"",VLOOKUP(UncLookup[[#This Row],[Item]],Items!$A$1:$F$43,4,FALSE))</f>
        <v/>
      </c>
    </row>
    <row r="631" spans="1:17" x14ac:dyDescent="0.25">
      <c r="A631" s="76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90" t="str">
        <f>IF(VLOOKUP(UncLookup[[#This Row],[Item]],Items!$A$1:$F$43,2,FALSE)=0,"",VLOOKUP(UncLookup[[#This Row],[Item]],Items!$A$1:$F$43,2,FALSE))</f>
        <v/>
      </c>
      <c r="P631" s="90" t="str">
        <f>IF(VLOOKUP(UncLookup[[#This Row],[Item]],Items!$A$1:$F$43,3,FALSE)=0,"",VLOOKUP(UncLookup[[#This Row],[Item]],Items!$A$1:$F$43,3,FALSE))</f>
        <v/>
      </c>
      <c r="Q631" s="90" t="str">
        <f>IF(VLOOKUP(UncLookup[[#This Row],[Item]],Items!$A$1:$F$43,4,FALSE)=0,"",VLOOKUP(UncLookup[[#This Row],[Item]],Items!$A$1:$F$43,4,FALSE))</f>
        <v/>
      </c>
    </row>
    <row r="632" spans="1:17" x14ac:dyDescent="0.25">
      <c r="A632" s="75" t="s">
        <v>56</v>
      </c>
      <c r="B632" s="75" t="s">
        <v>8</v>
      </c>
      <c r="C632" s="75">
        <v>1</v>
      </c>
      <c r="D632" s="75">
        <v>10</v>
      </c>
      <c r="E632" s="75">
        <v>1.0000000000000001E-5</v>
      </c>
      <c r="F632" s="75" t="s">
        <v>6</v>
      </c>
      <c r="G632" s="75" t="s">
        <v>4</v>
      </c>
      <c r="H632" s="75">
        <v>300</v>
      </c>
      <c r="I632" s="75">
        <v>1000</v>
      </c>
      <c r="J632" s="75" t="s">
        <v>10</v>
      </c>
      <c r="K632" s="75">
        <v>0.83</v>
      </c>
      <c r="L632" s="75">
        <v>11.988</v>
      </c>
      <c r="M632" s="75">
        <v>1.127</v>
      </c>
      <c r="N632" s="75">
        <v>11.688000000000001</v>
      </c>
      <c r="O632" s="90" t="str">
        <f>IF(VLOOKUP(UncLookup[[#This Row],[Item]],Items!$A$1:$F$43,2,FALSE)=0,"",VLOOKUP(UncLookup[[#This Row],[Item]],Items!$A$1:$F$43,2,FALSE))</f>
        <v/>
      </c>
      <c r="P632" s="90" t="str">
        <f>IF(VLOOKUP(UncLookup[[#This Row],[Item]],Items!$A$1:$F$43,3,FALSE)=0,"",VLOOKUP(UncLookup[[#This Row],[Item]],Items!$A$1:$F$43,3,FALSE))</f>
        <v/>
      </c>
      <c r="Q632" s="90" t="str">
        <f>IF(VLOOKUP(UncLookup[[#This Row],[Item]],Items!$A$1:$F$43,4,FALSE)=0,"",VLOOKUP(UncLookup[[#This Row],[Item]],Items!$A$1:$F$43,4,FALSE))</f>
        <v/>
      </c>
    </row>
    <row r="633" spans="1:17" x14ac:dyDescent="0.25">
      <c r="A633" s="76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90" t="str">
        <f>IF(VLOOKUP(UncLookup[[#This Row],[Item]],Items!$A$1:$F$43,2,FALSE)=0,"",VLOOKUP(UncLookup[[#This Row],[Item]],Items!$A$1:$F$43,2,FALSE))</f>
        <v/>
      </c>
      <c r="P633" s="90" t="str">
        <f>IF(VLOOKUP(UncLookup[[#This Row],[Item]],Items!$A$1:$F$43,3,FALSE)=0,"",VLOOKUP(UncLookup[[#This Row],[Item]],Items!$A$1:$F$43,3,FALSE))</f>
        <v/>
      </c>
      <c r="Q633" s="90" t="str">
        <f>IF(VLOOKUP(UncLookup[[#This Row],[Item]],Items!$A$1:$F$43,4,FALSE)=0,"",VLOOKUP(UncLookup[[#This Row],[Item]],Items!$A$1:$F$43,4,FALSE))</f>
        <v/>
      </c>
    </row>
    <row r="634" spans="1:17" x14ac:dyDescent="0.25">
      <c r="A634" s="75" t="s">
        <v>56</v>
      </c>
      <c r="B634" s="75" t="s">
        <v>8</v>
      </c>
      <c r="C634" s="75">
        <v>1</v>
      </c>
      <c r="D634" s="75">
        <v>10</v>
      </c>
      <c r="E634" s="75">
        <v>1.0000000000000001E-5</v>
      </c>
      <c r="F634" s="75" t="s">
        <v>6</v>
      </c>
      <c r="G634" s="75" t="s">
        <v>4</v>
      </c>
      <c r="H634" s="75">
        <v>1</v>
      </c>
      <c r="I634" s="75">
        <v>20</v>
      </c>
      <c r="J634" s="75" t="s">
        <v>10</v>
      </c>
      <c r="K634" s="75">
        <v>0.28000000000000003</v>
      </c>
      <c r="L634" s="75">
        <v>0.16134000000000001</v>
      </c>
      <c r="M634" s="75">
        <v>0.22836999999999999</v>
      </c>
      <c r="N634" s="75">
        <v>0.16434000000000001</v>
      </c>
      <c r="O634" s="90" t="str">
        <f>IF(VLOOKUP(UncLookup[[#This Row],[Item]],Items!$A$1:$F$43,2,FALSE)=0,"",VLOOKUP(UncLookup[[#This Row],[Item]],Items!$A$1:$F$43,2,FALSE))</f>
        <v/>
      </c>
      <c r="P634" s="90" t="str">
        <f>IF(VLOOKUP(UncLookup[[#This Row],[Item]],Items!$A$1:$F$43,3,FALSE)=0,"",VLOOKUP(UncLookup[[#This Row],[Item]],Items!$A$1:$F$43,3,FALSE))</f>
        <v/>
      </c>
      <c r="Q634" s="90" t="str">
        <f>IF(VLOOKUP(UncLookup[[#This Row],[Item]],Items!$A$1:$F$43,4,FALSE)=0,"",VLOOKUP(UncLookup[[#This Row],[Item]],Items!$A$1:$F$43,4,FALSE))</f>
        <v/>
      </c>
    </row>
    <row r="635" spans="1:17" x14ac:dyDescent="0.25">
      <c r="A635" s="76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90" t="str">
        <f>IF(VLOOKUP(UncLookup[[#This Row],[Item]],Items!$A$1:$F$43,2,FALSE)=0,"",VLOOKUP(UncLookup[[#This Row],[Item]],Items!$A$1:$F$43,2,FALSE))</f>
        <v/>
      </c>
      <c r="P635" s="90" t="str">
        <f>IF(VLOOKUP(UncLookup[[#This Row],[Item]],Items!$A$1:$F$43,3,FALSE)=0,"",VLOOKUP(UncLookup[[#This Row],[Item]],Items!$A$1:$F$43,3,FALSE))</f>
        <v/>
      </c>
      <c r="Q635" s="90" t="str">
        <f>IF(VLOOKUP(UncLookup[[#This Row],[Item]],Items!$A$1:$F$43,4,FALSE)=0,"",VLOOKUP(UncLookup[[#This Row],[Item]],Items!$A$1:$F$43,4,FALSE))</f>
        <v/>
      </c>
    </row>
    <row r="636" spans="1:17" x14ac:dyDescent="0.25">
      <c r="A636" s="75" t="s">
        <v>56</v>
      </c>
      <c r="B636" s="75" t="s">
        <v>8</v>
      </c>
      <c r="C636" s="75">
        <v>1</v>
      </c>
      <c r="D636" s="75">
        <v>10</v>
      </c>
      <c r="E636" s="75">
        <v>1.0000000000000001E-5</v>
      </c>
      <c r="F636" s="75" t="s">
        <v>6</v>
      </c>
      <c r="G636" s="75" t="s">
        <v>4</v>
      </c>
      <c r="H636" s="75">
        <v>8000</v>
      </c>
      <c r="I636" s="75">
        <v>10000</v>
      </c>
      <c r="J636" s="75" t="s">
        <v>10</v>
      </c>
      <c r="K636" s="75">
        <v>46</v>
      </c>
      <c r="L636" s="75">
        <v>170.12</v>
      </c>
      <c r="M636" s="75">
        <v>11.529</v>
      </c>
      <c r="N636" s="75">
        <v>173.36</v>
      </c>
      <c r="O636" s="90" t="str">
        <f>IF(VLOOKUP(UncLookup[[#This Row],[Item]],Items!$A$1:$F$43,2,FALSE)=0,"",VLOOKUP(UncLookup[[#This Row],[Item]],Items!$A$1:$F$43,2,FALSE))</f>
        <v/>
      </c>
      <c r="P636" s="90" t="str">
        <f>IF(VLOOKUP(UncLookup[[#This Row],[Item]],Items!$A$1:$F$43,3,FALSE)=0,"",VLOOKUP(UncLookup[[#This Row],[Item]],Items!$A$1:$F$43,3,FALSE))</f>
        <v/>
      </c>
      <c r="Q636" s="90" t="str">
        <f>IF(VLOOKUP(UncLookup[[#This Row],[Item]],Items!$A$1:$F$43,4,FALSE)=0,"",VLOOKUP(UncLookup[[#This Row],[Item]],Items!$A$1:$F$43,4,FALSE))</f>
        <v/>
      </c>
    </row>
    <row r="637" spans="1:17" x14ac:dyDescent="0.25">
      <c r="A637" s="76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90" t="str">
        <f>IF(VLOOKUP(UncLookup[[#This Row],[Item]],Items!$A$1:$F$43,2,FALSE)=0,"",VLOOKUP(UncLookup[[#This Row],[Item]],Items!$A$1:$F$43,2,FALSE))</f>
        <v/>
      </c>
      <c r="P637" s="90" t="str">
        <f>IF(VLOOKUP(UncLookup[[#This Row],[Item]],Items!$A$1:$F$43,3,FALSE)=0,"",VLOOKUP(UncLookup[[#This Row],[Item]],Items!$A$1:$F$43,3,FALSE))</f>
        <v/>
      </c>
      <c r="Q637" s="90" t="str">
        <f>IF(VLOOKUP(UncLookup[[#This Row],[Item]],Items!$A$1:$F$43,4,FALSE)=0,"",VLOOKUP(UncLookup[[#This Row],[Item]],Items!$A$1:$F$43,4,FALSE))</f>
        <v/>
      </c>
    </row>
    <row r="638" spans="1:17" x14ac:dyDescent="0.25">
      <c r="A638" s="75" t="s">
        <v>56</v>
      </c>
      <c r="B638" s="75" t="s">
        <v>8</v>
      </c>
      <c r="C638" s="75">
        <v>1</v>
      </c>
      <c r="D638" s="75">
        <v>10</v>
      </c>
      <c r="E638" s="75">
        <v>1.0000000000000001E-5</v>
      </c>
      <c r="F638" s="75" t="s">
        <v>6</v>
      </c>
      <c r="G638" s="75" t="s">
        <v>4</v>
      </c>
      <c r="H638" s="75">
        <v>20</v>
      </c>
      <c r="I638" s="75">
        <v>50</v>
      </c>
      <c r="J638" s="75" t="s">
        <v>10</v>
      </c>
      <c r="K638" s="75">
        <v>0.24</v>
      </c>
      <c r="L638" s="75">
        <v>0.35</v>
      </c>
      <c r="M638" s="75">
        <v>0.22972999999999999</v>
      </c>
      <c r="N638" s="75">
        <v>0.34775</v>
      </c>
      <c r="O638" s="90" t="str">
        <f>IF(VLOOKUP(UncLookup[[#This Row],[Item]],Items!$A$1:$F$43,2,FALSE)=0,"",VLOOKUP(UncLookup[[#This Row],[Item]],Items!$A$1:$F$43,2,FALSE))</f>
        <v/>
      </c>
      <c r="P638" s="90" t="str">
        <f>IF(VLOOKUP(UncLookup[[#This Row],[Item]],Items!$A$1:$F$43,3,FALSE)=0,"",VLOOKUP(UncLookup[[#This Row],[Item]],Items!$A$1:$F$43,3,FALSE))</f>
        <v/>
      </c>
      <c r="Q638" s="90" t="str">
        <f>IF(VLOOKUP(UncLookup[[#This Row],[Item]],Items!$A$1:$F$43,4,FALSE)=0,"",VLOOKUP(UncLookup[[#This Row],[Item]],Items!$A$1:$F$43,4,FALSE))</f>
        <v/>
      </c>
    </row>
    <row r="639" spans="1:17" x14ac:dyDescent="0.25">
      <c r="A639" s="76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90" t="str">
        <f>IF(VLOOKUP(UncLookup[[#This Row],[Item]],Items!$A$1:$F$43,2,FALSE)=0,"",VLOOKUP(UncLookup[[#This Row],[Item]],Items!$A$1:$F$43,2,FALSE))</f>
        <v/>
      </c>
      <c r="P639" s="90" t="str">
        <f>IF(VLOOKUP(UncLookup[[#This Row],[Item]],Items!$A$1:$F$43,3,FALSE)=0,"",VLOOKUP(UncLookup[[#This Row],[Item]],Items!$A$1:$F$43,3,FALSE))</f>
        <v/>
      </c>
      <c r="Q639" s="90" t="str">
        <f>IF(VLOOKUP(UncLookup[[#This Row],[Item]],Items!$A$1:$F$43,4,FALSE)=0,"",VLOOKUP(UncLookup[[#This Row],[Item]],Items!$A$1:$F$43,4,FALSE))</f>
        <v/>
      </c>
    </row>
    <row r="640" spans="1:17" x14ac:dyDescent="0.25">
      <c r="A640" s="75" t="s">
        <v>56</v>
      </c>
      <c r="B640" s="75" t="s">
        <v>8</v>
      </c>
      <c r="C640" s="75">
        <v>1</v>
      </c>
      <c r="D640" s="75">
        <v>10</v>
      </c>
      <c r="E640" s="75">
        <v>1.0000000000000001E-5</v>
      </c>
      <c r="F640" s="75" t="s">
        <v>6</v>
      </c>
      <c r="G640" s="75" t="s">
        <v>4</v>
      </c>
      <c r="H640" s="75">
        <v>2000</v>
      </c>
      <c r="I640" s="75">
        <v>4000</v>
      </c>
      <c r="J640" s="75" t="s">
        <v>10</v>
      </c>
      <c r="K640" s="75">
        <v>12</v>
      </c>
      <c r="L640" s="75">
        <v>46.037999999999997</v>
      </c>
      <c r="M640" s="75">
        <v>8.06</v>
      </c>
      <c r="N640" s="75">
        <v>46.328000000000003</v>
      </c>
      <c r="O640" s="90" t="str">
        <f>IF(VLOOKUP(UncLookup[[#This Row],[Item]],Items!$A$1:$F$43,2,FALSE)=0,"",VLOOKUP(UncLookup[[#This Row],[Item]],Items!$A$1:$F$43,2,FALSE))</f>
        <v/>
      </c>
      <c r="P640" s="90" t="str">
        <f>IF(VLOOKUP(UncLookup[[#This Row],[Item]],Items!$A$1:$F$43,3,FALSE)=0,"",VLOOKUP(UncLookup[[#This Row],[Item]],Items!$A$1:$F$43,3,FALSE))</f>
        <v/>
      </c>
      <c r="Q640" s="90" t="str">
        <f>IF(VLOOKUP(UncLookup[[#This Row],[Item]],Items!$A$1:$F$43,4,FALSE)=0,"",VLOOKUP(UncLookup[[#This Row],[Item]],Items!$A$1:$F$43,4,FALSE))</f>
        <v/>
      </c>
    </row>
    <row r="641" spans="1:17" x14ac:dyDescent="0.25">
      <c r="A641" s="76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90" t="str">
        <f>IF(VLOOKUP(UncLookup[[#This Row],[Item]],Items!$A$1:$F$43,2,FALSE)=0,"",VLOOKUP(UncLookup[[#This Row],[Item]],Items!$A$1:$F$43,2,FALSE))</f>
        <v/>
      </c>
      <c r="P641" s="90" t="str">
        <f>IF(VLOOKUP(UncLookup[[#This Row],[Item]],Items!$A$1:$F$43,3,FALSE)=0,"",VLOOKUP(UncLookup[[#This Row],[Item]],Items!$A$1:$F$43,3,FALSE))</f>
        <v/>
      </c>
      <c r="Q641" s="90" t="str">
        <f>IF(VLOOKUP(UncLookup[[#This Row],[Item]],Items!$A$1:$F$43,4,FALSE)=0,"",VLOOKUP(UncLookup[[#This Row],[Item]],Items!$A$1:$F$43,4,FALSE))</f>
        <v/>
      </c>
    </row>
    <row r="642" spans="1:17" x14ac:dyDescent="0.25">
      <c r="A642" s="75" t="s">
        <v>56</v>
      </c>
      <c r="B642" s="75" t="s">
        <v>8</v>
      </c>
      <c r="C642" s="75">
        <v>1</v>
      </c>
      <c r="D642" s="75">
        <v>10</v>
      </c>
      <c r="E642" s="75">
        <v>1.0000000000000001E-5</v>
      </c>
      <c r="F642" s="75" t="s">
        <v>6</v>
      </c>
      <c r="G642" s="75" t="s">
        <v>4</v>
      </c>
      <c r="H642" s="75">
        <v>100</v>
      </c>
      <c r="I642" s="75">
        <v>300</v>
      </c>
      <c r="J642" s="75" t="s">
        <v>10</v>
      </c>
      <c r="K642" s="75">
        <v>1.2</v>
      </c>
      <c r="L642" s="75">
        <v>3.5</v>
      </c>
      <c r="M642" s="75">
        <v>1.1358999999999999</v>
      </c>
      <c r="N642" s="75">
        <v>3.4830999999999999</v>
      </c>
      <c r="O642" s="90" t="str">
        <f>IF(VLOOKUP(UncLookup[[#This Row],[Item]],Items!$A$1:$F$43,2,FALSE)=0,"",VLOOKUP(UncLookup[[#This Row],[Item]],Items!$A$1:$F$43,2,FALSE))</f>
        <v/>
      </c>
      <c r="P642" s="90" t="str">
        <f>IF(VLOOKUP(UncLookup[[#This Row],[Item]],Items!$A$1:$F$43,3,FALSE)=0,"",VLOOKUP(UncLookup[[#This Row],[Item]],Items!$A$1:$F$43,3,FALSE))</f>
        <v/>
      </c>
      <c r="Q642" s="90" t="str">
        <f>IF(VLOOKUP(UncLookup[[#This Row],[Item]],Items!$A$1:$F$43,4,FALSE)=0,"",VLOOKUP(UncLookup[[#This Row],[Item]],Items!$A$1:$F$43,4,FALSE))</f>
        <v/>
      </c>
    </row>
    <row r="643" spans="1:17" x14ac:dyDescent="0.25">
      <c r="A643" s="76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90" t="str">
        <f>IF(VLOOKUP(UncLookup[[#This Row],[Item]],Items!$A$1:$F$43,2,FALSE)=0,"",VLOOKUP(UncLookup[[#This Row],[Item]],Items!$A$1:$F$43,2,FALSE))</f>
        <v/>
      </c>
      <c r="P643" s="90" t="str">
        <f>IF(VLOOKUP(UncLookup[[#This Row],[Item]],Items!$A$1:$F$43,3,FALSE)=0,"",VLOOKUP(UncLookup[[#This Row],[Item]],Items!$A$1:$F$43,3,FALSE))</f>
        <v/>
      </c>
      <c r="Q643" s="90" t="str">
        <f>IF(VLOOKUP(UncLookup[[#This Row],[Item]],Items!$A$1:$F$43,4,FALSE)=0,"",VLOOKUP(UncLookup[[#This Row],[Item]],Items!$A$1:$F$43,4,FALSE))</f>
        <v/>
      </c>
    </row>
    <row r="644" spans="1:17" x14ac:dyDescent="0.25">
      <c r="A644" s="75" t="s">
        <v>56</v>
      </c>
      <c r="B644" s="75" t="s">
        <v>8</v>
      </c>
      <c r="C644" s="75">
        <v>1</v>
      </c>
      <c r="D644" s="75">
        <v>10</v>
      </c>
      <c r="E644" s="75">
        <v>1E-4</v>
      </c>
      <c r="F644" s="75" t="s">
        <v>6</v>
      </c>
      <c r="G644" s="75" t="s">
        <v>4</v>
      </c>
      <c r="H644" s="75">
        <v>0.04</v>
      </c>
      <c r="I644" s="75">
        <v>1</v>
      </c>
      <c r="J644" s="75" t="s">
        <v>10</v>
      </c>
      <c r="K644" s="75">
        <v>0.25</v>
      </c>
      <c r="L644" s="75">
        <v>8.4682999999999994E-2</v>
      </c>
      <c r="M644" s="75">
        <v>0.23197999999999999</v>
      </c>
      <c r="N644" s="75">
        <v>8.5126999999999994E-2</v>
      </c>
      <c r="O644" s="90" t="str">
        <f>IF(VLOOKUP(UncLookup[[#This Row],[Item]],Items!$A$1:$F$43,2,FALSE)=0,"",VLOOKUP(UncLookup[[#This Row],[Item]],Items!$A$1:$F$43,2,FALSE))</f>
        <v/>
      </c>
      <c r="P644" s="90" t="str">
        <f>IF(VLOOKUP(UncLookup[[#This Row],[Item]],Items!$A$1:$F$43,3,FALSE)=0,"",VLOOKUP(UncLookup[[#This Row],[Item]],Items!$A$1:$F$43,3,FALSE))</f>
        <v/>
      </c>
      <c r="Q644" s="90" t="str">
        <f>IF(VLOOKUP(UncLookup[[#This Row],[Item]],Items!$A$1:$F$43,4,FALSE)=0,"",VLOOKUP(UncLookup[[#This Row],[Item]],Items!$A$1:$F$43,4,FALSE))</f>
        <v/>
      </c>
    </row>
    <row r="645" spans="1:17" x14ac:dyDescent="0.25">
      <c r="A645" s="76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90" t="str">
        <f>IF(VLOOKUP(UncLookup[[#This Row],[Item]],Items!$A$1:$F$43,2,FALSE)=0,"",VLOOKUP(UncLookup[[#This Row],[Item]],Items!$A$1:$F$43,2,FALSE))</f>
        <v/>
      </c>
      <c r="P645" s="90" t="str">
        <f>IF(VLOOKUP(UncLookup[[#This Row],[Item]],Items!$A$1:$F$43,3,FALSE)=0,"",VLOOKUP(UncLookup[[#This Row],[Item]],Items!$A$1:$F$43,3,FALSE))</f>
        <v/>
      </c>
      <c r="Q645" s="90" t="str">
        <f>IF(VLOOKUP(UncLookup[[#This Row],[Item]],Items!$A$1:$F$43,4,FALSE)=0,"",VLOOKUP(UncLookup[[#This Row],[Item]],Items!$A$1:$F$43,4,FALSE))</f>
        <v/>
      </c>
    </row>
    <row r="646" spans="1:17" x14ac:dyDescent="0.25">
      <c r="A646" s="75" t="s">
        <v>56</v>
      </c>
      <c r="B646" s="75" t="s">
        <v>8</v>
      </c>
      <c r="C646" s="75">
        <v>1</v>
      </c>
      <c r="D646" s="75">
        <v>10</v>
      </c>
      <c r="E646" s="75">
        <v>1E-4</v>
      </c>
      <c r="F646" s="75" t="s">
        <v>6</v>
      </c>
      <c r="G646" s="75" t="s">
        <v>4</v>
      </c>
      <c r="H646" s="75">
        <v>20</v>
      </c>
      <c r="I646" s="75">
        <v>50</v>
      </c>
      <c r="J646" s="75" t="s">
        <v>10</v>
      </c>
      <c r="K646" s="75">
        <v>0.24</v>
      </c>
      <c r="L646" s="75">
        <v>0.35</v>
      </c>
      <c r="M646" s="75">
        <v>0.23282</v>
      </c>
      <c r="N646" s="75">
        <v>0.34749000000000002</v>
      </c>
      <c r="O646" s="90" t="str">
        <f>IF(VLOOKUP(UncLookup[[#This Row],[Item]],Items!$A$1:$F$43,2,FALSE)=0,"",VLOOKUP(UncLookup[[#This Row],[Item]],Items!$A$1:$F$43,2,FALSE))</f>
        <v/>
      </c>
      <c r="P646" s="90" t="str">
        <f>IF(VLOOKUP(UncLookup[[#This Row],[Item]],Items!$A$1:$F$43,3,FALSE)=0,"",VLOOKUP(UncLookup[[#This Row],[Item]],Items!$A$1:$F$43,3,FALSE))</f>
        <v/>
      </c>
      <c r="Q646" s="90" t="str">
        <f>IF(VLOOKUP(UncLookup[[#This Row],[Item]],Items!$A$1:$F$43,4,FALSE)=0,"",VLOOKUP(UncLookup[[#This Row],[Item]],Items!$A$1:$F$43,4,FALSE))</f>
        <v/>
      </c>
    </row>
    <row r="647" spans="1:17" x14ac:dyDescent="0.25">
      <c r="A647" s="76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90" t="str">
        <f>IF(VLOOKUP(UncLookup[[#This Row],[Item]],Items!$A$1:$F$43,2,FALSE)=0,"",VLOOKUP(UncLookup[[#This Row],[Item]],Items!$A$1:$F$43,2,FALSE))</f>
        <v/>
      </c>
      <c r="P647" s="90" t="str">
        <f>IF(VLOOKUP(UncLookup[[#This Row],[Item]],Items!$A$1:$F$43,3,FALSE)=0,"",VLOOKUP(UncLookup[[#This Row],[Item]],Items!$A$1:$F$43,3,FALSE))</f>
        <v/>
      </c>
      <c r="Q647" s="90" t="str">
        <f>IF(VLOOKUP(UncLookup[[#This Row],[Item]],Items!$A$1:$F$43,4,FALSE)=0,"",VLOOKUP(UncLookup[[#This Row],[Item]],Items!$A$1:$F$43,4,FALSE))</f>
        <v/>
      </c>
    </row>
    <row r="648" spans="1:17" x14ac:dyDescent="0.25">
      <c r="A648" s="75" t="s">
        <v>56</v>
      </c>
      <c r="B648" s="75" t="s">
        <v>8</v>
      </c>
      <c r="C648" s="75">
        <v>1</v>
      </c>
      <c r="D648" s="75">
        <v>10</v>
      </c>
      <c r="E648" s="75">
        <v>1E-4</v>
      </c>
      <c r="F648" s="75" t="s">
        <v>6</v>
      </c>
      <c r="G648" s="75" t="s">
        <v>4</v>
      </c>
      <c r="H648" s="75">
        <v>1E-3</v>
      </c>
      <c r="I648" s="75">
        <v>0.04</v>
      </c>
      <c r="J648" s="75" t="s">
        <v>10</v>
      </c>
      <c r="K648" s="75">
        <v>0.46</v>
      </c>
      <c r="L648" s="75">
        <v>9.2019000000000004E-2</v>
      </c>
      <c r="M648" s="75">
        <v>0.45379999999999998</v>
      </c>
      <c r="N648" s="75">
        <v>9.1994000000000006E-2</v>
      </c>
      <c r="O648" s="90" t="str">
        <f>IF(VLOOKUP(UncLookup[[#This Row],[Item]],Items!$A$1:$F$43,2,FALSE)=0,"",VLOOKUP(UncLookup[[#This Row],[Item]],Items!$A$1:$F$43,2,FALSE))</f>
        <v/>
      </c>
      <c r="P648" s="90" t="str">
        <f>IF(VLOOKUP(UncLookup[[#This Row],[Item]],Items!$A$1:$F$43,3,FALSE)=0,"",VLOOKUP(UncLookup[[#This Row],[Item]],Items!$A$1:$F$43,3,FALSE))</f>
        <v/>
      </c>
      <c r="Q648" s="90" t="str">
        <f>IF(VLOOKUP(UncLookup[[#This Row],[Item]],Items!$A$1:$F$43,4,FALSE)=0,"",VLOOKUP(UncLookup[[#This Row],[Item]],Items!$A$1:$F$43,4,FALSE))</f>
        <v/>
      </c>
    </row>
    <row r="649" spans="1:17" x14ac:dyDescent="0.25">
      <c r="A649" s="76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90" t="str">
        <f>IF(VLOOKUP(UncLookup[[#This Row],[Item]],Items!$A$1:$F$43,2,FALSE)=0,"",VLOOKUP(UncLookup[[#This Row],[Item]],Items!$A$1:$F$43,2,FALSE))</f>
        <v/>
      </c>
      <c r="P649" s="90" t="str">
        <f>IF(VLOOKUP(UncLookup[[#This Row],[Item]],Items!$A$1:$F$43,3,FALSE)=0,"",VLOOKUP(UncLookup[[#This Row],[Item]],Items!$A$1:$F$43,3,FALSE))</f>
        <v/>
      </c>
      <c r="Q649" s="90" t="str">
        <f>IF(VLOOKUP(UncLookup[[#This Row],[Item]],Items!$A$1:$F$43,4,FALSE)=0,"",VLOOKUP(UncLookup[[#This Row],[Item]],Items!$A$1:$F$43,4,FALSE))</f>
        <v/>
      </c>
    </row>
    <row r="650" spans="1:17" x14ac:dyDescent="0.25">
      <c r="A650" s="75" t="s">
        <v>56</v>
      </c>
      <c r="B650" s="75" t="s">
        <v>8</v>
      </c>
      <c r="C650" s="75">
        <v>1</v>
      </c>
      <c r="D650" s="75">
        <v>10</v>
      </c>
      <c r="E650" s="75">
        <v>1E-4</v>
      </c>
      <c r="F650" s="75" t="s">
        <v>6</v>
      </c>
      <c r="G650" s="75" t="s">
        <v>4</v>
      </c>
      <c r="H650" s="75">
        <v>2000</v>
      </c>
      <c r="I650" s="75">
        <v>4000</v>
      </c>
      <c r="J650" s="75" t="s">
        <v>10</v>
      </c>
      <c r="K650" s="75">
        <v>12</v>
      </c>
      <c r="L650" s="75">
        <v>46.037999999999997</v>
      </c>
      <c r="M650" s="75">
        <v>8.06</v>
      </c>
      <c r="N650" s="75">
        <v>46.328000000000003</v>
      </c>
      <c r="O650" s="90" t="str">
        <f>IF(VLOOKUP(UncLookup[[#This Row],[Item]],Items!$A$1:$F$43,2,FALSE)=0,"",VLOOKUP(UncLookup[[#This Row],[Item]],Items!$A$1:$F$43,2,FALSE))</f>
        <v/>
      </c>
      <c r="P650" s="90" t="str">
        <f>IF(VLOOKUP(UncLookup[[#This Row],[Item]],Items!$A$1:$F$43,3,FALSE)=0,"",VLOOKUP(UncLookup[[#This Row],[Item]],Items!$A$1:$F$43,3,FALSE))</f>
        <v/>
      </c>
      <c r="Q650" s="90" t="str">
        <f>IF(VLOOKUP(UncLookup[[#This Row],[Item]],Items!$A$1:$F$43,4,FALSE)=0,"",VLOOKUP(UncLookup[[#This Row],[Item]],Items!$A$1:$F$43,4,FALSE))</f>
        <v/>
      </c>
    </row>
    <row r="651" spans="1:17" x14ac:dyDescent="0.25">
      <c r="A651" s="76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90" t="str">
        <f>IF(VLOOKUP(UncLookup[[#This Row],[Item]],Items!$A$1:$F$43,2,FALSE)=0,"",VLOOKUP(UncLookup[[#This Row],[Item]],Items!$A$1:$F$43,2,FALSE))</f>
        <v/>
      </c>
      <c r="P651" s="90" t="str">
        <f>IF(VLOOKUP(UncLookup[[#This Row],[Item]],Items!$A$1:$F$43,3,FALSE)=0,"",VLOOKUP(UncLookup[[#This Row],[Item]],Items!$A$1:$F$43,3,FALSE))</f>
        <v/>
      </c>
      <c r="Q651" s="90" t="str">
        <f>IF(VLOOKUP(UncLookup[[#This Row],[Item]],Items!$A$1:$F$43,4,FALSE)=0,"",VLOOKUP(UncLookup[[#This Row],[Item]],Items!$A$1:$F$43,4,FALSE))</f>
        <v/>
      </c>
    </row>
    <row r="652" spans="1:17" x14ac:dyDescent="0.25">
      <c r="A652" s="75" t="s">
        <v>56</v>
      </c>
      <c r="B652" s="75" t="s">
        <v>8</v>
      </c>
      <c r="C652" s="75">
        <v>1</v>
      </c>
      <c r="D652" s="75">
        <v>10</v>
      </c>
      <c r="E652" s="75">
        <v>1E-4</v>
      </c>
      <c r="F652" s="75" t="s">
        <v>6</v>
      </c>
      <c r="G652" s="75" t="s">
        <v>4</v>
      </c>
      <c r="H652" s="75">
        <v>1000</v>
      </c>
      <c r="I652" s="75">
        <v>2000</v>
      </c>
      <c r="J652" s="75" t="s">
        <v>10</v>
      </c>
      <c r="K652" s="75">
        <v>6.1</v>
      </c>
      <c r="L652" s="75">
        <v>17.155999999999999</v>
      </c>
      <c r="M652" s="75">
        <v>1.1337999999999999</v>
      </c>
      <c r="N652" s="75">
        <v>17.486999999999998</v>
      </c>
      <c r="O652" s="90" t="str">
        <f>IF(VLOOKUP(UncLookup[[#This Row],[Item]],Items!$A$1:$F$43,2,FALSE)=0,"",VLOOKUP(UncLookup[[#This Row],[Item]],Items!$A$1:$F$43,2,FALSE))</f>
        <v/>
      </c>
      <c r="P652" s="90" t="str">
        <f>IF(VLOOKUP(UncLookup[[#This Row],[Item]],Items!$A$1:$F$43,3,FALSE)=0,"",VLOOKUP(UncLookup[[#This Row],[Item]],Items!$A$1:$F$43,3,FALSE))</f>
        <v/>
      </c>
      <c r="Q652" s="90" t="str">
        <f>IF(VLOOKUP(UncLookup[[#This Row],[Item]],Items!$A$1:$F$43,4,FALSE)=0,"",VLOOKUP(UncLookup[[#This Row],[Item]],Items!$A$1:$F$43,4,FALSE))</f>
        <v/>
      </c>
    </row>
    <row r="653" spans="1:17" x14ac:dyDescent="0.25">
      <c r="A653" s="76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90" t="str">
        <f>IF(VLOOKUP(UncLookup[[#This Row],[Item]],Items!$A$1:$F$43,2,FALSE)=0,"",VLOOKUP(UncLookup[[#This Row],[Item]],Items!$A$1:$F$43,2,FALSE))</f>
        <v/>
      </c>
      <c r="P653" s="90" t="str">
        <f>IF(VLOOKUP(UncLookup[[#This Row],[Item]],Items!$A$1:$F$43,3,FALSE)=0,"",VLOOKUP(UncLookup[[#This Row],[Item]],Items!$A$1:$F$43,3,FALSE))</f>
        <v/>
      </c>
      <c r="Q653" s="90" t="str">
        <f>IF(VLOOKUP(UncLookup[[#This Row],[Item]],Items!$A$1:$F$43,4,FALSE)=0,"",VLOOKUP(UncLookup[[#This Row],[Item]],Items!$A$1:$F$43,4,FALSE))</f>
        <v/>
      </c>
    </row>
    <row r="654" spans="1:17" x14ac:dyDescent="0.25">
      <c r="A654" s="75" t="s">
        <v>56</v>
      </c>
      <c r="B654" s="75" t="s">
        <v>8</v>
      </c>
      <c r="C654" s="75">
        <v>1</v>
      </c>
      <c r="D654" s="75">
        <v>10</v>
      </c>
      <c r="E654" s="75">
        <v>1E-3</v>
      </c>
      <c r="F654" s="75" t="s">
        <v>6</v>
      </c>
      <c r="G654" s="75" t="s">
        <v>4</v>
      </c>
      <c r="H654" s="75">
        <v>50</v>
      </c>
      <c r="I654" s="75">
        <v>100</v>
      </c>
      <c r="J654" s="75" t="s">
        <v>10</v>
      </c>
      <c r="K654" s="75">
        <v>0.38941999999999999</v>
      </c>
      <c r="L654" s="75">
        <v>0.92691999999999997</v>
      </c>
      <c r="M654" s="75">
        <v>0.37412000000000001</v>
      </c>
      <c r="N654" s="75">
        <v>0.92813000000000001</v>
      </c>
      <c r="O654" s="90" t="str">
        <f>IF(VLOOKUP(UncLookup[[#This Row],[Item]],Items!$A$1:$F$43,2,FALSE)=0,"",VLOOKUP(UncLookup[[#This Row],[Item]],Items!$A$1:$F$43,2,FALSE))</f>
        <v/>
      </c>
      <c r="P654" s="90" t="str">
        <f>IF(VLOOKUP(UncLookup[[#This Row],[Item]],Items!$A$1:$F$43,3,FALSE)=0,"",VLOOKUP(UncLookup[[#This Row],[Item]],Items!$A$1:$F$43,3,FALSE))</f>
        <v/>
      </c>
      <c r="Q654" s="90" t="str">
        <f>IF(VLOOKUP(UncLookup[[#This Row],[Item]],Items!$A$1:$F$43,4,FALSE)=0,"",VLOOKUP(UncLookup[[#This Row],[Item]],Items!$A$1:$F$43,4,FALSE))</f>
        <v/>
      </c>
    </row>
    <row r="655" spans="1:17" x14ac:dyDescent="0.25">
      <c r="A655" s="76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90" t="str">
        <f>IF(VLOOKUP(UncLookup[[#This Row],[Item]],Items!$A$1:$F$43,2,FALSE)=0,"",VLOOKUP(UncLookup[[#This Row],[Item]],Items!$A$1:$F$43,2,FALSE))</f>
        <v/>
      </c>
      <c r="P655" s="90" t="str">
        <f>IF(VLOOKUP(UncLookup[[#This Row],[Item]],Items!$A$1:$F$43,3,FALSE)=0,"",VLOOKUP(UncLookup[[#This Row],[Item]],Items!$A$1:$F$43,3,FALSE))</f>
        <v/>
      </c>
      <c r="Q655" s="90" t="str">
        <f>IF(VLOOKUP(UncLookup[[#This Row],[Item]],Items!$A$1:$F$43,4,FALSE)=0,"",VLOOKUP(UncLookup[[#This Row],[Item]],Items!$A$1:$F$43,4,FALSE))</f>
        <v/>
      </c>
    </row>
    <row r="656" spans="1:17" x14ac:dyDescent="0.25">
      <c r="A656" s="75" t="s">
        <v>56</v>
      </c>
      <c r="B656" s="75" t="s">
        <v>8</v>
      </c>
      <c r="C656" s="75">
        <v>1</v>
      </c>
      <c r="D656" s="75">
        <v>10</v>
      </c>
      <c r="E656" s="75">
        <v>1E-3</v>
      </c>
      <c r="F656" s="75" t="s">
        <v>6</v>
      </c>
      <c r="G656" s="75" t="s">
        <v>4</v>
      </c>
      <c r="H656" s="75">
        <v>0.04</v>
      </c>
      <c r="I656" s="75">
        <v>1</v>
      </c>
      <c r="J656" s="75" t="s">
        <v>10</v>
      </c>
      <c r="K656" s="75">
        <v>0.59428000000000003</v>
      </c>
      <c r="L656" s="75">
        <v>6.3506000000000007E-2</v>
      </c>
      <c r="M656" s="75">
        <v>0.59284000000000003</v>
      </c>
      <c r="N656" s="75">
        <v>6.3329999999999997E-2</v>
      </c>
      <c r="O656" s="90" t="str">
        <f>IF(VLOOKUP(UncLookup[[#This Row],[Item]],Items!$A$1:$F$43,2,FALSE)=0,"",VLOOKUP(UncLookup[[#This Row],[Item]],Items!$A$1:$F$43,2,FALSE))</f>
        <v/>
      </c>
      <c r="P656" s="90" t="str">
        <f>IF(VLOOKUP(UncLookup[[#This Row],[Item]],Items!$A$1:$F$43,3,FALSE)=0,"",VLOOKUP(UncLookup[[#This Row],[Item]],Items!$A$1:$F$43,3,FALSE))</f>
        <v/>
      </c>
      <c r="Q656" s="90" t="str">
        <f>IF(VLOOKUP(UncLookup[[#This Row],[Item]],Items!$A$1:$F$43,4,FALSE)=0,"",VLOOKUP(UncLookup[[#This Row],[Item]],Items!$A$1:$F$43,4,FALSE))</f>
        <v/>
      </c>
    </row>
    <row r="657" spans="1:17" x14ac:dyDescent="0.25">
      <c r="A657" s="76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90" t="str">
        <f>IF(VLOOKUP(UncLookup[[#This Row],[Item]],Items!$A$1:$F$43,2,FALSE)=0,"",VLOOKUP(UncLookup[[#This Row],[Item]],Items!$A$1:$F$43,2,FALSE))</f>
        <v/>
      </c>
      <c r="P657" s="90" t="str">
        <f>IF(VLOOKUP(UncLookup[[#This Row],[Item]],Items!$A$1:$F$43,3,FALSE)=0,"",VLOOKUP(UncLookup[[#This Row],[Item]],Items!$A$1:$F$43,3,FALSE))</f>
        <v/>
      </c>
      <c r="Q657" s="90" t="str">
        <f>IF(VLOOKUP(UncLookup[[#This Row],[Item]],Items!$A$1:$F$43,4,FALSE)=0,"",VLOOKUP(UncLookup[[#This Row],[Item]],Items!$A$1:$F$43,4,FALSE))</f>
        <v/>
      </c>
    </row>
    <row r="658" spans="1:17" x14ac:dyDescent="0.25">
      <c r="A658" s="75" t="s">
        <v>56</v>
      </c>
      <c r="B658" s="75" t="s">
        <v>8</v>
      </c>
      <c r="C658" s="75">
        <v>1</v>
      </c>
      <c r="D658" s="75">
        <v>10</v>
      </c>
      <c r="E658" s="75">
        <v>1E-3</v>
      </c>
      <c r="F658" s="75" t="s">
        <v>6</v>
      </c>
      <c r="G658" s="75" t="s">
        <v>4</v>
      </c>
      <c r="H658" s="75">
        <v>4000</v>
      </c>
      <c r="I658" s="75">
        <v>8000</v>
      </c>
      <c r="J658" s="75" t="s">
        <v>10</v>
      </c>
      <c r="K658" s="75">
        <v>15</v>
      </c>
      <c r="L658" s="75">
        <v>46.325000000000003</v>
      </c>
      <c r="M658" s="75">
        <v>9.1658000000000008</v>
      </c>
      <c r="N658" s="75">
        <v>46.576000000000001</v>
      </c>
      <c r="O658" s="90" t="str">
        <f>IF(VLOOKUP(UncLookup[[#This Row],[Item]],Items!$A$1:$F$43,2,FALSE)=0,"",VLOOKUP(UncLookup[[#This Row],[Item]],Items!$A$1:$F$43,2,FALSE))</f>
        <v/>
      </c>
      <c r="P658" s="90" t="str">
        <f>IF(VLOOKUP(UncLookup[[#This Row],[Item]],Items!$A$1:$F$43,3,FALSE)=0,"",VLOOKUP(UncLookup[[#This Row],[Item]],Items!$A$1:$F$43,3,FALSE))</f>
        <v/>
      </c>
      <c r="Q658" s="90" t="str">
        <f>IF(VLOOKUP(UncLookup[[#This Row],[Item]],Items!$A$1:$F$43,4,FALSE)=0,"",VLOOKUP(UncLookup[[#This Row],[Item]],Items!$A$1:$F$43,4,FALSE))</f>
        <v/>
      </c>
    </row>
    <row r="659" spans="1:17" x14ac:dyDescent="0.25">
      <c r="A659" s="76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90" t="str">
        <f>IF(VLOOKUP(UncLookup[[#This Row],[Item]],Items!$A$1:$F$43,2,FALSE)=0,"",VLOOKUP(UncLookup[[#This Row],[Item]],Items!$A$1:$F$43,2,FALSE))</f>
        <v/>
      </c>
      <c r="P659" s="90" t="str">
        <f>IF(VLOOKUP(UncLookup[[#This Row],[Item]],Items!$A$1:$F$43,3,FALSE)=0,"",VLOOKUP(UncLookup[[#This Row],[Item]],Items!$A$1:$F$43,3,FALSE))</f>
        <v/>
      </c>
      <c r="Q659" s="90" t="str">
        <f>IF(VLOOKUP(UncLookup[[#This Row],[Item]],Items!$A$1:$F$43,4,FALSE)=0,"",VLOOKUP(UncLookup[[#This Row],[Item]],Items!$A$1:$F$43,4,FALSE))</f>
        <v/>
      </c>
    </row>
    <row r="660" spans="1:17" x14ac:dyDescent="0.25">
      <c r="A660" s="75" t="s">
        <v>56</v>
      </c>
      <c r="B660" s="75" t="s">
        <v>8</v>
      </c>
      <c r="C660" s="75">
        <v>1</v>
      </c>
      <c r="D660" s="75">
        <v>10</v>
      </c>
      <c r="E660" s="75">
        <v>1E-3</v>
      </c>
      <c r="F660" s="75" t="s">
        <v>6</v>
      </c>
      <c r="G660" s="75" t="s">
        <v>4</v>
      </c>
      <c r="H660" s="75">
        <v>1E-3</v>
      </c>
      <c r="I660" s="75">
        <v>0.04</v>
      </c>
      <c r="J660" s="75" t="s">
        <v>10</v>
      </c>
      <c r="K660" s="75">
        <v>0.71618999999999999</v>
      </c>
      <c r="L660" s="75">
        <v>7.7546000000000004E-2</v>
      </c>
      <c r="M660" s="75">
        <v>0.71499000000000001</v>
      </c>
      <c r="N660" s="75">
        <v>7.7401999999999999E-2</v>
      </c>
      <c r="O660" s="90" t="str">
        <f>IF(VLOOKUP(UncLookup[[#This Row],[Item]],Items!$A$1:$F$43,2,FALSE)=0,"",VLOOKUP(UncLookup[[#This Row],[Item]],Items!$A$1:$F$43,2,FALSE))</f>
        <v/>
      </c>
      <c r="P660" s="90" t="str">
        <f>IF(VLOOKUP(UncLookup[[#This Row],[Item]],Items!$A$1:$F$43,3,FALSE)=0,"",VLOOKUP(UncLookup[[#This Row],[Item]],Items!$A$1:$F$43,3,FALSE))</f>
        <v/>
      </c>
      <c r="Q660" s="90" t="str">
        <f>IF(VLOOKUP(UncLookup[[#This Row],[Item]],Items!$A$1:$F$43,4,FALSE)=0,"",VLOOKUP(UncLookup[[#This Row],[Item]],Items!$A$1:$F$43,4,FALSE))</f>
        <v/>
      </c>
    </row>
    <row r="661" spans="1:17" x14ac:dyDescent="0.25">
      <c r="A661" s="76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90" t="str">
        <f>IF(VLOOKUP(UncLookup[[#This Row],[Item]],Items!$A$1:$F$43,2,FALSE)=0,"",VLOOKUP(UncLookup[[#This Row],[Item]],Items!$A$1:$F$43,2,FALSE))</f>
        <v/>
      </c>
      <c r="P661" s="90" t="str">
        <f>IF(VLOOKUP(UncLookup[[#This Row],[Item]],Items!$A$1:$F$43,3,FALSE)=0,"",VLOOKUP(UncLookup[[#This Row],[Item]],Items!$A$1:$F$43,3,FALSE))</f>
        <v/>
      </c>
      <c r="Q661" s="90" t="str">
        <f>IF(VLOOKUP(UncLookup[[#This Row],[Item]],Items!$A$1:$F$43,4,FALSE)=0,"",VLOOKUP(UncLookup[[#This Row],[Item]],Items!$A$1:$F$43,4,FALSE))</f>
        <v/>
      </c>
    </row>
    <row r="662" spans="1:17" x14ac:dyDescent="0.25">
      <c r="A662" s="75" t="s">
        <v>56</v>
      </c>
      <c r="B662" s="75" t="s">
        <v>8</v>
      </c>
      <c r="C662" s="75">
        <v>1</v>
      </c>
      <c r="D662" s="75">
        <v>10</v>
      </c>
      <c r="E662" s="75">
        <v>1E-3</v>
      </c>
      <c r="F662" s="75" t="s">
        <v>6</v>
      </c>
      <c r="G662" s="75" t="s">
        <v>4</v>
      </c>
      <c r="H662" s="75">
        <v>20</v>
      </c>
      <c r="I662" s="75">
        <v>50</v>
      </c>
      <c r="J662" s="75" t="s">
        <v>10</v>
      </c>
      <c r="K662" s="75">
        <v>0.50358000000000003</v>
      </c>
      <c r="L662" s="75">
        <v>0.32533000000000001</v>
      </c>
      <c r="M662" s="75">
        <v>0.49042000000000002</v>
      </c>
      <c r="N662" s="75">
        <v>0.32615</v>
      </c>
      <c r="O662" s="90" t="str">
        <f>IF(VLOOKUP(UncLookup[[#This Row],[Item]],Items!$A$1:$F$43,2,FALSE)=0,"",VLOOKUP(UncLookup[[#This Row],[Item]],Items!$A$1:$F$43,2,FALSE))</f>
        <v/>
      </c>
      <c r="P662" s="90" t="str">
        <f>IF(VLOOKUP(UncLookup[[#This Row],[Item]],Items!$A$1:$F$43,3,FALSE)=0,"",VLOOKUP(UncLookup[[#This Row],[Item]],Items!$A$1:$F$43,3,FALSE))</f>
        <v/>
      </c>
      <c r="Q662" s="90" t="str">
        <f>IF(VLOOKUP(UncLookup[[#This Row],[Item]],Items!$A$1:$F$43,4,FALSE)=0,"",VLOOKUP(UncLookup[[#This Row],[Item]],Items!$A$1:$F$43,4,FALSE))</f>
        <v/>
      </c>
    </row>
    <row r="663" spans="1:17" x14ac:dyDescent="0.25">
      <c r="A663" s="76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90" t="str">
        <f>IF(VLOOKUP(UncLookup[[#This Row],[Item]],Items!$A$1:$F$43,2,FALSE)=0,"",VLOOKUP(UncLookup[[#This Row],[Item]],Items!$A$1:$F$43,2,FALSE))</f>
        <v/>
      </c>
      <c r="P663" s="90" t="str">
        <f>IF(VLOOKUP(UncLookup[[#This Row],[Item]],Items!$A$1:$F$43,3,FALSE)=0,"",VLOOKUP(UncLookup[[#This Row],[Item]],Items!$A$1:$F$43,3,FALSE))</f>
        <v/>
      </c>
      <c r="Q663" s="90" t="str">
        <f>IF(VLOOKUP(UncLookup[[#This Row],[Item]],Items!$A$1:$F$43,4,FALSE)=0,"",VLOOKUP(UncLookup[[#This Row],[Item]],Items!$A$1:$F$43,4,FALSE))</f>
        <v/>
      </c>
    </row>
    <row r="664" spans="1:17" x14ac:dyDescent="0.25">
      <c r="A664" s="75" t="s">
        <v>56</v>
      </c>
      <c r="B664" s="75" t="s">
        <v>8</v>
      </c>
      <c r="C664" s="75">
        <v>1</v>
      </c>
      <c r="D664" s="75">
        <v>10</v>
      </c>
      <c r="E664" s="75">
        <v>1E-3</v>
      </c>
      <c r="F664" s="75" t="s">
        <v>6</v>
      </c>
      <c r="G664" s="75" t="s">
        <v>4</v>
      </c>
      <c r="H664" s="75">
        <v>100</v>
      </c>
      <c r="I664" s="75">
        <v>300</v>
      </c>
      <c r="J664" s="75" t="s">
        <v>10</v>
      </c>
      <c r="K664" s="75">
        <v>1.2</v>
      </c>
      <c r="L664" s="75">
        <v>3.5</v>
      </c>
      <c r="M664" s="75">
        <v>1.1754</v>
      </c>
      <c r="N664" s="75">
        <v>3.4796</v>
      </c>
      <c r="O664" s="90" t="str">
        <f>IF(VLOOKUP(UncLookup[[#This Row],[Item]],Items!$A$1:$F$43,2,FALSE)=0,"",VLOOKUP(UncLookup[[#This Row],[Item]],Items!$A$1:$F$43,2,FALSE))</f>
        <v/>
      </c>
      <c r="P664" s="90" t="str">
        <f>IF(VLOOKUP(UncLookup[[#This Row],[Item]],Items!$A$1:$F$43,3,FALSE)=0,"",VLOOKUP(UncLookup[[#This Row],[Item]],Items!$A$1:$F$43,3,FALSE))</f>
        <v/>
      </c>
      <c r="Q664" s="90" t="str">
        <f>IF(VLOOKUP(UncLookup[[#This Row],[Item]],Items!$A$1:$F$43,4,FALSE)=0,"",VLOOKUP(UncLookup[[#This Row],[Item]],Items!$A$1:$F$43,4,FALSE))</f>
        <v/>
      </c>
    </row>
    <row r="665" spans="1:17" x14ac:dyDescent="0.25">
      <c r="A665" s="76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90" t="str">
        <f>IF(VLOOKUP(UncLookup[[#This Row],[Item]],Items!$A$1:$F$43,2,FALSE)=0,"",VLOOKUP(UncLookup[[#This Row],[Item]],Items!$A$1:$F$43,2,FALSE))</f>
        <v/>
      </c>
      <c r="P665" s="90" t="str">
        <f>IF(VLOOKUP(UncLookup[[#This Row],[Item]],Items!$A$1:$F$43,3,FALSE)=0,"",VLOOKUP(UncLookup[[#This Row],[Item]],Items!$A$1:$F$43,3,FALSE))</f>
        <v/>
      </c>
      <c r="Q665" s="90" t="str">
        <f>IF(VLOOKUP(UncLookup[[#This Row],[Item]],Items!$A$1:$F$43,4,FALSE)=0,"",VLOOKUP(UncLookup[[#This Row],[Item]],Items!$A$1:$F$43,4,FALSE))</f>
        <v/>
      </c>
    </row>
    <row r="666" spans="1:17" x14ac:dyDescent="0.25">
      <c r="A666" s="75" t="s">
        <v>56</v>
      </c>
      <c r="B666" s="75" t="s">
        <v>8</v>
      </c>
      <c r="C666" s="75">
        <v>1</v>
      </c>
      <c r="D666" s="75">
        <v>10</v>
      </c>
      <c r="E666" s="75">
        <v>0.01</v>
      </c>
      <c r="F666" s="75" t="s">
        <v>6</v>
      </c>
      <c r="G666" s="75" t="s">
        <v>4</v>
      </c>
      <c r="H666" s="75">
        <v>4000</v>
      </c>
      <c r="I666" s="75">
        <v>8000</v>
      </c>
      <c r="J666" s="75" t="s">
        <v>10</v>
      </c>
      <c r="K666" s="75">
        <v>15</v>
      </c>
      <c r="L666" s="75">
        <v>46.329000000000001</v>
      </c>
      <c r="M666" s="75">
        <v>9.49</v>
      </c>
      <c r="N666" s="75">
        <v>46.546999999999997</v>
      </c>
      <c r="O666" s="90" t="str">
        <f>IF(VLOOKUP(UncLookup[[#This Row],[Item]],Items!$A$1:$F$43,2,FALSE)=0,"",VLOOKUP(UncLookup[[#This Row],[Item]],Items!$A$1:$F$43,2,FALSE))</f>
        <v/>
      </c>
      <c r="P666" s="90" t="str">
        <f>IF(VLOOKUP(UncLookup[[#This Row],[Item]],Items!$A$1:$F$43,3,FALSE)=0,"",VLOOKUP(UncLookup[[#This Row],[Item]],Items!$A$1:$F$43,3,FALSE))</f>
        <v/>
      </c>
      <c r="Q666" s="90" t="str">
        <f>IF(VLOOKUP(UncLookup[[#This Row],[Item]],Items!$A$1:$F$43,4,FALSE)=0,"",VLOOKUP(UncLookup[[#This Row],[Item]],Items!$A$1:$F$43,4,FALSE))</f>
        <v/>
      </c>
    </row>
    <row r="667" spans="1:17" x14ac:dyDescent="0.25">
      <c r="A667" s="76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90" t="str">
        <f>IF(VLOOKUP(UncLookup[[#This Row],[Item]],Items!$A$1:$F$43,2,FALSE)=0,"",VLOOKUP(UncLookup[[#This Row],[Item]],Items!$A$1:$F$43,2,FALSE))</f>
        <v/>
      </c>
      <c r="P667" s="90" t="str">
        <f>IF(VLOOKUP(UncLookup[[#This Row],[Item]],Items!$A$1:$F$43,3,FALSE)=0,"",VLOOKUP(UncLookup[[#This Row],[Item]],Items!$A$1:$F$43,3,FALSE))</f>
        <v/>
      </c>
      <c r="Q667" s="90" t="str">
        <f>IF(VLOOKUP(UncLookup[[#This Row],[Item]],Items!$A$1:$F$43,4,FALSE)=0,"",VLOOKUP(UncLookup[[#This Row],[Item]],Items!$A$1:$F$43,4,FALSE))</f>
        <v/>
      </c>
    </row>
    <row r="668" spans="1:17" x14ac:dyDescent="0.25">
      <c r="A668" s="75" t="s">
        <v>56</v>
      </c>
      <c r="B668" s="75" t="s">
        <v>8</v>
      </c>
      <c r="C668" s="75">
        <v>1</v>
      </c>
      <c r="D668" s="75">
        <v>10</v>
      </c>
      <c r="E668" s="75">
        <v>0.01</v>
      </c>
      <c r="F668" s="75" t="s">
        <v>6</v>
      </c>
      <c r="G668" s="75" t="s">
        <v>4</v>
      </c>
      <c r="H668" s="75">
        <v>0.04</v>
      </c>
      <c r="I668" s="75">
        <v>1</v>
      </c>
      <c r="J668" s="75" t="s">
        <v>10</v>
      </c>
      <c r="K668" s="75">
        <v>5.7723000000000004</v>
      </c>
      <c r="L668" s="75">
        <v>1.0442999999999999E-2</v>
      </c>
      <c r="M668" s="75">
        <v>5.7717000000000001</v>
      </c>
      <c r="N668" s="75">
        <v>1.0227E-2</v>
      </c>
      <c r="O668" s="90" t="str">
        <f>IF(VLOOKUP(UncLookup[[#This Row],[Item]],Items!$A$1:$F$43,2,FALSE)=0,"",VLOOKUP(UncLookup[[#This Row],[Item]],Items!$A$1:$F$43,2,FALSE))</f>
        <v/>
      </c>
      <c r="P668" s="90" t="str">
        <f>IF(VLOOKUP(UncLookup[[#This Row],[Item]],Items!$A$1:$F$43,3,FALSE)=0,"",VLOOKUP(UncLookup[[#This Row],[Item]],Items!$A$1:$F$43,3,FALSE))</f>
        <v/>
      </c>
      <c r="Q668" s="90" t="str">
        <f>IF(VLOOKUP(UncLookup[[#This Row],[Item]],Items!$A$1:$F$43,4,FALSE)=0,"",VLOOKUP(UncLookup[[#This Row],[Item]],Items!$A$1:$F$43,4,FALSE))</f>
        <v/>
      </c>
    </row>
    <row r="669" spans="1:17" x14ac:dyDescent="0.25">
      <c r="A669" s="76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90" t="str">
        <f>IF(VLOOKUP(UncLookup[[#This Row],[Item]],Items!$A$1:$F$43,2,FALSE)=0,"",VLOOKUP(UncLookup[[#This Row],[Item]],Items!$A$1:$F$43,2,FALSE))</f>
        <v/>
      </c>
      <c r="P669" s="90" t="str">
        <f>IF(VLOOKUP(UncLookup[[#This Row],[Item]],Items!$A$1:$F$43,3,FALSE)=0,"",VLOOKUP(UncLookup[[#This Row],[Item]],Items!$A$1:$F$43,3,FALSE))</f>
        <v/>
      </c>
      <c r="Q669" s="90" t="str">
        <f>IF(VLOOKUP(UncLookup[[#This Row],[Item]],Items!$A$1:$F$43,4,FALSE)=0,"",VLOOKUP(UncLookup[[#This Row],[Item]],Items!$A$1:$F$43,4,FALSE))</f>
        <v/>
      </c>
    </row>
    <row r="670" spans="1:17" x14ac:dyDescent="0.25">
      <c r="A670" s="75" t="s">
        <v>56</v>
      </c>
      <c r="B670" s="75" t="s">
        <v>8</v>
      </c>
      <c r="C670" s="75">
        <v>1</v>
      </c>
      <c r="D670" s="75">
        <v>10</v>
      </c>
      <c r="E670" s="75">
        <v>0.01</v>
      </c>
      <c r="F670" s="75" t="s">
        <v>6</v>
      </c>
      <c r="G670" s="75" t="s">
        <v>4</v>
      </c>
      <c r="H670" s="75">
        <v>1E-3</v>
      </c>
      <c r="I670" s="75">
        <v>0.04</v>
      </c>
      <c r="J670" s="75" t="s">
        <v>10</v>
      </c>
      <c r="K670" s="75">
        <v>5.7845000000000004</v>
      </c>
      <c r="L670" s="75">
        <v>1.5263000000000001E-2</v>
      </c>
      <c r="M670" s="75">
        <v>5.7839999999999998</v>
      </c>
      <c r="N670" s="75">
        <v>1.5049999999999999E-2</v>
      </c>
      <c r="O670" s="90" t="str">
        <f>IF(VLOOKUP(UncLookup[[#This Row],[Item]],Items!$A$1:$F$43,2,FALSE)=0,"",VLOOKUP(UncLookup[[#This Row],[Item]],Items!$A$1:$F$43,2,FALSE))</f>
        <v/>
      </c>
      <c r="P670" s="90" t="str">
        <f>IF(VLOOKUP(UncLookup[[#This Row],[Item]],Items!$A$1:$F$43,3,FALSE)=0,"",VLOOKUP(UncLookup[[#This Row],[Item]],Items!$A$1:$F$43,3,FALSE))</f>
        <v/>
      </c>
      <c r="Q670" s="90" t="str">
        <f>IF(VLOOKUP(UncLookup[[#This Row],[Item]],Items!$A$1:$F$43,4,FALSE)=0,"",VLOOKUP(UncLookup[[#This Row],[Item]],Items!$A$1:$F$43,4,FALSE))</f>
        <v/>
      </c>
    </row>
    <row r="671" spans="1:17" x14ac:dyDescent="0.25">
      <c r="A671" s="76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90" t="str">
        <f>IF(VLOOKUP(UncLookup[[#This Row],[Item]],Items!$A$1:$F$43,2,FALSE)=0,"",VLOOKUP(UncLookup[[#This Row],[Item]],Items!$A$1:$F$43,2,FALSE))</f>
        <v/>
      </c>
      <c r="P671" s="90" t="str">
        <f>IF(VLOOKUP(UncLookup[[#This Row],[Item]],Items!$A$1:$F$43,3,FALSE)=0,"",VLOOKUP(UncLookup[[#This Row],[Item]],Items!$A$1:$F$43,3,FALSE))</f>
        <v/>
      </c>
      <c r="Q671" s="90" t="str">
        <f>IF(VLOOKUP(UncLookup[[#This Row],[Item]],Items!$A$1:$F$43,4,FALSE)=0,"",VLOOKUP(UncLookup[[#This Row],[Item]],Items!$A$1:$F$43,4,FALSE))</f>
        <v/>
      </c>
    </row>
    <row r="672" spans="1:17" x14ac:dyDescent="0.25">
      <c r="A672" s="75" t="s">
        <v>56</v>
      </c>
      <c r="B672" s="75" t="s">
        <v>8</v>
      </c>
      <c r="C672" s="75">
        <v>1</v>
      </c>
      <c r="D672" s="75">
        <v>10</v>
      </c>
      <c r="E672" s="75">
        <v>0.01</v>
      </c>
      <c r="F672" s="75" t="s">
        <v>6</v>
      </c>
      <c r="G672" s="75" t="s">
        <v>4</v>
      </c>
      <c r="H672" s="75">
        <v>300</v>
      </c>
      <c r="I672" s="75">
        <v>1000</v>
      </c>
      <c r="J672" s="75" t="s">
        <v>10</v>
      </c>
      <c r="K672" s="75">
        <v>2.2239</v>
      </c>
      <c r="L672" s="75">
        <v>11.849</v>
      </c>
      <c r="M672" s="75">
        <v>2.4895999999999998</v>
      </c>
      <c r="N672" s="75">
        <v>11.566000000000001</v>
      </c>
      <c r="O672" s="90" t="str">
        <f>IF(VLOOKUP(UncLookup[[#This Row],[Item]],Items!$A$1:$F$43,2,FALSE)=0,"",VLOOKUP(UncLookup[[#This Row],[Item]],Items!$A$1:$F$43,2,FALSE))</f>
        <v/>
      </c>
      <c r="P672" s="90" t="str">
        <f>IF(VLOOKUP(UncLookup[[#This Row],[Item]],Items!$A$1:$F$43,3,FALSE)=0,"",VLOOKUP(UncLookup[[#This Row],[Item]],Items!$A$1:$F$43,3,FALSE))</f>
        <v/>
      </c>
      <c r="Q672" s="90" t="str">
        <f>IF(VLOOKUP(UncLookup[[#This Row],[Item]],Items!$A$1:$F$43,4,FALSE)=0,"",VLOOKUP(UncLookup[[#This Row],[Item]],Items!$A$1:$F$43,4,FALSE))</f>
        <v/>
      </c>
    </row>
    <row r="673" spans="1:17" x14ac:dyDescent="0.25">
      <c r="A673" s="76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90" t="str">
        <f>IF(VLOOKUP(UncLookup[[#This Row],[Item]],Items!$A$1:$F$43,2,FALSE)=0,"",VLOOKUP(UncLookup[[#This Row],[Item]],Items!$A$1:$F$43,2,FALSE))</f>
        <v/>
      </c>
      <c r="P673" s="90" t="str">
        <f>IF(VLOOKUP(UncLookup[[#This Row],[Item]],Items!$A$1:$F$43,3,FALSE)=0,"",VLOOKUP(UncLookup[[#This Row],[Item]],Items!$A$1:$F$43,3,FALSE))</f>
        <v/>
      </c>
      <c r="Q673" s="90" t="str">
        <f>IF(VLOOKUP(UncLookup[[#This Row],[Item]],Items!$A$1:$F$43,4,FALSE)=0,"",VLOOKUP(UncLookup[[#This Row],[Item]],Items!$A$1:$F$43,4,FALSE))</f>
        <v/>
      </c>
    </row>
    <row r="674" spans="1:17" x14ac:dyDescent="0.25">
      <c r="A674" s="75" t="s">
        <v>56</v>
      </c>
      <c r="B674" s="75" t="s">
        <v>8</v>
      </c>
      <c r="C674" s="75">
        <v>1</v>
      </c>
      <c r="D674" s="75">
        <v>10</v>
      </c>
      <c r="E674" s="75">
        <v>0.01</v>
      </c>
      <c r="F674" s="75" t="s">
        <v>6</v>
      </c>
      <c r="G674" s="75" t="s">
        <v>4</v>
      </c>
      <c r="H674" s="75">
        <v>50</v>
      </c>
      <c r="I674" s="75">
        <v>100</v>
      </c>
      <c r="J674" s="75" t="s">
        <v>10</v>
      </c>
      <c r="K674" s="75">
        <v>5.3091999999999997</v>
      </c>
      <c r="L674" s="75">
        <v>0.59367999999999999</v>
      </c>
      <c r="M674" s="75">
        <v>5.2965</v>
      </c>
      <c r="N674" s="75">
        <v>0.59386000000000005</v>
      </c>
      <c r="O674" s="90" t="str">
        <f>IF(VLOOKUP(UncLookup[[#This Row],[Item]],Items!$A$1:$F$43,2,FALSE)=0,"",VLOOKUP(UncLookup[[#This Row],[Item]],Items!$A$1:$F$43,2,FALSE))</f>
        <v/>
      </c>
      <c r="P674" s="90" t="str">
        <f>IF(VLOOKUP(UncLookup[[#This Row],[Item]],Items!$A$1:$F$43,3,FALSE)=0,"",VLOOKUP(UncLookup[[#This Row],[Item]],Items!$A$1:$F$43,3,FALSE))</f>
        <v/>
      </c>
      <c r="Q674" s="90" t="str">
        <f>IF(VLOOKUP(UncLookup[[#This Row],[Item]],Items!$A$1:$F$43,4,FALSE)=0,"",VLOOKUP(UncLookup[[#This Row],[Item]],Items!$A$1:$F$43,4,FALSE))</f>
        <v/>
      </c>
    </row>
    <row r="675" spans="1:17" x14ac:dyDescent="0.25">
      <c r="A675" s="76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90" t="str">
        <f>IF(VLOOKUP(UncLookup[[#This Row],[Item]],Items!$A$1:$F$43,2,FALSE)=0,"",VLOOKUP(UncLookup[[#This Row],[Item]],Items!$A$1:$F$43,2,FALSE))</f>
        <v/>
      </c>
      <c r="P675" s="90" t="str">
        <f>IF(VLOOKUP(UncLookup[[#This Row],[Item]],Items!$A$1:$F$43,3,FALSE)=0,"",VLOOKUP(UncLookup[[#This Row],[Item]],Items!$A$1:$F$43,3,FALSE))</f>
        <v/>
      </c>
      <c r="Q675" s="90" t="str">
        <f>IF(VLOOKUP(UncLookup[[#This Row],[Item]],Items!$A$1:$F$43,4,FALSE)=0,"",VLOOKUP(UncLookup[[#This Row],[Item]],Items!$A$1:$F$43,4,FALSE))</f>
        <v/>
      </c>
    </row>
    <row r="676" spans="1:17" x14ac:dyDescent="0.25">
      <c r="A676" s="75" t="s">
        <v>56</v>
      </c>
      <c r="B676" s="75" t="s">
        <v>8</v>
      </c>
      <c r="C676" s="75">
        <v>1</v>
      </c>
      <c r="D676" s="75">
        <v>10</v>
      </c>
      <c r="E676" s="75">
        <v>0.1</v>
      </c>
      <c r="F676" s="75" t="s">
        <v>6</v>
      </c>
      <c r="G676" s="75" t="s">
        <v>4</v>
      </c>
      <c r="H676" s="75">
        <v>100</v>
      </c>
      <c r="I676" s="75">
        <v>300</v>
      </c>
      <c r="J676" s="75" t="s">
        <v>10</v>
      </c>
      <c r="K676" s="75">
        <v>56.807000000000002</v>
      </c>
      <c r="L676" s="75">
        <v>1.1229</v>
      </c>
      <c r="M676" s="75">
        <v>54.694000000000003</v>
      </c>
      <c r="N676" s="75">
        <v>1.1224000000000001</v>
      </c>
      <c r="O676" s="90" t="str">
        <f>IF(VLOOKUP(UncLookup[[#This Row],[Item]],Items!$A$1:$F$43,2,FALSE)=0,"",VLOOKUP(UncLookup[[#This Row],[Item]],Items!$A$1:$F$43,2,FALSE))</f>
        <v/>
      </c>
      <c r="P676" s="90" t="str">
        <f>IF(VLOOKUP(UncLookup[[#This Row],[Item]],Items!$A$1:$F$43,3,FALSE)=0,"",VLOOKUP(UncLookup[[#This Row],[Item]],Items!$A$1:$F$43,3,FALSE))</f>
        <v/>
      </c>
      <c r="Q676" s="90" t="str">
        <f>IF(VLOOKUP(UncLookup[[#This Row],[Item]],Items!$A$1:$F$43,4,FALSE)=0,"",VLOOKUP(UncLookup[[#This Row],[Item]],Items!$A$1:$F$43,4,FALSE))</f>
        <v/>
      </c>
    </row>
    <row r="677" spans="1:17" x14ac:dyDescent="0.25">
      <c r="A677" s="76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90" t="str">
        <f>IF(VLOOKUP(UncLookup[[#This Row],[Item]],Items!$A$1:$F$43,2,FALSE)=0,"",VLOOKUP(UncLookup[[#This Row],[Item]],Items!$A$1:$F$43,2,FALSE))</f>
        <v/>
      </c>
      <c r="P677" s="90" t="str">
        <f>IF(VLOOKUP(UncLookup[[#This Row],[Item]],Items!$A$1:$F$43,3,FALSE)=0,"",VLOOKUP(UncLookup[[#This Row],[Item]],Items!$A$1:$F$43,3,FALSE))</f>
        <v/>
      </c>
      <c r="Q677" s="90" t="str">
        <f>IF(VLOOKUP(UncLookup[[#This Row],[Item]],Items!$A$1:$F$43,4,FALSE)=0,"",VLOOKUP(UncLookup[[#This Row],[Item]],Items!$A$1:$F$43,4,FALSE))</f>
        <v/>
      </c>
    </row>
    <row r="678" spans="1:17" x14ac:dyDescent="0.25">
      <c r="A678" s="75" t="s">
        <v>56</v>
      </c>
      <c r="B678" s="75" t="s">
        <v>8</v>
      </c>
      <c r="C678" s="75">
        <v>1</v>
      </c>
      <c r="D678" s="75">
        <v>10</v>
      </c>
      <c r="E678" s="75">
        <v>0.1</v>
      </c>
      <c r="F678" s="75" t="s">
        <v>6</v>
      </c>
      <c r="G678" s="75" t="s">
        <v>4</v>
      </c>
      <c r="H678" s="75">
        <v>1000</v>
      </c>
      <c r="I678" s="75">
        <v>2000</v>
      </c>
      <c r="J678" s="75" t="s">
        <v>10</v>
      </c>
      <c r="K678" s="75">
        <v>46.847000000000001</v>
      </c>
      <c r="L678" s="75">
        <v>13.84</v>
      </c>
      <c r="M678" s="75">
        <v>43.262</v>
      </c>
      <c r="N678" s="75">
        <v>13.840999999999999</v>
      </c>
      <c r="O678" s="90" t="str">
        <f>IF(VLOOKUP(UncLookup[[#This Row],[Item]],Items!$A$1:$F$43,2,FALSE)=0,"",VLOOKUP(UncLookup[[#This Row],[Item]],Items!$A$1:$F$43,2,FALSE))</f>
        <v/>
      </c>
      <c r="P678" s="90" t="str">
        <f>IF(VLOOKUP(UncLookup[[#This Row],[Item]],Items!$A$1:$F$43,3,FALSE)=0,"",VLOOKUP(UncLookup[[#This Row],[Item]],Items!$A$1:$F$43,3,FALSE))</f>
        <v/>
      </c>
      <c r="Q678" s="90" t="str">
        <f>IF(VLOOKUP(UncLookup[[#This Row],[Item]],Items!$A$1:$F$43,4,FALSE)=0,"",VLOOKUP(UncLookup[[#This Row],[Item]],Items!$A$1:$F$43,4,FALSE))</f>
        <v/>
      </c>
    </row>
    <row r="679" spans="1:17" x14ac:dyDescent="0.25">
      <c r="A679" s="76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90" t="str">
        <f>IF(VLOOKUP(UncLookup[[#This Row],[Item]],Items!$A$1:$F$43,2,FALSE)=0,"",VLOOKUP(UncLookup[[#This Row],[Item]],Items!$A$1:$F$43,2,FALSE))</f>
        <v/>
      </c>
      <c r="P679" s="90" t="str">
        <f>IF(VLOOKUP(UncLookup[[#This Row],[Item]],Items!$A$1:$F$43,3,FALSE)=0,"",VLOOKUP(UncLookup[[#This Row],[Item]],Items!$A$1:$F$43,3,FALSE))</f>
        <v/>
      </c>
      <c r="Q679" s="90" t="str">
        <f>IF(VLOOKUP(UncLookup[[#This Row],[Item]],Items!$A$1:$F$43,4,FALSE)=0,"",VLOOKUP(UncLookup[[#This Row],[Item]],Items!$A$1:$F$43,4,FALSE))</f>
        <v/>
      </c>
    </row>
    <row r="680" spans="1:17" x14ac:dyDescent="0.25">
      <c r="A680" s="75" t="s">
        <v>56</v>
      </c>
      <c r="B680" s="75" t="s">
        <v>8</v>
      </c>
      <c r="C680" s="75">
        <v>1</v>
      </c>
      <c r="D680" s="75">
        <v>10</v>
      </c>
      <c r="E680" s="75">
        <v>0.1</v>
      </c>
      <c r="F680" s="75" t="s">
        <v>6</v>
      </c>
      <c r="G680" s="75" t="s">
        <v>4</v>
      </c>
      <c r="H680" s="75">
        <v>4000</v>
      </c>
      <c r="I680" s="75">
        <v>8000</v>
      </c>
      <c r="J680" s="75" t="s">
        <v>10</v>
      </c>
      <c r="K680" s="75">
        <v>36.033999999999999</v>
      </c>
      <c r="L680" s="75">
        <v>44.241</v>
      </c>
      <c r="M680" s="75">
        <v>33.704000000000001</v>
      </c>
      <c r="N680" s="75">
        <v>44.241</v>
      </c>
      <c r="O680" s="90" t="str">
        <f>IF(VLOOKUP(UncLookup[[#This Row],[Item]],Items!$A$1:$F$43,2,FALSE)=0,"",VLOOKUP(UncLookup[[#This Row],[Item]],Items!$A$1:$F$43,2,FALSE))</f>
        <v/>
      </c>
      <c r="P680" s="90" t="str">
        <f>IF(VLOOKUP(UncLookup[[#This Row],[Item]],Items!$A$1:$F$43,3,FALSE)=0,"",VLOOKUP(UncLookup[[#This Row],[Item]],Items!$A$1:$F$43,3,FALSE))</f>
        <v/>
      </c>
      <c r="Q680" s="90" t="str">
        <f>IF(VLOOKUP(UncLookup[[#This Row],[Item]],Items!$A$1:$F$43,4,FALSE)=0,"",VLOOKUP(UncLookup[[#This Row],[Item]],Items!$A$1:$F$43,4,FALSE))</f>
        <v/>
      </c>
    </row>
    <row r="681" spans="1:17" x14ac:dyDescent="0.25">
      <c r="A681" s="76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90" t="str">
        <f>IF(VLOOKUP(UncLookup[[#This Row],[Item]],Items!$A$1:$F$43,2,FALSE)=0,"",VLOOKUP(UncLookup[[#This Row],[Item]],Items!$A$1:$F$43,2,FALSE))</f>
        <v/>
      </c>
      <c r="P681" s="90" t="str">
        <f>IF(VLOOKUP(UncLookup[[#This Row],[Item]],Items!$A$1:$F$43,3,FALSE)=0,"",VLOOKUP(UncLookup[[#This Row],[Item]],Items!$A$1:$F$43,3,FALSE))</f>
        <v/>
      </c>
      <c r="Q681" s="90" t="str">
        <f>IF(VLOOKUP(UncLookup[[#This Row],[Item]],Items!$A$1:$F$43,4,FALSE)=0,"",VLOOKUP(UncLookup[[#This Row],[Item]],Items!$A$1:$F$43,4,FALSE))</f>
        <v/>
      </c>
    </row>
    <row r="682" spans="1:17" x14ac:dyDescent="0.25">
      <c r="A682" s="75" t="s">
        <v>56</v>
      </c>
      <c r="B682" s="75" t="s">
        <v>8</v>
      </c>
      <c r="C682" s="75">
        <v>1</v>
      </c>
      <c r="D682" s="75">
        <v>10</v>
      </c>
      <c r="E682" s="75">
        <v>0.1</v>
      </c>
      <c r="F682" s="75" t="s">
        <v>6</v>
      </c>
      <c r="G682" s="75" t="s">
        <v>4</v>
      </c>
      <c r="H682" s="75">
        <v>300</v>
      </c>
      <c r="I682" s="75">
        <v>1000</v>
      </c>
      <c r="J682" s="75" t="s">
        <v>10</v>
      </c>
      <c r="K682" s="75">
        <v>51.131999999999998</v>
      </c>
      <c r="L682" s="75">
        <v>8.0251999999999999</v>
      </c>
      <c r="M682" s="75">
        <v>47.575000000000003</v>
      </c>
      <c r="N682" s="75">
        <v>8.0258000000000003</v>
      </c>
      <c r="O682" s="90" t="str">
        <f>IF(VLOOKUP(UncLookup[[#This Row],[Item]],Items!$A$1:$F$43,2,FALSE)=0,"",VLOOKUP(UncLookup[[#This Row],[Item]],Items!$A$1:$F$43,2,FALSE))</f>
        <v/>
      </c>
      <c r="P682" s="90" t="str">
        <f>IF(VLOOKUP(UncLookup[[#This Row],[Item]],Items!$A$1:$F$43,3,FALSE)=0,"",VLOOKUP(UncLookup[[#This Row],[Item]],Items!$A$1:$F$43,3,FALSE))</f>
        <v/>
      </c>
      <c r="Q682" s="90" t="str">
        <f>IF(VLOOKUP(UncLookup[[#This Row],[Item]],Items!$A$1:$F$43,4,FALSE)=0,"",VLOOKUP(UncLookup[[#This Row],[Item]],Items!$A$1:$F$43,4,FALSE))</f>
        <v/>
      </c>
    </row>
    <row r="683" spans="1:17" x14ac:dyDescent="0.25">
      <c r="A683" s="76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90" t="str">
        <f>IF(VLOOKUP(UncLookup[[#This Row],[Item]],Items!$A$1:$F$43,2,FALSE)=0,"",VLOOKUP(UncLookup[[#This Row],[Item]],Items!$A$1:$F$43,2,FALSE))</f>
        <v/>
      </c>
      <c r="P683" s="90" t="str">
        <f>IF(VLOOKUP(UncLookup[[#This Row],[Item]],Items!$A$1:$F$43,3,FALSE)=0,"",VLOOKUP(UncLookup[[#This Row],[Item]],Items!$A$1:$F$43,3,FALSE))</f>
        <v/>
      </c>
      <c r="Q683" s="90" t="str">
        <f>IF(VLOOKUP(UncLookup[[#This Row],[Item]],Items!$A$1:$F$43,4,FALSE)=0,"",VLOOKUP(UncLookup[[#This Row],[Item]],Items!$A$1:$F$43,4,FALSE))</f>
        <v/>
      </c>
    </row>
    <row r="684" spans="1:17" x14ac:dyDescent="0.25">
      <c r="A684" s="75" t="s">
        <v>56</v>
      </c>
      <c r="B684" s="75" t="s">
        <v>8</v>
      </c>
      <c r="C684" s="75">
        <v>1</v>
      </c>
      <c r="D684" s="75">
        <v>10</v>
      </c>
      <c r="E684" s="75">
        <v>0.1</v>
      </c>
      <c r="F684" s="75" t="s">
        <v>6</v>
      </c>
      <c r="G684" s="75" t="s">
        <v>4</v>
      </c>
      <c r="H684" s="75">
        <v>1E-3</v>
      </c>
      <c r="I684" s="75">
        <v>0.04</v>
      </c>
      <c r="J684" s="75" t="s">
        <v>10</v>
      </c>
      <c r="K684" s="75">
        <v>57.737000000000002</v>
      </c>
      <c r="L684" s="75">
        <v>1.6174E-3</v>
      </c>
      <c r="M684" s="75">
        <v>57.722999999999999</v>
      </c>
      <c r="N684" s="75">
        <v>1.529E-3</v>
      </c>
      <c r="O684" s="90" t="str">
        <f>IF(VLOOKUP(UncLookup[[#This Row],[Item]],Items!$A$1:$F$43,2,FALSE)=0,"",VLOOKUP(UncLookup[[#This Row],[Item]],Items!$A$1:$F$43,2,FALSE))</f>
        <v/>
      </c>
      <c r="P684" s="90" t="str">
        <f>IF(VLOOKUP(UncLookup[[#This Row],[Item]],Items!$A$1:$F$43,3,FALSE)=0,"",VLOOKUP(UncLookup[[#This Row],[Item]],Items!$A$1:$F$43,3,FALSE))</f>
        <v/>
      </c>
      <c r="Q684" s="90" t="str">
        <f>IF(VLOOKUP(UncLookup[[#This Row],[Item]],Items!$A$1:$F$43,4,FALSE)=0,"",VLOOKUP(UncLookup[[#This Row],[Item]],Items!$A$1:$F$43,4,FALSE))</f>
        <v/>
      </c>
    </row>
    <row r="685" spans="1:17" x14ac:dyDescent="0.25">
      <c r="A685" s="76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90" t="str">
        <f>IF(VLOOKUP(UncLookup[[#This Row],[Item]],Items!$A$1:$F$43,2,FALSE)=0,"",VLOOKUP(UncLookup[[#This Row],[Item]],Items!$A$1:$F$43,2,FALSE))</f>
        <v/>
      </c>
      <c r="P685" s="90" t="str">
        <f>IF(VLOOKUP(UncLookup[[#This Row],[Item]],Items!$A$1:$F$43,3,FALSE)=0,"",VLOOKUP(UncLookup[[#This Row],[Item]],Items!$A$1:$F$43,3,FALSE))</f>
        <v/>
      </c>
      <c r="Q685" s="90" t="str">
        <f>IF(VLOOKUP(UncLookup[[#This Row],[Item]],Items!$A$1:$F$43,4,FALSE)=0,"",VLOOKUP(UncLookup[[#This Row],[Item]],Items!$A$1:$F$43,4,FALSE))</f>
        <v/>
      </c>
    </row>
    <row r="686" spans="1:17" x14ac:dyDescent="0.25">
      <c r="A686" s="75" t="s">
        <v>56</v>
      </c>
      <c r="B686" s="75" t="s">
        <v>8</v>
      </c>
      <c r="C686" s="75">
        <v>1</v>
      </c>
      <c r="D686" s="75">
        <v>10</v>
      </c>
      <c r="E686" s="75">
        <v>0.1</v>
      </c>
      <c r="F686" s="75" t="s">
        <v>6</v>
      </c>
      <c r="G686" s="75" t="s">
        <v>4</v>
      </c>
      <c r="H686" s="75">
        <v>50</v>
      </c>
      <c r="I686" s="75">
        <v>100</v>
      </c>
      <c r="J686" s="75" t="s">
        <v>10</v>
      </c>
      <c r="K686" s="75">
        <v>57.664999999999999</v>
      </c>
      <c r="L686" s="75">
        <v>8.7822999999999998E-2</v>
      </c>
      <c r="M686" s="75">
        <v>57.152999999999999</v>
      </c>
      <c r="N686" s="75">
        <v>8.7461999999999998E-2</v>
      </c>
      <c r="O686" s="90" t="str">
        <f>IF(VLOOKUP(UncLookup[[#This Row],[Item]],Items!$A$1:$F$43,2,FALSE)=0,"",VLOOKUP(UncLookup[[#This Row],[Item]],Items!$A$1:$F$43,2,FALSE))</f>
        <v/>
      </c>
      <c r="P686" s="90" t="str">
        <f>IF(VLOOKUP(UncLookup[[#This Row],[Item]],Items!$A$1:$F$43,3,FALSE)=0,"",VLOOKUP(UncLookup[[#This Row],[Item]],Items!$A$1:$F$43,3,FALSE))</f>
        <v/>
      </c>
      <c r="Q686" s="90" t="str">
        <f>IF(VLOOKUP(UncLookup[[#This Row],[Item]],Items!$A$1:$F$43,4,FALSE)=0,"",VLOOKUP(UncLookup[[#This Row],[Item]],Items!$A$1:$F$43,4,FALSE))</f>
        <v/>
      </c>
    </row>
    <row r="687" spans="1:17" x14ac:dyDescent="0.25">
      <c r="A687" s="76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90" t="str">
        <f>IF(VLOOKUP(UncLookup[[#This Row],[Item]],Items!$A$1:$F$43,2,FALSE)=0,"",VLOOKUP(UncLookup[[#This Row],[Item]],Items!$A$1:$F$43,2,FALSE))</f>
        <v/>
      </c>
      <c r="P687" s="90" t="str">
        <f>IF(VLOOKUP(UncLookup[[#This Row],[Item]],Items!$A$1:$F$43,3,FALSE)=0,"",VLOOKUP(UncLookup[[#This Row],[Item]],Items!$A$1:$F$43,3,FALSE))</f>
        <v/>
      </c>
      <c r="Q687" s="90" t="str">
        <f>IF(VLOOKUP(UncLookup[[#This Row],[Item]],Items!$A$1:$F$43,4,FALSE)=0,"",VLOOKUP(UncLookup[[#This Row],[Item]],Items!$A$1:$F$43,4,FALSE))</f>
        <v/>
      </c>
    </row>
    <row r="688" spans="1:17" x14ac:dyDescent="0.25">
      <c r="A688" s="75" t="s">
        <v>56</v>
      </c>
      <c r="B688" s="75" t="s">
        <v>8</v>
      </c>
      <c r="C688" s="75">
        <v>10</v>
      </c>
      <c r="D688" s="75">
        <v>20</v>
      </c>
      <c r="E688" s="75">
        <v>1.0000000000000001E-5</v>
      </c>
      <c r="F688" s="75" t="s">
        <v>6</v>
      </c>
      <c r="G688" s="75" t="s">
        <v>4</v>
      </c>
      <c r="H688" s="75">
        <v>1</v>
      </c>
      <c r="I688" s="75">
        <v>20</v>
      </c>
      <c r="J688" s="75" t="s">
        <v>10</v>
      </c>
      <c r="K688" s="75">
        <v>2.4</v>
      </c>
      <c r="L688" s="75">
        <v>0.23</v>
      </c>
      <c r="M688" s="75">
        <v>2.298</v>
      </c>
      <c r="N688" s="75">
        <v>0.23305999999999999</v>
      </c>
      <c r="O688" s="90" t="str">
        <f>IF(VLOOKUP(UncLookup[[#This Row],[Item]],Items!$A$1:$F$43,2,FALSE)=0,"",VLOOKUP(UncLookup[[#This Row],[Item]],Items!$A$1:$F$43,2,FALSE))</f>
        <v/>
      </c>
      <c r="P688" s="90" t="str">
        <f>IF(VLOOKUP(UncLookup[[#This Row],[Item]],Items!$A$1:$F$43,3,FALSE)=0,"",VLOOKUP(UncLookup[[#This Row],[Item]],Items!$A$1:$F$43,3,FALSE))</f>
        <v/>
      </c>
      <c r="Q688" s="90" t="str">
        <f>IF(VLOOKUP(UncLookup[[#This Row],[Item]],Items!$A$1:$F$43,4,FALSE)=0,"",VLOOKUP(UncLookup[[#This Row],[Item]],Items!$A$1:$F$43,4,FALSE))</f>
        <v/>
      </c>
    </row>
    <row r="689" spans="1:17" x14ac:dyDescent="0.25">
      <c r="A689" s="76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90" t="str">
        <f>IF(VLOOKUP(UncLookup[[#This Row],[Item]],Items!$A$1:$F$43,2,FALSE)=0,"",VLOOKUP(UncLookup[[#This Row],[Item]],Items!$A$1:$F$43,2,FALSE))</f>
        <v/>
      </c>
      <c r="P689" s="90" t="str">
        <f>IF(VLOOKUP(UncLookup[[#This Row],[Item]],Items!$A$1:$F$43,3,FALSE)=0,"",VLOOKUP(UncLookup[[#This Row],[Item]],Items!$A$1:$F$43,3,FALSE))</f>
        <v/>
      </c>
      <c r="Q689" s="90" t="str">
        <f>IF(VLOOKUP(UncLookup[[#This Row],[Item]],Items!$A$1:$F$43,4,FALSE)=0,"",VLOOKUP(UncLookup[[#This Row],[Item]],Items!$A$1:$F$43,4,FALSE))</f>
        <v/>
      </c>
    </row>
    <row r="690" spans="1:17" x14ac:dyDescent="0.25">
      <c r="A690" s="75" t="s">
        <v>56</v>
      </c>
      <c r="B690" s="75" t="s">
        <v>8</v>
      </c>
      <c r="C690" s="75">
        <v>10</v>
      </c>
      <c r="D690" s="75">
        <v>20</v>
      </c>
      <c r="E690" s="75">
        <v>1.0000000000000001E-5</v>
      </c>
      <c r="F690" s="75" t="s">
        <v>6</v>
      </c>
      <c r="G690" s="75" t="s">
        <v>4</v>
      </c>
      <c r="H690" s="75">
        <v>100</v>
      </c>
      <c r="I690" s="75">
        <v>300</v>
      </c>
      <c r="J690" s="75" t="s">
        <v>10</v>
      </c>
      <c r="K690" s="75">
        <v>13</v>
      </c>
      <c r="L690" s="75">
        <v>4.5999999999999996</v>
      </c>
      <c r="M690" s="75">
        <v>11.573</v>
      </c>
      <c r="N690" s="75">
        <v>4.6268000000000002</v>
      </c>
      <c r="O690" s="90" t="str">
        <f>IF(VLOOKUP(UncLookup[[#This Row],[Item]],Items!$A$1:$F$43,2,FALSE)=0,"",VLOOKUP(UncLookup[[#This Row],[Item]],Items!$A$1:$F$43,2,FALSE))</f>
        <v/>
      </c>
      <c r="P690" s="90" t="str">
        <f>IF(VLOOKUP(UncLookup[[#This Row],[Item]],Items!$A$1:$F$43,3,FALSE)=0,"",VLOOKUP(UncLookup[[#This Row],[Item]],Items!$A$1:$F$43,3,FALSE))</f>
        <v/>
      </c>
      <c r="Q690" s="90" t="str">
        <f>IF(VLOOKUP(UncLookup[[#This Row],[Item]],Items!$A$1:$F$43,4,FALSE)=0,"",VLOOKUP(UncLookup[[#This Row],[Item]],Items!$A$1:$F$43,4,FALSE))</f>
        <v/>
      </c>
    </row>
    <row r="691" spans="1:17" x14ac:dyDescent="0.25">
      <c r="A691" s="76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90" t="str">
        <f>IF(VLOOKUP(UncLookup[[#This Row],[Item]],Items!$A$1:$F$43,2,FALSE)=0,"",VLOOKUP(UncLookup[[#This Row],[Item]],Items!$A$1:$F$43,2,FALSE))</f>
        <v/>
      </c>
      <c r="P691" s="90" t="str">
        <f>IF(VLOOKUP(UncLookup[[#This Row],[Item]],Items!$A$1:$F$43,3,FALSE)=0,"",VLOOKUP(UncLookup[[#This Row],[Item]],Items!$A$1:$F$43,3,FALSE))</f>
        <v/>
      </c>
      <c r="Q691" s="90" t="str">
        <f>IF(VLOOKUP(UncLookup[[#This Row],[Item]],Items!$A$1:$F$43,4,FALSE)=0,"",VLOOKUP(UncLookup[[#This Row],[Item]],Items!$A$1:$F$43,4,FALSE))</f>
        <v/>
      </c>
    </row>
    <row r="692" spans="1:17" x14ac:dyDescent="0.25">
      <c r="A692" s="75" t="s">
        <v>56</v>
      </c>
      <c r="B692" s="75" t="s">
        <v>8</v>
      </c>
      <c r="C692" s="75">
        <v>10</v>
      </c>
      <c r="D692" s="75">
        <v>20</v>
      </c>
      <c r="E692" s="75">
        <v>1.0000000000000001E-5</v>
      </c>
      <c r="F692" s="75" t="s">
        <v>6</v>
      </c>
      <c r="G692" s="75" t="s">
        <v>4</v>
      </c>
      <c r="H692" s="75">
        <v>1E-3</v>
      </c>
      <c r="I692" s="75">
        <v>0.04</v>
      </c>
      <c r="J692" s="75" t="s">
        <v>10</v>
      </c>
      <c r="K692" s="75">
        <v>4.7</v>
      </c>
      <c r="L692" s="75">
        <v>0.23</v>
      </c>
      <c r="M692" s="75">
        <v>4.6185999999999998</v>
      </c>
      <c r="N692" s="75">
        <v>0.23291000000000001</v>
      </c>
      <c r="O692" s="90" t="str">
        <f>IF(VLOOKUP(UncLookup[[#This Row],[Item]],Items!$A$1:$F$43,2,FALSE)=0,"",VLOOKUP(UncLookup[[#This Row],[Item]],Items!$A$1:$F$43,2,FALSE))</f>
        <v/>
      </c>
      <c r="P692" s="90" t="str">
        <f>IF(VLOOKUP(UncLookup[[#This Row],[Item]],Items!$A$1:$F$43,3,FALSE)=0,"",VLOOKUP(UncLookup[[#This Row],[Item]],Items!$A$1:$F$43,3,FALSE))</f>
        <v/>
      </c>
      <c r="Q692" s="90" t="str">
        <f>IF(VLOOKUP(UncLookup[[#This Row],[Item]],Items!$A$1:$F$43,4,FALSE)=0,"",VLOOKUP(UncLookup[[#This Row],[Item]],Items!$A$1:$F$43,4,FALSE))</f>
        <v/>
      </c>
    </row>
    <row r="693" spans="1:17" x14ac:dyDescent="0.25">
      <c r="A693" s="76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90" t="str">
        <f>IF(VLOOKUP(UncLookup[[#This Row],[Item]],Items!$A$1:$F$43,2,FALSE)=0,"",VLOOKUP(UncLookup[[#This Row],[Item]],Items!$A$1:$F$43,2,FALSE))</f>
        <v/>
      </c>
      <c r="P693" s="90" t="str">
        <f>IF(VLOOKUP(UncLookup[[#This Row],[Item]],Items!$A$1:$F$43,3,FALSE)=0,"",VLOOKUP(UncLookup[[#This Row],[Item]],Items!$A$1:$F$43,3,FALSE))</f>
        <v/>
      </c>
      <c r="Q693" s="90" t="str">
        <f>IF(VLOOKUP(UncLookup[[#This Row],[Item]],Items!$A$1:$F$43,4,FALSE)=0,"",VLOOKUP(UncLookup[[#This Row],[Item]],Items!$A$1:$F$43,4,FALSE))</f>
        <v/>
      </c>
    </row>
    <row r="694" spans="1:17" x14ac:dyDescent="0.25">
      <c r="A694" s="75" t="s">
        <v>56</v>
      </c>
      <c r="B694" s="75" t="s">
        <v>8</v>
      </c>
      <c r="C694" s="75">
        <v>10</v>
      </c>
      <c r="D694" s="75">
        <v>20</v>
      </c>
      <c r="E694" s="75">
        <v>1.0000000000000001E-5</v>
      </c>
      <c r="F694" s="75" t="s">
        <v>6</v>
      </c>
      <c r="G694" s="75" t="s">
        <v>4</v>
      </c>
      <c r="H694" s="75">
        <v>50</v>
      </c>
      <c r="I694" s="75">
        <v>100</v>
      </c>
      <c r="J694" s="75" t="s">
        <v>10</v>
      </c>
      <c r="K694" s="75">
        <v>2.4</v>
      </c>
      <c r="L694" s="75">
        <v>1.4</v>
      </c>
      <c r="M694" s="75">
        <v>2.3767</v>
      </c>
      <c r="N694" s="75">
        <v>1.3889</v>
      </c>
      <c r="O694" s="90" t="str">
        <f>IF(VLOOKUP(UncLookup[[#This Row],[Item]],Items!$A$1:$F$43,2,FALSE)=0,"",VLOOKUP(UncLookup[[#This Row],[Item]],Items!$A$1:$F$43,2,FALSE))</f>
        <v/>
      </c>
      <c r="P694" s="90" t="str">
        <f>IF(VLOOKUP(UncLookup[[#This Row],[Item]],Items!$A$1:$F$43,3,FALSE)=0,"",VLOOKUP(UncLookup[[#This Row],[Item]],Items!$A$1:$F$43,3,FALSE))</f>
        <v/>
      </c>
      <c r="Q694" s="90" t="str">
        <f>IF(VLOOKUP(UncLookup[[#This Row],[Item]],Items!$A$1:$F$43,4,FALSE)=0,"",VLOOKUP(UncLookup[[#This Row],[Item]],Items!$A$1:$F$43,4,FALSE))</f>
        <v/>
      </c>
    </row>
    <row r="695" spans="1:17" x14ac:dyDescent="0.25">
      <c r="A695" s="76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90" t="str">
        <f>IF(VLOOKUP(UncLookup[[#This Row],[Item]],Items!$A$1:$F$43,2,FALSE)=0,"",VLOOKUP(UncLookup[[#This Row],[Item]],Items!$A$1:$F$43,2,FALSE))</f>
        <v/>
      </c>
      <c r="P695" s="90" t="str">
        <f>IF(VLOOKUP(UncLookup[[#This Row],[Item]],Items!$A$1:$F$43,3,FALSE)=0,"",VLOOKUP(UncLookup[[#This Row],[Item]],Items!$A$1:$F$43,3,FALSE))</f>
        <v/>
      </c>
      <c r="Q695" s="90" t="str">
        <f>IF(VLOOKUP(UncLookup[[#This Row],[Item]],Items!$A$1:$F$43,4,FALSE)=0,"",VLOOKUP(UncLookup[[#This Row],[Item]],Items!$A$1:$F$43,4,FALSE))</f>
        <v/>
      </c>
    </row>
    <row r="696" spans="1:17" x14ac:dyDescent="0.25">
      <c r="A696" s="75" t="s">
        <v>56</v>
      </c>
      <c r="B696" s="75" t="s">
        <v>8</v>
      </c>
      <c r="C696" s="75">
        <v>10</v>
      </c>
      <c r="D696" s="75">
        <v>20</v>
      </c>
      <c r="E696" s="75">
        <v>1E-4</v>
      </c>
      <c r="F696" s="75" t="s">
        <v>6</v>
      </c>
      <c r="G696" s="75" t="s">
        <v>4</v>
      </c>
      <c r="H696" s="75">
        <v>100</v>
      </c>
      <c r="I696" s="75">
        <v>300</v>
      </c>
      <c r="J696" s="75" t="s">
        <v>10</v>
      </c>
      <c r="K696" s="75">
        <v>13</v>
      </c>
      <c r="L696" s="75">
        <v>4.6109</v>
      </c>
      <c r="M696" s="75">
        <v>11.574</v>
      </c>
      <c r="N696" s="75">
        <v>4.6268000000000002</v>
      </c>
      <c r="O696" s="90" t="str">
        <f>IF(VLOOKUP(UncLookup[[#This Row],[Item]],Items!$A$1:$F$43,2,FALSE)=0,"",VLOOKUP(UncLookup[[#This Row],[Item]],Items!$A$1:$F$43,2,FALSE))</f>
        <v/>
      </c>
      <c r="P696" s="90" t="str">
        <f>IF(VLOOKUP(UncLookup[[#This Row],[Item]],Items!$A$1:$F$43,3,FALSE)=0,"",VLOOKUP(UncLookup[[#This Row],[Item]],Items!$A$1:$F$43,3,FALSE))</f>
        <v/>
      </c>
      <c r="Q696" s="90" t="str">
        <f>IF(VLOOKUP(UncLookup[[#This Row],[Item]],Items!$A$1:$F$43,4,FALSE)=0,"",VLOOKUP(UncLookup[[#This Row],[Item]],Items!$A$1:$F$43,4,FALSE))</f>
        <v/>
      </c>
    </row>
    <row r="697" spans="1:17" x14ac:dyDescent="0.25">
      <c r="A697" s="76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90" t="str">
        <f>IF(VLOOKUP(UncLookup[[#This Row],[Item]],Items!$A$1:$F$43,2,FALSE)=0,"",VLOOKUP(UncLookup[[#This Row],[Item]],Items!$A$1:$F$43,2,FALSE))</f>
        <v/>
      </c>
      <c r="P697" s="90" t="str">
        <f>IF(VLOOKUP(UncLookup[[#This Row],[Item]],Items!$A$1:$F$43,3,FALSE)=0,"",VLOOKUP(UncLookup[[#This Row],[Item]],Items!$A$1:$F$43,3,FALSE))</f>
        <v/>
      </c>
      <c r="Q697" s="90" t="str">
        <f>IF(VLOOKUP(UncLookup[[#This Row],[Item]],Items!$A$1:$F$43,4,FALSE)=0,"",VLOOKUP(UncLookup[[#This Row],[Item]],Items!$A$1:$F$43,4,FALSE))</f>
        <v/>
      </c>
    </row>
    <row r="698" spans="1:17" x14ac:dyDescent="0.25">
      <c r="A698" s="75" t="s">
        <v>56</v>
      </c>
      <c r="B698" s="75" t="s">
        <v>8</v>
      </c>
      <c r="C698" s="75">
        <v>10</v>
      </c>
      <c r="D698" s="75">
        <v>20</v>
      </c>
      <c r="E698" s="75">
        <v>1E-4</v>
      </c>
      <c r="F698" s="75" t="s">
        <v>6</v>
      </c>
      <c r="G698" s="75" t="s">
        <v>4</v>
      </c>
      <c r="H698" s="75">
        <v>20</v>
      </c>
      <c r="I698" s="75">
        <v>50</v>
      </c>
      <c r="J698" s="75" t="s">
        <v>10</v>
      </c>
      <c r="K698" s="75">
        <v>2.4</v>
      </c>
      <c r="L698" s="75">
        <v>0.41</v>
      </c>
      <c r="M698" s="75">
        <v>2.266</v>
      </c>
      <c r="N698" s="75">
        <v>0.40922999999999998</v>
      </c>
      <c r="O698" s="90" t="str">
        <f>IF(VLOOKUP(UncLookup[[#This Row],[Item]],Items!$A$1:$F$43,2,FALSE)=0,"",VLOOKUP(UncLookup[[#This Row],[Item]],Items!$A$1:$F$43,2,FALSE))</f>
        <v/>
      </c>
      <c r="P698" s="90" t="str">
        <f>IF(VLOOKUP(UncLookup[[#This Row],[Item]],Items!$A$1:$F$43,3,FALSE)=0,"",VLOOKUP(UncLookup[[#This Row],[Item]],Items!$A$1:$F$43,3,FALSE))</f>
        <v/>
      </c>
      <c r="Q698" s="90" t="str">
        <f>IF(VLOOKUP(UncLookup[[#This Row],[Item]],Items!$A$1:$F$43,4,FALSE)=0,"",VLOOKUP(UncLookup[[#This Row],[Item]],Items!$A$1:$F$43,4,FALSE))</f>
        <v/>
      </c>
    </row>
    <row r="699" spans="1:17" x14ac:dyDescent="0.25">
      <c r="A699" s="76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90" t="str">
        <f>IF(VLOOKUP(UncLookup[[#This Row],[Item]],Items!$A$1:$F$43,2,FALSE)=0,"",VLOOKUP(UncLookup[[#This Row],[Item]],Items!$A$1:$F$43,2,FALSE))</f>
        <v/>
      </c>
      <c r="P699" s="90" t="str">
        <f>IF(VLOOKUP(UncLookup[[#This Row],[Item]],Items!$A$1:$F$43,3,FALSE)=0,"",VLOOKUP(UncLookup[[#This Row],[Item]],Items!$A$1:$F$43,3,FALSE))</f>
        <v/>
      </c>
      <c r="Q699" s="90" t="str">
        <f>IF(VLOOKUP(UncLookup[[#This Row],[Item]],Items!$A$1:$F$43,4,FALSE)=0,"",VLOOKUP(UncLookup[[#This Row],[Item]],Items!$A$1:$F$43,4,FALSE))</f>
        <v/>
      </c>
    </row>
    <row r="700" spans="1:17" x14ac:dyDescent="0.25">
      <c r="A700" s="75" t="s">
        <v>56</v>
      </c>
      <c r="B700" s="75" t="s">
        <v>8</v>
      </c>
      <c r="C700" s="75">
        <v>10</v>
      </c>
      <c r="D700" s="75">
        <v>20</v>
      </c>
      <c r="E700" s="75">
        <v>1E-4</v>
      </c>
      <c r="F700" s="75" t="s">
        <v>6</v>
      </c>
      <c r="G700" s="75" t="s">
        <v>4</v>
      </c>
      <c r="H700" s="75">
        <v>50</v>
      </c>
      <c r="I700" s="75">
        <v>100</v>
      </c>
      <c r="J700" s="75" t="s">
        <v>10</v>
      </c>
      <c r="K700" s="75">
        <v>2.4</v>
      </c>
      <c r="L700" s="75">
        <v>1.4</v>
      </c>
      <c r="M700" s="75">
        <v>2.3769</v>
      </c>
      <c r="N700" s="75">
        <v>1.3889</v>
      </c>
      <c r="O700" s="90" t="str">
        <f>IF(VLOOKUP(UncLookup[[#This Row],[Item]],Items!$A$1:$F$43,2,FALSE)=0,"",VLOOKUP(UncLookup[[#This Row],[Item]],Items!$A$1:$F$43,2,FALSE))</f>
        <v/>
      </c>
      <c r="P700" s="90" t="str">
        <f>IF(VLOOKUP(UncLookup[[#This Row],[Item]],Items!$A$1:$F$43,3,FALSE)=0,"",VLOOKUP(UncLookup[[#This Row],[Item]],Items!$A$1:$F$43,3,FALSE))</f>
        <v/>
      </c>
      <c r="Q700" s="90" t="str">
        <f>IF(VLOOKUP(UncLookup[[#This Row],[Item]],Items!$A$1:$F$43,4,FALSE)=0,"",VLOOKUP(UncLookup[[#This Row],[Item]],Items!$A$1:$F$43,4,FALSE))</f>
        <v/>
      </c>
    </row>
    <row r="701" spans="1:17" x14ac:dyDescent="0.25">
      <c r="A701" s="76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90" t="str">
        <f>IF(VLOOKUP(UncLookup[[#This Row],[Item]],Items!$A$1:$F$43,2,FALSE)=0,"",VLOOKUP(UncLookup[[#This Row],[Item]],Items!$A$1:$F$43,2,FALSE))</f>
        <v/>
      </c>
      <c r="P701" s="90" t="str">
        <f>IF(VLOOKUP(UncLookup[[#This Row],[Item]],Items!$A$1:$F$43,3,FALSE)=0,"",VLOOKUP(UncLookup[[#This Row],[Item]],Items!$A$1:$F$43,3,FALSE))</f>
        <v/>
      </c>
      <c r="Q701" s="90" t="str">
        <f>IF(VLOOKUP(UncLookup[[#This Row],[Item]],Items!$A$1:$F$43,4,FALSE)=0,"",VLOOKUP(UncLookup[[#This Row],[Item]],Items!$A$1:$F$43,4,FALSE))</f>
        <v/>
      </c>
    </row>
    <row r="702" spans="1:17" x14ac:dyDescent="0.25">
      <c r="A702" s="75" t="s">
        <v>56</v>
      </c>
      <c r="B702" s="75" t="s">
        <v>8</v>
      </c>
      <c r="C702" s="75">
        <v>10</v>
      </c>
      <c r="D702" s="75">
        <v>20</v>
      </c>
      <c r="E702" s="75">
        <v>1E-4</v>
      </c>
      <c r="F702" s="75" t="s">
        <v>6</v>
      </c>
      <c r="G702" s="75" t="s">
        <v>4</v>
      </c>
      <c r="H702" s="75">
        <v>300</v>
      </c>
      <c r="I702" s="75">
        <v>1000</v>
      </c>
      <c r="J702" s="75" t="s">
        <v>10</v>
      </c>
      <c r="K702" s="75">
        <v>19</v>
      </c>
      <c r="L702" s="75">
        <v>17.087</v>
      </c>
      <c r="M702" s="75">
        <v>12.388999999999999</v>
      </c>
      <c r="N702" s="75">
        <v>17.324000000000002</v>
      </c>
      <c r="O702" s="90" t="str">
        <f>IF(VLOOKUP(UncLookup[[#This Row],[Item]],Items!$A$1:$F$43,2,FALSE)=0,"",VLOOKUP(UncLookup[[#This Row],[Item]],Items!$A$1:$F$43,2,FALSE))</f>
        <v/>
      </c>
      <c r="P702" s="90" t="str">
        <f>IF(VLOOKUP(UncLookup[[#This Row],[Item]],Items!$A$1:$F$43,3,FALSE)=0,"",VLOOKUP(UncLookup[[#This Row],[Item]],Items!$A$1:$F$43,3,FALSE))</f>
        <v/>
      </c>
      <c r="Q702" s="90" t="str">
        <f>IF(VLOOKUP(UncLookup[[#This Row],[Item]],Items!$A$1:$F$43,4,FALSE)=0,"",VLOOKUP(UncLookup[[#This Row],[Item]],Items!$A$1:$F$43,4,FALSE))</f>
        <v/>
      </c>
    </row>
    <row r="703" spans="1:17" x14ac:dyDescent="0.25">
      <c r="A703" s="76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90" t="str">
        <f>IF(VLOOKUP(UncLookup[[#This Row],[Item]],Items!$A$1:$F$43,2,FALSE)=0,"",VLOOKUP(UncLookup[[#This Row],[Item]],Items!$A$1:$F$43,2,FALSE))</f>
        <v/>
      </c>
      <c r="P703" s="90" t="str">
        <f>IF(VLOOKUP(UncLookup[[#This Row],[Item]],Items!$A$1:$F$43,3,FALSE)=0,"",VLOOKUP(UncLookup[[#This Row],[Item]],Items!$A$1:$F$43,3,FALSE))</f>
        <v/>
      </c>
      <c r="Q703" s="90" t="str">
        <f>IF(VLOOKUP(UncLookup[[#This Row],[Item]],Items!$A$1:$F$43,4,FALSE)=0,"",VLOOKUP(UncLookup[[#This Row],[Item]],Items!$A$1:$F$43,4,FALSE))</f>
        <v/>
      </c>
    </row>
    <row r="704" spans="1:17" x14ac:dyDescent="0.25">
      <c r="A704" s="75" t="s">
        <v>56</v>
      </c>
      <c r="B704" s="75" t="s">
        <v>8</v>
      </c>
      <c r="C704" s="75">
        <v>10</v>
      </c>
      <c r="D704" s="75">
        <v>100</v>
      </c>
      <c r="E704" s="75">
        <v>1E-4</v>
      </c>
      <c r="F704" s="75" t="s">
        <v>6</v>
      </c>
      <c r="G704" s="75" t="s">
        <v>4</v>
      </c>
      <c r="H704" s="75">
        <v>300</v>
      </c>
      <c r="I704" s="75">
        <v>1000</v>
      </c>
      <c r="J704" s="75" t="s">
        <v>10</v>
      </c>
      <c r="K704" s="75">
        <v>46</v>
      </c>
      <c r="L704" s="75">
        <v>17.018999999999998</v>
      </c>
      <c r="M704" s="75">
        <v>12.318</v>
      </c>
      <c r="N704" s="75">
        <v>17.334</v>
      </c>
      <c r="O704" s="90" t="str">
        <f>IF(VLOOKUP(UncLookup[[#This Row],[Item]],Items!$A$1:$F$43,2,FALSE)=0,"",VLOOKUP(UncLookup[[#This Row],[Item]],Items!$A$1:$F$43,2,FALSE))</f>
        <v/>
      </c>
      <c r="P704" s="90" t="str">
        <f>IF(VLOOKUP(UncLookup[[#This Row],[Item]],Items!$A$1:$F$43,3,FALSE)=0,"",VLOOKUP(UncLookup[[#This Row],[Item]],Items!$A$1:$F$43,3,FALSE))</f>
        <v/>
      </c>
      <c r="Q704" s="90" t="str">
        <f>IF(VLOOKUP(UncLookup[[#This Row],[Item]],Items!$A$1:$F$43,4,FALSE)=0,"",VLOOKUP(UncLookup[[#This Row],[Item]],Items!$A$1:$F$43,4,FALSE))</f>
        <v/>
      </c>
    </row>
    <row r="705" spans="1:17" x14ac:dyDescent="0.25">
      <c r="A705" s="76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90" t="str">
        <f>IF(VLOOKUP(UncLookup[[#This Row],[Item]],Items!$A$1:$F$43,2,FALSE)=0,"",VLOOKUP(UncLookup[[#This Row],[Item]],Items!$A$1:$F$43,2,FALSE))</f>
        <v/>
      </c>
      <c r="P705" s="90" t="str">
        <f>IF(VLOOKUP(UncLookup[[#This Row],[Item]],Items!$A$1:$F$43,3,FALSE)=0,"",VLOOKUP(UncLookup[[#This Row],[Item]],Items!$A$1:$F$43,3,FALSE))</f>
        <v/>
      </c>
      <c r="Q705" s="90" t="str">
        <f>IF(VLOOKUP(UncLookup[[#This Row],[Item]],Items!$A$1:$F$43,4,FALSE)=0,"",VLOOKUP(UncLookup[[#This Row],[Item]],Items!$A$1:$F$43,4,FALSE))</f>
        <v/>
      </c>
    </row>
    <row r="706" spans="1:17" x14ac:dyDescent="0.25">
      <c r="A706" s="75" t="s">
        <v>56</v>
      </c>
      <c r="B706" s="75" t="s">
        <v>8</v>
      </c>
      <c r="C706" s="75">
        <v>10</v>
      </c>
      <c r="D706" s="75">
        <v>20</v>
      </c>
      <c r="E706" s="75">
        <v>1E-3</v>
      </c>
      <c r="F706" s="75" t="s">
        <v>6</v>
      </c>
      <c r="G706" s="75" t="s">
        <v>4</v>
      </c>
      <c r="H706" s="75">
        <v>300</v>
      </c>
      <c r="I706" s="75">
        <v>1000</v>
      </c>
      <c r="J706" s="75" t="s">
        <v>10</v>
      </c>
      <c r="K706" s="75">
        <v>19</v>
      </c>
      <c r="L706" s="75">
        <v>17.087</v>
      </c>
      <c r="M706" s="75">
        <v>12.388999999999999</v>
      </c>
      <c r="N706" s="75">
        <v>17.324000000000002</v>
      </c>
      <c r="O706" s="90" t="str">
        <f>IF(VLOOKUP(UncLookup[[#This Row],[Item]],Items!$A$1:$F$43,2,FALSE)=0,"",VLOOKUP(UncLookup[[#This Row],[Item]],Items!$A$1:$F$43,2,FALSE))</f>
        <v/>
      </c>
      <c r="P706" s="90" t="str">
        <f>IF(VLOOKUP(UncLookup[[#This Row],[Item]],Items!$A$1:$F$43,3,FALSE)=0,"",VLOOKUP(UncLookup[[#This Row],[Item]],Items!$A$1:$F$43,3,FALSE))</f>
        <v/>
      </c>
      <c r="Q706" s="90" t="str">
        <f>IF(VLOOKUP(UncLookup[[#This Row],[Item]],Items!$A$1:$F$43,4,FALSE)=0,"",VLOOKUP(UncLookup[[#This Row],[Item]],Items!$A$1:$F$43,4,FALSE))</f>
        <v/>
      </c>
    </row>
    <row r="707" spans="1:17" x14ac:dyDescent="0.25">
      <c r="A707" s="76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90" t="str">
        <f>IF(VLOOKUP(UncLookup[[#This Row],[Item]],Items!$A$1:$F$43,2,FALSE)=0,"",VLOOKUP(UncLookup[[#This Row],[Item]],Items!$A$1:$F$43,2,FALSE))</f>
        <v/>
      </c>
      <c r="P707" s="90" t="str">
        <f>IF(VLOOKUP(UncLookup[[#This Row],[Item]],Items!$A$1:$F$43,3,FALSE)=0,"",VLOOKUP(UncLookup[[#This Row],[Item]],Items!$A$1:$F$43,3,FALSE))</f>
        <v/>
      </c>
      <c r="Q707" s="90" t="str">
        <f>IF(VLOOKUP(UncLookup[[#This Row],[Item]],Items!$A$1:$F$43,4,FALSE)=0,"",VLOOKUP(UncLookup[[#This Row],[Item]],Items!$A$1:$F$43,4,FALSE))</f>
        <v/>
      </c>
    </row>
    <row r="708" spans="1:17" x14ac:dyDescent="0.25">
      <c r="A708" s="75" t="s">
        <v>56</v>
      </c>
      <c r="B708" s="75" t="s">
        <v>8</v>
      </c>
      <c r="C708" s="75">
        <v>10</v>
      </c>
      <c r="D708" s="75">
        <v>20</v>
      </c>
      <c r="E708" s="75">
        <v>1E-3</v>
      </c>
      <c r="F708" s="75" t="s">
        <v>6</v>
      </c>
      <c r="G708" s="75" t="s">
        <v>4</v>
      </c>
      <c r="H708" s="75">
        <v>20</v>
      </c>
      <c r="I708" s="75">
        <v>50</v>
      </c>
      <c r="J708" s="75" t="s">
        <v>10</v>
      </c>
      <c r="K708" s="75">
        <v>2.4</v>
      </c>
      <c r="L708" s="75">
        <v>0.41</v>
      </c>
      <c r="M708" s="75">
        <v>2.302</v>
      </c>
      <c r="N708" s="75">
        <v>0.40822000000000003</v>
      </c>
      <c r="O708" s="90" t="str">
        <f>IF(VLOOKUP(UncLookup[[#This Row],[Item]],Items!$A$1:$F$43,2,FALSE)=0,"",VLOOKUP(UncLookup[[#This Row],[Item]],Items!$A$1:$F$43,2,FALSE))</f>
        <v/>
      </c>
      <c r="P708" s="90" t="str">
        <f>IF(VLOOKUP(UncLookup[[#This Row],[Item]],Items!$A$1:$F$43,3,FALSE)=0,"",VLOOKUP(UncLookup[[#This Row],[Item]],Items!$A$1:$F$43,3,FALSE))</f>
        <v/>
      </c>
      <c r="Q708" s="90" t="str">
        <f>IF(VLOOKUP(UncLookup[[#This Row],[Item]],Items!$A$1:$F$43,4,FALSE)=0,"",VLOOKUP(UncLookup[[#This Row],[Item]],Items!$A$1:$F$43,4,FALSE))</f>
        <v/>
      </c>
    </row>
    <row r="709" spans="1:17" x14ac:dyDescent="0.25">
      <c r="A709" s="76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90" t="str">
        <f>IF(VLOOKUP(UncLookup[[#This Row],[Item]],Items!$A$1:$F$43,2,FALSE)=0,"",VLOOKUP(UncLookup[[#This Row],[Item]],Items!$A$1:$F$43,2,FALSE))</f>
        <v/>
      </c>
      <c r="P709" s="90" t="str">
        <f>IF(VLOOKUP(UncLookup[[#This Row],[Item]],Items!$A$1:$F$43,3,FALSE)=0,"",VLOOKUP(UncLookup[[#This Row],[Item]],Items!$A$1:$F$43,3,FALSE))</f>
        <v/>
      </c>
      <c r="Q709" s="90" t="str">
        <f>IF(VLOOKUP(UncLookup[[#This Row],[Item]],Items!$A$1:$F$43,4,FALSE)=0,"",VLOOKUP(UncLookup[[#This Row],[Item]],Items!$A$1:$F$43,4,FALSE))</f>
        <v/>
      </c>
    </row>
    <row r="710" spans="1:17" x14ac:dyDescent="0.25">
      <c r="A710" s="75" t="s">
        <v>56</v>
      </c>
      <c r="B710" s="75" t="s">
        <v>8</v>
      </c>
      <c r="C710" s="75">
        <v>10</v>
      </c>
      <c r="D710" s="75">
        <v>20</v>
      </c>
      <c r="E710" s="75">
        <v>1E-3</v>
      </c>
      <c r="F710" s="75" t="s">
        <v>6</v>
      </c>
      <c r="G710" s="75" t="s">
        <v>4</v>
      </c>
      <c r="H710" s="75">
        <v>0.04</v>
      </c>
      <c r="I710" s="75">
        <v>1</v>
      </c>
      <c r="J710" s="75" t="s">
        <v>10</v>
      </c>
      <c r="K710" s="75">
        <v>2.4</v>
      </c>
      <c r="L710" s="75">
        <v>0.23</v>
      </c>
      <c r="M710" s="75">
        <v>2.3458000000000001</v>
      </c>
      <c r="N710" s="75">
        <v>0.23186999999999999</v>
      </c>
      <c r="O710" s="90" t="str">
        <f>IF(VLOOKUP(UncLookup[[#This Row],[Item]],Items!$A$1:$F$43,2,FALSE)=0,"",VLOOKUP(UncLookup[[#This Row],[Item]],Items!$A$1:$F$43,2,FALSE))</f>
        <v/>
      </c>
      <c r="P710" s="90" t="str">
        <f>IF(VLOOKUP(UncLookup[[#This Row],[Item]],Items!$A$1:$F$43,3,FALSE)=0,"",VLOOKUP(UncLookup[[#This Row],[Item]],Items!$A$1:$F$43,3,FALSE))</f>
        <v/>
      </c>
      <c r="Q710" s="90" t="str">
        <f>IF(VLOOKUP(UncLookup[[#This Row],[Item]],Items!$A$1:$F$43,4,FALSE)=0,"",VLOOKUP(UncLookup[[#This Row],[Item]],Items!$A$1:$F$43,4,FALSE))</f>
        <v/>
      </c>
    </row>
    <row r="711" spans="1:17" x14ac:dyDescent="0.25">
      <c r="A711" s="76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90" t="str">
        <f>IF(VLOOKUP(UncLookup[[#This Row],[Item]],Items!$A$1:$F$43,2,FALSE)=0,"",VLOOKUP(UncLookup[[#This Row],[Item]],Items!$A$1:$F$43,2,FALSE))</f>
        <v/>
      </c>
      <c r="P711" s="90" t="str">
        <f>IF(VLOOKUP(UncLookup[[#This Row],[Item]],Items!$A$1:$F$43,3,FALSE)=0,"",VLOOKUP(UncLookup[[#This Row],[Item]],Items!$A$1:$F$43,3,FALSE))</f>
        <v/>
      </c>
      <c r="Q711" s="90" t="str">
        <f>IF(VLOOKUP(UncLookup[[#This Row],[Item]],Items!$A$1:$F$43,4,FALSE)=0,"",VLOOKUP(UncLookup[[#This Row],[Item]],Items!$A$1:$F$43,4,FALSE))</f>
        <v/>
      </c>
    </row>
    <row r="712" spans="1:17" x14ac:dyDescent="0.25">
      <c r="A712" s="75" t="s">
        <v>56</v>
      </c>
      <c r="B712" s="75" t="s">
        <v>8</v>
      </c>
      <c r="C712" s="75">
        <v>10</v>
      </c>
      <c r="D712" s="75">
        <v>20</v>
      </c>
      <c r="E712" s="75">
        <v>1E-3</v>
      </c>
      <c r="F712" s="75" t="s">
        <v>6</v>
      </c>
      <c r="G712" s="75" t="s">
        <v>4</v>
      </c>
      <c r="H712" s="75">
        <v>50</v>
      </c>
      <c r="I712" s="75">
        <v>100</v>
      </c>
      <c r="J712" s="75" t="s">
        <v>10</v>
      </c>
      <c r="K712" s="75">
        <v>2.4</v>
      </c>
      <c r="L712" s="75">
        <v>1.4</v>
      </c>
      <c r="M712" s="75">
        <v>2.3921999999999999</v>
      </c>
      <c r="N712" s="75">
        <v>1.3884000000000001</v>
      </c>
      <c r="O712" s="90" t="str">
        <f>IF(VLOOKUP(UncLookup[[#This Row],[Item]],Items!$A$1:$F$43,2,FALSE)=0,"",VLOOKUP(UncLookup[[#This Row],[Item]],Items!$A$1:$F$43,2,FALSE))</f>
        <v/>
      </c>
      <c r="P712" s="90" t="str">
        <f>IF(VLOOKUP(UncLookup[[#This Row],[Item]],Items!$A$1:$F$43,3,FALSE)=0,"",VLOOKUP(UncLookup[[#This Row],[Item]],Items!$A$1:$F$43,3,FALSE))</f>
        <v/>
      </c>
      <c r="Q712" s="90" t="str">
        <f>IF(VLOOKUP(UncLookup[[#This Row],[Item]],Items!$A$1:$F$43,4,FALSE)=0,"",VLOOKUP(UncLookup[[#This Row],[Item]],Items!$A$1:$F$43,4,FALSE))</f>
        <v/>
      </c>
    </row>
    <row r="713" spans="1:17" x14ac:dyDescent="0.25">
      <c r="A713" s="76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90" t="str">
        <f>IF(VLOOKUP(UncLookup[[#This Row],[Item]],Items!$A$1:$F$43,2,FALSE)=0,"",VLOOKUP(UncLookup[[#This Row],[Item]],Items!$A$1:$F$43,2,FALSE))</f>
        <v/>
      </c>
      <c r="P713" s="90" t="str">
        <f>IF(VLOOKUP(UncLookup[[#This Row],[Item]],Items!$A$1:$F$43,3,FALSE)=0,"",VLOOKUP(UncLookup[[#This Row],[Item]],Items!$A$1:$F$43,3,FALSE))</f>
        <v/>
      </c>
      <c r="Q713" s="90" t="str">
        <f>IF(VLOOKUP(UncLookup[[#This Row],[Item]],Items!$A$1:$F$43,4,FALSE)=0,"",VLOOKUP(UncLookup[[#This Row],[Item]],Items!$A$1:$F$43,4,FALSE))</f>
        <v/>
      </c>
    </row>
    <row r="714" spans="1:17" x14ac:dyDescent="0.25">
      <c r="A714" s="75" t="s">
        <v>56</v>
      </c>
      <c r="B714" s="75" t="s">
        <v>8</v>
      </c>
      <c r="C714" s="75">
        <v>10</v>
      </c>
      <c r="D714" s="75">
        <v>100</v>
      </c>
      <c r="E714" s="75">
        <v>0.01</v>
      </c>
      <c r="F714" s="75" t="s">
        <v>6</v>
      </c>
      <c r="G714" s="75" t="s">
        <v>4</v>
      </c>
      <c r="H714" s="75">
        <v>100</v>
      </c>
      <c r="I714" s="75">
        <v>300</v>
      </c>
      <c r="J714" s="75" t="s">
        <v>10</v>
      </c>
      <c r="K714" s="75">
        <v>15</v>
      </c>
      <c r="L714" s="75">
        <v>4.6032999999999999</v>
      </c>
      <c r="M714" s="75">
        <v>11.89</v>
      </c>
      <c r="N714" s="75">
        <v>4.6239999999999997</v>
      </c>
      <c r="O714" s="90" t="str">
        <f>IF(VLOOKUP(UncLookup[[#This Row],[Item]],Items!$A$1:$F$43,2,FALSE)=0,"",VLOOKUP(UncLookup[[#This Row],[Item]],Items!$A$1:$F$43,2,FALSE))</f>
        <v/>
      </c>
      <c r="P714" s="90" t="str">
        <f>IF(VLOOKUP(UncLookup[[#This Row],[Item]],Items!$A$1:$F$43,3,FALSE)=0,"",VLOOKUP(UncLookup[[#This Row],[Item]],Items!$A$1:$F$43,3,FALSE))</f>
        <v/>
      </c>
      <c r="Q714" s="90" t="str">
        <f>IF(VLOOKUP(UncLookup[[#This Row],[Item]],Items!$A$1:$F$43,4,FALSE)=0,"",VLOOKUP(UncLookup[[#This Row],[Item]],Items!$A$1:$F$43,4,FALSE))</f>
        <v/>
      </c>
    </row>
    <row r="715" spans="1:17" x14ac:dyDescent="0.25">
      <c r="A715" s="76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90" t="str">
        <f>IF(VLOOKUP(UncLookup[[#This Row],[Item]],Items!$A$1:$F$43,2,FALSE)=0,"",VLOOKUP(UncLookup[[#This Row],[Item]],Items!$A$1:$F$43,2,FALSE))</f>
        <v/>
      </c>
      <c r="P715" s="90" t="str">
        <f>IF(VLOOKUP(UncLookup[[#This Row],[Item]],Items!$A$1:$F$43,3,FALSE)=0,"",VLOOKUP(UncLookup[[#This Row],[Item]],Items!$A$1:$F$43,3,FALSE))</f>
        <v/>
      </c>
      <c r="Q715" s="90" t="str">
        <f>IF(VLOOKUP(UncLookup[[#This Row],[Item]],Items!$A$1:$F$43,4,FALSE)=0,"",VLOOKUP(UncLookup[[#This Row],[Item]],Items!$A$1:$F$43,4,FALSE))</f>
        <v/>
      </c>
    </row>
    <row r="716" spans="1:17" x14ac:dyDescent="0.25">
      <c r="A716" s="75" t="s">
        <v>56</v>
      </c>
      <c r="B716" s="75" t="s">
        <v>8</v>
      </c>
      <c r="C716" s="75">
        <v>10</v>
      </c>
      <c r="D716" s="75">
        <v>20</v>
      </c>
      <c r="E716" s="75">
        <v>0.01</v>
      </c>
      <c r="F716" s="75" t="s">
        <v>6</v>
      </c>
      <c r="G716" s="75" t="s">
        <v>4</v>
      </c>
      <c r="H716" s="75">
        <v>50</v>
      </c>
      <c r="I716" s="75">
        <v>100</v>
      </c>
      <c r="J716" s="75" t="s">
        <v>10</v>
      </c>
      <c r="K716" s="75">
        <v>3.8216999999999999</v>
      </c>
      <c r="L716" s="75">
        <v>1.3443000000000001</v>
      </c>
      <c r="M716" s="75">
        <v>3.8184</v>
      </c>
      <c r="N716" s="75">
        <v>1.3442000000000001</v>
      </c>
      <c r="O716" s="90" t="str">
        <f>IF(VLOOKUP(UncLookup[[#This Row],[Item]],Items!$A$1:$F$43,2,FALSE)=0,"",VLOOKUP(UncLookup[[#This Row],[Item]],Items!$A$1:$F$43,2,FALSE))</f>
        <v/>
      </c>
      <c r="P716" s="90" t="str">
        <f>IF(VLOOKUP(UncLookup[[#This Row],[Item]],Items!$A$1:$F$43,3,FALSE)=0,"",VLOOKUP(UncLookup[[#This Row],[Item]],Items!$A$1:$F$43,3,FALSE))</f>
        <v/>
      </c>
      <c r="Q716" s="90" t="str">
        <f>IF(VLOOKUP(UncLookup[[#This Row],[Item]],Items!$A$1:$F$43,4,FALSE)=0,"",VLOOKUP(UncLookup[[#This Row],[Item]],Items!$A$1:$F$43,4,FALSE))</f>
        <v/>
      </c>
    </row>
    <row r="717" spans="1:17" x14ac:dyDescent="0.25">
      <c r="A717" s="76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90" t="str">
        <f>IF(VLOOKUP(UncLookup[[#This Row],[Item]],Items!$A$1:$F$43,2,FALSE)=0,"",VLOOKUP(UncLookup[[#This Row],[Item]],Items!$A$1:$F$43,2,FALSE))</f>
        <v/>
      </c>
      <c r="P717" s="90" t="str">
        <f>IF(VLOOKUP(UncLookup[[#This Row],[Item]],Items!$A$1:$F$43,3,FALSE)=0,"",VLOOKUP(UncLookup[[#This Row],[Item]],Items!$A$1:$F$43,3,FALSE))</f>
        <v/>
      </c>
      <c r="Q717" s="90" t="str">
        <f>IF(VLOOKUP(UncLookup[[#This Row],[Item]],Items!$A$1:$F$43,4,FALSE)=0,"",VLOOKUP(UncLookup[[#This Row],[Item]],Items!$A$1:$F$43,4,FALSE))</f>
        <v/>
      </c>
    </row>
    <row r="718" spans="1:17" x14ac:dyDescent="0.25">
      <c r="A718" s="75" t="s">
        <v>56</v>
      </c>
      <c r="B718" s="75" t="s">
        <v>8</v>
      </c>
      <c r="C718" s="75">
        <v>10</v>
      </c>
      <c r="D718" s="75">
        <v>20</v>
      </c>
      <c r="E718" s="75">
        <v>0.01</v>
      </c>
      <c r="F718" s="75" t="s">
        <v>6</v>
      </c>
      <c r="G718" s="75" t="s">
        <v>4</v>
      </c>
      <c r="H718" s="75">
        <v>0.04</v>
      </c>
      <c r="I718" s="75">
        <v>1</v>
      </c>
      <c r="J718" s="75" t="s">
        <v>10</v>
      </c>
      <c r="K718" s="75">
        <v>5.7568999999999999</v>
      </c>
      <c r="L718" s="75">
        <v>0.16470000000000001</v>
      </c>
      <c r="M718" s="75">
        <v>5.7573999999999996</v>
      </c>
      <c r="N718" s="75">
        <v>0.16425000000000001</v>
      </c>
      <c r="O718" s="90" t="str">
        <f>IF(VLOOKUP(UncLookup[[#This Row],[Item]],Items!$A$1:$F$43,2,FALSE)=0,"",VLOOKUP(UncLookup[[#This Row],[Item]],Items!$A$1:$F$43,2,FALSE))</f>
        <v/>
      </c>
      <c r="P718" s="90" t="str">
        <f>IF(VLOOKUP(UncLookup[[#This Row],[Item]],Items!$A$1:$F$43,3,FALSE)=0,"",VLOOKUP(UncLookup[[#This Row],[Item]],Items!$A$1:$F$43,3,FALSE))</f>
        <v/>
      </c>
      <c r="Q718" s="90" t="str">
        <f>IF(VLOOKUP(UncLookup[[#This Row],[Item]],Items!$A$1:$F$43,4,FALSE)=0,"",VLOOKUP(UncLookup[[#This Row],[Item]],Items!$A$1:$F$43,4,FALSE))</f>
        <v/>
      </c>
    </row>
    <row r="719" spans="1:17" x14ac:dyDescent="0.25">
      <c r="A719" s="76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90" t="str">
        <f>IF(VLOOKUP(UncLookup[[#This Row],[Item]],Items!$A$1:$F$43,2,FALSE)=0,"",VLOOKUP(UncLookup[[#This Row],[Item]],Items!$A$1:$F$43,2,FALSE))</f>
        <v/>
      </c>
      <c r="P719" s="90" t="str">
        <f>IF(VLOOKUP(UncLookup[[#This Row],[Item]],Items!$A$1:$F$43,3,FALSE)=0,"",VLOOKUP(UncLookup[[#This Row],[Item]],Items!$A$1:$F$43,3,FALSE))</f>
        <v/>
      </c>
      <c r="Q719" s="90" t="str">
        <f>IF(VLOOKUP(UncLookup[[#This Row],[Item]],Items!$A$1:$F$43,4,FALSE)=0,"",VLOOKUP(UncLookup[[#This Row],[Item]],Items!$A$1:$F$43,4,FALSE))</f>
        <v/>
      </c>
    </row>
    <row r="720" spans="1:17" x14ac:dyDescent="0.25">
      <c r="A720" s="75" t="s">
        <v>56</v>
      </c>
      <c r="B720" s="75" t="s">
        <v>8</v>
      </c>
      <c r="C720" s="75">
        <v>10</v>
      </c>
      <c r="D720" s="75">
        <v>20</v>
      </c>
      <c r="E720" s="75">
        <v>0.01</v>
      </c>
      <c r="F720" s="75" t="s">
        <v>6</v>
      </c>
      <c r="G720" s="75" t="s">
        <v>4</v>
      </c>
      <c r="H720" s="75">
        <v>1</v>
      </c>
      <c r="I720" s="75">
        <v>20</v>
      </c>
      <c r="J720" s="75" t="s">
        <v>10</v>
      </c>
      <c r="K720" s="75">
        <v>5.7568999999999999</v>
      </c>
      <c r="L720" s="75">
        <v>0.16470000000000001</v>
      </c>
      <c r="M720" s="75">
        <v>5.7573999999999996</v>
      </c>
      <c r="N720" s="75">
        <v>0.16425000000000001</v>
      </c>
      <c r="O720" s="90" t="str">
        <f>IF(VLOOKUP(UncLookup[[#This Row],[Item]],Items!$A$1:$F$43,2,FALSE)=0,"",VLOOKUP(UncLookup[[#This Row],[Item]],Items!$A$1:$F$43,2,FALSE))</f>
        <v/>
      </c>
      <c r="P720" s="90" t="str">
        <f>IF(VLOOKUP(UncLookup[[#This Row],[Item]],Items!$A$1:$F$43,3,FALSE)=0,"",VLOOKUP(UncLookup[[#This Row],[Item]],Items!$A$1:$F$43,3,FALSE))</f>
        <v/>
      </c>
      <c r="Q720" s="90" t="str">
        <f>IF(VLOOKUP(UncLookup[[#This Row],[Item]],Items!$A$1:$F$43,4,FALSE)=0,"",VLOOKUP(UncLookup[[#This Row],[Item]],Items!$A$1:$F$43,4,FALSE))</f>
        <v/>
      </c>
    </row>
    <row r="721" spans="1:17" x14ac:dyDescent="0.25">
      <c r="A721" s="76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90" t="str">
        <f>IF(VLOOKUP(UncLookup[[#This Row],[Item]],Items!$A$1:$F$43,2,FALSE)=0,"",VLOOKUP(UncLookup[[#This Row],[Item]],Items!$A$1:$F$43,2,FALSE))</f>
        <v/>
      </c>
      <c r="P721" s="90" t="str">
        <f>IF(VLOOKUP(UncLookup[[#This Row],[Item]],Items!$A$1:$F$43,3,FALSE)=0,"",VLOOKUP(UncLookup[[#This Row],[Item]],Items!$A$1:$F$43,3,FALSE))</f>
        <v/>
      </c>
      <c r="Q721" s="90" t="str">
        <f>IF(VLOOKUP(UncLookup[[#This Row],[Item]],Items!$A$1:$F$43,4,FALSE)=0,"",VLOOKUP(UncLookup[[#This Row],[Item]],Items!$A$1:$F$43,4,FALSE))</f>
        <v/>
      </c>
    </row>
    <row r="722" spans="1:17" x14ac:dyDescent="0.25">
      <c r="A722" s="75" t="s">
        <v>56</v>
      </c>
      <c r="B722" s="75" t="s">
        <v>8</v>
      </c>
      <c r="C722" s="75">
        <v>10</v>
      </c>
      <c r="D722" s="75">
        <v>20</v>
      </c>
      <c r="E722" s="75">
        <v>0.01</v>
      </c>
      <c r="F722" s="75" t="s">
        <v>6</v>
      </c>
      <c r="G722" s="75" t="s">
        <v>4</v>
      </c>
      <c r="H722" s="75">
        <v>300</v>
      </c>
      <c r="I722" s="75">
        <v>1000</v>
      </c>
      <c r="J722" s="75" t="s">
        <v>10</v>
      </c>
      <c r="K722" s="75">
        <v>19</v>
      </c>
      <c r="L722" s="75">
        <v>17.091999999999999</v>
      </c>
      <c r="M722" s="75">
        <v>12.516999999999999</v>
      </c>
      <c r="N722" s="75">
        <v>17.32</v>
      </c>
      <c r="O722" s="90" t="str">
        <f>IF(VLOOKUP(UncLookup[[#This Row],[Item]],Items!$A$1:$F$43,2,FALSE)=0,"",VLOOKUP(UncLookup[[#This Row],[Item]],Items!$A$1:$F$43,2,FALSE))</f>
        <v/>
      </c>
      <c r="P722" s="90" t="str">
        <f>IF(VLOOKUP(UncLookup[[#This Row],[Item]],Items!$A$1:$F$43,3,FALSE)=0,"",VLOOKUP(UncLookup[[#This Row],[Item]],Items!$A$1:$F$43,3,FALSE))</f>
        <v/>
      </c>
      <c r="Q722" s="90" t="str">
        <f>IF(VLOOKUP(UncLookup[[#This Row],[Item]],Items!$A$1:$F$43,4,FALSE)=0,"",VLOOKUP(UncLookup[[#This Row],[Item]],Items!$A$1:$F$43,4,FALSE))</f>
        <v/>
      </c>
    </row>
    <row r="723" spans="1:17" x14ac:dyDescent="0.25">
      <c r="A723" s="76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90" t="str">
        <f>IF(VLOOKUP(UncLookup[[#This Row],[Item]],Items!$A$1:$F$43,2,FALSE)=0,"",VLOOKUP(UncLookup[[#This Row],[Item]],Items!$A$1:$F$43,2,FALSE))</f>
        <v/>
      </c>
      <c r="P723" s="90" t="str">
        <f>IF(VLOOKUP(UncLookup[[#This Row],[Item]],Items!$A$1:$F$43,3,FALSE)=0,"",VLOOKUP(UncLookup[[#This Row],[Item]],Items!$A$1:$F$43,3,FALSE))</f>
        <v/>
      </c>
      <c r="Q723" s="90" t="str">
        <f>IF(VLOOKUP(UncLookup[[#This Row],[Item]],Items!$A$1:$F$43,4,FALSE)=0,"",VLOOKUP(UncLookup[[#This Row],[Item]],Items!$A$1:$F$43,4,FALSE))</f>
        <v/>
      </c>
    </row>
    <row r="724" spans="1:17" x14ac:dyDescent="0.25">
      <c r="A724" s="75" t="s">
        <v>56</v>
      </c>
      <c r="B724" s="75" t="s">
        <v>8</v>
      </c>
      <c r="C724" s="75">
        <v>10</v>
      </c>
      <c r="D724" s="75">
        <v>100</v>
      </c>
      <c r="E724" s="75">
        <v>0.1</v>
      </c>
      <c r="F724" s="75" t="s">
        <v>6</v>
      </c>
      <c r="G724" s="75" t="s">
        <v>4</v>
      </c>
      <c r="H724" s="75">
        <v>300</v>
      </c>
      <c r="I724" s="75">
        <v>1000</v>
      </c>
      <c r="J724" s="75" t="s">
        <v>10</v>
      </c>
      <c r="K724" s="75">
        <v>46</v>
      </c>
      <c r="L724" s="75">
        <v>17.03</v>
      </c>
      <c r="M724" s="75">
        <v>21.972000000000001</v>
      </c>
      <c r="N724" s="75">
        <v>17.247</v>
      </c>
      <c r="O724" s="90" t="str">
        <f>IF(VLOOKUP(UncLookup[[#This Row],[Item]],Items!$A$1:$F$43,2,FALSE)=0,"",VLOOKUP(UncLookup[[#This Row],[Item]],Items!$A$1:$F$43,2,FALSE))</f>
        <v/>
      </c>
      <c r="P724" s="90" t="str">
        <f>IF(VLOOKUP(UncLookup[[#This Row],[Item]],Items!$A$1:$F$43,3,FALSE)=0,"",VLOOKUP(UncLookup[[#This Row],[Item]],Items!$A$1:$F$43,3,FALSE))</f>
        <v/>
      </c>
      <c r="Q724" s="90" t="str">
        <f>IF(VLOOKUP(UncLookup[[#This Row],[Item]],Items!$A$1:$F$43,4,FALSE)=0,"",VLOOKUP(UncLookup[[#This Row],[Item]],Items!$A$1:$F$43,4,FALSE))</f>
        <v/>
      </c>
    </row>
    <row r="725" spans="1:17" x14ac:dyDescent="0.25">
      <c r="A725" s="76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90" t="str">
        <f>IF(VLOOKUP(UncLookup[[#This Row],[Item]],Items!$A$1:$F$43,2,FALSE)=0,"",VLOOKUP(UncLookup[[#This Row],[Item]],Items!$A$1:$F$43,2,FALSE))</f>
        <v/>
      </c>
      <c r="P725" s="90" t="str">
        <f>IF(VLOOKUP(UncLookup[[#This Row],[Item]],Items!$A$1:$F$43,3,FALSE)=0,"",VLOOKUP(UncLookup[[#This Row],[Item]],Items!$A$1:$F$43,3,FALSE))</f>
        <v/>
      </c>
      <c r="Q725" s="90" t="str">
        <f>IF(VLOOKUP(UncLookup[[#This Row],[Item]],Items!$A$1:$F$43,4,FALSE)=0,"",VLOOKUP(UncLookup[[#This Row],[Item]],Items!$A$1:$F$43,4,FALSE))</f>
        <v/>
      </c>
    </row>
    <row r="726" spans="1:17" x14ac:dyDescent="0.25">
      <c r="A726" s="75" t="s">
        <v>56</v>
      </c>
      <c r="B726" s="75" t="s">
        <v>8</v>
      </c>
      <c r="C726" s="75">
        <v>10</v>
      </c>
      <c r="D726" s="75">
        <v>20</v>
      </c>
      <c r="E726" s="75">
        <v>0.1</v>
      </c>
      <c r="F726" s="75" t="s">
        <v>6</v>
      </c>
      <c r="G726" s="75" t="s">
        <v>4</v>
      </c>
      <c r="H726" s="75">
        <v>1</v>
      </c>
      <c r="I726" s="75">
        <v>20</v>
      </c>
      <c r="J726" s="75" t="s">
        <v>10</v>
      </c>
      <c r="K726" s="75">
        <v>57.686999999999998</v>
      </c>
      <c r="L726" s="75">
        <v>2.3591000000000001E-2</v>
      </c>
      <c r="M726" s="75">
        <v>57.688000000000002</v>
      </c>
      <c r="N726" s="75">
        <v>2.3266999999999999E-2</v>
      </c>
      <c r="O726" s="90" t="str">
        <f>IF(VLOOKUP(UncLookup[[#This Row],[Item]],Items!$A$1:$F$43,2,FALSE)=0,"",VLOOKUP(UncLookup[[#This Row],[Item]],Items!$A$1:$F$43,2,FALSE))</f>
        <v/>
      </c>
      <c r="P726" s="90" t="str">
        <f>IF(VLOOKUP(UncLookup[[#This Row],[Item]],Items!$A$1:$F$43,3,FALSE)=0,"",VLOOKUP(UncLookup[[#This Row],[Item]],Items!$A$1:$F$43,3,FALSE))</f>
        <v/>
      </c>
      <c r="Q726" s="90" t="str">
        <f>IF(VLOOKUP(UncLookup[[#This Row],[Item]],Items!$A$1:$F$43,4,FALSE)=0,"",VLOOKUP(UncLookup[[#This Row],[Item]],Items!$A$1:$F$43,4,FALSE))</f>
        <v/>
      </c>
    </row>
    <row r="727" spans="1:17" x14ac:dyDescent="0.25">
      <c r="A727" s="76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90" t="str">
        <f>IF(VLOOKUP(UncLookup[[#This Row],[Item]],Items!$A$1:$F$43,2,FALSE)=0,"",VLOOKUP(UncLookup[[#This Row],[Item]],Items!$A$1:$F$43,2,FALSE))</f>
        <v/>
      </c>
      <c r="P727" s="90" t="str">
        <f>IF(VLOOKUP(UncLookup[[#This Row],[Item]],Items!$A$1:$F$43,3,FALSE)=0,"",VLOOKUP(UncLookup[[#This Row],[Item]],Items!$A$1:$F$43,3,FALSE))</f>
        <v/>
      </c>
      <c r="Q727" s="90" t="str">
        <f>IF(VLOOKUP(UncLookup[[#This Row],[Item]],Items!$A$1:$F$43,4,FALSE)=0,"",VLOOKUP(UncLookup[[#This Row],[Item]],Items!$A$1:$F$43,4,FALSE))</f>
        <v/>
      </c>
    </row>
    <row r="728" spans="1:17" x14ac:dyDescent="0.25">
      <c r="A728" s="75" t="s">
        <v>56</v>
      </c>
      <c r="B728" s="75" t="s">
        <v>8</v>
      </c>
      <c r="C728" s="75">
        <v>10</v>
      </c>
      <c r="D728" s="75">
        <v>20</v>
      </c>
      <c r="E728" s="75">
        <v>0.1</v>
      </c>
      <c r="F728" s="75" t="s">
        <v>6</v>
      </c>
      <c r="G728" s="75" t="s">
        <v>4</v>
      </c>
      <c r="H728" s="75">
        <v>50</v>
      </c>
      <c r="I728" s="75">
        <v>100</v>
      </c>
      <c r="J728" s="75" t="s">
        <v>10</v>
      </c>
      <c r="K728" s="75">
        <v>54.831000000000003</v>
      </c>
      <c r="L728" s="75">
        <v>0.51571</v>
      </c>
      <c r="M728" s="75">
        <v>54.83</v>
      </c>
      <c r="N728" s="75">
        <v>0.51529000000000003</v>
      </c>
      <c r="O728" s="90" t="str">
        <f>IF(VLOOKUP(UncLookup[[#This Row],[Item]],Items!$A$1:$F$43,2,FALSE)=0,"",VLOOKUP(UncLookup[[#This Row],[Item]],Items!$A$1:$F$43,2,FALSE))</f>
        <v/>
      </c>
      <c r="P728" s="90" t="str">
        <f>IF(VLOOKUP(UncLookup[[#This Row],[Item]],Items!$A$1:$F$43,3,FALSE)=0,"",VLOOKUP(UncLookup[[#This Row],[Item]],Items!$A$1:$F$43,3,FALSE))</f>
        <v/>
      </c>
      <c r="Q728" s="90" t="str">
        <f>IF(VLOOKUP(UncLookup[[#This Row],[Item]],Items!$A$1:$F$43,4,FALSE)=0,"",VLOOKUP(UncLookup[[#This Row],[Item]],Items!$A$1:$F$43,4,FALSE))</f>
        <v/>
      </c>
    </row>
    <row r="729" spans="1:17" x14ac:dyDescent="0.25">
      <c r="A729" s="76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90" t="str">
        <f>IF(VLOOKUP(UncLookup[[#This Row],[Item]],Items!$A$1:$F$43,2,FALSE)=0,"",VLOOKUP(UncLookup[[#This Row],[Item]],Items!$A$1:$F$43,2,FALSE))</f>
        <v/>
      </c>
      <c r="P729" s="90" t="str">
        <f>IF(VLOOKUP(UncLookup[[#This Row],[Item]],Items!$A$1:$F$43,3,FALSE)=0,"",VLOOKUP(UncLookup[[#This Row],[Item]],Items!$A$1:$F$43,3,FALSE))</f>
        <v/>
      </c>
      <c r="Q729" s="90" t="str">
        <f>IF(VLOOKUP(UncLookup[[#This Row],[Item]],Items!$A$1:$F$43,4,FALSE)=0,"",VLOOKUP(UncLookup[[#This Row],[Item]],Items!$A$1:$F$43,4,FALSE))</f>
        <v/>
      </c>
    </row>
    <row r="730" spans="1:17" x14ac:dyDescent="0.25">
      <c r="A730" s="75" t="s">
        <v>56</v>
      </c>
      <c r="B730" s="75" t="s">
        <v>8</v>
      </c>
      <c r="C730" s="75">
        <v>10</v>
      </c>
      <c r="D730" s="75">
        <v>20</v>
      </c>
      <c r="E730" s="75">
        <v>0.1</v>
      </c>
      <c r="F730" s="75" t="s">
        <v>6</v>
      </c>
      <c r="G730" s="75" t="s">
        <v>4</v>
      </c>
      <c r="H730" s="75">
        <v>20</v>
      </c>
      <c r="I730" s="75">
        <v>50</v>
      </c>
      <c r="J730" s="75" t="s">
        <v>10</v>
      </c>
      <c r="K730" s="75">
        <v>57.496000000000002</v>
      </c>
      <c r="L730" s="75">
        <v>5.9412E-2</v>
      </c>
      <c r="M730" s="75">
        <v>57.494999999999997</v>
      </c>
      <c r="N730" s="75">
        <v>5.8915000000000002E-2</v>
      </c>
      <c r="O730" s="90" t="str">
        <f>IF(VLOOKUP(UncLookup[[#This Row],[Item]],Items!$A$1:$F$43,2,FALSE)=0,"",VLOOKUP(UncLookup[[#This Row],[Item]],Items!$A$1:$F$43,2,FALSE))</f>
        <v/>
      </c>
      <c r="P730" s="90" t="str">
        <f>IF(VLOOKUP(UncLookup[[#This Row],[Item]],Items!$A$1:$F$43,3,FALSE)=0,"",VLOOKUP(UncLookup[[#This Row],[Item]],Items!$A$1:$F$43,3,FALSE))</f>
        <v/>
      </c>
      <c r="Q730" s="90" t="str">
        <f>IF(VLOOKUP(UncLookup[[#This Row],[Item]],Items!$A$1:$F$43,4,FALSE)=0,"",VLOOKUP(UncLookup[[#This Row],[Item]],Items!$A$1:$F$43,4,FALSE))</f>
        <v/>
      </c>
    </row>
    <row r="731" spans="1:17" x14ac:dyDescent="0.25">
      <c r="A731" s="76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90" t="str">
        <f>IF(VLOOKUP(UncLookup[[#This Row],[Item]],Items!$A$1:$F$43,2,FALSE)=0,"",VLOOKUP(UncLookup[[#This Row],[Item]],Items!$A$1:$F$43,2,FALSE))</f>
        <v/>
      </c>
      <c r="P731" s="90" t="str">
        <f>IF(VLOOKUP(UncLookup[[#This Row],[Item]],Items!$A$1:$F$43,3,FALSE)=0,"",VLOOKUP(UncLookup[[#This Row],[Item]],Items!$A$1:$F$43,3,FALSE))</f>
        <v/>
      </c>
      <c r="Q731" s="90" t="str">
        <f>IF(VLOOKUP(UncLookup[[#This Row],[Item]],Items!$A$1:$F$43,4,FALSE)=0,"",VLOOKUP(UncLookup[[#This Row],[Item]],Items!$A$1:$F$43,4,FALSE))</f>
        <v/>
      </c>
    </row>
    <row r="732" spans="1:17" x14ac:dyDescent="0.25">
      <c r="A732" s="75" t="s">
        <v>56</v>
      </c>
      <c r="B732" s="75" t="s">
        <v>8</v>
      </c>
      <c r="C732" s="75">
        <v>10</v>
      </c>
      <c r="D732" s="75">
        <v>20</v>
      </c>
      <c r="E732" s="75">
        <v>1</v>
      </c>
      <c r="F732" s="75" t="s">
        <v>6</v>
      </c>
      <c r="G732" s="75" t="s">
        <v>4</v>
      </c>
      <c r="H732" s="75">
        <v>1E-3</v>
      </c>
      <c r="I732" s="75">
        <v>0.04</v>
      </c>
      <c r="J732" s="75" t="s">
        <v>10</v>
      </c>
      <c r="K732" s="75">
        <v>577.36</v>
      </c>
      <c r="L732" s="75">
        <v>3.4030000000000002E-3</v>
      </c>
      <c r="M732" s="75">
        <v>577.07000000000005</v>
      </c>
      <c r="N732" s="75">
        <v>3.2721999999999998E-3</v>
      </c>
      <c r="O732" s="90" t="str">
        <f>IF(VLOOKUP(UncLookup[[#This Row],[Item]],Items!$A$1:$F$43,2,FALSE)=0,"",VLOOKUP(UncLookup[[#This Row],[Item]],Items!$A$1:$F$43,2,FALSE))</f>
        <v/>
      </c>
      <c r="P732" s="90" t="str">
        <f>IF(VLOOKUP(UncLookup[[#This Row],[Item]],Items!$A$1:$F$43,3,FALSE)=0,"",VLOOKUP(UncLookup[[#This Row],[Item]],Items!$A$1:$F$43,3,FALSE))</f>
        <v/>
      </c>
      <c r="Q732" s="90" t="str">
        <f>IF(VLOOKUP(UncLookup[[#This Row],[Item]],Items!$A$1:$F$43,4,FALSE)=0,"",VLOOKUP(UncLookup[[#This Row],[Item]],Items!$A$1:$F$43,4,FALSE))</f>
        <v/>
      </c>
    </row>
    <row r="733" spans="1:17" x14ac:dyDescent="0.25">
      <c r="A733" s="76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90" t="str">
        <f>IF(VLOOKUP(UncLookup[[#This Row],[Item]],Items!$A$1:$F$43,2,FALSE)=0,"",VLOOKUP(UncLookup[[#This Row],[Item]],Items!$A$1:$F$43,2,FALSE))</f>
        <v/>
      </c>
      <c r="P733" s="90" t="str">
        <f>IF(VLOOKUP(UncLookup[[#This Row],[Item]],Items!$A$1:$F$43,3,FALSE)=0,"",VLOOKUP(UncLookup[[#This Row],[Item]],Items!$A$1:$F$43,3,FALSE))</f>
        <v/>
      </c>
      <c r="Q733" s="90" t="str">
        <f>IF(VLOOKUP(UncLookup[[#This Row],[Item]],Items!$A$1:$F$43,4,FALSE)=0,"",VLOOKUP(UncLookup[[#This Row],[Item]],Items!$A$1:$F$43,4,FALSE))</f>
        <v/>
      </c>
    </row>
    <row r="734" spans="1:17" x14ac:dyDescent="0.25">
      <c r="A734" s="75" t="s">
        <v>56</v>
      </c>
      <c r="B734" s="75" t="s">
        <v>8</v>
      </c>
      <c r="C734" s="75">
        <v>10</v>
      </c>
      <c r="D734" s="75">
        <v>100</v>
      </c>
      <c r="E734" s="75">
        <v>1</v>
      </c>
      <c r="F734" s="75" t="s">
        <v>6</v>
      </c>
      <c r="G734" s="75" t="s">
        <v>4</v>
      </c>
      <c r="H734" s="75">
        <v>100</v>
      </c>
      <c r="I734" s="75">
        <v>300</v>
      </c>
      <c r="J734" s="75" t="s">
        <v>10</v>
      </c>
      <c r="K734" s="75">
        <v>561.72</v>
      </c>
      <c r="L734" s="75">
        <v>1.8549</v>
      </c>
      <c r="M734" s="75">
        <v>536.24</v>
      </c>
      <c r="N734" s="75">
        <v>1.8547</v>
      </c>
      <c r="O734" s="90" t="str">
        <f>IF(VLOOKUP(UncLookup[[#This Row],[Item]],Items!$A$1:$F$43,2,FALSE)=0,"",VLOOKUP(UncLookup[[#This Row],[Item]],Items!$A$1:$F$43,2,FALSE))</f>
        <v/>
      </c>
      <c r="P734" s="90" t="str">
        <f>IF(VLOOKUP(UncLookup[[#This Row],[Item]],Items!$A$1:$F$43,3,FALSE)=0,"",VLOOKUP(UncLookup[[#This Row],[Item]],Items!$A$1:$F$43,3,FALSE))</f>
        <v/>
      </c>
      <c r="Q734" s="90" t="str">
        <f>IF(VLOOKUP(UncLookup[[#This Row],[Item]],Items!$A$1:$F$43,4,FALSE)=0,"",VLOOKUP(UncLookup[[#This Row],[Item]],Items!$A$1:$F$43,4,FALSE))</f>
        <v/>
      </c>
    </row>
    <row r="735" spans="1:17" x14ac:dyDescent="0.25">
      <c r="A735" s="76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90" t="str">
        <f>IF(VLOOKUP(UncLookup[[#This Row],[Item]],Items!$A$1:$F$43,2,FALSE)=0,"",VLOOKUP(UncLookup[[#This Row],[Item]],Items!$A$1:$F$43,2,FALSE))</f>
        <v/>
      </c>
      <c r="P735" s="90" t="str">
        <f>IF(VLOOKUP(UncLookup[[#This Row],[Item]],Items!$A$1:$F$43,3,FALSE)=0,"",VLOOKUP(UncLookup[[#This Row],[Item]],Items!$A$1:$F$43,3,FALSE))</f>
        <v/>
      </c>
      <c r="Q735" s="90" t="str">
        <f>IF(VLOOKUP(UncLookup[[#This Row],[Item]],Items!$A$1:$F$43,4,FALSE)=0,"",VLOOKUP(UncLookup[[#This Row],[Item]],Items!$A$1:$F$43,4,FALSE))</f>
        <v/>
      </c>
    </row>
    <row r="736" spans="1:17" x14ac:dyDescent="0.25">
      <c r="A736" s="75" t="s">
        <v>56</v>
      </c>
      <c r="B736" s="75" t="s">
        <v>8</v>
      </c>
      <c r="C736" s="75">
        <v>10</v>
      </c>
      <c r="D736" s="75">
        <v>20</v>
      </c>
      <c r="E736" s="75">
        <v>1</v>
      </c>
      <c r="F736" s="75" t="s">
        <v>6</v>
      </c>
      <c r="G736" s="75" t="s">
        <v>4</v>
      </c>
      <c r="H736" s="75">
        <v>50</v>
      </c>
      <c r="I736" s="75">
        <v>100</v>
      </c>
      <c r="J736" s="75" t="s">
        <v>10</v>
      </c>
      <c r="K736" s="75">
        <v>577.03</v>
      </c>
      <c r="L736" s="75">
        <v>5.5989999999999998E-2</v>
      </c>
      <c r="M736" s="75">
        <v>572.42999999999995</v>
      </c>
      <c r="N736" s="75">
        <v>5.5786000000000002E-2</v>
      </c>
      <c r="O736" s="90" t="str">
        <f>IF(VLOOKUP(UncLookup[[#This Row],[Item]],Items!$A$1:$F$43,2,FALSE)=0,"",VLOOKUP(UncLookup[[#This Row],[Item]],Items!$A$1:$F$43,2,FALSE))</f>
        <v/>
      </c>
      <c r="P736" s="90" t="str">
        <f>IF(VLOOKUP(UncLookup[[#This Row],[Item]],Items!$A$1:$F$43,3,FALSE)=0,"",VLOOKUP(UncLookup[[#This Row],[Item]],Items!$A$1:$F$43,3,FALSE))</f>
        <v/>
      </c>
      <c r="Q736" s="90" t="str">
        <f>IF(VLOOKUP(UncLookup[[#This Row],[Item]],Items!$A$1:$F$43,4,FALSE)=0,"",VLOOKUP(UncLookup[[#This Row],[Item]],Items!$A$1:$F$43,4,FALSE))</f>
        <v/>
      </c>
    </row>
    <row r="737" spans="1:17" x14ac:dyDescent="0.25">
      <c r="A737" s="76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90" t="str">
        <f>IF(VLOOKUP(UncLookup[[#This Row],[Item]],Items!$A$1:$F$43,2,FALSE)=0,"",VLOOKUP(UncLookup[[#This Row],[Item]],Items!$A$1:$F$43,2,FALSE))</f>
        <v/>
      </c>
      <c r="P737" s="90" t="str">
        <f>IF(VLOOKUP(UncLookup[[#This Row],[Item]],Items!$A$1:$F$43,3,FALSE)=0,"",VLOOKUP(UncLookup[[#This Row],[Item]],Items!$A$1:$F$43,3,FALSE))</f>
        <v/>
      </c>
      <c r="Q737" s="90" t="str">
        <f>IF(VLOOKUP(UncLookup[[#This Row],[Item]],Items!$A$1:$F$43,4,FALSE)=0,"",VLOOKUP(UncLookup[[#This Row],[Item]],Items!$A$1:$F$43,4,FALSE))</f>
        <v/>
      </c>
    </row>
    <row r="738" spans="1:17" x14ac:dyDescent="0.25">
      <c r="A738" s="75" t="s">
        <v>56</v>
      </c>
      <c r="B738" s="75" t="s">
        <v>8</v>
      </c>
      <c r="C738" s="75">
        <v>10</v>
      </c>
      <c r="D738" s="75">
        <v>20</v>
      </c>
      <c r="E738" s="75">
        <v>1</v>
      </c>
      <c r="F738" s="75" t="s">
        <v>6</v>
      </c>
      <c r="G738" s="75" t="s">
        <v>4</v>
      </c>
      <c r="H738" s="75">
        <v>100</v>
      </c>
      <c r="I738" s="75">
        <v>300</v>
      </c>
      <c r="J738" s="75" t="s">
        <v>10</v>
      </c>
      <c r="K738" s="75">
        <v>573.82000000000005</v>
      </c>
      <c r="L738" s="75">
        <v>0.64234000000000002</v>
      </c>
      <c r="M738" s="75">
        <v>542.91999999999996</v>
      </c>
      <c r="N738" s="75">
        <v>0.64214000000000004</v>
      </c>
      <c r="O738" s="90" t="str">
        <f>IF(VLOOKUP(UncLookup[[#This Row],[Item]],Items!$A$1:$F$43,2,FALSE)=0,"",VLOOKUP(UncLookup[[#This Row],[Item]],Items!$A$1:$F$43,2,FALSE))</f>
        <v/>
      </c>
      <c r="P738" s="90" t="str">
        <f>IF(VLOOKUP(UncLookup[[#This Row],[Item]],Items!$A$1:$F$43,3,FALSE)=0,"",VLOOKUP(UncLookup[[#This Row],[Item]],Items!$A$1:$F$43,3,FALSE))</f>
        <v/>
      </c>
      <c r="Q738" s="90" t="str">
        <f>IF(VLOOKUP(UncLookup[[#This Row],[Item]],Items!$A$1:$F$43,4,FALSE)=0,"",VLOOKUP(UncLookup[[#This Row],[Item]],Items!$A$1:$F$43,4,FALSE))</f>
        <v/>
      </c>
    </row>
    <row r="739" spans="1:17" x14ac:dyDescent="0.25">
      <c r="A739" s="76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90" t="str">
        <f>IF(VLOOKUP(UncLookup[[#This Row],[Item]],Items!$A$1:$F$43,2,FALSE)=0,"",VLOOKUP(UncLookup[[#This Row],[Item]],Items!$A$1:$F$43,2,FALSE))</f>
        <v/>
      </c>
      <c r="P739" s="90" t="str">
        <f>IF(VLOOKUP(UncLookup[[#This Row],[Item]],Items!$A$1:$F$43,3,FALSE)=0,"",VLOOKUP(UncLookup[[#This Row],[Item]],Items!$A$1:$F$43,3,FALSE))</f>
        <v/>
      </c>
      <c r="Q739" s="90" t="str">
        <f>IF(VLOOKUP(UncLookup[[#This Row],[Item]],Items!$A$1:$F$43,4,FALSE)=0,"",VLOOKUP(UncLookup[[#This Row],[Item]],Items!$A$1:$F$43,4,FALSE))</f>
        <v/>
      </c>
    </row>
    <row r="740" spans="1:17" x14ac:dyDescent="0.25">
      <c r="A740" s="75" t="s">
        <v>56</v>
      </c>
      <c r="B740" s="75" t="s">
        <v>8</v>
      </c>
      <c r="C740" s="75">
        <v>10</v>
      </c>
      <c r="D740" s="75">
        <v>20</v>
      </c>
      <c r="E740" s="75">
        <v>1</v>
      </c>
      <c r="F740" s="75" t="s">
        <v>6</v>
      </c>
      <c r="G740" s="75" t="s">
        <v>4</v>
      </c>
      <c r="H740" s="75">
        <v>20</v>
      </c>
      <c r="I740" s="75">
        <v>50</v>
      </c>
      <c r="J740" s="75" t="s">
        <v>10</v>
      </c>
      <c r="K740" s="75">
        <v>577.33000000000004</v>
      </c>
      <c r="L740" s="75">
        <v>6.1608000000000001E-3</v>
      </c>
      <c r="M740" s="75">
        <v>576.79999999999995</v>
      </c>
      <c r="N740" s="75">
        <v>5.9565E-3</v>
      </c>
      <c r="O740" s="90" t="str">
        <f>IF(VLOOKUP(UncLookup[[#This Row],[Item]],Items!$A$1:$F$43,2,FALSE)=0,"",VLOOKUP(UncLookup[[#This Row],[Item]],Items!$A$1:$F$43,2,FALSE))</f>
        <v/>
      </c>
      <c r="P740" s="90" t="str">
        <f>IF(VLOOKUP(UncLookup[[#This Row],[Item]],Items!$A$1:$F$43,3,FALSE)=0,"",VLOOKUP(UncLookup[[#This Row],[Item]],Items!$A$1:$F$43,3,FALSE))</f>
        <v/>
      </c>
      <c r="Q740" s="90" t="str">
        <f>IF(VLOOKUP(UncLookup[[#This Row],[Item]],Items!$A$1:$F$43,4,FALSE)=0,"",VLOOKUP(UncLookup[[#This Row],[Item]],Items!$A$1:$F$43,4,FALSE))</f>
        <v/>
      </c>
    </row>
    <row r="741" spans="1:17" x14ac:dyDescent="0.25">
      <c r="A741" s="76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90" t="str">
        <f>IF(VLOOKUP(UncLookup[[#This Row],[Item]],Items!$A$1:$F$43,2,FALSE)=0,"",VLOOKUP(UncLookup[[#This Row],[Item]],Items!$A$1:$F$43,2,FALSE))</f>
        <v/>
      </c>
      <c r="P741" s="90" t="str">
        <f>IF(VLOOKUP(UncLookup[[#This Row],[Item]],Items!$A$1:$F$43,3,FALSE)=0,"",VLOOKUP(UncLookup[[#This Row],[Item]],Items!$A$1:$F$43,3,FALSE))</f>
        <v/>
      </c>
      <c r="Q741" s="90" t="str">
        <f>IF(VLOOKUP(UncLookup[[#This Row],[Item]],Items!$A$1:$F$43,4,FALSE)=0,"",VLOOKUP(UncLookup[[#This Row],[Item]],Items!$A$1:$F$43,4,FALSE))</f>
        <v/>
      </c>
    </row>
    <row r="742" spans="1:17" x14ac:dyDescent="0.25">
      <c r="A742" s="75" t="s">
        <v>56</v>
      </c>
      <c r="B742" s="75" t="s">
        <v>8</v>
      </c>
      <c r="C742" s="75">
        <v>20</v>
      </c>
      <c r="D742" s="75">
        <v>100</v>
      </c>
      <c r="E742" s="75">
        <v>1.0000000000000001E-5</v>
      </c>
      <c r="F742" s="75" t="s">
        <v>6</v>
      </c>
      <c r="G742" s="75" t="s">
        <v>4</v>
      </c>
      <c r="H742" s="75">
        <v>20</v>
      </c>
      <c r="I742" s="75">
        <v>50</v>
      </c>
      <c r="J742" s="75" t="s">
        <v>10</v>
      </c>
      <c r="K742" s="75">
        <v>6.8</v>
      </c>
      <c r="L742" s="75">
        <v>0.37</v>
      </c>
      <c r="M742" s="75">
        <v>6.7323000000000004</v>
      </c>
      <c r="N742" s="75">
        <v>0.36645</v>
      </c>
      <c r="O742" s="90" t="str">
        <f>IF(VLOOKUP(UncLookup[[#This Row],[Item]],Items!$A$1:$F$43,2,FALSE)=0,"",VLOOKUP(UncLookup[[#This Row],[Item]],Items!$A$1:$F$43,2,FALSE))</f>
        <v/>
      </c>
      <c r="P742" s="90" t="str">
        <f>IF(VLOOKUP(UncLookup[[#This Row],[Item]],Items!$A$1:$F$43,3,FALSE)=0,"",VLOOKUP(UncLookup[[#This Row],[Item]],Items!$A$1:$F$43,3,FALSE))</f>
        <v/>
      </c>
      <c r="Q742" s="90" t="str">
        <f>IF(VLOOKUP(UncLookup[[#This Row],[Item]],Items!$A$1:$F$43,4,FALSE)=0,"",VLOOKUP(UncLookup[[#This Row],[Item]],Items!$A$1:$F$43,4,FALSE))</f>
        <v/>
      </c>
    </row>
    <row r="743" spans="1:17" x14ac:dyDescent="0.25">
      <c r="A743" s="76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90" t="str">
        <f>IF(VLOOKUP(UncLookup[[#This Row],[Item]],Items!$A$1:$F$43,2,FALSE)=0,"",VLOOKUP(UncLookup[[#This Row],[Item]],Items!$A$1:$F$43,2,FALSE))</f>
        <v/>
      </c>
      <c r="P743" s="90" t="str">
        <f>IF(VLOOKUP(UncLookup[[#This Row],[Item]],Items!$A$1:$F$43,3,FALSE)=0,"",VLOOKUP(UncLookup[[#This Row],[Item]],Items!$A$1:$F$43,3,FALSE))</f>
        <v/>
      </c>
      <c r="Q743" s="90" t="str">
        <f>IF(VLOOKUP(UncLookup[[#This Row],[Item]],Items!$A$1:$F$43,4,FALSE)=0,"",VLOOKUP(UncLookup[[#This Row],[Item]],Items!$A$1:$F$43,4,FALSE))</f>
        <v/>
      </c>
    </row>
    <row r="744" spans="1:17" x14ac:dyDescent="0.25">
      <c r="A744" s="75" t="s">
        <v>56</v>
      </c>
      <c r="B744" s="75" t="s">
        <v>8</v>
      </c>
      <c r="C744" s="75">
        <v>20</v>
      </c>
      <c r="D744" s="75">
        <v>100</v>
      </c>
      <c r="E744" s="75">
        <v>1.0000000000000001E-5</v>
      </c>
      <c r="F744" s="75" t="s">
        <v>6</v>
      </c>
      <c r="G744" s="75" t="s">
        <v>4</v>
      </c>
      <c r="H744" s="75">
        <v>50</v>
      </c>
      <c r="I744" s="75">
        <v>100</v>
      </c>
      <c r="J744" s="75" t="s">
        <v>10</v>
      </c>
      <c r="K744" s="75">
        <v>22</v>
      </c>
      <c r="L744" s="75">
        <v>1.2</v>
      </c>
      <c r="M744" s="75">
        <v>17.722000000000001</v>
      </c>
      <c r="N744" s="75">
        <v>1.2358</v>
      </c>
      <c r="O744" s="90" t="str">
        <f>IF(VLOOKUP(UncLookup[[#This Row],[Item]],Items!$A$1:$F$43,2,FALSE)=0,"",VLOOKUP(UncLookup[[#This Row],[Item]],Items!$A$1:$F$43,2,FALSE))</f>
        <v/>
      </c>
      <c r="P744" s="90" t="str">
        <f>IF(VLOOKUP(UncLookup[[#This Row],[Item]],Items!$A$1:$F$43,3,FALSE)=0,"",VLOOKUP(UncLookup[[#This Row],[Item]],Items!$A$1:$F$43,3,FALSE))</f>
        <v/>
      </c>
      <c r="Q744" s="90" t="str">
        <f>IF(VLOOKUP(UncLookup[[#This Row],[Item]],Items!$A$1:$F$43,4,FALSE)=0,"",VLOOKUP(UncLookup[[#This Row],[Item]],Items!$A$1:$F$43,4,FALSE))</f>
        <v/>
      </c>
    </row>
    <row r="745" spans="1:17" x14ac:dyDescent="0.25">
      <c r="A745" s="76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90" t="str">
        <f>IF(VLOOKUP(UncLookup[[#This Row],[Item]],Items!$A$1:$F$43,2,FALSE)=0,"",VLOOKUP(UncLookup[[#This Row],[Item]],Items!$A$1:$F$43,2,FALSE))</f>
        <v/>
      </c>
      <c r="P745" s="90" t="str">
        <f>IF(VLOOKUP(UncLookup[[#This Row],[Item]],Items!$A$1:$F$43,3,FALSE)=0,"",VLOOKUP(UncLookup[[#This Row],[Item]],Items!$A$1:$F$43,3,FALSE))</f>
        <v/>
      </c>
      <c r="Q745" s="90" t="str">
        <f>IF(VLOOKUP(UncLookup[[#This Row],[Item]],Items!$A$1:$F$43,4,FALSE)=0,"",VLOOKUP(UncLookup[[#This Row],[Item]],Items!$A$1:$F$43,4,FALSE))</f>
        <v/>
      </c>
    </row>
    <row r="746" spans="1:17" x14ac:dyDescent="0.25">
      <c r="A746" s="75" t="s">
        <v>56</v>
      </c>
      <c r="B746" s="75" t="s">
        <v>8</v>
      </c>
      <c r="C746" s="75">
        <v>20</v>
      </c>
      <c r="D746" s="75">
        <v>100</v>
      </c>
      <c r="E746" s="75">
        <v>1E-4</v>
      </c>
      <c r="F746" s="75" t="s">
        <v>6</v>
      </c>
      <c r="G746" s="75" t="s">
        <v>4</v>
      </c>
      <c r="H746" s="75">
        <v>1</v>
      </c>
      <c r="I746" s="75">
        <v>20</v>
      </c>
      <c r="J746" s="75" t="s">
        <v>10</v>
      </c>
      <c r="K746" s="75">
        <v>4.9000000000000004</v>
      </c>
      <c r="L746" s="75">
        <v>0.21</v>
      </c>
      <c r="M746" s="75">
        <v>4.8564999999999996</v>
      </c>
      <c r="N746" s="75">
        <v>0.20787</v>
      </c>
      <c r="O746" s="90" t="str">
        <f>IF(VLOOKUP(UncLookup[[#This Row],[Item]],Items!$A$1:$F$43,2,FALSE)=0,"",VLOOKUP(UncLookup[[#This Row],[Item]],Items!$A$1:$F$43,2,FALSE))</f>
        <v/>
      </c>
      <c r="P746" s="90" t="str">
        <f>IF(VLOOKUP(UncLookup[[#This Row],[Item]],Items!$A$1:$F$43,3,FALSE)=0,"",VLOOKUP(UncLookup[[#This Row],[Item]],Items!$A$1:$F$43,3,FALSE))</f>
        <v/>
      </c>
      <c r="Q746" s="90" t="str">
        <f>IF(VLOOKUP(UncLookup[[#This Row],[Item]],Items!$A$1:$F$43,4,FALSE)=0,"",VLOOKUP(UncLookup[[#This Row],[Item]],Items!$A$1:$F$43,4,FALSE))</f>
        <v/>
      </c>
    </row>
    <row r="747" spans="1:17" x14ac:dyDescent="0.25">
      <c r="A747" s="76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90" t="str">
        <f>IF(VLOOKUP(UncLookup[[#This Row],[Item]],Items!$A$1:$F$43,2,FALSE)=0,"",VLOOKUP(UncLookup[[#This Row],[Item]],Items!$A$1:$F$43,2,FALSE))</f>
        <v/>
      </c>
      <c r="P747" s="90" t="str">
        <f>IF(VLOOKUP(UncLookup[[#This Row],[Item]],Items!$A$1:$F$43,3,FALSE)=0,"",VLOOKUP(UncLookup[[#This Row],[Item]],Items!$A$1:$F$43,3,FALSE))</f>
        <v/>
      </c>
      <c r="Q747" s="90" t="str">
        <f>IF(VLOOKUP(UncLookup[[#This Row],[Item]],Items!$A$1:$F$43,4,FALSE)=0,"",VLOOKUP(UncLookup[[#This Row],[Item]],Items!$A$1:$F$43,4,FALSE))</f>
        <v/>
      </c>
    </row>
    <row r="748" spans="1:17" x14ac:dyDescent="0.25">
      <c r="A748" s="75" t="s">
        <v>56</v>
      </c>
      <c r="B748" s="75" t="s">
        <v>8</v>
      </c>
      <c r="C748" s="75">
        <v>20</v>
      </c>
      <c r="D748" s="75">
        <v>100</v>
      </c>
      <c r="E748" s="75">
        <v>1E-4</v>
      </c>
      <c r="F748" s="75" t="s">
        <v>6</v>
      </c>
      <c r="G748" s="75" t="s">
        <v>4</v>
      </c>
      <c r="H748" s="75">
        <v>0.04</v>
      </c>
      <c r="I748" s="75">
        <v>1</v>
      </c>
      <c r="J748" s="75" t="s">
        <v>10</v>
      </c>
      <c r="K748" s="75">
        <v>2.7</v>
      </c>
      <c r="L748" s="75">
        <v>0.23180000000000001</v>
      </c>
      <c r="M748" s="75">
        <v>2.2759999999999998</v>
      </c>
      <c r="N748" s="75">
        <v>0.23386000000000001</v>
      </c>
      <c r="O748" s="90" t="str">
        <f>IF(VLOOKUP(UncLookup[[#This Row],[Item]],Items!$A$1:$F$43,2,FALSE)=0,"",VLOOKUP(UncLookup[[#This Row],[Item]],Items!$A$1:$F$43,2,FALSE))</f>
        <v/>
      </c>
      <c r="P748" s="90" t="str">
        <f>IF(VLOOKUP(UncLookup[[#This Row],[Item]],Items!$A$1:$F$43,3,FALSE)=0,"",VLOOKUP(UncLookup[[#This Row],[Item]],Items!$A$1:$F$43,3,FALSE))</f>
        <v/>
      </c>
      <c r="Q748" s="90" t="str">
        <f>IF(VLOOKUP(UncLookup[[#This Row],[Item]],Items!$A$1:$F$43,4,FALSE)=0,"",VLOOKUP(UncLookup[[#This Row],[Item]],Items!$A$1:$F$43,4,FALSE))</f>
        <v/>
      </c>
    </row>
    <row r="749" spans="1:17" x14ac:dyDescent="0.25">
      <c r="A749" s="76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90" t="str">
        <f>IF(VLOOKUP(UncLookup[[#This Row],[Item]],Items!$A$1:$F$43,2,FALSE)=0,"",VLOOKUP(UncLookup[[#This Row],[Item]],Items!$A$1:$F$43,2,FALSE))</f>
        <v/>
      </c>
      <c r="P749" s="90" t="str">
        <f>IF(VLOOKUP(UncLookup[[#This Row],[Item]],Items!$A$1:$F$43,3,FALSE)=0,"",VLOOKUP(UncLookup[[#This Row],[Item]],Items!$A$1:$F$43,3,FALSE))</f>
        <v/>
      </c>
      <c r="Q749" s="90" t="str">
        <f>IF(VLOOKUP(UncLookup[[#This Row],[Item]],Items!$A$1:$F$43,4,FALSE)=0,"",VLOOKUP(UncLookup[[#This Row],[Item]],Items!$A$1:$F$43,4,FALSE))</f>
        <v/>
      </c>
    </row>
    <row r="750" spans="1:17" x14ac:dyDescent="0.25">
      <c r="A750" s="75" t="s">
        <v>56</v>
      </c>
      <c r="B750" s="75" t="s">
        <v>8</v>
      </c>
      <c r="C750" s="75">
        <v>20</v>
      </c>
      <c r="D750" s="75">
        <v>100</v>
      </c>
      <c r="E750" s="75">
        <v>1E-4</v>
      </c>
      <c r="F750" s="75" t="s">
        <v>6</v>
      </c>
      <c r="G750" s="75" t="s">
        <v>4</v>
      </c>
      <c r="H750" s="75">
        <v>20</v>
      </c>
      <c r="I750" s="75">
        <v>50</v>
      </c>
      <c r="J750" s="75" t="s">
        <v>10</v>
      </c>
      <c r="K750" s="75">
        <v>6.8</v>
      </c>
      <c r="L750" s="75">
        <v>0.36642000000000002</v>
      </c>
      <c r="M750" s="75">
        <v>6.7324000000000002</v>
      </c>
      <c r="N750" s="75">
        <v>0.36645</v>
      </c>
      <c r="O750" s="90" t="str">
        <f>IF(VLOOKUP(UncLookup[[#This Row],[Item]],Items!$A$1:$F$43,2,FALSE)=0,"",VLOOKUP(UncLookup[[#This Row],[Item]],Items!$A$1:$F$43,2,FALSE))</f>
        <v/>
      </c>
      <c r="P750" s="90" t="str">
        <f>IF(VLOOKUP(UncLookup[[#This Row],[Item]],Items!$A$1:$F$43,3,FALSE)=0,"",VLOOKUP(UncLookup[[#This Row],[Item]],Items!$A$1:$F$43,3,FALSE))</f>
        <v/>
      </c>
      <c r="Q750" s="90" t="str">
        <f>IF(VLOOKUP(UncLookup[[#This Row],[Item]],Items!$A$1:$F$43,4,FALSE)=0,"",VLOOKUP(UncLookup[[#This Row],[Item]],Items!$A$1:$F$43,4,FALSE))</f>
        <v/>
      </c>
    </row>
    <row r="751" spans="1:17" x14ac:dyDescent="0.25">
      <c r="A751" s="76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90" t="str">
        <f>IF(VLOOKUP(UncLookup[[#This Row],[Item]],Items!$A$1:$F$43,2,FALSE)=0,"",VLOOKUP(UncLookup[[#This Row],[Item]],Items!$A$1:$F$43,2,FALSE))</f>
        <v/>
      </c>
      <c r="P751" s="90" t="str">
        <f>IF(VLOOKUP(UncLookup[[#This Row],[Item]],Items!$A$1:$F$43,3,FALSE)=0,"",VLOOKUP(UncLookup[[#This Row],[Item]],Items!$A$1:$F$43,3,FALSE))</f>
        <v/>
      </c>
      <c r="Q751" s="90" t="str">
        <f>IF(VLOOKUP(UncLookup[[#This Row],[Item]],Items!$A$1:$F$43,4,FALSE)=0,"",VLOOKUP(UncLookup[[#This Row],[Item]],Items!$A$1:$F$43,4,FALSE))</f>
        <v/>
      </c>
    </row>
    <row r="752" spans="1:17" x14ac:dyDescent="0.25">
      <c r="A752" s="75" t="s">
        <v>56</v>
      </c>
      <c r="B752" s="75" t="s">
        <v>8</v>
      </c>
      <c r="C752" s="75">
        <v>20</v>
      </c>
      <c r="D752" s="75">
        <v>100</v>
      </c>
      <c r="E752" s="75">
        <v>1E-3</v>
      </c>
      <c r="F752" s="75" t="s">
        <v>6</v>
      </c>
      <c r="G752" s="75" t="s">
        <v>4</v>
      </c>
      <c r="H752" s="75">
        <v>20</v>
      </c>
      <c r="I752" s="75">
        <v>50</v>
      </c>
      <c r="J752" s="75" t="s">
        <v>10</v>
      </c>
      <c r="K752" s="75">
        <v>6.8</v>
      </c>
      <c r="L752" s="75">
        <v>0.36631000000000002</v>
      </c>
      <c r="M752" s="75">
        <v>6.7495000000000003</v>
      </c>
      <c r="N752" s="75">
        <v>0.36631999999999998</v>
      </c>
      <c r="O752" s="90" t="str">
        <f>IF(VLOOKUP(UncLookup[[#This Row],[Item]],Items!$A$1:$F$43,2,FALSE)=0,"",VLOOKUP(UncLookup[[#This Row],[Item]],Items!$A$1:$F$43,2,FALSE))</f>
        <v/>
      </c>
      <c r="P752" s="90" t="str">
        <f>IF(VLOOKUP(UncLookup[[#This Row],[Item]],Items!$A$1:$F$43,3,FALSE)=0,"",VLOOKUP(UncLookup[[#This Row],[Item]],Items!$A$1:$F$43,3,FALSE))</f>
        <v/>
      </c>
      <c r="Q752" s="90" t="str">
        <f>IF(VLOOKUP(UncLookup[[#This Row],[Item]],Items!$A$1:$F$43,4,FALSE)=0,"",VLOOKUP(UncLookup[[#This Row],[Item]],Items!$A$1:$F$43,4,FALSE))</f>
        <v/>
      </c>
    </row>
    <row r="753" spans="1:17" x14ac:dyDescent="0.25">
      <c r="A753" s="76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90" t="str">
        <f>IF(VLOOKUP(UncLookup[[#This Row],[Item]],Items!$A$1:$F$43,2,FALSE)=0,"",VLOOKUP(UncLookup[[#This Row],[Item]],Items!$A$1:$F$43,2,FALSE))</f>
        <v/>
      </c>
      <c r="P753" s="90" t="str">
        <f>IF(VLOOKUP(UncLookup[[#This Row],[Item]],Items!$A$1:$F$43,3,FALSE)=0,"",VLOOKUP(UncLookup[[#This Row],[Item]],Items!$A$1:$F$43,3,FALSE))</f>
        <v/>
      </c>
      <c r="Q753" s="90" t="str">
        <f>IF(VLOOKUP(UncLookup[[#This Row],[Item]],Items!$A$1:$F$43,4,FALSE)=0,"",VLOOKUP(UncLookup[[#This Row],[Item]],Items!$A$1:$F$43,4,FALSE))</f>
        <v/>
      </c>
    </row>
    <row r="754" spans="1:17" x14ac:dyDescent="0.25">
      <c r="A754" s="75" t="s">
        <v>56</v>
      </c>
      <c r="B754" s="75" t="s">
        <v>8</v>
      </c>
      <c r="C754" s="75">
        <v>20</v>
      </c>
      <c r="D754" s="75">
        <v>100</v>
      </c>
      <c r="E754" s="75">
        <v>1E-3</v>
      </c>
      <c r="F754" s="75" t="s">
        <v>6</v>
      </c>
      <c r="G754" s="75" t="s">
        <v>4</v>
      </c>
      <c r="H754" s="75">
        <v>0.04</v>
      </c>
      <c r="I754" s="75">
        <v>1</v>
      </c>
      <c r="J754" s="75" t="s">
        <v>10</v>
      </c>
      <c r="K754" s="75">
        <v>2.7</v>
      </c>
      <c r="L754" s="75">
        <v>0.23188</v>
      </c>
      <c r="M754" s="75">
        <v>2.2997999999999998</v>
      </c>
      <c r="N754" s="75">
        <v>0.23363999999999999</v>
      </c>
      <c r="O754" s="90" t="str">
        <f>IF(VLOOKUP(UncLookup[[#This Row],[Item]],Items!$A$1:$F$43,2,FALSE)=0,"",VLOOKUP(UncLookup[[#This Row],[Item]],Items!$A$1:$F$43,2,FALSE))</f>
        <v/>
      </c>
      <c r="P754" s="90" t="str">
        <f>IF(VLOOKUP(UncLookup[[#This Row],[Item]],Items!$A$1:$F$43,3,FALSE)=0,"",VLOOKUP(UncLookup[[#This Row],[Item]],Items!$A$1:$F$43,3,FALSE))</f>
        <v/>
      </c>
      <c r="Q754" s="90" t="str">
        <f>IF(VLOOKUP(UncLookup[[#This Row],[Item]],Items!$A$1:$F$43,4,FALSE)=0,"",VLOOKUP(UncLookup[[#This Row],[Item]],Items!$A$1:$F$43,4,FALSE))</f>
        <v/>
      </c>
    </row>
    <row r="755" spans="1:17" x14ac:dyDescent="0.25">
      <c r="A755" s="76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90" t="str">
        <f>IF(VLOOKUP(UncLookup[[#This Row],[Item]],Items!$A$1:$F$43,2,FALSE)=0,"",VLOOKUP(UncLookup[[#This Row],[Item]],Items!$A$1:$F$43,2,FALSE))</f>
        <v/>
      </c>
      <c r="P755" s="90" t="str">
        <f>IF(VLOOKUP(UncLookup[[#This Row],[Item]],Items!$A$1:$F$43,3,FALSE)=0,"",VLOOKUP(UncLookup[[#This Row],[Item]],Items!$A$1:$F$43,3,FALSE))</f>
        <v/>
      </c>
      <c r="Q755" s="90" t="str">
        <f>IF(VLOOKUP(UncLookup[[#This Row],[Item]],Items!$A$1:$F$43,4,FALSE)=0,"",VLOOKUP(UncLookup[[#This Row],[Item]],Items!$A$1:$F$43,4,FALSE))</f>
        <v/>
      </c>
    </row>
    <row r="756" spans="1:17" x14ac:dyDescent="0.25">
      <c r="A756" s="75" t="s">
        <v>56</v>
      </c>
      <c r="B756" s="75" t="s">
        <v>8</v>
      </c>
      <c r="C756" s="75">
        <v>20</v>
      </c>
      <c r="D756" s="75">
        <v>100</v>
      </c>
      <c r="E756" s="75">
        <v>0.01</v>
      </c>
      <c r="F756" s="75" t="s">
        <v>6</v>
      </c>
      <c r="G756" s="75" t="s">
        <v>4</v>
      </c>
      <c r="H756" s="75">
        <v>1E-3</v>
      </c>
      <c r="I756" s="75">
        <v>0.04</v>
      </c>
      <c r="J756" s="75" t="s">
        <v>10</v>
      </c>
      <c r="K756" s="75">
        <v>6.5042</v>
      </c>
      <c r="L756" s="75">
        <v>0.22022</v>
      </c>
      <c r="M756" s="75">
        <v>6.5015000000000001</v>
      </c>
      <c r="N756" s="75">
        <v>0.22022</v>
      </c>
      <c r="O756" s="90" t="str">
        <f>IF(VLOOKUP(UncLookup[[#This Row],[Item]],Items!$A$1:$F$43,2,FALSE)=0,"",VLOOKUP(UncLookup[[#This Row],[Item]],Items!$A$1:$F$43,2,FALSE))</f>
        <v/>
      </c>
      <c r="P756" s="90" t="str">
        <f>IF(VLOOKUP(UncLookup[[#This Row],[Item]],Items!$A$1:$F$43,3,FALSE)=0,"",VLOOKUP(UncLookup[[#This Row],[Item]],Items!$A$1:$F$43,3,FALSE))</f>
        <v/>
      </c>
      <c r="Q756" s="90" t="str">
        <f>IF(VLOOKUP(UncLookup[[#This Row],[Item]],Items!$A$1:$F$43,4,FALSE)=0,"",VLOOKUP(UncLookup[[#This Row],[Item]],Items!$A$1:$F$43,4,FALSE))</f>
        <v/>
      </c>
    </row>
    <row r="757" spans="1:17" x14ac:dyDescent="0.25">
      <c r="A757" s="76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90" t="str">
        <f>IF(VLOOKUP(UncLookup[[#This Row],[Item]],Items!$A$1:$F$43,2,FALSE)=0,"",VLOOKUP(UncLookup[[#This Row],[Item]],Items!$A$1:$F$43,2,FALSE))</f>
        <v/>
      </c>
      <c r="P757" s="90" t="str">
        <f>IF(VLOOKUP(UncLookup[[#This Row],[Item]],Items!$A$1:$F$43,3,FALSE)=0,"",VLOOKUP(UncLookup[[#This Row],[Item]],Items!$A$1:$F$43,3,FALSE))</f>
        <v/>
      </c>
      <c r="Q757" s="90" t="str">
        <f>IF(VLOOKUP(UncLookup[[#This Row],[Item]],Items!$A$1:$F$43,4,FALSE)=0,"",VLOOKUP(UncLookup[[#This Row],[Item]],Items!$A$1:$F$43,4,FALSE))</f>
        <v/>
      </c>
    </row>
    <row r="758" spans="1:17" x14ac:dyDescent="0.25">
      <c r="A758" s="75" t="s">
        <v>56</v>
      </c>
      <c r="B758" s="75" t="s">
        <v>8</v>
      </c>
      <c r="C758" s="75">
        <v>20</v>
      </c>
      <c r="D758" s="75">
        <v>100</v>
      </c>
      <c r="E758" s="75">
        <v>0.01</v>
      </c>
      <c r="F758" s="75" t="s">
        <v>6</v>
      </c>
      <c r="G758" s="75" t="s">
        <v>4</v>
      </c>
      <c r="H758" s="75">
        <v>20</v>
      </c>
      <c r="I758" s="75">
        <v>50</v>
      </c>
      <c r="J758" s="75" t="s">
        <v>10</v>
      </c>
      <c r="K758" s="75">
        <v>8.3577999999999992</v>
      </c>
      <c r="L758" s="75">
        <v>0.35409000000000002</v>
      </c>
      <c r="M758" s="75">
        <v>8.3518000000000008</v>
      </c>
      <c r="N758" s="75">
        <v>0.35408000000000001</v>
      </c>
      <c r="O758" s="90" t="str">
        <f>IF(VLOOKUP(UncLookup[[#This Row],[Item]],Items!$A$1:$F$43,2,FALSE)=0,"",VLOOKUP(UncLookup[[#This Row],[Item]],Items!$A$1:$F$43,2,FALSE))</f>
        <v/>
      </c>
      <c r="P758" s="90" t="str">
        <f>IF(VLOOKUP(UncLookup[[#This Row],[Item]],Items!$A$1:$F$43,3,FALSE)=0,"",VLOOKUP(UncLookup[[#This Row],[Item]],Items!$A$1:$F$43,3,FALSE))</f>
        <v/>
      </c>
      <c r="Q758" s="90" t="str">
        <f>IF(VLOOKUP(UncLookup[[#This Row],[Item]],Items!$A$1:$F$43,4,FALSE)=0,"",VLOOKUP(UncLookup[[#This Row],[Item]],Items!$A$1:$F$43,4,FALSE))</f>
        <v/>
      </c>
    </row>
    <row r="759" spans="1:17" x14ac:dyDescent="0.25">
      <c r="A759" s="76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90" t="str">
        <f>IF(VLOOKUP(UncLookup[[#This Row],[Item]],Items!$A$1:$F$43,2,FALSE)=0,"",VLOOKUP(UncLookup[[#This Row],[Item]],Items!$A$1:$F$43,2,FALSE))</f>
        <v/>
      </c>
      <c r="P759" s="90" t="str">
        <f>IF(VLOOKUP(UncLookup[[#This Row],[Item]],Items!$A$1:$F$43,3,FALSE)=0,"",VLOOKUP(UncLookup[[#This Row],[Item]],Items!$A$1:$F$43,3,FALSE))</f>
        <v/>
      </c>
      <c r="Q759" s="90" t="str">
        <f>IF(VLOOKUP(UncLookup[[#This Row],[Item]],Items!$A$1:$F$43,4,FALSE)=0,"",VLOOKUP(UncLookup[[#This Row],[Item]],Items!$A$1:$F$43,4,FALSE))</f>
        <v/>
      </c>
    </row>
    <row r="760" spans="1:17" x14ac:dyDescent="0.25">
      <c r="A760" s="75" t="s">
        <v>56</v>
      </c>
      <c r="B760" s="75" t="s">
        <v>8</v>
      </c>
      <c r="C760" s="75">
        <v>20</v>
      </c>
      <c r="D760" s="75">
        <v>100</v>
      </c>
      <c r="E760" s="75">
        <v>0.01</v>
      </c>
      <c r="F760" s="75" t="s">
        <v>6</v>
      </c>
      <c r="G760" s="75" t="s">
        <v>4</v>
      </c>
      <c r="H760" s="75">
        <v>50</v>
      </c>
      <c r="I760" s="75">
        <v>100</v>
      </c>
      <c r="J760" s="75" t="s">
        <v>10</v>
      </c>
      <c r="K760" s="75">
        <v>22</v>
      </c>
      <c r="L760" s="75">
        <v>1.2047000000000001</v>
      </c>
      <c r="M760" s="75">
        <v>18.315000000000001</v>
      </c>
      <c r="N760" s="75">
        <v>1.2311000000000001</v>
      </c>
      <c r="O760" s="90" t="str">
        <f>IF(VLOOKUP(UncLookup[[#This Row],[Item]],Items!$A$1:$F$43,2,FALSE)=0,"",VLOOKUP(UncLookup[[#This Row],[Item]],Items!$A$1:$F$43,2,FALSE))</f>
        <v/>
      </c>
      <c r="P760" s="90" t="str">
        <f>IF(VLOOKUP(UncLookup[[#This Row],[Item]],Items!$A$1:$F$43,3,FALSE)=0,"",VLOOKUP(UncLookup[[#This Row],[Item]],Items!$A$1:$F$43,3,FALSE))</f>
        <v/>
      </c>
      <c r="Q760" s="90" t="str">
        <f>IF(VLOOKUP(UncLookup[[#This Row],[Item]],Items!$A$1:$F$43,4,FALSE)=0,"",VLOOKUP(UncLookup[[#This Row],[Item]],Items!$A$1:$F$43,4,FALSE))</f>
        <v/>
      </c>
    </row>
    <row r="761" spans="1:17" x14ac:dyDescent="0.25">
      <c r="A761" s="76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90" t="str">
        <f>IF(VLOOKUP(UncLookup[[#This Row],[Item]],Items!$A$1:$F$43,2,FALSE)=0,"",VLOOKUP(UncLookup[[#This Row],[Item]],Items!$A$1:$F$43,2,FALSE))</f>
        <v/>
      </c>
      <c r="P761" s="90" t="str">
        <f>IF(VLOOKUP(UncLookup[[#This Row],[Item]],Items!$A$1:$F$43,3,FALSE)=0,"",VLOOKUP(UncLookup[[#This Row],[Item]],Items!$A$1:$F$43,3,FALSE))</f>
        <v/>
      </c>
      <c r="Q761" s="90" t="str">
        <f>IF(VLOOKUP(UncLookup[[#This Row],[Item]],Items!$A$1:$F$43,4,FALSE)=0,"",VLOOKUP(UncLookup[[#This Row],[Item]],Items!$A$1:$F$43,4,FALSE))</f>
        <v/>
      </c>
    </row>
    <row r="762" spans="1:17" x14ac:dyDescent="0.25">
      <c r="A762" s="75" t="s">
        <v>56</v>
      </c>
      <c r="B762" s="75" t="s">
        <v>8</v>
      </c>
      <c r="C762" s="75">
        <v>20</v>
      </c>
      <c r="D762" s="75">
        <v>100</v>
      </c>
      <c r="E762" s="75">
        <v>0.1</v>
      </c>
      <c r="F762" s="75" t="s">
        <v>6</v>
      </c>
      <c r="G762" s="75" t="s">
        <v>4</v>
      </c>
      <c r="H762" s="75">
        <v>0.04</v>
      </c>
      <c r="I762" s="75">
        <v>1</v>
      </c>
      <c r="J762" s="75" t="s">
        <v>10</v>
      </c>
      <c r="K762" s="75">
        <v>56.896000000000001</v>
      </c>
      <c r="L762" s="75">
        <v>6.2831999999999999E-2</v>
      </c>
      <c r="M762" s="75">
        <v>56.895000000000003</v>
      </c>
      <c r="N762" s="75">
        <v>6.2796000000000005E-2</v>
      </c>
      <c r="O762" s="90" t="str">
        <f>IF(VLOOKUP(UncLookup[[#This Row],[Item]],Items!$A$1:$F$43,2,FALSE)=0,"",VLOOKUP(UncLookup[[#This Row],[Item]],Items!$A$1:$F$43,2,FALSE))</f>
        <v/>
      </c>
      <c r="P762" s="90" t="str">
        <f>IF(VLOOKUP(UncLookup[[#This Row],[Item]],Items!$A$1:$F$43,3,FALSE)=0,"",VLOOKUP(UncLookup[[#This Row],[Item]],Items!$A$1:$F$43,3,FALSE))</f>
        <v/>
      </c>
      <c r="Q762" s="90" t="str">
        <f>IF(VLOOKUP(UncLookup[[#This Row],[Item]],Items!$A$1:$F$43,4,FALSE)=0,"",VLOOKUP(UncLookup[[#This Row],[Item]],Items!$A$1:$F$43,4,FALSE))</f>
        <v/>
      </c>
    </row>
    <row r="763" spans="1:17" x14ac:dyDescent="0.25">
      <c r="A763" s="76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90" t="str">
        <f>IF(VLOOKUP(UncLookup[[#This Row],[Item]],Items!$A$1:$F$43,2,FALSE)=0,"",VLOOKUP(UncLookup[[#This Row],[Item]],Items!$A$1:$F$43,2,FALSE))</f>
        <v/>
      </c>
      <c r="P763" s="90" t="str">
        <f>IF(VLOOKUP(UncLookup[[#This Row],[Item]],Items!$A$1:$F$43,3,FALSE)=0,"",VLOOKUP(UncLookup[[#This Row],[Item]],Items!$A$1:$F$43,3,FALSE))</f>
        <v/>
      </c>
      <c r="Q763" s="90" t="str">
        <f>IF(VLOOKUP(UncLookup[[#This Row],[Item]],Items!$A$1:$F$43,4,FALSE)=0,"",VLOOKUP(UncLookup[[#This Row],[Item]],Items!$A$1:$F$43,4,FALSE))</f>
        <v/>
      </c>
    </row>
    <row r="764" spans="1:17" x14ac:dyDescent="0.25">
      <c r="A764" s="75" t="s">
        <v>56</v>
      </c>
      <c r="B764" s="75" t="s">
        <v>8</v>
      </c>
      <c r="C764" s="75">
        <v>20</v>
      </c>
      <c r="D764" s="75">
        <v>100</v>
      </c>
      <c r="E764" s="75">
        <v>0.1</v>
      </c>
      <c r="F764" s="75" t="s">
        <v>6</v>
      </c>
      <c r="G764" s="75" t="s">
        <v>4</v>
      </c>
      <c r="H764" s="75">
        <v>50</v>
      </c>
      <c r="I764" s="75">
        <v>100</v>
      </c>
      <c r="J764" s="75" t="s">
        <v>10</v>
      </c>
      <c r="K764" s="75">
        <v>55.390999999999998</v>
      </c>
      <c r="L764" s="75">
        <v>0.97270000000000001</v>
      </c>
      <c r="M764" s="75">
        <v>55.372999999999998</v>
      </c>
      <c r="N764" s="75">
        <v>0.97270000000000001</v>
      </c>
      <c r="O764" s="90" t="str">
        <f>IF(VLOOKUP(UncLookup[[#This Row],[Item]],Items!$A$1:$F$43,2,FALSE)=0,"",VLOOKUP(UncLookup[[#This Row],[Item]],Items!$A$1:$F$43,2,FALSE))</f>
        <v/>
      </c>
      <c r="P764" s="90" t="str">
        <f>IF(VLOOKUP(UncLookup[[#This Row],[Item]],Items!$A$1:$F$43,3,FALSE)=0,"",VLOOKUP(UncLookup[[#This Row],[Item]],Items!$A$1:$F$43,3,FALSE))</f>
        <v/>
      </c>
      <c r="Q764" s="90" t="str">
        <f>IF(VLOOKUP(UncLookup[[#This Row],[Item]],Items!$A$1:$F$43,4,FALSE)=0,"",VLOOKUP(UncLookup[[#This Row],[Item]],Items!$A$1:$F$43,4,FALSE))</f>
        <v/>
      </c>
    </row>
    <row r="765" spans="1:17" x14ac:dyDescent="0.25">
      <c r="A765" s="76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90" t="str">
        <f>IF(VLOOKUP(UncLookup[[#This Row],[Item]],Items!$A$1:$F$43,2,FALSE)=0,"",VLOOKUP(UncLookup[[#This Row],[Item]],Items!$A$1:$F$43,2,FALSE))</f>
        <v/>
      </c>
      <c r="P765" s="90" t="str">
        <f>IF(VLOOKUP(UncLookup[[#This Row],[Item]],Items!$A$1:$F$43,3,FALSE)=0,"",VLOOKUP(UncLookup[[#This Row],[Item]],Items!$A$1:$F$43,3,FALSE))</f>
        <v/>
      </c>
      <c r="Q765" s="90" t="str">
        <f>IF(VLOOKUP(UncLookup[[#This Row],[Item]],Items!$A$1:$F$43,4,FALSE)=0,"",VLOOKUP(UncLookup[[#This Row],[Item]],Items!$A$1:$F$43,4,FALSE))</f>
        <v/>
      </c>
    </row>
    <row r="766" spans="1:17" x14ac:dyDescent="0.25">
      <c r="A766" s="75" t="s">
        <v>56</v>
      </c>
      <c r="B766" s="75" t="s">
        <v>8</v>
      </c>
      <c r="C766" s="75">
        <v>20</v>
      </c>
      <c r="D766" s="75">
        <v>100</v>
      </c>
      <c r="E766" s="75">
        <v>1</v>
      </c>
      <c r="F766" s="75" t="s">
        <v>6</v>
      </c>
      <c r="G766" s="75" t="s">
        <v>4</v>
      </c>
      <c r="H766" s="75">
        <v>1</v>
      </c>
      <c r="I766" s="75">
        <v>20</v>
      </c>
      <c r="J766" s="75" t="s">
        <v>10</v>
      </c>
      <c r="K766" s="75">
        <v>577.34</v>
      </c>
      <c r="L766" s="75">
        <v>5.8763000000000001E-3</v>
      </c>
      <c r="M766" s="75">
        <v>576.84</v>
      </c>
      <c r="N766" s="75">
        <v>5.8618000000000003E-3</v>
      </c>
      <c r="O766" s="90" t="str">
        <f>IF(VLOOKUP(UncLookup[[#This Row],[Item]],Items!$A$1:$F$43,2,FALSE)=0,"",VLOOKUP(UncLookup[[#This Row],[Item]],Items!$A$1:$F$43,2,FALSE))</f>
        <v/>
      </c>
      <c r="P766" s="90" t="str">
        <f>IF(VLOOKUP(UncLookup[[#This Row],[Item]],Items!$A$1:$F$43,3,FALSE)=0,"",VLOOKUP(UncLookup[[#This Row],[Item]],Items!$A$1:$F$43,3,FALSE))</f>
        <v/>
      </c>
      <c r="Q766" s="90" t="str">
        <f>IF(VLOOKUP(UncLookup[[#This Row],[Item]],Items!$A$1:$F$43,4,FALSE)=0,"",VLOOKUP(UncLookup[[#This Row],[Item]],Items!$A$1:$F$43,4,FALSE))</f>
        <v/>
      </c>
    </row>
    <row r="767" spans="1:17" x14ac:dyDescent="0.25">
      <c r="A767" s="76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90" t="str">
        <f>IF(VLOOKUP(UncLookup[[#This Row],[Item]],Items!$A$1:$F$43,2,FALSE)=0,"",VLOOKUP(UncLookup[[#This Row],[Item]],Items!$A$1:$F$43,2,FALSE))</f>
        <v/>
      </c>
      <c r="P767" s="90" t="str">
        <f>IF(VLOOKUP(UncLookup[[#This Row],[Item]],Items!$A$1:$F$43,3,FALSE)=0,"",VLOOKUP(UncLookup[[#This Row],[Item]],Items!$A$1:$F$43,3,FALSE))</f>
        <v/>
      </c>
      <c r="Q767" s="90" t="str">
        <f>IF(VLOOKUP(UncLookup[[#This Row],[Item]],Items!$A$1:$F$43,4,FALSE)=0,"",VLOOKUP(UncLookup[[#This Row],[Item]],Items!$A$1:$F$43,4,FALSE))</f>
        <v/>
      </c>
    </row>
    <row r="768" spans="1:17" x14ac:dyDescent="0.25">
      <c r="A768" s="75" t="s">
        <v>56</v>
      </c>
      <c r="B768" s="75" t="s">
        <v>8</v>
      </c>
      <c r="C768" s="75">
        <v>20</v>
      </c>
      <c r="D768" s="75">
        <v>100</v>
      </c>
      <c r="E768" s="75">
        <v>1</v>
      </c>
      <c r="F768" s="75" t="s">
        <v>6</v>
      </c>
      <c r="G768" s="75" t="s">
        <v>4</v>
      </c>
      <c r="H768" s="75">
        <v>50</v>
      </c>
      <c r="I768" s="75">
        <v>100</v>
      </c>
      <c r="J768" s="75" t="s">
        <v>10</v>
      </c>
      <c r="K768" s="75">
        <v>576.34</v>
      </c>
      <c r="L768" s="75">
        <v>0.18074999999999999</v>
      </c>
      <c r="M768" s="75">
        <v>568.41</v>
      </c>
      <c r="N768" s="75">
        <v>0.18063000000000001</v>
      </c>
      <c r="O768" s="90" t="str">
        <f>IF(VLOOKUP(UncLookup[[#This Row],[Item]],Items!$A$1:$F$43,2,FALSE)=0,"",VLOOKUP(UncLookup[[#This Row],[Item]],Items!$A$1:$F$43,2,FALSE))</f>
        <v/>
      </c>
      <c r="P768" s="90" t="str">
        <f>IF(VLOOKUP(UncLookup[[#This Row],[Item]],Items!$A$1:$F$43,3,FALSE)=0,"",VLOOKUP(UncLookup[[#This Row],[Item]],Items!$A$1:$F$43,3,FALSE))</f>
        <v/>
      </c>
      <c r="Q768" s="90" t="str">
        <f>IF(VLOOKUP(UncLookup[[#This Row],[Item]],Items!$A$1:$F$43,4,FALSE)=0,"",VLOOKUP(UncLookup[[#This Row],[Item]],Items!$A$1:$F$43,4,FALSE))</f>
        <v/>
      </c>
    </row>
    <row r="769" spans="1:17" x14ac:dyDescent="0.25">
      <c r="A769" s="76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90" t="str">
        <f>IF(VLOOKUP(UncLookup[[#This Row],[Item]],Items!$A$1:$F$43,2,FALSE)=0,"",VLOOKUP(UncLookup[[#This Row],[Item]],Items!$A$1:$F$43,2,FALSE))</f>
        <v/>
      </c>
      <c r="P769" s="90" t="str">
        <f>IF(VLOOKUP(UncLookup[[#This Row],[Item]],Items!$A$1:$F$43,3,FALSE)=0,"",VLOOKUP(UncLookup[[#This Row],[Item]],Items!$A$1:$F$43,3,FALSE))</f>
        <v/>
      </c>
      <c r="Q769" s="90" t="str">
        <f>IF(VLOOKUP(UncLookup[[#This Row],[Item]],Items!$A$1:$F$43,4,FALSE)=0,"",VLOOKUP(UncLookup[[#This Row],[Item]],Items!$A$1:$F$43,4,FALSE))</f>
        <v/>
      </c>
    </row>
    <row r="770" spans="1:17" x14ac:dyDescent="0.25">
      <c r="A770" s="75" t="s">
        <v>56</v>
      </c>
      <c r="B770" s="75" t="s">
        <v>8</v>
      </c>
      <c r="C770" s="75">
        <v>20</v>
      </c>
      <c r="D770" s="75">
        <v>100</v>
      </c>
      <c r="E770" s="75">
        <v>1</v>
      </c>
      <c r="F770" s="75" t="s">
        <v>6</v>
      </c>
      <c r="G770" s="75" t="s">
        <v>4</v>
      </c>
      <c r="H770" s="75">
        <v>20</v>
      </c>
      <c r="I770" s="75">
        <v>50</v>
      </c>
      <c r="J770" s="75" t="s">
        <v>10</v>
      </c>
      <c r="K770" s="75">
        <v>577.28</v>
      </c>
      <c r="L770" s="75">
        <v>1.7106E-2</v>
      </c>
      <c r="M770" s="75">
        <v>575.94000000000005</v>
      </c>
      <c r="N770" s="75">
        <v>1.704E-2</v>
      </c>
      <c r="O770" s="90" t="str">
        <f>IF(VLOOKUP(UncLookup[[#This Row],[Item]],Items!$A$1:$F$43,2,FALSE)=0,"",VLOOKUP(UncLookup[[#This Row],[Item]],Items!$A$1:$F$43,2,FALSE))</f>
        <v/>
      </c>
      <c r="P770" s="90" t="str">
        <f>IF(VLOOKUP(UncLookup[[#This Row],[Item]],Items!$A$1:$F$43,3,FALSE)=0,"",VLOOKUP(UncLookup[[#This Row],[Item]],Items!$A$1:$F$43,3,FALSE))</f>
        <v/>
      </c>
      <c r="Q770" s="90" t="str">
        <f>IF(VLOOKUP(UncLookup[[#This Row],[Item]],Items!$A$1:$F$43,4,FALSE)=0,"",VLOOKUP(UncLookup[[#This Row],[Item]],Items!$A$1:$F$43,4,FALSE))</f>
        <v/>
      </c>
    </row>
    <row r="771" spans="1:17" x14ac:dyDescent="0.25">
      <c r="A771" s="76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90" t="str">
        <f>IF(VLOOKUP(UncLookup[[#This Row],[Item]],Items!$A$1:$F$43,2,FALSE)=0,"",VLOOKUP(UncLookup[[#This Row],[Item]],Items!$A$1:$F$43,2,FALSE))</f>
        <v/>
      </c>
      <c r="P771" s="90" t="str">
        <f>IF(VLOOKUP(UncLookup[[#This Row],[Item]],Items!$A$1:$F$43,3,FALSE)=0,"",VLOOKUP(UncLookup[[#This Row],[Item]],Items!$A$1:$F$43,3,FALSE))</f>
        <v/>
      </c>
      <c r="Q771" s="90" t="str">
        <f>IF(VLOOKUP(UncLookup[[#This Row],[Item]],Items!$A$1:$F$43,4,FALSE)=0,"",VLOOKUP(UncLookup[[#This Row],[Item]],Items!$A$1:$F$43,4,FALSE))</f>
        <v/>
      </c>
    </row>
    <row r="772" spans="1:17" x14ac:dyDescent="0.25">
      <c r="A772" s="75" t="s">
        <v>56</v>
      </c>
      <c r="B772" s="75" t="s">
        <v>8</v>
      </c>
      <c r="C772" s="75">
        <v>100</v>
      </c>
      <c r="D772" s="75">
        <v>330</v>
      </c>
      <c r="E772" s="75">
        <v>1E-4</v>
      </c>
      <c r="F772" s="75" t="s">
        <v>6</v>
      </c>
      <c r="G772" s="75" t="s">
        <v>4</v>
      </c>
      <c r="H772" s="75">
        <v>1</v>
      </c>
      <c r="I772" s="75">
        <v>20</v>
      </c>
      <c r="J772" s="75" t="s">
        <v>10</v>
      </c>
      <c r="K772" s="75">
        <v>23</v>
      </c>
      <c r="L772" s="75">
        <v>0.7</v>
      </c>
      <c r="M772" s="75">
        <v>23.059000000000001</v>
      </c>
      <c r="N772" s="75">
        <v>0.69384000000000001</v>
      </c>
      <c r="O772" s="90" t="str">
        <f>IF(VLOOKUP(UncLookup[[#This Row],[Item]],Items!$A$1:$F$43,2,FALSE)=0,"",VLOOKUP(UncLookup[[#This Row],[Item]],Items!$A$1:$F$43,2,FALSE))</f>
        <v/>
      </c>
      <c r="P772" s="90" t="str">
        <f>IF(VLOOKUP(UncLookup[[#This Row],[Item]],Items!$A$1:$F$43,3,FALSE)=0,"",VLOOKUP(UncLookup[[#This Row],[Item]],Items!$A$1:$F$43,3,FALSE))</f>
        <v/>
      </c>
      <c r="Q772" s="90" t="str">
        <f>IF(VLOOKUP(UncLookup[[#This Row],[Item]],Items!$A$1:$F$43,4,FALSE)=0,"",VLOOKUP(UncLookup[[#This Row],[Item]],Items!$A$1:$F$43,4,FALSE))</f>
        <v/>
      </c>
    </row>
    <row r="773" spans="1:17" x14ac:dyDescent="0.25">
      <c r="A773" s="76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90" t="str">
        <f>IF(VLOOKUP(UncLookup[[#This Row],[Item]],Items!$A$1:$F$43,2,FALSE)=0,"",VLOOKUP(UncLookup[[#This Row],[Item]],Items!$A$1:$F$43,2,FALSE))</f>
        <v/>
      </c>
      <c r="P773" s="90" t="str">
        <f>IF(VLOOKUP(UncLookup[[#This Row],[Item]],Items!$A$1:$F$43,3,FALSE)=0,"",VLOOKUP(UncLookup[[#This Row],[Item]],Items!$A$1:$F$43,3,FALSE))</f>
        <v/>
      </c>
      <c r="Q773" s="90" t="str">
        <f>IF(VLOOKUP(UncLookup[[#This Row],[Item]],Items!$A$1:$F$43,4,FALSE)=0,"",VLOOKUP(UncLookup[[#This Row],[Item]],Items!$A$1:$F$43,4,FALSE))</f>
        <v/>
      </c>
    </row>
    <row r="774" spans="1:17" x14ac:dyDescent="0.25">
      <c r="A774" s="75" t="s">
        <v>56</v>
      </c>
      <c r="B774" s="75" t="s">
        <v>8</v>
      </c>
      <c r="C774" s="75">
        <v>100</v>
      </c>
      <c r="D774" s="75">
        <v>330</v>
      </c>
      <c r="E774" s="75">
        <v>1E-4</v>
      </c>
      <c r="F774" s="75" t="s">
        <v>6</v>
      </c>
      <c r="G774" s="75" t="s">
        <v>4</v>
      </c>
      <c r="H774" s="75">
        <v>50</v>
      </c>
      <c r="I774" s="75">
        <v>100</v>
      </c>
      <c r="J774" s="75" t="s">
        <v>10</v>
      </c>
      <c r="K774" s="75">
        <v>23</v>
      </c>
      <c r="L774" s="75">
        <v>3.5</v>
      </c>
      <c r="M774" s="75">
        <v>23.11</v>
      </c>
      <c r="N774" s="75">
        <v>3.4655999999999998</v>
      </c>
      <c r="O774" s="90" t="str">
        <f>IF(VLOOKUP(UncLookup[[#This Row],[Item]],Items!$A$1:$F$43,2,FALSE)=0,"",VLOOKUP(UncLookup[[#This Row],[Item]],Items!$A$1:$F$43,2,FALSE))</f>
        <v/>
      </c>
      <c r="P774" s="90" t="str">
        <f>IF(VLOOKUP(UncLookup[[#This Row],[Item]],Items!$A$1:$F$43,3,FALSE)=0,"",VLOOKUP(UncLookup[[#This Row],[Item]],Items!$A$1:$F$43,3,FALSE))</f>
        <v/>
      </c>
      <c r="Q774" s="90" t="str">
        <f>IF(VLOOKUP(UncLookup[[#This Row],[Item]],Items!$A$1:$F$43,4,FALSE)=0,"",VLOOKUP(UncLookup[[#This Row],[Item]],Items!$A$1:$F$43,4,FALSE))</f>
        <v/>
      </c>
    </row>
    <row r="775" spans="1:17" x14ac:dyDescent="0.25">
      <c r="A775" s="76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90" t="str">
        <f>IF(VLOOKUP(UncLookup[[#This Row],[Item]],Items!$A$1:$F$43,2,FALSE)=0,"",VLOOKUP(UncLookup[[#This Row],[Item]],Items!$A$1:$F$43,2,FALSE))</f>
        <v/>
      </c>
      <c r="P775" s="90" t="str">
        <f>IF(VLOOKUP(UncLookup[[#This Row],[Item]],Items!$A$1:$F$43,3,FALSE)=0,"",VLOOKUP(UncLookup[[#This Row],[Item]],Items!$A$1:$F$43,3,FALSE))</f>
        <v/>
      </c>
      <c r="Q775" s="90" t="str">
        <f>IF(VLOOKUP(UncLookup[[#This Row],[Item]],Items!$A$1:$F$43,4,FALSE)=0,"",VLOOKUP(UncLookup[[#This Row],[Item]],Items!$A$1:$F$43,4,FALSE))</f>
        <v/>
      </c>
    </row>
    <row r="776" spans="1:17" x14ac:dyDescent="0.25">
      <c r="A776" s="75" t="s">
        <v>56</v>
      </c>
      <c r="B776" s="75" t="s">
        <v>8</v>
      </c>
      <c r="C776" s="75">
        <v>100</v>
      </c>
      <c r="D776" s="75">
        <v>1000</v>
      </c>
      <c r="E776" s="75">
        <v>1E-4</v>
      </c>
      <c r="F776" s="75" t="s">
        <v>6</v>
      </c>
      <c r="G776" s="75" t="s">
        <v>4</v>
      </c>
      <c r="H776" s="75">
        <v>20</v>
      </c>
      <c r="I776" s="75">
        <v>50</v>
      </c>
      <c r="J776" s="75" t="s">
        <v>10</v>
      </c>
      <c r="K776" s="75">
        <v>23</v>
      </c>
      <c r="L776" s="75">
        <v>1.4</v>
      </c>
      <c r="M776" s="75">
        <v>22.895</v>
      </c>
      <c r="N776" s="75">
        <v>1.3895999999999999</v>
      </c>
      <c r="O776" s="90" t="str">
        <f>IF(VLOOKUP(UncLookup[[#This Row],[Item]],Items!$A$1:$F$43,2,FALSE)=0,"",VLOOKUP(UncLookup[[#This Row],[Item]],Items!$A$1:$F$43,2,FALSE))</f>
        <v/>
      </c>
      <c r="P776" s="90" t="str">
        <f>IF(VLOOKUP(UncLookup[[#This Row],[Item]],Items!$A$1:$F$43,3,FALSE)=0,"",VLOOKUP(UncLookup[[#This Row],[Item]],Items!$A$1:$F$43,3,FALSE))</f>
        <v/>
      </c>
      <c r="Q776" s="90" t="str">
        <f>IF(VLOOKUP(UncLookup[[#This Row],[Item]],Items!$A$1:$F$43,4,FALSE)=0,"",VLOOKUP(UncLookup[[#This Row],[Item]],Items!$A$1:$F$43,4,FALSE))</f>
        <v/>
      </c>
    </row>
    <row r="777" spans="1:17" x14ac:dyDescent="0.25">
      <c r="A777" s="76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90" t="str">
        <f>IF(VLOOKUP(UncLookup[[#This Row],[Item]],Items!$A$1:$F$43,2,FALSE)=0,"",VLOOKUP(UncLookup[[#This Row],[Item]],Items!$A$1:$F$43,2,FALSE))</f>
        <v/>
      </c>
      <c r="P777" s="90" t="str">
        <f>IF(VLOOKUP(UncLookup[[#This Row],[Item]],Items!$A$1:$F$43,3,FALSE)=0,"",VLOOKUP(UncLookup[[#This Row],[Item]],Items!$A$1:$F$43,3,FALSE))</f>
        <v/>
      </c>
      <c r="Q777" s="90" t="str">
        <f>IF(VLOOKUP(UncLookup[[#This Row],[Item]],Items!$A$1:$F$43,4,FALSE)=0,"",VLOOKUP(UncLookup[[#This Row],[Item]],Items!$A$1:$F$43,4,FALSE))</f>
        <v/>
      </c>
    </row>
    <row r="778" spans="1:17" x14ac:dyDescent="0.25">
      <c r="A778" s="75" t="s">
        <v>56</v>
      </c>
      <c r="B778" s="75" t="s">
        <v>8</v>
      </c>
      <c r="C778" s="75">
        <v>100</v>
      </c>
      <c r="D778" s="75">
        <v>1000</v>
      </c>
      <c r="E778" s="75">
        <v>1E-4</v>
      </c>
      <c r="F778" s="75" t="s">
        <v>6</v>
      </c>
      <c r="G778" s="75" t="s">
        <v>4</v>
      </c>
      <c r="H778" s="75">
        <v>1</v>
      </c>
      <c r="I778" s="75">
        <v>20</v>
      </c>
      <c r="J778" s="75" t="s">
        <v>10</v>
      </c>
      <c r="K778" s="75">
        <v>23</v>
      </c>
      <c r="L778" s="75">
        <v>0.7</v>
      </c>
      <c r="M778" s="75">
        <v>23.055</v>
      </c>
      <c r="N778" s="75">
        <v>0.69386999999999999</v>
      </c>
      <c r="O778" s="90" t="str">
        <f>IF(VLOOKUP(UncLookup[[#This Row],[Item]],Items!$A$1:$F$43,2,FALSE)=0,"",VLOOKUP(UncLookup[[#This Row],[Item]],Items!$A$1:$F$43,2,FALSE))</f>
        <v/>
      </c>
      <c r="P778" s="90" t="str">
        <f>IF(VLOOKUP(UncLookup[[#This Row],[Item]],Items!$A$1:$F$43,3,FALSE)=0,"",VLOOKUP(UncLookup[[#This Row],[Item]],Items!$A$1:$F$43,3,FALSE))</f>
        <v/>
      </c>
      <c r="Q778" s="90" t="str">
        <f>IF(VLOOKUP(UncLookup[[#This Row],[Item]],Items!$A$1:$F$43,4,FALSE)=0,"",VLOOKUP(UncLookup[[#This Row],[Item]],Items!$A$1:$F$43,4,FALSE))</f>
        <v/>
      </c>
    </row>
    <row r="779" spans="1:17" x14ac:dyDescent="0.25">
      <c r="A779" s="76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90" t="str">
        <f>IF(VLOOKUP(UncLookup[[#This Row],[Item]],Items!$A$1:$F$43,2,FALSE)=0,"",VLOOKUP(UncLookup[[#This Row],[Item]],Items!$A$1:$F$43,2,FALSE))</f>
        <v/>
      </c>
      <c r="P779" s="90" t="str">
        <f>IF(VLOOKUP(UncLookup[[#This Row],[Item]],Items!$A$1:$F$43,3,FALSE)=0,"",VLOOKUP(UncLookup[[#This Row],[Item]],Items!$A$1:$F$43,3,FALSE))</f>
        <v/>
      </c>
      <c r="Q779" s="90" t="str">
        <f>IF(VLOOKUP(UncLookup[[#This Row],[Item]],Items!$A$1:$F$43,4,FALSE)=0,"",VLOOKUP(UncLookup[[#This Row],[Item]],Items!$A$1:$F$43,4,FALSE))</f>
        <v/>
      </c>
    </row>
    <row r="780" spans="1:17" x14ac:dyDescent="0.25">
      <c r="A780" s="75" t="s">
        <v>56</v>
      </c>
      <c r="B780" s="75" t="s">
        <v>8</v>
      </c>
      <c r="C780" s="75">
        <v>100</v>
      </c>
      <c r="D780" s="75">
        <v>330</v>
      </c>
      <c r="E780" s="75">
        <v>1E-3</v>
      </c>
      <c r="F780" s="75" t="s">
        <v>6</v>
      </c>
      <c r="G780" s="75" t="s">
        <v>4</v>
      </c>
      <c r="H780" s="75">
        <v>50</v>
      </c>
      <c r="I780" s="75">
        <v>100</v>
      </c>
      <c r="J780" s="75" t="s">
        <v>10</v>
      </c>
      <c r="K780" s="75">
        <v>23</v>
      </c>
      <c r="L780" s="75">
        <v>3.5</v>
      </c>
      <c r="M780" s="75">
        <v>23.111000000000001</v>
      </c>
      <c r="N780" s="75">
        <v>3.4655999999999998</v>
      </c>
      <c r="O780" s="90" t="str">
        <f>IF(VLOOKUP(UncLookup[[#This Row],[Item]],Items!$A$1:$F$43,2,FALSE)=0,"",VLOOKUP(UncLookup[[#This Row],[Item]],Items!$A$1:$F$43,2,FALSE))</f>
        <v/>
      </c>
      <c r="P780" s="90" t="str">
        <f>IF(VLOOKUP(UncLookup[[#This Row],[Item]],Items!$A$1:$F$43,3,FALSE)=0,"",VLOOKUP(UncLookup[[#This Row],[Item]],Items!$A$1:$F$43,3,FALSE))</f>
        <v/>
      </c>
      <c r="Q780" s="90" t="str">
        <f>IF(VLOOKUP(UncLookup[[#This Row],[Item]],Items!$A$1:$F$43,4,FALSE)=0,"",VLOOKUP(UncLookup[[#This Row],[Item]],Items!$A$1:$F$43,4,FALSE))</f>
        <v/>
      </c>
    </row>
    <row r="781" spans="1:17" x14ac:dyDescent="0.25">
      <c r="A781" s="76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90" t="str">
        <f>IF(VLOOKUP(UncLookup[[#This Row],[Item]],Items!$A$1:$F$43,2,FALSE)=0,"",VLOOKUP(UncLookup[[#This Row],[Item]],Items!$A$1:$F$43,2,FALSE))</f>
        <v/>
      </c>
      <c r="P781" s="90" t="str">
        <f>IF(VLOOKUP(UncLookup[[#This Row],[Item]],Items!$A$1:$F$43,3,FALSE)=0,"",VLOOKUP(UncLookup[[#This Row],[Item]],Items!$A$1:$F$43,3,FALSE))</f>
        <v/>
      </c>
      <c r="Q781" s="90" t="str">
        <f>IF(VLOOKUP(UncLookup[[#This Row],[Item]],Items!$A$1:$F$43,4,FALSE)=0,"",VLOOKUP(UncLookup[[#This Row],[Item]],Items!$A$1:$F$43,4,FALSE))</f>
        <v/>
      </c>
    </row>
    <row r="782" spans="1:17" x14ac:dyDescent="0.25">
      <c r="A782" s="75" t="s">
        <v>56</v>
      </c>
      <c r="B782" s="75" t="s">
        <v>8</v>
      </c>
      <c r="C782" s="75">
        <v>100</v>
      </c>
      <c r="D782" s="75">
        <v>1000</v>
      </c>
      <c r="E782" s="75">
        <v>1E-3</v>
      </c>
      <c r="F782" s="75" t="s">
        <v>6</v>
      </c>
      <c r="G782" s="75" t="s">
        <v>4</v>
      </c>
      <c r="H782" s="75">
        <v>20</v>
      </c>
      <c r="I782" s="75">
        <v>50</v>
      </c>
      <c r="J782" s="75" t="s">
        <v>10</v>
      </c>
      <c r="K782" s="75">
        <v>23</v>
      </c>
      <c r="L782" s="75">
        <v>1.4</v>
      </c>
      <c r="M782" s="75">
        <v>22.896000000000001</v>
      </c>
      <c r="N782" s="75">
        <v>1.3895999999999999</v>
      </c>
      <c r="O782" s="90" t="str">
        <f>IF(VLOOKUP(UncLookup[[#This Row],[Item]],Items!$A$1:$F$43,2,FALSE)=0,"",VLOOKUP(UncLookup[[#This Row],[Item]],Items!$A$1:$F$43,2,FALSE))</f>
        <v/>
      </c>
      <c r="P782" s="90" t="str">
        <f>IF(VLOOKUP(UncLookup[[#This Row],[Item]],Items!$A$1:$F$43,3,FALSE)=0,"",VLOOKUP(UncLookup[[#This Row],[Item]],Items!$A$1:$F$43,3,FALSE))</f>
        <v/>
      </c>
      <c r="Q782" s="90" t="str">
        <f>IF(VLOOKUP(UncLookup[[#This Row],[Item]],Items!$A$1:$F$43,4,FALSE)=0,"",VLOOKUP(UncLookup[[#This Row],[Item]],Items!$A$1:$F$43,4,FALSE))</f>
        <v/>
      </c>
    </row>
    <row r="783" spans="1:17" x14ac:dyDescent="0.25">
      <c r="A783" s="76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90" t="str">
        <f>IF(VLOOKUP(UncLookup[[#This Row],[Item]],Items!$A$1:$F$43,2,FALSE)=0,"",VLOOKUP(UncLookup[[#This Row],[Item]],Items!$A$1:$F$43,2,FALSE))</f>
        <v/>
      </c>
      <c r="P783" s="90" t="str">
        <f>IF(VLOOKUP(UncLookup[[#This Row],[Item]],Items!$A$1:$F$43,3,FALSE)=0,"",VLOOKUP(UncLookup[[#This Row],[Item]],Items!$A$1:$F$43,3,FALSE))</f>
        <v/>
      </c>
      <c r="Q783" s="90" t="str">
        <f>IF(VLOOKUP(UncLookup[[#This Row],[Item]],Items!$A$1:$F$43,4,FALSE)=0,"",VLOOKUP(UncLookup[[#This Row],[Item]],Items!$A$1:$F$43,4,FALSE))</f>
        <v/>
      </c>
    </row>
    <row r="784" spans="1:17" x14ac:dyDescent="0.25">
      <c r="A784" s="75" t="s">
        <v>56</v>
      </c>
      <c r="B784" s="75" t="s">
        <v>8</v>
      </c>
      <c r="C784" s="75">
        <v>100</v>
      </c>
      <c r="D784" s="75">
        <v>330</v>
      </c>
      <c r="E784" s="75">
        <v>1E-3</v>
      </c>
      <c r="F784" s="75" t="s">
        <v>6</v>
      </c>
      <c r="G784" s="75" t="s">
        <v>4</v>
      </c>
      <c r="H784" s="75">
        <v>0.04</v>
      </c>
      <c r="I784" s="75">
        <v>1</v>
      </c>
      <c r="J784" s="75" t="s">
        <v>10</v>
      </c>
      <c r="K784" s="75">
        <v>25</v>
      </c>
      <c r="L784" s="75">
        <v>0.46067000000000002</v>
      </c>
      <c r="M784" s="75">
        <v>23.036999999999999</v>
      </c>
      <c r="N784" s="75">
        <v>0.46337</v>
      </c>
      <c r="O784" s="90" t="str">
        <f>IF(VLOOKUP(UncLookup[[#This Row],[Item]],Items!$A$1:$F$43,2,FALSE)=0,"",VLOOKUP(UncLookup[[#This Row],[Item]],Items!$A$1:$F$43,2,FALSE))</f>
        <v/>
      </c>
      <c r="P784" s="90" t="str">
        <f>IF(VLOOKUP(UncLookup[[#This Row],[Item]],Items!$A$1:$F$43,3,FALSE)=0,"",VLOOKUP(UncLookup[[#This Row],[Item]],Items!$A$1:$F$43,3,FALSE))</f>
        <v/>
      </c>
      <c r="Q784" s="90" t="str">
        <f>IF(VLOOKUP(UncLookup[[#This Row],[Item]],Items!$A$1:$F$43,4,FALSE)=0,"",VLOOKUP(UncLookup[[#This Row],[Item]],Items!$A$1:$F$43,4,FALSE))</f>
        <v/>
      </c>
    </row>
    <row r="785" spans="1:17" x14ac:dyDescent="0.25">
      <c r="A785" s="76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90" t="str">
        <f>IF(VLOOKUP(UncLookup[[#This Row],[Item]],Items!$A$1:$F$43,2,FALSE)=0,"",VLOOKUP(UncLookup[[#This Row],[Item]],Items!$A$1:$F$43,2,FALSE))</f>
        <v/>
      </c>
      <c r="P785" s="90" t="str">
        <f>IF(VLOOKUP(UncLookup[[#This Row],[Item]],Items!$A$1:$F$43,3,FALSE)=0,"",VLOOKUP(UncLookup[[#This Row],[Item]],Items!$A$1:$F$43,3,FALSE))</f>
        <v/>
      </c>
      <c r="Q785" s="90" t="str">
        <f>IF(VLOOKUP(UncLookup[[#This Row],[Item]],Items!$A$1:$F$43,4,FALSE)=0,"",VLOOKUP(UncLookup[[#This Row],[Item]],Items!$A$1:$F$43,4,FALSE))</f>
        <v/>
      </c>
    </row>
    <row r="786" spans="1:17" x14ac:dyDescent="0.25">
      <c r="A786" s="75" t="s">
        <v>56</v>
      </c>
      <c r="B786" s="75" t="s">
        <v>8</v>
      </c>
      <c r="C786" s="75">
        <v>100</v>
      </c>
      <c r="D786" s="75">
        <v>330</v>
      </c>
      <c r="E786" s="75">
        <v>1E-3</v>
      </c>
      <c r="F786" s="75" t="s">
        <v>6</v>
      </c>
      <c r="G786" s="75" t="s">
        <v>4</v>
      </c>
      <c r="H786" s="75">
        <v>1</v>
      </c>
      <c r="I786" s="75">
        <v>20</v>
      </c>
      <c r="J786" s="75" t="s">
        <v>10</v>
      </c>
      <c r="K786" s="75">
        <v>23</v>
      </c>
      <c r="L786" s="75">
        <v>0.7</v>
      </c>
      <c r="M786" s="75">
        <v>23.061</v>
      </c>
      <c r="N786" s="75">
        <v>0.69384000000000001</v>
      </c>
      <c r="O786" s="90" t="str">
        <f>IF(VLOOKUP(UncLookup[[#This Row],[Item]],Items!$A$1:$F$43,2,FALSE)=0,"",VLOOKUP(UncLookup[[#This Row],[Item]],Items!$A$1:$F$43,2,FALSE))</f>
        <v/>
      </c>
      <c r="P786" s="90" t="str">
        <f>IF(VLOOKUP(UncLookup[[#This Row],[Item]],Items!$A$1:$F$43,3,FALSE)=0,"",VLOOKUP(UncLookup[[#This Row],[Item]],Items!$A$1:$F$43,3,FALSE))</f>
        <v/>
      </c>
      <c r="Q786" s="90" t="str">
        <f>IF(VLOOKUP(UncLookup[[#This Row],[Item]],Items!$A$1:$F$43,4,FALSE)=0,"",VLOOKUP(UncLookup[[#This Row],[Item]],Items!$A$1:$F$43,4,FALSE))</f>
        <v/>
      </c>
    </row>
    <row r="787" spans="1:17" x14ac:dyDescent="0.25">
      <c r="A787" s="76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90" t="str">
        <f>IF(VLOOKUP(UncLookup[[#This Row],[Item]],Items!$A$1:$F$43,2,FALSE)=0,"",VLOOKUP(UncLookup[[#This Row],[Item]],Items!$A$1:$F$43,2,FALSE))</f>
        <v/>
      </c>
      <c r="P787" s="90" t="str">
        <f>IF(VLOOKUP(UncLookup[[#This Row],[Item]],Items!$A$1:$F$43,3,FALSE)=0,"",VLOOKUP(UncLookup[[#This Row],[Item]],Items!$A$1:$F$43,3,FALSE))</f>
        <v/>
      </c>
      <c r="Q787" s="90" t="str">
        <f>IF(VLOOKUP(UncLookup[[#This Row],[Item]],Items!$A$1:$F$43,4,FALSE)=0,"",VLOOKUP(UncLookup[[#This Row],[Item]],Items!$A$1:$F$43,4,FALSE))</f>
        <v/>
      </c>
    </row>
    <row r="788" spans="1:17" x14ac:dyDescent="0.25">
      <c r="A788" s="75" t="s">
        <v>56</v>
      </c>
      <c r="B788" s="75" t="s">
        <v>8</v>
      </c>
      <c r="C788" s="75">
        <v>100</v>
      </c>
      <c r="D788" s="75">
        <v>330</v>
      </c>
      <c r="E788" s="75">
        <v>0.01</v>
      </c>
      <c r="F788" s="75" t="s">
        <v>6</v>
      </c>
      <c r="G788" s="75" t="s">
        <v>4</v>
      </c>
      <c r="H788" s="75">
        <v>20</v>
      </c>
      <c r="I788" s="75">
        <v>50</v>
      </c>
      <c r="J788" s="75" t="s">
        <v>10</v>
      </c>
      <c r="K788" s="75">
        <v>23</v>
      </c>
      <c r="L788" s="75">
        <v>1.4</v>
      </c>
      <c r="M788" s="75">
        <v>23.187999999999999</v>
      </c>
      <c r="N788" s="75">
        <v>1.3875999999999999</v>
      </c>
      <c r="O788" s="90" t="str">
        <f>IF(VLOOKUP(UncLookup[[#This Row],[Item]],Items!$A$1:$F$43,2,FALSE)=0,"",VLOOKUP(UncLookup[[#This Row],[Item]],Items!$A$1:$F$43,2,FALSE))</f>
        <v/>
      </c>
      <c r="P788" s="90" t="str">
        <f>IF(VLOOKUP(UncLookup[[#This Row],[Item]],Items!$A$1:$F$43,3,FALSE)=0,"",VLOOKUP(UncLookup[[#This Row],[Item]],Items!$A$1:$F$43,3,FALSE))</f>
        <v/>
      </c>
      <c r="Q788" s="90" t="str">
        <f>IF(VLOOKUP(UncLookup[[#This Row],[Item]],Items!$A$1:$F$43,4,FALSE)=0,"",VLOOKUP(UncLookup[[#This Row],[Item]],Items!$A$1:$F$43,4,FALSE))</f>
        <v/>
      </c>
    </row>
    <row r="789" spans="1:17" x14ac:dyDescent="0.25">
      <c r="A789" s="76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90" t="str">
        <f>IF(VLOOKUP(UncLookup[[#This Row],[Item]],Items!$A$1:$F$43,2,FALSE)=0,"",VLOOKUP(UncLookup[[#This Row],[Item]],Items!$A$1:$F$43,2,FALSE))</f>
        <v/>
      </c>
      <c r="P789" s="90" t="str">
        <f>IF(VLOOKUP(UncLookup[[#This Row],[Item]],Items!$A$1:$F$43,3,FALSE)=0,"",VLOOKUP(UncLookup[[#This Row],[Item]],Items!$A$1:$F$43,3,FALSE))</f>
        <v/>
      </c>
      <c r="Q789" s="90" t="str">
        <f>IF(VLOOKUP(UncLookup[[#This Row],[Item]],Items!$A$1:$F$43,4,FALSE)=0,"",VLOOKUP(UncLookup[[#This Row],[Item]],Items!$A$1:$F$43,4,FALSE))</f>
        <v/>
      </c>
    </row>
    <row r="790" spans="1:17" x14ac:dyDescent="0.25">
      <c r="A790" s="75" t="s">
        <v>56</v>
      </c>
      <c r="B790" s="75" t="s">
        <v>8</v>
      </c>
      <c r="C790" s="75">
        <v>100</v>
      </c>
      <c r="D790" s="75">
        <v>330</v>
      </c>
      <c r="E790" s="75">
        <v>0.01</v>
      </c>
      <c r="F790" s="75" t="s">
        <v>6</v>
      </c>
      <c r="G790" s="75" t="s">
        <v>4</v>
      </c>
      <c r="H790" s="75">
        <v>1E-3</v>
      </c>
      <c r="I790" s="75">
        <v>0.04</v>
      </c>
      <c r="J790" s="75" t="s">
        <v>10</v>
      </c>
      <c r="K790" s="75">
        <v>48</v>
      </c>
      <c r="L790" s="75">
        <v>0.46128999999999998</v>
      </c>
      <c r="M790" s="75">
        <v>46.341000000000001</v>
      </c>
      <c r="N790" s="75">
        <v>0.46283000000000002</v>
      </c>
      <c r="O790" s="90" t="str">
        <f>IF(VLOOKUP(UncLookup[[#This Row],[Item]],Items!$A$1:$F$43,2,FALSE)=0,"",VLOOKUP(UncLookup[[#This Row],[Item]],Items!$A$1:$F$43,2,FALSE))</f>
        <v/>
      </c>
      <c r="P790" s="90" t="str">
        <f>IF(VLOOKUP(UncLookup[[#This Row],[Item]],Items!$A$1:$F$43,3,FALSE)=0,"",VLOOKUP(UncLookup[[#This Row],[Item]],Items!$A$1:$F$43,3,FALSE))</f>
        <v/>
      </c>
      <c r="Q790" s="90" t="str">
        <f>IF(VLOOKUP(UncLookup[[#This Row],[Item]],Items!$A$1:$F$43,4,FALSE)=0,"",VLOOKUP(UncLookup[[#This Row],[Item]],Items!$A$1:$F$43,4,FALSE))</f>
        <v/>
      </c>
    </row>
    <row r="791" spans="1:17" x14ac:dyDescent="0.25">
      <c r="A791" s="76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90" t="str">
        <f>IF(VLOOKUP(UncLookup[[#This Row],[Item]],Items!$A$1:$F$43,2,FALSE)=0,"",VLOOKUP(UncLookup[[#This Row],[Item]],Items!$A$1:$F$43,2,FALSE))</f>
        <v/>
      </c>
      <c r="P791" s="90" t="str">
        <f>IF(VLOOKUP(UncLookup[[#This Row],[Item]],Items!$A$1:$F$43,3,FALSE)=0,"",VLOOKUP(UncLookup[[#This Row],[Item]],Items!$A$1:$F$43,3,FALSE))</f>
        <v/>
      </c>
      <c r="Q791" s="90" t="str">
        <f>IF(VLOOKUP(UncLookup[[#This Row],[Item]],Items!$A$1:$F$43,4,FALSE)=0,"",VLOOKUP(UncLookup[[#This Row],[Item]],Items!$A$1:$F$43,4,FALSE))</f>
        <v/>
      </c>
    </row>
    <row r="792" spans="1:17" x14ac:dyDescent="0.25">
      <c r="A792" s="75" t="s">
        <v>56</v>
      </c>
      <c r="B792" s="75" t="s">
        <v>8</v>
      </c>
      <c r="C792" s="75">
        <v>100</v>
      </c>
      <c r="D792" s="75">
        <v>1000</v>
      </c>
      <c r="E792" s="75">
        <v>0.01</v>
      </c>
      <c r="F792" s="75" t="s">
        <v>6</v>
      </c>
      <c r="G792" s="75" t="s">
        <v>4</v>
      </c>
      <c r="H792" s="75">
        <v>50</v>
      </c>
      <c r="I792" s="75">
        <v>100</v>
      </c>
      <c r="J792" s="75" t="s">
        <v>10</v>
      </c>
      <c r="K792" s="75">
        <v>23</v>
      </c>
      <c r="L792" s="75">
        <v>3.5</v>
      </c>
      <c r="M792" s="75">
        <v>23.152999999999999</v>
      </c>
      <c r="N792" s="75">
        <v>3.4655999999999998</v>
      </c>
      <c r="O792" s="90" t="str">
        <f>IF(VLOOKUP(UncLookup[[#This Row],[Item]],Items!$A$1:$F$43,2,FALSE)=0,"",VLOOKUP(UncLookup[[#This Row],[Item]],Items!$A$1:$F$43,2,FALSE))</f>
        <v/>
      </c>
      <c r="P792" s="90" t="str">
        <f>IF(VLOOKUP(UncLookup[[#This Row],[Item]],Items!$A$1:$F$43,3,FALSE)=0,"",VLOOKUP(UncLookup[[#This Row],[Item]],Items!$A$1:$F$43,3,FALSE))</f>
        <v/>
      </c>
      <c r="Q792" s="90" t="str">
        <f>IF(VLOOKUP(UncLookup[[#This Row],[Item]],Items!$A$1:$F$43,4,FALSE)=0,"",VLOOKUP(UncLookup[[#This Row],[Item]],Items!$A$1:$F$43,4,FALSE))</f>
        <v/>
      </c>
    </row>
    <row r="793" spans="1:17" x14ac:dyDescent="0.25">
      <c r="A793" s="76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90" t="str">
        <f>IF(VLOOKUP(UncLookup[[#This Row],[Item]],Items!$A$1:$F$43,2,FALSE)=0,"",VLOOKUP(UncLookup[[#This Row],[Item]],Items!$A$1:$F$43,2,FALSE))</f>
        <v/>
      </c>
      <c r="P793" s="90" t="str">
        <f>IF(VLOOKUP(UncLookup[[#This Row],[Item]],Items!$A$1:$F$43,3,FALSE)=0,"",VLOOKUP(UncLookup[[#This Row],[Item]],Items!$A$1:$F$43,3,FALSE))</f>
        <v/>
      </c>
      <c r="Q793" s="90" t="str">
        <f>IF(VLOOKUP(UncLookup[[#This Row],[Item]],Items!$A$1:$F$43,4,FALSE)=0,"",VLOOKUP(UncLookup[[#This Row],[Item]],Items!$A$1:$F$43,4,FALSE))</f>
        <v/>
      </c>
    </row>
    <row r="794" spans="1:17" x14ac:dyDescent="0.25">
      <c r="A794" s="75" t="s">
        <v>56</v>
      </c>
      <c r="B794" s="75" t="s">
        <v>8</v>
      </c>
      <c r="C794" s="75">
        <v>100</v>
      </c>
      <c r="D794" s="75">
        <v>1000</v>
      </c>
      <c r="E794" s="75">
        <v>0.01</v>
      </c>
      <c r="F794" s="75" t="s">
        <v>6</v>
      </c>
      <c r="G794" s="75" t="s">
        <v>4</v>
      </c>
      <c r="H794" s="75">
        <v>20</v>
      </c>
      <c r="I794" s="75">
        <v>50</v>
      </c>
      <c r="J794" s="75" t="s">
        <v>10</v>
      </c>
      <c r="K794" s="75">
        <v>23</v>
      </c>
      <c r="L794" s="75">
        <v>1.4</v>
      </c>
      <c r="M794" s="75">
        <v>23.007000000000001</v>
      </c>
      <c r="N794" s="75">
        <v>1.3895</v>
      </c>
      <c r="O794" s="90" t="str">
        <f>IF(VLOOKUP(UncLookup[[#This Row],[Item]],Items!$A$1:$F$43,2,FALSE)=0,"",VLOOKUP(UncLookup[[#This Row],[Item]],Items!$A$1:$F$43,2,FALSE))</f>
        <v/>
      </c>
      <c r="P794" s="90" t="str">
        <f>IF(VLOOKUP(UncLookup[[#This Row],[Item]],Items!$A$1:$F$43,3,FALSE)=0,"",VLOOKUP(UncLookup[[#This Row],[Item]],Items!$A$1:$F$43,3,FALSE))</f>
        <v/>
      </c>
      <c r="Q794" s="90" t="str">
        <f>IF(VLOOKUP(UncLookup[[#This Row],[Item]],Items!$A$1:$F$43,4,FALSE)=0,"",VLOOKUP(UncLookup[[#This Row],[Item]],Items!$A$1:$F$43,4,FALSE))</f>
        <v/>
      </c>
    </row>
    <row r="795" spans="1:17" x14ac:dyDescent="0.25">
      <c r="A795" s="76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90" t="str">
        <f>IF(VLOOKUP(UncLookup[[#This Row],[Item]],Items!$A$1:$F$43,2,FALSE)=0,"",VLOOKUP(UncLookup[[#This Row],[Item]],Items!$A$1:$F$43,2,FALSE))</f>
        <v/>
      </c>
      <c r="P795" s="90" t="str">
        <f>IF(VLOOKUP(UncLookup[[#This Row],[Item]],Items!$A$1:$F$43,3,FALSE)=0,"",VLOOKUP(UncLookup[[#This Row],[Item]],Items!$A$1:$F$43,3,FALSE))</f>
        <v/>
      </c>
      <c r="Q795" s="90" t="str">
        <f>IF(VLOOKUP(UncLookup[[#This Row],[Item]],Items!$A$1:$F$43,4,FALSE)=0,"",VLOOKUP(UncLookup[[#This Row],[Item]],Items!$A$1:$F$43,4,FALSE))</f>
        <v/>
      </c>
    </row>
    <row r="796" spans="1:17" x14ac:dyDescent="0.25">
      <c r="A796" s="75" t="s">
        <v>56</v>
      </c>
      <c r="B796" s="75" t="s">
        <v>8</v>
      </c>
      <c r="C796" s="75">
        <v>100</v>
      </c>
      <c r="D796" s="75">
        <v>1000</v>
      </c>
      <c r="E796" s="75">
        <v>0.1</v>
      </c>
      <c r="F796" s="75" t="s">
        <v>6</v>
      </c>
      <c r="G796" s="75" t="s">
        <v>4</v>
      </c>
      <c r="H796" s="75">
        <v>1</v>
      </c>
      <c r="I796" s="75">
        <v>20</v>
      </c>
      <c r="J796" s="75" t="s">
        <v>10</v>
      </c>
      <c r="K796" s="75">
        <v>40.883000000000003</v>
      </c>
      <c r="L796" s="75">
        <v>0.68211999999999995</v>
      </c>
      <c r="M796" s="75">
        <v>41.185000000000002</v>
      </c>
      <c r="N796" s="75">
        <v>0.67806</v>
      </c>
      <c r="O796" s="90" t="str">
        <f>IF(VLOOKUP(UncLookup[[#This Row],[Item]],Items!$A$1:$F$43,2,FALSE)=0,"",VLOOKUP(UncLookup[[#This Row],[Item]],Items!$A$1:$F$43,2,FALSE))</f>
        <v/>
      </c>
      <c r="P796" s="90" t="str">
        <f>IF(VLOOKUP(UncLookup[[#This Row],[Item]],Items!$A$1:$F$43,3,FALSE)=0,"",VLOOKUP(UncLookup[[#This Row],[Item]],Items!$A$1:$F$43,3,FALSE))</f>
        <v/>
      </c>
      <c r="Q796" s="90" t="str">
        <f>IF(VLOOKUP(UncLookup[[#This Row],[Item]],Items!$A$1:$F$43,4,FALSE)=0,"",VLOOKUP(UncLookup[[#This Row],[Item]],Items!$A$1:$F$43,4,FALSE))</f>
        <v/>
      </c>
    </row>
    <row r="797" spans="1:17" x14ac:dyDescent="0.25">
      <c r="A797" s="76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90" t="str">
        <f>IF(VLOOKUP(UncLookup[[#This Row],[Item]],Items!$A$1:$F$43,2,FALSE)=0,"",VLOOKUP(UncLookup[[#This Row],[Item]],Items!$A$1:$F$43,2,FALSE))</f>
        <v/>
      </c>
      <c r="P797" s="90" t="str">
        <f>IF(VLOOKUP(UncLookup[[#This Row],[Item]],Items!$A$1:$F$43,3,FALSE)=0,"",VLOOKUP(UncLookup[[#This Row],[Item]],Items!$A$1:$F$43,3,FALSE))</f>
        <v/>
      </c>
      <c r="Q797" s="90" t="str">
        <f>IF(VLOOKUP(UncLookup[[#This Row],[Item]],Items!$A$1:$F$43,4,FALSE)=0,"",VLOOKUP(UncLookup[[#This Row],[Item]],Items!$A$1:$F$43,4,FALSE))</f>
        <v/>
      </c>
    </row>
    <row r="798" spans="1:17" x14ac:dyDescent="0.25">
      <c r="A798" s="75" t="s">
        <v>56</v>
      </c>
      <c r="B798" s="75" t="s">
        <v>8</v>
      </c>
      <c r="C798" s="75">
        <v>100</v>
      </c>
      <c r="D798" s="75">
        <v>330</v>
      </c>
      <c r="E798" s="75">
        <v>0.1</v>
      </c>
      <c r="F798" s="75" t="s">
        <v>6</v>
      </c>
      <c r="G798" s="75" t="s">
        <v>4</v>
      </c>
      <c r="H798" s="75">
        <v>20</v>
      </c>
      <c r="I798" s="75">
        <v>50</v>
      </c>
      <c r="J798" s="75" t="s">
        <v>10</v>
      </c>
      <c r="K798" s="75">
        <v>35.929000000000002</v>
      </c>
      <c r="L798" s="75">
        <v>1.3608</v>
      </c>
      <c r="M798" s="75">
        <v>35.878</v>
      </c>
      <c r="N798" s="75">
        <v>1.3594999999999999</v>
      </c>
      <c r="O798" s="90" t="str">
        <f>IF(VLOOKUP(UncLookup[[#This Row],[Item]],Items!$A$1:$F$43,2,FALSE)=0,"",VLOOKUP(UncLookup[[#This Row],[Item]],Items!$A$1:$F$43,2,FALSE))</f>
        <v/>
      </c>
      <c r="P798" s="90" t="str">
        <f>IF(VLOOKUP(UncLookup[[#This Row],[Item]],Items!$A$1:$F$43,3,FALSE)=0,"",VLOOKUP(UncLookup[[#This Row],[Item]],Items!$A$1:$F$43,3,FALSE))</f>
        <v/>
      </c>
      <c r="Q798" s="90" t="str">
        <f>IF(VLOOKUP(UncLookup[[#This Row],[Item]],Items!$A$1:$F$43,4,FALSE)=0,"",VLOOKUP(UncLookup[[#This Row],[Item]],Items!$A$1:$F$43,4,FALSE))</f>
        <v/>
      </c>
    </row>
    <row r="799" spans="1:17" x14ac:dyDescent="0.25">
      <c r="A799" s="76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90" t="str">
        <f>IF(VLOOKUP(UncLookup[[#This Row],[Item]],Items!$A$1:$F$43,2,FALSE)=0,"",VLOOKUP(UncLookup[[#This Row],[Item]],Items!$A$1:$F$43,2,FALSE))</f>
        <v/>
      </c>
      <c r="P799" s="90" t="str">
        <f>IF(VLOOKUP(UncLookup[[#This Row],[Item]],Items!$A$1:$F$43,3,FALSE)=0,"",VLOOKUP(UncLookup[[#This Row],[Item]],Items!$A$1:$F$43,3,FALSE))</f>
        <v/>
      </c>
      <c r="Q799" s="90" t="str">
        <f>IF(VLOOKUP(UncLookup[[#This Row],[Item]],Items!$A$1:$F$43,4,FALSE)=0,"",VLOOKUP(UncLookup[[#This Row],[Item]],Items!$A$1:$F$43,4,FALSE))</f>
        <v/>
      </c>
    </row>
    <row r="800" spans="1:17" x14ac:dyDescent="0.25">
      <c r="A800" s="75" t="s">
        <v>56</v>
      </c>
      <c r="B800" s="75" t="s">
        <v>8</v>
      </c>
      <c r="C800" s="75">
        <v>100</v>
      </c>
      <c r="D800" s="75">
        <v>330</v>
      </c>
      <c r="E800" s="75">
        <v>0.1</v>
      </c>
      <c r="F800" s="75" t="s">
        <v>6</v>
      </c>
      <c r="G800" s="75" t="s">
        <v>4</v>
      </c>
      <c r="H800" s="75">
        <v>1</v>
      </c>
      <c r="I800" s="75">
        <v>20</v>
      </c>
      <c r="J800" s="75" t="s">
        <v>10</v>
      </c>
      <c r="K800" s="75">
        <v>44.082999999999998</v>
      </c>
      <c r="L800" s="75">
        <v>0.65012000000000003</v>
      </c>
      <c r="M800" s="75">
        <v>43.963000000000001</v>
      </c>
      <c r="N800" s="75">
        <v>0.65027999999999997</v>
      </c>
      <c r="O800" s="90" t="str">
        <f>IF(VLOOKUP(UncLookup[[#This Row],[Item]],Items!$A$1:$F$43,2,FALSE)=0,"",VLOOKUP(UncLookup[[#This Row],[Item]],Items!$A$1:$F$43,2,FALSE))</f>
        <v/>
      </c>
      <c r="P800" s="90" t="str">
        <f>IF(VLOOKUP(UncLookup[[#This Row],[Item]],Items!$A$1:$F$43,3,FALSE)=0,"",VLOOKUP(UncLookup[[#This Row],[Item]],Items!$A$1:$F$43,3,FALSE))</f>
        <v/>
      </c>
      <c r="Q800" s="90" t="str">
        <f>IF(VLOOKUP(UncLookup[[#This Row],[Item]],Items!$A$1:$F$43,4,FALSE)=0,"",VLOOKUP(UncLookup[[#This Row],[Item]],Items!$A$1:$F$43,4,FALSE))</f>
        <v/>
      </c>
    </row>
    <row r="801" spans="1:17" x14ac:dyDescent="0.25">
      <c r="A801" s="76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90" t="str">
        <f>IF(VLOOKUP(UncLookup[[#This Row],[Item]],Items!$A$1:$F$43,2,FALSE)=0,"",VLOOKUP(UncLookup[[#This Row],[Item]],Items!$A$1:$F$43,2,FALSE))</f>
        <v/>
      </c>
      <c r="P801" s="90" t="str">
        <f>IF(VLOOKUP(UncLookup[[#This Row],[Item]],Items!$A$1:$F$43,3,FALSE)=0,"",VLOOKUP(UncLookup[[#This Row],[Item]],Items!$A$1:$F$43,3,FALSE))</f>
        <v/>
      </c>
      <c r="Q801" s="90" t="str">
        <f>IF(VLOOKUP(UncLookup[[#This Row],[Item]],Items!$A$1:$F$43,4,FALSE)=0,"",VLOOKUP(UncLookup[[#This Row],[Item]],Items!$A$1:$F$43,4,FALSE))</f>
        <v/>
      </c>
    </row>
    <row r="802" spans="1:17" x14ac:dyDescent="0.25">
      <c r="A802" s="75" t="s">
        <v>56</v>
      </c>
      <c r="B802" s="75" t="s">
        <v>8</v>
      </c>
      <c r="C802" s="75">
        <v>100</v>
      </c>
      <c r="D802" s="75">
        <v>1000</v>
      </c>
      <c r="E802" s="75">
        <v>0.1</v>
      </c>
      <c r="F802" s="75" t="s">
        <v>6</v>
      </c>
      <c r="G802" s="75" t="s">
        <v>4</v>
      </c>
      <c r="H802" s="75">
        <v>50</v>
      </c>
      <c r="I802" s="75">
        <v>100</v>
      </c>
      <c r="J802" s="75" t="s">
        <v>10</v>
      </c>
      <c r="K802" s="75">
        <v>24.483000000000001</v>
      </c>
      <c r="L802" s="75">
        <v>3.4984999999999999</v>
      </c>
      <c r="M802" s="75">
        <v>28.03</v>
      </c>
      <c r="N802" s="75">
        <v>3.4611999999999998</v>
      </c>
      <c r="O802" s="90" t="str">
        <f>IF(VLOOKUP(UncLookup[[#This Row],[Item]],Items!$A$1:$F$43,2,FALSE)=0,"",VLOOKUP(UncLookup[[#This Row],[Item]],Items!$A$1:$F$43,2,FALSE))</f>
        <v/>
      </c>
      <c r="P802" s="90" t="str">
        <f>IF(VLOOKUP(UncLookup[[#This Row],[Item]],Items!$A$1:$F$43,3,FALSE)=0,"",VLOOKUP(UncLookup[[#This Row],[Item]],Items!$A$1:$F$43,3,FALSE))</f>
        <v/>
      </c>
      <c r="Q802" s="90" t="str">
        <f>IF(VLOOKUP(UncLookup[[#This Row],[Item]],Items!$A$1:$F$43,4,FALSE)=0,"",VLOOKUP(UncLookup[[#This Row],[Item]],Items!$A$1:$F$43,4,FALSE))</f>
        <v/>
      </c>
    </row>
    <row r="803" spans="1:17" x14ac:dyDescent="0.25">
      <c r="A803" s="76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90" t="str">
        <f>IF(VLOOKUP(UncLookup[[#This Row],[Item]],Items!$A$1:$F$43,2,FALSE)=0,"",VLOOKUP(UncLookup[[#This Row],[Item]],Items!$A$1:$F$43,2,FALSE))</f>
        <v/>
      </c>
      <c r="P803" s="90" t="str">
        <f>IF(VLOOKUP(UncLookup[[#This Row],[Item]],Items!$A$1:$F$43,3,FALSE)=0,"",VLOOKUP(UncLookup[[#This Row],[Item]],Items!$A$1:$F$43,3,FALSE))</f>
        <v/>
      </c>
      <c r="Q803" s="90" t="str">
        <f>IF(VLOOKUP(UncLookup[[#This Row],[Item]],Items!$A$1:$F$43,4,FALSE)=0,"",VLOOKUP(UncLookup[[#This Row],[Item]],Items!$A$1:$F$43,4,FALSE))</f>
        <v/>
      </c>
    </row>
    <row r="804" spans="1:17" x14ac:dyDescent="0.25">
      <c r="A804" s="75" t="s">
        <v>56</v>
      </c>
      <c r="B804" s="75" t="s">
        <v>8</v>
      </c>
      <c r="C804" s="75">
        <v>100</v>
      </c>
      <c r="D804" s="75">
        <v>1000</v>
      </c>
      <c r="E804" s="75">
        <v>1</v>
      </c>
      <c r="F804" s="75" t="s">
        <v>6</v>
      </c>
      <c r="G804" s="75" t="s">
        <v>4</v>
      </c>
      <c r="H804" s="75">
        <v>1</v>
      </c>
      <c r="I804" s="75">
        <v>20</v>
      </c>
      <c r="J804" s="75" t="s">
        <v>10</v>
      </c>
      <c r="K804" s="75">
        <v>547.47</v>
      </c>
      <c r="L804" s="75">
        <v>0.37317</v>
      </c>
      <c r="M804" s="75">
        <v>547.4</v>
      </c>
      <c r="N804" s="75">
        <v>0.37309999999999999</v>
      </c>
      <c r="O804" s="90" t="str">
        <f>IF(VLOOKUP(UncLookup[[#This Row],[Item]],Items!$A$1:$F$43,2,FALSE)=0,"",VLOOKUP(UncLookup[[#This Row],[Item]],Items!$A$1:$F$43,2,FALSE))</f>
        <v/>
      </c>
      <c r="P804" s="90" t="str">
        <f>IF(VLOOKUP(UncLookup[[#This Row],[Item]],Items!$A$1:$F$43,3,FALSE)=0,"",VLOOKUP(UncLookup[[#This Row],[Item]],Items!$A$1:$F$43,3,FALSE))</f>
        <v/>
      </c>
      <c r="Q804" s="90" t="str">
        <f>IF(VLOOKUP(UncLookup[[#This Row],[Item]],Items!$A$1:$F$43,4,FALSE)=0,"",VLOOKUP(UncLookup[[#This Row],[Item]],Items!$A$1:$F$43,4,FALSE))</f>
        <v/>
      </c>
    </row>
    <row r="805" spans="1:17" x14ac:dyDescent="0.25">
      <c r="A805" s="76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90" t="str">
        <f>IF(VLOOKUP(UncLookup[[#This Row],[Item]],Items!$A$1:$F$43,2,FALSE)=0,"",VLOOKUP(UncLookup[[#This Row],[Item]],Items!$A$1:$F$43,2,FALSE))</f>
        <v/>
      </c>
      <c r="P805" s="90" t="str">
        <f>IF(VLOOKUP(UncLookup[[#This Row],[Item]],Items!$A$1:$F$43,3,FALSE)=0,"",VLOOKUP(UncLookup[[#This Row],[Item]],Items!$A$1:$F$43,3,FALSE))</f>
        <v/>
      </c>
      <c r="Q805" s="90" t="str">
        <f>IF(VLOOKUP(UncLookup[[#This Row],[Item]],Items!$A$1:$F$43,4,FALSE)=0,"",VLOOKUP(UncLookup[[#This Row],[Item]],Items!$A$1:$F$43,4,FALSE))</f>
        <v/>
      </c>
    </row>
    <row r="806" spans="1:17" x14ac:dyDescent="0.25">
      <c r="A806" s="75" t="s">
        <v>56</v>
      </c>
      <c r="B806" s="75" t="s">
        <v>8</v>
      </c>
      <c r="C806" s="75">
        <v>100</v>
      </c>
      <c r="D806" s="75">
        <v>1000</v>
      </c>
      <c r="E806" s="75">
        <v>1</v>
      </c>
      <c r="F806" s="75" t="s">
        <v>6</v>
      </c>
      <c r="G806" s="75" t="s">
        <v>4</v>
      </c>
      <c r="H806" s="75">
        <v>50</v>
      </c>
      <c r="I806" s="75">
        <v>100</v>
      </c>
      <c r="J806" s="75" t="s">
        <v>10</v>
      </c>
      <c r="K806" s="75">
        <v>369.25</v>
      </c>
      <c r="L806" s="75">
        <v>3.1671</v>
      </c>
      <c r="M806" s="75">
        <v>368.87</v>
      </c>
      <c r="N806" s="75">
        <v>3.1673</v>
      </c>
      <c r="O806" s="90" t="str">
        <f>IF(VLOOKUP(UncLookup[[#This Row],[Item]],Items!$A$1:$F$43,2,FALSE)=0,"",VLOOKUP(UncLookup[[#This Row],[Item]],Items!$A$1:$F$43,2,FALSE))</f>
        <v/>
      </c>
      <c r="P806" s="90" t="str">
        <f>IF(VLOOKUP(UncLookup[[#This Row],[Item]],Items!$A$1:$F$43,3,FALSE)=0,"",VLOOKUP(UncLookup[[#This Row],[Item]],Items!$A$1:$F$43,3,FALSE))</f>
        <v/>
      </c>
      <c r="Q806" s="90" t="str">
        <f>IF(VLOOKUP(UncLookup[[#This Row],[Item]],Items!$A$1:$F$43,4,FALSE)=0,"",VLOOKUP(UncLookup[[#This Row],[Item]],Items!$A$1:$F$43,4,FALSE))</f>
        <v/>
      </c>
    </row>
    <row r="807" spans="1:17" x14ac:dyDescent="0.25">
      <c r="A807" s="76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90" t="str">
        <f>IF(VLOOKUP(UncLookup[[#This Row],[Item]],Items!$A$1:$F$43,2,FALSE)=0,"",VLOOKUP(UncLookup[[#This Row],[Item]],Items!$A$1:$F$43,2,FALSE))</f>
        <v/>
      </c>
      <c r="P807" s="90" t="str">
        <f>IF(VLOOKUP(UncLookup[[#This Row],[Item]],Items!$A$1:$F$43,3,FALSE)=0,"",VLOOKUP(UncLookup[[#This Row],[Item]],Items!$A$1:$F$43,3,FALSE))</f>
        <v/>
      </c>
      <c r="Q807" s="90" t="str">
        <f>IF(VLOOKUP(UncLookup[[#This Row],[Item]],Items!$A$1:$F$43,4,FALSE)=0,"",VLOOKUP(UncLookup[[#This Row],[Item]],Items!$A$1:$F$43,4,FALSE))</f>
        <v/>
      </c>
    </row>
    <row r="808" spans="1:17" x14ac:dyDescent="0.25">
      <c r="A808" s="75" t="s">
        <v>56</v>
      </c>
      <c r="B808" s="75" t="s">
        <v>8</v>
      </c>
      <c r="C808" s="75">
        <v>100</v>
      </c>
      <c r="D808" s="75">
        <v>330</v>
      </c>
      <c r="E808" s="75">
        <v>1</v>
      </c>
      <c r="F808" s="75" t="s">
        <v>6</v>
      </c>
      <c r="G808" s="75" t="s">
        <v>4</v>
      </c>
      <c r="H808" s="75">
        <v>0.04</v>
      </c>
      <c r="I808" s="75">
        <v>1</v>
      </c>
      <c r="J808" s="75" t="s">
        <v>10</v>
      </c>
      <c r="K808" s="75">
        <v>571.91999999999996</v>
      </c>
      <c r="L808" s="75">
        <v>9.6252000000000004E-2</v>
      </c>
      <c r="M808" s="75">
        <v>571.91999999999996</v>
      </c>
      <c r="N808" s="75">
        <v>9.5921000000000006E-2</v>
      </c>
      <c r="O808" s="90" t="str">
        <f>IF(VLOOKUP(UncLookup[[#This Row],[Item]],Items!$A$1:$F$43,2,FALSE)=0,"",VLOOKUP(UncLookup[[#This Row],[Item]],Items!$A$1:$F$43,2,FALSE))</f>
        <v/>
      </c>
      <c r="P808" s="90" t="str">
        <f>IF(VLOOKUP(UncLookup[[#This Row],[Item]],Items!$A$1:$F$43,3,FALSE)=0,"",VLOOKUP(UncLookup[[#This Row],[Item]],Items!$A$1:$F$43,3,FALSE))</f>
        <v/>
      </c>
      <c r="Q808" s="90" t="str">
        <f>IF(VLOOKUP(UncLookup[[#This Row],[Item]],Items!$A$1:$F$43,4,FALSE)=0,"",VLOOKUP(UncLookup[[#This Row],[Item]],Items!$A$1:$F$43,4,FALSE))</f>
        <v/>
      </c>
    </row>
    <row r="809" spans="1:17" x14ac:dyDescent="0.25">
      <c r="A809" s="76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90" t="str">
        <f>IF(VLOOKUP(UncLookup[[#This Row],[Item]],Items!$A$1:$F$43,2,FALSE)=0,"",VLOOKUP(UncLookup[[#This Row],[Item]],Items!$A$1:$F$43,2,FALSE))</f>
        <v/>
      </c>
      <c r="P809" s="90" t="str">
        <f>IF(VLOOKUP(UncLookup[[#This Row],[Item]],Items!$A$1:$F$43,3,FALSE)=0,"",VLOOKUP(UncLookup[[#This Row],[Item]],Items!$A$1:$F$43,3,FALSE))</f>
        <v/>
      </c>
      <c r="Q809" s="90" t="str">
        <f>IF(VLOOKUP(UncLookup[[#This Row],[Item]],Items!$A$1:$F$43,4,FALSE)=0,"",VLOOKUP(UncLookup[[#This Row],[Item]],Items!$A$1:$F$43,4,FALSE))</f>
        <v/>
      </c>
    </row>
    <row r="810" spans="1:17" x14ac:dyDescent="0.25">
      <c r="A810" s="75" t="s">
        <v>56</v>
      </c>
      <c r="B810" s="75" t="s">
        <v>8</v>
      </c>
      <c r="C810" s="75">
        <v>100</v>
      </c>
      <c r="D810" s="75">
        <v>330</v>
      </c>
      <c r="E810" s="75">
        <v>1</v>
      </c>
      <c r="F810" s="75" t="s">
        <v>6</v>
      </c>
      <c r="G810" s="75" t="s">
        <v>4</v>
      </c>
      <c r="H810" s="75">
        <v>1E-3</v>
      </c>
      <c r="I810" s="75">
        <v>0.04</v>
      </c>
      <c r="J810" s="75" t="s">
        <v>10</v>
      </c>
      <c r="K810" s="75">
        <v>573.41999999999996</v>
      </c>
      <c r="L810" s="75">
        <v>0.11327</v>
      </c>
      <c r="M810" s="75">
        <v>573.41999999999996</v>
      </c>
      <c r="N810" s="75">
        <v>0.11294</v>
      </c>
      <c r="O810" s="90" t="str">
        <f>IF(VLOOKUP(UncLookup[[#This Row],[Item]],Items!$A$1:$F$43,2,FALSE)=0,"",VLOOKUP(UncLookup[[#This Row],[Item]],Items!$A$1:$F$43,2,FALSE))</f>
        <v/>
      </c>
      <c r="P810" s="90" t="str">
        <f>IF(VLOOKUP(UncLookup[[#This Row],[Item]],Items!$A$1:$F$43,3,FALSE)=0,"",VLOOKUP(UncLookup[[#This Row],[Item]],Items!$A$1:$F$43,3,FALSE))</f>
        <v/>
      </c>
      <c r="Q810" s="90" t="str">
        <f>IF(VLOOKUP(UncLookup[[#This Row],[Item]],Items!$A$1:$F$43,4,FALSE)=0,"",VLOOKUP(UncLookup[[#This Row],[Item]],Items!$A$1:$F$43,4,FALSE))</f>
        <v/>
      </c>
    </row>
    <row r="811" spans="1:17" x14ac:dyDescent="0.25">
      <c r="A811" s="76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90" t="str">
        <f>IF(VLOOKUP(UncLookup[[#This Row],[Item]],Items!$A$1:$F$43,2,FALSE)=0,"",VLOOKUP(UncLookup[[#This Row],[Item]],Items!$A$1:$F$43,2,FALSE))</f>
        <v/>
      </c>
      <c r="P811" s="90" t="str">
        <f>IF(VLOOKUP(UncLookup[[#This Row],[Item]],Items!$A$1:$F$43,3,FALSE)=0,"",VLOOKUP(UncLookup[[#This Row],[Item]],Items!$A$1:$F$43,3,FALSE))</f>
        <v/>
      </c>
      <c r="Q811" s="90" t="str">
        <f>IF(VLOOKUP(UncLookup[[#This Row],[Item]],Items!$A$1:$F$43,4,FALSE)=0,"",VLOOKUP(UncLookup[[#This Row],[Item]],Items!$A$1:$F$43,4,FALSE))</f>
        <v/>
      </c>
    </row>
    <row r="812" spans="1:17" x14ac:dyDescent="0.25">
      <c r="A812" s="75" t="s">
        <v>56</v>
      </c>
      <c r="B812" s="75" t="s">
        <v>8</v>
      </c>
      <c r="C812" s="75">
        <v>330</v>
      </c>
      <c r="D812" s="75">
        <v>1000</v>
      </c>
      <c r="E812" s="75">
        <v>1E-4</v>
      </c>
      <c r="F812" s="75" t="s">
        <v>6</v>
      </c>
      <c r="G812" s="75" t="s">
        <v>4</v>
      </c>
      <c r="H812" s="75">
        <v>1</v>
      </c>
      <c r="I812" s="75">
        <v>10</v>
      </c>
      <c r="J812" s="75" t="s">
        <v>10</v>
      </c>
      <c r="K812" s="75">
        <v>23</v>
      </c>
      <c r="L812" s="75">
        <v>0.7</v>
      </c>
      <c r="M812" s="75">
        <v>23.056000000000001</v>
      </c>
      <c r="N812" s="75">
        <v>0.69386999999999999</v>
      </c>
      <c r="O812" s="90" t="str">
        <f>IF(VLOOKUP(UncLookup[[#This Row],[Item]],Items!$A$1:$F$43,2,FALSE)=0,"",VLOOKUP(UncLookup[[#This Row],[Item]],Items!$A$1:$F$43,2,FALSE))</f>
        <v/>
      </c>
      <c r="P812" s="90" t="str">
        <f>IF(VLOOKUP(UncLookup[[#This Row],[Item]],Items!$A$1:$F$43,3,FALSE)=0,"",VLOOKUP(UncLookup[[#This Row],[Item]],Items!$A$1:$F$43,3,FALSE))</f>
        <v/>
      </c>
      <c r="Q812" s="90" t="str">
        <f>IF(VLOOKUP(UncLookup[[#This Row],[Item]],Items!$A$1:$F$43,4,FALSE)=0,"",VLOOKUP(UncLookup[[#This Row],[Item]],Items!$A$1:$F$43,4,FALSE))</f>
        <v/>
      </c>
    </row>
    <row r="813" spans="1:17" x14ac:dyDescent="0.25">
      <c r="A813" s="76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90" t="str">
        <f>IF(VLOOKUP(UncLookup[[#This Row],[Item]],Items!$A$1:$F$43,2,FALSE)=0,"",VLOOKUP(UncLookup[[#This Row],[Item]],Items!$A$1:$F$43,2,FALSE))</f>
        <v/>
      </c>
      <c r="P813" s="90" t="str">
        <f>IF(VLOOKUP(UncLookup[[#This Row],[Item]],Items!$A$1:$F$43,3,FALSE)=0,"",VLOOKUP(UncLookup[[#This Row],[Item]],Items!$A$1:$F$43,3,FALSE))</f>
        <v/>
      </c>
      <c r="Q813" s="90" t="str">
        <f>IF(VLOOKUP(UncLookup[[#This Row],[Item]],Items!$A$1:$F$43,4,FALSE)=0,"",VLOOKUP(UncLookup[[#This Row],[Item]],Items!$A$1:$F$43,4,FALSE))</f>
        <v/>
      </c>
    </row>
    <row r="814" spans="1:17" x14ac:dyDescent="0.25">
      <c r="A814" s="75" t="s">
        <v>56</v>
      </c>
      <c r="B814" s="75" t="s">
        <v>8</v>
      </c>
      <c r="C814" s="75">
        <v>330</v>
      </c>
      <c r="D814" s="75">
        <v>1000</v>
      </c>
      <c r="E814" s="75">
        <v>1E-3</v>
      </c>
      <c r="F814" s="75" t="s">
        <v>6</v>
      </c>
      <c r="G814" s="75" t="s">
        <v>4</v>
      </c>
      <c r="H814" s="75">
        <v>0.04</v>
      </c>
      <c r="I814" s="75">
        <v>1</v>
      </c>
      <c r="J814" s="75" t="s">
        <v>10</v>
      </c>
      <c r="K814" s="75">
        <v>27</v>
      </c>
      <c r="L814" s="75">
        <v>0.46050999999999997</v>
      </c>
      <c r="M814" s="75">
        <v>23.032</v>
      </c>
      <c r="N814" s="75">
        <v>0.46343000000000001</v>
      </c>
      <c r="O814" s="90" t="str">
        <f>IF(VLOOKUP(UncLookup[[#This Row],[Item]],Items!$A$1:$F$43,2,FALSE)=0,"",VLOOKUP(UncLookup[[#This Row],[Item]],Items!$A$1:$F$43,2,FALSE))</f>
        <v/>
      </c>
      <c r="P814" s="90" t="str">
        <f>IF(VLOOKUP(UncLookup[[#This Row],[Item]],Items!$A$1:$F$43,3,FALSE)=0,"",VLOOKUP(UncLookup[[#This Row],[Item]],Items!$A$1:$F$43,3,FALSE))</f>
        <v/>
      </c>
      <c r="Q814" s="90" t="str">
        <f>IF(VLOOKUP(UncLookup[[#This Row],[Item]],Items!$A$1:$F$43,4,FALSE)=0,"",VLOOKUP(UncLookup[[#This Row],[Item]],Items!$A$1:$F$43,4,FALSE))</f>
        <v/>
      </c>
    </row>
    <row r="815" spans="1:17" x14ac:dyDescent="0.25">
      <c r="A815" s="76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90" t="str">
        <f>IF(VLOOKUP(UncLookup[[#This Row],[Item]],Items!$A$1:$F$43,2,FALSE)=0,"",VLOOKUP(UncLookup[[#This Row],[Item]],Items!$A$1:$F$43,2,FALSE))</f>
        <v/>
      </c>
      <c r="P815" s="90" t="str">
        <f>IF(VLOOKUP(UncLookup[[#This Row],[Item]],Items!$A$1:$F$43,3,FALSE)=0,"",VLOOKUP(UncLookup[[#This Row],[Item]],Items!$A$1:$F$43,3,FALSE))</f>
        <v/>
      </c>
      <c r="Q815" s="90" t="str">
        <f>IF(VLOOKUP(UncLookup[[#This Row],[Item]],Items!$A$1:$F$43,4,FALSE)=0,"",VLOOKUP(UncLookup[[#This Row],[Item]],Items!$A$1:$F$43,4,FALSE))</f>
        <v/>
      </c>
    </row>
    <row r="816" spans="1:17" x14ac:dyDescent="0.25">
      <c r="A816" s="75" t="s">
        <v>56</v>
      </c>
      <c r="B816" s="75" t="s">
        <v>8</v>
      </c>
      <c r="C816" s="75">
        <v>330</v>
      </c>
      <c r="D816" s="75">
        <v>1000</v>
      </c>
      <c r="E816" s="75">
        <v>1E-3</v>
      </c>
      <c r="F816" s="75" t="s">
        <v>6</v>
      </c>
      <c r="G816" s="75" t="s">
        <v>4</v>
      </c>
      <c r="H816" s="75">
        <v>1E-3</v>
      </c>
      <c r="I816" s="75">
        <v>0.04</v>
      </c>
      <c r="J816" s="75" t="s">
        <v>10</v>
      </c>
      <c r="K816" s="75">
        <v>50</v>
      </c>
      <c r="L816" s="75">
        <v>0.46054</v>
      </c>
      <c r="M816" s="75">
        <v>46.107999999999997</v>
      </c>
      <c r="N816" s="75">
        <v>0.46338000000000001</v>
      </c>
      <c r="O816" s="90" t="str">
        <f>IF(VLOOKUP(UncLookup[[#This Row],[Item]],Items!$A$1:$F$43,2,FALSE)=0,"",VLOOKUP(UncLookup[[#This Row],[Item]],Items!$A$1:$F$43,2,FALSE))</f>
        <v/>
      </c>
      <c r="P816" s="90" t="str">
        <f>IF(VLOOKUP(UncLookup[[#This Row],[Item]],Items!$A$1:$F$43,3,FALSE)=0,"",VLOOKUP(UncLookup[[#This Row],[Item]],Items!$A$1:$F$43,3,FALSE))</f>
        <v/>
      </c>
      <c r="Q816" s="90" t="str">
        <f>IF(VLOOKUP(UncLookup[[#This Row],[Item]],Items!$A$1:$F$43,4,FALSE)=0,"",VLOOKUP(UncLookup[[#This Row],[Item]],Items!$A$1:$F$43,4,FALSE))</f>
        <v/>
      </c>
    </row>
    <row r="817" spans="1:17" x14ac:dyDescent="0.25">
      <c r="A817" s="76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90" t="str">
        <f>IF(VLOOKUP(UncLookup[[#This Row],[Item]],Items!$A$1:$F$43,2,FALSE)=0,"",VLOOKUP(UncLookup[[#This Row],[Item]],Items!$A$1:$F$43,2,FALSE))</f>
        <v/>
      </c>
      <c r="P817" s="90" t="str">
        <f>IF(VLOOKUP(UncLookup[[#This Row],[Item]],Items!$A$1:$F$43,3,FALSE)=0,"",VLOOKUP(UncLookup[[#This Row],[Item]],Items!$A$1:$F$43,3,FALSE))</f>
        <v/>
      </c>
      <c r="Q817" s="90" t="str">
        <f>IF(VLOOKUP(UncLookup[[#This Row],[Item]],Items!$A$1:$F$43,4,FALSE)=0,"",VLOOKUP(UncLookup[[#This Row],[Item]],Items!$A$1:$F$43,4,FALSE))</f>
        <v/>
      </c>
    </row>
    <row r="818" spans="1:17" x14ac:dyDescent="0.25">
      <c r="A818" s="75" t="s">
        <v>56</v>
      </c>
      <c r="B818" s="75" t="s">
        <v>8</v>
      </c>
      <c r="C818" s="75">
        <v>330</v>
      </c>
      <c r="D818" s="75">
        <v>1000</v>
      </c>
      <c r="E818" s="75">
        <v>0.01</v>
      </c>
      <c r="F818" s="75" t="s">
        <v>6</v>
      </c>
      <c r="G818" s="75" t="s">
        <v>4</v>
      </c>
      <c r="H818" s="75">
        <v>1</v>
      </c>
      <c r="I818" s="75">
        <v>10</v>
      </c>
      <c r="J818" s="75" t="s">
        <v>10</v>
      </c>
      <c r="K818" s="75">
        <v>23</v>
      </c>
      <c r="L818" s="75">
        <v>0.7</v>
      </c>
      <c r="M818" s="75">
        <v>23.256</v>
      </c>
      <c r="N818" s="75">
        <v>0.69369000000000003</v>
      </c>
      <c r="O818" s="90" t="str">
        <f>IF(VLOOKUP(UncLookup[[#This Row],[Item]],Items!$A$1:$F$43,2,FALSE)=0,"",VLOOKUP(UncLookup[[#This Row],[Item]],Items!$A$1:$F$43,2,FALSE))</f>
        <v/>
      </c>
      <c r="P818" s="90" t="str">
        <f>IF(VLOOKUP(UncLookup[[#This Row],[Item]],Items!$A$1:$F$43,3,FALSE)=0,"",VLOOKUP(UncLookup[[#This Row],[Item]],Items!$A$1:$F$43,3,FALSE))</f>
        <v/>
      </c>
      <c r="Q818" s="90" t="str">
        <f>IF(VLOOKUP(UncLookup[[#This Row],[Item]],Items!$A$1:$F$43,4,FALSE)=0,"",VLOOKUP(UncLookup[[#This Row],[Item]],Items!$A$1:$F$43,4,FALSE))</f>
        <v/>
      </c>
    </row>
    <row r="819" spans="1:17" x14ac:dyDescent="0.25">
      <c r="A819" s="76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90" t="str">
        <f>IF(VLOOKUP(UncLookup[[#This Row],[Item]],Items!$A$1:$F$43,2,FALSE)=0,"",VLOOKUP(UncLookup[[#This Row],[Item]],Items!$A$1:$F$43,2,FALSE))</f>
        <v/>
      </c>
      <c r="P819" s="90" t="str">
        <f>IF(VLOOKUP(UncLookup[[#This Row],[Item]],Items!$A$1:$F$43,3,FALSE)=0,"",VLOOKUP(UncLookup[[#This Row],[Item]],Items!$A$1:$F$43,3,FALSE))</f>
        <v/>
      </c>
      <c r="Q819" s="90" t="str">
        <f>IF(VLOOKUP(UncLookup[[#This Row],[Item]],Items!$A$1:$F$43,4,FALSE)=0,"",VLOOKUP(UncLookup[[#This Row],[Item]],Items!$A$1:$F$43,4,FALSE))</f>
        <v/>
      </c>
    </row>
    <row r="820" spans="1:17" x14ac:dyDescent="0.25">
      <c r="A820" s="75" t="s">
        <v>56</v>
      </c>
      <c r="B820" s="75" t="s">
        <v>8</v>
      </c>
      <c r="C820" s="75">
        <v>330</v>
      </c>
      <c r="D820" s="75">
        <v>1000</v>
      </c>
      <c r="E820" s="75">
        <v>0.1</v>
      </c>
      <c r="F820" s="75" t="s">
        <v>6</v>
      </c>
      <c r="G820" s="75" t="s">
        <v>4</v>
      </c>
      <c r="H820" s="75">
        <v>0.04</v>
      </c>
      <c r="I820" s="75">
        <v>1</v>
      </c>
      <c r="J820" s="75" t="s">
        <v>10</v>
      </c>
      <c r="K820" s="75">
        <v>45.920999999999999</v>
      </c>
      <c r="L820" s="75">
        <v>0.44399</v>
      </c>
      <c r="M820" s="75">
        <v>45.854999999999997</v>
      </c>
      <c r="N820" s="75">
        <v>0.44402000000000003</v>
      </c>
      <c r="O820" s="90" t="str">
        <f>IF(VLOOKUP(UncLookup[[#This Row],[Item]],Items!$A$1:$F$43,2,FALSE)=0,"",VLOOKUP(UncLookup[[#This Row],[Item]],Items!$A$1:$F$43,2,FALSE))</f>
        <v/>
      </c>
      <c r="P820" s="90" t="str">
        <f>IF(VLOOKUP(UncLookup[[#This Row],[Item]],Items!$A$1:$F$43,3,FALSE)=0,"",VLOOKUP(UncLookup[[#This Row],[Item]],Items!$A$1:$F$43,3,FALSE))</f>
        <v/>
      </c>
      <c r="Q820" s="90" t="str">
        <f>IF(VLOOKUP(UncLookup[[#This Row],[Item]],Items!$A$1:$F$43,4,FALSE)=0,"",VLOOKUP(UncLookup[[#This Row],[Item]],Items!$A$1:$F$43,4,FALSE))</f>
        <v/>
      </c>
    </row>
    <row r="821" spans="1:17" x14ac:dyDescent="0.25">
      <c r="A821" s="76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90" t="str">
        <f>IF(VLOOKUP(UncLookup[[#This Row],[Item]],Items!$A$1:$F$43,2,FALSE)=0,"",VLOOKUP(UncLookup[[#This Row],[Item]],Items!$A$1:$F$43,2,FALSE))</f>
        <v/>
      </c>
      <c r="P821" s="90" t="str">
        <f>IF(VLOOKUP(UncLookup[[#This Row],[Item]],Items!$A$1:$F$43,3,FALSE)=0,"",VLOOKUP(UncLookup[[#This Row],[Item]],Items!$A$1:$F$43,3,FALSE))</f>
        <v/>
      </c>
      <c r="Q821" s="90" t="str">
        <f>IF(VLOOKUP(UncLookup[[#This Row],[Item]],Items!$A$1:$F$43,4,FALSE)=0,"",VLOOKUP(UncLookup[[#This Row],[Item]],Items!$A$1:$F$43,4,FALSE))</f>
        <v/>
      </c>
    </row>
    <row r="822" spans="1:17" x14ac:dyDescent="0.25">
      <c r="A822" s="75" t="s">
        <v>56</v>
      </c>
      <c r="B822" s="75" t="s">
        <v>8</v>
      </c>
      <c r="C822" s="75">
        <v>330</v>
      </c>
      <c r="D822" s="75">
        <v>1000</v>
      </c>
      <c r="E822" s="75">
        <v>0.1</v>
      </c>
      <c r="F822" s="75" t="s">
        <v>6</v>
      </c>
      <c r="G822" s="75" t="s">
        <v>4</v>
      </c>
      <c r="H822" s="75">
        <v>1</v>
      </c>
      <c r="I822" s="75">
        <v>10</v>
      </c>
      <c r="J822" s="75" t="s">
        <v>10</v>
      </c>
      <c r="K822" s="75">
        <v>40.883000000000003</v>
      </c>
      <c r="L822" s="75">
        <v>0.68211999999999995</v>
      </c>
      <c r="M822" s="75">
        <v>41.185000000000002</v>
      </c>
      <c r="N822" s="75">
        <v>0.67806</v>
      </c>
      <c r="O822" s="90" t="str">
        <f>IF(VLOOKUP(UncLookup[[#This Row],[Item]],Items!$A$1:$F$43,2,FALSE)=0,"",VLOOKUP(UncLookup[[#This Row],[Item]],Items!$A$1:$F$43,2,FALSE))</f>
        <v/>
      </c>
      <c r="P822" s="90" t="str">
        <f>IF(VLOOKUP(UncLookup[[#This Row],[Item]],Items!$A$1:$F$43,3,FALSE)=0,"",VLOOKUP(UncLookup[[#This Row],[Item]],Items!$A$1:$F$43,3,FALSE))</f>
        <v/>
      </c>
      <c r="Q822" s="90" t="str">
        <f>IF(VLOOKUP(UncLookup[[#This Row],[Item]],Items!$A$1:$F$43,4,FALSE)=0,"",VLOOKUP(UncLookup[[#This Row],[Item]],Items!$A$1:$F$43,4,FALSE))</f>
        <v/>
      </c>
    </row>
    <row r="823" spans="1:17" x14ac:dyDescent="0.25">
      <c r="A823" s="76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90" t="str">
        <f>IF(VLOOKUP(UncLookup[[#This Row],[Item]],Items!$A$1:$F$43,2,FALSE)=0,"",VLOOKUP(UncLookup[[#This Row],[Item]],Items!$A$1:$F$43,2,FALSE))</f>
        <v/>
      </c>
      <c r="P823" s="90" t="str">
        <f>IF(VLOOKUP(UncLookup[[#This Row],[Item]],Items!$A$1:$F$43,3,FALSE)=0,"",VLOOKUP(UncLookup[[#This Row],[Item]],Items!$A$1:$F$43,3,FALSE))</f>
        <v/>
      </c>
      <c r="Q823" s="90" t="str">
        <f>IF(VLOOKUP(UncLookup[[#This Row],[Item]],Items!$A$1:$F$43,4,FALSE)=0,"",VLOOKUP(UncLookup[[#This Row],[Item]],Items!$A$1:$F$43,4,FALSE))</f>
        <v/>
      </c>
    </row>
    <row r="824" spans="1:17" x14ac:dyDescent="0.25">
      <c r="A824" s="75" t="s">
        <v>56</v>
      </c>
      <c r="B824" s="75" t="s">
        <v>8</v>
      </c>
      <c r="C824" s="75">
        <v>330</v>
      </c>
      <c r="D824" s="75">
        <v>1000</v>
      </c>
      <c r="E824" s="75">
        <v>1</v>
      </c>
      <c r="F824" s="75" t="s">
        <v>6</v>
      </c>
      <c r="G824" s="75" t="s">
        <v>4</v>
      </c>
      <c r="H824" s="75">
        <v>0.04</v>
      </c>
      <c r="I824" s="75">
        <v>1</v>
      </c>
      <c r="J824" s="75" t="s">
        <v>10</v>
      </c>
      <c r="K824" s="75">
        <v>562.27</v>
      </c>
      <c r="L824" s="75">
        <v>0.1928</v>
      </c>
      <c r="M824" s="75">
        <v>562.23</v>
      </c>
      <c r="N824" s="75">
        <v>0.19273999999999999</v>
      </c>
      <c r="O824" s="90" t="str">
        <f>IF(VLOOKUP(UncLookup[[#This Row],[Item]],Items!$A$1:$F$43,2,FALSE)=0,"",VLOOKUP(UncLookup[[#This Row],[Item]],Items!$A$1:$F$43,2,FALSE))</f>
        <v/>
      </c>
      <c r="P824" s="90" t="str">
        <f>IF(VLOOKUP(UncLookup[[#This Row],[Item]],Items!$A$1:$F$43,3,FALSE)=0,"",VLOOKUP(UncLookup[[#This Row],[Item]],Items!$A$1:$F$43,3,FALSE))</f>
        <v/>
      </c>
      <c r="Q824" s="90" t="str">
        <f>IF(VLOOKUP(UncLookup[[#This Row],[Item]],Items!$A$1:$F$43,4,FALSE)=0,"",VLOOKUP(UncLookup[[#This Row],[Item]],Items!$A$1:$F$43,4,FALSE))</f>
        <v/>
      </c>
    </row>
    <row r="825" spans="1:17" x14ac:dyDescent="0.25">
      <c r="A825" s="76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90" t="str">
        <f>IF(VLOOKUP(UncLookup[[#This Row],[Item]],Items!$A$1:$F$43,2,FALSE)=0,"",VLOOKUP(UncLookup[[#This Row],[Item]],Items!$A$1:$F$43,2,FALSE))</f>
        <v/>
      </c>
      <c r="P825" s="90" t="str">
        <f>IF(VLOOKUP(UncLookup[[#This Row],[Item]],Items!$A$1:$F$43,3,FALSE)=0,"",VLOOKUP(UncLookup[[#This Row],[Item]],Items!$A$1:$F$43,3,FALSE))</f>
        <v/>
      </c>
      <c r="Q825" s="90" t="str">
        <f>IF(VLOOKUP(UncLookup[[#This Row],[Item]],Items!$A$1:$F$43,4,FALSE)=0,"",VLOOKUP(UncLookup[[#This Row],[Item]],Items!$A$1:$F$43,4,FALSE))</f>
        <v/>
      </c>
    </row>
    <row r="826" spans="1:17" x14ac:dyDescent="0.25">
      <c r="A826" s="75" t="s">
        <v>56</v>
      </c>
      <c r="B826" s="75" t="s">
        <v>47</v>
      </c>
      <c r="C826" s="75">
        <v>0</v>
      </c>
      <c r="D826" s="75">
        <v>1E-4</v>
      </c>
      <c r="E826" s="75">
        <v>1E-10</v>
      </c>
      <c r="F826" s="75" t="s">
        <v>13</v>
      </c>
      <c r="G826" s="75" t="s">
        <v>11</v>
      </c>
      <c r="H826" s="75">
        <v>4.4999999999999998E-2</v>
      </c>
      <c r="I826" s="75">
        <v>5</v>
      </c>
      <c r="J826" s="75" t="s">
        <v>10</v>
      </c>
      <c r="K826" s="75">
        <v>3.6999999999999998E-2</v>
      </c>
      <c r="L826" s="75">
        <v>700</v>
      </c>
      <c r="M826" s="75">
        <v>3.5478000000000003E-2</v>
      </c>
      <c r="N826" s="75">
        <v>705.46</v>
      </c>
      <c r="O826" s="90" t="str">
        <f>IF(VLOOKUP(UncLookup[[#This Row],[Item]],Items!$A$1:$F$43,2,FALSE)=0,"",VLOOKUP(UncLookup[[#This Row],[Item]],Items!$A$1:$F$43,2,FALSE))</f>
        <v/>
      </c>
      <c r="P826" s="90" t="str">
        <f>IF(VLOOKUP(UncLookup[[#This Row],[Item]],Items!$A$1:$F$43,3,FALSE)=0,"",VLOOKUP(UncLookup[[#This Row],[Item]],Items!$A$1:$F$43,3,FALSE))</f>
        <v/>
      </c>
      <c r="Q826" s="90" t="str">
        <f>IF(VLOOKUP(UncLookup[[#This Row],[Item]],Items!$A$1:$F$43,4,FALSE)=0,"",VLOOKUP(UncLookup[[#This Row],[Item]],Items!$A$1:$F$43,4,FALSE))</f>
        <v/>
      </c>
    </row>
    <row r="827" spans="1:17" x14ac:dyDescent="0.25">
      <c r="A827" s="76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90" t="str">
        <f>IF(VLOOKUP(UncLookup[[#This Row],[Item]],Items!$A$1:$F$43,2,FALSE)=0,"",VLOOKUP(UncLookup[[#This Row],[Item]],Items!$A$1:$F$43,2,FALSE))</f>
        <v/>
      </c>
      <c r="P827" s="90" t="str">
        <f>IF(VLOOKUP(UncLookup[[#This Row],[Item]],Items!$A$1:$F$43,3,FALSE)=0,"",VLOOKUP(UncLookup[[#This Row],[Item]],Items!$A$1:$F$43,3,FALSE))</f>
        <v/>
      </c>
      <c r="Q827" s="90" t="str">
        <f>IF(VLOOKUP(UncLookup[[#This Row],[Item]],Items!$A$1:$F$43,4,FALSE)=0,"",VLOOKUP(UncLookup[[#This Row],[Item]],Items!$A$1:$F$43,4,FALSE))</f>
        <v/>
      </c>
    </row>
    <row r="828" spans="1:17" x14ac:dyDescent="0.25">
      <c r="A828" s="75" t="s">
        <v>56</v>
      </c>
      <c r="B828" s="75" t="s">
        <v>47</v>
      </c>
      <c r="C828" s="75">
        <v>0</v>
      </c>
      <c r="D828" s="75">
        <v>1E-4</v>
      </c>
      <c r="E828" s="75">
        <v>1E-10</v>
      </c>
      <c r="F828" s="75" t="s">
        <v>13</v>
      </c>
      <c r="G828" s="75" t="s">
        <v>11</v>
      </c>
      <c r="H828" s="75">
        <v>0.02</v>
      </c>
      <c r="I828" s="75">
        <v>4.4999999999999998E-2</v>
      </c>
      <c r="J828" s="75" t="s">
        <v>10</v>
      </c>
      <c r="K828" s="75">
        <v>3.7999999999999999E-2</v>
      </c>
      <c r="L828" s="75">
        <v>1700</v>
      </c>
      <c r="M828" s="75">
        <v>3.4644000000000001E-2</v>
      </c>
      <c r="N828" s="75">
        <v>1732.1</v>
      </c>
      <c r="O828" s="90" t="str">
        <f>IF(VLOOKUP(UncLookup[[#This Row],[Item]],Items!$A$1:$F$43,2,FALSE)=0,"",VLOOKUP(UncLookup[[#This Row],[Item]],Items!$A$1:$F$43,2,FALSE))</f>
        <v/>
      </c>
      <c r="P828" s="90" t="str">
        <f>IF(VLOOKUP(UncLookup[[#This Row],[Item]],Items!$A$1:$F$43,3,FALSE)=0,"",VLOOKUP(UncLookup[[#This Row],[Item]],Items!$A$1:$F$43,3,FALSE))</f>
        <v/>
      </c>
      <c r="Q828" s="90" t="str">
        <f>IF(VLOOKUP(UncLookup[[#This Row],[Item]],Items!$A$1:$F$43,4,FALSE)=0,"",VLOOKUP(UncLookup[[#This Row],[Item]],Items!$A$1:$F$43,4,FALSE))</f>
        <v/>
      </c>
    </row>
    <row r="829" spans="1:17" x14ac:dyDescent="0.25">
      <c r="A829" s="76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90" t="str">
        <f>IF(VLOOKUP(UncLookup[[#This Row],[Item]],Items!$A$1:$F$43,2,FALSE)=0,"",VLOOKUP(UncLookup[[#This Row],[Item]],Items!$A$1:$F$43,2,FALSE))</f>
        <v/>
      </c>
      <c r="P829" s="90" t="str">
        <f>IF(VLOOKUP(UncLookup[[#This Row],[Item]],Items!$A$1:$F$43,3,FALSE)=0,"",VLOOKUP(UncLookup[[#This Row],[Item]],Items!$A$1:$F$43,3,FALSE))</f>
        <v/>
      </c>
      <c r="Q829" s="90" t="str">
        <f>IF(VLOOKUP(UncLookup[[#This Row],[Item]],Items!$A$1:$F$43,4,FALSE)=0,"",VLOOKUP(UncLookup[[#This Row],[Item]],Items!$A$1:$F$43,4,FALSE))</f>
        <v/>
      </c>
    </row>
    <row r="830" spans="1:17" x14ac:dyDescent="0.25">
      <c r="A830" s="75" t="s">
        <v>56</v>
      </c>
      <c r="B830" s="75" t="s">
        <v>47</v>
      </c>
      <c r="C830" s="75">
        <v>0</v>
      </c>
      <c r="D830" s="75">
        <v>1E-4</v>
      </c>
      <c r="E830" s="75">
        <v>1.0000000000000001E-9</v>
      </c>
      <c r="F830" s="75" t="s">
        <v>13</v>
      </c>
      <c r="G830" s="75" t="s">
        <v>11</v>
      </c>
      <c r="H830" s="75">
        <v>0.02</v>
      </c>
      <c r="I830" s="75">
        <v>4.4999999999999998E-2</v>
      </c>
      <c r="J830" s="75" t="s">
        <v>10</v>
      </c>
      <c r="K830" s="75">
        <v>3.7999999999999999E-2</v>
      </c>
      <c r="L830" s="75">
        <v>1700</v>
      </c>
      <c r="M830" s="75">
        <v>3.4647999999999998E-2</v>
      </c>
      <c r="N830" s="75">
        <v>1732.1</v>
      </c>
      <c r="O830" s="90" t="str">
        <f>IF(VLOOKUP(UncLookup[[#This Row],[Item]],Items!$A$1:$F$43,2,FALSE)=0,"",VLOOKUP(UncLookup[[#This Row],[Item]],Items!$A$1:$F$43,2,FALSE))</f>
        <v/>
      </c>
      <c r="P830" s="90" t="str">
        <f>IF(VLOOKUP(UncLookup[[#This Row],[Item]],Items!$A$1:$F$43,3,FALSE)=0,"",VLOOKUP(UncLookup[[#This Row],[Item]],Items!$A$1:$F$43,3,FALSE))</f>
        <v/>
      </c>
      <c r="Q830" s="90" t="str">
        <f>IF(VLOOKUP(UncLookup[[#This Row],[Item]],Items!$A$1:$F$43,4,FALSE)=0,"",VLOOKUP(UncLookup[[#This Row],[Item]],Items!$A$1:$F$43,4,FALSE))</f>
        <v/>
      </c>
    </row>
    <row r="831" spans="1:17" x14ac:dyDescent="0.25">
      <c r="A831" s="76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90" t="str">
        <f>IF(VLOOKUP(UncLookup[[#This Row],[Item]],Items!$A$1:$F$43,2,FALSE)=0,"",VLOOKUP(UncLookup[[#This Row],[Item]],Items!$A$1:$F$43,2,FALSE))</f>
        <v/>
      </c>
      <c r="P831" s="90" t="str">
        <f>IF(VLOOKUP(UncLookup[[#This Row],[Item]],Items!$A$1:$F$43,3,FALSE)=0,"",VLOOKUP(UncLookup[[#This Row],[Item]],Items!$A$1:$F$43,3,FALSE))</f>
        <v/>
      </c>
      <c r="Q831" s="90" t="str">
        <f>IF(VLOOKUP(UncLookup[[#This Row],[Item]],Items!$A$1:$F$43,4,FALSE)=0,"",VLOOKUP(UncLookup[[#This Row],[Item]],Items!$A$1:$F$43,4,FALSE))</f>
        <v/>
      </c>
    </row>
    <row r="832" spans="1:17" x14ac:dyDescent="0.25">
      <c r="A832" s="75" t="s">
        <v>56</v>
      </c>
      <c r="B832" s="75" t="s">
        <v>47</v>
      </c>
      <c r="C832" s="75">
        <v>0</v>
      </c>
      <c r="D832" s="75">
        <v>1E-4</v>
      </c>
      <c r="E832" s="75">
        <v>1E-8</v>
      </c>
      <c r="F832" s="75" t="s">
        <v>13</v>
      </c>
      <c r="G832" s="75" t="s">
        <v>11</v>
      </c>
      <c r="H832" s="75">
        <v>1E-3</v>
      </c>
      <c r="I832" s="75">
        <v>0.02</v>
      </c>
      <c r="J832" s="75" t="s">
        <v>10</v>
      </c>
      <c r="K832" s="75">
        <v>7.6999999999999999E-2</v>
      </c>
      <c r="L832" s="75">
        <v>4200</v>
      </c>
      <c r="M832" s="75">
        <v>7.6839000000000005E-2</v>
      </c>
      <c r="N832" s="75">
        <v>4197.2</v>
      </c>
      <c r="O832" s="90" t="str">
        <f>IF(VLOOKUP(UncLookup[[#This Row],[Item]],Items!$A$1:$F$43,2,FALSE)=0,"",VLOOKUP(UncLookup[[#This Row],[Item]],Items!$A$1:$F$43,2,FALSE))</f>
        <v/>
      </c>
      <c r="P832" s="90" t="str">
        <f>IF(VLOOKUP(UncLookup[[#This Row],[Item]],Items!$A$1:$F$43,3,FALSE)=0,"",VLOOKUP(UncLookup[[#This Row],[Item]],Items!$A$1:$F$43,3,FALSE))</f>
        <v/>
      </c>
      <c r="Q832" s="90" t="str">
        <f>IF(VLOOKUP(UncLookup[[#This Row],[Item]],Items!$A$1:$F$43,4,FALSE)=0,"",VLOOKUP(UncLookup[[#This Row],[Item]],Items!$A$1:$F$43,4,FALSE))</f>
        <v/>
      </c>
    </row>
    <row r="833" spans="1:17" x14ac:dyDescent="0.25">
      <c r="A833" s="76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90" t="str">
        <f>IF(VLOOKUP(UncLookup[[#This Row],[Item]],Items!$A$1:$F$43,2,FALSE)=0,"",VLOOKUP(UncLookup[[#This Row],[Item]],Items!$A$1:$F$43,2,FALSE))</f>
        <v/>
      </c>
      <c r="P833" s="90" t="str">
        <f>IF(VLOOKUP(UncLookup[[#This Row],[Item]],Items!$A$1:$F$43,3,FALSE)=0,"",VLOOKUP(UncLookup[[#This Row],[Item]],Items!$A$1:$F$43,3,FALSE))</f>
        <v/>
      </c>
      <c r="Q833" s="90" t="str">
        <f>IF(VLOOKUP(UncLookup[[#This Row],[Item]],Items!$A$1:$F$43,4,FALSE)=0,"",VLOOKUP(UncLookup[[#This Row],[Item]],Items!$A$1:$F$43,4,FALSE))</f>
        <v/>
      </c>
    </row>
    <row r="834" spans="1:17" x14ac:dyDescent="0.25">
      <c r="A834" s="75" t="s">
        <v>56</v>
      </c>
      <c r="B834" s="75" t="s">
        <v>47</v>
      </c>
      <c r="C834" s="75">
        <v>0</v>
      </c>
      <c r="D834" s="75">
        <v>1E-4</v>
      </c>
      <c r="E834" s="75">
        <v>1E-8</v>
      </c>
      <c r="F834" s="75" t="s">
        <v>13</v>
      </c>
      <c r="G834" s="75" t="s">
        <v>11</v>
      </c>
      <c r="H834" s="75">
        <v>0.02</v>
      </c>
      <c r="I834" s="75">
        <v>4.4999999999999998E-2</v>
      </c>
      <c r="J834" s="75" t="s">
        <v>10</v>
      </c>
      <c r="K834" s="75">
        <v>3.7999999999999999E-2</v>
      </c>
      <c r="L834" s="75">
        <v>1700</v>
      </c>
      <c r="M834" s="75">
        <v>3.4998000000000001E-2</v>
      </c>
      <c r="N834" s="75">
        <v>1729.4</v>
      </c>
      <c r="O834" s="90" t="str">
        <f>IF(VLOOKUP(UncLookup[[#This Row],[Item]],Items!$A$1:$F$43,2,FALSE)=0,"",VLOOKUP(UncLookup[[#This Row],[Item]],Items!$A$1:$F$43,2,FALSE))</f>
        <v/>
      </c>
      <c r="P834" s="90" t="str">
        <f>IF(VLOOKUP(UncLookup[[#This Row],[Item]],Items!$A$1:$F$43,3,FALSE)=0,"",VLOOKUP(UncLookup[[#This Row],[Item]],Items!$A$1:$F$43,3,FALSE))</f>
        <v/>
      </c>
      <c r="Q834" s="90" t="str">
        <f>IF(VLOOKUP(UncLookup[[#This Row],[Item]],Items!$A$1:$F$43,4,FALSE)=0,"",VLOOKUP(UncLookup[[#This Row],[Item]],Items!$A$1:$F$43,4,FALSE))</f>
        <v/>
      </c>
    </row>
    <row r="835" spans="1:17" x14ac:dyDescent="0.25">
      <c r="A835" s="76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90" t="str">
        <f>IF(VLOOKUP(UncLookup[[#This Row],[Item]],Items!$A$1:$F$43,2,FALSE)=0,"",VLOOKUP(UncLookup[[#This Row],[Item]],Items!$A$1:$F$43,2,FALSE))</f>
        <v/>
      </c>
      <c r="P835" s="90" t="str">
        <f>IF(VLOOKUP(UncLookup[[#This Row],[Item]],Items!$A$1:$F$43,3,FALSE)=0,"",VLOOKUP(UncLookup[[#This Row],[Item]],Items!$A$1:$F$43,3,FALSE))</f>
        <v/>
      </c>
      <c r="Q835" s="90" t="str">
        <f>IF(VLOOKUP(UncLookup[[#This Row],[Item]],Items!$A$1:$F$43,4,FALSE)=0,"",VLOOKUP(UncLookup[[#This Row],[Item]],Items!$A$1:$F$43,4,FALSE))</f>
        <v/>
      </c>
    </row>
    <row r="836" spans="1:17" x14ac:dyDescent="0.25">
      <c r="A836" s="75" t="s">
        <v>56</v>
      </c>
      <c r="B836" s="75" t="s">
        <v>47</v>
      </c>
      <c r="C836" s="75">
        <v>0</v>
      </c>
      <c r="D836" s="75">
        <v>1E-4</v>
      </c>
      <c r="E836" s="75">
        <v>9.9999999999999995E-8</v>
      </c>
      <c r="F836" s="75" t="s">
        <v>13</v>
      </c>
      <c r="G836" s="75" t="s">
        <v>11</v>
      </c>
      <c r="H836" s="75">
        <v>1E-3</v>
      </c>
      <c r="I836" s="75">
        <v>0.02</v>
      </c>
      <c r="J836" s="75" t="s">
        <v>10</v>
      </c>
      <c r="K836" s="75">
        <v>9.5325999999999994E-2</v>
      </c>
      <c r="L836" s="75">
        <v>4045.9</v>
      </c>
      <c r="M836" s="75">
        <v>9.5287999999999998E-2</v>
      </c>
      <c r="N836" s="75">
        <v>4045.8</v>
      </c>
      <c r="O836" s="90" t="str">
        <f>IF(VLOOKUP(UncLookup[[#This Row],[Item]],Items!$A$1:$F$43,2,FALSE)=0,"",VLOOKUP(UncLookup[[#This Row],[Item]],Items!$A$1:$F$43,2,FALSE))</f>
        <v/>
      </c>
      <c r="P836" s="90" t="str">
        <f>IF(VLOOKUP(UncLookup[[#This Row],[Item]],Items!$A$1:$F$43,3,FALSE)=0,"",VLOOKUP(UncLookup[[#This Row],[Item]],Items!$A$1:$F$43,3,FALSE))</f>
        <v/>
      </c>
      <c r="Q836" s="90" t="str">
        <f>IF(VLOOKUP(UncLookup[[#This Row],[Item]],Items!$A$1:$F$43,4,FALSE)=0,"",VLOOKUP(UncLookup[[#This Row],[Item]],Items!$A$1:$F$43,4,FALSE))</f>
        <v/>
      </c>
    </row>
    <row r="837" spans="1:17" x14ac:dyDescent="0.25">
      <c r="A837" s="76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90" t="str">
        <f>IF(VLOOKUP(UncLookup[[#This Row],[Item]],Items!$A$1:$F$43,2,FALSE)=0,"",VLOOKUP(UncLookup[[#This Row],[Item]],Items!$A$1:$F$43,2,FALSE))</f>
        <v/>
      </c>
      <c r="P837" s="90" t="str">
        <f>IF(VLOOKUP(UncLookup[[#This Row],[Item]],Items!$A$1:$F$43,3,FALSE)=0,"",VLOOKUP(UncLookup[[#This Row],[Item]],Items!$A$1:$F$43,3,FALSE))</f>
        <v/>
      </c>
      <c r="Q837" s="90" t="str">
        <f>IF(VLOOKUP(UncLookup[[#This Row],[Item]],Items!$A$1:$F$43,4,FALSE)=0,"",VLOOKUP(UncLookup[[#This Row],[Item]],Items!$A$1:$F$43,4,FALSE))</f>
        <v/>
      </c>
    </row>
    <row r="838" spans="1:17" x14ac:dyDescent="0.25">
      <c r="A838" s="75" t="s">
        <v>56</v>
      </c>
      <c r="B838" s="75" t="s">
        <v>47</v>
      </c>
      <c r="C838" s="75">
        <v>0</v>
      </c>
      <c r="D838" s="75">
        <v>1E-4</v>
      </c>
      <c r="E838" s="75">
        <v>9.9999999999999995E-7</v>
      </c>
      <c r="F838" s="75" t="s">
        <v>13</v>
      </c>
      <c r="G838" s="75" t="s">
        <v>11</v>
      </c>
      <c r="H838" s="75">
        <v>4.4999999999999998E-2</v>
      </c>
      <c r="I838" s="75">
        <v>5</v>
      </c>
      <c r="J838" s="75" t="s">
        <v>10</v>
      </c>
      <c r="K838" s="75">
        <v>0.57804</v>
      </c>
      <c r="L838" s="75">
        <v>91.593000000000004</v>
      </c>
      <c r="M838" s="75">
        <v>0.57801999999999998</v>
      </c>
      <c r="N838" s="75">
        <v>90.227999999999994</v>
      </c>
      <c r="O838" s="90" t="str">
        <f>IF(VLOOKUP(UncLookup[[#This Row],[Item]],Items!$A$1:$F$43,2,FALSE)=0,"",VLOOKUP(UncLookup[[#This Row],[Item]],Items!$A$1:$F$43,2,FALSE))</f>
        <v/>
      </c>
      <c r="P838" s="90" t="str">
        <f>IF(VLOOKUP(UncLookup[[#This Row],[Item]],Items!$A$1:$F$43,3,FALSE)=0,"",VLOOKUP(UncLookup[[#This Row],[Item]],Items!$A$1:$F$43,3,FALSE))</f>
        <v/>
      </c>
      <c r="Q838" s="90" t="str">
        <f>IF(VLOOKUP(UncLookup[[#This Row],[Item]],Items!$A$1:$F$43,4,FALSE)=0,"",VLOOKUP(UncLookup[[#This Row],[Item]],Items!$A$1:$F$43,4,FALSE))</f>
        <v/>
      </c>
    </row>
    <row r="839" spans="1:17" x14ac:dyDescent="0.25">
      <c r="A839" s="76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90" t="str">
        <f>IF(VLOOKUP(UncLookup[[#This Row],[Item]],Items!$A$1:$F$43,2,FALSE)=0,"",VLOOKUP(UncLookup[[#This Row],[Item]],Items!$A$1:$F$43,2,FALSE))</f>
        <v/>
      </c>
      <c r="P839" s="90" t="str">
        <f>IF(VLOOKUP(UncLookup[[#This Row],[Item]],Items!$A$1:$F$43,3,FALSE)=0,"",VLOOKUP(UncLookup[[#This Row],[Item]],Items!$A$1:$F$43,3,FALSE))</f>
        <v/>
      </c>
      <c r="Q839" s="90" t="str">
        <f>IF(VLOOKUP(UncLookup[[#This Row],[Item]],Items!$A$1:$F$43,4,FALSE)=0,"",VLOOKUP(UncLookup[[#This Row],[Item]],Items!$A$1:$F$43,4,FALSE))</f>
        <v/>
      </c>
    </row>
    <row r="840" spans="1:17" x14ac:dyDescent="0.25">
      <c r="A840" s="75" t="s">
        <v>56</v>
      </c>
      <c r="B840" s="75" t="s">
        <v>47</v>
      </c>
      <c r="C840" s="75">
        <v>0</v>
      </c>
      <c r="D840" s="75">
        <v>1E-4</v>
      </c>
      <c r="E840" s="75">
        <v>9.9999999999999995E-7</v>
      </c>
      <c r="F840" s="75" t="s">
        <v>13</v>
      </c>
      <c r="G840" s="75" t="s">
        <v>11</v>
      </c>
      <c r="H840" s="75">
        <v>1E-3</v>
      </c>
      <c r="I840" s="75">
        <v>0.02</v>
      </c>
      <c r="J840" s="75" t="s">
        <v>10</v>
      </c>
      <c r="K840" s="75">
        <v>0.58121</v>
      </c>
      <c r="L840" s="75">
        <v>1804</v>
      </c>
      <c r="M840" s="75">
        <v>0.58118999999999998</v>
      </c>
      <c r="N840" s="75">
        <v>1803.1</v>
      </c>
      <c r="O840" s="90" t="str">
        <f>IF(VLOOKUP(UncLookup[[#This Row],[Item]],Items!$A$1:$F$43,2,FALSE)=0,"",VLOOKUP(UncLookup[[#This Row],[Item]],Items!$A$1:$F$43,2,FALSE))</f>
        <v/>
      </c>
      <c r="P840" s="90" t="str">
        <f>IF(VLOOKUP(UncLookup[[#This Row],[Item]],Items!$A$1:$F$43,3,FALSE)=0,"",VLOOKUP(UncLookup[[#This Row],[Item]],Items!$A$1:$F$43,3,FALSE))</f>
        <v/>
      </c>
      <c r="Q840" s="90" t="str">
        <f>IF(VLOOKUP(UncLookup[[#This Row],[Item]],Items!$A$1:$F$43,4,FALSE)=0,"",VLOOKUP(UncLookup[[#This Row],[Item]],Items!$A$1:$F$43,4,FALSE))</f>
        <v/>
      </c>
    </row>
    <row r="841" spans="1:17" x14ac:dyDescent="0.25">
      <c r="A841" s="76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90" t="str">
        <f>IF(VLOOKUP(UncLookup[[#This Row],[Item]],Items!$A$1:$F$43,2,FALSE)=0,"",VLOOKUP(UncLookup[[#This Row],[Item]],Items!$A$1:$F$43,2,FALSE))</f>
        <v/>
      </c>
      <c r="P841" s="90" t="str">
        <f>IF(VLOOKUP(UncLookup[[#This Row],[Item]],Items!$A$1:$F$43,3,FALSE)=0,"",VLOOKUP(UncLookup[[#This Row],[Item]],Items!$A$1:$F$43,3,FALSE))</f>
        <v/>
      </c>
      <c r="Q841" s="90" t="str">
        <f>IF(VLOOKUP(UncLookup[[#This Row],[Item]],Items!$A$1:$F$43,4,FALSE)=0,"",VLOOKUP(UncLookup[[#This Row],[Item]],Items!$A$1:$F$43,4,FALSE))</f>
        <v/>
      </c>
    </row>
    <row r="842" spans="1:17" x14ac:dyDescent="0.25">
      <c r="A842" s="75" t="s">
        <v>56</v>
      </c>
      <c r="B842" s="75" t="s">
        <v>47</v>
      </c>
      <c r="C842" s="75">
        <v>0</v>
      </c>
      <c r="D842" s="75">
        <v>1E-4</v>
      </c>
      <c r="E842" s="75">
        <v>1.0000000000000001E-5</v>
      </c>
      <c r="F842" s="75" t="s">
        <v>13</v>
      </c>
      <c r="G842" s="75" t="s">
        <v>11</v>
      </c>
      <c r="H842" s="75">
        <v>4.4999999999999998E-2</v>
      </c>
      <c r="I842" s="75">
        <v>5</v>
      </c>
      <c r="J842" s="75" t="s">
        <v>10</v>
      </c>
      <c r="K842" s="75">
        <v>5.7736000000000001</v>
      </c>
      <c r="L842" s="75">
        <v>9.7714999999999996</v>
      </c>
      <c r="M842" s="75">
        <v>5.7728000000000002</v>
      </c>
      <c r="N842" s="75">
        <v>9.2142999999999997</v>
      </c>
      <c r="O842" s="90" t="str">
        <f>IF(VLOOKUP(UncLookup[[#This Row],[Item]],Items!$A$1:$F$43,2,FALSE)=0,"",VLOOKUP(UncLookup[[#This Row],[Item]],Items!$A$1:$F$43,2,FALSE))</f>
        <v/>
      </c>
      <c r="P842" s="90" t="str">
        <f>IF(VLOOKUP(UncLookup[[#This Row],[Item]],Items!$A$1:$F$43,3,FALSE)=0,"",VLOOKUP(UncLookup[[#This Row],[Item]],Items!$A$1:$F$43,3,FALSE))</f>
        <v/>
      </c>
      <c r="Q842" s="90" t="str">
        <f>IF(VLOOKUP(UncLookup[[#This Row],[Item]],Items!$A$1:$F$43,4,FALSE)=0,"",VLOOKUP(UncLookup[[#This Row],[Item]],Items!$A$1:$F$43,4,FALSE))</f>
        <v/>
      </c>
    </row>
    <row r="843" spans="1:17" x14ac:dyDescent="0.25">
      <c r="A843" s="76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90" t="str">
        <f>IF(VLOOKUP(UncLookup[[#This Row],[Item]],Items!$A$1:$F$43,2,FALSE)=0,"",VLOOKUP(UncLookup[[#This Row],[Item]],Items!$A$1:$F$43,2,FALSE))</f>
        <v/>
      </c>
      <c r="P843" s="90" t="str">
        <f>IF(VLOOKUP(UncLookup[[#This Row],[Item]],Items!$A$1:$F$43,3,FALSE)=0,"",VLOOKUP(UncLookup[[#This Row],[Item]],Items!$A$1:$F$43,3,FALSE))</f>
        <v/>
      </c>
      <c r="Q843" s="90" t="str">
        <f>IF(VLOOKUP(UncLookup[[#This Row],[Item]],Items!$A$1:$F$43,4,FALSE)=0,"",VLOOKUP(UncLookup[[#This Row],[Item]],Items!$A$1:$F$43,4,FALSE))</f>
        <v/>
      </c>
    </row>
    <row r="844" spans="1:17" x14ac:dyDescent="0.25">
      <c r="A844" s="75" t="s">
        <v>56</v>
      </c>
      <c r="B844" s="75" t="s">
        <v>47</v>
      </c>
      <c r="C844" s="75">
        <v>0</v>
      </c>
      <c r="D844" s="75">
        <v>1E-4</v>
      </c>
      <c r="E844" s="75">
        <v>1E-4</v>
      </c>
      <c r="F844" s="75" t="s">
        <v>13</v>
      </c>
      <c r="G844" s="75" t="s">
        <v>11</v>
      </c>
      <c r="H844" s="75">
        <v>0.02</v>
      </c>
      <c r="I844" s="75">
        <v>4.4999999999999998E-2</v>
      </c>
      <c r="J844" s="75" t="s">
        <v>10</v>
      </c>
      <c r="K844" s="75">
        <v>57.735999999999997</v>
      </c>
      <c r="L844" s="75">
        <v>4.1759000000000004</v>
      </c>
      <c r="M844" s="75">
        <v>57.731999999999999</v>
      </c>
      <c r="N844" s="75">
        <v>3.9529999999999998</v>
      </c>
      <c r="O844" s="90" t="str">
        <f>IF(VLOOKUP(UncLookup[[#This Row],[Item]],Items!$A$1:$F$43,2,FALSE)=0,"",VLOOKUP(UncLookup[[#This Row],[Item]],Items!$A$1:$F$43,2,FALSE))</f>
        <v/>
      </c>
      <c r="P844" s="90" t="str">
        <f>IF(VLOOKUP(UncLookup[[#This Row],[Item]],Items!$A$1:$F$43,3,FALSE)=0,"",VLOOKUP(UncLookup[[#This Row],[Item]],Items!$A$1:$F$43,3,FALSE))</f>
        <v/>
      </c>
      <c r="Q844" s="90" t="str">
        <f>IF(VLOOKUP(UncLookup[[#This Row],[Item]],Items!$A$1:$F$43,4,FALSE)=0,"",VLOOKUP(UncLookup[[#This Row],[Item]],Items!$A$1:$F$43,4,FALSE))</f>
        <v/>
      </c>
    </row>
    <row r="845" spans="1:17" x14ac:dyDescent="0.25">
      <c r="A845" s="76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90" t="str">
        <f>IF(VLOOKUP(UncLookup[[#This Row],[Item]],Items!$A$1:$F$43,2,FALSE)=0,"",VLOOKUP(UncLookup[[#This Row],[Item]],Items!$A$1:$F$43,2,FALSE))</f>
        <v/>
      </c>
      <c r="P845" s="90" t="str">
        <f>IF(VLOOKUP(UncLookup[[#This Row],[Item]],Items!$A$1:$F$43,3,FALSE)=0,"",VLOOKUP(UncLookup[[#This Row],[Item]],Items!$A$1:$F$43,3,FALSE))</f>
        <v/>
      </c>
      <c r="Q845" s="90" t="str">
        <f>IF(VLOOKUP(UncLookup[[#This Row],[Item]],Items!$A$1:$F$43,4,FALSE)=0,"",VLOOKUP(UncLookup[[#This Row],[Item]],Items!$A$1:$F$43,4,FALSE))</f>
        <v/>
      </c>
    </row>
    <row r="846" spans="1:17" x14ac:dyDescent="0.25">
      <c r="A846" s="75" t="s">
        <v>56</v>
      </c>
      <c r="B846" s="75" t="s">
        <v>47</v>
      </c>
      <c r="C846" s="75">
        <v>0</v>
      </c>
      <c r="D846" s="75">
        <v>1E-4</v>
      </c>
      <c r="E846" s="75">
        <v>1E-4</v>
      </c>
      <c r="F846" s="75" t="s">
        <v>13</v>
      </c>
      <c r="G846" s="75" t="s">
        <v>11</v>
      </c>
      <c r="H846" s="75">
        <v>4.4999999999999998E-2</v>
      </c>
      <c r="I846" s="75">
        <v>5</v>
      </c>
      <c r="J846" s="75" t="s">
        <v>10</v>
      </c>
      <c r="K846" s="75">
        <v>57.735999999999997</v>
      </c>
      <c r="L846" s="75">
        <v>1.1861999999999999</v>
      </c>
      <c r="M846" s="75">
        <v>57.734999999999999</v>
      </c>
      <c r="N846" s="75">
        <v>0.96331999999999995</v>
      </c>
      <c r="O846" s="90" t="str">
        <f>IF(VLOOKUP(UncLookup[[#This Row],[Item]],Items!$A$1:$F$43,2,FALSE)=0,"",VLOOKUP(UncLookup[[#This Row],[Item]],Items!$A$1:$F$43,2,FALSE))</f>
        <v/>
      </c>
      <c r="P846" s="90" t="str">
        <f>IF(VLOOKUP(UncLookup[[#This Row],[Item]],Items!$A$1:$F$43,3,FALSE)=0,"",VLOOKUP(UncLookup[[#This Row],[Item]],Items!$A$1:$F$43,3,FALSE))</f>
        <v/>
      </c>
      <c r="Q846" s="90" t="str">
        <f>IF(VLOOKUP(UncLookup[[#This Row],[Item]],Items!$A$1:$F$43,4,FALSE)=0,"",VLOOKUP(UncLookup[[#This Row],[Item]],Items!$A$1:$F$43,4,FALSE))</f>
        <v/>
      </c>
    </row>
    <row r="847" spans="1:17" x14ac:dyDescent="0.25">
      <c r="A847" s="76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90" t="str">
        <f>IF(VLOOKUP(UncLookup[[#This Row],[Item]],Items!$A$1:$F$43,2,FALSE)=0,"",VLOOKUP(UncLookup[[#This Row],[Item]],Items!$A$1:$F$43,2,FALSE))</f>
        <v/>
      </c>
      <c r="P847" s="90" t="str">
        <f>IF(VLOOKUP(UncLookup[[#This Row],[Item]],Items!$A$1:$F$43,3,FALSE)=0,"",VLOOKUP(UncLookup[[#This Row],[Item]],Items!$A$1:$F$43,3,FALSE))</f>
        <v/>
      </c>
      <c r="Q847" s="90" t="str">
        <f>IF(VLOOKUP(UncLookup[[#This Row],[Item]],Items!$A$1:$F$43,4,FALSE)=0,"",VLOOKUP(UncLookup[[#This Row],[Item]],Items!$A$1:$F$43,4,FALSE))</f>
        <v/>
      </c>
    </row>
    <row r="848" spans="1:17" x14ac:dyDescent="0.25">
      <c r="A848" s="75" t="s">
        <v>56</v>
      </c>
      <c r="B848" s="75" t="s">
        <v>47</v>
      </c>
      <c r="C848" s="75">
        <v>0</v>
      </c>
      <c r="D848" s="75">
        <v>1E-4</v>
      </c>
      <c r="E848" s="75">
        <v>1E-3</v>
      </c>
      <c r="F848" s="75" t="s">
        <v>13</v>
      </c>
      <c r="G848" s="75" t="s">
        <v>11</v>
      </c>
      <c r="H848" s="75">
        <v>1E-3</v>
      </c>
      <c r="I848" s="75">
        <v>0.02</v>
      </c>
      <c r="J848" s="75" t="s">
        <v>10</v>
      </c>
      <c r="K848" s="75">
        <v>577.36</v>
      </c>
      <c r="L848" s="75">
        <v>2.1804999999999999</v>
      </c>
      <c r="M848" s="75">
        <v>577.35</v>
      </c>
      <c r="N848" s="75">
        <v>2.0994999999999999</v>
      </c>
      <c r="O848" s="90" t="str">
        <f>IF(VLOOKUP(UncLookup[[#This Row],[Item]],Items!$A$1:$F$43,2,FALSE)=0,"",VLOOKUP(UncLookup[[#This Row],[Item]],Items!$A$1:$F$43,2,FALSE))</f>
        <v/>
      </c>
      <c r="P848" s="90" t="str">
        <f>IF(VLOOKUP(UncLookup[[#This Row],[Item]],Items!$A$1:$F$43,3,FALSE)=0,"",VLOOKUP(UncLookup[[#This Row],[Item]],Items!$A$1:$F$43,3,FALSE))</f>
        <v/>
      </c>
      <c r="Q848" s="90" t="str">
        <f>IF(VLOOKUP(UncLookup[[#This Row],[Item]],Items!$A$1:$F$43,4,FALSE)=0,"",VLOOKUP(UncLookup[[#This Row],[Item]],Items!$A$1:$F$43,4,FALSE))</f>
        <v/>
      </c>
    </row>
    <row r="849" spans="1:17" x14ac:dyDescent="0.25">
      <c r="A849" s="76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90" t="str">
        <f>IF(VLOOKUP(UncLookup[[#This Row],[Item]],Items!$A$1:$F$43,2,FALSE)=0,"",VLOOKUP(UncLookup[[#This Row],[Item]],Items!$A$1:$F$43,2,FALSE))</f>
        <v/>
      </c>
      <c r="P849" s="90" t="str">
        <f>IF(VLOOKUP(UncLookup[[#This Row],[Item]],Items!$A$1:$F$43,3,FALSE)=0,"",VLOOKUP(UncLookup[[#This Row],[Item]],Items!$A$1:$F$43,3,FALSE))</f>
        <v/>
      </c>
      <c r="Q849" s="90" t="str">
        <f>IF(VLOOKUP(UncLookup[[#This Row],[Item]],Items!$A$1:$F$43,4,FALSE)=0,"",VLOOKUP(UncLookup[[#This Row],[Item]],Items!$A$1:$F$43,4,FALSE))</f>
        <v/>
      </c>
    </row>
    <row r="850" spans="1:17" x14ac:dyDescent="0.25">
      <c r="A850" s="75" t="s">
        <v>56</v>
      </c>
      <c r="B850" s="75" t="s">
        <v>47</v>
      </c>
      <c r="C850" s="75">
        <v>0</v>
      </c>
      <c r="D850" s="75">
        <v>1E-4</v>
      </c>
      <c r="E850" s="75">
        <v>0.01</v>
      </c>
      <c r="F850" s="75" t="s">
        <v>13</v>
      </c>
      <c r="G850" s="75" t="s">
        <v>11</v>
      </c>
      <c r="H850" s="75">
        <v>1E-3</v>
      </c>
      <c r="I850" s="75">
        <v>0.02</v>
      </c>
      <c r="J850" s="75" t="s">
        <v>10</v>
      </c>
      <c r="K850" s="75">
        <v>5773.6</v>
      </c>
      <c r="L850" s="75">
        <v>0.24237</v>
      </c>
      <c r="M850" s="75">
        <v>5773.6</v>
      </c>
      <c r="N850" s="75">
        <v>0.20995</v>
      </c>
      <c r="O850" s="90" t="str">
        <f>IF(VLOOKUP(UncLookup[[#This Row],[Item]],Items!$A$1:$F$43,2,FALSE)=0,"",VLOOKUP(UncLookup[[#This Row],[Item]],Items!$A$1:$F$43,2,FALSE))</f>
        <v/>
      </c>
      <c r="P850" s="90" t="str">
        <f>IF(VLOOKUP(UncLookup[[#This Row],[Item]],Items!$A$1:$F$43,3,FALSE)=0,"",VLOOKUP(UncLookup[[#This Row],[Item]],Items!$A$1:$F$43,3,FALSE))</f>
        <v/>
      </c>
      <c r="Q850" s="90" t="str">
        <f>IF(VLOOKUP(UncLookup[[#This Row],[Item]],Items!$A$1:$F$43,4,FALSE)=0,"",VLOOKUP(UncLookup[[#This Row],[Item]],Items!$A$1:$F$43,4,FALSE))</f>
        <v/>
      </c>
    </row>
    <row r="851" spans="1:17" x14ac:dyDescent="0.25">
      <c r="A851" s="76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90" t="str">
        <f>IF(VLOOKUP(UncLookup[[#This Row],[Item]],Items!$A$1:$F$43,2,FALSE)=0,"",VLOOKUP(UncLookup[[#This Row],[Item]],Items!$A$1:$F$43,2,FALSE))</f>
        <v/>
      </c>
      <c r="P851" s="90" t="str">
        <f>IF(VLOOKUP(UncLookup[[#This Row],[Item]],Items!$A$1:$F$43,3,FALSE)=0,"",VLOOKUP(UncLookup[[#This Row],[Item]],Items!$A$1:$F$43,3,FALSE))</f>
        <v/>
      </c>
      <c r="Q851" s="90" t="str">
        <f>IF(VLOOKUP(UncLookup[[#This Row],[Item]],Items!$A$1:$F$43,4,FALSE)=0,"",VLOOKUP(UncLookup[[#This Row],[Item]],Items!$A$1:$F$43,4,FALSE))</f>
        <v/>
      </c>
    </row>
    <row r="852" spans="1:17" x14ac:dyDescent="0.25">
      <c r="A852" s="75" t="s">
        <v>56</v>
      </c>
      <c r="B852" s="75" t="s">
        <v>47</v>
      </c>
      <c r="C852" s="75">
        <v>0</v>
      </c>
      <c r="D852" s="75">
        <v>1E-4</v>
      </c>
      <c r="E852" s="75">
        <v>0.01</v>
      </c>
      <c r="F852" s="75" t="s">
        <v>13</v>
      </c>
      <c r="G852" s="75" t="s">
        <v>11</v>
      </c>
      <c r="H852" s="75">
        <v>0.02</v>
      </c>
      <c r="I852" s="75">
        <v>4.4999999999999998E-2</v>
      </c>
      <c r="J852" s="75" t="s">
        <v>10</v>
      </c>
      <c r="K852" s="75">
        <v>5773.6</v>
      </c>
      <c r="L852" s="75">
        <v>8.3554000000000003E-2</v>
      </c>
      <c r="M852" s="75">
        <v>5773.5</v>
      </c>
      <c r="N852" s="75">
        <v>4.7889000000000001E-2</v>
      </c>
      <c r="O852" s="90" t="str">
        <f>IF(VLOOKUP(UncLookup[[#This Row],[Item]],Items!$A$1:$F$43,2,FALSE)=0,"",VLOOKUP(UncLookup[[#This Row],[Item]],Items!$A$1:$F$43,2,FALSE))</f>
        <v/>
      </c>
      <c r="P852" s="90" t="str">
        <f>IF(VLOOKUP(UncLookup[[#This Row],[Item]],Items!$A$1:$F$43,3,FALSE)=0,"",VLOOKUP(UncLookup[[#This Row],[Item]],Items!$A$1:$F$43,3,FALSE))</f>
        <v/>
      </c>
      <c r="Q852" s="90" t="str">
        <f>IF(VLOOKUP(UncLookup[[#This Row],[Item]],Items!$A$1:$F$43,4,FALSE)=0,"",VLOOKUP(UncLookup[[#This Row],[Item]],Items!$A$1:$F$43,4,FALSE))</f>
        <v/>
      </c>
    </row>
    <row r="853" spans="1:17" x14ac:dyDescent="0.25">
      <c r="A853" s="76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90" t="str">
        <f>IF(VLOOKUP(UncLookup[[#This Row],[Item]],Items!$A$1:$F$43,2,FALSE)=0,"",VLOOKUP(UncLookup[[#This Row],[Item]],Items!$A$1:$F$43,2,FALSE))</f>
        <v/>
      </c>
      <c r="P853" s="90" t="str">
        <f>IF(VLOOKUP(UncLookup[[#This Row],[Item]],Items!$A$1:$F$43,3,FALSE)=0,"",VLOOKUP(UncLookup[[#This Row],[Item]],Items!$A$1:$F$43,3,FALSE))</f>
        <v/>
      </c>
      <c r="Q853" s="90" t="str">
        <f>IF(VLOOKUP(UncLookup[[#This Row],[Item]],Items!$A$1:$F$43,4,FALSE)=0,"",VLOOKUP(UncLookup[[#This Row],[Item]],Items!$A$1:$F$43,4,FALSE))</f>
        <v/>
      </c>
    </row>
    <row r="854" spans="1:17" x14ac:dyDescent="0.25">
      <c r="A854" s="75" t="s">
        <v>56</v>
      </c>
      <c r="B854" s="75" t="s">
        <v>47</v>
      </c>
      <c r="C854" s="75">
        <v>0</v>
      </c>
      <c r="D854" s="75">
        <v>1E-4</v>
      </c>
      <c r="E854" s="75">
        <v>0.1</v>
      </c>
      <c r="F854" s="75" t="s">
        <v>13</v>
      </c>
      <c r="G854" s="75" t="s">
        <v>11</v>
      </c>
      <c r="H854" s="75">
        <v>1E-3</v>
      </c>
      <c r="I854" s="75">
        <v>0.02</v>
      </c>
      <c r="J854" s="75" t="s">
        <v>10</v>
      </c>
      <c r="K854" s="75">
        <v>57736</v>
      </c>
      <c r="L854" s="75">
        <v>3.3964000000000001E-2</v>
      </c>
      <c r="M854" s="75">
        <v>57736</v>
      </c>
      <c r="N854" s="75">
        <v>2.0995E-2</v>
      </c>
      <c r="O854" s="90" t="str">
        <f>IF(VLOOKUP(UncLookup[[#This Row],[Item]],Items!$A$1:$F$43,2,FALSE)=0,"",VLOOKUP(UncLookup[[#This Row],[Item]],Items!$A$1:$F$43,2,FALSE))</f>
        <v/>
      </c>
      <c r="P854" s="90" t="str">
        <f>IF(VLOOKUP(UncLookup[[#This Row],[Item]],Items!$A$1:$F$43,3,FALSE)=0,"",VLOOKUP(UncLookup[[#This Row],[Item]],Items!$A$1:$F$43,3,FALSE))</f>
        <v/>
      </c>
      <c r="Q854" s="90" t="str">
        <f>IF(VLOOKUP(UncLookup[[#This Row],[Item]],Items!$A$1:$F$43,4,FALSE)=0,"",VLOOKUP(UncLookup[[#This Row],[Item]],Items!$A$1:$F$43,4,FALSE))</f>
        <v/>
      </c>
    </row>
    <row r="855" spans="1:17" x14ac:dyDescent="0.25">
      <c r="A855" s="76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90" t="str">
        <f>IF(VLOOKUP(UncLookup[[#This Row],[Item]],Items!$A$1:$F$43,2,FALSE)=0,"",VLOOKUP(UncLookup[[#This Row],[Item]],Items!$A$1:$F$43,2,FALSE))</f>
        <v/>
      </c>
      <c r="P855" s="90" t="str">
        <f>IF(VLOOKUP(UncLookup[[#This Row],[Item]],Items!$A$1:$F$43,3,FALSE)=0,"",VLOOKUP(UncLookup[[#This Row],[Item]],Items!$A$1:$F$43,3,FALSE))</f>
        <v/>
      </c>
      <c r="Q855" s="90" t="str">
        <f>IF(VLOOKUP(UncLookup[[#This Row],[Item]],Items!$A$1:$F$43,4,FALSE)=0,"",VLOOKUP(UncLookup[[#This Row],[Item]],Items!$A$1:$F$43,4,FALSE))</f>
        <v/>
      </c>
    </row>
    <row r="856" spans="1:17" x14ac:dyDescent="0.25">
      <c r="A856" s="75" t="s">
        <v>56</v>
      </c>
      <c r="B856" s="75" t="s">
        <v>47</v>
      </c>
      <c r="C856" s="75">
        <v>0</v>
      </c>
      <c r="D856" s="75">
        <v>1E-4</v>
      </c>
      <c r="E856" s="75">
        <v>1</v>
      </c>
      <c r="F856" s="75" t="s">
        <v>13</v>
      </c>
      <c r="G856" s="75" t="s">
        <v>11</v>
      </c>
      <c r="H856" s="75">
        <v>1E-3</v>
      </c>
      <c r="I856" s="75">
        <v>0.02</v>
      </c>
      <c r="J856" s="75" t="s">
        <v>10</v>
      </c>
      <c r="K856" s="75">
        <v>577360</v>
      </c>
      <c r="L856" s="75">
        <v>7.2871000000000003E-3</v>
      </c>
      <c r="M856" s="75">
        <v>577360</v>
      </c>
      <c r="N856" s="75">
        <v>2.0990000000000002E-3</v>
      </c>
      <c r="O856" s="90" t="str">
        <f>IF(VLOOKUP(UncLookup[[#This Row],[Item]],Items!$A$1:$F$43,2,FALSE)=0,"",VLOOKUP(UncLookup[[#This Row],[Item]],Items!$A$1:$F$43,2,FALSE))</f>
        <v/>
      </c>
      <c r="P856" s="90" t="str">
        <f>IF(VLOOKUP(UncLookup[[#This Row],[Item]],Items!$A$1:$F$43,3,FALSE)=0,"",VLOOKUP(UncLookup[[#This Row],[Item]],Items!$A$1:$F$43,3,FALSE))</f>
        <v/>
      </c>
      <c r="Q856" s="90" t="str">
        <f>IF(VLOOKUP(UncLookup[[#This Row],[Item]],Items!$A$1:$F$43,4,FALSE)=0,"",VLOOKUP(UncLookup[[#This Row],[Item]],Items!$A$1:$F$43,4,FALSE))</f>
        <v/>
      </c>
    </row>
    <row r="857" spans="1:17" x14ac:dyDescent="0.25">
      <c r="A857" s="76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90" t="str">
        <f>IF(VLOOKUP(UncLookup[[#This Row],[Item]],Items!$A$1:$F$43,2,FALSE)=0,"",VLOOKUP(UncLookup[[#This Row],[Item]],Items!$A$1:$F$43,2,FALSE))</f>
        <v/>
      </c>
      <c r="P857" s="90" t="str">
        <f>IF(VLOOKUP(UncLookup[[#This Row],[Item]],Items!$A$1:$F$43,3,FALSE)=0,"",VLOOKUP(UncLookup[[#This Row],[Item]],Items!$A$1:$F$43,3,FALSE))</f>
        <v/>
      </c>
      <c r="Q857" s="90" t="str">
        <f>IF(VLOOKUP(UncLookup[[#This Row],[Item]],Items!$A$1:$F$43,4,FALSE)=0,"",VLOOKUP(UncLookup[[#This Row],[Item]],Items!$A$1:$F$43,4,FALSE))</f>
        <v/>
      </c>
    </row>
    <row r="858" spans="1:17" x14ac:dyDescent="0.25">
      <c r="A858" s="75" t="s">
        <v>56</v>
      </c>
      <c r="B858" s="75" t="s">
        <v>47</v>
      </c>
      <c r="C858" s="75">
        <v>0</v>
      </c>
      <c r="D858" s="75">
        <v>1E-4</v>
      </c>
      <c r="E858" s="75">
        <v>1</v>
      </c>
      <c r="F858" s="75" t="s">
        <v>13</v>
      </c>
      <c r="G858" s="75" t="s">
        <v>11</v>
      </c>
      <c r="H858" s="75">
        <v>4.4999999999999998E-2</v>
      </c>
      <c r="I858" s="75">
        <v>5</v>
      </c>
      <c r="J858" s="75" t="s">
        <v>10</v>
      </c>
      <c r="K858" s="75">
        <v>577360</v>
      </c>
      <c r="L858" s="75">
        <v>7.2242000000000001E-3</v>
      </c>
      <c r="M858" s="75">
        <v>577360</v>
      </c>
      <c r="N858" s="75">
        <v>1.5173000000000001E-3</v>
      </c>
      <c r="O858" s="90" t="str">
        <f>IF(VLOOKUP(UncLookup[[#This Row],[Item]],Items!$A$1:$F$43,2,FALSE)=0,"",VLOOKUP(UncLookup[[#This Row],[Item]],Items!$A$1:$F$43,2,FALSE))</f>
        <v/>
      </c>
      <c r="P858" s="90" t="str">
        <f>IF(VLOOKUP(UncLookup[[#This Row],[Item]],Items!$A$1:$F$43,3,FALSE)=0,"",VLOOKUP(UncLookup[[#This Row],[Item]],Items!$A$1:$F$43,3,FALSE))</f>
        <v/>
      </c>
      <c r="Q858" s="90" t="str">
        <f>IF(VLOOKUP(UncLookup[[#This Row],[Item]],Items!$A$1:$F$43,4,FALSE)=0,"",VLOOKUP(UncLookup[[#This Row],[Item]],Items!$A$1:$F$43,4,FALSE))</f>
        <v/>
      </c>
    </row>
    <row r="859" spans="1:17" x14ac:dyDescent="0.25">
      <c r="A859" s="76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90" t="str">
        <f>IF(VLOOKUP(UncLookup[[#This Row],[Item]],Items!$A$1:$F$43,2,FALSE)=0,"",VLOOKUP(UncLookup[[#This Row],[Item]],Items!$A$1:$F$43,2,FALSE))</f>
        <v/>
      </c>
      <c r="P859" s="90" t="str">
        <f>IF(VLOOKUP(UncLookup[[#This Row],[Item]],Items!$A$1:$F$43,3,FALSE)=0,"",VLOOKUP(UncLookup[[#This Row],[Item]],Items!$A$1:$F$43,3,FALSE))</f>
        <v/>
      </c>
      <c r="Q859" s="90" t="str">
        <f>IF(VLOOKUP(UncLookup[[#This Row],[Item]],Items!$A$1:$F$43,4,FALSE)=0,"",VLOOKUP(UncLookup[[#This Row],[Item]],Items!$A$1:$F$43,4,FALSE))</f>
        <v/>
      </c>
    </row>
    <row r="860" spans="1:17" x14ac:dyDescent="0.25">
      <c r="A860" s="75" t="s">
        <v>56</v>
      </c>
      <c r="B860" s="75" t="s">
        <v>47</v>
      </c>
      <c r="C860" s="75">
        <v>1E-4</v>
      </c>
      <c r="D860" s="75">
        <v>1E-3</v>
      </c>
      <c r="E860" s="75">
        <v>1E-10</v>
      </c>
      <c r="F860" s="75" t="s">
        <v>13</v>
      </c>
      <c r="G860" s="75" t="s">
        <v>11</v>
      </c>
      <c r="H860" s="75">
        <v>50</v>
      </c>
      <c r="I860" s="75">
        <v>100</v>
      </c>
      <c r="J860" s="75" t="s">
        <v>10</v>
      </c>
      <c r="K860" s="75">
        <v>1.9</v>
      </c>
      <c r="L860" s="75">
        <v>6500</v>
      </c>
      <c r="M860" s="75">
        <v>1.7592000000000001</v>
      </c>
      <c r="N860" s="75">
        <v>6558</v>
      </c>
      <c r="O860" s="90" t="str">
        <f>IF(VLOOKUP(UncLookup[[#This Row],[Item]],Items!$A$1:$F$43,2,FALSE)=0,"",VLOOKUP(UncLookup[[#This Row],[Item]],Items!$A$1:$F$43,2,FALSE))</f>
        <v/>
      </c>
      <c r="P860" s="90" t="str">
        <f>IF(VLOOKUP(UncLookup[[#This Row],[Item]],Items!$A$1:$F$43,3,FALSE)=0,"",VLOOKUP(UncLookup[[#This Row],[Item]],Items!$A$1:$F$43,3,FALSE))</f>
        <v/>
      </c>
      <c r="Q860" s="90" t="str">
        <f>IF(VLOOKUP(UncLookup[[#This Row],[Item]],Items!$A$1:$F$43,4,FALSE)=0,"",VLOOKUP(UncLookup[[#This Row],[Item]],Items!$A$1:$F$43,4,FALSE))</f>
        <v/>
      </c>
    </row>
    <row r="861" spans="1:17" x14ac:dyDescent="0.25">
      <c r="A861" s="76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90" t="str">
        <f>IF(VLOOKUP(UncLookup[[#This Row],[Item]],Items!$A$1:$F$43,2,FALSE)=0,"",VLOOKUP(UncLookup[[#This Row],[Item]],Items!$A$1:$F$43,2,FALSE))</f>
        <v/>
      </c>
      <c r="P861" s="90" t="str">
        <f>IF(VLOOKUP(UncLookup[[#This Row],[Item]],Items!$A$1:$F$43,3,FALSE)=0,"",VLOOKUP(UncLookup[[#This Row],[Item]],Items!$A$1:$F$43,3,FALSE))</f>
        <v/>
      </c>
      <c r="Q861" s="90" t="str">
        <f>IF(VLOOKUP(UncLookup[[#This Row],[Item]],Items!$A$1:$F$43,4,FALSE)=0,"",VLOOKUP(UncLookup[[#This Row],[Item]],Items!$A$1:$F$43,4,FALSE))</f>
        <v/>
      </c>
    </row>
    <row r="862" spans="1:17" x14ac:dyDescent="0.25">
      <c r="A862" s="75" t="s">
        <v>56</v>
      </c>
      <c r="B862" s="75" t="s">
        <v>47</v>
      </c>
      <c r="C862" s="75">
        <v>1E-4</v>
      </c>
      <c r="D862" s="75">
        <v>1E-3</v>
      </c>
      <c r="E862" s="75">
        <v>1E-10</v>
      </c>
      <c r="F862" s="75" t="s">
        <v>13</v>
      </c>
      <c r="G862" s="75" t="s">
        <v>11</v>
      </c>
      <c r="H862" s="75">
        <v>0.1</v>
      </c>
      <c r="I862" s="75">
        <v>5</v>
      </c>
      <c r="J862" s="75" t="s">
        <v>10</v>
      </c>
      <c r="K862" s="75">
        <v>0.25</v>
      </c>
      <c r="L862" s="75">
        <v>350</v>
      </c>
      <c r="M862" s="75">
        <v>0.23000999999999999</v>
      </c>
      <c r="N862" s="75">
        <v>364.09</v>
      </c>
      <c r="O862" s="90" t="str">
        <f>IF(VLOOKUP(UncLookup[[#This Row],[Item]],Items!$A$1:$F$43,2,FALSE)=0,"",VLOOKUP(UncLookup[[#This Row],[Item]],Items!$A$1:$F$43,2,FALSE))</f>
        <v/>
      </c>
      <c r="P862" s="90" t="str">
        <f>IF(VLOOKUP(UncLookup[[#This Row],[Item]],Items!$A$1:$F$43,3,FALSE)=0,"",VLOOKUP(UncLookup[[#This Row],[Item]],Items!$A$1:$F$43,3,FALSE))</f>
        <v/>
      </c>
      <c r="Q862" s="90" t="str">
        <f>IF(VLOOKUP(UncLookup[[#This Row],[Item]],Items!$A$1:$F$43,4,FALSE)=0,"",VLOOKUP(UncLookup[[#This Row],[Item]],Items!$A$1:$F$43,4,FALSE))</f>
        <v/>
      </c>
    </row>
    <row r="863" spans="1:17" x14ac:dyDescent="0.25">
      <c r="A863" s="76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90" t="str">
        <f>IF(VLOOKUP(UncLookup[[#This Row],[Item]],Items!$A$1:$F$43,2,FALSE)=0,"",VLOOKUP(UncLookup[[#This Row],[Item]],Items!$A$1:$F$43,2,FALSE))</f>
        <v/>
      </c>
      <c r="P863" s="90" t="str">
        <f>IF(VLOOKUP(UncLookup[[#This Row],[Item]],Items!$A$1:$F$43,3,FALSE)=0,"",VLOOKUP(UncLookup[[#This Row],[Item]],Items!$A$1:$F$43,3,FALSE))</f>
        <v/>
      </c>
      <c r="Q863" s="90" t="str">
        <f>IF(VLOOKUP(UncLookup[[#This Row],[Item]],Items!$A$1:$F$43,4,FALSE)=0,"",VLOOKUP(UncLookup[[#This Row],[Item]],Items!$A$1:$F$43,4,FALSE))</f>
        <v/>
      </c>
    </row>
    <row r="864" spans="1:17" x14ac:dyDescent="0.25">
      <c r="A864" s="75" t="s">
        <v>56</v>
      </c>
      <c r="B864" s="75" t="s">
        <v>47</v>
      </c>
      <c r="C864" s="75">
        <v>1E-4</v>
      </c>
      <c r="D864" s="75">
        <v>1E-3</v>
      </c>
      <c r="E864" s="75">
        <v>1E-10</v>
      </c>
      <c r="F864" s="75" t="s">
        <v>13</v>
      </c>
      <c r="G864" s="75" t="s">
        <v>11</v>
      </c>
      <c r="H864" s="75">
        <v>0.02</v>
      </c>
      <c r="I864" s="75">
        <v>4.4999999999999998E-2</v>
      </c>
      <c r="J864" s="75" t="s">
        <v>10</v>
      </c>
      <c r="K864" s="75">
        <v>0.27</v>
      </c>
      <c r="L864" s="75">
        <v>1700</v>
      </c>
      <c r="M864" s="75">
        <v>0.23094000000000001</v>
      </c>
      <c r="N864" s="75">
        <v>1732.1</v>
      </c>
      <c r="O864" s="90" t="str">
        <f>IF(VLOOKUP(UncLookup[[#This Row],[Item]],Items!$A$1:$F$43,2,FALSE)=0,"",VLOOKUP(UncLookup[[#This Row],[Item]],Items!$A$1:$F$43,2,FALSE))</f>
        <v/>
      </c>
      <c r="P864" s="90" t="str">
        <f>IF(VLOOKUP(UncLookup[[#This Row],[Item]],Items!$A$1:$F$43,3,FALSE)=0,"",VLOOKUP(UncLookup[[#This Row],[Item]],Items!$A$1:$F$43,3,FALSE))</f>
        <v/>
      </c>
      <c r="Q864" s="90" t="str">
        <f>IF(VLOOKUP(UncLookup[[#This Row],[Item]],Items!$A$1:$F$43,4,FALSE)=0,"",VLOOKUP(UncLookup[[#This Row],[Item]],Items!$A$1:$F$43,4,FALSE))</f>
        <v/>
      </c>
    </row>
    <row r="865" spans="1:17" x14ac:dyDescent="0.25">
      <c r="A865" s="76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90" t="str">
        <f>IF(VLOOKUP(UncLookup[[#This Row],[Item]],Items!$A$1:$F$43,2,FALSE)=0,"",VLOOKUP(UncLookup[[#This Row],[Item]],Items!$A$1:$F$43,2,FALSE))</f>
        <v/>
      </c>
      <c r="P865" s="90" t="str">
        <f>IF(VLOOKUP(UncLookup[[#This Row],[Item]],Items!$A$1:$F$43,3,FALSE)=0,"",VLOOKUP(UncLookup[[#This Row],[Item]],Items!$A$1:$F$43,3,FALSE))</f>
        <v/>
      </c>
      <c r="Q865" s="90" t="str">
        <f>IF(VLOOKUP(UncLookup[[#This Row],[Item]],Items!$A$1:$F$43,4,FALSE)=0,"",VLOOKUP(UncLookup[[#This Row],[Item]],Items!$A$1:$F$43,4,FALSE))</f>
        <v/>
      </c>
    </row>
    <row r="866" spans="1:17" x14ac:dyDescent="0.25">
      <c r="A866" s="75" t="s">
        <v>56</v>
      </c>
      <c r="B866" s="75" t="s">
        <v>47</v>
      </c>
      <c r="C866" s="75">
        <v>1E-4</v>
      </c>
      <c r="D866" s="75">
        <v>1E-3</v>
      </c>
      <c r="E866" s="75">
        <v>1.0000000000000001E-9</v>
      </c>
      <c r="F866" s="75" t="s">
        <v>13</v>
      </c>
      <c r="G866" s="75" t="s">
        <v>11</v>
      </c>
      <c r="H866" s="75">
        <v>1E-3</v>
      </c>
      <c r="I866" s="75">
        <v>0.02</v>
      </c>
      <c r="J866" s="75" t="s">
        <v>10</v>
      </c>
      <c r="K866" s="75">
        <v>0.25</v>
      </c>
      <c r="L866" s="75">
        <v>4600</v>
      </c>
      <c r="M866" s="75">
        <v>0.23097999999999999</v>
      </c>
      <c r="N866" s="75">
        <v>4618.8</v>
      </c>
      <c r="O866" s="90" t="str">
        <f>IF(VLOOKUP(UncLookup[[#This Row],[Item]],Items!$A$1:$F$43,2,FALSE)=0,"",VLOOKUP(UncLookup[[#This Row],[Item]],Items!$A$1:$F$43,2,FALSE))</f>
        <v/>
      </c>
      <c r="P866" s="90" t="str">
        <f>IF(VLOOKUP(UncLookup[[#This Row],[Item]],Items!$A$1:$F$43,3,FALSE)=0,"",VLOOKUP(UncLookup[[#This Row],[Item]],Items!$A$1:$F$43,3,FALSE))</f>
        <v/>
      </c>
      <c r="Q866" s="90" t="str">
        <f>IF(VLOOKUP(UncLookup[[#This Row],[Item]],Items!$A$1:$F$43,4,FALSE)=0,"",VLOOKUP(UncLookup[[#This Row],[Item]],Items!$A$1:$F$43,4,FALSE))</f>
        <v/>
      </c>
    </row>
    <row r="867" spans="1:17" x14ac:dyDescent="0.25">
      <c r="A867" s="76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90" t="str">
        <f>IF(VLOOKUP(UncLookup[[#This Row],[Item]],Items!$A$1:$F$43,2,FALSE)=0,"",VLOOKUP(UncLookup[[#This Row],[Item]],Items!$A$1:$F$43,2,FALSE))</f>
        <v/>
      </c>
      <c r="P867" s="90" t="str">
        <f>IF(VLOOKUP(UncLookup[[#This Row],[Item]],Items!$A$1:$F$43,3,FALSE)=0,"",VLOOKUP(UncLookup[[#This Row],[Item]],Items!$A$1:$F$43,3,FALSE))</f>
        <v/>
      </c>
      <c r="Q867" s="90" t="str">
        <f>IF(VLOOKUP(UncLookup[[#This Row],[Item]],Items!$A$1:$F$43,4,FALSE)=0,"",VLOOKUP(UncLookup[[#This Row],[Item]],Items!$A$1:$F$43,4,FALSE))</f>
        <v/>
      </c>
    </row>
    <row r="868" spans="1:17" x14ac:dyDescent="0.25">
      <c r="A868" s="75" t="s">
        <v>56</v>
      </c>
      <c r="B868" s="75" t="s">
        <v>47</v>
      </c>
      <c r="C868" s="75">
        <v>1E-4</v>
      </c>
      <c r="D868" s="75">
        <v>1E-3</v>
      </c>
      <c r="E868" s="75">
        <v>1.0000000000000001E-9</v>
      </c>
      <c r="F868" s="75" t="s">
        <v>13</v>
      </c>
      <c r="G868" s="75" t="s">
        <v>11</v>
      </c>
      <c r="H868" s="75">
        <v>20</v>
      </c>
      <c r="I868" s="75">
        <v>50</v>
      </c>
      <c r="J868" s="75" t="s">
        <v>10</v>
      </c>
      <c r="K868" s="75">
        <v>0.47</v>
      </c>
      <c r="L868" s="75">
        <v>4761.6000000000004</v>
      </c>
      <c r="M868" s="75">
        <v>0.46636</v>
      </c>
      <c r="N868" s="75">
        <v>4761.6000000000004</v>
      </c>
      <c r="O868" s="90" t="str">
        <f>IF(VLOOKUP(UncLookup[[#This Row],[Item]],Items!$A$1:$F$43,2,FALSE)=0,"",VLOOKUP(UncLookup[[#This Row],[Item]],Items!$A$1:$F$43,2,FALSE))</f>
        <v/>
      </c>
      <c r="P868" s="90" t="str">
        <f>IF(VLOOKUP(UncLookup[[#This Row],[Item]],Items!$A$1:$F$43,3,FALSE)=0,"",VLOOKUP(UncLookup[[#This Row],[Item]],Items!$A$1:$F$43,3,FALSE))</f>
        <v/>
      </c>
      <c r="Q868" s="90" t="str">
        <f>IF(VLOOKUP(UncLookup[[#This Row],[Item]],Items!$A$1:$F$43,4,FALSE)=0,"",VLOOKUP(UncLookup[[#This Row],[Item]],Items!$A$1:$F$43,4,FALSE))</f>
        <v/>
      </c>
    </row>
    <row r="869" spans="1:17" x14ac:dyDescent="0.25">
      <c r="A869" s="76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90" t="str">
        <f>IF(VLOOKUP(UncLookup[[#This Row],[Item]],Items!$A$1:$F$43,2,FALSE)=0,"",VLOOKUP(UncLookup[[#This Row],[Item]],Items!$A$1:$F$43,2,FALSE))</f>
        <v/>
      </c>
      <c r="P869" s="90" t="str">
        <f>IF(VLOOKUP(UncLookup[[#This Row],[Item]],Items!$A$1:$F$43,3,FALSE)=0,"",VLOOKUP(UncLookup[[#This Row],[Item]],Items!$A$1:$F$43,3,FALSE))</f>
        <v/>
      </c>
      <c r="Q869" s="90" t="str">
        <f>IF(VLOOKUP(UncLookup[[#This Row],[Item]],Items!$A$1:$F$43,4,FALSE)=0,"",VLOOKUP(UncLookup[[#This Row],[Item]],Items!$A$1:$F$43,4,FALSE))</f>
        <v/>
      </c>
    </row>
    <row r="870" spans="1:17" x14ac:dyDescent="0.25">
      <c r="A870" s="75" t="s">
        <v>56</v>
      </c>
      <c r="B870" s="75" t="s">
        <v>47</v>
      </c>
      <c r="C870" s="75">
        <v>1E-4</v>
      </c>
      <c r="D870" s="75">
        <v>1E-3</v>
      </c>
      <c r="E870" s="75">
        <v>1.0000000000000001E-9</v>
      </c>
      <c r="F870" s="75" t="s">
        <v>13</v>
      </c>
      <c r="G870" s="75" t="s">
        <v>11</v>
      </c>
      <c r="H870" s="75">
        <v>4.4999999999999998E-2</v>
      </c>
      <c r="I870" s="75">
        <v>0.1</v>
      </c>
      <c r="J870" s="75" t="s">
        <v>10</v>
      </c>
      <c r="K870" s="75">
        <v>0.24</v>
      </c>
      <c r="L870" s="75">
        <v>690</v>
      </c>
      <c r="M870" s="75">
        <v>0.23102</v>
      </c>
      <c r="N870" s="75">
        <v>692.99</v>
      </c>
      <c r="O870" s="90" t="str">
        <f>IF(VLOOKUP(UncLookup[[#This Row],[Item]],Items!$A$1:$F$43,2,FALSE)=0,"",VLOOKUP(UncLookup[[#This Row],[Item]],Items!$A$1:$F$43,2,FALSE))</f>
        <v/>
      </c>
      <c r="P870" s="90" t="str">
        <f>IF(VLOOKUP(UncLookup[[#This Row],[Item]],Items!$A$1:$F$43,3,FALSE)=0,"",VLOOKUP(UncLookup[[#This Row],[Item]],Items!$A$1:$F$43,3,FALSE))</f>
        <v/>
      </c>
      <c r="Q870" s="90" t="str">
        <f>IF(VLOOKUP(UncLookup[[#This Row],[Item]],Items!$A$1:$F$43,4,FALSE)=0,"",VLOOKUP(UncLookup[[#This Row],[Item]],Items!$A$1:$F$43,4,FALSE))</f>
        <v/>
      </c>
    </row>
    <row r="871" spans="1:17" x14ac:dyDescent="0.25">
      <c r="A871" s="76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90" t="str">
        <f>IF(VLOOKUP(UncLookup[[#This Row],[Item]],Items!$A$1:$F$43,2,FALSE)=0,"",VLOOKUP(UncLookup[[#This Row],[Item]],Items!$A$1:$F$43,2,FALSE))</f>
        <v/>
      </c>
      <c r="P871" s="90" t="str">
        <f>IF(VLOOKUP(UncLookup[[#This Row],[Item]],Items!$A$1:$F$43,3,FALSE)=0,"",VLOOKUP(UncLookup[[#This Row],[Item]],Items!$A$1:$F$43,3,FALSE))</f>
        <v/>
      </c>
      <c r="Q871" s="90" t="str">
        <f>IF(VLOOKUP(UncLookup[[#This Row],[Item]],Items!$A$1:$F$43,4,FALSE)=0,"",VLOOKUP(UncLookup[[#This Row],[Item]],Items!$A$1:$F$43,4,FALSE))</f>
        <v/>
      </c>
    </row>
    <row r="872" spans="1:17" x14ac:dyDescent="0.25">
      <c r="A872" s="75" t="s">
        <v>56</v>
      </c>
      <c r="B872" s="75" t="s">
        <v>47</v>
      </c>
      <c r="C872" s="75">
        <v>1E-4</v>
      </c>
      <c r="D872" s="75">
        <v>1E-3</v>
      </c>
      <c r="E872" s="75">
        <v>1.0000000000000001E-9</v>
      </c>
      <c r="F872" s="75" t="s">
        <v>13</v>
      </c>
      <c r="G872" s="75" t="s">
        <v>11</v>
      </c>
      <c r="H872" s="75">
        <v>0.02</v>
      </c>
      <c r="I872" s="75">
        <v>4.4999999999999998E-2</v>
      </c>
      <c r="J872" s="75" t="s">
        <v>10</v>
      </c>
      <c r="K872" s="75">
        <v>0.27</v>
      </c>
      <c r="L872" s="75">
        <v>1700</v>
      </c>
      <c r="M872" s="75">
        <v>0.23100000000000001</v>
      </c>
      <c r="N872" s="75">
        <v>1732.1</v>
      </c>
      <c r="O872" s="90" t="str">
        <f>IF(VLOOKUP(UncLookup[[#This Row],[Item]],Items!$A$1:$F$43,2,FALSE)=0,"",VLOOKUP(UncLookup[[#This Row],[Item]],Items!$A$1:$F$43,2,FALSE))</f>
        <v/>
      </c>
      <c r="P872" s="90" t="str">
        <f>IF(VLOOKUP(UncLookup[[#This Row],[Item]],Items!$A$1:$F$43,3,FALSE)=0,"",VLOOKUP(UncLookup[[#This Row],[Item]],Items!$A$1:$F$43,3,FALSE))</f>
        <v/>
      </c>
      <c r="Q872" s="90" t="str">
        <f>IF(VLOOKUP(UncLookup[[#This Row],[Item]],Items!$A$1:$F$43,4,FALSE)=0,"",VLOOKUP(UncLookup[[#This Row],[Item]],Items!$A$1:$F$43,4,FALSE))</f>
        <v/>
      </c>
    </row>
    <row r="873" spans="1:17" x14ac:dyDescent="0.25">
      <c r="A873" s="76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90" t="str">
        <f>IF(VLOOKUP(UncLookup[[#This Row],[Item]],Items!$A$1:$F$43,2,FALSE)=0,"",VLOOKUP(UncLookup[[#This Row],[Item]],Items!$A$1:$F$43,2,FALSE))</f>
        <v/>
      </c>
      <c r="P873" s="90" t="str">
        <f>IF(VLOOKUP(UncLookup[[#This Row],[Item]],Items!$A$1:$F$43,3,FALSE)=0,"",VLOOKUP(UncLookup[[#This Row],[Item]],Items!$A$1:$F$43,3,FALSE))</f>
        <v/>
      </c>
      <c r="Q873" s="90" t="str">
        <f>IF(VLOOKUP(UncLookup[[#This Row],[Item]],Items!$A$1:$F$43,4,FALSE)=0,"",VLOOKUP(UncLookup[[#This Row],[Item]],Items!$A$1:$F$43,4,FALSE))</f>
        <v/>
      </c>
    </row>
    <row r="874" spans="1:17" x14ac:dyDescent="0.25">
      <c r="A874" s="75" t="s">
        <v>56</v>
      </c>
      <c r="B874" s="75" t="s">
        <v>47</v>
      </c>
      <c r="C874" s="75">
        <v>1E-4</v>
      </c>
      <c r="D874" s="75">
        <v>1E-3</v>
      </c>
      <c r="E874" s="75">
        <v>1E-8</v>
      </c>
      <c r="F874" s="75" t="s">
        <v>13</v>
      </c>
      <c r="G874" s="75" t="s">
        <v>11</v>
      </c>
      <c r="H874" s="75">
        <v>0.02</v>
      </c>
      <c r="I874" s="75">
        <v>4.4999999999999998E-2</v>
      </c>
      <c r="J874" s="75" t="s">
        <v>10</v>
      </c>
      <c r="K874" s="75">
        <v>0.27</v>
      </c>
      <c r="L874" s="75">
        <v>1700</v>
      </c>
      <c r="M874" s="75">
        <v>0.23546</v>
      </c>
      <c r="N874" s="75">
        <v>1728.5</v>
      </c>
      <c r="O874" s="90" t="str">
        <f>IF(VLOOKUP(UncLookup[[#This Row],[Item]],Items!$A$1:$F$43,2,FALSE)=0,"",VLOOKUP(UncLookup[[#This Row],[Item]],Items!$A$1:$F$43,2,FALSE))</f>
        <v/>
      </c>
      <c r="P874" s="90" t="str">
        <f>IF(VLOOKUP(UncLookup[[#This Row],[Item]],Items!$A$1:$F$43,3,FALSE)=0,"",VLOOKUP(UncLookup[[#This Row],[Item]],Items!$A$1:$F$43,3,FALSE))</f>
        <v/>
      </c>
      <c r="Q874" s="90" t="str">
        <f>IF(VLOOKUP(UncLookup[[#This Row],[Item]],Items!$A$1:$F$43,4,FALSE)=0,"",VLOOKUP(UncLookup[[#This Row],[Item]],Items!$A$1:$F$43,4,FALSE))</f>
        <v/>
      </c>
    </row>
    <row r="875" spans="1:17" x14ac:dyDescent="0.25">
      <c r="A875" s="76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90" t="str">
        <f>IF(VLOOKUP(UncLookup[[#This Row],[Item]],Items!$A$1:$F$43,2,FALSE)=0,"",VLOOKUP(UncLookup[[#This Row],[Item]],Items!$A$1:$F$43,2,FALSE))</f>
        <v/>
      </c>
      <c r="P875" s="90" t="str">
        <f>IF(VLOOKUP(UncLookup[[#This Row],[Item]],Items!$A$1:$F$43,3,FALSE)=0,"",VLOOKUP(UncLookup[[#This Row],[Item]],Items!$A$1:$F$43,3,FALSE))</f>
        <v/>
      </c>
      <c r="Q875" s="90" t="str">
        <f>IF(VLOOKUP(UncLookup[[#This Row],[Item]],Items!$A$1:$F$43,4,FALSE)=0,"",VLOOKUP(UncLookup[[#This Row],[Item]],Items!$A$1:$F$43,4,FALSE))</f>
        <v/>
      </c>
    </row>
    <row r="876" spans="1:17" x14ac:dyDescent="0.25">
      <c r="A876" s="75" t="s">
        <v>56</v>
      </c>
      <c r="B876" s="75" t="s">
        <v>47</v>
      </c>
      <c r="C876" s="75">
        <v>1E-4</v>
      </c>
      <c r="D876" s="75">
        <v>1E-3</v>
      </c>
      <c r="E876" s="75">
        <v>1E-8</v>
      </c>
      <c r="F876" s="75" t="s">
        <v>13</v>
      </c>
      <c r="G876" s="75" t="s">
        <v>11</v>
      </c>
      <c r="H876" s="75">
        <v>1E-3</v>
      </c>
      <c r="I876" s="75">
        <v>0.02</v>
      </c>
      <c r="J876" s="75" t="s">
        <v>10</v>
      </c>
      <c r="K876" s="75">
        <v>0.25</v>
      </c>
      <c r="L876" s="75">
        <v>4600.3</v>
      </c>
      <c r="M876" s="75">
        <v>0.23363</v>
      </c>
      <c r="N876" s="75">
        <v>4616.5</v>
      </c>
      <c r="O876" s="90" t="str">
        <f>IF(VLOOKUP(UncLookup[[#This Row],[Item]],Items!$A$1:$F$43,2,FALSE)=0,"",VLOOKUP(UncLookup[[#This Row],[Item]],Items!$A$1:$F$43,2,FALSE))</f>
        <v/>
      </c>
      <c r="P876" s="90" t="str">
        <f>IF(VLOOKUP(UncLookup[[#This Row],[Item]],Items!$A$1:$F$43,3,FALSE)=0,"",VLOOKUP(UncLookup[[#This Row],[Item]],Items!$A$1:$F$43,3,FALSE))</f>
        <v/>
      </c>
      <c r="Q876" s="90" t="str">
        <f>IF(VLOOKUP(UncLookup[[#This Row],[Item]],Items!$A$1:$F$43,4,FALSE)=0,"",VLOOKUP(UncLookup[[#This Row],[Item]],Items!$A$1:$F$43,4,FALSE))</f>
        <v/>
      </c>
    </row>
    <row r="877" spans="1:17" x14ac:dyDescent="0.25">
      <c r="A877" s="76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90" t="str">
        <f>IF(VLOOKUP(UncLookup[[#This Row],[Item]],Items!$A$1:$F$43,2,FALSE)=0,"",VLOOKUP(UncLookup[[#This Row],[Item]],Items!$A$1:$F$43,2,FALSE))</f>
        <v/>
      </c>
      <c r="P877" s="90" t="str">
        <f>IF(VLOOKUP(UncLookup[[#This Row],[Item]],Items!$A$1:$F$43,3,FALSE)=0,"",VLOOKUP(UncLookup[[#This Row],[Item]],Items!$A$1:$F$43,3,FALSE))</f>
        <v/>
      </c>
      <c r="Q877" s="90" t="str">
        <f>IF(VLOOKUP(UncLookup[[#This Row],[Item]],Items!$A$1:$F$43,4,FALSE)=0,"",VLOOKUP(UncLookup[[#This Row],[Item]],Items!$A$1:$F$43,4,FALSE))</f>
        <v/>
      </c>
    </row>
    <row r="878" spans="1:17" x14ac:dyDescent="0.25">
      <c r="A878" s="75" t="s">
        <v>56</v>
      </c>
      <c r="B878" s="75" t="s">
        <v>47</v>
      </c>
      <c r="C878" s="75">
        <v>1E-4</v>
      </c>
      <c r="D878" s="75">
        <v>1E-3</v>
      </c>
      <c r="E878" s="75">
        <v>1E-8</v>
      </c>
      <c r="F878" s="75" t="s">
        <v>13</v>
      </c>
      <c r="G878" s="75" t="s">
        <v>11</v>
      </c>
      <c r="H878" s="75">
        <v>4.4999999999999998E-2</v>
      </c>
      <c r="I878" s="75">
        <v>0.1</v>
      </c>
      <c r="J878" s="75" t="s">
        <v>10</v>
      </c>
      <c r="K878" s="75">
        <v>0.24</v>
      </c>
      <c r="L878" s="75">
        <v>690</v>
      </c>
      <c r="M878" s="75">
        <v>0.23691000000000001</v>
      </c>
      <c r="N878" s="75">
        <v>689</v>
      </c>
      <c r="O878" s="90" t="str">
        <f>IF(VLOOKUP(UncLookup[[#This Row],[Item]],Items!$A$1:$F$43,2,FALSE)=0,"",VLOOKUP(UncLookup[[#This Row],[Item]],Items!$A$1:$F$43,2,FALSE))</f>
        <v/>
      </c>
      <c r="P878" s="90" t="str">
        <f>IF(VLOOKUP(UncLookup[[#This Row],[Item]],Items!$A$1:$F$43,3,FALSE)=0,"",VLOOKUP(UncLookup[[#This Row],[Item]],Items!$A$1:$F$43,3,FALSE))</f>
        <v/>
      </c>
      <c r="Q878" s="90" t="str">
        <f>IF(VLOOKUP(UncLookup[[#This Row],[Item]],Items!$A$1:$F$43,4,FALSE)=0,"",VLOOKUP(UncLookup[[#This Row],[Item]],Items!$A$1:$F$43,4,FALSE))</f>
        <v/>
      </c>
    </row>
    <row r="879" spans="1:17" x14ac:dyDescent="0.25">
      <c r="A879" s="76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90" t="str">
        <f>IF(VLOOKUP(UncLookup[[#This Row],[Item]],Items!$A$1:$F$43,2,FALSE)=0,"",VLOOKUP(UncLookup[[#This Row],[Item]],Items!$A$1:$F$43,2,FALSE))</f>
        <v/>
      </c>
      <c r="P879" s="90" t="str">
        <f>IF(VLOOKUP(UncLookup[[#This Row],[Item]],Items!$A$1:$F$43,3,FALSE)=0,"",VLOOKUP(UncLookup[[#This Row],[Item]],Items!$A$1:$F$43,3,FALSE))</f>
        <v/>
      </c>
      <c r="Q879" s="90" t="str">
        <f>IF(VLOOKUP(UncLookup[[#This Row],[Item]],Items!$A$1:$F$43,4,FALSE)=0,"",VLOOKUP(UncLookup[[#This Row],[Item]],Items!$A$1:$F$43,4,FALSE))</f>
        <v/>
      </c>
    </row>
    <row r="880" spans="1:17" x14ac:dyDescent="0.25">
      <c r="A880" s="75" t="s">
        <v>56</v>
      </c>
      <c r="B880" s="75" t="s">
        <v>47</v>
      </c>
      <c r="C880" s="75">
        <v>1E-4</v>
      </c>
      <c r="D880" s="75">
        <v>1E-3</v>
      </c>
      <c r="E880" s="75">
        <v>9.9999999999999995E-8</v>
      </c>
      <c r="F880" s="75" t="s">
        <v>13</v>
      </c>
      <c r="G880" s="75" t="s">
        <v>11</v>
      </c>
      <c r="H880" s="75">
        <v>1E-3</v>
      </c>
      <c r="I880" s="75">
        <v>0.02</v>
      </c>
      <c r="J880" s="75" t="s">
        <v>10</v>
      </c>
      <c r="K880" s="75">
        <v>0.45989999999999998</v>
      </c>
      <c r="L880" s="75">
        <v>4424.7</v>
      </c>
      <c r="M880" s="75">
        <v>0.45951999999999998</v>
      </c>
      <c r="N880" s="75">
        <v>4424.6000000000004</v>
      </c>
      <c r="O880" s="90" t="str">
        <f>IF(VLOOKUP(UncLookup[[#This Row],[Item]],Items!$A$1:$F$43,2,FALSE)=0,"",VLOOKUP(UncLookup[[#This Row],[Item]],Items!$A$1:$F$43,2,FALSE))</f>
        <v/>
      </c>
      <c r="P880" s="90" t="str">
        <f>IF(VLOOKUP(UncLookup[[#This Row],[Item]],Items!$A$1:$F$43,3,FALSE)=0,"",VLOOKUP(UncLookup[[#This Row],[Item]],Items!$A$1:$F$43,3,FALSE))</f>
        <v/>
      </c>
      <c r="Q880" s="90" t="str">
        <f>IF(VLOOKUP(UncLookup[[#This Row],[Item]],Items!$A$1:$F$43,4,FALSE)=0,"",VLOOKUP(UncLookup[[#This Row],[Item]],Items!$A$1:$F$43,4,FALSE))</f>
        <v/>
      </c>
    </row>
    <row r="881" spans="1:17" x14ac:dyDescent="0.25">
      <c r="A881" s="76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90" t="str">
        <f>IF(VLOOKUP(UncLookup[[#This Row],[Item]],Items!$A$1:$F$43,2,FALSE)=0,"",VLOOKUP(UncLookup[[#This Row],[Item]],Items!$A$1:$F$43,2,FALSE))</f>
        <v/>
      </c>
      <c r="P881" s="90" t="str">
        <f>IF(VLOOKUP(UncLookup[[#This Row],[Item]],Items!$A$1:$F$43,3,FALSE)=0,"",VLOOKUP(UncLookup[[#This Row],[Item]],Items!$A$1:$F$43,3,FALSE))</f>
        <v/>
      </c>
      <c r="Q881" s="90" t="str">
        <f>IF(VLOOKUP(UncLookup[[#This Row],[Item]],Items!$A$1:$F$43,4,FALSE)=0,"",VLOOKUP(UncLookup[[#This Row],[Item]],Items!$A$1:$F$43,4,FALSE))</f>
        <v/>
      </c>
    </row>
    <row r="882" spans="1:17" x14ac:dyDescent="0.25">
      <c r="A882" s="75" t="s">
        <v>56</v>
      </c>
      <c r="B882" s="75" t="s">
        <v>47</v>
      </c>
      <c r="C882" s="75">
        <v>1E-4</v>
      </c>
      <c r="D882" s="75">
        <v>1E-3</v>
      </c>
      <c r="E882" s="75">
        <v>9.9999999999999995E-8</v>
      </c>
      <c r="F882" s="75" t="s">
        <v>13</v>
      </c>
      <c r="G882" s="75" t="s">
        <v>11</v>
      </c>
      <c r="H882" s="75">
        <v>4.4999999999999998E-2</v>
      </c>
      <c r="I882" s="75">
        <v>0.1</v>
      </c>
      <c r="J882" s="75" t="s">
        <v>10</v>
      </c>
      <c r="K882" s="75">
        <v>0.60248999999999997</v>
      </c>
      <c r="L882" s="75">
        <v>489.7</v>
      </c>
      <c r="M882" s="75">
        <v>0.60209999999999997</v>
      </c>
      <c r="N882" s="75">
        <v>487.94</v>
      </c>
      <c r="O882" s="90" t="str">
        <f>IF(VLOOKUP(UncLookup[[#This Row],[Item]],Items!$A$1:$F$43,2,FALSE)=0,"",VLOOKUP(UncLookup[[#This Row],[Item]],Items!$A$1:$F$43,2,FALSE))</f>
        <v/>
      </c>
      <c r="P882" s="90" t="str">
        <f>IF(VLOOKUP(UncLookup[[#This Row],[Item]],Items!$A$1:$F$43,3,FALSE)=0,"",VLOOKUP(UncLookup[[#This Row],[Item]],Items!$A$1:$F$43,3,FALSE))</f>
        <v/>
      </c>
      <c r="Q882" s="90" t="str">
        <f>IF(VLOOKUP(UncLookup[[#This Row],[Item]],Items!$A$1:$F$43,4,FALSE)=0,"",VLOOKUP(UncLookup[[#This Row],[Item]],Items!$A$1:$F$43,4,FALSE))</f>
        <v/>
      </c>
    </row>
    <row r="883" spans="1:17" x14ac:dyDescent="0.25">
      <c r="A883" s="76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90" t="str">
        <f>IF(VLOOKUP(UncLookup[[#This Row],[Item]],Items!$A$1:$F$43,2,FALSE)=0,"",VLOOKUP(UncLookup[[#This Row],[Item]],Items!$A$1:$F$43,2,FALSE))</f>
        <v/>
      </c>
      <c r="P883" s="90" t="str">
        <f>IF(VLOOKUP(UncLookup[[#This Row],[Item]],Items!$A$1:$F$43,3,FALSE)=0,"",VLOOKUP(UncLookup[[#This Row],[Item]],Items!$A$1:$F$43,3,FALSE))</f>
        <v/>
      </c>
      <c r="Q883" s="90" t="str">
        <f>IF(VLOOKUP(UncLookup[[#This Row],[Item]],Items!$A$1:$F$43,4,FALSE)=0,"",VLOOKUP(UncLookup[[#This Row],[Item]],Items!$A$1:$F$43,4,FALSE))</f>
        <v/>
      </c>
    </row>
    <row r="884" spans="1:17" x14ac:dyDescent="0.25">
      <c r="A884" s="75" t="s">
        <v>56</v>
      </c>
      <c r="B884" s="75" t="s">
        <v>47</v>
      </c>
      <c r="C884" s="75">
        <v>1E-4</v>
      </c>
      <c r="D884" s="75">
        <v>1E-3</v>
      </c>
      <c r="E884" s="75">
        <v>9.9999999999999995E-8</v>
      </c>
      <c r="F884" s="75" t="s">
        <v>13</v>
      </c>
      <c r="G884" s="75" t="s">
        <v>11</v>
      </c>
      <c r="H884" s="75">
        <v>50</v>
      </c>
      <c r="I884" s="75">
        <v>100</v>
      </c>
      <c r="J884" s="75" t="s">
        <v>10</v>
      </c>
      <c r="K884" s="75">
        <v>1.9</v>
      </c>
      <c r="L884" s="75">
        <v>6516.3</v>
      </c>
      <c r="M884" s="75">
        <v>1.8353999999999999</v>
      </c>
      <c r="N884" s="75">
        <v>6506.9</v>
      </c>
      <c r="O884" s="90" t="str">
        <f>IF(VLOOKUP(UncLookup[[#This Row],[Item]],Items!$A$1:$F$43,2,FALSE)=0,"",VLOOKUP(UncLookup[[#This Row],[Item]],Items!$A$1:$F$43,2,FALSE))</f>
        <v/>
      </c>
      <c r="P884" s="90" t="str">
        <f>IF(VLOOKUP(UncLookup[[#This Row],[Item]],Items!$A$1:$F$43,3,FALSE)=0,"",VLOOKUP(UncLookup[[#This Row],[Item]],Items!$A$1:$F$43,3,FALSE))</f>
        <v/>
      </c>
      <c r="Q884" s="90" t="str">
        <f>IF(VLOOKUP(UncLookup[[#This Row],[Item]],Items!$A$1:$F$43,4,FALSE)=0,"",VLOOKUP(UncLookup[[#This Row],[Item]],Items!$A$1:$F$43,4,FALSE))</f>
        <v/>
      </c>
    </row>
    <row r="885" spans="1:17" x14ac:dyDescent="0.25">
      <c r="A885" s="76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90" t="str">
        <f>IF(VLOOKUP(UncLookup[[#This Row],[Item]],Items!$A$1:$F$43,2,FALSE)=0,"",VLOOKUP(UncLookup[[#This Row],[Item]],Items!$A$1:$F$43,2,FALSE))</f>
        <v/>
      </c>
      <c r="P885" s="90" t="str">
        <f>IF(VLOOKUP(UncLookup[[#This Row],[Item]],Items!$A$1:$F$43,3,FALSE)=0,"",VLOOKUP(UncLookup[[#This Row],[Item]],Items!$A$1:$F$43,3,FALSE))</f>
        <v/>
      </c>
      <c r="Q885" s="90" t="str">
        <f>IF(VLOOKUP(UncLookup[[#This Row],[Item]],Items!$A$1:$F$43,4,FALSE)=0,"",VLOOKUP(UncLookup[[#This Row],[Item]],Items!$A$1:$F$43,4,FALSE))</f>
        <v/>
      </c>
    </row>
    <row r="886" spans="1:17" x14ac:dyDescent="0.25">
      <c r="A886" s="75" t="s">
        <v>56</v>
      </c>
      <c r="B886" s="75" t="s">
        <v>47</v>
      </c>
      <c r="C886" s="75">
        <v>1E-4</v>
      </c>
      <c r="D886" s="75">
        <v>1E-3</v>
      </c>
      <c r="E886" s="75">
        <v>9.9999999999999995E-8</v>
      </c>
      <c r="F886" s="75" t="s">
        <v>13</v>
      </c>
      <c r="G886" s="75" t="s">
        <v>11</v>
      </c>
      <c r="H886" s="75">
        <v>0.02</v>
      </c>
      <c r="I886" s="75">
        <v>4.4999999999999998E-2</v>
      </c>
      <c r="J886" s="75" t="s">
        <v>10</v>
      </c>
      <c r="K886" s="75">
        <v>0.55630000000000002</v>
      </c>
      <c r="L886" s="75">
        <v>1491.3</v>
      </c>
      <c r="M886" s="75">
        <v>0.55586000000000002</v>
      </c>
      <c r="N886" s="75">
        <v>1490.6</v>
      </c>
      <c r="O886" s="90" t="str">
        <f>IF(VLOOKUP(UncLookup[[#This Row],[Item]],Items!$A$1:$F$43,2,FALSE)=0,"",VLOOKUP(UncLookup[[#This Row],[Item]],Items!$A$1:$F$43,2,FALSE))</f>
        <v/>
      </c>
      <c r="P886" s="90" t="str">
        <f>IF(VLOOKUP(UncLookup[[#This Row],[Item]],Items!$A$1:$F$43,3,FALSE)=0,"",VLOOKUP(UncLookup[[#This Row],[Item]],Items!$A$1:$F$43,3,FALSE))</f>
        <v/>
      </c>
      <c r="Q886" s="90" t="str">
        <f>IF(VLOOKUP(UncLookup[[#This Row],[Item]],Items!$A$1:$F$43,4,FALSE)=0,"",VLOOKUP(UncLookup[[#This Row],[Item]],Items!$A$1:$F$43,4,FALSE))</f>
        <v/>
      </c>
    </row>
    <row r="887" spans="1:17" x14ac:dyDescent="0.25">
      <c r="A887" s="76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90" t="str">
        <f>IF(VLOOKUP(UncLookup[[#This Row],[Item]],Items!$A$1:$F$43,2,FALSE)=0,"",VLOOKUP(UncLookup[[#This Row],[Item]],Items!$A$1:$F$43,2,FALSE))</f>
        <v/>
      </c>
      <c r="P887" s="90" t="str">
        <f>IF(VLOOKUP(UncLookup[[#This Row],[Item]],Items!$A$1:$F$43,3,FALSE)=0,"",VLOOKUP(UncLookup[[#This Row],[Item]],Items!$A$1:$F$43,3,FALSE))</f>
        <v/>
      </c>
      <c r="Q887" s="90" t="str">
        <f>IF(VLOOKUP(UncLookup[[#This Row],[Item]],Items!$A$1:$F$43,4,FALSE)=0,"",VLOOKUP(UncLookup[[#This Row],[Item]],Items!$A$1:$F$43,4,FALSE))</f>
        <v/>
      </c>
    </row>
    <row r="888" spans="1:17" x14ac:dyDescent="0.25">
      <c r="A888" s="75" t="s">
        <v>56</v>
      </c>
      <c r="B888" s="75" t="s">
        <v>47</v>
      </c>
      <c r="C888" s="75">
        <v>1E-4</v>
      </c>
      <c r="D888" s="75">
        <v>1E-3</v>
      </c>
      <c r="E888" s="75">
        <v>9.9999999999999995E-7</v>
      </c>
      <c r="F888" s="75" t="s">
        <v>13</v>
      </c>
      <c r="G888" s="75" t="s">
        <v>11</v>
      </c>
      <c r="H888" s="75">
        <v>20</v>
      </c>
      <c r="I888" s="75">
        <v>50</v>
      </c>
      <c r="J888" s="75" t="s">
        <v>10</v>
      </c>
      <c r="K888" s="75">
        <v>5.6360000000000001</v>
      </c>
      <c r="L888" s="75">
        <v>2159.6999999999998</v>
      </c>
      <c r="M888" s="75">
        <v>5.6349</v>
      </c>
      <c r="N888" s="75">
        <v>2155.3000000000002</v>
      </c>
      <c r="O888" s="90" t="str">
        <f>IF(VLOOKUP(UncLookup[[#This Row],[Item]],Items!$A$1:$F$43,2,FALSE)=0,"",VLOOKUP(UncLookup[[#This Row],[Item]],Items!$A$1:$F$43,2,FALSE))</f>
        <v/>
      </c>
      <c r="P888" s="90" t="str">
        <f>IF(VLOOKUP(UncLookup[[#This Row],[Item]],Items!$A$1:$F$43,3,FALSE)=0,"",VLOOKUP(UncLookup[[#This Row],[Item]],Items!$A$1:$F$43,3,FALSE))</f>
        <v/>
      </c>
      <c r="Q888" s="90" t="str">
        <f>IF(VLOOKUP(UncLookup[[#This Row],[Item]],Items!$A$1:$F$43,4,FALSE)=0,"",VLOOKUP(UncLookup[[#This Row],[Item]],Items!$A$1:$F$43,4,FALSE))</f>
        <v/>
      </c>
    </row>
    <row r="889" spans="1:17" x14ac:dyDescent="0.25">
      <c r="A889" s="76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90" t="str">
        <f>IF(VLOOKUP(UncLookup[[#This Row],[Item]],Items!$A$1:$F$43,2,FALSE)=0,"",VLOOKUP(UncLookup[[#This Row],[Item]],Items!$A$1:$F$43,2,FALSE))</f>
        <v/>
      </c>
      <c r="P889" s="90" t="str">
        <f>IF(VLOOKUP(UncLookup[[#This Row],[Item]],Items!$A$1:$F$43,3,FALSE)=0,"",VLOOKUP(UncLookup[[#This Row],[Item]],Items!$A$1:$F$43,3,FALSE))</f>
        <v/>
      </c>
      <c r="Q889" s="90" t="str">
        <f>IF(VLOOKUP(UncLookup[[#This Row],[Item]],Items!$A$1:$F$43,4,FALSE)=0,"",VLOOKUP(UncLookup[[#This Row],[Item]],Items!$A$1:$F$43,4,FALSE))</f>
        <v/>
      </c>
    </row>
    <row r="890" spans="1:17" x14ac:dyDescent="0.25">
      <c r="A890" s="75" t="s">
        <v>56</v>
      </c>
      <c r="B890" s="75" t="s">
        <v>47</v>
      </c>
      <c r="C890" s="75">
        <v>1E-4</v>
      </c>
      <c r="D890" s="75">
        <v>1E-3</v>
      </c>
      <c r="E890" s="75">
        <v>9.9999999999999995E-7</v>
      </c>
      <c r="F890" s="75" t="s">
        <v>13</v>
      </c>
      <c r="G890" s="75" t="s">
        <v>11</v>
      </c>
      <c r="H890" s="75">
        <v>0.02</v>
      </c>
      <c r="I890" s="75">
        <v>4.4999999999999998E-2</v>
      </c>
      <c r="J890" s="75" t="s">
        <v>10</v>
      </c>
      <c r="K890" s="75">
        <v>5.7533000000000003</v>
      </c>
      <c r="L890" s="75">
        <v>346.75</v>
      </c>
      <c r="M890" s="75">
        <v>5.7531999999999996</v>
      </c>
      <c r="N890" s="75">
        <v>345.32</v>
      </c>
      <c r="O890" s="90" t="str">
        <f>IF(VLOOKUP(UncLookup[[#This Row],[Item]],Items!$A$1:$F$43,2,FALSE)=0,"",VLOOKUP(UncLookup[[#This Row],[Item]],Items!$A$1:$F$43,2,FALSE))</f>
        <v/>
      </c>
      <c r="P890" s="90" t="str">
        <f>IF(VLOOKUP(UncLookup[[#This Row],[Item]],Items!$A$1:$F$43,3,FALSE)=0,"",VLOOKUP(UncLookup[[#This Row],[Item]],Items!$A$1:$F$43,3,FALSE))</f>
        <v/>
      </c>
      <c r="Q890" s="90" t="str">
        <f>IF(VLOOKUP(UncLookup[[#This Row],[Item]],Items!$A$1:$F$43,4,FALSE)=0,"",VLOOKUP(UncLookup[[#This Row],[Item]],Items!$A$1:$F$43,4,FALSE))</f>
        <v/>
      </c>
    </row>
    <row r="891" spans="1:17" x14ac:dyDescent="0.25">
      <c r="A891" s="76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90" t="str">
        <f>IF(VLOOKUP(UncLookup[[#This Row],[Item]],Items!$A$1:$F$43,2,FALSE)=0,"",VLOOKUP(UncLookup[[#This Row],[Item]],Items!$A$1:$F$43,2,FALSE))</f>
        <v/>
      </c>
      <c r="P891" s="90" t="str">
        <f>IF(VLOOKUP(UncLookup[[#This Row],[Item]],Items!$A$1:$F$43,3,FALSE)=0,"",VLOOKUP(UncLookup[[#This Row],[Item]],Items!$A$1:$F$43,3,FALSE))</f>
        <v/>
      </c>
      <c r="Q891" s="90" t="str">
        <f>IF(VLOOKUP(UncLookup[[#This Row],[Item]],Items!$A$1:$F$43,4,FALSE)=0,"",VLOOKUP(UncLookup[[#This Row],[Item]],Items!$A$1:$F$43,4,FALSE))</f>
        <v/>
      </c>
    </row>
    <row r="892" spans="1:17" x14ac:dyDescent="0.25">
      <c r="A892" s="75" t="s">
        <v>56</v>
      </c>
      <c r="B892" s="75" t="s">
        <v>47</v>
      </c>
      <c r="C892" s="75">
        <v>1E-4</v>
      </c>
      <c r="D892" s="75">
        <v>1E-3</v>
      </c>
      <c r="E892" s="75">
        <v>9.9999999999999995E-7</v>
      </c>
      <c r="F892" s="75" t="s">
        <v>13</v>
      </c>
      <c r="G892" s="75" t="s">
        <v>11</v>
      </c>
      <c r="H892" s="75">
        <v>50</v>
      </c>
      <c r="I892" s="75">
        <v>100</v>
      </c>
      <c r="J892" s="75" t="s">
        <v>10</v>
      </c>
      <c r="K892" s="75">
        <v>5.8456000000000001</v>
      </c>
      <c r="L892" s="75">
        <v>4362.3</v>
      </c>
      <c r="M892" s="75">
        <v>5.8320999999999996</v>
      </c>
      <c r="N892" s="75">
        <v>4309.3</v>
      </c>
      <c r="O892" s="90" t="str">
        <f>IF(VLOOKUP(UncLookup[[#This Row],[Item]],Items!$A$1:$F$43,2,FALSE)=0,"",VLOOKUP(UncLookup[[#This Row],[Item]],Items!$A$1:$F$43,2,FALSE))</f>
        <v/>
      </c>
      <c r="P892" s="90" t="str">
        <f>IF(VLOOKUP(UncLookup[[#This Row],[Item]],Items!$A$1:$F$43,3,FALSE)=0,"",VLOOKUP(UncLookup[[#This Row],[Item]],Items!$A$1:$F$43,3,FALSE))</f>
        <v/>
      </c>
      <c r="Q892" s="90" t="str">
        <f>IF(VLOOKUP(UncLookup[[#This Row],[Item]],Items!$A$1:$F$43,4,FALSE)=0,"",VLOOKUP(UncLookup[[#This Row],[Item]],Items!$A$1:$F$43,4,FALSE))</f>
        <v/>
      </c>
    </row>
    <row r="893" spans="1:17" x14ac:dyDescent="0.25">
      <c r="A893" s="76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90" t="str">
        <f>IF(VLOOKUP(UncLookup[[#This Row],[Item]],Items!$A$1:$F$43,2,FALSE)=0,"",VLOOKUP(UncLookup[[#This Row],[Item]],Items!$A$1:$F$43,2,FALSE))</f>
        <v/>
      </c>
      <c r="P893" s="90" t="str">
        <f>IF(VLOOKUP(UncLookup[[#This Row],[Item]],Items!$A$1:$F$43,3,FALSE)=0,"",VLOOKUP(UncLookup[[#This Row],[Item]],Items!$A$1:$F$43,3,FALSE))</f>
        <v/>
      </c>
      <c r="Q893" s="90" t="str">
        <f>IF(VLOOKUP(UncLookup[[#This Row],[Item]],Items!$A$1:$F$43,4,FALSE)=0,"",VLOOKUP(UncLookup[[#This Row],[Item]],Items!$A$1:$F$43,4,FALSE))</f>
        <v/>
      </c>
    </row>
    <row r="894" spans="1:17" x14ac:dyDescent="0.25">
      <c r="A894" s="75" t="s">
        <v>56</v>
      </c>
      <c r="B894" s="75" t="s">
        <v>47</v>
      </c>
      <c r="C894" s="75">
        <v>1E-3</v>
      </c>
      <c r="D894" s="75">
        <v>0.01</v>
      </c>
      <c r="E894" s="75">
        <v>1E-8</v>
      </c>
      <c r="F894" s="75" t="s">
        <v>13</v>
      </c>
      <c r="G894" s="75" t="s">
        <v>11</v>
      </c>
      <c r="H894" s="75">
        <v>1E-3</v>
      </c>
      <c r="I894" s="75">
        <v>0.02</v>
      </c>
      <c r="J894" s="75" t="s">
        <v>10</v>
      </c>
      <c r="K894" s="75">
        <v>2.5</v>
      </c>
      <c r="L894" s="75">
        <v>4600</v>
      </c>
      <c r="M894" s="75">
        <v>2.3096000000000001</v>
      </c>
      <c r="N894" s="75">
        <v>4618.8</v>
      </c>
      <c r="O894" s="90" t="str">
        <f>IF(VLOOKUP(UncLookup[[#This Row],[Item]],Items!$A$1:$F$43,2,FALSE)=0,"",VLOOKUP(UncLookup[[#This Row],[Item]],Items!$A$1:$F$43,2,FALSE))</f>
        <v/>
      </c>
      <c r="P894" s="90" t="str">
        <f>IF(VLOOKUP(UncLookup[[#This Row],[Item]],Items!$A$1:$F$43,3,FALSE)=0,"",VLOOKUP(UncLookup[[#This Row],[Item]],Items!$A$1:$F$43,3,FALSE))</f>
        <v/>
      </c>
      <c r="Q894" s="90" t="str">
        <f>IF(VLOOKUP(UncLookup[[#This Row],[Item]],Items!$A$1:$F$43,4,FALSE)=0,"",VLOOKUP(UncLookup[[#This Row],[Item]],Items!$A$1:$F$43,4,FALSE))</f>
        <v/>
      </c>
    </row>
    <row r="895" spans="1:17" x14ac:dyDescent="0.25">
      <c r="A895" s="76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90" t="str">
        <f>IF(VLOOKUP(UncLookup[[#This Row],[Item]],Items!$A$1:$F$43,2,FALSE)=0,"",VLOOKUP(UncLookup[[#This Row],[Item]],Items!$A$1:$F$43,2,FALSE))</f>
        <v/>
      </c>
      <c r="P895" s="90" t="str">
        <f>IF(VLOOKUP(UncLookup[[#This Row],[Item]],Items!$A$1:$F$43,3,FALSE)=0,"",VLOOKUP(UncLookup[[#This Row],[Item]],Items!$A$1:$F$43,3,FALSE))</f>
        <v/>
      </c>
      <c r="Q895" s="90" t="str">
        <f>IF(VLOOKUP(UncLookup[[#This Row],[Item]],Items!$A$1:$F$43,4,FALSE)=0,"",VLOOKUP(UncLookup[[#This Row],[Item]],Items!$A$1:$F$43,4,FALSE))</f>
        <v/>
      </c>
    </row>
    <row r="896" spans="1:17" x14ac:dyDescent="0.25">
      <c r="A896" s="75" t="s">
        <v>56</v>
      </c>
      <c r="B896" s="75" t="s">
        <v>47</v>
      </c>
      <c r="C896" s="75">
        <v>1E-3</v>
      </c>
      <c r="D896" s="75">
        <v>0.01</v>
      </c>
      <c r="E896" s="75">
        <v>1E-8</v>
      </c>
      <c r="F896" s="75" t="s">
        <v>13</v>
      </c>
      <c r="G896" s="75" t="s">
        <v>11</v>
      </c>
      <c r="H896" s="75">
        <v>0.02</v>
      </c>
      <c r="I896" s="75">
        <v>4.4999999999999998E-2</v>
      </c>
      <c r="J896" s="75" t="s">
        <v>10</v>
      </c>
      <c r="K896" s="75">
        <v>2.7</v>
      </c>
      <c r="L896" s="75">
        <v>1700</v>
      </c>
      <c r="M896" s="75">
        <v>2.3094999999999999</v>
      </c>
      <c r="N896" s="75">
        <v>1732.1</v>
      </c>
      <c r="O896" s="90" t="str">
        <f>IF(VLOOKUP(UncLookup[[#This Row],[Item]],Items!$A$1:$F$43,2,FALSE)=0,"",VLOOKUP(UncLookup[[#This Row],[Item]],Items!$A$1:$F$43,2,FALSE))</f>
        <v/>
      </c>
      <c r="P896" s="90" t="str">
        <f>IF(VLOOKUP(UncLookup[[#This Row],[Item]],Items!$A$1:$F$43,3,FALSE)=0,"",VLOOKUP(UncLookup[[#This Row],[Item]],Items!$A$1:$F$43,3,FALSE))</f>
        <v/>
      </c>
      <c r="Q896" s="90" t="str">
        <f>IF(VLOOKUP(UncLookup[[#This Row],[Item]],Items!$A$1:$F$43,4,FALSE)=0,"",VLOOKUP(UncLookup[[#This Row],[Item]],Items!$A$1:$F$43,4,FALSE))</f>
        <v/>
      </c>
    </row>
    <row r="897" spans="1:17" x14ac:dyDescent="0.25">
      <c r="A897" s="76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90" t="str">
        <f>IF(VLOOKUP(UncLookup[[#This Row],[Item]],Items!$A$1:$F$43,2,FALSE)=0,"",VLOOKUP(UncLookup[[#This Row],[Item]],Items!$A$1:$F$43,2,FALSE))</f>
        <v/>
      </c>
      <c r="P897" s="90" t="str">
        <f>IF(VLOOKUP(UncLookup[[#This Row],[Item]],Items!$A$1:$F$43,3,FALSE)=0,"",VLOOKUP(UncLookup[[#This Row],[Item]],Items!$A$1:$F$43,3,FALSE))</f>
        <v/>
      </c>
      <c r="Q897" s="90" t="str">
        <f>IF(VLOOKUP(UncLookup[[#This Row],[Item]],Items!$A$1:$F$43,4,FALSE)=0,"",VLOOKUP(UncLookup[[#This Row],[Item]],Items!$A$1:$F$43,4,FALSE))</f>
        <v/>
      </c>
    </row>
    <row r="898" spans="1:17" x14ac:dyDescent="0.25">
      <c r="A898" s="75" t="s">
        <v>56</v>
      </c>
      <c r="B898" s="75" t="s">
        <v>47</v>
      </c>
      <c r="C898" s="75">
        <v>1E-3</v>
      </c>
      <c r="D898" s="75">
        <v>0.01</v>
      </c>
      <c r="E898" s="75">
        <v>1E-8</v>
      </c>
      <c r="F898" s="75" t="s">
        <v>13</v>
      </c>
      <c r="G898" s="75" t="s">
        <v>11</v>
      </c>
      <c r="H898" s="75">
        <v>50</v>
      </c>
      <c r="I898" s="75">
        <v>100</v>
      </c>
      <c r="J898" s="75" t="s">
        <v>10</v>
      </c>
      <c r="K898" s="75">
        <v>19</v>
      </c>
      <c r="L898" s="75">
        <v>6500</v>
      </c>
      <c r="M898" s="75">
        <v>17.151</v>
      </c>
      <c r="N898" s="75">
        <v>6602.1</v>
      </c>
      <c r="O898" s="90" t="str">
        <f>IF(VLOOKUP(UncLookup[[#This Row],[Item]],Items!$A$1:$F$43,2,FALSE)=0,"",VLOOKUP(UncLookup[[#This Row],[Item]],Items!$A$1:$F$43,2,FALSE))</f>
        <v/>
      </c>
      <c r="P898" s="90" t="str">
        <f>IF(VLOOKUP(UncLookup[[#This Row],[Item]],Items!$A$1:$F$43,3,FALSE)=0,"",VLOOKUP(UncLookup[[#This Row],[Item]],Items!$A$1:$F$43,3,FALSE))</f>
        <v/>
      </c>
      <c r="Q898" s="90" t="str">
        <f>IF(VLOOKUP(UncLookup[[#This Row],[Item]],Items!$A$1:$F$43,4,FALSE)=0,"",VLOOKUP(UncLookup[[#This Row],[Item]],Items!$A$1:$F$43,4,FALSE))</f>
        <v/>
      </c>
    </row>
    <row r="899" spans="1:17" x14ac:dyDescent="0.25">
      <c r="A899" s="76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90" t="str">
        <f>IF(VLOOKUP(UncLookup[[#This Row],[Item]],Items!$A$1:$F$43,2,FALSE)=0,"",VLOOKUP(UncLookup[[#This Row],[Item]],Items!$A$1:$F$43,2,FALSE))</f>
        <v/>
      </c>
      <c r="P899" s="90" t="str">
        <f>IF(VLOOKUP(UncLookup[[#This Row],[Item]],Items!$A$1:$F$43,3,FALSE)=0,"",VLOOKUP(UncLookup[[#This Row],[Item]],Items!$A$1:$F$43,3,FALSE))</f>
        <v/>
      </c>
      <c r="Q899" s="90" t="str">
        <f>IF(VLOOKUP(UncLookup[[#This Row],[Item]],Items!$A$1:$F$43,4,FALSE)=0,"",VLOOKUP(UncLookup[[#This Row],[Item]],Items!$A$1:$F$43,4,FALSE))</f>
        <v/>
      </c>
    </row>
    <row r="900" spans="1:17" x14ac:dyDescent="0.25">
      <c r="A900" s="75" t="s">
        <v>56</v>
      </c>
      <c r="B900" s="75" t="s">
        <v>47</v>
      </c>
      <c r="C900" s="75">
        <v>1E-3</v>
      </c>
      <c r="D900" s="75">
        <v>0.01</v>
      </c>
      <c r="E900" s="75">
        <v>1E-8</v>
      </c>
      <c r="F900" s="75" t="s">
        <v>13</v>
      </c>
      <c r="G900" s="75" t="s">
        <v>11</v>
      </c>
      <c r="H900" s="75">
        <v>20</v>
      </c>
      <c r="I900" s="75">
        <v>50</v>
      </c>
      <c r="J900" s="75" t="s">
        <v>10</v>
      </c>
      <c r="K900" s="75">
        <v>5.0999999999999996</v>
      </c>
      <c r="L900" s="75">
        <v>4700</v>
      </c>
      <c r="M900" s="75">
        <v>4.5719000000000003</v>
      </c>
      <c r="N900" s="75">
        <v>4747.8999999999996</v>
      </c>
      <c r="O900" s="90" t="str">
        <f>IF(VLOOKUP(UncLookup[[#This Row],[Item]],Items!$A$1:$F$43,2,FALSE)=0,"",VLOOKUP(UncLookup[[#This Row],[Item]],Items!$A$1:$F$43,2,FALSE))</f>
        <v/>
      </c>
      <c r="P900" s="90" t="str">
        <f>IF(VLOOKUP(UncLookup[[#This Row],[Item]],Items!$A$1:$F$43,3,FALSE)=0,"",VLOOKUP(UncLookup[[#This Row],[Item]],Items!$A$1:$F$43,3,FALSE))</f>
        <v/>
      </c>
      <c r="Q900" s="90" t="str">
        <f>IF(VLOOKUP(UncLookup[[#This Row],[Item]],Items!$A$1:$F$43,4,FALSE)=0,"",VLOOKUP(UncLookup[[#This Row],[Item]],Items!$A$1:$F$43,4,FALSE))</f>
        <v/>
      </c>
    </row>
    <row r="901" spans="1:17" x14ac:dyDescent="0.25">
      <c r="A901" s="76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90" t="str">
        <f>IF(VLOOKUP(UncLookup[[#This Row],[Item]],Items!$A$1:$F$43,2,FALSE)=0,"",VLOOKUP(UncLookup[[#This Row],[Item]],Items!$A$1:$F$43,2,FALSE))</f>
        <v/>
      </c>
      <c r="P901" s="90" t="str">
        <f>IF(VLOOKUP(UncLookup[[#This Row],[Item]],Items!$A$1:$F$43,3,FALSE)=0,"",VLOOKUP(UncLookup[[#This Row],[Item]],Items!$A$1:$F$43,3,FALSE))</f>
        <v/>
      </c>
      <c r="Q901" s="90" t="str">
        <f>IF(VLOOKUP(UncLookup[[#This Row],[Item]],Items!$A$1:$F$43,4,FALSE)=0,"",VLOOKUP(UncLookup[[#This Row],[Item]],Items!$A$1:$F$43,4,FALSE))</f>
        <v/>
      </c>
    </row>
    <row r="902" spans="1:17" x14ac:dyDescent="0.25">
      <c r="A902" s="75" t="s">
        <v>56</v>
      </c>
      <c r="B902" s="75" t="s">
        <v>47</v>
      </c>
      <c r="C902" s="75">
        <v>1E-3</v>
      </c>
      <c r="D902" s="75">
        <v>0.01</v>
      </c>
      <c r="E902" s="75">
        <v>9.9999999999999995E-8</v>
      </c>
      <c r="F902" s="75" t="s">
        <v>13</v>
      </c>
      <c r="G902" s="75" t="s">
        <v>11</v>
      </c>
      <c r="H902" s="75">
        <v>50</v>
      </c>
      <c r="I902" s="75">
        <v>100</v>
      </c>
      <c r="J902" s="75" t="s">
        <v>10</v>
      </c>
      <c r="K902" s="75">
        <v>19</v>
      </c>
      <c r="L902" s="75">
        <v>6531.1</v>
      </c>
      <c r="M902" s="75">
        <v>17.152999999999999</v>
      </c>
      <c r="N902" s="75">
        <v>6602.1</v>
      </c>
      <c r="O902" s="90" t="str">
        <f>IF(VLOOKUP(UncLookup[[#This Row],[Item]],Items!$A$1:$F$43,2,FALSE)=0,"",VLOOKUP(UncLookup[[#This Row],[Item]],Items!$A$1:$F$43,2,FALSE))</f>
        <v/>
      </c>
      <c r="P902" s="90" t="str">
        <f>IF(VLOOKUP(UncLookup[[#This Row],[Item]],Items!$A$1:$F$43,3,FALSE)=0,"",VLOOKUP(UncLookup[[#This Row],[Item]],Items!$A$1:$F$43,3,FALSE))</f>
        <v/>
      </c>
      <c r="Q902" s="90" t="str">
        <f>IF(VLOOKUP(UncLookup[[#This Row],[Item]],Items!$A$1:$F$43,4,FALSE)=0,"",VLOOKUP(UncLookup[[#This Row],[Item]],Items!$A$1:$F$43,4,FALSE))</f>
        <v/>
      </c>
    </row>
    <row r="903" spans="1:17" x14ac:dyDescent="0.25">
      <c r="A903" s="76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90" t="str">
        <f>IF(VLOOKUP(UncLookup[[#This Row],[Item]],Items!$A$1:$F$43,2,FALSE)=0,"",VLOOKUP(UncLookup[[#This Row],[Item]],Items!$A$1:$F$43,2,FALSE))</f>
        <v/>
      </c>
      <c r="P903" s="90" t="str">
        <f>IF(VLOOKUP(UncLookup[[#This Row],[Item]],Items!$A$1:$F$43,3,FALSE)=0,"",VLOOKUP(UncLookup[[#This Row],[Item]],Items!$A$1:$F$43,3,FALSE))</f>
        <v/>
      </c>
      <c r="Q903" s="90" t="str">
        <f>IF(VLOOKUP(UncLookup[[#This Row],[Item]],Items!$A$1:$F$43,4,FALSE)=0,"",VLOOKUP(UncLookup[[#This Row],[Item]],Items!$A$1:$F$43,4,FALSE))</f>
        <v/>
      </c>
    </row>
    <row r="904" spans="1:17" x14ac:dyDescent="0.25">
      <c r="A904" s="75" t="s">
        <v>56</v>
      </c>
      <c r="B904" s="75" t="s">
        <v>47</v>
      </c>
      <c r="C904" s="75">
        <v>1E-3</v>
      </c>
      <c r="D904" s="75">
        <v>0.01</v>
      </c>
      <c r="E904" s="75">
        <v>9.9999999999999995E-8</v>
      </c>
      <c r="F904" s="75" t="s">
        <v>13</v>
      </c>
      <c r="G904" s="75" t="s">
        <v>11</v>
      </c>
      <c r="H904" s="75">
        <v>1E-3</v>
      </c>
      <c r="I904" s="75">
        <v>0.02</v>
      </c>
      <c r="J904" s="75" t="s">
        <v>10</v>
      </c>
      <c r="K904" s="75">
        <v>2.5</v>
      </c>
      <c r="L904" s="75">
        <v>4600</v>
      </c>
      <c r="M904" s="75">
        <v>2.3100999999999998</v>
      </c>
      <c r="N904" s="75">
        <v>4618.8</v>
      </c>
      <c r="O904" s="90" t="str">
        <f>IF(VLOOKUP(UncLookup[[#This Row],[Item]],Items!$A$1:$F$43,2,FALSE)=0,"",VLOOKUP(UncLookup[[#This Row],[Item]],Items!$A$1:$F$43,2,FALSE))</f>
        <v/>
      </c>
      <c r="P904" s="90" t="str">
        <f>IF(VLOOKUP(UncLookup[[#This Row],[Item]],Items!$A$1:$F$43,3,FALSE)=0,"",VLOOKUP(UncLookup[[#This Row],[Item]],Items!$A$1:$F$43,3,FALSE))</f>
        <v/>
      </c>
      <c r="Q904" s="90" t="str">
        <f>IF(VLOOKUP(UncLookup[[#This Row],[Item]],Items!$A$1:$F$43,4,FALSE)=0,"",VLOOKUP(UncLookup[[#This Row],[Item]],Items!$A$1:$F$43,4,FALSE))</f>
        <v/>
      </c>
    </row>
    <row r="905" spans="1:17" x14ac:dyDescent="0.25">
      <c r="A905" s="76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90" t="str">
        <f>IF(VLOOKUP(UncLookup[[#This Row],[Item]],Items!$A$1:$F$43,2,FALSE)=0,"",VLOOKUP(UncLookup[[#This Row],[Item]],Items!$A$1:$F$43,2,FALSE))</f>
        <v/>
      </c>
      <c r="P905" s="90" t="str">
        <f>IF(VLOOKUP(UncLookup[[#This Row],[Item]],Items!$A$1:$F$43,3,FALSE)=0,"",VLOOKUP(UncLookup[[#This Row],[Item]],Items!$A$1:$F$43,3,FALSE))</f>
        <v/>
      </c>
      <c r="Q905" s="90" t="str">
        <f>IF(VLOOKUP(UncLookup[[#This Row],[Item]],Items!$A$1:$F$43,4,FALSE)=0,"",VLOOKUP(UncLookup[[#This Row],[Item]],Items!$A$1:$F$43,4,FALSE))</f>
        <v/>
      </c>
    </row>
    <row r="906" spans="1:17" x14ac:dyDescent="0.25">
      <c r="A906" s="75" t="s">
        <v>56</v>
      </c>
      <c r="B906" s="75" t="s">
        <v>47</v>
      </c>
      <c r="C906" s="75">
        <v>1E-3</v>
      </c>
      <c r="D906" s="75">
        <v>0.01</v>
      </c>
      <c r="E906" s="75">
        <v>9.9999999999999995E-8</v>
      </c>
      <c r="F906" s="75" t="s">
        <v>13</v>
      </c>
      <c r="G906" s="75" t="s">
        <v>11</v>
      </c>
      <c r="H906" s="75">
        <v>5</v>
      </c>
      <c r="I906" s="75">
        <v>20</v>
      </c>
      <c r="J906" s="75" t="s">
        <v>10</v>
      </c>
      <c r="K906" s="75">
        <v>2.5</v>
      </c>
      <c r="L906" s="75">
        <v>712.46</v>
      </c>
      <c r="M906" s="75">
        <v>2.2904</v>
      </c>
      <c r="N906" s="75">
        <v>721.65</v>
      </c>
      <c r="O906" s="90" t="str">
        <f>IF(VLOOKUP(UncLookup[[#This Row],[Item]],Items!$A$1:$F$43,2,FALSE)=0,"",VLOOKUP(UncLookup[[#This Row],[Item]],Items!$A$1:$F$43,2,FALSE))</f>
        <v/>
      </c>
      <c r="P906" s="90" t="str">
        <f>IF(VLOOKUP(UncLookup[[#This Row],[Item]],Items!$A$1:$F$43,3,FALSE)=0,"",VLOOKUP(UncLookup[[#This Row],[Item]],Items!$A$1:$F$43,3,FALSE))</f>
        <v/>
      </c>
      <c r="Q906" s="90" t="str">
        <f>IF(VLOOKUP(UncLookup[[#This Row],[Item]],Items!$A$1:$F$43,4,FALSE)=0,"",VLOOKUP(UncLookup[[#This Row],[Item]],Items!$A$1:$F$43,4,FALSE))</f>
        <v/>
      </c>
    </row>
    <row r="907" spans="1:17" x14ac:dyDescent="0.25">
      <c r="A907" s="76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90" t="str">
        <f>IF(VLOOKUP(UncLookup[[#This Row],[Item]],Items!$A$1:$F$43,2,FALSE)=0,"",VLOOKUP(UncLookup[[#This Row],[Item]],Items!$A$1:$F$43,2,FALSE))</f>
        <v/>
      </c>
      <c r="P907" s="90" t="str">
        <f>IF(VLOOKUP(UncLookup[[#This Row],[Item]],Items!$A$1:$F$43,3,FALSE)=0,"",VLOOKUP(UncLookup[[#This Row],[Item]],Items!$A$1:$F$43,3,FALSE))</f>
        <v/>
      </c>
      <c r="Q907" s="90" t="str">
        <f>IF(VLOOKUP(UncLookup[[#This Row],[Item]],Items!$A$1:$F$43,4,FALSE)=0,"",VLOOKUP(UncLookup[[#This Row],[Item]],Items!$A$1:$F$43,4,FALSE))</f>
        <v/>
      </c>
    </row>
    <row r="908" spans="1:17" x14ac:dyDescent="0.25">
      <c r="A908" s="75" t="s">
        <v>56</v>
      </c>
      <c r="B908" s="75" t="s">
        <v>47</v>
      </c>
      <c r="C908" s="75">
        <v>1E-3</v>
      </c>
      <c r="D908" s="75">
        <v>0.01</v>
      </c>
      <c r="E908" s="75">
        <v>9.9999999999999995E-7</v>
      </c>
      <c r="F908" s="75" t="s">
        <v>13</v>
      </c>
      <c r="G908" s="75" t="s">
        <v>11</v>
      </c>
      <c r="H908" s="75">
        <v>1E-3</v>
      </c>
      <c r="I908" s="75">
        <v>0.02</v>
      </c>
      <c r="J908" s="75" t="s">
        <v>10</v>
      </c>
      <c r="K908" s="75">
        <v>2.5</v>
      </c>
      <c r="L908" s="75">
        <v>4600.7</v>
      </c>
      <c r="M908" s="75">
        <v>2.3372999999999999</v>
      </c>
      <c r="N908" s="75">
        <v>4616.5</v>
      </c>
      <c r="O908" s="90" t="str">
        <f>IF(VLOOKUP(UncLookup[[#This Row],[Item]],Items!$A$1:$F$43,2,FALSE)=0,"",VLOOKUP(UncLookup[[#This Row],[Item]],Items!$A$1:$F$43,2,FALSE))</f>
        <v/>
      </c>
      <c r="P908" s="90" t="str">
        <f>IF(VLOOKUP(UncLookup[[#This Row],[Item]],Items!$A$1:$F$43,3,FALSE)=0,"",VLOOKUP(UncLookup[[#This Row],[Item]],Items!$A$1:$F$43,3,FALSE))</f>
        <v/>
      </c>
      <c r="Q908" s="90" t="str">
        <f>IF(VLOOKUP(UncLookup[[#This Row],[Item]],Items!$A$1:$F$43,4,FALSE)=0,"",VLOOKUP(UncLookup[[#This Row],[Item]],Items!$A$1:$F$43,4,FALSE))</f>
        <v/>
      </c>
    </row>
    <row r="909" spans="1:17" x14ac:dyDescent="0.25">
      <c r="A909" s="76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90" t="str">
        <f>IF(VLOOKUP(UncLookup[[#This Row],[Item]],Items!$A$1:$F$43,2,FALSE)=0,"",VLOOKUP(UncLookup[[#This Row],[Item]],Items!$A$1:$F$43,2,FALSE))</f>
        <v/>
      </c>
      <c r="P909" s="90" t="str">
        <f>IF(VLOOKUP(UncLookup[[#This Row],[Item]],Items!$A$1:$F$43,3,FALSE)=0,"",VLOOKUP(UncLookup[[#This Row],[Item]],Items!$A$1:$F$43,3,FALSE))</f>
        <v/>
      </c>
      <c r="Q909" s="90" t="str">
        <f>IF(VLOOKUP(UncLookup[[#This Row],[Item]],Items!$A$1:$F$43,4,FALSE)=0,"",VLOOKUP(UncLookup[[#This Row],[Item]],Items!$A$1:$F$43,4,FALSE))</f>
        <v/>
      </c>
    </row>
    <row r="910" spans="1:17" x14ac:dyDescent="0.25">
      <c r="A910" s="75" t="s">
        <v>56</v>
      </c>
      <c r="B910" s="75" t="s">
        <v>47</v>
      </c>
      <c r="C910" s="75">
        <v>1E-3</v>
      </c>
      <c r="D910" s="75">
        <v>0.01</v>
      </c>
      <c r="E910" s="75">
        <v>9.9999999999999995E-7</v>
      </c>
      <c r="F910" s="75" t="s">
        <v>13</v>
      </c>
      <c r="G910" s="75" t="s">
        <v>11</v>
      </c>
      <c r="H910" s="75">
        <v>0.1</v>
      </c>
      <c r="I910" s="75">
        <v>5</v>
      </c>
      <c r="J910" s="75" t="s">
        <v>10</v>
      </c>
      <c r="K910" s="75">
        <v>2.5</v>
      </c>
      <c r="L910" s="75">
        <v>362.33</v>
      </c>
      <c r="M910" s="75">
        <v>2.3641000000000001</v>
      </c>
      <c r="N910" s="75">
        <v>361.33</v>
      </c>
      <c r="O910" s="90" t="str">
        <f>IF(VLOOKUP(UncLookup[[#This Row],[Item]],Items!$A$1:$F$43,2,FALSE)=0,"",VLOOKUP(UncLookup[[#This Row],[Item]],Items!$A$1:$F$43,2,FALSE))</f>
        <v/>
      </c>
      <c r="P910" s="90" t="str">
        <f>IF(VLOOKUP(UncLookup[[#This Row],[Item]],Items!$A$1:$F$43,3,FALSE)=0,"",VLOOKUP(UncLookup[[#This Row],[Item]],Items!$A$1:$F$43,3,FALSE))</f>
        <v/>
      </c>
      <c r="Q910" s="90" t="str">
        <f>IF(VLOOKUP(UncLookup[[#This Row],[Item]],Items!$A$1:$F$43,4,FALSE)=0,"",VLOOKUP(UncLookup[[#This Row],[Item]],Items!$A$1:$F$43,4,FALSE))</f>
        <v/>
      </c>
    </row>
    <row r="911" spans="1:17" x14ac:dyDescent="0.25">
      <c r="A911" s="76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90" t="str">
        <f>IF(VLOOKUP(UncLookup[[#This Row],[Item]],Items!$A$1:$F$43,2,FALSE)=0,"",VLOOKUP(UncLookup[[#This Row],[Item]],Items!$A$1:$F$43,2,FALSE))</f>
        <v/>
      </c>
      <c r="P911" s="90" t="str">
        <f>IF(VLOOKUP(UncLookup[[#This Row],[Item]],Items!$A$1:$F$43,3,FALSE)=0,"",VLOOKUP(UncLookup[[#This Row],[Item]],Items!$A$1:$F$43,3,FALSE))</f>
        <v/>
      </c>
      <c r="Q911" s="90" t="str">
        <f>IF(VLOOKUP(UncLookup[[#This Row],[Item]],Items!$A$1:$F$43,4,FALSE)=0,"",VLOOKUP(UncLookup[[#This Row],[Item]],Items!$A$1:$F$43,4,FALSE))</f>
        <v/>
      </c>
    </row>
    <row r="912" spans="1:17" x14ac:dyDescent="0.25">
      <c r="A912" s="75" t="s">
        <v>56</v>
      </c>
      <c r="B912" s="75" t="s">
        <v>47</v>
      </c>
      <c r="C912" s="75">
        <v>1E-3</v>
      </c>
      <c r="D912" s="75">
        <v>0.01</v>
      </c>
      <c r="E912" s="75">
        <v>9.9999999999999995E-7</v>
      </c>
      <c r="F912" s="75" t="s">
        <v>13</v>
      </c>
      <c r="G912" s="75" t="s">
        <v>11</v>
      </c>
      <c r="H912" s="75">
        <v>5</v>
      </c>
      <c r="I912" s="75">
        <v>20</v>
      </c>
      <c r="J912" s="75" t="s">
        <v>10</v>
      </c>
      <c r="K912" s="75">
        <v>2.5</v>
      </c>
      <c r="L912" s="75">
        <v>716.59</v>
      </c>
      <c r="M912" s="75">
        <v>2.3512</v>
      </c>
      <c r="N912" s="75">
        <v>717.7</v>
      </c>
      <c r="O912" s="90" t="str">
        <f>IF(VLOOKUP(UncLookup[[#This Row],[Item]],Items!$A$1:$F$43,2,FALSE)=0,"",VLOOKUP(UncLookup[[#This Row],[Item]],Items!$A$1:$F$43,2,FALSE))</f>
        <v/>
      </c>
      <c r="P912" s="90" t="str">
        <f>IF(VLOOKUP(UncLookup[[#This Row],[Item]],Items!$A$1:$F$43,3,FALSE)=0,"",VLOOKUP(UncLookup[[#This Row],[Item]],Items!$A$1:$F$43,3,FALSE))</f>
        <v/>
      </c>
      <c r="Q912" s="90" t="str">
        <f>IF(VLOOKUP(UncLookup[[#This Row],[Item]],Items!$A$1:$F$43,4,FALSE)=0,"",VLOOKUP(UncLookup[[#This Row],[Item]],Items!$A$1:$F$43,4,FALSE))</f>
        <v/>
      </c>
    </row>
    <row r="913" spans="1:17" x14ac:dyDescent="0.25">
      <c r="A913" s="76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90" t="str">
        <f>IF(VLOOKUP(UncLookup[[#This Row],[Item]],Items!$A$1:$F$43,2,FALSE)=0,"",VLOOKUP(UncLookup[[#This Row],[Item]],Items!$A$1:$F$43,2,FALSE))</f>
        <v/>
      </c>
      <c r="P913" s="90" t="str">
        <f>IF(VLOOKUP(UncLookup[[#This Row],[Item]],Items!$A$1:$F$43,3,FALSE)=0,"",VLOOKUP(UncLookup[[#This Row],[Item]],Items!$A$1:$F$43,3,FALSE))</f>
        <v/>
      </c>
      <c r="Q913" s="90" t="str">
        <f>IF(VLOOKUP(UncLookup[[#This Row],[Item]],Items!$A$1:$F$43,4,FALSE)=0,"",VLOOKUP(UncLookup[[#This Row],[Item]],Items!$A$1:$F$43,4,FALSE))</f>
        <v/>
      </c>
    </row>
    <row r="914" spans="1:17" x14ac:dyDescent="0.25">
      <c r="A914" s="75" t="s">
        <v>56</v>
      </c>
      <c r="B914" s="75" t="s">
        <v>47</v>
      </c>
      <c r="C914" s="75">
        <v>1E-3</v>
      </c>
      <c r="D914" s="75">
        <v>0.01</v>
      </c>
      <c r="E914" s="75">
        <v>9.9999999999999995E-7</v>
      </c>
      <c r="F914" s="75" t="s">
        <v>13</v>
      </c>
      <c r="G914" s="75" t="s">
        <v>11</v>
      </c>
      <c r="H914" s="75">
        <v>0.02</v>
      </c>
      <c r="I914" s="75">
        <v>4.4999999999999998E-2</v>
      </c>
      <c r="J914" s="75" t="s">
        <v>10</v>
      </c>
      <c r="K914" s="75">
        <v>2.7</v>
      </c>
      <c r="L914" s="75">
        <v>1700</v>
      </c>
      <c r="M914" s="75">
        <v>2.3565999999999998</v>
      </c>
      <c r="N914" s="75">
        <v>1728.5</v>
      </c>
      <c r="O914" s="90" t="str">
        <f>IF(VLOOKUP(UncLookup[[#This Row],[Item]],Items!$A$1:$F$43,2,FALSE)=0,"",VLOOKUP(UncLookup[[#This Row],[Item]],Items!$A$1:$F$43,2,FALSE))</f>
        <v/>
      </c>
      <c r="P914" s="90" t="str">
        <f>IF(VLOOKUP(UncLookup[[#This Row],[Item]],Items!$A$1:$F$43,3,FALSE)=0,"",VLOOKUP(UncLookup[[#This Row],[Item]],Items!$A$1:$F$43,3,FALSE))</f>
        <v/>
      </c>
      <c r="Q914" s="90" t="str">
        <f>IF(VLOOKUP(UncLookup[[#This Row],[Item]],Items!$A$1:$F$43,4,FALSE)=0,"",VLOOKUP(UncLookup[[#This Row],[Item]],Items!$A$1:$F$43,4,FALSE))</f>
        <v/>
      </c>
    </row>
    <row r="915" spans="1:17" x14ac:dyDescent="0.25">
      <c r="A915" s="76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90" t="str">
        <f>IF(VLOOKUP(UncLookup[[#This Row],[Item]],Items!$A$1:$F$43,2,FALSE)=0,"",VLOOKUP(UncLookup[[#This Row],[Item]],Items!$A$1:$F$43,2,FALSE))</f>
        <v/>
      </c>
      <c r="P915" s="90" t="str">
        <f>IF(VLOOKUP(UncLookup[[#This Row],[Item]],Items!$A$1:$F$43,3,FALSE)=0,"",VLOOKUP(UncLookup[[#This Row],[Item]],Items!$A$1:$F$43,3,FALSE))</f>
        <v/>
      </c>
      <c r="Q915" s="90" t="str">
        <f>IF(VLOOKUP(UncLookup[[#This Row],[Item]],Items!$A$1:$F$43,4,FALSE)=0,"",VLOOKUP(UncLookup[[#This Row],[Item]],Items!$A$1:$F$43,4,FALSE))</f>
        <v/>
      </c>
    </row>
    <row r="916" spans="1:17" x14ac:dyDescent="0.25">
      <c r="A916" s="75" t="s">
        <v>56</v>
      </c>
      <c r="B916" s="75" t="s">
        <v>47</v>
      </c>
      <c r="C916" s="75">
        <v>1E-3</v>
      </c>
      <c r="D916" s="75">
        <v>0.01</v>
      </c>
      <c r="E916" s="75">
        <v>1.0000000000000001E-5</v>
      </c>
      <c r="F916" s="75" t="s">
        <v>13</v>
      </c>
      <c r="G916" s="75" t="s">
        <v>11</v>
      </c>
      <c r="H916" s="75">
        <v>0.02</v>
      </c>
      <c r="I916" s="75">
        <v>4.4999999999999998E-2</v>
      </c>
      <c r="J916" s="75" t="s">
        <v>10</v>
      </c>
      <c r="K916" s="75">
        <v>5.585</v>
      </c>
      <c r="L916" s="75">
        <v>1492.6</v>
      </c>
      <c r="M916" s="75">
        <v>5.5625999999999998</v>
      </c>
      <c r="N916" s="75">
        <v>1490.9</v>
      </c>
      <c r="O916" s="90" t="str">
        <f>IF(VLOOKUP(UncLookup[[#This Row],[Item]],Items!$A$1:$F$43,2,FALSE)=0,"",VLOOKUP(UncLookup[[#This Row],[Item]],Items!$A$1:$F$43,2,FALSE))</f>
        <v/>
      </c>
      <c r="P916" s="90" t="str">
        <f>IF(VLOOKUP(UncLookup[[#This Row],[Item]],Items!$A$1:$F$43,3,FALSE)=0,"",VLOOKUP(UncLookup[[#This Row],[Item]],Items!$A$1:$F$43,3,FALSE))</f>
        <v/>
      </c>
      <c r="Q916" s="90" t="str">
        <f>IF(VLOOKUP(UncLookup[[#This Row],[Item]],Items!$A$1:$F$43,4,FALSE)=0,"",VLOOKUP(UncLookup[[#This Row],[Item]],Items!$A$1:$F$43,4,FALSE))</f>
        <v/>
      </c>
    </row>
    <row r="917" spans="1:17" x14ac:dyDescent="0.25">
      <c r="A917" s="76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90" t="str">
        <f>IF(VLOOKUP(UncLookup[[#This Row],[Item]],Items!$A$1:$F$43,2,FALSE)=0,"",VLOOKUP(UncLookup[[#This Row],[Item]],Items!$A$1:$F$43,2,FALSE))</f>
        <v/>
      </c>
      <c r="P917" s="90" t="str">
        <f>IF(VLOOKUP(UncLookup[[#This Row],[Item]],Items!$A$1:$F$43,3,FALSE)=0,"",VLOOKUP(UncLookup[[#This Row],[Item]],Items!$A$1:$F$43,3,FALSE))</f>
        <v/>
      </c>
      <c r="Q917" s="90" t="str">
        <f>IF(VLOOKUP(UncLookup[[#This Row],[Item]],Items!$A$1:$F$43,4,FALSE)=0,"",VLOOKUP(UncLookup[[#This Row],[Item]],Items!$A$1:$F$43,4,FALSE))</f>
        <v/>
      </c>
    </row>
    <row r="918" spans="1:17" x14ac:dyDescent="0.25">
      <c r="A918" s="75" t="s">
        <v>56</v>
      </c>
      <c r="B918" s="75" t="s">
        <v>47</v>
      </c>
      <c r="C918" s="75">
        <v>1E-3</v>
      </c>
      <c r="D918" s="75">
        <v>0.01</v>
      </c>
      <c r="E918" s="75">
        <v>1.0000000000000001E-5</v>
      </c>
      <c r="F918" s="75" t="s">
        <v>13</v>
      </c>
      <c r="G918" s="75" t="s">
        <v>11</v>
      </c>
      <c r="H918" s="75">
        <v>20</v>
      </c>
      <c r="I918" s="75">
        <v>50</v>
      </c>
      <c r="J918" s="75" t="s">
        <v>10</v>
      </c>
      <c r="K918" s="75">
        <v>6.3814000000000002</v>
      </c>
      <c r="L918" s="75">
        <v>4600.8</v>
      </c>
      <c r="M918" s="75">
        <v>6.3659999999999997</v>
      </c>
      <c r="N918" s="75">
        <v>4600.8</v>
      </c>
      <c r="O918" s="90" t="str">
        <f>IF(VLOOKUP(UncLookup[[#This Row],[Item]],Items!$A$1:$F$43,2,FALSE)=0,"",VLOOKUP(UncLookup[[#This Row],[Item]],Items!$A$1:$F$43,2,FALSE))</f>
        <v/>
      </c>
      <c r="P918" s="90" t="str">
        <f>IF(VLOOKUP(UncLookup[[#This Row],[Item]],Items!$A$1:$F$43,3,FALSE)=0,"",VLOOKUP(UncLookup[[#This Row],[Item]],Items!$A$1:$F$43,3,FALSE))</f>
        <v/>
      </c>
      <c r="Q918" s="90" t="str">
        <f>IF(VLOOKUP(UncLookup[[#This Row],[Item]],Items!$A$1:$F$43,4,FALSE)=0,"",VLOOKUP(UncLookup[[#This Row],[Item]],Items!$A$1:$F$43,4,FALSE))</f>
        <v/>
      </c>
    </row>
    <row r="919" spans="1:17" x14ac:dyDescent="0.25">
      <c r="A919" s="76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90" t="str">
        <f>IF(VLOOKUP(UncLookup[[#This Row],[Item]],Items!$A$1:$F$43,2,FALSE)=0,"",VLOOKUP(UncLookup[[#This Row],[Item]],Items!$A$1:$F$43,2,FALSE))</f>
        <v/>
      </c>
      <c r="P919" s="90" t="str">
        <f>IF(VLOOKUP(UncLookup[[#This Row],[Item]],Items!$A$1:$F$43,3,FALSE)=0,"",VLOOKUP(UncLookup[[#This Row],[Item]],Items!$A$1:$F$43,3,FALSE))</f>
        <v/>
      </c>
      <c r="Q919" s="90" t="str">
        <f>IF(VLOOKUP(UncLookup[[#This Row],[Item]],Items!$A$1:$F$43,4,FALSE)=0,"",VLOOKUP(UncLookup[[#This Row],[Item]],Items!$A$1:$F$43,4,FALSE))</f>
        <v/>
      </c>
    </row>
    <row r="920" spans="1:17" x14ac:dyDescent="0.25">
      <c r="A920" s="75" t="s">
        <v>56</v>
      </c>
      <c r="B920" s="75" t="s">
        <v>47</v>
      </c>
      <c r="C920" s="75">
        <v>1E-3</v>
      </c>
      <c r="D920" s="75">
        <v>0.01</v>
      </c>
      <c r="E920" s="75">
        <v>1.0000000000000001E-5</v>
      </c>
      <c r="F920" s="75" t="s">
        <v>13</v>
      </c>
      <c r="G920" s="75" t="s">
        <v>11</v>
      </c>
      <c r="H920" s="75">
        <v>0.1</v>
      </c>
      <c r="I920" s="75">
        <v>5</v>
      </c>
      <c r="J920" s="75" t="s">
        <v>10</v>
      </c>
      <c r="K920" s="75">
        <v>6.1658999999999997</v>
      </c>
      <c r="L920" s="75">
        <v>223.94</v>
      </c>
      <c r="M920" s="75">
        <v>6.1471999999999998</v>
      </c>
      <c r="N920" s="75">
        <v>216.14</v>
      </c>
      <c r="O920" s="90" t="str">
        <f>IF(VLOOKUP(UncLookup[[#This Row],[Item]],Items!$A$1:$F$43,2,FALSE)=0,"",VLOOKUP(UncLookup[[#This Row],[Item]],Items!$A$1:$F$43,2,FALSE))</f>
        <v/>
      </c>
      <c r="P920" s="90" t="str">
        <f>IF(VLOOKUP(UncLookup[[#This Row],[Item]],Items!$A$1:$F$43,3,FALSE)=0,"",VLOOKUP(UncLookup[[#This Row],[Item]],Items!$A$1:$F$43,3,FALSE))</f>
        <v/>
      </c>
      <c r="Q920" s="90" t="str">
        <f>IF(VLOOKUP(UncLookup[[#This Row],[Item]],Items!$A$1:$F$43,4,FALSE)=0,"",VLOOKUP(UncLookup[[#This Row],[Item]],Items!$A$1:$F$43,4,FALSE))</f>
        <v/>
      </c>
    </row>
    <row r="921" spans="1:17" x14ac:dyDescent="0.25">
      <c r="A921" s="76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90" t="str">
        <f>IF(VLOOKUP(UncLookup[[#This Row],[Item]],Items!$A$1:$F$43,2,FALSE)=0,"",VLOOKUP(UncLookup[[#This Row],[Item]],Items!$A$1:$F$43,2,FALSE))</f>
        <v/>
      </c>
      <c r="P921" s="90" t="str">
        <f>IF(VLOOKUP(UncLookup[[#This Row],[Item]],Items!$A$1:$F$43,3,FALSE)=0,"",VLOOKUP(UncLookup[[#This Row],[Item]],Items!$A$1:$F$43,3,FALSE))</f>
        <v/>
      </c>
      <c r="Q921" s="90" t="str">
        <f>IF(VLOOKUP(UncLookup[[#This Row],[Item]],Items!$A$1:$F$43,4,FALSE)=0,"",VLOOKUP(UncLookup[[#This Row],[Item]],Items!$A$1:$F$43,4,FALSE))</f>
        <v/>
      </c>
    </row>
    <row r="922" spans="1:17" x14ac:dyDescent="0.25">
      <c r="A922" s="75" t="s">
        <v>56</v>
      </c>
      <c r="B922" s="75" t="s">
        <v>47</v>
      </c>
      <c r="C922" s="75">
        <v>1E-3</v>
      </c>
      <c r="D922" s="75">
        <v>0.01</v>
      </c>
      <c r="E922" s="75">
        <v>1E-4</v>
      </c>
      <c r="F922" s="75" t="s">
        <v>13</v>
      </c>
      <c r="G922" s="75" t="s">
        <v>11</v>
      </c>
      <c r="H922" s="75">
        <v>0.02</v>
      </c>
      <c r="I922" s="75">
        <v>4.4999999999999998E-2</v>
      </c>
      <c r="J922" s="75" t="s">
        <v>10</v>
      </c>
      <c r="K922" s="75">
        <v>57.540999999999997</v>
      </c>
      <c r="L922" s="75">
        <v>350.7</v>
      </c>
      <c r="M922" s="75">
        <v>57.533999999999999</v>
      </c>
      <c r="N922" s="75">
        <v>346.11</v>
      </c>
      <c r="O922" s="90" t="str">
        <f>IF(VLOOKUP(UncLookup[[#This Row],[Item]],Items!$A$1:$F$43,2,FALSE)=0,"",VLOOKUP(UncLookup[[#This Row],[Item]],Items!$A$1:$F$43,2,FALSE))</f>
        <v/>
      </c>
      <c r="P922" s="90" t="str">
        <f>IF(VLOOKUP(UncLookup[[#This Row],[Item]],Items!$A$1:$F$43,3,FALSE)=0,"",VLOOKUP(UncLookup[[#This Row],[Item]],Items!$A$1:$F$43,3,FALSE))</f>
        <v/>
      </c>
      <c r="Q922" s="90" t="str">
        <f>IF(VLOOKUP(UncLookup[[#This Row],[Item]],Items!$A$1:$F$43,4,FALSE)=0,"",VLOOKUP(UncLookup[[#This Row],[Item]],Items!$A$1:$F$43,4,FALSE))</f>
        <v/>
      </c>
    </row>
    <row r="923" spans="1:17" x14ac:dyDescent="0.25">
      <c r="A923" s="76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90" t="str">
        <f>IF(VLOOKUP(UncLookup[[#This Row],[Item]],Items!$A$1:$F$43,2,FALSE)=0,"",VLOOKUP(UncLookup[[#This Row],[Item]],Items!$A$1:$F$43,2,FALSE))</f>
        <v/>
      </c>
      <c r="P923" s="90" t="str">
        <f>IF(VLOOKUP(UncLookup[[#This Row],[Item]],Items!$A$1:$F$43,3,FALSE)=0,"",VLOOKUP(UncLookup[[#This Row],[Item]],Items!$A$1:$F$43,3,FALSE))</f>
        <v/>
      </c>
      <c r="Q923" s="90" t="str">
        <f>IF(VLOOKUP(UncLookup[[#This Row],[Item]],Items!$A$1:$F$43,4,FALSE)=0,"",VLOOKUP(UncLookup[[#This Row],[Item]],Items!$A$1:$F$43,4,FALSE))</f>
        <v/>
      </c>
    </row>
    <row r="924" spans="1:17" x14ac:dyDescent="0.25">
      <c r="A924" s="75" t="s">
        <v>56</v>
      </c>
      <c r="B924" s="75" t="s">
        <v>47</v>
      </c>
      <c r="C924" s="75">
        <v>1E-3</v>
      </c>
      <c r="D924" s="75">
        <v>0.01</v>
      </c>
      <c r="E924" s="75">
        <v>1E-4</v>
      </c>
      <c r="F924" s="75" t="s">
        <v>13</v>
      </c>
      <c r="G924" s="75" t="s">
        <v>11</v>
      </c>
      <c r="H924" s="75">
        <v>5</v>
      </c>
      <c r="I924" s="75">
        <v>20</v>
      </c>
      <c r="J924" s="75" t="s">
        <v>10</v>
      </c>
      <c r="K924" s="75">
        <v>57.744999999999997</v>
      </c>
      <c r="L924" s="75">
        <v>83.688999999999993</v>
      </c>
      <c r="M924" s="75">
        <v>57.738</v>
      </c>
      <c r="N924" s="75">
        <v>78.852999999999994</v>
      </c>
      <c r="O924" s="90" t="str">
        <f>IF(VLOOKUP(UncLookup[[#This Row],[Item]],Items!$A$1:$F$43,2,FALSE)=0,"",VLOOKUP(UncLookup[[#This Row],[Item]],Items!$A$1:$F$43,2,FALSE))</f>
        <v/>
      </c>
      <c r="P924" s="90" t="str">
        <f>IF(VLOOKUP(UncLookup[[#This Row],[Item]],Items!$A$1:$F$43,3,FALSE)=0,"",VLOOKUP(UncLookup[[#This Row],[Item]],Items!$A$1:$F$43,3,FALSE))</f>
        <v/>
      </c>
      <c r="Q924" s="90" t="str">
        <f>IF(VLOOKUP(UncLookup[[#This Row],[Item]],Items!$A$1:$F$43,4,FALSE)=0,"",VLOOKUP(UncLookup[[#This Row],[Item]],Items!$A$1:$F$43,4,FALSE))</f>
        <v/>
      </c>
    </row>
    <row r="925" spans="1:17" x14ac:dyDescent="0.25">
      <c r="A925" s="76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90" t="str">
        <f>IF(VLOOKUP(UncLookup[[#This Row],[Item]],Items!$A$1:$F$43,2,FALSE)=0,"",VLOOKUP(UncLookup[[#This Row],[Item]],Items!$A$1:$F$43,2,FALSE))</f>
        <v/>
      </c>
      <c r="P925" s="90" t="str">
        <f>IF(VLOOKUP(UncLookup[[#This Row],[Item]],Items!$A$1:$F$43,3,FALSE)=0,"",VLOOKUP(UncLookup[[#This Row],[Item]],Items!$A$1:$F$43,3,FALSE))</f>
        <v/>
      </c>
      <c r="Q925" s="90" t="str">
        <f>IF(VLOOKUP(UncLookup[[#This Row],[Item]],Items!$A$1:$F$43,4,FALSE)=0,"",VLOOKUP(UncLookup[[#This Row],[Item]],Items!$A$1:$F$43,4,FALSE))</f>
        <v/>
      </c>
    </row>
    <row r="926" spans="1:17" x14ac:dyDescent="0.25">
      <c r="A926" s="75" t="s">
        <v>56</v>
      </c>
      <c r="B926" s="75" t="s">
        <v>47</v>
      </c>
      <c r="C926" s="75">
        <v>1E-3</v>
      </c>
      <c r="D926" s="75">
        <v>0.01</v>
      </c>
      <c r="E926" s="75">
        <v>1E-4</v>
      </c>
      <c r="F926" s="75" t="s">
        <v>13</v>
      </c>
      <c r="G926" s="75" t="s">
        <v>11</v>
      </c>
      <c r="H926" s="75">
        <v>50</v>
      </c>
      <c r="I926" s="75">
        <v>100</v>
      </c>
      <c r="J926" s="75" t="s">
        <v>10</v>
      </c>
      <c r="K926" s="75">
        <v>58.261000000000003</v>
      </c>
      <c r="L926" s="75">
        <v>4342.2</v>
      </c>
      <c r="M926" s="75">
        <v>58.146000000000001</v>
      </c>
      <c r="N926" s="75">
        <v>4318.8</v>
      </c>
      <c r="O926" s="90" t="str">
        <f>IF(VLOOKUP(UncLookup[[#This Row],[Item]],Items!$A$1:$F$43,2,FALSE)=0,"",VLOOKUP(UncLookup[[#This Row],[Item]],Items!$A$1:$F$43,2,FALSE))</f>
        <v/>
      </c>
      <c r="P926" s="90" t="str">
        <f>IF(VLOOKUP(UncLookup[[#This Row],[Item]],Items!$A$1:$F$43,3,FALSE)=0,"",VLOOKUP(UncLookup[[#This Row],[Item]],Items!$A$1:$F$43,3,FALSE))</f>
        <v/>
      </c>
      <c r="Q926" s="90" t="str">
        <f>IF(VLOOKUP(UncLookup[[#This Row],[Item]],Items!$A$1:$F$43,4,FALSE)=0,"",VLOOKUP(UncLookup[[#This Row],[Item]],Items!$A$1:$F$43,4,FALSE))</f>
        <v/>
      </c>
    </row>
    <row r="927" spans="1:17" x14ac:dyDescent="0.25">
      <c r="A927" s="76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90" t="str">
        <f>IF(VLOOKUP(UncLookup[[#This Row],[Item]],Items!$A$1:$F$43,2,FALSE)=0,"",VLOOKUP(UncLookup[[#This Row],[Item]],Items!$A$1:$F$43,2,FALSE))</f>
        <v/>
      </c>
      <c r="P927" s="90" t="str">
        <f>IF(VLOOKUP(UncLookup[[#This Row],[Item]],Items!$A$1:$F$43,3,FALSE)=0,"",VLOOKUP(UncLookup[[#This Row],[Item]],Items!$A$1:$F$43,3,FALSE))</f>
        <v/>
      </c>
      <c r="Q927" s="90" t="str">
        <f>IF(VLOOKUP(UncLookup[[#This Row],[Item]],Items!$A$1:$F$43,4,FALSE)=0,"",VLOOKUP(UncLookup[[#This Row],[Item]],Items!$A$1:$F$43,4,FALSE))</f>
        <v/>
      </c>
    </row>
    <row r="928" spans="1:17" x14ac:dyDescent="0.25">
      <c r="A928" s="75" t="s">
        <v>56</v>
      </c>
      <c r="B928" s="75" t="s">
        <v>47</v>
      </c>
      <c r="C928" s="75">
        <v>1E-3</v>
      </c>
      <c r="D928" s="75">
        <v>0.01</v>
      </c>
      <c r="E928" s="75">
        <v>1E-4</v>
      </c>
      <c r="F928" s="75" t="s">
        <v>13</v>
      </c>
      <c r="G928" s="75" t="s">
        <v>11</v>
      </c>
      <c r="H928" s="75">
        <v>1E-3</v>
      </c>
      <c r="I928" s="75">
        <v>0.02</v>
      </c>
      <c r="J928" s="75" t="s">
        <v>10</v>
      </c>
      <c r="K928" s="75">
        <v>56.243000000000002</v>
      </c>
      <c r="L928" s="75">
        <v>1921.2</v>
      </c>
      <c r="M928" s="75">
        <v>56.234999999999999</v>
      </c>
      <c r="N928" s="75">
        <v>1917.8</v>
      </c>
      <c r="O928" s="90" t="str">
        <f>IF(VLOOKUP(UncLookup[[#This Row],[Item]],Items!$A$1:$F$43,2,FALSE)=0,"",VLOOKUP(UncLookup[[#This Row],[Item]],Items!$A$1:$F$43,2,FALSE))</f>
        <v/>
      </c>
      <c r="P928" s="90" t="str">
        <f>IF(VLOOKUP(UncLookup[[#This Row],[Item]],Items!$A$1:$F$43,3,FALSE)=0,"",VLOOKUP(UncLookup[[#This Row],[Item]],Items!$A$1:$F$43,3,FALSE))</f>
        <v/>
      </c>
      <c r="Q928" s="90" t="str">
        <f>IF(VLOOKUP(UncLookup[[#This Row],[Item]],Items!$A$1:$F$43,4,FALSE)=0,"",VLOOKUP(UncLookup[[#This Row],[Item]],Items!$A$1:$F$43,4,FALSE))</f>
        <v/>
      </c>
    </row>
    <row r="929" spans="1:17" x14ac:dyDescent="0.25">
      <c r="A929" s="76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90" t="str">
        <f>IF(VLOOKUP(UncLookup[[#This Row],[Item]],Items!$A$1:$F$43,2,FALSE)=0,"",VLOOKUP(UncLookup[[#This Row],[Item]],Items!$A$1:$F$43,2,FALSE))</f>
        <v/>
      </c>
      <c r="P929" s="90" t="str">
        <f>IF(VLOOKUP(UncLookup[[#This Row],[Item]],Items!$A$1:$F$43,3,FALSE)=0,"",VLOOKUP(UncLookup[[#This Row],[Item]],Items!$A$1:$F$43,3,FALSE))</f>
        <v/>
      </c>
      <c r="Q929" s="90" t="str">
        <f>IF(VLOOKUP(UncLookup[[#This Row],[Item]],Items!$A$1:$F$43,4,FALSE)=0,"",VLOOKUP(UncLookup[[#This Row],[Item]],Items!$A$1:$F$43,4,FALSE))</f>
        <v/>
      </c>
    </row>
    <row r="930" spans="1:17" x14ac:dyDescent="0.25">
      <c r="A930" s="75" t="s">
        <v>56</v>
      </c>
      <c r="B930" s="75" t="s">
        <v>47</v>
      </c>
      <c r="C930" s="75">
        <v>0.01</v>
      </c>
      <c r="D930" s="75">
        <v>0.1</v>
      </c>
      <c r="E930" s="75">
        <v>9.9999999999999995E-8</v>
      </c>
      <c r="F930" s="75" t="s">
        <v>13</v>
      </c>
      <c r="G930" s="75" t="s">
        <v>11</v>
      </c>
      <c r="H930" s="75">
        <v>4.4999999999999998E-2</v>
      </c>
      <c r="I930" s="75">
        <v>0.1</v>
      </c>
      <c r="J930" s="75" t="s">
        <v>10</v>
      </c>
      <c r="K930" s="75">
        <v>24</v>
      </c>
      <c r="L930" s="75">
        <v>690</v>
      </c>
      <c r="M930" s="75">
        <v>23.094000000000001</v>
      </c>
      <c r="N930" s="75">
        <v>693.05</v>
      </c>
      <c r="O930" s="90" t="str">
        <f>IF(VLOOKUP(UncLookup[[#This Row],[Item]],Items!$A$1:$F$43,2,FALSE)=0,"",VLOOKUP(UncLookup[[#This Row],[Item]],Items!$A$1:$F$43,2,FALSE))</f>
        <v/>
      </c>
      <c r="P930" s="90" t="str">
        <f>IF(VLOOKUP(UncLookup[[#This Row],[Item]],Items!$A$1:$F$43,3,FALSE)=0,"",VLOOKUP(UncLookup[[#This Row],[Item]],Items!$A$1:$F$43,3,FALSE))</f>
        <v/>
      </c>
      <c r="Q930" s="90" t="str">
        <f>IF(VLOOKUP(UncLookup[[#This Row],[Item]],Items!$A$1:$F$43,4,FALSE)=0,"",VLOOKUP(UncLookup[[#This Row],[Item]],Items!$A$1:$F$43,4,FALSE))</f>
        <v/>
      </c>
    </row>
    <row r="931" spans="1:17" x14ac:dyDescent="0.25">
      <c r="A931" s="76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90" t="str">
        <f>IF(VLOOKUP(UncLookup[[#This Row],[Item]],Items!$A$1:$F$43,2,FALSE)=0,"",VLOOKUP(UncLookup[[#This Row],[Item]],Items!$A$1:$F$43,2,FALSE))</f>
        <v/>
      </c>
      <c r="P931" s="90" t="str">
        <f>IF(VLOOKUP(UncLookup[[#This Row],[Item]],Items!$A$1:$F$43,3,FALSE)=0,"",VLOOKUP(UncLookup[[#This Row],[Item]],Items!$A$1:$F$43,3,FALSE))</f>
        <v/>
      </c>
      <c r="Q931" s="90" t="str">
        <f>IF(VLOOKUP(UncLookup[[#This Row],[Item]],Items!$A$1:$F$43,4,FALSE)=0,"",VLOOKUP(UncLookup[[#This Row],[Item]],Items!$A$1:$F$43,4,FALSE))</f>
        <v/>
      </c>
    </row>
    <row r="932" spans="1:17" x14ac:dyDescent="0.25">
      <c r="A932" s="75" t="s">
        <v>56</v>
      </c>
      <c r="B932" s="75" t="s">
        <v>47</v>
      </c>
      <c r="C932" s="75">
        <v>0.01</v>
      </c>
      <c r="D932" s="75">
        <v>0.1</v>
      </c>
      <c r="E932" s="75">
        <v>9.9999999999999995E-8</v>
      </c>
      <c r="F932" s="75" t="s">
        <v>13</v>
      </c>
      <c r="G932" s="75" t="s">
        <v>11</v>
      </c>
      <c r="H932" s="75">
        <v>20</v>
      </c>
      <c r="I932" s="75">
        <v>50</v>
      </c>
      <c r="J932" s="75" t="s">
        <v>10</v>
      </c>
      <c r="K932" s="75">
        <v>51</v>
      </c>
      <c r="L932" s="75">
        <v>4700</v>
      </c>
      <c r="M932" s="75">
        <v>45.601999999999997</v>
      </c>
      <c r="N932" s="75">
        <v>4746.8999999999996</v>
      </c>
      <c r="O932" s="90" t="str">
        <f>IF(VLOOKUP(UncLookup[[#This Row],[Item]],Items!$A$1:$F$43,2,FALSE)=0,"",VLOOKUP(UncLookup[[#This Row],[Item]],Items!$A$1:$F$43,2,FALSE))</f>
        <v/>
      </c>
      <c r="P932" s="90" t="str">
        <f>IF(VLOOKUP(UncLookup[[#This Row],[Item]],Items!$A$1:$F$43,3,FALSE)=0,"",VLOOKUP(UncLookup[[#This Row],[Item]],Items!$A$1:$F$43,3,FALSE))</f>
        <v/>
      </c>
      <c r="Q932" s="90" t="str">
        <f>IF(VLOOKUP(UncLookup[[#This Row],[Item]],Items!$A$1:$F$43,4,FALSE)=0,"",VLOOKUP(UncLookup[[#This Row],[Item]],Items!$A$1:$F$43,4,FALSE))</f>
        <v/>
      </c>
    </row>
    <row r="933" spans="1:17" x14ac:dyDescent="0.25">
      <c r="A933" s="76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90" t="str">
        <f>IF(VLOOKUP(UncLookup[[#This Row],[Item]],Items!$A$1:$F$43,2,FALSE)=0,"",VLOOKUP(UncLookup[[#This Row],[Item]],Items!$A$1:$F$43,2,FALSE))</f>
        <v/>
      </c>
      <c r="P933" s="90" t="str">
        <f>IF(VLOOKUP(UncLookup[[#This Row],[Item]],Items!$A$1:$F$43,3,FALSE)=0,"",VLOOKUP(UncLookup[[#This Row],[Item]],Items!$A$1:$F$43,3,FALSE))</f>
        <v/>
      </c>
      <c r="Q933" s="90" t="str">
        <f>IF(VLOOKUP(UncLookup[[#This Row],[Item]],Items!$A$1:$F$43,4,FALSE)=0,"",VLOOKUP(UncLookup[[#This Row],[Item]],Items!$A$1:$F$43,4,FALSE))</f>
        <v/>
      </c>
    </row>
    <row r="934" spans="1:17" x14ac:dyDescent="0.25">
      <c r="A934" s="75" t="s">
        <v>56</v>
      </c>
      <c r="B934" s="75" t="s">
        <v>47</v>
      </c>
      <c r="C934" s="75">
        <v>0.01</v>
      </c>
      <c r="D934" s="75">
        <v>0.1</v>
      </c>
      <c r="E934" s="75">
        <v>9.9999999999999995E-8</v>
      </c>
      <c r="F934" s="75" t="s">
        <v>13</v>
      </c>
      <c r="G934" s="75" t="s">
        <v>11</v>
      </c>
      <c r="H934" s="75">
        <v>1E-3</v>
      </c>
      <c r="I934" s="75">
        <v>0.02</v>
      </c>
      <c r="J934" s="75" t="s">
        <v>10</v>
      </c>
      <c r="K934" s="75">
        <v>25</v>
      </c>
      <c r="L934" s="75">
        <v>4600</v>
      </c>
      <c r="M934" s="75">
        <v>23.094999999999999</v>
      </c>
      <c r="N934" s="75">
        <v>4618.8</v>
      </c>
      <c r="O934" s="90" t="str">
        <f>IF(VLOOKUP(UncLookup[[#This Row],[Item]],Items!$A$1:$F$43,2,FALSE)=0,"",VLOOKUP(UncLookup[[#This Row],[Item]],Items!$A$1:$F$43,2,FALSE))</f>
        <v/>
      </c>
      <c r="P934" s="90" t="str">
        <f>IF(VLOOKUP(UncLookup[[#This Row],[Item]],Items!$A$1:$F$43,3,FALSE)=0,"",VLOOKUP(UncLookup[[#This Row],[Item]],Items!$A$1:$F$43,3,FALSE))</f>
        <v/>
      </c>
      <c r="Q934" s="90" t="str">
        <f>IF(VLOOKUP(UncLookup[[#This Row],[Item]],Items!$A$1:$F$43,4,FALSE)=0,"",VLOOKUP(UncLookup[[#This Row],[Item]],Items!$A$1:$F$43,4,FALSE))</f>
        <v/>
      </c>
    </row>
    <row r="935" spans="1:17" x14ac:dyDescent="0.25">
      <c r="A935" s="76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90" t="str">
        <f>IF(VLOOKUP(UncLookup[[#This Row],[Item]],Items!$A$1:$F$43,2,FALSE)=0,"",VLOOKUP(UncLookup[[#This Row],[Item]],Items!$A$1:$F$43,2,FALSE))</f>
        <v/>
      </c>
      <c r="P935" s="90" t="str">
        <f>IF(VLOOKUP(UncLookup[[#This Row],[Item]],Items!$A$1:$F$43,3,FALSE)=0,"",VLOOKUP(UncLookup[[#This Row],[Item]],Items!$A$1:$F$43,3,FALSE))</f>
        <v/>
      </c>
      <c r="Q935" s="90" t="str">
        <f>IF(VLOOKUP(UncLookup[[#This Row],[Item]],Items!$A$1:$F$43,4,FALSE)=0,"",VLOOKUP(UncLookup[[#This Row],[Item]],Items!$A$1:$F$43,4,FALSE))</f>
        <v/>
      </c>
    </row>
    <row r="936" spans="1:17" x14ac:dyDescent="0.25">
      <c r="A936" s="75" t="s">
        <v>56</v>
      </c>
      <c r="B936" s="75" t="s">
        <v>47</v>
      </c>
      <c r="C936" s="75">
        <v>0.01</v>
      </c>
      <c r="D936" s="75">
        <v>0.1</v>
      </c>
      <c r="E936" s="75">
        <v>9.9999999999999995E-7</v>
      </c>
      <c r="F936" s="75" t="s">
        <v>13</v>
      </c>
      <c r="G936" s="75" t="s">
        <v>11</v>
      </c>
      <c r="H936" s="75">
        <v>50</v>
      </c>
      <c r="I936" s="75">
        <v>100</v>
      </c>
      <c r="J936" s="75" t="s">
        <v>10</v>
      </c>
      <c r="K936" s="75">
        <v>190</v>
      </c>
      <c r="L936" s="75">
        <v>6538.1</v>
      </c>
      <c r="M936" s="75">
        <v>171.63</v>
      </c>
      <c r="N936" s="75">
        <v>6602.5</v>
      </c>
      <c r="O936" s="90" t="str">
        <f>IF(VLOOKUP(UncLookup[[#This Row],[Item]],Items!$A$1:$F$43,2,FALSE)=0,"",VLOOKUP(UncLookup[[#This Row],[Item]],Items!$A$1:$F$43,2,FALSE))</f>
        <v/>
      </c>
      <c r="P936" s="90" t="str">
        <f>IF(VLOOKUP(UncLookup[[#This Row],[Item]],Items!$A$1:$F$43,3,FALSE)=0,"",VLOOKUP(UncLookup[[#This Row],[Item]],Items!$A$1:$F$43,3,FALSE))</f>
        <v/>
      </c>
      <c r="Q936" s="90" t="str">
        <f>IF(VLOOKUP(UncLookup[[#This Row],[Item]],Items!$A$1:$F$43,4,FALSE)=0,"",VLOOKUP(UncLookup[[#This Row],[Item]],Items!$A$1:$F$43,4,FALSE))</f>
        <v/>
      </c>
    </row>
    <row r="937" spans="1:17" x14ac:dyDescent="0.25">
      <c r="A937" s="76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90" t="str">
        <f>IF(VLOOKUP(UncLookup[[#This Row],[Item]],Items!$A$1:$F$43,2,FALSE)=0,"",VLOOKUP(UncLookup[[#This Row],[Item]],Items!$A$1:$F$43,2,FALSE))</f>
        <v/>
      </c>
      <c r="P937" s="90" t="str">
        <f>IF(VLOOKUP(UncLookup[[#This Row],[Item]],Items!$A$1:$F$43,3,FALSE)=0,"",VLOOKUP(UncLookup[[#This Row],[Item]],Items!$A$1:$F$43,3,FALSE))</f>
        <v/>
      </c>
      <c r="Q937" s="90" t="str">
        <f>IF(VLOOKUP(UncLookup[[#This Row],[Item]],Items!$A$1:$F$43,4,FALSE)=0,"",VLOOKUP(UncLookup[[#This Row],[Item]],Items!$A$1:$F$43,4,FALSE))</f>
        <v/>
      </c>
    </row>
    <row r="938" spans="1:17" x14ac:dyDescent="0.25">
      <c r="A938" s="75" t="s">
        <v>56</v>
      </c>
      <c r="B938" s="75" t="s">
        <v>47</v>
      </c>
      <c r="C938" s="75">
        <v>0.01</v>
      </c>
      <c r="D938" s="75">
        <v>0.1</v>
      </c>
      <c r="E938" s="75">
        <v>9.9999999999999995E-7</v>
      </c>
      <c r="F938" s="75" t="s">
        <v>13</v>
      </c>
      <c r="G938" s="75" t="s">
        <v>11</v>
      </c>
      <c r="H938" s="75">
        <v>0.1</v>
      </c>
      <c r="I938" s="75">
        <v>5</v>
      </c>
      <c r="J938" s="75" t="s">
        <v>10</v>
      </c>
      <c r="K938" s="75">
        <v>25</v>
      </c>
      <c r="L938" s="75">
        <v>355.17</v>
      </c>
      <c r="M938" s="75">
        <v>22.960999999999999</v>
      </c>
      <c r="N938" s="75">
        <v>364.62</v>
      </c>
      <c r="O938" s="90" t="str">
        <f>IF(VLOOKUP(UncLookup[[#This Row],[Item]],Items!$A$1:$F$43,2,FALSE)=0,"",VLOOKUP(UncLookup[[#This Row],[Item]],Items!$A$1:$F$43,2,FALSE))</f>
        <v/>
      </c>
      <c r="P938" s="90" t="str">
        <f>IF(VLOOKUP(UncLookup[[#This Row],[Item]],Items!$A$1:$F$43,3,FALSE)=0,"",VLOOKUP(UncLookup[[#This Row],[Item]],Items!$A$1:$F$43,3,FALSE))</f>
        <v/>
      </c>
      <c r="Q938" s="90" t="str">
        <f>IF(VLOOKUP(UncLookup[[#This Row],[Item]],Items!$A$1:$F$43,4,FALSE)=0,"",VLOOKUP(UncLookup[[#This Row],[Item]],Items!$A$1:$F$43,4,FALSE))</f>
        <v/>
      </c>
    </row>
    <row r="939" spans="1:17" x14ac:dyDescent="0.25">
      <c r="A939" s="76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90" t="str">
        <f>IF(VLOOKUP(UncLookup[[#This Row],[Item]],Items!$A$1:$F$43,2,FALSE)=0,"",VLOOKUP(UncLookup[[#This Row],[Item]],Items!$A$1:$F$43,2,FALSE))</f>
        <v/>
      </c>
      <c r="P939" s="90" t="str">
        <f>IF(VLOOKUP(UncLookup[[#This Row],[Item]],Items!$A$1:$F$43,3,FALSE)=0,"",VLOOKUP(UncLookup[[#This Row],[Item]],Items!$A$1:$F$43,3,FALSE))</f>
        <v/>
      </c>
      <c r="Q939" s="90" t="str">
        <f>IF(VLOOKUP(UncLookup[[#This Row],[Item]],Items!$A$1:$F$43,4,FALSE)=0,"",VLOOKUP(UncLookup[[#This Row],[Item]],Items!$A$1:$F$43,4,FALSE))</f>
        <v/>
      </c>
    </row>
    <row r="940" spans="1:17" x14ac:dyDescent="0.25">
      <c r="A940" s="75" t="s">
        <v>56</v>
      </c>
      <c r="B940" s="75" t="s">
        <v>47</v>
      </c>
      <c r="C940" s="75">
        <v>0.01</v>
      </c>
      <c r="D940" s="75">
        <v>0.1</v>
      </c>
      <c r="E940" s="75">
        <v>9.9999999999999995E-7</v>
      </c>
      <c r="F940" s="75" t="s">
        <v>13</v>
      </c>
      <c r="G940" s="75" t="s">
        <v>11</v>
      </c>
      <c r="H940" s="75">
        <v>4.4999999999999998E-2</v>
      </c>
      <c r="I940" s="75">
        <v>0.1</v>
      </c>
      <c r="J940" s="75" t="s">
        <v>10</v>
      </c>
      <c r="K940" s="75">
        <v>24</v>
      </c>
      <c r="L940" s="75">
        <v>690</v>
      </c>
      <c r="M940" s="75">
        <v>23.103000000000002</v>
      </c>
      <c r="N940" s="75">
        <v>693.03</v>
      </c>
      <c r="O940" s="90" t="str">
        <f>IF(VLOOKUP(UncLookup[[#This Row],[Item]],Items!$A$1:$F$43,2,FALSE)=0,"",VLOOKUP(UncLookup[[#This Row],[Item]],Items!$A$1:$F$43,2,FALSE))</f>
        <v/>
      </c>
      <c r="P940" s="90" t="str">
        <f>IF(VLOOKUP(UncLookup[[#This Row],[Item]],Items!$A$1:$F$43,3,FALSE)=0,"",VLOOKUP(UncLookup[[#This Row],[Item]],Items!$A$1:$F$43,3,FALSE))</f>
        <v/>
      </c>
      <c r="Q940" s="90" t="str">
        <f>IF(VLOOKUP(UncLookup[[#This Row],[Item]],Items!$A$1:$F$43,4,FALSE)=0,"",VLOOKUP(UncLookup[[#This Row],[Item]],Items!$A$1:$F$43,4,FALSE))</f>
        <v/>
      </c>
    </row>
    <row r="941" spans="1:17" x14ac:dyDescent="0.25">
      <c r="A941" s="76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90" t="str">
        <f>IF(VLOOKUP(UncLookup[[#This Row],[Item]],Items!$A$1:$F$43,2,FALSE)=0,"",VLOOKUP(UncLookup[[#This Row],[Item]],Items!$A$1:$F$43,2,FALSE))</f>
        <v/>
      </c>
      <c r="P941" s="90" t="str">
        <f>IF(VLOOKUP(UncLookup[[#This Row],[Item]],Items!$A$1:$F$43,3,FALSE)=0,"",VLOOKUP(UncLookup[[#This Row],[Item]],Items!$A$1:$F$43,3,FALSE))</f>
        <v/>
      </c>
      <c r="Q941" s="90" t="str">
        <f>IF(VLOOKUP(UncLookup[[#This Row],[Item]],Items!$A$1:$F$43,4,FALSE)=0,"",VLOOKUP(UncLookup[[#This Row],[Item]],Items!$A$1:$F$43,4,FALSE))</f>
        <v/>
      </c>
    </row>
    <row r="942" spans="1:17" x14ac:dyDescent="0.25">
      <c r="A942" s="75" t="s">
        <v>56</v>
      </c>
      <c r="B942" s="75" t="s">
        <v>47</v>
      </c>
      <c r="C942" s="75">
        <v>0.01</v>
      </c>
      <c r="D942" s="75">
        <v>0.1</v>
      </c>
      <c r="E942" s="75">
        <v>9.9999999999999995E-7</v>
      </c>
      <c r="F942" s="75" t="s">
        <v>13</v>
      </c>
      <c r="G942" s="75" t="s">
        <v>11</v>
      </c>
      <c r="H942" s="75">
        <v>5</v>
      </c>
      <c r="I942" s="75">
        <v>20</v>
      </c>
      <c r="J942" s="75" t="s">
        <v>10</v>
      </c>
      <c r="K942" s="75">
        <v>25</v>
      </c>
      <c r="L942" s="75">
        <v>712.1</v>
      </c>
      <c r="M942" s="75">
        <v>22.9</v>
      </c>
      <c r="N942" s="75">
        <v>721.62</v>
      </c>
      <c r="O942" s="90" t="str">
        <f>IF(VLOOKUP(UncLookup[[#This Row],[Item]],Items!$A$1:$F$43,2,FALSE)=0,"",VLOOKUP(UncLookup[[#This Row],[Item]],Items!$A$1:$F$43,2,FALSE))</f>
        <v/>
      </c>
      <c r="P942" s="90" t="str">
        <f>IF(VLOOKUP(UncLookup[[#This Row],[Item]],Items!$A$1:$F$43,3,FALSE)=0,"",VLOOKUP(UncLookup[[#This Row],[Item]],Items!$A$1:$F$43,3,FALSE))</f>
        <v/>
      </c>
      <c r="Q942" s="90" t="str">
        <f>IF(VLOOKUP(UncLookup[[#This Row],[Item]],Items!$A$1:$F$43,4,FALSE)=0,"",VLOOKUP(UncLookup[[#This Row],[Item]],Items!$A$1:$F$43,4,FALSE))</f>
        <v/>
      </c>
    </row>
    <row r="943" spans="1:17" x14ac:dyDescent="0.25">
      <c r="A943" s="76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90" t="str">
        <f>IF(VLOOKUP(UncLookup[[#This Row],[Item]],Items!$A$1:$F$43,2,FALSE)=0,"",VLOOKUP(UncLookup[[#This Row],[Item]],Items!$A$1:$F$43,2,FALSE))</f>
        <v/>
      </c>
      <c r="P943" s="90" t="str">
        <f>IF(VLOOKUP(UncLookup[[#This Row],[Item]],Items!$A$1:$F$43,3,FALSE)=0,"",VLOOKUP(UncLookup[[#This Row],[Item]],Items!$A$1:$F$43,3,FALSE))</f>
        <v/>
      </c>
      <c r="Q943" s="90" t="str">
        <f>IF(VLOOKUP(UncLookup[[#This Row],[Item]],Items!$A$1:$F$43,4,FALSE)=0,"",VLOOKUP(UncLookup[[#This Row],[Item]],Items!$A$1:$F$43,4,FALSE))</f>
        <v/>
      </c>
    </row>
    <row r="944" spans="1:17" x14ac:dyDescent="0.25">
      <c r="A944" s="75" t="s">
        <v>56</v>
      </c>
      <c r="B944" s="75" t="s">
        <v>47</v>
      </c>
      <c r="C944" s="75">
        <v>0.01</v>
      </c>
      <c r="D944" s="75">
        <v>0.1</v>
      </c>
      <c r="E944" s="75">
        <v>1.0000000000000001E-5</v>
      </c>
      <c r="F944" s="75" t="s">
        <v>13</v>
      </c>
      <c r="G944" s="75" t="s">
        <v>11</v>
      </c>
      <c r="H944" s="75">
        <v>50</v>
      </c>
      <c r="I944" s="75">
        <v>100</v>
      </c>
      <c r="J944" s="75" t="s">
        <v>10</v>
      </c>
      <c r="K944" s="75">
        <v>190</v>
      </c>
      <c r="L944" s="75">
        <v>6565.8</v>
      </c>
      <c r="M944" s="75">
        <v>179.15</v>
      </c>
      <c r="N944" s="75">
        <v>6551.2</v>
      </c>
      <c r="O944" s="90" t="str">
        <f>IF(VLOOKUP(UncLookup[[#This Row],[Item]],Items!$A$1:$F$43,2,FALSE)=0,"",VLOOKUP(UncLookup[[#This Row],[Item]],Items!$A$1:$F$43,2,FALSE))</f>
        <v/>
      </c>
      <c r="P944" s="90" t="str">
        <f>IF(VLOOKUP(UncLookup[[#This Row],[Item]],Items!$A$1:$F$43,3,FALSE)=0,"",VLOOKUP(UncLookup[[#This Row],[Item]],Items!$A$1:$F$43,3,FALSE))</f>
        <v/>
      </c>
      <c r="Q944" s="90" t="str">
        <f>IF(VLOOKUP(UncLookup[[#This Row],[Item]],Items!$A$1:$F$43,4,FALSE)=0,"",VLOOKUP(UncLookup[[#This Row],[Item]],Items!$A$1:$F$43,4,FALSE))</f>
        <v/>
      </c>
    </row>
    <row r="945" spans="1:17" x14ac:dyDescent="0.25">
      <c r="A945" s="76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90" t="str">
        <f>IF(VLOOKUP(UncLookup[[#This Row],[Item]],Items!$A$1:$F$43,2,FALSE)=0,"",VLOOKUP(UncLookup[[#This Row],[Item]],Items!$A$1:$F$43,2,FALSE))</f>
        <v/>
      </c>
      <c r="P945" s="90" t="str">
        <f>IF(VLOOKUP(UncLookup[[#This Row],[Item]],Items!$A$1:$F$43,3,FALSE)=0,"",VLOOKUP(UncLookup[[#This Row],[Item]],Items!$A$1:$F$43,3,FALSE))</f>
        <v/>
      </c>
      <c r="Q945" s="90" t="str">
        <f>IF(VLOOKUP(UncLookup[[#This Row],[Item]],Items!$A$1:$F$43,4,FALSE)=0,"",VLOOKUP(UncLookup[[#This Row],[Item]],Items!$A$1:$F$43,4,FALSE))</f>
        <v/>
      </c>
    </row>
    <row r="946" spans="1:17" x14ac:dyDescent="0.25">
      <c r="A946" s="75" t="s">
        <v>56</v>
      </c>
      <c r="B946" s="75" t="s">
        <v>47</v>
      </c>
      <c r="C946" s="75">
        <v>0.01</v>
      </c>
      <c r="D946" s="75">
        <v>0.1</v>
      </c>
      <c r="E946" s="75">
        <v>1.0000000000000001E-5</v>
      </c>
      <c r="F946" s="75" t="s">
        <v>13</v>
      </c>
      <c r="G946" s="75" t="s">
        <v>11</v>
      </c>
      <c r="H946" s="75">
        <v>0.1</v>
      </c>
      <c r="I946" s="75">
        <v>5</v>
      </c>
      <c r="J946" s="75" t="s">
        <v>10</v>
      </c>
      <c r="K946" s="75">
        <v>25</v>
      </c>
      <c r="L946" s="75">
        <v>360.06</v>
      </c>
      <c r="M946" s="75">
        <v>23.625</v>
      </c>
      <c r="N946" s="75">
        <v>361.08</v>
      </c>
      <c r="O946" s="90" t="str">
        <f>IF(VLOOKUP(UncLookup[[#This Row],[Item]],Items!$A$1:$F$43,2,FALSE)=0,"",VLOOKUP(UncLookup[[#This Row],[Item]],Items!$A$1:$F$43,2,FALSE))</f>
        <v/>
      </c>
      <c r="P946" s="90" t="str">
        <f>IF(VLOOKUP(UncLookup[[#This Row],[Item]],Items!$A$1:$F$43,3,FALSE)=0,"",VLOOKUP(UncLookup[[#This Row],[Item]],Items!$A$1:$F$43,3,FALSE))</f>
        <v/>
      </c>
      <c r="Q946" s="90" t="str">
        <f>IF(VLOOKUP(UncLookup[[#This Row],[Item]],Items!$A$1:$F$43,4,FALSE)=0,"",VLOOKUP(UncLookup[[#This Row],[Item]],Items!$A$1:$F$43,4,FALSE))</f>
        <v/>
      </c>
    </row>
    <row r="947" spans="1:17" x14ac:dyDescent="0.25">
      <c r="A947" s="76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90" t="str">
        <f>IF(VLOOKUP(UncLookup[[#This Row],[Item]],Items!$A$1:$F$43,2,FALSE)=0,"",VLOOKUP(UncLookup[[#This Row],[Item]],Items!$A$1:$F$43,2,FALSE))</f>
        <v/>
      </c>
      <c r="P947" s="90" t="str">
        <f>IF(VLOOKUP(UncLookup[[#This Row],[Item]],Items!$A$1:$F$43,3,FALSE)=0,"",VLOOKUP(UncLookup[[#This Row],[Item]],Items!$A$1:$F$43,3,FALSE))</f>
        <v/>
      </c>
      <c r="Q947" s="90" t="str">
        <f>IF(VLOOKUP(UncLookup[[#This Row],[Item]],Items!$A$1:$F$43,4,FALSE)=0,"",VLOOKUP(UncLookup[[#This Row],[Item]],Items!$A$1:$F$43,4,FALSE))</f>
        <v/>
      </c>
    </row>
    <row r="948" spans="1:17" x14ac:dyDescent="0.25">
      <c r="A948" s="75" t="s">
        <v>56</v>
      </c>
      <c r="B948" s="75" t="s">
        <v>47</v>
      </c>
      <c r="C948" s="75">
        <v>0.01</v>
      </c>
      <c r="D948" s="75">
        <v>0.1</v>
      </c>
      <c r="E948" s="75">
        <v>1.0000000000000001E-5</v>
      </c>
      <c r="F948" s="75" t="s">
        <v>13</v>
      </c>
      <c r="G948" s="75" t="s">
        <v>11</v>
      </c>
      <c r="H948" s="75">
        <v>1E-3</v>
      </c>
      <c r="I948" s="75">
        <v>0.02</v>
      </c>
      <c r="J948" s="75" t="s">
        <v>10</v>
      </c>
      <c r="K948" s="75">
        <v>25</v>
      </c>
      <c r="L948" s="75">
        <v>4600.3999999999996</v>
      </c>
      <c r="M948" s="75">
        <v>23.366</v>
      </c>
      <c r="N948" s="75">
        <v>4616.5</v>
      </c>
      <c r="O948" s="90" t="str">
        <f>IF(VLOOKUP(UncLookup[[#This Row],[Item]],Items!$A$1:$F$43,2,FALSE)=0,"",VLOOKUP(UncLookup[[#This Row],[Item]],Items!$A$1:$F$43,2,FALSE))</f>
        <v/>
      </c>
      <c r="P948" s="90" t="str">
        <f>IF(VLOOKUP(UncLookup[[#This Row],[Item]],Items!$A$1:$F$43,3,FALSE)=0,"",VLOOKUP(UncLookup[[#This Row],[Item]],Items!$A$1:$F$43,3,FALSE))</f>
        <v/>
      </c>
      <c r="Q948" s="90" t="str">
        <f>IF(VLOOKUP(UncLookup[[#This Row],[Item]],Items!$A$1:$F$43,4,FALSE)=0,"",VLOOKUP(UncLookup[[#This Row],[Item]],Items!$A$1:$F$43,4,FALSE))</f>
        <v/>
      </c>
    </row>
    <row r="949" spans="1:17" x14ac:dyDescent="0.25">
      <c r="A949" s="76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90" t="str">
        <f>IF(VLOOKUP(UncLookup[[#This Row],[Item]],Items!$A$1:$F$43,2,FALSE)=0,"",VLOOKUP(UncLookup[[#This Row],[Item]],Items!$A$1:$F$43,2,FALSE))</f>
        <v/>
      </c>
      <c r="P949" s="90" t="str">
        <f>IF(VLOOKUP(UncLookup[[#This Row],[Item]],Items!$A$1:$F$43,3,FALSE)=0,"",VLOOKUP(UncLookup[[#This Row],[Item]],Items!$A$1:$F$43,3,FALSE))</f>
        <v/>
      </c>
      <c r="Q949" s="90" t="str">
        <f>IF(VLOOKUP(UncLookup[[#This Row],[Item]],Items!$A$1:$F$43,4,FALSE)=0,"",VLOOKUP(UncLookup[[#This Row],[Item]],Items!$A$1:$F$43,4,FALSE))</f>
        <v/>
      </c>
    </row>
    <row r="950" spans="1:17" x14ac:dyDescent="0.25">
      <c r="A950" s="75" t="s">
        <v>56</v>
      </c>
      <c r="B950" s="75" t="s">
        <v>47</v>
      </c>
      <c r="C950" s="75">
        <v>0.01</v>
      </c>
      <c r="D950" s="75">
        <v>0.1</v>
      </c>
      <c r="E950" s="75">
        <v>1E-4</v>
      </c>
      <c r="F950" s="75" t="s">
        <v>13</v>
      </c>
      <c r="G950" s="75" t="s">
        <v>11</v>
      </c>
      <c r="H950" s="75">
        <v>0.02</v>
      </c>
      <c r="I950" s="75">
        <v>4.4999999999999998E-2</v>
      </c>
      <c r="J950" s="75" t="s">
        <v>10</v>
      </c>
      <c r="K950" s="75">
        <v>55.716000000000001</v>
      </c>
      <c r="L950" s="75">
        <v>1491.6</v>
      </c>
      <c r="M950" s="75">
        <v>55.6</v>
      </c>
      <c r="N950" s="75">
        <v>1490.7</v>
      </c>
      <c r="O950" s="90" t="str">
        <f>IF(VLOOKUP(UncLookup[[#This Row],[Item]],Items!$A$1:$F$43,2,FALSE)=0,"",VLOOKUP(UncLookup[[#This Row],[Item]],Items!$A$1:$F$43,2,FALSE))</f>
        <v/>
      </c>
      <c r="P950" s="90" t="str">
        <f>IF(VLOOKUP(UncLookup[[#This Row],[Item]],Items!$A$1:$F$43,3,FALSE)=0,"",VLOOKUP(UncLookup[[#This Row],[Item]],Items!$A$1:$F$43,3,FALSE))</f>
        <v/>
      </c>
      <c r="Q950" s="90" t="str">
        <f>IF(VLOOKUP(UncLookup[[#This Row],[Item]],Items!$A$1:$F$43,4,FALSE)=0,"",VLOOKUP(UncLookup[[#This Row],[Item]],Items!$A$1:$F$43,4,FALSE))</f>
        <v/>
      </c>
    </row>
    <row r="951" spans="1:17" x14ac:dyDescent="0.25">
      <c r="A951" s="76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90" t="str">
        <f>IF(VLOOKUP(UncLookup[[#This Row],[Item]],Items!$A$1:$F$43,2,FALSE)=0,"",VLOOKUP(UncLookup[[#This Row],[Item]],Items!$A$1:$F$43,2,FALSE))</f>
        <v/>
      </c>
      <c r="P951" s="90" t="str">
        <f>IF(VLOOKUP(UncLookup[[#This Row],[Item]],Items!$A$1:$F$43,3,FALSE)=0,"",VLOOKUP(UncLookup[[#This Row],[Item]],Items!$A$1:$F$43,3,FALSE))</f>
        <v/>
      </c>
      <c r="Q951" s="90" t="str">
        <f>IF(VLOOKUP(UncLookup[[#This Row],[Item]],Items!$A$1:$F$43,4,FALSE)=0,"",VLOOKUP(UncLookup[[#This Row],[Item]],Items!$A$1:$F$43,4,FALSE))</f>
        <v/>
      </c>
    </row>
    <row r="952" spans="1:17" x14ac:dyDescent="0.25">
      <c r="A952" s="75" t="s">
        <v>56</v>
      </c>
      <c r="B952" s="75" t="s">
        <v>47</v>
      </c>
      <c r="C952" s="75">
        <v>0.01</v>
      </c>
      <c r="D952" s="75">
        <v>0.1</v>
      </c>
      <c r="E952" s="75">
        <v>1E-4</v>
      </c>
      <c r="F952" s="75" t="s">
        <v>13</v>
      </c>
      <c r="G952" s="75" t="s">
        <v>11</v>
      </c>
      <c r="H952" s="75">
        <v>5</v>
      </c>
      <c r="I952" s="75">
        <v>20</v>
      </c>
      <c r="J952" s="75" t="s">
        <v>10</v>
      </c>
      <c r="K952" s="75">
        <v>60.128</v>
      </c>
      <c r="L952" s="75">
        <v>515.53</v>
      </c>
      <c r="M952" s="75">
        <v>60.018000000000001</v>
      </c>
      <c r="N952" s="75">
        <v>512.89</v>
      </c>
      <c r="O952" s="90" t="str">
        <f>IF(VLOOKUP(UncLookup[[#This Row],[Item]],Items!$A$1:$F$43,2,FALSE)=0,"",VLOOKUP(UncLookup[[#This Row],[Item]],Items!$A$1:$F$43,2,FALSE))</f>
        <v/>
      </c>
      <c r="P952" s="90" t="str">
        <f>IF(VLOOKUP(UncLookup[[#This Row],[Item]],Items!$A$1:$F$43,3,FALSE)=0,"",VLOOKUP(UncLookup[[#This Row],[Item]],Items!$A$1:$F$43,3,FALSE))</f>
        <v/>
      </c>
      <c r="Q952" s="90" t="str">
        <f>IF(VLOOKUP(UncLookup[[#This Row],[Item]],Items!$A$1:$F$43,4,FALSE)=0,"",VLOOKUP(UncLookup[[#This Row],[Item]],Items!$A$1:$F$43,4,FALSE))</f>
        <v/>
      </c>
    </row>
    <row r="953" spans="1:17" x14ac:dyDescent="0.25">
      <c r="A953" s="76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90" t="str">
        <f>IF(VLOOKUP(UncLookup[[#This Row],[Item]],Items!$A$1:$F$43,2,FALSE)=0,"",VLOOKUP(UncLookup[[#This Row],[Item]],Items!$A$1:$F$43,2,FALSE))</f>
        <v/>
      </c>
      <c r="P953" s="90" t="str">
        <f>IF(VLOOKUP(UncLookup[[#This Row],[Item]],Items!$A$1:$F$43,3,FALSE)=0,"",VLOOKUP(UncLookup[[#This Row],[Item]],Items!$A$1:$F$43,3,FALSE))</f>
        <v/>
      </c>
      <c r="Q953" s="90" t="str">
        <f>IF(VLOOKUP(UncLookup[[#This Row],[Item]],Items!$A$1:$F$43,4,FALSE)=0,"",VLOOKUP(UncLookup[[#This Row],[Item]],Items!$A$1:$F$43,4,FALSE))</f>
        <v/>
      </c>
    </row>
    <row r="954" spans="1:17" x14ac:dyDescent="0.25">
      <c r="A954" s="75" t="s">
        <v>56</v>
      </c>
      <c r="B954" s="75" t="s">
        <v>47</v>
      </c>
      <c r="C954" s="78">
        <v>0.01</v>
      </c>
      <c r="D954" s="78">
        <v>0.1</v>
      </c>
      <c r="E954" s="78">
        <v>1E-4</v>
      </c>
      <c r="F954" s="75" t="s">
        <v>13</v>
      </c>
      <c r="G954" s="75" t="s">
        <v>11</v>
      </c>
      <c r="H954" s="75">
        <v>20</v>
      </c>
      <c r="I954" s="75">
        <v>50</v>
      </c>
      <c r="J954" s="75" t="s">
        <v>10</v>
      </c>
      <c r="K954" s="75">
        <v>64.007999999999996</v>
      </c>
      <c r="L954" s="75">
        <v>4598.6000000000004</v>
      </c>
      <c r="M954" s="75">
        <v>63.621000000000002</v>
      </c>
      <c r="N954" s="75">
        <v>4599.3999999999996</v>
      </c>
      <c r="O954" s="90" t="str">
        <f>IF(VLOOKUP(UncLookup[[#This Row],[Item]],Items!$A$1:$F$43,2,FALSE)=0,"",VLOOKUP(UncLookup[[#This Row],[Item]],Items!$A$1:$F$43,2,FALSE))</f>
        <v/>
      </c>
      <c r="P954" s="90" t="str">
        <f>IF(VLOOKUP(UncLookup[[#This Row],[Item]],Items!$A$1:$F$43,3,FALSE)=0,"",VLOOKUP(UncLookup[[#This Row],[Item]],Items!$A$1:$F$43,3,FALSE))</f>
        <v/>
      </c>
      <c r="Q954" s="90" t="str">
        <f>IF(VLOOKUP(UncLookup[[#This Row],[Item]],Items!$A$1:$F$43,4,FALSE)=0,"",VLOOKUP(UncLookup[[#This Row],[Item]],Items!$A$1:$F$43,4,FALSE))</f>
        <v/>
      </c>
    </row>
    <row r="955" spans="1:17" x14ac:dyDescent="0.25">
      <c r="A955" s="76" t="s">
        <v>56</v>
      </c>
      <c r="B955" s="76" t="s">
        <v>47</v>
      </c>
      <c r="C955" s="77">
        <v>0.01</v>
      </c>
      <c r="D955" s="77">
        <v>0.1</v>
      </c>
      <c r="E955" s="7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90" t="str">
        <f>IF(VLOOKUP(UncLookup[[#This Row],[Item]],Items!$A$1:$F$43,2,FALSE)=0,"",VLOOKUP(UncLookup[[#This Row],[Item]],Items!$A$1:$F$43,2,FALSE))</f>
        <v/>
      </c>
      <c r="P955" s="90" t="str">
        <f>IF(VLOOKUP(UncLookup[[#This Row],[Item]],Items!$A$1:$F$43,3,FALSE)=0,"",VLOOKUP(UncLookup[[#This Row],[Item]],Items!$A$1:$F$43,3,FALSE))</f>
        <v/>
      </c>
      <c r="Q955" s="90" t="str">
        <f>IF(VLOOKUP(UncLookup[[#This Row],[Item]],Items!$A$1:$F$43,4,FALSE)=0,"",VLOOKUP(UncLookup[[#This Row],[Item]],Items!$A$1:$F$43,4,FALSE))</f>
        <v/>
      </c>
    </row>
    <row r="956" spans="1:17" x14ac:dyDescent="0.25">
      <c r="A956" s="75" t="s">
        <v>56</v>
      </c>
      <c r="B956" s="75" t="s">
        <v>47</v>
      </c>
      <c r="C956" s="78">
        <v>0.01</v>
      </c>
      <c r="D956" s="78">
        <v>0.1</v>
      </c>
      <c r="E956" s="78">
        <v>1E-4</v>
      </c>
      <c r="F956" s="75" t="s">
        <v>13</v>
      </c>
      <c r="G956" s="75" t="s">
        <v>11</v>
      </c>
      <c r="H956" s="75">
        <v>1E-3</v>
      </c>
      <c r="I956" s="75">
        <v>0.02</v>
      </c>
      <c r="J956" s="75" t="s">
        <v>10</v>
      </c>
      <c r="K956" s="75">
        <v>46.067</v>
      </c>
      <c r="L956" s="75">
        <v>4424.3999999999996</v>
      </c>
      <c r="M956" s="75">
        <v>45.963999999999999</v>
      </c>
      <c r="N956" s="75">
        <v>4424.6000000000004</v>
      </c>
      <c r="O956" s="90" t="str">
        <f>IF(VLOOKUP(UncLookup[[#This Row],[Item]],Items!$A$1:$F$43,2,FALSE)=0,"",VLOOKUP(UncLookup[[#This Row],[Item]],Items!$A$1:$F$43,2,FALSE))</f>
        <v/>
      </c>
      <c r="P956" s="90" t="str">
        <f>IF(VLOOKUP(UncLookup[[#This Row],[Item]],Items!$A$1:$F$43,3,FALSE)=0,"",VLOOKUP(UncLookup[[#This Row],[Item]],Items!$A$1:$F$43,3,FALSE))</f>
        <v/>
      </c>
      <c r="Q956" s="90" t="str">
        <f>IF(VLOOKUP(UncLookup[[#This Row],[Item]],Items!$A$1:$F$43,4,FALSE)=0,"",VLOOKUP(UncLookup[[#This Row],[Item]],Items!$A$1:$F$43,4,FALSE))</f>
        <v/>
      </c>
    </row>
    <row r="957" spans="1:17" x14ac:dyDescent="0.25">
      <c r="A957" s="76" t="s">
        <v>56</v>
      </c>
      <c r="B957" s="76" t="s">
        <v>47</v>
      </c>
      <c r="C957" s="77">
        <v>0.01</v>
      </c>
      <c r="D957" s="77">
        <v>0.1</v>
      </c>
      <c r="E957" s="7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90" t="str">
        <f>IF(VLOOKUP(UncLookup[[#This Row],[Item]],Items!$A$1:$F$43,2,FALSE)=0,"",VLOOKUP(UncLookup[[#This Row],[Item]],Items!$A$1:$F$43,2,FALSE))</f>
        <v/>
      </c>
      <c r="P957" s="90" t="str">
        <f>IF(VLOOKUP(UncLookup[[#This Row],[Item]],Items!$A$1:$F$43,3,FALSE)=0,"",VLOOKUP(UncLookup[[#This Row],[Item]],Items!$A$1:$F$43,3,FALSE))</f>
        <v/>
      </c>
      <c r="Q957" s="90" t="str">
        <f>IF(VLOOKUP(UncLookup[[#This Row],[Item]],Items!$A$1:$F$43,4,FALSE)=0,"",VLOOKUP(UncLookup[[#This Row],[Item]],Items!$A$1:$F$43,4,FALSE))</f>
        <v/>
      </c>
    </row>
    <row r="958" spans="1:17" x14ac:dyDescent="0.25">
      <c r="A958" s="75" t="s">
        <v>56</v>
      </c>
      <c r="B958" s="75" t="s">
        <v>47</v>
      </c>
      <c r="C958" s="78">
        <v>0.01</v>
      </c>
      <c r="D958" s="78">
        <v>0.1</v>
      </c>
      <c r="E958" s="75">
        <v>1E-3</v>
      </c>
      <c r="F958" s="75" t="s">
        <v>13</v>
      </c>
      <c r="G958" s="75" t="s">
        <v>11</v>
      </c>
      <c r="H958" s="75">
        <v>50</v>
      </c>
      <c r="I958" s="75">
        <v>100</v>
      </c>
      <c r="J958" s="75" t="s">
        <v>10</v>
      </c>
      <c r="K958" s="75">
        <v>5772.5</v>
      </c>
      <c r="L958" s="75">
        <v>669.65</v>
      </c>
      <c r="M958" s="75">
        <v>5772.4</v>
      </c>
      <c r="N958" s="75">
        <v>620.29999999999995</v>
      </c>
      <c r="O958" s="90" t="str">
        <f>IF(VLOOKUP(UncLookup[[#This Row],[Item]],Items!$A$1:$F$43,2,FALSE)=0,"",VLOOKUP(UncLookup[[#This Row],[Item]],Items!$A$1:$F$43,2,FALSE))</f>
        <v/>
      </c>
      <c r="P958" s="90" t="str">
        <f>IF(VLOOKUP(UncLookup[[#This Row],[Item]],Items!$A$1:$F$43,3,FALSE)=0,"",VLOOKUP(UncLookup[[#This Row],[Item]],Items!$A$1:$F$43,3,FALSE))</f>
        <v/>
      </c>
      <c r="Q958" s="90" t="str">
        <f>IF(VLOOKUP(UncLookup[[#This Row],[Item]],Items!$A$1:$F$43,4,FALSE)=0,"",VLOOKUP(UncLookup[[#This Row],[Item]],Items!$A$1:$F$43,4,FALSE))</f>
        <v/>
      </c>
    </row>
    <row r="959" spans="1:17" x14ac:dyDescent="0.25">
      <c r="A959" s="76" t="s">
        <v>56</v>
      </c>
      <c r="B959" s="76" t="s">
        <v>47</v>
      </c>
      <c r="C959" s="77">
        <v>0.01</v>
      </c>
      <c r="D959" s="77">
        <v>0.1</v>
      </c>
      <c r="E959" s="77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90" t="str">
        <f>IF(VLOOKUP(UncLookup[[#This Row],[Item]],Items!$A$1:$F$43,2,FALSE)=0,"",VLOOKUP(UncLookup[[#This Row],[Item]],Items!$A$1:$F$43,2,FALSE))</f>
        <v/>
      </c>
      <c r="P959" s="90" t="str">
        <f>IF(VLOOKUP(UncLookup[[#This Row],[Item]],Items!$A$1:$F$43,3,FALSE)=0,"",VLOOKUP(UncLookup[[#This Row],[Item]],Items!$A$1:$F$43,3,FALSE))</f>
        <v/>
      </c>
      <c r="Q959" s="90" t="str">
        <f>IF(VLOOKUP(UncLookup[[#This Row],[Item]],Items!$A$1:$F$43,4,FALSE)=0,"",VLOOKUP(UncLookup[[#This Row],[Item]],Items!$A$1:$F$43,4,FALSE))</f>
        <v/>
      </c>
    </row>
    <row r="960" spans="1:17" x14ac:dyDescent="0.25">
      <c r="A960" s="75" t="s">
        <v>56</v>
      </c>
      <c r="B960" s="75" t="s">
        <v>47</v>
      </c>
      <c r="C960" s="78">
        <v>0.01</v>
      </c>
      <c r="D960" s="78">
        <v>0.1</v>
      </c>
      <c r="E960" s="78">
        <v>1E-3</v>
      </c>
      <c r="F960" s="75" t="s">
        <v>13</v>
      </c>
      <c r="G960" s="75" t="s">
        <v>11</v>
      </c>
      <c r="H960" s="75">
        <v>5</v>
      </c>
      <c r="I960" s="75">
        <v>20</v>
      </c>
      <c r="J960" s="75" t="s">
        <v>10</v>
      </c>
      <c r="K960" s="75">
        <v>577.41</v>
      </c>
      <c r="L960" s="75">
        <v>80.741</v>
      </c>
      <c r="M960" s="75">
        <v>577.37</v>
      </c>
      <c r="N960" s="75">
        <v>78.263000000000005</v>
      </c>
      <c r="O960" s="90" t="str">
        <f>IF(VLOOKUP(UncLookup[[#This Row],[Item]],Items!$A$1:$F$43,2,FALSE)=0,"",VLOOKUP(UncLookup[[#This Row],[Item]],Items!$A$1:$F$43,2,FALSE))</f>
        <v/>
      </c>
      <c r="P960" s="90" t="str">
        <f>IF(VLOOKUP(UncLookup[[#This Row],[Item]],Items!$A$1:$F$43,3,FALSE)=0,"",VLOOKUP(UncLookup[[#This Row],[Item]],Items!$A$1:$F$43,3,FALSE))</f>
        <v/>
      </c>
      <c r="Q960" s="90" t="str">
        <f>IF(VLOOKUP(UncLookup[[#This Row],[Item]],Items!$A$1:$F$43,4,FALSE)=0,"",VLOOKUP(UncLookup[[#This Row],[Item]],Items!$A$1:$F$43,4,FALSE))</f>
        <v/>
      </c>
    </row>
    <row r="961" spans="1:17" x14ac:dyDescent="0.25">
      <c r="A961" s="76" t="s">
        <v>56</v>
      </c>
      <c r="B961" s="76" t="s">
        <v>47</v>
      </c>
      <c r="C961" s="77">
        <v>0.01</v>
      </c>
      <c r="D961" s="77">
        <v>0.1</v>
      </c>
      <c r="E961" s="7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90" t="str">
        <f>IF(VLOOKUP(UncLookup[[#This Row],[Item]],Items!$A$1:$F$43,2,FALSE)=0,"",VLOOKUP(UncLookup[[#This Row],[Item]],Items!$A$1:$F$43,2,FALSE))</f>
        <v/>
      </c>
      <c r="P961" s="90" t="str">
        <f>IF(VLOOKUP(UncLookup[[#This Row],[Item]],Items!$A$1:$F$43,3,FALSE)=0,"",VLOOKUP(UncLookup[[#This Row],[Item]],Items!$A$1:$F$43,3,FALSE))</f>
        <v/>
      </c>
      <c r="Q961" s="90" t="str">
        <f>IF(VLOOKUP(UncLookup[[#This Row],[Item]],Items!$A$1:$F$43,4,FALSE)=0,"",VLOOKUP(UncLookup[[#This Row],[Item]],Items!$A$1:$F$43,4,FALSE))</f>
        <v/>
      </c>
    </row>
    <row r="962" spans="1:17" x14ac:dyDescent="0.25">
      <c r="A962" s="75" t="s">
        <v>56</v>
      </c>
      <c r="B962" s="75" t="s">
        <v>47</v>
      </c>
      <c r="C962" s="78">
        <v>0.01</v>
      </c>
      <c r="D962" s="78">
        <v>0.1</v>
      </c>
      <c r="E962" s="75">
        <v>1E-3</v>
      </c>
      <c r="F962" s="75" t="s">
        <v>13</v>
      </c>
      <c r="G962" s="75" t="s">
        <v>11</v>
      </c>
      <c r="H962" s="75">
        <v>0.1</v>
      </c>
      <c r="I962" s="75">
        <v>5</v>
      </c>
      <c r="J962" s="75" t="s">
        <v>10</v>
      </c>
      <c r="K962" s="75">
        <v>577.74</v>
      </c>
      <c r="L962" s="75">
        <v>30.199000000000002</v>
      </c>
      <c r="M962" s="75">
        <v>577.71</v>
      </c>
      <c r="N962" s="75">
        <v>27.695</v>
      </c>
      <c r="O962" s="90" t="str">
        <f>IF(VLOOKUP(UncLookup[[#This Row],[Item]],Items!$A$1:$F$43,2,FALSE)=0,"",VLOOKUP(UncLookup[[#This Row],[Item]],Items!$A$1:$F$43,2,FALSE))</f>
        <v/>
      </c>
      <c r="P962" s="90" t="str">
        <f>IF(VLOOKUP(UncLookup[[#This Row],[Item]],Items!$A$1:$F$43,3,FALSE)=0,"",VLOOKUP(UncLookup[[#This Row],[Item]],Items!$A$1:$F$43,3,FALSE))</f>
        <v/>
      </c>
      <c r="Q962" s="90" t="str">
        <f>IF(VLOOKUP(UncLookup[[#This Row],[Item]],Items!$A$1:$F$43,4,FALSE)=0,"",VLOOKUP(UncLookup[[#This Row],[Item]],Items!$A$1:$F$43,4,FALSE))</f>
        <v/>
      </c>
    </row>
    <row r="963" spans="1:17" x14ac:dyDescent="0.25">
      <c r="A963" s="76" t="s">
        <v>56</v>
      </c>
      <c r="B963" s="76" t="s">
        <v>47</v>
      </c>
      <c r="C963" s="76">
        <v>0.01</v>
      </c>
      <c r="D963" s="77">
        <v>0.1</v>
      </c>
      <c r="E963" s="77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90" t="str">
        <f>IF(VLOOKUP(UncLookup[[#This Row],[Item]],Items!$A$1:$F$43,2,FALSE)=0,"",VLOOKUP(UncLookup[[#This Row],[Item]],Items!$A$1:$F$43,2,FALSE))</f>
        <v/>
      </c>
      <c r="P963" s="90" t="str">
        <f>IF(VLOOKUP(UncLookup[[#This Row],[Item]],Items!$A$1:$F$43,3,FALSE)=0,"",VLOOKUP(UncLookup[[#This Row],[Item]],Items!$A$1:$F$43,3,FALSE))</f>
        <v/>
      </c>
      <c r="Q963" s="90" t="str">
        <f>IF(VLOOKUP(UncLookup[[#This Row],[Item]],Items!$A$1:$F$43,4,FALSE)=0,"",VLOOKUP(UncLookup[[#This Row],[Item]],Items!$A$1:$F$43,4,FALSE))</f>
        <v/>
      </c>
    </row>
    <row r="964" spans="1:17" x14ac:dyDescent="0.25">
      <c r="A964" s="75" t="s">
        <v>56</v>
      </c>
      <c r="B964" s="75" t="s">
        <v>47</v>
      </c>
      <c r="C964" s="75">
        <v>0.1</v>
      </c>
      <c r="D964" s="78">
        <v>1</v>
      </c>
      <c r="E964" s="78">
        <v>9.9999999999999995E-7</v>
      </c>
      <c r="F964" s="75" t="s">
        <v>13</v>
      </c>
      <c r="G964" s="75" t="s">
        <v>12</v>
      </c>
      <c r="H964" s="75">
        <v>0.02</v>
      </c>
      <c r="I964" s="75">
        <v>4.4999999999999998E-2</v>
      </c>
      <c r="J964" s="75" t="s">
        <v>10</v>
      </c>
      <c r="K964" s="75">
        <v>0.28000000000000003</v>
      </c>
      <c r="L964" s="75">
        <v>1.8</v>
      </c>
      <c r="M964" s="75">
        <v>0.23096</v>
      </c>
      <c r="N964" s="75">
        <v>1.8475999999999999</v>
      </c>
      <c r="O964" s="90" t="str">
        <f>IF(VLOOKUP(UncLookup[[#This Row],[Item]],Items!$A$1:$F$43,2,FALSE)=0,"",VLOOKUP(UncLookup[[#This Row],[Item]],Items!$A$1:$F$43,2,FALSE))</f>
        <v/>
      </c>
      <c r="P964" s="90" t="str">
        <f>IF(VLOOKUP(UncLookup[[#This Row],[Item]],Items!$A$1:$F$43,3,FALSE)=0,"",VLOOKUP(UncLookup[[#This Row],[Item]],Items!$A$1:$F$43,3,FALSE))</f>
        <v/>
      </c>
      <c r="Q964" s="90" t="str">
        <f>IF(VLOOKUP(UncLookup[[#This Row],[Item]],Items!$A$1:$F$43,4,FALSE)=0,"",VLOOKUP(UncLookup[[#This Row],[Item]],Items!$A$1:$F$43,4,FALSE))</f>
        <v/>
      </c>
    </row>
    <row r="965" spans="1:17" x14ac:dyDescent="0.25">
      <c r="A965" s="76" t="s">
        <v>56</v>
      </c>
      <c r="B965" s="76" t="s">
        <v>47</v>
      </c>
      <c r="C965" s="76">
        <v>0.1</v>
      </c>
      <c r="D965" s="77">
        <v>1</v>
      </c>
      <c r="E965" s="7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90" t="str">
        <f>IF(VLOOKUP(UncLookup[[#This Row],[Item]],Items!$A$1:$F$43,2,FALSE)=0,"",VLOOKUP(UncLookup[[#This Row],[Item]],Items!$A$1:$F$43,2,FALSE))</f>
        <v/>
      </c>
      <c r="P965" s="90" t="str">
        <f>IF(VLOOKUP(UncLookup[[#This Row],[Item]],Items!$A$1:$F$43,3,FALSE)=0,"",VLOOKUP(UncLookup[[#This Row],[Item]],Items!$A$1:$F$43,3,FALSE))</f>
        <v/>
      </c>
      <c r="Q965" s="90" t="str">
        <f>IF(VLOOKUP(UncLookup[[#This Row],[Item]],Items!$A$1:$F$43,4,FALSE)=0,"",VLOOKUP(UncLookup[[#This Row],[Item]],Items!$A$1:$F$43,4,FALSE))</f>
        <v/>
      </c>
    </row>
    <row r="966" spans="1:17" x14ac:dyDescent="0.25">
      <c r="A966" s="75" t="s">
        <v>56</v>
      </c>
      <c r="B966" s="75" t="s">
        <v>47</v>
      </c>
      <c r="C966" s="75">
        <v>0.1</v>
      </c>
      <c r="D966" s="78">
        <v>1</v>
      </c>
      <c r="E966" s="75">
        <v>9.9999999999999995E-7</v>
      </c>
      <c r="F966" s="75" t="s">
        <v>13</v>
      </c>
      <c r="G966" s="75" t="s">
        <v>12</v>
      </c>
      <c r="H966" s="75">
        <v>5</v>
      </c>
      <c r="I966" s="75">
        <v>20</v>
      </c>
      <c r="J966" s="75" t="s">
        <v>10</v>
      </c>
      <c r="K966" s="75">
        <v>0.27</v>
      </c>
      <c r="L966" s="75">
        <v>3.5</v>
      </c>
      <c r="M966" s="75">
        <v>0.22313</v>
      </c>
      <c r="N966" s="75">
        <v>3.5466000000000002</v>
      </c>
      <c r="O966" s="90" t="str">
        <f>IF(VLOOKUP(UncLookup[[#This Row],[Item]],Items!$A$1:$F$43,2,FALSE)=0,"",VLOOKUP(UncLookup[[#This Row],[Item]],Items!$A$1:$F$43,2,FALSE))</f>
        <v/>
      </c>
      <c r="P966" s="90" t="str">
        <f>IF(VLOOKUP(UncLookup[[#This Row],[Item]],Items!$A$1:$F$43,3,FALSE)=0,"",VLOOKUP(UncLookup[[#This Row],[Item]],Items!$A$1:$F$43,3,FALSE))</f>
        <v/>
      </c>
      <c r="Q966" s="90" t="str">
        <f>IF(VLOOKUP(UncLookup[[#This Row],[Item]],Items!$A$1:$F$43,4,FALSE)=0,"",VLOOKUP(UncLookup[[#This Row],[Item]],Items!$A$1:$F$43,4,FALSE))</f>
        <v/>
      </c>
    </row>
    <row r="967" spans="1:17" x14ac:dyDescent="0.25">
      <c r="A967" s="76" t="s">
        <v>56</v>
      </c>
      <c r="B967" s="76" t="s">
        <v>47</v>
      </c>
      <c r="C967" s="76">
        <v>0.1</v>
      </c>
      <c r="D967" s="7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90" t="str">
        <f>IF(VLOOKUP(UncLookup[[#This Row],[Item]],Items!$A$1:$F$43,2,FALSE)=0,"",VLOOKUP(UncLookup[[#This Row],[Item]],Items!$A$1:$F$43,2,FALSE))</f>
        <v/>
      </c>
      <c r="P967" s="90" t="str">
        <f>IF(VLOOKUP(UncLookup[[#This Row],[Item]],Items!$A$1:$F$43,3,FALSE)=0,"",VLOOKUP(UncLookup[[#This Row],[Item]],Items!$A$1:$F$43,3,FALSE))</f>
        <v/>
      </c>
      <c r="Q967" s="90" t="str">
        <f>IF(VLOOKUP(UncLookup[[#This Row],[Item]],Items!$A$1:$F$43,4,FALSE)=0,"",VLOOKUP(UncLookup[[#This Row],[Item]],Items!$A$1:$F$43,4,FALSE))</f>
        <v/>
      </c>
    </row>
    <row r="968" spans="1:17" x14ac:dyDescent="0.25">
      <c r="A968" s="75" t="s">
        <v>56</v>
      </c>
      <c r="B968" s="75" t="s">
        <v>47</v>
      </c>
      <c r="C968" s="75">
        <v>0.1</v>
      </c>
      <c r="D968" s="78">
        <v>1</v>
      </c>
      <c r="E968" s="78">
        <v>9.9999999999999995E-7</v>
      </c>
      <c r="F968" s="75" t="s">
        <v>13</v>
      </c>
      <c r="G968" s="75" t="s">
        <v>12</v>
      </c>
      <c r="H968" s="75">
        <v>0.1</v>
      </c>
      <c r="I968" s="75">
        <v>5</v>
      </c>
      <c r="J968" s="75" t="s">
        <v>10</v>
      </c>
      <c r="K968" s="75">
        <v>0.24</v>
      </c>
      <c r="L968" s="75">
        <v>1.2</v>
      </c>
      <c r="M968" s="75">
        <v>0.22816</v>
      </c>
      <c r="N968" s="75">
        <v>1.1855</v>
      </c>
      <c r="O968" s="90" t="str">
        <f>IF(VLOOKUP(UncLookup[[#This Row],[Item]],Items!$A$1:$F$43,2,FALSE)=0,"",VLOOKUP(UncLookup[[#This Row],[Item]],Items!$A$1:$F$43,2,FALSE))</f>
        <v/>
      </c>
      <c r="P968" s="90" t="str">
        <f>IF(VLOOKUP(UncLookup[[#This Row],[Item]],Items!$A$1:$F$43,3,FALSE)=0,"",VLOOKUP(UncLookup[[#This Row],[Item]],Items!$A$1:$F$43,3,FALSE))</f>
        <v/>
      </c>
      <c r="Q968" s="90" t="str">
        <f>IF(VLOOKUP(UncLookup[[#This Row],[Item]],Items!$A$1:$F$43,4,FALSE)=0,"",VLOOKUP(UncLookup[[#This Row],[Item]],Items!$A$1:$F$43,4,FALSE))</f>
        <v/>
      </c>
    </row>
    <row r="969" spans="1:17" x14ac:dyDescent="0.25">
      <c r="A969" s="76" t="s">
        <v>56</v>
      </c>
      <c r="B969" s="76" t="s">
        <v>47</v>
      </c>
      <c r="C969" s="76">
        <v>0.1</v>
      </c>
      <c r="D969" s="77">
        <v>1</v>
      </c>
      <c r="E969" s="7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90" t="str">
        <f>IF(VLOOKUP(UncLookup[[#This Row],[Item]],Items!$A$1:$F$43,2,FALSE)=0,"",VLOOKUP(UncLookup[[#This Row],[Item]],Items!$A$1:$F$43,2,FALSE))</f>
        <v/>
      </c>
      <c r="P969" s="90" t="str">
        <f>IF(VLOOKUP(UncLookup[[#This Row],[Item]],Items!$A$1:$F$43,3,FALSE)=0,"",VLOOKUP(UncLookup[[#This Row],[Item]],Items!$A$1:$F$43,3,FALSE))</f>
        <v/>
      </c>
      <c r="Q969" s="90" t="str">
        <f>IF(VLOOKUP(UncLookup[[#This Row],[Item]],Items!$A$1:$F$43,4,FALSE)=0,"",VLOOKUP(UncLookup[[#This Row],[Item]],Items!$A$1:$F$43,4,FALSE))</f>
        <v/>
      </c>
    </row>
    <row r="970" spans="1:17" x14ac:dyDescent="0.25">
      <c r="A970" s="75" t="s">
        <v>56</v>
      </c>
      <c r="B970" s="75" t="s">
        <v>47</v>
      </c>
      <c r="C970" s="75">
        <v>0.1</v>
      </c>
      <c r="D970" s="78">
        <v>1</v>
      </c>
      <c r="E970" s="75">
        <v>1.0000000000000001E-5</v>
      </c>
      <c r="F970" s="75" t="s">
        <v>13</v>
      </c>
      <c r="G970" s="75" t="s">
        <v>12</v>
      </c>
      <c r="H970" s="75">
        <v>5</v>
      </c>
      <c r="I970" s="75">
        <v>20</v>
      </c>
      <c r="J970" s="75" t="s">
        <v>10</v>
      </c>
      <c r="K970" s="75">
        <v>0.27</v>
      </c>
      <c r="L970" s="75">
        <v>3.5331000000000001</v>
      </c>
      <c r="M970" s="75">
        <v>0.22319</v>
      </c>
      <c r="N970" s="75">
        <v>3.5466000000000002</v>
      </c>
      <c r="O970" s="90" t="str">
        <f>IF(VLOOKUP(UncLookup[[#This Row],[Item]],Items!$A$1:$F$43,2,FALSE)=0,"",VLOOKUP(UncLookup[[#This Row],[Item]],Items!$A$1:$F$43,2,FALSE))</f>
        <v/>
      </c>
      <c r="P970" s="90" t="str">
        <f>IF(VLOOKUP(UncLookup[[#This Row],[Item]],Items!$A$1:$F$43,3,FALSE)=0,"",VLOOKUP(UncLookup[[#This Row],[Item]],Items!$A$1:$F$43,3,FALSE))</f>
        <v/>
      </c>
      <c r="Q970" s="90" t="str">
        <f>IF(VLOOKUP(UncLookup[[#This Row],[Item]],Items!$A$1:$F$43,4,FALSE)=0,"",VLOOKUP(UncLookup[[#This Row],[Item]],Items!$A$1:$F$43,4,FALSE))</f>
        <v/>
      </c>
    </row>
    <row r="971" spans="1:17" x14ac:dyDescent="0.25">
      <c r="A971" s="76" t="s">
        <v>56</v>
      </c>
      <c r="B971" s="76" t="s">
        <v>47</v>
      </c>
      <c r="C971" s="76">
        <v>0.1</v>
      </c>
      <c r="D971" s="7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90" t="str">
        <f>IF(VLOOKUP(UncLookup[[#This Row],[Item]],Items!$A$1:$F$43,2,FALSE)=0,"",VLOOKUP(UncLookup[[#This Row],[Item]],Items!$A$1:$F$43,2,FALSE))</f>
        <v/>
      </c>
      <c r="P971" s="90" t="str">
        <f>IF(VLOOKUP(UncLookup[[#This Row],[Item]],Items!$A$1:$F$43,3,FALSE)=0,"",VLOOKUP(UncLookup[[#This Row],[Item]],Items!$A$1:$F$43,3,FALSE))</f>
        <v/>
      </c>
      <c r="Q971" s="90" t="str">
        <f>IF(VLOOKUP(UncLookup[[#This Row],[Item]],Items!$A$1:$F$43,4,FALSE)=0,"",VLOOKUP(UncLookup[[#This Row],[Item]],Items!$A$1:$F$43,4,FALSE))</f>
        <v/>
      </c>
    </row>
    <row r="972" spans="1:17" x14ac:dyDescent="0.25">
      <c r="A972" s="75" t="s">
        <v>56</v>
      </c>
      <c r="B972" s="75" t="s">
        <v>47</v>
      </c>
      <c r="C972" s="75">
        <v>0.1</v>
      </c>
      <c r="D972" s="78">
        <v>1</v>
      </c>
      <c r="E972" s="78">
        <v>1.0000000000000001E-5</v>
      </c>
      <c r="F972" s="75" t="s">
        <v>13</v>
      </c>
      <c r="G972" s="75" t="s">
        <v>12</v>
      </c>
      <c r="H972" s="75">
        <v>4.4999999999999998E-2</v>
      </c>
      <c r="I972" s="75">
        <v>0.1</v>
      </c>
      <c r="J972" s="75" t="s">
        <v>10</v>
      </c>
      <c r="K972" s="75">
        <v>0.24</v>
      </c>
      <c r="L972" s="75">
        <v>0.92</v>
      </c>
      <c r="M972" s="75">
        <v>0.23100999999999999</v>
      </c>
      <c r="N972" s="75">
        <v>0.92427000000000004</v>
      </c>
      <c r="O972" s="90" t="str">
        <f>IF(VLOOKUP(UncLookup[[#This Row],[Item]],Items!$A$1:$F$43,2,FALSE)=0,"",VLOOKUP(UncLookup[[#This Row],[Item]],Items!$A$1:$F$43,2,FALSE))</f>
        <v/>
      </c>
      <c r="P972" s="90" t="str">
        <f>IF(VLOOKUP(UncLookup[[#This Row],[Item]],Items!$A$1:$F$43,3,FALSE)=0,"",VLOOKUP(UncLookup[[#This Row],[Item]],Items!$A$1:$F$43,3,FALSE))</f>
        <v/>
      </c>
      <c r="Q972" s="90" t="str">
        <f>IF(VLOOKUP(UncLookup[[#This Row],[Item]],Items!$A$1:$F$43,4,FALSE)=0,"",VLOOKUP(UncLookup[[#This Row],[Item]],Items!$A$1:$F$43,4,FALSE))</f>
        <v/>
      </c>
    </row>
    <row r="973" spans="1:17" x14ac:dyDescent="0.25">
      <c r="A973" s="76" t="s">
        <v>56</v>
      </c>
      <c r="B973" s="76" t="s">
        <v>47</v>
      </c>
      <c r="C973" s="76">
        <v>0.1</v>
      </c>
      <c r="D973" s="77">
        <v>1</v>
      </c>
      <c r="E973" s="7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90" t="str">
        <f>IF(VLOOKUP(UncLookup[[#This Row],[Item]],Items!$A$1:$F$43,2,FALSE)=0,"",VLOOKUP(UncLookup[[#This Row],[Item]],Items!$A$1:$F$43,2,FALSE))</f>
        <v/>
      </c>
      <c r="P973" s="90" t="str">
        <f>IF(VLOOKUP(UncLookup[[#This Row],[Item]],Items!$A$1:$F$43,3,FALSE)=0,"",VLOOKUP(UncLookup[[#This Row],[Item]],Items!$A$1:$F$43,3,FALSE))</f>
        <v/>
      </c>
      <c r="Q973" s="90" t="str">
        <f>IF(VLOOKUP(UncLookup[[#This Row],[Item]],Items!$A$1:$F$43,4,FALSE)=0,"",VLOOKUP(UncLookup[[#This Row],[Item]],Items!$A$1:$F$43,4,FALSE))</f>
        <v/>
      </c>
    </row>
    <row r="974" spans="1:17" x14ac:dyDescent="0.25">
      <c r="A974" s="75" t="s">
        <v>56</v>
      </c>
      <c r="B974" s="75" t="s">
        <v>47</v>
      </c>
      <c r="C974" s="75">
        <v>0.1</v>
      </c>
      <c r="D974" s="78">
        <v>1</v>
      </c>
      <c r="E974" s="75">
        <v>1.0000000000000001E-5</v>
      </c>
      <c r="F974" s="75" t="s">
        <v>13</v>
      </c>
      <c r="G974" s="75" t="s">
        <v>12</v>
      </c>
      <c r="H974" s="75">
        <v>0.1</v>
      </c>
      <c r="I974" s="75">
        <v>5</v>
      </c>
      <c r="J974" s="75" t="s">
        <v>10</v>
      </c>
      <c r="K974" s="75">
        <v>0.24</v>
      </c>
      <c r="L974" s="75">
        <v>1.2</v>
      </c>
      <c r="M974" s="75">
        <v>0.2283</v>
      </c>
      <c r="N974" s="75">
        <v>1.1854</v>
      </c>
      <c r="O974" s="90" t="str">
        <f>IF(VLOOKUP(UncLookup[[#This Row],[Item]],Items!$A$1:$F$43,2,FALSE)=0,"",VLOOKUP(UncLookup[[#This Row],[Item]],Items!$A$1:$F$43,2,FALSE))</f>
        <v/>
      </c>
      <c r="P974" s="90" t="str">
        <f>IF(VLOOKUP(UncLookup[[#This Row],[Item]],Items!$A$1:$F$43,3,FALSE)=0,"",VLOOKUP(UncLookup[[#This Row],[Item]],Items!$A$1:$F$43,3,FALSE))</f>
        <v/>
      </c>
      <c r="Q974" s="90" t="str">
        <f>IF(VLOOKUP(UncLookup[[#This Row],[Item]],Items!$A$1:$F$43,4,FALSE)=0,"",VLOOKUP(UncLookup[[#This Row],[Item]],Items!$A$1:$F$43,4,FALSE))</f>
        <v/>
      </c>
    </row>
    <row r="975" spans="1:17" x14ac:dyDescent="0.25">
      <c r="A975" s="76" t="s">
        <v>56</v>
      </c>
      <c r="B975" s="76" t="s">
        <v>47</v>
      </c>
      <c r="C975" s="76">
        <v>0.1</v>
      </c>
      <c r="D975" s="7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90" t="str">
        <f>IF(VLOOKUP(UncLookup[[#This Row],[Item]],Items!$A$1:$F$43,2,FALSE)=0,"",VLOOKUP(UncLookup[[#This Row],[Item]],Items!$A$1:$F$43,2,FALSE))</f>
        <v/>
      </c>
      <c r="P975" s="90" t="str">
        <f>IF(VLOOKUP(UncLookup[[#This Row],[Item]],Items!$A$1:$F$43,3,FALSE)=0,"",VLOOKUP(UncLookup[[#This Row],[Item]],Items!$A$1:$F$43,3,FALSE))</f>
        <v/>
      </c>
      <c r="Q975" s="90" t="str">
        <f>IF(VLOOKUP(UncLookup[[#This Row],[Item]],Items!$A$1:$F$43,4,FALSE)=0,"",VLOOKUP(UncLookup[[#This Row],[Item]],Items!$A$1:$F$43,4,FALSE))</f>
        <v/>
      </c>
    </row>
    <row r="976" spans="1:17" x14ac:dyDescent="0.25">
      <c r="A976" s="75" t="s">
        <v>56</v>
      </c>
      <c r="B976" s="75" t="s">
        <v>47</v>
      </c>
      <c r="C976" s="75">
        <v>0.1</v>
      </c>
      <c r="D976" s="78">
        <v>1</v>
      </c>
      <c r="E976" s="78">
        <v>1E-4</v>
      </c>
      <c r="F976" s="75" t="s">
        <v>13</v>
      </c>
      <c r="G976" s="75" t="s">
        <v>12</v>
      </c>
      <c r="H976" s="75">
        <v>1E-3</v>
      </c>
      <c r="I976" s="75">
        <v>0.02</v>
      </c>
      <c r="J976" s="75" t="s">
        <v>10</v>
      </c>
      <c r="K976" s="75">
        <v>0.25</v>
      </c>
      <c r="L976" s="75">
        <v>4.6002999999999998</v>
      </c>
      <c r="M976" s="75">
        <v>0.23368</v>
      </c>
      <c r="N976" s="75">
        <v>4.6165000000000003</v>
      </c>
      <c r="O976" s="90" t="str">
        <f>IF(VLOOKUP(UncLookup[[#This Row],[Item]],Items!$A$1:$F$43,2,FALSE)=0,"",VLOOKUP(UncLookup[[#This Row],[Item]],Items!$A$1:$F$43,2,FALSE))</f>
        <v/>
      </c>
      <c r="P976" s="90" t="str">
        <f>IF(VLOOKUP(UncLookup[[#This Row],[Item]],Items!$A$1:$F$43,3,FALSE)=0,"",VLOOKUP(UncLookup[[#This Row],[Item]],Items!$A$1:$F$43,3,FALSE))</f>
        <v/>
      </c>
      <c r="Q976" s="90" t="str">
        <f>IF(VLOOKUP(UncLookup[[#This Row],[Item]],Items!$A$1:$F$43,4,FALSE)=0,"",VLOOKUP(UncLookup[[#This Row],[Item]],Items!$A$1:$F$43,4,FALSE))</f>
        <v/>
      </c>
    </row>
    <row r="977" spans="1:17" x14ac:dyDescent="0.25">
      <c r="A977" s="76" t="s">
        <v>56</v>
      </c>
      <c r="B977" s="76" t="s">
        <v>47</v>
      </c>
      <c r="C977" s="76">
        <v>0.1</v>
      </c>
      <c r="D977" s="77">
        <v>1</v>
      </c>
      <c r="E977" s="76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90" t="str">
        <f>IF(VLOOKUP(UncLookup[[#This Row],[Item]],Items!$A$1:$F$43,2,FALSE)=0,"",VLOOKUP(UncLookup[[#This Row],[Item]],Items!$A$1:$F$43,2,FALSE))</f>
        <v/>
      </c>
      <c r="P977" s="90" t="str">
        <f>IF(VLOOKUP(UncLookup[[#This Row],[Item]],Items!$A$1:$F$43,3,FALSE)=0,"",VLOOKUP(UncLookup[[#This Row],[Item]],Items!$A$1:$F$43,3,FALSE))</f>
        <v/>
      </c>
      <c r="Q977" s="90" t="str">
        <f>IF(VLOOKUP(UncLookup[[#This Row],[Item]],Items!$A$1:$F$43,4,FALSE)=0,"",VLOOKUP(UncLookup[[#This Row],[Item]],Items!$A$1:$F$43,4,FALSE))</f>
        <v/>
      </c>
    </row>
    <row r="978" spans="1:17" x14ac:dyDescent="0.25">
      <c r="A978" s="75" t="s">
        <v>56</v>
      </c>
      <c r="B978" s="75" t="s">
        <v>47</v>
      </c>
      <c r="C978" s="75">
        <v>0.1</v>
      </c>
      <c r="D978" s="78">
        <v>1</v>
      </c>
      <c r="E978" s="75">
        <v>1E-4</v>
      </c>
      <c r="F978" s="75" t="s">
        <v>13</v>
      </c>
      <c r="G978" s="75" t="s">
        <v>12</v>
      </c>
      <c r="H978" s="75">
        <v>20</v>
      </c>
      <c r="I978" s="75">
        <v>50</v>
      </c>
      <c r="J978" s="75" t="s">
        <v>10</v>
      </c>
      <c r="K978" s="75">
        <v>0.47</v>
      </c>
      <c r="L978" s="75">
        <v>12</v>
      </c>
      <c r="M978" s="75">
        <v>0.44312000000000001</v>
      </c>
      <c r="N978" s="75">
        <v>11.791</v>
      </c>
      <c r="O978" s="90" t="str">
        <f>IF(VLOOKUP(UncLookup[[#This Row],[Item]],Items!$A$1:$F$43,2,FALSE)=0,"",VLOOKUP(UncLookup[[#This Row],[Item]],Items!$A$1:$F$43,2,FALSE))</f>
        <v/>
      </c>
      <c r="P978" s="90" t="str">
        <f>IF(VLOOKUP(UncLookup[[#This Row],[Item]],Items!$A$1:$F$43,3,FALSE)=0,"",VLOOKUP(UncLookup[[#This Row],[Item]],Items!$A$1:$F$43,3,FALSE))</f>
        <v/>
      </c>
      <c r="Q978" s="90" t="str">
        <f>IF(VLOOKUP(UncLookup[[#This Row],[Item]],Items!$A$1:$F$43,4,FALSE)=0,"",VLOOKUP(UncLookup[[#This Row],[Item]],Items!$A$1:$F$43,4,FALSE))</f>
        <v/>
      </c>
    </row>
    <row r="979" spans="1:17" x14ac:dyDescent="0.25">
      <c r="A979" s="76" t="s">
        <v>56</v>
      </c>
      <c r="B979" s="76" t="s">
        <v>47</v>
      </c>
      <c r="C979" s="76">
        <v>0.1</v>
      </c>
      <c r="D979" s="7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90" t="str">
        <f>IF(VLOOKUP(UncLookup[[#This Row],[Item]],Items!$A$1:$F$43,2,FALSE)=0,"",VLOOKUP(UncLookup[[#This Row],[Item]],Items!$A$1:$F$43,2,FALSE))</f>
        <v/>
      </c>
      <c r="P979" s="90" t="str">
        <f>IF(VLOOKUP(UncLookup[[#This Row],[Item]],Items!$A$1:$F$43,3,FALSE)=0,"",VLOOKUP(UncLookup[[#This Row],[Item]],Items!$A$1:$F$43,3,FALSE))</f>
        <v/>
      </c>
      <c r="Q979" s="90" t="str">
        <f>IF(VLOOKUP(UncLookup[[#This Row],[Item]],Items!$A$1:$F$43,4,FALSE)=0,"",VLOOKUP(UncLookup[[#This Row],[Item]],Items!$A$1:$F$43,4,FALSE))</f>
        <v/>
      </c>
    </row>
    <row r="980" spans="1:17" x14ac:dyDescent="0.25">
      <c r="A980" s="75" t="s">
        <v>56</v>
      </c>
      <c r="B980" s="75" t="s">
        <v>47</v>
      </c>
      <c r="C980" s="75">
        <v>0.1</v>
      </c>
      <c r="D980" s="78">
        <v>1</v>
      </c>
      <c r="E980" s="78">
        <v>1E-4</v>
      </c>
      <c r="F980" s="75" t="s">
        <v>13</v>
      </c>
      <c r="G980" s="75" t="s">
        <v>12</v>
      </c>
      <c r="H980" s="75">
        <v>4.4999999999999998E-2</v>
      </c>
      <c r="I980" s="75">
        <v>0.1</v>
      </c>
      <c r="J980" s="75" t="s">
        <v>10</v>
      </c>
      <c r="K980" s="75">
        <v>0.24</v>
      </c>
      <c r="L980" s="75">
        <v>0.92</v>
      </c>
      <c r="M980" s="75">
        <v>0.23663999999999999</v>
      </c>
      <c r="N980" s="75">
        <v>0.92018</v>
      </c>
      <c r="O980" s="90" t="str">
        <f>IF(VLOOKUP(UncLookup[[#This Row],[Item]],Items!$A$1:$F$43,2,FALSE)=0,"",VLOOKUP(UncLookup[[#This Row],[Item]],Items!$A$1:$F$43,2,FALSE))</f>
        <v/>
      </c>
      <c r="P980" s="90" t="str">
        <f>IF(VLOOKUP(UncLookup[[#This Row],[Item]],Items!$A$1:$F$43,3,FALSE)=0,"",VLOOKUP(UncLookup[[#This Row],[Item]],Items!$A$1:$F$43,3,FALSE))</f>
        <v/>
      </c>
      <c r="Q980" s="90" t="str">
        <f>IF(VLOOKUP(UncLookup[[#This Row],[Item]],Items!$A$1:$F$43,4,FALSE)=0,"",VLOOKUP(UncLookup[[#This Row],[Item]],Items!$A$1:$F$43,4,FALSE))</f>
        <v/>
      </c>
    </row>
    <row r="981" spans="1:17" x14ac:dyDescent="0.25">
      <c r="A981" s="76" t="s">
        <v>56</v>
      </c>
      <c r="B981" s="76" t="s">
        <v>47</v>
      </c>
      <c r="C981" s="76">
        <v>0.1</v>
      </c>
      <c r="D981" s="77">
        <v>1</v>
      </c>
      <c r="E981" s="76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90" t="str">
        <f>IF(VLOOKUP(UncLookup[[#This Row],[Item]],Items!$A$1:$F$43,2,FALSE)=0,"",VLOOKUP(UncLookup[[#This Row],[Item]],Items!$A$1:$F$43,2,FALSE))</f>
        <v/>
      </c>
      <c r="P981" s="90" t="str">
        <f>IF(VLOOKUP(UncLookup[[#This Row],[Item]],Items!$A$1:$F$43,3,FALSE)=0,"",VLOOKUP(UncLookup[[#This Row],[Item]],Items!$A$1:$F$43,3,FALSE))</f>
        <v/>
      </c>
      <c r="Q981" s="90" t="str">
        <f>IF(VLOOKUP(UncLookup[[#This Row],[Item]],Items!$A$1:$F$43,4,FALSE)=0,"",VLOOKUP(UncLookup[[#This Row],[Item]],Items!$A$1:$F$43,4,FALSE))</f>
        <v/>
      </c>
    </row>
    <row r="982" spans="1:17" x14ac:dyDescent="0.25">
      <c r="A982" s="75" t="s">
        <v>56</v>
      </c>
      <c r="B982" s="75" t="s">
        <v>47</v>
      </c>
      <c r="C982" s="75">
        <v>0.1</v>
      </c>
      <c r="D982" s="78">
        <v>1</v>
      </c>
      <c r="E982" s="75">
        <v>1E-3</v>
      </c>
      <c r="F982" s="75" t="s">
        <v>13</v>
      </c>
      <c r="G982" s="75" t="s">
        <v>12</v>
      </c>
      <c r="H982" s="75">
        <v>4.4999999999999998E-2</v>
      </c>
      <c r="I982" s="75">
        <v>0.1</v>
      </c>
      <c r="J982" s="75" t="s">
        <v>10</v>
      </c>
      <c r="K982" s="75">
        <v>0.59375999999999995</v>
      </c>
      <c r="L982" s="75">
        <v>0.70043999999999995</v>
      </c>
      <c r="M982" s="75">
        <v>0.59214999999999995</v>
      </c>
      <c r="N982" s="75">
        <v>0.69986000000000004</v>
      </c>
      <c r="O982" s="90" t="str">
        <f>IF(VLOOKUP(UncLookup[[#This Row],[Item]],Items!$A$1:$F$43,2,FALSE)=0,"",VLOOKUP(UncLookup[[#This Row],[Item]],Items!$A$1:$F$43,2,FALSE))</f>
        <v/>
      </c>
      <c r="P982" s="90" t="str">
        <f>IF(VLOOKUP(UncLookup[[#This Row],[Item]],Items!$A$1:$F$43,3,FALSE)=0,"",VLOOKUP(UncLookup[[#This Row],[Item]],Items!$A$1:$F$43,3,FALSE))</f>
        <v/>
      </c>
      <c r="Q982" s="90" t="str">
        <f>IF(VLOOKUP(UncLookup[[#This Row],[Item]],Items!$A$1:$F$43,4,FALSE)=0,"",VLOOKUP(UncLookup[[#This Row],[Item]],Items!$A$1:$F$43,4,FALSE))</f>
        <v/>
      </c>
    </row>
    <row r="983" spans="1:17" x14ac:dyDescent="0.25">
      <c r="A983" s="76" t="s">
        <v>56</v>
      </c>
      <c r="B983" s="76" t="s">
        <v>47</v>
      </c>
      <c r="C983" s="76">
        <v>0.1</v>
      </c>
      <c r="D983" s="7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90" t="str">
        <f>IF(VLOOKUP(UncLookup[[#This Row],[Item]],Items!$A$1:$F$43,2,FALSE)=0,"",VLOOKUP(UncLookup[[#This Row],[Item]],Items!$A$1:$F$43,2,FALSE))</f>
        <v/>
      </c>
      <c r="P983" s="90" t="str">
        <f>IF(VLOOKUP(UncLookup[[#This Row],[Item]],Items!$A$1:$F$43,3,FALSE)=0,"",VLOOKUP(UncLookup[[#This Row],[Item]],Items!$A$1:$F$43,3,FALSE))</f>
        <v/>
      </c>
      <c r="Q983" s="90" t="str">
        <f>IF(VLOOKUP(UncLookup[[#This Row],[Item]],Items!$A$1:$F$43,4,FALSE)=0,"",VLOOKUP(UncLookup[[#This Row],[Item]],Items!$A$1:$F$43,4,FALSE))</f>
        <v/>
      </c>
    </row>
    <row r="984" spans="1:17" x14ac:dyDescent="0.25">
      <c r="A984" s="75" t="s">
        <v>56</v>
      </c>
      <c r="B984" s="75" t="s">
        <v>47</v>
      </c>
      <c r="C984" s="75">
        <v>0.1</v>
      </c>
      <c r="D984" s="75">
        <v>1</v>
      </c>
      <c r="E984" s="75">
        <v>1E-3</v>
      </c>
      <c r="F984" s="75" t="s">
        <v>13</v>
      </c>
      <c r="G984" s="75" t="s">
        <v>12</v>
      </c>
      <c r="H984" s="75">
        <v>1E-3</v>
      </c>
      <c r="I984" s="75">
        <v>0.02</v>
      </c>
      <c r="J984" s="75" t="s">
        <v>10</v>
      </c>
      <c r="K984" s="75">
        <v>0.46103</v>
      </c>
      <c r="L984" s="75">
        <v>4.4237000000000002</v>
      </c>
      <c r="M984" s="75">
        <v>0.45974999999999999</v>
      </c>
      <c r="N984" s="75">
        <v>4.4244000000000003</v>
      </c>
      <c r="O984" s="90" t="str">
        <f>IF(VLOOKUP(UncLookup[[#This Row],[Item]],Items!$A$1:$F$43,2,FALSE)=0,"",VLOOKUP(UncLookup[[#This Row],[Item]],Items!$A$1:$F$43,2,FALSE))</f>
        <v/>
      </c>
      <c r="P984" s="90" t="str">
        <f>IF(VLOOKUP(UncLookup[[#This Row],[Item]],Items!$A$1:$F$43,3,FALSE)=0,"",VLOOKUP(UncLookup[[#This Row],[Item]],Items!$A$1:$F$43,3,FALSE))</f>
        <v/>
      </c>
      <c r="Q984" s="90" t="str">
        <f>IF(VLOOKUP(UncLookup[[#This Row],[Item]],Items!$A$1:$F$43,4,FALSE)=0,"",VLOOKUP(UncLookup[[#This Row],[Item]],Items!$A$1:$F$43,4,FALSE))</f>
        <v/>
      </c>
    </row>
    <row r="985" spans="1:17" x14ac:dyDescent="0.25">
      <c r="A985" s="76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90" t="str">
        <f>IF(VLOOKUP(UncLookup[[#This Row],[Item]],Items!$A$1:$F$43,2,FALSE)=0,"",VLOOKUP(UncLookup[[#This Row],[Item]],Items!$A$1:$F$43,2,FALSE))</f>
        <v/>
      </c>
      <c r="P985" s="90" t="str">
        <f>IF(VLOOKUP(UncLookup[[#This Row],[Item]],Items!$A$1:$F$43,3,FALSE)=0,"",VLOOKUP(UncLookup[[#This Row],[Item]],Items!$A$1:$F$43,3,FALSE))</f>
        <v/>
      </c>
      <c r="Q985" s="90" t="str">
        <f>IF(VLOOKUP(UncLookup[[#This Row],[Item]],Items!$A$1:$F$43,4,FALSE)=0,"",VLOOKUP(UncLookup[[#This Row],[Item]],Items!$A$1:$F$43,4,FALSE))</f>
        <v/>
      </c>
    </row>
    <row r="986" spans="1:17" x14ac:dyDescent="0.25">
      <c r="A986" s="75" t="s">
        <v>56</v>
      </c>
      <c r="B986" s="75" t="s">
        <v>47</v>
      </c>
      <c r="C986" s="75">
        <v>0.1</v>
      </c>
      <c r="D986" s="75">
        <v>1</v>
      </c>
      <c r="E986" s="75">
        <v>1E-3</v>
      </c>
      <c r="F986" s="75" t="s">
        <v>13</v>
      </c>
      <c r="G986" s="75" t="s">
        <v>12</v>
      </c>
      <c r="H986" s="75">
        <v>20</v>
      </c>
      <c r="I986" s="75">
        <v>50</v>
      </c>
      <c r="J986" s="75" t="s">
        <v>10</v>
      </c>
      <c r="K986" s="75">
        <v>0.53612000000000004</v>
      </c>
      <c r="L986" s="75">
        <v>11.933999999999999</v>
      </c>
      <c r="M986" s="75">
        <v>0.5524</v>
      </c>
      <c r="N986" s="75">
        <v>11.696999999999999</v>
      </c>
      <c r="O986" s="90" t="str">
        <f>IF(VLOOKUP(UncLookup[[#This Row],[Item]],Items!$A$1:$F$43,2,FALSE)=0,"",VLOOKUP(UncLookup[[#This Row],[Item]],Items!$A$1:$F$43,2,FALSE))</f>
        <v/>
      </c>
      <c r="P986" s="90" t="str">
        <f>IF(VLOOKUP(UncLookup[[#This Row],[Item]],Items!$A$1:$F$43,3,FALSE)=0,"",VLOOKUP(UncLookup[[#This Row],[Item]],Items!$A$1:$F$43,3,FALSE))</f>
        <v/>
      </c>
      <c r="Q986" s="90" t="str">
        <f>IF(VLOOKUP(UncLookup[[#This Row],[Item]],Items!$A$1:$F$43,4,FALSE)=0,"",VLOOKUP(UncLookup[[#This Row],[Item]],Items!$A$1:$F$43,4,FALSE))</f>
        <v/>
      </c>
    </row>
    <row r="987" spans="1:17" x14ac:dyDescent="0.25">
      <c r="A987" s="76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90" t="str">
        <f>IF(VLOOKUP(UncLookup[[#This Row],[Item]],Items!$A$1:$F$43,2,FALSE)=0,"",VLOOKUP(UncLookup[[#This Row],[Item]],Items!$A$1:$F$43,2,FALSE))</f>
        <v/>
      </c>
      <c r="P987" s="90" t="str">
        <f>IF(VLOOKUP(UncLookup[[#This Row],[Item]],Items!$A$1:$F$43,3,FALSE)=0,"",VLOOKUP(UncLookup[[#This Row],[Item]],Items!$A$1:$F$43,3,FALSE))</f>
        <v/>
      </c>
      <c r="Q987" s="90" t="str">
        <f>IF(VLOOKUP(UncLookup[[#This Row],[Item]],Items!$A$1:$F$43,4,FALSE)=0,"",VLOOKUP(UncLookup[[#This Row],[Item]],Items!$A$1:$F$43,4,FALSE))</f>
        <v/>
      </c>
    </row>
    <row r="988" spans="1:17" x14ac:dyDescent="0.25">
      <c r="A988" s="75" t="s">
        <v>56</v>
      </c>
      <c r="B988" s="75" t="s">
        <v>47</v>
      </c>
      <c r="C988" s="75">
        <v>0.1</v>
      </c>
      <c r="D988" s="75">
        <v>1</v>
      </c>
      <c r="E988" s="75">
        <v>0.01</v>
      </c>
      <c r="F988" s="75" t="s">
        <v>13</v>
      </c>
      <c r="G988" s="75" t="s">
        <v>12</v>
      </c>
      <c r="H988" s="75">
        <v>20</v>
      </c>
      <c r="I988" s="75">
        <v>50</v>
      </c>
      <c r="J988" s="75" t="s">
        <v>10</v>
      </c>
      <c r="K988" s="75">
        <v>5.1677999999999997</v>
      </c>
      <c r="L988" s="75">
        <v>8.3948999999999998</v>
      </c>
      <c r="M988" s="75">
        <v>5.1615000000000002</v>
      </c>
      <c r="N988" s="75">
        <v>8.3731000000000009</v>
      </c>
      <c r="O988" s="90" t="str">
        <f>IF(VLOOKUP(UncLookup[[#This Row],[Item]],Items!$A$1:$F$43,2,FALSE)=0,"",VLOOKUP(UncLookup[[#This Row],[Item]],Items!$A$1:$F$43,2,FALSE))</f>
        <v/>
      </c>
      <c r="P988" s="90" t="str">
        <f>IF(VLOOKUP(UncLookup[[#This Row],[Item]],Items!$A$1:$F$43,3,FALSE)=0,"",VLOOKUP(UncLookup[[#This Row],[Item]],Items!$A$1:$F$43,3,FALSE))</f>
        <v/>
      </c>
      <c r="Q988" s="90" t="str">
        <f>IF(VLOOKUP(UncLookup[[#This Row],[Item]],Items!$A$1:$F$43,4,FALSE)=0,"",VLOOKUP(UncLookup[[#This Row],[Item]],Items!$A$1:$F$43,4,FALSE))</f>
        <v/>
      </c>
    </row>
    <row r="989" spans="1:17" x14ac:dyDescent="0.25">
      <c r="A989" s="76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90" t="str">
        <f>IF(VLOOKUP(UncLookup[[#This Row],[Item]],Items!$A$1:$F$43,2,FALSE)=0,"",VLOOKUP(UncLookup[[#This Row],[Item]],Items!$A$1:$F$43,2,FALSE))</f>
        <v/>
      </c>
      <c r="P989" s="90" t="str">
        <f>IF(VLOOKUP(UncLookup[[#This Row],[Item]],Items!$A$1:$F$43,3,FALSE)=0,"",VLOOKUP(UncLookup[[#This Row],[Item]],Items!$A$1:$F$43,3,FALSE))</f>
        <v/>
      </c>
      <c r="Q989" s="90" t="str">
        <f>IF(VLOOKUP(UncLookup[[#This Row],[Item]],Items!$A$1:$F$43,4,FALSE)=0,"",VLOOKUP(UncLookup[[#This Row],[Item]],Items!$A$1:$F$43,4,FALSE))</f>
        <v/>
      </c>
    </row>
    <row r="990" spans="1:17" x14ac:dyDescent="0.25">
      <c r="A990" s="75" t="s">
        <v>56</v>
      </c>
      <c r="B990" s="75" t="s">
        <v>47</v>
      </c>
      <c r="C990" s="75">
        <v>0.1</v>
      </c>
      <c r="D990" s="75">
        <v>1</v>
      </c>
      <c r="E990" s="75">
        <v>0.01</v>
      </c>
      <c r="F990" s="75" t="s">
        <v>13</v>
      </c>
      <c r="G990" s="75" t="s">
        <v>12</v>
      </c>
      <c r="H990" s="75">
        <v>0.02</v>
      </c>
      <c r="I990" s="75">
        <v>4.4999999999999998E-2</v>
      </c>
      <c r="J990" s="75" t="s">
        <v>10</v>
      </c>
      <c r="K990" s="75">
        <v>5.7507000000000001</v>
      </c>
      <c r="L990" s="75">
        <v>0.38796999999999998</v>
      </c>
      <c r="M990" s="75">
        <v>5.75</v>
      </c>
      <c r="N990" s="75">
        <v>0.38675999999999999</v>
      </c>
      <c r="O990" s="90" t="str">
        <f>IF(VLOOKUP(UncLookup[[#This Row],[Item]],Items!$A$1:$F$43,2,FALSE)=0,"",VLOOKUP(UncLookup[[#This Row],[Item]],Items!$A$1:$F$43,2,FALSE))</f>
        <v/>
      </c>
      <c r="P990" s="90" t="str">
        <f>IF(VLOOKUP(UncLookup[[#This Row],[Item]],Items!$A$1:$F$43,3,FALSE)=0,"",VLOOKUP(UncLookup[[#This Row],[Item]],Items!$A$1:$F$43,3,FALSE))</f>
        <v/>
      </c>
      <c r="Q990" s="90" t="str">
        <f>IF(VLOOKUP(UncLookup[[#This Row],[Item]],Items!$A$1:$F$43,4,FALSE)=0,"",VLOOKUP(UncLookup[[#This Row],[Item]],Items!$A$1:$F$43,4,FALSE))</f>
        <v/>
      </c>
    </row>
    <row r="991" spans="1:17" x14ac:dyDescent="0.25">
      <c r="A991" s="76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90" t="str">
        <f>IF(VLOOKUP(UncLookup[[#This Row],[Item]],Items!$A$1:$F$43,2,FALSE)=0,"",VLOOKUP(UncLookup[[#This Row],[Item]],Items!$A$1:$F$43,2,FALSE))</f>
        <v/>
      </c>
      <c r="P991" s="90" t="str">
        <f>IF(VLOOKUP(UncLookup[[#This Row],[Item]],Items!$A$1:$F$43,3,FALSE)=0,"",VLOOKUP(UncLookup[[#This Row],[Item]],Items!$A$1:$F$43,3,FALSE))</f>
        <v/>
      </c>
      <c r="Q991" s="90" t="str">
        <f>IF(VLOOKUP(UncLookup[[#This Row],[Item]],Items!$A$1:$F$43,4,FALSE)=0,"",VLOOKUP(UncLookup[[#This Row],[Item]],Items!$A$1:$F$43,4,FALSE))</f>
        <v/>
      </c>
    </row>
    <row r="992" spans="1:17" x14ac:dyDescent="0.25">
      <c r="A992" s="75" t="s">
        <v>56</v>
      </c>
      <c r="B992" s="75" t="s">
        <v>47</v>
      </c>
      <c r="C992" s="75">
        <v>0.1</v>
      </c>
      <c r="D992" s="75">
        <v>1</v>
      </c>
      <c r="E992" s="75">
        <v>0.01</v>
      </c>
      <c r="F992" s="75" t="s">
        <v>13</v>
      </c>
      <c r="G992" s="75" t="s">
        <v>12</v>
      </c>
      <c r="H992" s="75">
        <v>0.1</v>
      </c>
      <c r="I992" s="75">
        <v>5</v>
      </c>
      <c r="J992" s="75" t="s">
        <v>10</v>
      </c>
      <c r="K992" s="75">
        <v>5.7670000000000003</v>
      </c>
      <c r="L992" s="75">
        <v>0.17953</v>
      </c>
      <c r="M992" s="75">
        <v>5.7663000000000002</v>
      </c>
      <c r="N992" s="75">
        <v>0.17826</v>
      </c>
      <c r="O992" s="90" t="str">
        <f>IF(VLOOKUP(UncLookup[[#This Row],[Item]],Items!$A$1:$F$43,2,FALSE)=0,"",VLOOKUP(UncLookup[[#This Row],[Item]],Items!$A$1:$F$43,2,FALSE))</f>
        <v/>
      </c>
      <c r="P992" s="90" t="str">
        <f>IF(VLOOKUP(UncLookup[[#This Row],[Item]],Items!$A$1:$F$43,3,FALSE)=0,"",VLOOKUP(UncLookup[[#This Row],[Item]],Items!$A$1:$F$43,3,FALSE))</f>
        <v/>
      </c>
      <c r="Q992" s="90" t="str">
        <f>IF(VLOOKUP(UncLookup[[#This Row],[Item]],Items!$A$1:$F$43,4,FALSE)=0,"",VLOOKUP(UncLookup[[#This Row],[Item]],Items!$A$1:$F$43,4,FALSE))</f>
        <v/>
      </c>
    </row>
    <row r="993" spans="1:17" x14ac:dyDescent="0.25">
      <c r="A993" s="76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90" t="str">
        <f>IF(VLOOKUP(UncLookup[[#This Row],[Item]],Items!$A$1:$F$43,2,FALSE)=0,"",VLOOKUP(UncLookup[[#This Row],[Item]],Items!$A$1:$F$43,2,FALSE))</f>
        <v/>
      </c>
      <c r="P993" s="90" t="str">
        <f>IF(VLOOKUP(UncLookup[[#This Row],[Item]],Items!$A$1:$F$43,3,FALSE)=0,"",VLOOKUP(UncLookup[[#This Row],[Item]],Items!$A$1:$F$43,3,FALSE))</f>
        <v/>
      </c>
      <c r="Q993" s="90" t="str">
        <f>IF(VLOOKUP(UncLookup[[#This Row],[Item]],Items!$A$1:$F$43,4,FALSE)=0,"",VLOOKUP(UncLookup[[#This Row],[Item]],Items!$A$1:$F$43,4,FALSE))</f>
        <v/>
      </c>
    </row>
    <row r="994" spans="1:17" x14ac:dyDescent="0.25">
      <c r="A994" s="75" t="s">
        <v>56</v>
      </c>
      <c r="B994" s="75" t="s">
        <v>47</v>
      </c>
      <c r="C994" s="75">
        <v>1</v>
      </c>
      <c r="D994" s="75">
        <v>10</v>
      </c>
      <c r="E994" s="75">
        <v>1.0000000000000001E-5</v>
      </c>
      <c r="F994" s="75" t="s">
        <v>13</v>
      </c>
      <c r="G994" s="75" t="s">
        <v>12</v>
      </c>
      <c r="H994" s="75">
        <v>1E-3</v>
      </c>
      <c r="I994" s="75">
        <v>0.05</v>
      </c>
      <c r="J994" s="75" t="s">
        <v>10</v>
      </c>
      <c r="K994" s="75">
        <v>0.55000000000000004</v>
      </c>
      <c r="L994" s="75">
        <v>0.12</v>
      </c>
      <c r="M994" s="75">
        <v>0.51998999999999995</v>
      </c>
      <c r="N994" s="75">
        <v>9.3087000000000003E-2</v>
      </c>
      <c r="O994" s="90" t="str">
        <f>IF(VLOOKUP(UncLookup[[#This Row],[Item]],Items!$A$1:$F$43,2,FALSE)=0,"",VLOOKUP(UncLookup[[#This Row],[Item]],Items!$A$1:$F$43,2,FALSE))</f>
        <v/>
      </c>
      <c r="P994" s="90" t="str">
        <f>IF(VLOOKUP(UncLookup[[#This Row],[Item]],Items!$A$1:$F$43,3,FALSE)=0,"",VLOOKUP(UncLookup[[#This Row],[Item]],Items!$A$1:$F$43,3,FALSE))</f>
        <v/>
      </c>
      <c r="Q994" s="90" t="str">
        <f>IF(VLOOKUP(UncLookup[[#This Row],[Item]],Items!$A$1:$F$43,4,FALSE)=0,"",VLOOKUP(UncLookup[[#This Row],[Item]],Items!$A$1:$F$43,4,FALSE))</f>
        <v/>
      </c>
    </row>
    <row r="995" spans="1:17" x14ac:dyDescent="0.25">
      <c r="A995" s="76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90" t="str">
        <f>IF(VLOOKUP(UncLookup[[#This Row],[Item]],Items!$A$1:$F$43,2,FALSE)=0,"",VLOOKUP(UncLookup[[#This Row],[Item]],Items!$A$1:$F$43,2,FALSE))</f>
        <v/>
      </c>
      <c r="P995" s="90" t="str">
        <f>IF(VLOOKUP(UncLookup[[#This Row],[Item]],Items!$A$1:$F$43,3,FALSE)=0,"",VLOOKUP(UncLookup[[#This Row],[Item]],Items!$A$1:$F$43,3,FALSE))</f>
        <v/>
      </c>
      <c r="Q995" s="90" t="str">
        <f>IF(VLOOKUP(UncLookup[[#This Row],[Item]],Items!$A$1:$F$43,4,FALSE)=0,"",VLOOKUP(UncLookup[[#This Row],[Item]],Items!$A$1:$F$43,4,FALSE))</f>
        <v/>
      </c>
    </row>
    <row r="996" spans="1:17" x14ac:dyDescent="0.25">
      <c r="A996" s="75" t="s">
        <v>56</v>
      </c>
      <c r="B996" s="75" t="s">
        <v>47</v>
      </c>
      <c r="C996" s="75">
        <v>1</v>
      </c>
      <c r="D996" s="75">
        <v>10</v>
      </c>
      <c r="E996" s="75">
        <v>1.0000000000000001E-5</v>
      </c>
      <c r="F996" s="75" t="s">
        <v>13</v>
      </c>
      <c r="G996" s="75" t="s">
        <v>12</v>
      </c>
      <c r="H996" s="75">
        <v>0.05</v>
      </c>
      <c r="I996" s="75">
        <v>1</v>
      </c>
      <c r="J996" s="75" t="s">
        <v>10</v>
      </c>
      <c r="K996" s="75">
        <v>0.46</v>
      </c>
      <c r="L996" s="75">
        <v>0.17</v>
      </c>
      <c r="M996" s="75">
        <v>0.49897000000000002</v>
      </c>
      <c r="N996" s="75">
        <v>0.12063</v>
      </c>
      <c r="O996" s="90" t="str">
        <f>IF(VLOOKUP(UncLookup[[#This Row],[Item]],Items!$A$1:$F$43,2,FALSE)=0,"",VLOOKUP(UncLookup[[#This Row],[Item]],Items!$A$1:$F$43,2,FALSE))</f>
        <v/>
      </c>
      <c r="P996" s="90" t="str">
        <f>IF(VLOOKUP(UncLookup[[#This Row],[Item]],Items!$A$1:$F$43,3,FALSE)=0,"",VLOOKUP(UncLookup[[#This Row],[Item]],Items!$A$1:$F$43,3,FALSE))</f>
        <v/>
      </c>
      <c r="Q996" s="90" t="str">
        <f>IF(VLOOKUP(UncLookup[[#This Row],[Item]],Items!$A$1:$F$43,4,FALSE)=0,"",VLOOKUP(UncLookup[[#This Row],[Item]],Items!$A$1:$F$43,4,FALSE))</f>
        <v/>
      </c>
    </row>
    <row r="997" spans="1:17" x14ac:dyDescent="0.25">
      <c r="A997" s="76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90" t="str">
        <f>IF(VLOOKUP(UncLookup[[#This Row],[Item]],Items!$A$1:$F$43,2,FALSE)=0,"",VLOOKUP(UncLookup[[#This Row],[Item]],Items!$A$1:$F$43,2,FALSE))</f>
        <v/>
      </c>
      <c r="P997" s="90" t="str">
        <f>IF(VLOOKUP(UncLookup[[#This Row],[Item]],Items!$A$1:$F$43,3,FALSE)=0,"",VLOOKUP(UncLookup[[#This Row],[Item]],Items!$A$1:$F$43,3,FALSE))</f>
        <v/>
      </c>
      <c r="Q997" s="90" t="str">
        <f>IF(VLOOKUP(UncLookup[[#This Row],[Item]],Items!$A$1:$F$43,4,FALSE)=0,"",VLOOKUP(UncLookup[[#This Row],[Item]],Items!$A$1:$F$43,4,FALSE))</f>
        <v/>
      </c>
    </row>
    <row r="998" spans="1:17" x14ac:dyDescent="0.25">
      <c r="A998" s="75" t="s">
        <v>56</v>
      </c>
      <c r="B998" s="75" t="s">
        <v>47</v>
      </c>
      <c r="C998" s="75">
        <v>1</v>
      </c>
      <c r="D998" s="75">
        <v>10</v>
      </c>
      <c r="E998" s="75">
        <v>1E-4</v>
      </c>
      <c r="F998" s="75" t="s">
        <v>13</v>
      </c>
      <c r="G998" s="75" t="s">
        <v>12</v>
      </c>
      <c r="H998" s="75">
        <v>0.05</v>
      </c>
      <c r="I998" s="75">
        <v>1</v>
      </c>
      <c r="J998" s="75" t="s">
        <v>10</v>
      </c>
      <c r="K998" s="75">
        <v>0.46</v>
      </c>
      <c r="L998" s="75">
        <v>0.16805999999999999</v>
      </c>
      <c r="M998" s="75">
        <v>0.50268999999999997</v>
      </c>
      <c r="N998" s="75">
        <v>0.12039</v>
      </c>
      <c r="O998" s="90" t="str">
        <f>IF(VLOOKUP(UncLookup[[#This Row],[Item]],Items!$A$1:$F$43,2,FALSE)=0,"",VLOOKUP(UncLookup[[#This Row],[Item]],Items!$A$1:$F$43,2,FALSE))</f>
        <v/>
      </c>
      <c r="P998" s="90" t="str">
        <f>IF(VLOOKUP(UncLookup[[#This Row],[Item]],Items!$A$1:$F$43,3,FALSE)=0,"",VLOOKUP(UncLookup[[#This Row],[Item]],Items!$A$1:$F$43,3,FALSE))</f>
        <v/>
      </c>
      <c r="Q998" s="90" t="str">
        <f>IF(VLOOKUP(UncLookup[[#This Row],[Item]],Items!$A$1:$F$43,4,FALSE)=0,"",VLOOKUP(UncLookup[[#This Row],[Item]],Items!$A$1:$F$43,4,FALSE))</f>
        <v/>
      </c>
    </row>
    <row r="999" spans="1:17" x14ac:dyDescent="0.25">
      <c r="A999" s="76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90" t="str">
        <f>IF(VLOOKUP(UncLookup[[#This Row],[Item]],Items!$A$1:$F$43,2,FALSE)=0,"",VLOOKUP(UncLookup[[#This Row],[Item]],Items!$A$1:$F$43,2,FALSE))</f>
        <v/>
      </c>
      <c r="P999" s="90" t="str">
        <f>IF(VLOOKUP(UncLookup[[#This Row],[Item]],Items!$A$1:$F$43,3,FALSE)=0,"",VLOOKUP(UncLookup[[#This Row],[Item]],Items!$A$1:$F$43,3,FALSE))</f>
        <v/>
      </c>
      <c r="Q999" s="90" t="str">
        <f>IF(VLOOKUP(UncLookup[[#This Row],[Item]],Items!$A$1:$F$43,4,FALSE)=0,"",VLOOKUP(UncLookup[[#This Row],[Item]],Items!$A$1:$F$43,4,FALSE))</f>
        <v/>
      </c>
    </row>
    <row r="1000" spans="1:17" x14ac:dyDescent="0.25">
      <c r="A1000" s="75" t="s">
        <v>56</v>
      </c>
      <c r="B1000" s="75" t="s">
        <v>47</v>
      </c>
      <c r="C1000" s="75">
        <v>1</v>
      </c>
      <c r="D1000" s="75">
        <v>10</v>
      </c>
      <c r="E1000" s="75">
        <v>1E-3</v>
      </c>
      <c r="F1000" s="75" t="s">
        <v>13</v>
      </c>
      <c r="G1000" s="75" t="s">
        <v>12</v>
      </c>
      <c r="H1000" s="75">
        <v>0.05</v>
      </c>
      <c r="I1000" s="75">
        <v>1</v>
      </c>
      <c r="J1000" s="75" t="s">
        <v>10</v>
      </c>
      <c r="K1000" s="75">
        <v>0.72094000000000003</v>
      </c>
      <c r="L1000" s="75">
        <v>0.14191000000000001</v>
      </c>
      <c r="M1000" s="75">
        <v>0.74419000000000002</v>
      </c>
      <c r="N1000" s="75">
        <v>0.10576000000000001</v>
      </c>
      <c r="O1000" s="90" t="str">
        <f>IF(VLOOKUP(UncLookup[[#This Row],[Item]],Items!$A$1:$F$43,2,FALSE)=0,"",VLOOKUP(UncLookup[[#This Row],[Item]],Items!$A$1:$F$43,2,FALSE))</f>
        <v/>
      </c>
      <c r="P1000" s="90" t="str">
        <f>IF(VLOOKUP(UncLookup[[#This Row],[Item]],Items!$A$1:$F$43,3,FALSE)=0,"",VLOOKUP(UncLookup[[#This Row],[Item]],Items!$A$1:$F$43,3,FALSE))</f>
        <v/>
      </c>
      <c r="Q1000" s="90" t="str">
        <f>IF(VLOOKUP(UncLookup[[#This Row],[Item]],Items!$A$1:$F$43,4,FALSE)=0,"",VLOOKUP(UncLookup[[#This Row],[Item]],Items!$A$1:$F$43,4,FALSE))</f>
        <v/>
      </c>
    </row>
    <row r="1001" spans="1:17" x14ac:dyDescent="0.25">
      <c r="A1001" s="76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90" t="str">
        <f>IF(VLOOKUP(UncLookup[[#This Row],[Item]],Items!$A$1:$F$43,2,FALSE)=0,"",VLOOKUP(UncLookup[[#This Row],[Item]],Items!$A$1:$F$43,2,FALSE))</f>
        <v/>
      </c>
      <c r="P1001" s="90" t="str">
        <f>IF(VLOOKUP(UncLookup[[#This Row],[Item]],Items!$A$1:$F$43,3,FALSE)=0,"",VLOOKUP(UncLookup[[#This Row],[Item]],Items!$A$1:$F$43,3,FALSE))</f>
        <v/>
      </c>
      <c r="Q1001" s="90" t="str">
        <f>IF(VLOOKUP(UncLookup[[#This Row],[Item]],Items!$A$1:$F$43,4,FALSE)=0,"",VLOOKUP(UncLookup[[#This Row],[Item]],Items!$A$1:$F$43,4,FALSE))</f>
        <v/>
      </c>
    </row>
    <row r="1002" spans="1:17" x14ac:dyDescent="0.25">
      <c r="A1002" s="75" t="s">
        <v>56</v>
      </c>
      <c r="B1002" s="75" t="s">
        <v>47</v>
      </c>
      <c r="C1002" s="75">
        <v>1</v>
      </c>
      <c r="D1002" s="75">
        <v>10</v>
      </c>
      <c r="E1002" s="75">
        <v>1E-3</v>
      </c>
      <c r="F1002" s="75" t="s">
        <v>13</v>
      </c>
      <c r="G1002" s="75" t="s">
        <v>12</v>
      </c>
      <c r="H1002" s="75">
        <v>1E-3</v>
      </c>
      <c r="I1002" s="75">
        <v>0.05</v>
      </c>
      <c r="J1002" s="75" t="s">
        <v>10</v>
      </c>
      <c r="K1002" s="75">
        <v>0.75909000000000004</v>
      </c>
      <c r="L1002" s="75">
        <v>9.9090999999999999E-2</v>
      </c>
      <c r="M1002" s="75">
        <v>0.76541999999999999</v>
      </c>
      <c r="N1002" s="75">
        <v>7.9774999999999999E-2</v>
      </c>
      <c r="O1002" s="90" t="str">
        <f>IF(VLOOKUP(UncLookup[[#This Row],[Item]],Items!$A$1:$F$43,2,FALSE)=0,"",VLOOKUP(UncLookup[[#This Row],[Item]],Items!$A$1:$F$43,2,FALSE))</f>
        <v/>
      </c>
      <c r="P1002" s="90" t="str">
        <f>IF(VLOOKUP(UncLookup[[#This Row],[Item]],Items!$A$1:$F$43,3,FALSE)=0,"",VLOOKUP(UncLookup[[#This Row],[Item]],Items!$A$1:$F$43,3,FALSE))</f>
        <v/>
      </c>
      <c r="Q1002" s="90" t="str">
        <f>IF(VLOOKUP(UncLookup[[#This Row],[Item]],Items!$A$1:$F$43,4,FALSE)=0,"",VLOOKUP(UncLookup[[#This Row],[Item]],Items!$A$1:$F$43,4,FALSE))</f>
        <v/>
      </c>
    </row>
    <row r="1003" spans="1:17" x14ac:dyDescent="0.25">
      <c r="A1003" s="76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90" t="str">
        <f>IF(VLOOKUP(UncLookup[[#This Row],[Item]],Items!$A$1:$F$43,2,FALSE)=0,"",VLOOKUP(UncLookup[[#This Row],[Item]],Items!$A$1:$F$43,2,FALSE))</f>
        <v/>
      </c>
      <c r="P1003" s="90" t="str">
        <f>IF(VLOOKUP(UncLookup[[#This Row],[Item]],Items!$A$1:$F$43,3,FALSE)=0,"",VLOOKUP(UncLookup[[#This Row],[Item]],Items!$A$1:$F$43,3,FALSE))</f>
        <v/>
      </c>
      <c r="Q1003" s="90" t="str">
        <f>IF(VLOOKUP(UncLookup[[#This Row],[Item]],Items!$A$1:$F$43,4,FALSE)=0,"",VLOOKUP(UncLookup[[#This Row],[Item]],Items!$A$1:$F$43,4,FALSE))</f>
        <v/>
      </c>
    </row>
    <row r="1004" spans="1:17" x14ac:dyDescent="0.25">
      <c r="A1004" s="75" t="s">
        <v>56</v>
      </c>
      <c r="B1004" s="75" t="s">
        <v>47</v>
      </c>
      <c r="C1004" s="75">
        <v>1</v>
      </c>
      <c r="D1004" s="75">
        <v>10</v>
      </c>
      <c r="E1004" s="75">
        <v>0.01</v>
      </c>
      <c r="F1004" s="75" t="s">
        <v>13</v>
      </c>
      <c r="G1004" s="75" t="s">
        <v>12</v>
      </c>
      <c r="H1004" s="75">
        <v>1</v>
      </c>
      <c r="I1004" s="75">
        <v>5</v>
      </c>
      <c r="J1004" s="75" t="s">
        <v>10</v>
      </c>
      <c r="K1004" s="75">
        <v>5.82</v>
      </c>
      <c r="L1004" s="75">
        <v>0.34986</v>
      </c>
      <c r="M1004" s="75">
        <v>5.8127000000000004</v>
      </c>
      <c r="N1004" s="75">
        <v>0.35015000000000002</v>
      </c>
      <c r="O1004" s="90" t="str">
        <f>IF(VLOOKUP(UncLookup[[#This Row],[Item]],Items!$A$1:$F$43,2,FALSE)=0,"",VLOOKUP(UncLookup[[#This Row],[Item]],Items!$A$1:$F$43,2,FALSE))</f>
        <v/>
      </c>
      <c r="P1004" s="90" t="str">
        <f>IF(VLOOKUP(UncLookup[[#This Row],[Item]],Items!$A$1:$F$43,3,FALSE)=0,"",VLOOKUP(UncLookup[[#This Row],[Item]],Items!$A$1:$F$43,3,FALSE))</f>
        <v/>
      </c>
      <c r="Q1004" s="90" t="str">
        <f>IF(VLOOKUP(UncLookup[[#This Row],[Item]],Items!$A$1:$F$43,4,FALSE)=0,"",VLOOKUP(UncLookup[[#This Row],[Item]],Items!$A$1:$F$43,4,FALSE))</f>
        <v/>
      </c>
    </row>
    <row r="1005" spans="1:17" x14ac:dyDescent="0.25">
      <c r="A1005" s="76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90" t="str">
        <f>IF(VLOOKUP(UncLookup[[#This Row],[Item]],Items!$A$1:$F$43,2,FALSE)=0,"",VLOOKUP(UncLookup[[#This Row],[Item]],Items!$A$1:$F$43,2,FALSE))</f>
        <v/>
      </c>
      <c r="P1005" s="90" t="str">
        <f>IF(VLOOKUP(UncLookup[[#This Row],[Item]],Items!$A$1:$F$43,3,FALSE)=0,"",VLOOKUP(UncLookup[[#This Row],[Item]],Items!$A$1:$F$43,3,FALSE))</f>
        <v/>
      </c>
      <c r="Q1005" s="90" t="str">
        <f>IF(VLOOKUP(UncLookup[[#This Row],[Item]],Items!$A$1:$F$43,4,FALSE)=0,"",VLOOKUP(UncLookup[[#This Row],[Item]],Items!$A$1:$F$43,4,FALSE))</f>
        <v/>
      </c>
    </row>
    <row r="1006" spans="1:17" x14ac:dyDescent="0.25">
      <c r="A1006" s="75" t="s">
        <v>56</v>
      </c>
      <c r="B1006" s="75" t="s">
        <v>47</v>
      </c>
      <c r="C1006" s="75">
        <v>1</v>
      </c>
      <c r="D1006" s="75">
        <v>10</v>
      </c>
      <c r="E1006" s="75">
        <v>0.1</v>
      </c>
      <c r="F1006" s="75" t="s">
        <v>13</v>
      </c>
      <c r="G1006" s="75" t="s">
        <v>12</v>
      </c>
      <c r="H1006" s="75">
        <v>0.05</v>
      </c>
      <c r="I1006" s="75">
        <v>1</v>
      </c>
      <c r="J1006" s="75" t="s">
        <v>10</v>
      </c>
      <c r="K1006" s="75">
        <v>57.74</v>
      </c>
      <c r="L1006" s="75">
        <v>2.428E-3</v>
      </c>
      <c r="M1006" s="75">
        <v>57.737000000000002</v>
      </c>
      <c r="N1006" s="75">
        <v>2.4282000000000001E-3</v>
      </c>
      <c r="O1006" s="90" t="str">
        <f>IF(VLOOKUP(UncLookup[[#This Row],[Item]],Items!$A$1:$F$43,2,FALSE)=0,"",VLOOKUP(UncLookup[[#This Row],[Item]],Items!$A$1:$F$43,2,FALSE))</f>
        <v/>
      </c>
      <c r="P1006" s="90" t="str">
        <f>IF(VLOOKUP(UncLookup[[#This Row],[Item]],Items!$A$1:$F$43,3,FALSE)=0,"",VLOOKUP(UncLookup[[#This Row],[Item]],Items!$A$1:$F$43,3,FALSE))</f>
        <v/>
      </c>
      <c r="Q1006" s="90" t="str">
        <f>IF(VLOOKUP(UncLookup[[#This Row],[Item]],Items!$A$1:$F$43,4,FALSE)=0,"",VLOOKUP(UncLookup[[#This Row],[Item]],Items!$A$1:$F$43,4,FALSE))</f>
        <v/>
      </c>
    </row>
    <row r="1007" spans="1:17" x14ac:dyDescent="0.25">
      <c r="A1007" s="76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90" t="str">
        <f>IF(VLOOKUP(UncLookup[[#This Row],[Item]],Items!$A$1:$F$43,2,FALSE)=0,"",VLOOKUP(UncLookup[[#This Row],[Item]],Items!$A$1:$F$43,2,FALSE))</f>
        <v/>
      </c>
      <c r="P1007" s="90" t="str">
        <f>IF(VLOOKUP(UncLookup[[#This Row],[Item]],Items!$A$1:$F$43,3,FALSE)=0,"",VLOOKUP(UncLookup[[#This Row],[Item]],Items!$A$1:$F$43,3,FALSE))</f>
        <v/>
      </c>
      <c r="Q1007" s="90" t="str">
        <f>IF(VLOOKUP(UncLookup[[#This Row],[Item]],Items!$A$1:$F$43,4,FALSE)=0,"",VLOOKUP(UncLookup[[#This Row],[Item]],Items!$A$1:$F$43,4,FALSE))</f>
        <v/>
      </c>
    </row>
    <row r="1008" spans="1:17" x14ac:dyDescent="0.25">
      <c r="A1008" s="75" t="s">
        <v>56</v>
      </c>
      <c r="B1008" s="75" t="s">
        <v>47</v>
      </c>
      <c r="C1008" s="75">
        <v>1</v>
      </c>
      <c r="D1008" s="75">
        <v>10</v>
      </c>
      <c r="E1008" s="75">
        <v>0.1</v>
      </c>
      <c r="F1008" s="75" t="s">
        <v>13</v>
      </c>
      <c r="G1008" s="75" t="s">
        <v>12</v>
      </c>
      <c r="H1008" s="75">
        <v>1E-3</v>
      </c>
      <c r="I1008" s="75">
        <v>0.05</v>
      </c>
      <c r="J1008" s="75" t="s">
        <v>10</v>
      </c>
      <c r="K1008" s="75">
        <v>57.741</v>
      </c>
      <c r="L1008" s="75">
        <v>1.6634E-3</v>
      </c>
      <c r="M1008" s="75">
        <v>57.738</v>
      </c>
      <c r="N1008" s="75">
        <v>1.6635E-3</v>
      </c>
      <c r="O1008" s="90" t="str">
        <f>IF(VLOOKUP(UncLookup[[#This Row],[Item]],Items!$A$1:$F$43,2,FALSE)=0,"",VLOOKUP(UncLookup[[#This Row],[Item]],Items!$A$1:$F$43,2,FALSE))</f>
        <v/>
      </c>
      <c r="P1008" s="90" t="str">
        <f>IF(VLOOKUP(UncLookup[[#This Row],[Item]],Items!$A$1:$F$43,3,FALSE)=0,"",VLOOKUP(UncLookup[[#This Row],[Item]],Items!$A$1:$F$43,3,FALSE))</f>
        <v/>
      </c>
      <c r="Q1008" s="90" t="str">
        <f>IF(VLOOKUP(UncLookup[[#This Row],[Item]],Items!$A$1:$F$43,4,FALSE)=0,"",VLOOKUP(UncLookup[[#This Row],[Item]],Items!$A$1:$F$43,4,FALSE))</f>
        <v/>
      </c>
    </row>
    <row r="1009" spans="1:17" x14ac:dyDescent="0.25">
      <c r="A1009" s="76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90" t="str">
        <f>IF(VLOOKUP(UncLookup[[#This Row],[Item]],Items!$A$1:$F$43,2,FALSE)=0,"",VLOOKUP(UncLookup[[#This Row],[Item]],Items!$A$1:$F$43,2,FALSE))</f>
        <v/>
      </c>
      <c r="P1009" s="90" t="str">
        <f>IF(VLOOKUP(UncLookup[[#This Row],[Item]],Items!$A$1:$F$43,3,FALSE)=0,"",VLOOKUP(UncLookup[[#This Row],[Item]],Items!$A$1:$F$43,3,FALSE))</f>
        <v/>
      </c>
      <c r="Q1009" s="90" t="str">
        <f>IF(VLOOKUP(UncLookup[[#This Row],[Item]],Items!$A$1:$F$43,4,FALSE)=0,"",VLOOKUP(UncLookup[[#This Row],[Item]],Items!$A$1:$F$43,4,FALSE))</f>
        <v/>
      </c>
    </row>
    <row r="1010" spans="1:17" x14ac:dyDescent="0.25">
      <c r="A1010" s="75" t="s">
        <v>56</v>
      </c>
      <c r="B1010" s="75" t="s">
        <v>47</v>
      </c>
      <c r="C1010" s="75">
        <v>10</v>
      </c>
      <c r="D1010" s="75">
        <v>20</v>
      </c>
      <c r="E1010" s="75">
        <v>1.0000000000000001E-5</v>
      </c>
      <c r="F1010" s="75" t="s">
        <v>13</v>
      </c>
      <c r="G1010" s="75" t="s">
        <v>12</v>
      </c>
      <c r="H1010" s="75">
        <v>0.05</v>
      </c>
      <c r="I1010" s="75">
        <v>1</v>
      </c>
      <c r="J1010" s="75" t="s">
        <v>10</v>
      </c>
      <c r="K1010" s="75">
        <v>0</v>
      </c>
      <c r="L1010" s="75">
        <v>0.5</v>
      </c>
      <c r="M1010" s="75">
        <v>2.1831999999999998</v>
      </c>
      <c r="N1010" s="75">
        <v>0.11355999999999999</v>
      </c>
      <c r="O1010" s="90" t="str">
        <f>IF(VLOOKUP(UncLookup[[#This Row],[Item]],Items!$A$1:$F$43,2,FALSE)=0,"",VLOOKUP(UncLookup[[#This Row],[Item]],Items!$A$1:$F$43,2,FALSE))</f>
        <v/>
      </c>
      <c r="P1010" s="90" t="str">
        <f>IF(VLOOKUP(UncLookup[[#This Row],[Item]],Items!$A$1:$F$43,3,FALSE)=0,"",VLOOKUP(UncLookup[[#This Row],[Item]],Items!$A$1:$F$43,3,FALSE))</f>
        <v/>
      </c>
      <c r="Q1010" s="90" t="str">
        <f>IF(VLOOKUP(UncLookup[[#This Row],[Item]],Items!$A$1:$F$43,4,FALSE)=0,"",VLOOKUP(UncLookup[[#This Row],[Item]],Items!$A$1:$F$43,4,FALSE))</f>
        <v/>
      </c>
    </row>
    <row r="1011" spans="1:17" x14ac:dyDescent="0.25">
      <c r="A1011" s="76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90" t="str">
        <f>IF(VLOOKUP(UncLookup[[#This Row],[Item]],Items!$A$1:$F$43,2,FALSE)=0,"",VLOOKUP(UncLookup[[#This Row],[Item]],Items!$A$1:$F$43,2,FALSE))</f>
        <v/>
      </c>
      <c r="P1011" s="90" t="str">
        <f>IF(VLOOKUP(UncLookup[[#This Row],[Item]],Items!$A$1:$F$43,3,FALSE)=0,"",VLOOKUP(UncLookup[[#This Row],[Item]],Items!$A$1:$F$43,3,FALSE))</f>
        <v/>
      </c>
      <c r="Q1011" s="90" t="str">
        <f>IF(VLOOKUP(UncLookup[[#This Row],[Item]],Items!$A$1:$F$43,4,FALSE)=0,"",VLOOKUP(UncLookup[[#This Row],[Item]],Items!$A$1:$F$43,4,FALSE))</f>
        <v/>
      </c>
    </row>
    <row r="1012" spans="1:17" x14ac:dyDescent="0.25">
      <c r="A1012" s="75" t="s">
        <v>56</v>
      </c>
      <c r="B1012" s="75" t="s">
        <v>47</v>
      </c>
      <c r="C1012" s="75">
        <v>10</v>
      </c>
      <c r="D1012" s="75">
        <v>20</v>
      </c>
      <c r="E1012" s="75">
        <v>1E-4</v>
      </c>
      <c r="F1012" s="75" t="s">
        <v>13</v>
      </c>
      <c r="G1012" s="75" t="s">
        <v>12</v>
      </c>
      <c r="H1012" s="75">
        <v>1E-3</v>
      </c>
      <c r="I1012" s="75">
        <v>0.05</v>
      </c>
      <c r="J1012" s="75" t="s">
        <v>10</v>
      </c>
      <c r="K1012" s="75">
        <v>0.92</v>
      </c>
      <c r="L1012" s="75">
        <v>0.49</v>
      </c>
      <c r="M1012" s="75">
        <v>4.6379000000000001</v>
      </c>
      <c r="N1012" s="75">
        <v>8.1758999999999998E-2</v>
      </c>
      <c r="O1012" s="90" t="str">
        <f>IF(VLOOKUP(UncLookup[[#This Row],[Item]],Items!$A$1:$F$43,2,FALSE)=0,"",VLOOKUP(UncLookup[[#This Row],[Item]],Items!$A$1:$F$43,2,FALSE))</f>
        <v/>
      </c>
      <c r="P1012" s="90" t="str">
        <f>IF(VLOOKUP(UncLookup[[#This Row],[Item]],Items!$A$1:$F$43,3,FALSE)=0,"",VLOOKUP(UncLookup[[#This Row],[Item]],Items!$A$1:$F$43,3,FALSE))</f>
        <v/>
      </c>
      <c r="Q1012" s="90" t="str">
        <f>IF(VLOOKUP(UncLookup[[#This Row],[Item]],Items!$A$1:$F$43,4,FALSE)=0,"",VLOOKUP(UncLookup[[#This Row],[Item]],Items!$A$1:$F$43,4,FALSE))</f>
        <v/>
      </c>
    </row>
    <row r="1013" spans="1:17" x14ac:dyDescent="0.25">
      <c r="A1013" s="76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90" t="str">
        <f>IF(VLOOKUP(UncLookup[[#This Row],[Item]],Items!$A$1:$F$43,2,FALSE)=0,"",VLOOKUP(UncLookup[[#This Row],[Item]],Items!$A$1:$F$43,2,FALSE))</f>
        <v/>
      </c>
      <c r="P1013" s="90" t="str">
        <f>IF(VLOOKUP(UncLookup[[#This Row],[Item]],Items!$A$1:$F$43,3,FALSE)=0,"",VLOOKUP(UncLookup[[#This Row],[Item]],Items!$A$1:$F$43,3,FALSE))</f>
        <v/>
      </c>
      <c r="Q1013" s="90" t="str">
        <f>IF(VLOOKUP(UncLookup[[#This Row],[Item]],Items!$A$1:$F$43,4,FALSE)=0,"",VLOOKUP(UncLookup[[#This Row],[Item]],Items!$A$1:$F$43,4,FALSE))</f>
        <v/>
      </c>
    </row>
    <row r="1014" spans="1:17" x14ac:dyDescent="0.25">
      <c r="A1014" s="75" t="s">
        <v>56</v>
      </c>
      <c r="B1014" s="75" t="s">
        <v>47</v>
      </c>
      <c r="C1014" s="75">
        <v>10</v>
      </c>
      <c r="D1014" s="75">
        <v>20</v>
      </c>
      <c r="E1014" s="75">
        <v>1E-4</v>
      </c>
      <c r="F1014" s="75" t="s">
        <v>13</v>
      </c>
      <c r="G1014" s="75" t="s">
        <v>12</v>
      </c>
      <c r="H1014" s="75">
        <v>0.05</v>
      </c>
      <c r="I1014" s="75">
        <v>1</v>
      </c>
      <c r="J1014" s="75" t="s">
        <v>10</v>
      </c>
      <c r="K1014" s="75">
        <v>0</v>
      </c>
      <c r="L1014" s="75">
        <v>0.5</v>
      </c>
      <c r="M1014" s="75">
        <v>2.1840999999999999</v>
      </c>
      <c r="N1014" s="75">
        <v>0.11354</v>
      </c>
      <c r="O1014" s="90" t="str">
        <f>IF(VLOOKUP(UncLookup[[#This Row],[Item]],Items!$A$1:$F$43,2,FALSE)=0,"",VLOOKUP(UncLookup[[#This Row],[Item]],Items!$A$1:$F$43,2,FALSE))</f>
        <v/>
      </c>
      <c r="P1014" s="90" t="str">
        <f>IF(VLOOKUP(UncLookup[[#This Row],[Item]],Items!$A$1:$F$43,3,FALSE)=0,"",VLOOKUP(UncLookup[[#This Row],[Item]],Items!$A$1:$F$43,3,FALSE))</f>
        <v/>
      </c>
      <c r="Q1014" s="90" t="str">
        <f>IF(VLOOKUP(UncLookup[[#This Row],[Item]],Items!$A$1:$F$43,4,FALSE)=0,"",VLOOKUP(UncLookup[[#This Row],[Item]],Items!$A$1:$F$43,4,FALSE))</f>
        <v/>
      </c>
    </row>
    <row r="1015" spans="1:17" x14ac:dyDescent="0.25">
      <c r="A1015" s="76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90" t="str">
        <f>IF(VLOOKUP(UncLookup[[#This Row],[Item]],Items!$A$1:$F$43,2,FALSE)=0,"",VLOOKUP(UncLookup[[#This Row],[Item]],Items!$A$1:$F$43,2,FALSE))</f>
        <v/>
      </c>
      <c r="P1015" s="90" t="str">
        <f>IF(VLOOKUP(UncLookup[[#This Row],[Item]],Items!$A$1:$F$43,3,FALSE)=0,"",VLOOKUP(UncLookup[[#This Row],[Item]],Items!$A$1:$F$43,3,FALSE))</f>
        <v/>
      </c>
      <c r="Q1015" s="90" t="str">
        <f>IF(VLOOKUP(UncLookup[[#This Row],[Item]],Items!$A$1:$F$43,4,FALSE)=0,"",VLOOKUP(UncLookup[[#This Row],[Item]],Items!$A$1:$F$43,4,FALSE))</f>
        <v/>
      </c>
    </row>
    <row r="1016" spans="1:17" x14ac:dyDescent="0.25">
      <c r="A1016" s="75" t="s">
        <v>56</v>
      </c>
      <c r="B1016" s="75" t="s">
        <v>47</v>
      </c>
      <c r="C1016" s="75">
        <v>10</v>
      </c>
      <c r="D1016" s="75">
        <v>20</v>
      </c>
      <c r="E1016" s="75">
        <v>1E-3</v>
      </c>
      <c r="F1016" s="75" t="s">
        <v>13</v>
      </c>
      <c r="G1016" s="75" t="s">
        <v>12</v>
      </c>
      <c r="H1016" s="75">
        <v>1</v>
      </c>
      <c r="I1016" s="75">
        <v>5</v>
      </c>
      <c r="J1016" s="75" t="s">
        <v>10</v>
      </c>
      <c r="K1016" s="75">
        <v>0</v>
      </c>
      <c r="L1016" s="75">
        <v>0.95</v>
      </c>
      <c r="M1016" s="75">
        <v>1.1000000000000001</v>
      </c>
      <c r="N1016" s="75">
        <v>0.65900000000000003</v>
      </c>
      <c r="O1016" s="90" t="str">
        <f>IF(VLOOKUP(UncLookup[[#This Row],[Item]],Items!$A$1:$F$43,2,FALSE)=0,"",VLOOKUP(UncLookup[[#This Row],[Item]],Items!$A$1:$F$43,2,FALSE))</f>
        <v/>
      </c>
      <c r="P1016" s="90" t="str">
        <f>IF(VLOOKUP(UncLookup[[#This Row],[Item]],Items!$A$1:$F$43,3,FALSE)=0,"",VLOOKUP(UncLookup[[#This Row],[Item]],Items!$A$1:$F$43,3,FALSE))</f>
        <v/>
      </c>
      <c r="Q1016" s="90" t="str">
        <f>IF(VLOOKUP(UncLookup[[#This Row],[Item]],Items!$A$1:$F$43,4,FALSE)=0,"",VLOOKUP(UncLookup[[#This Row],[Item]],Items!$A$1:$F$43,4,FALSE))</f>
        <v/>
      </c>
    </row>
    <row r="1017" spans="1:17" x14ac:dyDescent="0.25">
      <c r="A1017" s="76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90" t="str">
        <f>IF(VLOOKUP(UncLookup[[#This Row],[Item]],Items!$A$1:$F$43,2,FALSE)=0,"",VLOOKUP(UncLookup[[#This Row],[Item]],Items!$A$1:$F$43,2,FALSE))</f>
        <v/>
      </c>
      <c r="P1017" s="90" t="str">
        <f>IF(VLOOKUP(UncLookup[[#This Row],[Item]],Items!$A$1:$F$43,3,FALSE)=0,"",VLOOKUP(UncLookup[[#This Row],[Item]],Items!$A$1:$F$43,3,FALSE))</f>
        <v/>
      </c>
      <c r="Q1017" s="90" t="str">
        <f>IF(VLOOKUP(UncLookup[[#This Row],[Item]],Items!$A$1:$F$43,4,FALSE)=0,"",VLOOKUP(UncLookup[[#This Row],[Item]],Items!$A$1:$F$43,4,FALSE))</f>
        <v/>
      </c>
    </row>
    <row r="1018" spans="1:17" x14ac:dyDescent="0.25">
      <c r="A1018" s="75" t="s">
        <v>56</v>
      </c>
      <c r="B1018" s="75" t="s">
        <v>47</v>
      </c>
      <c r="C1018" s="75">
        <v>10</v>
      </c>
      <c r="D1018" s="75">
        <v>20</v>
      </c>
      <c r="E1018" s="75">
        <v>0.01</v>
      </c>
      <c r="F1018" s="75" t="s">
        <v>13</v>
      </c>
      <c r="G1018" s="75" t="s">
        <v>12</v>
      </c>
      <c r="H1018" s="75">
        <v>1</v>
      </c>
      <c r="I1018" s="75">
        <v>5</v>
      </c>
      <c r="J1018" s="75" t="s">
        <v>10</v>
      </c>
      <c r="K1018" s="75">
        <v>0.21</v>
      </c>
      <c r="L1018" s="75">
        <v>0.94</v>
      </c>
      <c r="M1018" s="75">
        <v>3.81</v>
      </c>
      <c r="N1018" s="75">
        <v>0.57899999999999996</v>
      </c>
      <c r="O1018" s="90" t="str">
        <f>IF(VLOOKUP(UncLookup[[#This Row],[Item]],Items!$A$1:$F$43,2,FALSE)=0,"",VLOOKUP(UncLookup[[#This Row],[Item]],Items!$A$1:$F$43,2,FALSE))</f>
        <v/>
      </c>
      <c r="P1018" s="90" t="str">
        <f>IF(VLOOKUP(UncLookup[[#This Row],[Item]],Items!$A$1:$F$43,3,FALSE)=0,"",VLOOKUP(UncLookup[[#This Row],[Item]],Items!$A$1:$F$43,3,FALSE))</f>
        <v/>
      </c>
      <c r="Q1018" s="90" t="str">
        <f>IF(VLOOKUP(UncLookup[[#This Row],[Item]],Items!$A$1:$F$43,4,FALSE)=0,"",VLOOKUP(UncLookup[[#This Row],[Item]],Items!$A$1:$F$43,4,FALSE))</f>
        <v/>
      </c>
    </row>
    <row r="1019" spans="1:17" x14ac:dyDescent="0.25">
      <c r="A1019" s="76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90" t="str">
        <f>IF(VLOOKUP(UncLookup[[#This Row],[Item]],Items!$A$1:$F$43,2,FALSE)=0,"",VLOOKUP(UncLookup[[#This Row],[Item]],Items!$A$1:$F$43,2,FALSE))</f>
        <v/>
      </c>
      <c r="P1019" s="90" t="str">
        <f>IF(VLOOKUP(UncLookup[[#This Row],[Item]],Items!$A$1:$F$43,3,FALSE)=0,"",VLOOKUP(UncLookup[[#This Row],[Item]],Items!$A$1:$F$43,3,FALSE))</f>
        <v/>
      </c>
      <c r="Q1019" s="90" t="str">
        <f>IF(VLOOKUP(UncLookup[[#This Row],[Item]],Items!$A$1:$F$43,4,FALSE)=0,"",VLOOKUP(UncLookup[[#This Row],[Item]],Items!$A$1:$F$43,4,FALSE))</f>
        <v/>
      </c>
    </row>
    <row r="1020" spans="1:17" x14ac:dyDescent="0.25">
      <c r="A1020" s="75" t="s">
        <v>56</v>
      </c>
      <c r="B1020" s="75" t="s">
        <v>47</v>
      </c>
      <c r="C1020" s="75">
        <v>10</v>
      </c>
      <c r="D1020" s="75">
        <v>20</v>
      </c>
      <c r="E1020" s="75">
        <v>0.01</v>
      </c>
      <c r="F1020" s="75" t="s">
        <v>13</v>
      </c>
      <c r="G1020" s="75" t="s">
        <v>12</v>
      </c>
      <c r="H1020" s="75">
        <v>0.05</v>
      </c>
      <c r="I1020" s="75">
        <v>1</v>
      </c>
      <c r="J1020" s="75" t="s">
        <v>10</v>
      </c>
      <c r="K1020" s="75">
        <v>3.3353999999999999</v>
      </c>
      <c r="L1020" s="75">
        <v>0.33323000000000003</v>
      </c>
      <c r="M1020" s="75">
        <v>6.0285000000000002</v>
      </c>
      <c r="N1020" s="75">
        <v>6.3256000000000007E-2</v>
      </c>
      <c r="O1020" s="90" t="str">
        <f>IF(VLOOKUP(UncLookup[[#This Row],[Item]],Items!$A$1:$F$43,2,FALSE)=0,"",VLOOKUP(UncLookup[[#This Row],[Item]],Items!$A$1:$F$43,2,FALSE))</f>
        <v/>
      </c>
      <c r="P1020" s="90" t="str">
        <f>IF(VLOOKUP(UncLookup[[#This Row],[Item]],Items!$A$1:$F$43,3,FALSE)=0,"",VLOOKUP(UncLookup[[#This Row],[Item]],Items!$A$1:$F$43,3,FALSE))</f>
        <v/>
      </c>
      <c r="Q1020" s="90" t="str">
        <f>IF(VLOOKUP(UncLookup[[#This Row],[Item]],Items!$A$1:$F$43,4,FALSE)=0,"",VLOOKUP(UncLookup[[#This Row],[Item]],Items!$A$1:$F$43,4,FALSE))</f>
        <v/>
      </c>
    </row>
    <row r="1021" spans="1:17" x14ac:dyDescent="0.25">
      <c r="A1021" s="76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90" t="str">
        <f>IF(VLOOKUP(UncLookup[[#This Row],[Item]],Items!$A$1:$F$43,2,FALSE)=0,"",VLOOKUP(UncLookup[[#This Row],[Item]],Items!$A$1:$F$43,2,FALSE))</f>
        <v/>
      </c>
      <c r="P1021" s="90" t="str">
        <f>IF(VLOOKUP(UncLookup[[#This Row],[Item]],Items!$A$1:$F$43,3,FALSE)=0,"",VLOOKUP(UncLookup[[#This Row],[Item]],Items!$A$1:$F$43,3,FALSE))</f>
        <v/>
      </c>
      <c r="Q1021" s="90" t="str">
        <f>IF(VLOOKUP(UncLookup[[#This Row],[Item]],Items!$A$1:$F$43,4,FALSE)=0,"",VLOOKUP(UncLookup[[#This Row],[Item]],Items!$A$1:$F$43,4,FALSE))</f>
        <v/>
      </c>
    </row>
    <row r="1022" spans="1:17" x14ac:dyDescent="0.25">
      <c r="A1022" s="75" t="s">
        <v>56</v>
      </c>
      <c r="B1022" s="75" t="s">
        <v>47</v>
      </c>
      <c r="C1022" s="75">
        <v>10</v>
      </c>
      <c r="D1022" s="75">
        <v>20</v>
      </c>
      <c r="E1022" s="75">
        <v>0.1</v>
      </c>
      <c r="F1022" s="75" t="s">
        <v>13</v>
      </c>
      <c r="G1022" s="75" t="s">
        <v>12</v>
      </c>
      <c r="H1022" s="75">
        <v>1E-3</v>
      </c>
      <c r="I1022" s="75">
        <v>0.05</v>
      </c>
      <c r="J1022" s="75" t="s">
        <v>10</v>
      </c>
      <c r="K1022" s="75">
        <v>57.914000000000001</v>
      </c>
      <c r="L1022" s="75">
        <v>8.2611000000000004E-3</v>
      </c>
      <c r="M1022" s="75">
        <v>57.911000000000001</v>
      </c>
      <c r="N1022" s="75">
        <v>8.2615999999999992E-3</v>
      </c>
      <c r="O1022" s="90" t="str">
        <f>IF(VLOOKUP(UncLookup[[#This Row],[Item]],Items!$A$1:$F$43,2,FALSE)=0,"",VLOOKUP(UncLookup[[#This Row],[Item]],Items!$A$1:$F$43,2,FALSE))</f>
        <v/>
      </c>
      <c r="P1022" s="90" t="str">
        <f>IF(VLOOKUP(UncLookup[[#This Row],[Item]],Items!$A$1:$F$43,3,FALSE)=0,"",VLOOKUP(UncLookup[[#This Row],[Item]],Items!$A$1:$F$43,3,FALSE))</f>
        <v/>
      </c>
      <c r="Q1022" s="90" t="str">
        <f>IF(VLOOKUP(UncLookup[[#This Row],[Item]],Items!$A$1:$F$43,4,FALSE)=0,"",VLOOKUP(UncLookup[[#This Row],[Item]],Items!$A$1:$F$43,4,FALSE))</f>
        <v/>
      </c>
    </row>
    <row r="1023" spans="1:17" x14ac:dyDescent="0.25">
      <c r="A1023" s="76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90" t="str">
        <f>IF(VLOOKUP(UncLookup[[#This Row],[Item]],Items!$A$1:$F$43,2,FALSE)=0,"",VLOOKUP(UncLookup[[#This Row],[Item]],Items!$A$1:$F$43,2,FALSE))</f>
        <v/>
      </c>
      <c r="P1023" s="90" t="str">
        <f>IF(VLOOKUP(UncLookup[[#This Row],[Item]],Items!$A$1:$F$43,3,FALSE)=0,"",VLOOKUP(UncLookup[[#This Row],[Item]],Items!$A$1:$F$43,3,FALSE))</f>
        <v/>
      </c>
      <c r="Q1023" s="90" t="str">
        <f>IF(VLOOKUP(UncLookup[[#This Row],[Item]],Items!$A$1:$F$43,4,FALSE)=0,"",VLOOKUP(UncLookup[[#This Row],[Item]],Items!$A$1:$F$43,4,FALSE))</f>
        <v/>
      </c>
    </row>
    <row r="1024" spans="1:17" x14ac:dyDescent="0.25">
      <c r="A1024" s="75" t="s">
        <v>55</v>
      </c>
      <c r="B1024" s="75" t="s">
        <v>7</v>
      </c>
      <c r="C1024" s="75">
        <v>0</v>
      </c>
      <c r="D1024" s="75">
        <v>11.000999999999999</v>
      </c>
      <c r="E1024" s="75">
        <v>1E-3</v>
      </c>
      <c r="F1024" s="75" t="s">
        <v>104</v>
      </c>
      <c r="G1024" s="75" t="s">
        <v>48</v>
      </c>
      <c r="H1024" s="75">
        <v>0</v>
      </c>
      <c r="I1024" s="75">
        <v>0</v>
      </c>
      <c r="J1024" s="75"/>
      <c r="K1024" s="75">
        <v>12</v>
      </c>
      <c r="L1024" s="75">
        <v>0.14000000000000001</v>
      </c>
      <c r="M1024" s="75">
        <v>11.576000000000001</v>
      </c>
      <c r="N1024" s="75">
        <v>0.13830000000000001</v>
      </c>
      <c r="O1024" s="90" t="str">
        <f>IF(VLOOKUP(UncLookup[[#This Row],[Item]],Items!$A$1:$F$43,2,FALSE)=0,"",VLOOKUP(UncLookup[[#This Row],[Item]],Items!$A$1:$F$43,2,FALSE))</f>
        <v/>
      </c>
      <c r="P1024" s="90" t="str">
        <f>IF(VLOOKUP(UncLookup[[#This Row],[Item]],Items!$A$1:$F$43,3,FALSE)=0,"",VLOOKUP(UncLookup[[#This Row],[Item]],Items!$A$1:$F$43,3,FALSE))</f>
        <v/>
      </c>
      <c r="Q1024" s="90" t="str">
        <f>IF(VLOOKUP(UncLookup[[#This Row],[Item]],Items!$A$1:$F$43,4,FALSE)=0,"",VLOOKUP(UncLookup[[#This Row],[Item]],Items!$A$1:$F$43,4,FALSE))</f>
        <v/>
      </c>
    </row>
    <row r="1025" spans="1:17" x14ac:dyDescent="0.25">
      <c r="A1025" s="76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90" t="str">
        <f>IF(VLOOKUP(UncLookup[[#This Row],[Item]],Items!$A$1:$F$43,2,FALSE)=0,"",VLOOKUP(UncLookup[[#This Row],[Item]],Items!$A$1:$F$43,2,FALSE))</f>
        <v/>
      </c>
      <c r="P1025" s="90" t="str">
        <f>IF(VLOOKUP(UncLookup[[#This Row],[Item]],Items!$A$1:$F$43,3,FALSE)=0,"",VLOOKUP(UncLookup[[#This Row],[Item]],Items!$A$1:$F$43,3,FALSE))</f>
        <v/>
      </c>
      <c r="Q1025" s="90" t="str">
        <f>IF(VLOOKUP(UncLookup[[#This Row],[Item]],Items!$A$1:$F$43,4,FALSE)=0,"",VLOOKUP(UncLookup[[#This Row],[Item]],Items!$A$1:$F$43,4,FALSE))</f>
        <v/>
      </c>
    </row>
    <row r="1026" spans="1:17" x14ac:dyDescent="0.25">
      <c r="A1026" s="75" t="s">
        <v>55</v>
      </c>
      <c r="B1026" s="75" t="s">
        <v>7</v>
      </c>
      <c r="C1026" s="75">
        <v>0</v>
      </c>
      <c r="D1026" s="75">
        <v>11.000999999999999</v>
      </c>
      <c r="E1026" s="75">
        <v>0.1</v>
      </c>
      <c r="F1026" s="75" t="s">
        <v>104</v>
      </c>
      <c r="G1026" s="75" t="s">
        <v>48</v>
      </c>
      <c r="H1026" s="75">
        <v>0</v>
      </c>
      <c r="I1026" s="75">
        <v>0</v>
      </c>
      <c r="J1026" s="75"/>
      <c r="K1026" s="75">
        <v>59.143999999999998</v>
      </c>
      <c r="L1026" s="75">
        <v>2.9356E-2</v>
      </c>
      <c r="M1026" s="75">
        <v>59.140999999999998</v>
      </c>
      <c r="N1026" s="75">
        <v>2.8788000000000001E-2</v>
      </c>
      <c r="O1026" s="90" t="str">
        <f>IF(VLOOKUP(UncLookup[[#This Row],[Item]],Items!$A$1:$F$43,2,FALSE)=0,"",VLOOKUP(UncLookup[[#This Row],[Item]],Items!$A$1:$F$43,2,FALSE))</f>
        <v/>
      </c>
      <c r="P1026" s="90" t="str">
        <f>IF(VLOOKUP(UncLookup[[#This Row],[Item]],Items!$A$1:$F$43,3,FALSE)=0,"",VLOOKUP(UncLookup[[#This Row],[Item]],Items!$A$1:$F$43,3,FALSE))</f>
        <v/>
      </c>
      <c r="Q1026" s="90" t="str">
        <f>IF(VLOOKUP(UncLookup[[#This Row],[Item]],Items!$A$1:$F$43,4,FALSE)=0,"",VLOOKUP(UncLookup[[#This Row],[Item]],Items!$A$1:$F$43,4,FALSE))</f>
        <v/>
      </c>
    </row>
    <row r="1027" spans="1:17" x14ac:dyDescent="0.25">
      <c r="A1027" s="76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90" t="str">
        <f>IF(VLOOKUP(UncLookup[[#This Row],[Item]],Items!$A$1:$F$43,2,FALSE)=0,"",VLOOKUP(UncLookup[[#This Row],[Item]],Items!$A$1:$F$43,2,FALSE))</f>
        <v/>
      </c>
      <c r="P1027" s="90" t="str">
        <f>IF(VLOOKUP(UncLookup[[#This Row],[Item]],Items!$A$1:$F$43,3,FALSE)=0,"",VLOOKUP(UncLookup[[#This Row],[Item]],Items!$A$1:$F$43,3,FALSE))</f>
        <v/>
      </c>
      <c r="Q1027" s="90" t="str">
        <f>IF(VLOOKUP(UncLookup[[#This Row],[Item]],Items!$A$1:$F$43,4,FALSE)=0,"",VLOOKUP(UncLookup[[#This Row],[Item]],Items!$A$1:$F$43,4,FALSE))</f>
        <v/>
      </c>
    </row>
    <row r="1028" spans="1:17" x14ac:dyDescent="0.25">
      <c r="A1028" s="75" t="s">
        <v>55</v>
      </c>
      <c r="B1028" s="75" t="s">
        <v>7</v>
      </c>
      <c r="C1028" s="75">
        <v>0</v>
      </c>
      <c r="D1028" s="75">
        <v>11.000999999999999</v>
      </c>
      <c r="E1028" s="75">
        <v>10</v>
      </c>
      <c r="F1028" s="75" t="s">
        <v>104</v>
      </c>
      <c r="G1028" s="75" t="s">
        <v>48</v>
      </c>
      <c r="H1028" s="75">
        <v>0</v>
      </c>
      <c r="I1028" s="75">
        <v>0</v>
      </c>
      <c r="J1028" s="75"/>
      <c r="K1028" s="75">
        <v>5800</v>
      </c>
      <c r="L1028" s="75">
        <v>3.8767000000000001E-4</v>
      </c>
      <c r="M1028" s="75">
        <v>5800</v>
      </c>
      <c r="N1028" s="75">
        <v>2.9433999999999998E-4</v>
      </c>
      <c r="O1028" s="90" t="str">
        <f>IF(VLOOKUP(UncLookup[[#This Row],[Item]],Items!$A$1:$F$43,2,FALSE)=0,"",VLOOKUP(UncLookup[[#This Row],[Item]],Items!$A$1:$F$43,2,FALSE))</f>
        <v/>
      </c>
      <c r="P1028" s="90" t="str">
        <f>IF(VLOOKUP(UncLookup[[#This Row],[Item]],Items!$A$1:$F$43,3,FALSE)=0,"",VLOOKUP(UncLookup[[#This Row],[Item]],Items!$A$1:$F$43,3,FALSE))</f>
        <v/>
      </c>
      <c r="Q1028" s="90" t="str">
        <f>IF(VLOOKUP(UncLookup[[#This Row],[Item]],Items!$A$1:$F$43,4,FALSE)=0,"",VLOOKUP(UncLookup[[#This Row],[Item]],Items!$A$1:$F$43,4,FALSE))</f>
        <v/>
      </c>
    </row>
    <row r="1029" spans="1:17" x14ac:dyDescent="0.25">
      <c r="A1029" s="76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90" t="str">
        <f>IF(VLOOKUP(UncLookup[[#This Row],[Item]],Items!$A$1:$F$43,2,FALSE)=0,"",VLOOKUP(UncLookup[[#This Row],[Item]],Items!$A$1:$F$43,2,FALSE))</f>
        <v/>
      </c>
      <c r="P1029" s="90" t="str">
        <f>IF(VLOOKUP(UncLookup[[#This Row],[Item]],Items!$A$1:$F$43,3,FALSE)=0,"",VLOOKUP(UncLookup[[#This Row],[Item]],Items!$A$1:$F$43,3,FALSE))</f>
        <v/>
      </c>
      <c r="Q1029" s="90" t="str">
        <f>IF(VLOOKUP(UncLookup[[#This Row],[Item]],Items!$A$1:$F$43,4,FALSE)=0,"",VLOOKUP(UncLookup[[#This Row],[Item]],Items!$A$1:$F$43,4,FALSE))</f>
        <v/>
      </c>
    </row>
    <row r="1030" spans="1:17" x14ac:dyDescent="0.25">
      <c r="A1030" s="75" t="s">
        <v>55</v>
      </c>
      <c r="B1030" s="75" t="s">
        <v>7</v>
      </c>
      <c r="C1030" s="75">
        <v>0</v>
      </c>
      <c r="D1030" s="75">
        <v>11.000999999999999</v>
      </c>
      <c r="E1030" s="75">
        <v>1000</v>
      </c>
      <c r="F1030" s="75" t="s">
        <v>104</v>
      </c>
      <c r="G1030" s="75" t="s">
        <v>48</v>
      </c>
      <c r="H1030" s="75">
        <v>0</v>
      </c>
      <c r="I1030" s="75">
        <v>0</v>
      </c>
      <c r="J1030" s="75"/>
      <c r="K1030" s="75">
        <v>580000</v>
      </c>
      <c r="L1030" s="75">
        <v>1.7876E-5</v>
      </c>
      <c r="M1030" s="75">
        <v>580000</v>
      </c>
      <c r="N1030" s="75">
        <v>2.9434000000000001E-6</v>
      </c>
      <c r="O1030" s="90" t="str">
        <f>IF(VLOOKUP(UncLookup[[#This Row],[Item]],Items!$A$1:$F$43,2,FALSE)=0,"",VLOOKUP(UncLookup[[#This Row],[Item]],Items!$A$1:$F$43,2,FALSE))</f>
        <v/>
      </c>
      <c r="P1030" s="90" t="str">
        <f>IF(VLOOKUP(UncLookup[[#This Row],[Item]],Items!$A$1:$F$43,3,FALSE)=0,"",VLOOKUP(UncLookup[[#This Row],[Item]],Items!$A$1:$F$43,3,FALSE))</f>
        <v/>
      </c>
      <c r="Q1030" s="90" t="str">
        <f>IF(VLOOKUP(UncLookup[[#This Row],[Item]],Items!$A$1:$F$43,4,FALSE)=0,"",VLOOKUP(UncLookup[[#This Row],[Item]],Items!$A$1:$F$43,4,FALSE))</f>
        <v/>
      </c>
    </row>
    <row r="1031" spans="1:17" x14ac:dyDescent="0.25">
      <c r="A1031" s="76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90" t="str">
        <f>IF(VLOOKUP(UncLookup[[#This Row],[Item]],Items!$A$1:$F$43,2,FALSE)=0,"",VLOOKUP(UncLookup[[#This Row],[Item]],Items!$A$1:$F$43,2,FALSE))</f>
        <v/>
      </c>
      <c r="P1031" s="90" t="str">
        <f>IF(VLOOKUP(UncLookup[[#This Row],[Item]],Items!$A$1:$F$43,3,FALSE)=0,"",VLOOKUP(UncLookup[[#This Row],[Item]],Items!$A$1:$F$43,3,FALSE))</f>
        <v/>
      </c>
      <c r="Q1031" s="90" t="str">
        <f>IF(VLOOKUP(UncLookup[[#This Row],[Item]],Items!$A$1:$F$43,4,FALSE)=0,"",VLOOKUP(UncLookup[[#This Row],[Item]],Items!$A$1:$F$43,4,FALSE))</f>
        <v/>
      </c>
    </row>
    <row r="1032" spans="1:17" x14ac:dyDescent="0.25">
      <c r="A1032" s="75" t="s">
        <v>55</v>
      </c>
      <c r="B1032" s="75" t="s">
        <v>7</v>
      </c>
      <c r="C1032" s="75">
        <v>0</v>
      </c>
      <c r="D1032" s="75">
        <v>11.000999999999999</v>
      </c>
      <c r="E1032" s="75">
        <v>100000</v>
      </c>
      <c r="F1032" s="75" t="s">
        <v>104</v>
      </c>
      <c r="G1032" s="75" t="s">
        <v>48</v>
      </c>
      <c r="H1032" s="75">
        <v>0</v>
      </c>
      <c r="I1032" s="75">
        <v>0</v>
      </c>
      <c r="J1032" s="75"/>
      <c r="K1032" s="75">
        <v>58000000</v>
      </c>
      <c r="L1032" s="75">
        <v>2.4177000000000002E-6</v>
      </c>
      <c r="M1032" s="75">
        <v>58000000</v>
      </c>
      <c r="N1032" s="75">
        <v>2.9391999999999999E-8</v>
      </c>
      <c r="O1032" s="90" t="str">
        <f>IF(VLOOKUP(UncLookup[[#This Row],[Item]],Items!$A$1:$F$43,2,FALSE)=0,"",VLOOKUP(UncLookup[[#This Row],[Item]],Items!$A$1:$F$43,2,FALSE))</f>
        <v/>
      </c>
      <c r="P1032" s="90" t="str">
        <f>IF(VLOOKUP(UncLookup[[#This Row],[Item]],Items!$A$1:$F$43,3,FALSE)=0,"",VLOOKUP(UncLookup[[#This Row],[Item]],Items!$A$1:$F$43,3,FALSE))</f>
        <v/>
      </c>
      <c r="Q1032" s="90" t="str">
        <f>IF(VLOOKUP(UncLookup[[#This Row],[Item]],Items!$A$1:$F$43,4,FALSE)=0,"",VLOOKUP(UncLookup[[#This Row],[Item]],Items!$A$1:$F$43,4,FALSE))</f>
        <v/>
      </c>
    </row>
    <row r="1033" spans="1:17" x14ac:dyDescent="0.25">
      <c r="A1033" s="76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90" t="str">
        <f>IF(VLOOKUP(UncLookup[[#This Row],[Item]],Items!$A$1:$F$43,2,FALSE)=0,"",VLOOKUP(UncLookup[[#This Row],[Item]],Items!$A$1:$F$43,2,FALSE))</f>
        <v/>
      </c>
      <c r="P1033" s="90" t="str">
        <f>IF(VLOOKUP(UncLookup[[#This Row],[Item]],Items!$A$1:$F$43,3,FALSE)=0,"",VLOOKUP(UncLookup[[#This Row],[Item]],Items!$A$1:$F$43,3,FALSE))</f>
        <v/>
      </c>
      <c r="Q1033" s="90" t="str">
        <f>IF(VLOOKUP(UncLookup[[#This Row],[Item]],Items!$A$1:$F$43,4,FALSE)=0,"",VLOOKUP(UncLookup[[#This Row],[Item]],Items!$A$1:$F$43,4,FALSE))</f>
        <v/>
      </c>
    </row>
    <row r="1034" spans="1:17" x14ac:dyDescent="0.25">
      <c r="A1034" s="75" t="s">
        <v>55</v>
      </c>
      <c r="B1034" s="75" t="s">
        <v>7</v>
      </c>
      <c r="C1034" s="75">
        <v>0</v>
      </c>
      <c r="D1034" s="75">
        <v>11.000999999999999</v>
      </c>
      <c r="E1034" s="75">
        <v>10000000</v>
      </c>
      <c r="F1034" s="75" t="s">
        <v>104</v>
      </c>
      <c r="G1034" s="75" t="s">
        <v>48</v>
      </c>
      <c r="H1034" s="75">
        <v>0</v>
      </c>
      <c r="I1034" s="75">
        <v>0</v>
      </c>
      <c r="J1034" s="75"/>
      <c r="K1034" s="75">
        <v>5800000000</v>
      </c>
      <c r="L1034" s="75">
        <v>0</v>
      </c>
      <c r="M1034" s="75">
        <v>5800000000</v>
      </c>
      <c r="N1034" s="75">
        <v>0</v>
      </c>
      <c r="O1034" s="90" t="str">
        <f>IF(VLOOKUP(UncLookup[[#This Row],[Item]],Items!$A$1:$F$43,2,FALSE)=0,"",VLOOKUP(UncLookup[[#This Row],[Item]],Items!$A$1:$F$43,2,FALSE))</f>
        <v/>
      </c>
      <c r="P1034" s="90" t="str">
        <f>IF(VLOOKUP(UncLookup[[#This Row],[Item]],Items!$A$1:$F$43,3,FALSE)=0,"",VLOOKUP(UncLookup[[#This Row],[Item]],Items!$A$1:$F$43,3,FALSE))</f>
        <v/>
      </c>
      <c r="Q1034" s="90" t="str">
        <f>IF(VLOOKUP(UncLookup[[#This Row],[Item]],Items!$A$1:$F$43,4,FALSE)=0,"",VLOOKUP(UncLookup[[#This Row],[Item]],Items!$A$1:$F$43,4,FALSE))</f>
        <v/>
      </c>
    </row>
    <row r="1035" spans="1:17" x14ac:dyDescent="0.25">
      <c r="A1035" s="76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90" t="str">
        <f>IF(VLOOKUP(UncLookup[[#This Row],[Item]],Items!$A$1:$F$43,2,FALSE)=0,"",VLOOKUP(UncLookup[[#This Row],[Item]],Items!$A$1:$F$43,2,FALSE))</f>
        <v/>
      </c>
      <c r="P1035" s="90" t="str">
        <f>IF(VLOOKUP(UncLookup[[#This Row],[Item]],Items!$A$1:$F$43,3,FALSE)=0,"",VLOOKUP(UncLookup[[#This Row],[Item]],Items!$A$1:$F$43,3,FALSE))</f>
        <v/>
      </c>
      <c r="Q1035" s="90" t="str">
        <f>IF(VLOOKUP(UncLookup[[#This Row],[Item]],Items!$A$1:$F$43,4,FALSE)=0,"",VLOOKUP(UncLookup[[#This Row],[Item]],Items!$A$1:$F$43,4,FALSE))</f>
        <v/>
      </c>
    </row>
    <row r="1036" spans="1:17" x14ac:dyDescent="0.25">
      <c r="A1036" s="75" t="s">
        <v>55</v>
      </c>
      <c r="B1036" s="75" t="s">
        <v>7</v>
      </c>
      <c r="C1036" s="75">
        <v>11</v>
      </c>
      <c r="D1036" s="75">
        <v>33.000999999999998</v>
      </c>
      <c r="E1036" s="75">
        <v>0.01</v>
      </c>
      <c r="F1036" s="75" t="s">
        <v>104</v>
      </c>
      <c r="G1036" s="75" t="s">
        <v>48</v>
      </c>
      <c r="H1036" s="75">
        <v>0</v>
      </c>
      <c r="I1036" s="75">
        <v>0</v>
      </c>
      <c r="J1036" s="75"/>
      <c r="K1036" s="75">
        <v>18.263000000000002</v>
      </c>
      <c r="L1036" s="75">
        <v>0.13372000000000001</v>
      </c>
      <c r="M1036" s="75">
        <v>18.257999999999999</v>
      </c>
      <c r="N1036" s="75">
        <v>0.13356999999999999</v>
      </c>
      <c r="O1036" s="90" t="str">
        <f>IF(VLOOKUP(UncLookup[[#This Row],[Item]],Items!$A$1:$F$43,2,FALSE)=0,"",VLOOKUP(UncLookup[[#This Row],[Item]],Items!$A$1:$F$43,2,FALSE))</f>
        <v/>
      </c>
      <c r="P1036" s="90" t="str">
        <f>IF(VLOOKUP(UncLookup[[#This Row],[Item]],Items!$A$1:$F$43,3,FALSE)=0,"",VLOOKUP(UncLookup[[#This Row],[Item]],Items!$A$1:$F$43,3,FALSE))</f>
        <v/>
      </c>
      <c r="Q1036" s="90" t="str">
        <f>IF(VLOOKUP(UncLookup[[#This Row],[Item]],Items!$A$1:$F$43,4,FALSE)=0,"",VLOOKUP(UncLookup[[#This Row],[Item]],Items!$A$1:$F$43,4,FALSE))</f>
        <v/>
      </c>
    </row>
    <row r="1037" spans="1:17" x14ac:dyDescent="0.25">
      <c r="A1037" s="76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90" t="str">
        <f>IF(VLOOKUP(UncLookup[[#This Row],[Item]],Items!$A$1:$F$43,2,FALSE)=0,"",VLOOKUP(UncLookup[[#This Row],[Item]],Items!$A$1:$F$43,2,FALSE))</f>
        <v/>
      </c>
      <c r="P1037" s="90" t="str">
        <f>IF(VLOOKUP(UncLookup[[#This Row],[Item]],Items!$A$1:$F$43,3,FALSE)=0,"",VLOOKUP(UncLookup[[#This Row],[Item]],Items!$A$1:$F$43,3,FALSE))</f>
        <v/>
      </c>
      <c r="Q1037" s="90" t="str">
        <f>IF(VLOOKUP(UncLookup[[#This Row],[Item]],Items!$A$1:$F$43,4,FALSE)=0,"",VLOOKUP(UncLookup[[#This Row],[Item]],Items!$A$1:$F$43,4,FALSE))</f>
        <v/>
      </c>
    </row>
    <row r="1038" spans="1:17" x14ac:dyDescent="0.25">
      <c r="A1038" s="75" t="s">
        <v>55</v>
      </c>
      <c r="B1038" s="75" t="s">
        <v>7</v>
      </c>
      <c r="C1038" s="75">
        <v>11</v>
      </c>
      <c r="D1038" s="75">
        <v>33.000999999999998</v>
      </c>
      <c r="E1038" s="75">
        <v>1</v>
      </c>
      <c r="F1038" s="75" t="s">
        <v>104</v>
      </c>
      <c r="G1038" s="75" t="s">
        <v>48</v>
      </c>
      <c r="H1038" s="75">
        <v>0</v>
      </c>
      <c r="I1038" s="75">
        <v>0</v>
      </c>
      <c r="J1038" s="75"/>
      <c r="K1038" s="75">
        <v>580.26</v>
      </c>
      <c r="L1038" s="75">
        <v>4.9937999999999996E-3</v>
      </c>
      <c r="M1038" s="75">
        <v>580.25</v>
      </c>
      <c r="N1038" s="75">
        <v>4.8783000000000003E-3</v>
      </c>
      <c r="O1038" s="90" t="str">
        <f>IF(VLOOKUP(UncLookup[[#This Row],[Item]],Items!$A$1:$F$43,2,FALSE)=0,"",VLOOKUP(UncLookup[[#This Row],[Item]],Items!$A$1:$F$43,2,FALSE))</f>
        <v/>
      </c>
      <c r="P1038" s="90" t="str">
        <f>IF(VLOOKUP(UncLookup[[#This Row],[Item]],Items!$A$1:$F$43,3,FALSE)=0,"",VLOOKUP(UncLookup[[#This Row],[Item]],Items!$A$1:$F$43,3,FALSE))</f>
        <v/>
      </c>
      <c r="Q1038" s="90" t="str">
        <f>IF(VLOOKUP(UncLookup[[#This Row],[Item]],Items!$A$1:$F$43,4,FALSE)=0,"",VLOOKUP(UncLookup[[#This Row],[Item]],Items!$A$1:$F$43,4,FALSE))</f>
        <v/>
      </c>
    </row>
    <row r="1039" spans="1:17" x14ac:dyDescent="0.25">
      <c r="A1039" s="76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90" t="str">
        <f>IF(VLOOKUP(UncLookup[[#This Row],[Item]],Items!$A$1:$F$43,2,FALSE)=0,"",VLOOKUP(UncLookup[[#This Row],[Item]],Items!$A$1:$F$43,2,FALSE))</f>
        <v/>
      </c>
      <c r="P1039" s="90" t="str">
        <f>IF(VLOOKUP(UncLookup[[#This Row],[Item]],Items!$A$1:$F$43,3,FALSE)=0,"",VLOOKUP(UncLookup[[#This Row],[Item]],Items!$A$1:$F$43,3,FALSE))</f>
        <v/>
      </c>
      <c r="Q1039" s="90" t="str">
        <f>IF(VLOOKUP(UncLookup[[#This Row],[Item]],Items!$A$1:$F$43,4,FALSE)=0,"",VLOOKUP(UncLookup[[#This Row],[Item]],Items!$A$1:$F$43,4,FALSE))</f>
        <v/>
      </c>
    </row>
    <row r="1040" spans="1:17" x14ac:dyDescent="0.25">
      <c r="A1040" s="75" t="s">
        <v>55</v>
      </c>
      <c r="B1040" s="75" t="s">
        <v>7</v>
      </c>
      <c r="C1040" s="75">
        <v>33</v>
      </c>
      <c r="D1040" s="75">
        <v>110.01</v>
      </c>
      <c r="E1040" s="75">
        <v>0.01</v>
      </c>
      <c r="F1040" s="75" t="s">
        <v>104</v>
      </c>
      <c r="G1040" s="75" t="s">
        <v>48</v>
      </c>
      <c r="H1040" s="75">
        <v>0</v>
      </c>
      <c r="I1040" s="75">
        <v>0</v>
      </c>
      <c r="J1040" s="75"/>
      <c r="K1040" s="75">
        <v>18.224</v>
      </c>
      <c r="L1040" s="75">
        <v>0.10151</v>
      </c>
      <c r="M1040" s="75">
        <v>18.221</v>
      </c>
      <c r="N1040" s="75">
        <v>0.10128</v>
      </c>
      <c r="O1040" s="90" t="str">
        <f>IF(VLOOKUP(UncLookup[[#This Row],[Item]],Items!$A$1:$F$43,2,FALSE)=0,"",VLOOKUP(UncLookup[[#This Row],[Item]],Items!$A$1:$F$43,2,FALSE))</f>
        <v/>
      </c>
      <c r="P1040" s="90" t="str">
        <f>IF(VLOOKUP(UncLookup[[#This Row],[Item]],Items!$A$1:$F$43,3,FALSE)=0,"",VLOOKUP(UncLookup[[#This Row],[Item]],Items!$A$1:$F$43,3,FALSE))</f>
        <v/>
      </c>
      <c r="Q1040" s="90" t="str">
        <f>IF(VLOOKUP(UncLookup[[#This Row],[Item]],Items!$A$1:$F$43,4,FALSE)=0,"",VLOOKUP(UncLookup[[#This Row],[Item]],Items!$A$1:$F$43,4,FALSE))</f>
        <v/>
      </c>
    </row>
    <row r="1041" spans="1:17" x14ac:dyDescent="0.25">
      <c r="A1041" s="76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90" t="str">
        <f>IF(VLOOKUP(UncLookup[[#This Row],[Item]],Items!$A$1:$F$43,2,FALSE)=0,"",VLOOKUP(UncLookup[[#This Row],[Item]],Items!$A$1:$F$43,2,FALSE))</f>
        <v/>
      </c>
      <c r="P1041" s="90" t="str">
        <f>IF(VLOOKUP(UncLookup[[#This Row],[Item]],Items!$A$1:$F$43,3,FALSE)=0,"",VLOOKUP(UncLookup[[#This Row],[Item]],Items!$A$1:$F$43,3,FALSE))</f>
        <v/>
      </c>
      <c r="Q1041" s="90" t="str">
        <f>IF(VLOOKUP(UncLookup[[#This Row],[Item]],Items!$A$1:$F$43,4,FALSE)=0,"",VLOOKUP(UncLookup[[#This Row],[Item]],Items!$A$1:$F$43,4,FALSE))</f>
        <v/>
      </c>
    </row>
    <row r="1042" spans="1:17" x14ac:dyDescent="0.25">
      <c r="A1042" s="75" t="s">
        <v>55</v>
      </c>
      <c r="B1042" s="75" t="s">
        <v>7</v>
      </c>
      <c r="C1042" s="75">
        <v>33</v>
      </c>
      <c r="D1042" s="75">
        <v>110.01</v>
      </c>
      <c r="E1042" s="75">
        <v>1</v>
      </c>
      <c r="F1042" s="75" t="s">
        <v>104</v>
      </c>
      <c r="G1042" s="75" t="s">
        <v>48</v>
      </c>
      <c r="H1042" s="75">
        <v>0</v>
      </c>
      <c r="I1042" s="75">
        <v>0</v>
      </c>
      <c r="J1042" s="75"/>
      <c r="K1042" s="75">
        <v>580.23</v>
      </c>
      <c r="L1042" s="75">
        <v>4.6533E-3</v>
      </c>
      <c r="M1042" s="75">
        <v>580.23</v>
      </c>
      <c r="N1042" s="75">
        <v>4.4422000000000003E-3</v>
      </c>
      <c r="O1042" s="90" t="str">
        <f>IF(VLOOKUP(UncLookup[[#This Row],[Item]],Items!$A$1:$F$43,2,FALSE)=0,"",VLOOKUP(UncLookup[[#This Row],[Item]],Items!$A$1:$F$43,2,FALSE))</f>
        <v/>
      </c>
      <c r="P1042" s="90" t="str">
        <f>IF(VLOOKUP(UncLookup[[#This Row],[Item]],Items!$A$1:$F$43,3,FALSE)=0,"",VLOOKUP(UncLookup[[#This Row],[Item]],Items!$A$1:$F$43,3,FALSE))</f>
        <v/>
      </c>
      <c r="Q1042" s="90" t="str">
        <f>IF(VLOOKUP(UncLookup[[#This Row],[Item]],Items!$A$1:$F$43,4,FALSE)=0,"",VLOOKUP(UncLookup[[#This Row],[Item]],Items!$A$1:$F$43,4,FALSE))</f>
        <v/>
      </c>
    </row>
    <row r="1043" spans="1:17" x14ac:dyDescent="0.25">
      <c r="A1043" s="76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90" t="str">
        <f>IF(VLOOKUP(UncLookup[[#This Row],[Item]],Items!$A$1:$F$43,2,FALSE)=0,"",VLOOKUP(UncLookup[[#This Row],[Item]],Items!$A$1:$F$43,2,FALSE))</f>
        <v/>
      </c>
      <c r="P1043" s="90" t="str">
        <f>IF(VLOOKUP(UncLookup[[#This Row],[Item]],Items!$A$1:$F$43,3,FALSE)=0,"",VLOOKUP(UncLookup[[#This Row],[Item]],Items!$A$1:$F$43,3,FALSE))</f>
        <v/>
      </c>
      <c r="Q1043" s="90" t="str">
        <f>IF(VLOOKUP(UncLookup[[#This Row],[Item]],Items!$A$1:$F$43,4,FALSE)=0,"",VLOOKUP(UncLookup[[#This Row],[Item]],Items!$A$1:$F$43,4,FALSE))</f>
        <v/>
      </c>
    </row>
    <row r="1044" spans="1:17" x14ac:dyDescent="0.25">
      <c r="A1044" s="75" t="s">
        <v>55</v>
      </c>
      <c r="B1044" s="75" t="s">
        <v>7</v>
      </c>
      <c r="C1044" s="75">
        <v>110</v>
      </c>
      <c r="D1044" s="75">
        <v>330.01</v>
      </c>
      <c r="E1044" s="75">
        <v>0.01</v>
      </c>
      <c r="F1044" s="75" t="s">
        <v>104</v>
      </c>
      <c r="G1044" s="75" t="s">
        <v>48</v>
      </c>
      <c r="H1044" s="75">
        <v>0</v>
      </c>
      <c r="I1044" s="75">
        <v>0</v>
      </c>
      <c r="J1044" s="75"/>
      <c r="K1044" s="75">
        <v>25.358000000000001</v>
      </c>
      <c r="L1044" s="75">
        <v>0.29479</v>
      </c>
      <c r="M1044" s="75">
        <v>25.35</v>
      </c>
      <c r="N1044" s="75">
        <v>0.29441000000000001</v>
      </c>
      <c r="O1044" s="90" t="str">
        <f>IF(VLOOKUP(UncLookup[[#This Row],[Item]],Items!$A$1:$F$43,2,FALSE)=0,"",VLOOKUP(UncLookup[[#This Row],[Item]],Items!$A$1:$F$43,2,FALSE))</f>
        <v/>
      </c>
      <c r="P1044" s="90" t="str">
        <f>IF(VLOOKUP(UncLookup[[#This Row],[Item]],Items!$A$1:$F$43,3,FALSE)=0,"",VLOOKUP(UncLookup[[#This Row],[Item]],Items!$A$1:$F$43,3,FALSE))</f>
        <v/>
      </c>
      <c r="Q1044" s="90" t="str">
        <f>IF(VLOOKUP(UncLookup[[#This Row],[Item]],Items!$A$1:$F$43,4,FALSE)=0,"",VLOOKUP(UncLookup[[#This Row],[Item]],Items!$A$1:$F$43,4,FALSE))</f>
        <v/>
      </c>
    </row>
    <row r="1045" spans="1:17" x14ac:dyDescent="0.25">
      <c r="A1045" s="76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90" t="str">
        <f>IF(VLOOKUP(UncLookup[[#This Row],[Item]],Items!$A$1:$F$43,2,FALSE)=0,"",VLOOKUP(UncLookup[[#This Row],[Item]],Items!$A$1:$F$43,2,FALSE))</f>
        <v/>
      </c>
      <c r="P1045" s="90" t="str">
        <f>IF(VLOOKUP(UncLookup[[#This Row],[Item]],Items!$A$1:$F$43,3,FALSE)=0,"",VLOOKUP(UncLookup[[#This Row],[Item]],Items!$A$1:$F$43,3,FALSE))</f>
        <v/>
      </c>
      <c r="Q1045" s="90" t="str">
        <f>IF(VLOOKUP(UncLookup[[#This Row],[Item]],Items!$A$1:$F$43,4,FALSE)=0,"",VLOOKUP(UncLookup[[#This Row],[Item]],Items!$A$1:$F$43,4,FALSE))</f>
        <v/>
      </c>
    </row>
    <row r="1046" spans="1:17" x14ac:dyDescent="0.25">
      <c r="A1046" s="75" t="s">
        <v>55</v>
      </c>
      <c r="B1046" s="75" t="s">
        <v>7</v>
      </c>
      <c r="C1046" s="75">
        <v>110</v>
      </c>
      <c r="D1046" s="75">
        <v>330.01</v>
      </c>
      <c r="E1046" s="75">
        <v>1</v>
      </c>
      <c r="F1046" s="75" t="s">
        <v>104</v>
      </c>
      <c r="G1046" s="75" t="s">
        <v>48</v>
      </c>
      <c r="H1046" s="75">
        <v>0</v>
      </c>
      <c r="I1046" s="75">
        <v>0</v>
      </c>
      <c r="J1046" s="75"/>
      <c r="K1046" s="75">
        <v>580.25</v>
      </c>
      <c r="L1046" s="75">
        <v>2.4237000000000002E-2</v>
      </c>
      <c r="M1046" s="75">
        <v>580.25</v>
      </c>
      <c r="N1046" s="75">
        <v>2.3449000000000001E-2</v>
      </c>
      <c r="O1046" s="90" t="str">
        <f>IF(VLOOKUP(UncLookup[[#This Row],[Item]],Items!$A$1:$F$43,2,FALSE)=0,"",VLOOKUP(UncLookup[[#This Row],[Item]],Items!$A$1:$F$43,2,FALSE))</f>
        <v/>
      </c>
      <c r="P1046" s="90" t="str">
        <f>IF(VLOOKUP(UncLookup[[#This Row],[Item]],Items!$A$1:$F$43,3,FALSE)=0,"",VLOOKUP(UncLookup[[#This Row],[Item]],Items!$A$1:$F$43,3,FALSE))</f>
        <v/>
      </c>
      <c r="Q1046" s="90" t="str">
        <f>IF(VLOOKUP(UncLookup[[#This Row],[Item]],Items!$A$1:$F$43,4,FALSE)=0,"",VLOOKUP(UncLookup[[#This Row],[Item]],Items!$A$1:$F$43,4,FALSE))</f>
        <v/>
      </c>
    </row>
    <row r="1047" spans="1:17" x14ac:dyDescent="0.25">
      <c r="A1047" s="76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90" t="str">
        <f>IF(VLOOKUP(UncLookup[[#This Row],[Item]],Items!$A$1:$F$43,2,FALSE)=0,"",VLOOKUP(UncLookup[[#This Row],[Item]],Items!$A$1:$F$43,2,FALSE))</f>
        <v/>
      </c>
      <c r="P1047" s="90" t="str">
        <f>IF(VLOOKUP(UncLookup[[#This Row],[Item]],Items!$A$1:$F$43,3,FALSE)=0,"",VLOOKUP(UncLookup[[#This Row],[Item]],Items!$A$1:$F$43,3,FALSE))</f>
        <v/>
      </c>
      <c r="Q1047" s="90" t="str">
        <f>IF(VLOOKUP(UncLookup[[#This Row],[Item]],Items!$A$1:$F$43,4,FALSE)=0,"",VLOOKUP(UncLookup[[#This Row],[Item]],Items!$A$1:$F$43,4,FALSE))</f>
        <v/>
      </c>
    </row>
    <row r="1048" spans="1:17" x14ac:dyDescent="0.25">
      <c r="A1048" s="75" t="s">
        <v>55</v>
      </c>
      <c r="B1048" s="75" t="s">
        <v>7</v>
      </c>
      <c r="C1048" s="75">
        <v>330</v>
      </c>
      <c r="D1048" s="75">
        <v>1100.01</v>
      </c>
      <c r="E1048" s="75">
        <v>0.1</v>
      </c>
      <c r="F1048" s="75" t="s">
        <v>104</v>
      </c>
      <c r="G1048" s="75" t="s">
        <v>48</v>
      </c>
      <c r="H1048" s="75">
        <v>0</v>
      </c>
      <c r="I1048" s="75">
        <v>0</v>
      </c>
      <c r="J1048" s="75"/>
      <c r="K1048" s="75">
        <v>52.968000000000004</v>
      </c>
      <c r="L1048" s="75">
        <v>8.7891999999999998E-2</v>
      </c>
      <c r="M1048" s="75">
        <v>52.866999999999997</v>
      </c>
      <c r="N1048" s="75">
        <v>8.7789000000000006E-2</v>
      </c>
      <c r="O1048" s="90" t="str">
        <f>IF(VLOOKUP(UncLookup[[#This Row],[Item]],Items!$A$1:$F$43,2,FALSE)=0,"",VLOOKUP(UncLookup[[#This Row],[Item]],Items!$A$1:$F$43,2,FALSE))</f>
        <v/>
      </c>
      <c r="P1048" s="90" t="str">
        <f>IF(VLOOKUP(UncLookup[[#This Row],[Item]],Items!$A$1:$F$43,3,FALSE)=0,"",VLOOKUP(UncLookup[[#This Row],[Item]],Items!$A$1:$F$43,3,FALSE))</f>
        <v/>
      </c>
      <c r="Q1048" s="90" t="str">
        <f>IF(VLOOKUP(UncLookup[[#This Row],[Item]],Items!$A$1:$F$43,4,FALSE)=0,"",VLOOKUP(UncLookup[[#This Row],[Item]],Items!$A$1:$F$43,4,FALSE))</f>
        <v/>
      </c>
    </row>
    <row r="1049" spans="1:17" x14ac:dyDescent="0.25">
      <c r="A1049" s="76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90" t="str">
        <f>IF(VLOOKUP(UncLookup[[#This Row],[Item]],Items!$A$1:$F$43,2,FALSE)=0,"",VLOOKUP(UncLookup[[#This Row],[Item]],Items!$A$1:$F$43,2,FALSE))</f>
        <v/>
      </c>
      <c r="P1049" s="90" t="str">
        <f>IF(VLOOKUP(UncLookup[[#This Row],[Item]],Items!$A$1:$F$43,3,FALSE)=0,"",VLOOKUP(UncLookup[[#This Row],[Item]],Items!$A$1:$F$43,3,FALSE))</f>
        <v/>
      </c>
      <c r="Q1049" s="90" t="str">
        <f>IF(VLOOKUP(UncLookup[[#This Row],[Item]],Items!$A$1:$F$43,4,FALSE)=0,"",VLOOKUP(UncLookup[[#This Row],[Item]],Items!$A$1:$F$43,4,FALSE))</f>
        <v/>
      </c>
    </row>
    <row r="1050" spans="1:17" x14ac:dyDescent="0.25">
      <c r="A1050" s="75" t="s">
        <v>55</v>
      </c>
      <c r="B1050" s="75" t="s">
        <v>7</v>
      </c>
      <c r="C1050" s="75">
        <v>330</v>
      </c>
      <c r="D1050" s="75">
        <v>1100.01</v>
      </c>
      <c r="E1050" s="75">
        <v>10</v>
      </c>
      <c r="F1050" s="75" t="s">
        <v>104</v>
      </c>
      <c r="G1050" s="75" t="s">
        <v>48</v>
      </c>
      <c r="H1050" s="75">
        <v>0</v>
      </c>
      <c r="I1050" s="75">
        <v>0</v>
      </c>
      <c r="J1050" s="75"/>
      <c r="K1050" s="75">
        <v>5799.7</v>
      </c>
      <c r="L1050" s="75">
        <v>1.8247999999999999E-3</v>
      </c>
      <c r="M1050" s="75">
        <v>5799.7</v>
      </c>
      <c r="N1050" s="75">
        <v>1.75E-3</v>
      </c>
      <c r="O1050" s="90" t="str">
        <f>IF(VLOOKUP(UncLookup[[#This Row],[Item]],Items!$A$1:$F$43,2,FALSE)=0,"",VLOOKUP(UncLookup[[#This Row],[Item]],Items!$A$1:$F$43,2,FALSE))</f>
        <v/>
      </c>
      <c r="P1050" s="90" t="str">
        <f>IF(VLOOKUP(UncLookup[[#This Row],[Item]],Items!$A$1:$F$43,3,FALSE)=0,"",VLOOKUP(UncLookup[[#This Row],[Item]],Items!$A$1:$F$43,3,FALSE))</f>
        <v/>
      </c>
      <c r="Q1050" s="90" t="str">
        <f>IF(VLOOKUP(UncLookup[[#This Row],[Item]],Items!$A$1:$F$43,4,FALSE)=0,"",VLOOKUP(UncLookup[[#This Row],[Item]],Items!$A$1:$F$43,4,FALSE))</f>
        <v/>
      </c>
    </row>
    <row r="1051" spans="1:17" x14ac:dyDescent="0.25">
      <c r="A1051" s="76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90" t="str">
        <f>IF(VLOOKUP(UncLookup[[#This Row],[Item]],Items!$A$1:$F$43,2,FALSE)=0,"",VLOOKUP(UncLookup[[#This Row],[Item]],Items!$A$1:$F$43,2,FALSE))</f>
        <v/>
      </c>
      <c r="P1051" s="90" t="str">
        <f>IF(VLOOKUP(UncLookup[[#This Row],[Item]],Items!$A$1:$F$43,3,FALSE)=0,"",VLOOKUP(UncLookup[[#This Row],[Item]],Items!$A$1:$F$43,3,FALSE))</f>
        <v/>
      </c>
      <c r="Q1051" s="90" t="str">
        <f>IF(VLOOKUP(UncLookup[[#This Row],[Item]],Items!$A$1:$F$43,4,FALSE)=0,"",VLOOKUP(UncLookup[[#This Row],[Item]],Items!$A$1:$F$43,4,FALSE))</f>
        <v/>
      </c>
    </row>
    <row r="1052" spans="1:17" x14ac:dyDescent="0.25">
      <c r="A1052" s="75" t="s">
        <v>55</v>
      </c>
      <c r="B1052" s="75" t="s">
        <v>7</v>
      </c>
      <c r="C1052" s="75">
        <v>1100</v>
      </c>
      <c r="D1052" s="75">
        <v>3300.1</v>
      </c>
      <c r="E1052" s="75">
        <v>0.1</v>
      </c>
      <c r="F1052" s="75" t="s">
        <v>104</v>
      </c>
      <c r="G1052" s="75" t="s">
        <v>49</v>
      </c>
      <c r="H1052" s="75">
        <v>0</v>
      </c>
      <c r="I1052" s="75">
        <v>0</v>
      </c>
      <c r="J1052" s="75"/>
      <c r="K1052" s="75">
        <v>0.25</v>
      </c>
      <c r="L1052" s="75">
        <v>1.0329E-4</v>
      </c>
      <c r="M1052" s="75">
        <v>0.23666000000000001</v>
      </c>
      <c r="N1052" s="75">
        <v>1.0325E-4</v>
      </c>
      <c r="O1052" s="90" t="str">
        <f>IF(VLOOKUP(UncLookup[[#This Row],[Item]],Items!$A$1:$F$43,2,FALSE)=0,"",VLOOKUP(UncLookup[[#This Row],[Item]],Items!$A$1:$F$43,2,FALSE))</f>
        <v/>
      </c>
      <c r="P1052" s="90" t="str">
        <f>IF(VLOOKUP(UncLookup[[#This Row],[Item]],Items!$A$1:$F$43,3,FALSE)=0,"",VLOOKUP(UncLookup[[#This Row],[Item]],Items!$A$1:$F$43,3,FALSE))</f>
        <v/>
      </c>
      <c r="Q1052" s="90" t="str">
        <f>IF(VLOOKUP(UncLookup[[#This Row],[Item]],Items!$A$1:$F$43,4,FALSE)=0,"",VLOOKUP(UncLookup[[#This Row],[Item]],Items!$A$1:$F$43,4,FALSE))</f>
        <v/>
      </c>
    </row>
    <row r="1053" spans="1:17" x14ac:dyDescent="0.25">
      <c r="A1053" s="76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90" t="str">
        <f>IF(VLOOKUP(UncLookup[[#This Row],[Item]],Items!$A$1:$F$43,2,FALSE)=0,"",VLOOKUP(UncLookup[[#This Row],[Item]],Items!$A$1:$F$43,2,FALSE))</f>
        <v/>
      </c>
      <c r="P1053" s="90" t="str">
        <f>IF(VLOOKUP(UncLookup[[#This Row],[Item]],Items!$A$1:$F$43,3,FALSE)=0,"",VLOOKUP(UncLookup[[#This Row],[Item]],Items!$A$1:$F$43,3,FALSE))</f>
        <v/>
      </c>
      <c r="Q1053" s="90" t="str">
        <f>IF(VLOOKUP(UncLookup[[#This Row],[Item]],Items!$A$1:$F$43,4,FALSE)=0,"",VLOOKUP(UncLookup[[#This Row],[Item]],Items!$A$1:$F$43,4,FALSE))</f>
        <v/>
      </c>
    </row>
    <row r="1054" spans="1:17" x14ac:dyDescent="0.25">
      <c r="A1054" s="75" t="s">
        <v>55</v>
      </c>
      <c r="B1054" s="75" t="s">
        <v>7</v>
      </c>
      <c r="C1054" s="75">
        <v>1100</v>
      </c>
      <c r="D1054" s="75">
        <v>3300.1</v>
      </c>
      <c r="E1054" s="75">
        <v>10</v>
      </c>
      <c r="F1054" s="75" t="s">
        <v>104</v>
      </c>
      <c r="G1054" s="75" t="s">
        <v>49</v>
      </c>
      <c r="H1054" s="75">
        <v>0</v>
      </c>
      <c r="I1054" s="75">
        <v>0</v>
      </c>
      <c r="J1054" s="75"/>
      <c r="K1054" s="75">
        <v>5.8014000000000001</v>
      </c>
      <c r="L1054" s="75">
        <v>8.3760999999999993E-6</v>
      </c>
      <c r="M1054" s="75">
        <v>5.8011999999999997</v>
      </c>
      <c r="N1054" s="75">
        <v>8.2293999999999995E-6</v>
      </c>
      <c r="O1054" s="90" t="str">
        <f>IF(VLOOKUP(UncLookup[[#This Row],[Item]],Items!$A$1:$F$43,2,FALSE)=0,"",VLOOKUP(UncLookup[[#This Row],[Item]],Items!$A$1:$F$43,2,FALSE))</f>
        <v/>
      </c>
      <c r="P1054" s="90" t="str">
        <f>IF(VLOOKUP(UncLookup[[#This Row],[Item]],Items!$A$1:$F$43,3,FALSE)=0,"",VLOOKUP(UncLookup[[#This Row],[Item]],Items!$A$1:$F$43,3,FALSE))</f>
        <v/>
      </c>
      <c r="Q1054" s="90" t="str">
        <f>IF(VLOOKUP(UncLookup[[#This Row],[Item]],Items!$A$1:$F$43,4,FALSE)=0,"",VLOOKUP(UncLookup[[#This Row],[Item]],Items!$A$1:$F$43,4,FALSE))</f>
        <v/>
      </c>
    </row>
    <row r="1055" spans="1:17" x14ac:dyDescent="0.25">
      <c r="A1055" s="76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90" t="str">
        <f>IF(VLOOKUP(UncLookup[[#This Row],[Item]],Items!$A$1:$F$43,2,FALSE)=0,"",VLOOKUP(UncLookup[[#This Row],[Item]],Items!$A$1:$F$43,2,FALSE))</f>
        <v/>
      </c>
      <c r="P1055" s="90" t="str">
        <f>IF(VLOOKUP(UncLookup[[#This Row],[Item]],Items!$A$1:$F$43,3,FALSE)=0,"",VLOOKUP(UncLookup[[#This Row],[Item]],Items!$A$1:$F$43,3,FALSE))</f>
        <v/>
      </c>
      <c r="Q1055" s="90" t="str">
        <f>IF(VLOOKUP(UncLookup[[#This Row],[Item]],Items!$A$1:$F$43,4,FALSE)=0,"",VLOOKUP(UncLookup[[#This Row],[Item]],Items!$A$1:$F$43,4,FALSE))</f>
        <v/>
      </c>
    </row>
    <row r="1056" spans="1:17" x14ac:dyDescent="0.25">
      <c r="A1056" s="75" t="s">
        <v>55</v>
      </c>
      <c r="B1056" s="75" t="s">
        <v>7</v>
      </c>
      <c r="C1056" s="75">
        <v>3300</v>
      </c>
      <c r="D1056" s="75">
        <v>11001</v>
      </c>
      <c r="E1056" s="75">
        <v>1</v>
      </c>
      <c r="F1056" s="75" t="s">
        <v>104</v>
      </c>
      <c r="G1056" s="75" t="s">
        <v>49</v>
      </c>
      <c r="H1056" s="75">
        <v>0</v>
      </c>
      <c r="I1056" s="75">
        <v>0</v>
      </c>
      <c r="J1056" s="75"/>
      <c r="K1056" s="75">
        <v>0.46536</v>
      </c>
      <c r="L1056" s="75">
        <v>8.4151000000000001E-5</v>
      </c>
      <c r="M1056" s="75">
        <v>0.46464</v>
      </c>
      <c r="N1056" s="75">
        <v>8.4043999999999997E-5</v>
      </c>
      <c r="O1056" s="90" t="str">
        <f>IF(VLOOKUP(UncLookup[[#This Row],[Item]],Items!$A$1:$F$43,2,FALSE)=0,"",VLOOKUP(UncLookup[[#This Row],[Item]],Items!$A$1:$F$43,2,FALSE))</f>
        <v/>
      </c>
      <c r="P1056" s="90" t="str">
        <f>IF(VLOOKUP(UncLookup[[#This Row],[Item]],Items!$A$1:$F$43,3,FALSE)=0,"",VLOOKUP(UncLookup[[#This Row],[Item]],Items!$A$1:$F$43,3,FALSE))</f>
        <v/>
      </c>
      <c r="Q1056" s="90" t="str">
        <f>IF(VLOOKUP(UncLookup[[#This Row],[Item]],Items!$A$1:$F$43,4,FALSE)=0,"",VLOOKUP(UncLookup[[#This Row],[Item]],Items!$A$1:$F$43,4,FALSE))</f>
        <v/>
      </c>
    </row>
    <row r="1057" spans="1:17" x14ac:dyDescent="0.25">
      <c r="A1057" s="76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90" t="str">
        <f>IF(VLOOKUP(UncLookup[[#This Row],[Item]],Items!$A$1:$F$43,2,FALSE)=0,"",VLOOKUP(UncLookup[[#This Row],[Item]],Items!$A$1:$F$43,2,FALSE))</f>
        <v/>
      </c>
      <c r="P1057" s="90" t="str">
        <f>IF(VLOOKUP(UncLookup[[#This Row],[Item]],Items!$A$1:$F$43,3,FALSE)=0,"",VLOOKUP(UncLookup[[#This Row],[Item]],Items!$A$1:$F$43,3,FALSE))</f>
        <v/>
      </c>
      <c r="Q1057" s="90" t="str">
        <f>IF(VLOOKUP(UncLookup[[#This Row],[Item]],Items!$A$1:$F$43,4,FALSE)=0,"",VLOOKUP(UncLookup[[#This Row],[Item]],Items!$A$1:$F$43,4,FALSE))</f>
        <v/>
      </c>
    </row>
    <row r="1058" spans="1:17" x14ac:dyDescent="0.25">
      <c r="A1058" s="75" t="s">
        <v>55</v>
      </c>
      <c r="B1058" s="75" t="s">
        <v>7</v>
      </c>
      <c r="C1058" s="75">
        <v>3300</v>
      </c>
      <c r="D1058" s="75">
        <v>11001</v>
      </c>
      <c r="E1058" s="75">
        <v>100</v>
      </c>
      <c r="F1058" s="75" t="s">
        <v>104</v>
      </c>
      <c r="G1058" s="75" t="s">
        <v>49</v>
      </c>
      <c r="H1058" s="75">
        <v>0</v>
      </c>
      <c r="I1058" s="75">
        <v>0</v>
      </c>
      <c r="J1058" s="75"/>
      <c r="K1058" s="75">
        <v>57.997</v>
      </c>
      <c r="L1058" s="75">
        <v>1.6098E-6</v>
      </c>
      <c r="M1058" s="75">
        <v>57.997</v>
      </c>
      <c r="N1058" s="75">
        <v>1.5437999999999999E-6</v>
      </c>
      <c r="O1058" s="90" t="str">
        <f>IF(VLOOKUP(UncLookup[[#This Row],[Item]],Items!$A$1:$F$43,2,FALSE)=0,"",VLOOKUP(UncLookup[[#This Row],[Item]],Items!$A$1:$F$43,2,FALSE))</f>
        <v/>
      </c>
      <c r="P1058" s="90" t="str">
        <f>IF(VLOOKUP(UncLookup[[#This Row],[Item]],Items!$A$1:$F$43,3,FALSE)=0,"",VLOOKUP(UncLookup[[#This Row],[Item]],Items!$A$1:$F$43,3,FALSE))</f>
        <v/>
      </c>
      <c r="Q1058" s="90" t="str">
        <f>IF(VLOOKUP(UncLookup[[#This Row],[Item]],Items!$A$1:$F$43,4,FALSE)=0,"",VLOOKUP(UncLookup[[#This Row],[Item]],Items!$A$1:$F$43,4,FALSE))</f>
        <v/>
      </c>
    </row>
    <row r="1059" spans="1:17" x14ac:dyDescent="0.25">
      <c r="A1059" s="76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90" t="str">
        <f>IF(VLOOKUP(UncLookup[[#This Row],[Item]],Items!$A$1:$F$43,2,FALSE)=0,"",VLOOKUP(UncLookup[[#This Row],[Item]],Items!$A$1:$F$43,2,FALSE))</f>
        <v/>
      </c>
      <c r="P1059" s="90" t="str">
        <f>IF(VLOOKUP(UncLookup[[#This Row],[Item]],Items!$A$1:$F$43,3,FALSE)=0,"",VLOOKUP(UncLookup[[#This Row],[Item]],Items!$A$1:$F$43,3,FALSE))</f>
        <v/>
      </c>
      <c r="Q1059" s="90" t="str">
        <f>IF(VLOOKUP(UncLookup[[#This Row],[Item]],Items!$A$1:$F$43,4,FALSE)=0,"",VLOOKUP(UncLookup[[#This Row],[Item]],Items!$A$1:$F$43,4,FALSE))</f>
        <v/>
      </c>
    </row>
    <row r="1060" spans="1:17" x14ac:dyDescent="0.25">
      <c r="A1060" s="75" t="s">
        <v>55</v>
      </c>
      <c r="B1060" s="75" t="s">
        <v>7</v>
      </c>
      <c r="C1060" s="75">
        <v>11000</v>
      </c>
      <c r="D1060" s="75">
        <v>33001</v>
      </c>
      <c r="E1060" s="75">
        <v>1</v>
      </c>
      <c r="F1060" s="75" t="s">
        <v>104</v>
      </c>
      <c r="G1060" s="75" t="s">
        <v>49</v>
      </c>
      <c r="H1060" s="75">
        <v>0</v>
      </c>
      <c r="I1060" s="75">
        <v>0</v>
      </c>
      <c r="J1060" s="75"/>
      <c r="K1060" s="75">
        <v>1.3</v>
      </c>
      <c r="L1060" s="75">
        <v>1.0253E-4</v>
      </c>
      <c r="M1060" s="75">
        <v>1.2442</v>
      </c>
      <c r="N1060" s="75">
        <v>1.0252E-4</v>
      </c>
      <c r="O1060" s="90" t="str">
        <f>IF(VLOOKUP(UncLookup[[#This Row],[Item]],Items!$A$1:$F$43,2,FALSE)=0,"",VLOOKUP(UncLookup[[#This Row],[Item]],Items!$A$1:$F$43,2,FALSE))</f>
        <v/>
      </c>
      <c r="P1060" s="90" t="str">
        <f>IF(VLOOKUP(UncLookup[[#This Row],[Item]],Items!$A$1:$F$43,3,FALSE)=0,"",VLOOKUP(UncLookup[[#This Row],[Item]],Items!$A$1:$F$43,3,FALSE))</f>
        <v/>
      </c>
      <c r="Q1060" s="90" t="str">
        <f>IF(VLOOKUP(UncLookup[[#This Row],[Item]],Items!$A$1:$F$43,4,FALSE)=0,"",VLOOKUP(UncLookup[[#This Row],[Item]],Items!$A$1:$F$43,4,FALSE))</f>
        <v/>
      </c>
    </row>
    <row r="1061" spans="1:17" x14ac:dyDescent="0.25">
      <c r="A1061" s="76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90" t="str">
        <f>IF(VLOOKUP(UncLookup[[#This Row],[Item]],Items!$A$1:$F$43,2,FALSE)=0,"",VLOOKUP(UncLookup[[#This Row],[Item]],Items!$A$1:$F$43,2,FALSE))</f>
        <v/>
      </c>
      <c r="P1061" s="90" t="str">
        <f>IF(VLOOKUP(UncLookup[[#This Row],[Item]],Items!$A$1:$F$43,3,FALSE)=0,"",VLOOKUP(UncLookup[[#This Row],[Item]],Items!$A$1:$F$43,3,FALSE))</f>
        <v/>
      </c>
      <c r="Q1061" s="90" t="str">
        <f>IF(VLOOKUP(UncLookup[[#This Row],[Item]],Items!$A$1:$F$43,4,FALSE)=0,"",VLOOKUP(UncLookup[[#This Row],[Item]],Items!$A$1:$F$43,4,FALSE))</f>
        <v/>
      </c>
    </row>
    <row r="1062" spans="1:17" x14ac:dyDescent="0.25">
      <c r="A1062" s="75" t="s">
        <v>55</v>
      </c>
      <c r="B1062" s="75" t="s">
        <v>7</v>
      </c>
      <c r="C1062" s="75">
        <v>11000</v>
      </c>
      <c r="D1062" s="75">
        <v>33001</v>
      </c>
      <c r="E1062" s="75">
        <v>100</v>
      </c>
      <c r="F1062" s="75" t="s">
        <v>104</v>
      </c>
      <c r="G1062" s="75" t="s">
        <v>49</v>
      </c>
      <c r="H1062" s="75">
        <v>0</v>
      </c>
      <c r="I1062" s="75">
        <v>0</v>
      </c>
      <c r="J1062" s="75"/>
      <c r="K1062" s="75">
        <v>57.978000000000002</v>
      </c>
      <c r="L1062" s="75">
        <v>6.2175000000000002E-6</v>
      </c>
      <c r="M1062" s="75">
        <v>57.978000000000002</v>
      </c>
      <c r="N1062" s="75">
        <v>6.1738000000000001E-6</v>
      </c>
      <c r="O1062" s="90" t="str">
        <f>IF(VLOOKUP(UncLookup[[#This Row],[Item]],Items!$A$1:$F$43,2,FALSE)=0,"",VLOOKUP(UncLookup[[#This Row],[Item]],Items!$A$1:$F$43,2,FALSE))</f>
        <v/>
      </c>
      <c r="P1062" s="90" t="str">
        <f>IF(VLOOKUP(UncLookup[[#This Row],[Item]],Items!$A$1:$F$43,3,FALSE)=0,"",VLOOKUP(UncLookup[[#This Row],[Item]],Items!$A$1:$F$43,3,FALSE))</f>
        <v/>
      </c>
      <c r="Q1062" s="90" t="str">
        <f>IF(VLOOKUP(UncLookup[[#This Row],[Item]],Items!$A$1:$F$43,4,FALSE)=0,"",VLOOKUP(UncLookup[[#This Row],[Item]],Items!$A$1:$F$43,4,FALSE))</f>
        <v/>
      </c>
    </row>
    <row r="1063" spans="1:17" x14ac:dyDescent="0.25">
      <c r="A1063" s="76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90" t="str">
        <f>IF(VLOOKUP(UncLookup[[#This Row],[Item]],Items!$A$1:$F$43,2,FALSE)=0,"",VLOOKUP(UncLookup[[#This Row],[Item]],Items!$A$1:$F$43,2,FALSE))</f>
        <v/>
      </c>
      <c r="P1063" s="90" t="str">
        <f>IF(VLOOKUP(UncLookup[[#This Row],[Item]],Items!$A$1:$F$43,3,FALSE)=0,"",VLOOKUP(UncLookup[[#This Row],[Item]],Items!$A$1:$F$43,3,FALSE))</f>
        <v/>
      </c>
      <c r="Q1063" s="90" t="str">
        <f>IF(VLOOKUP(UncLookup[[#This Row],[Item]],Items!$A$1:$F$43,4,FALSE)=0,"",VLOOKUP(UncLookup[[#This Row],[Item]],Items!$A$1:$F$43,4,FALSE))</f>
        <v/>
      </c>
    </row>
    <row r="1064" spans="1:17" x14ac:dyDescent="0.25">
      <c r="A1064" s="75" t="s">
        <v>55</v>
      </c>
      <c r="B1064" s="75" t="s">
        <v>7</v>
      </c>
      <c r="C1064" s="75">
        <v>33000</v>
      </c>
      <c r="D1064" s="75">
        <v>110010</v>
      </c>
      <c r="E1064" s="75">
        <v>10</v>
      </c>
      <c r="F1064" s="75" t="s">
        <v>104</v>
      </c>
      <c r="G1064" s="75" t="s">
        <v>49</v>
      </c>
      <c r="H1064" s="75">
        <v>0</v>
      </c>
      <c r="I1064" s="75">
        <v>0</v>
      </c>
      <c r="J1064" s="75"/>
      <c r="K1064" s="75">
        <v>4.3529999999999998</v>
      </c>
      <c r="L1064" s="75">
        <v>1.0805E-4</v>
      </c>
      <c r="M1064" s="75">
        <v>4.3501000000000003</v>
      </c>
      <c r="N1064" s="75">
        <v>1.0797E-4</v>
      </c>
      <c r="O1064" s="90" t="str">
        <f>IF(VLOOKUP(UncLookup[[#This Row],[Item]],Items!$A$1:$F$43,2,FALSE)=0,"",VLOOKUP(UncLookup[[#This Row],[Item]],Items!$A$1:$F$43,2,FALSE))</f>
        <v/>
      </c>
      <c r="P1064" s="90" t="str">
        <f>IF(VLOOKUP(UncLookup[[#This Row],[Item]],Items!$A$1:$F$43,3,FALSE)=0,"",VLOOKUP(UncLookup[[#This Row],[Item]],Items!$A$1:$F$43,3,FALSE))</f>
        <v/>
      </c>
      <c r="Q1064" s="90" t="str">
        <f>IF(VLOOKUP(UncLookup[[#This Row],[Item]],Items!$A$1:$F$43,4,FALSE)=0,"",VLOOKUP(UncLookup[[#This Row],[Item]],Items!$A$1:$F$43,4,FALSE))</f>
        <v/>
      </c>
    </row>
    <row r="1065" spans="1:17" x14ac:dyDescent="0.25">
      <c r="A1065" s="76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90" t="str">
        <f>IF(VLOOKUP(UncLookup[[#This Row],[Item]],Items!$A$1:$F$43,2,FALSE)=0,"",VLOOKUP(UncLookup[[#This Row],[Item]],Items!$A$1:$F$43,2,FALSE))</f>
        <v/>
      </c>
      <c r="P1065" s="90" t="str">
        <f>IF(VLOOKUP(UncLookup[[#This Row],[Item]],Items!$A$1:$F$43,3,FALSE)=0,"",VLOOKUP(UncLookup[[#This Row],[Item]],Items!$A$1:$F$43,3,FALSE))</f>
        <v/>
      </c>
      <c r="Q1065" s="90" t="str">
        <f>IF(VLOOKUP(UncLookup[[#This Row],[Item]],Items!$A$1:$F$43,4,FALSE)=0,"",VLOOKUP(UncLookup[[#This Row],[Item]],Items!$A$1:$F$43,4,FALSE))</f>
        <v/>
      </c>
    </row>
    <row r="1066" spans="1:17" x14ac:dyDescent="0.25">
      <c r="A1066" s="75" t="s">
        <v>55</v>
      </c>
      <c r="B1066" s="75" t="s">
        <v>7</v>
      </c>
      <c r="C1066" s="75">
        <v>33000</v>
      </c>
      <c r="D1066" s="75">
        <v>110010</v>
      </c>
      <c r="E1066" s="75">
        <v>1000</v>
      </c>
      <c r="F1066" s="75" t="s">
        <v>104</v>
      </c>
      <c r="G1066" s="75" t="s">
        <v>49</v>
      </c>
      <c r="H1066" s="75">
        <v>0</v>
      </c>
      <c r="I1066" s="75">
        <v>0</v>
      </c>
      <c r="J1066" s="75"/>
      <c r="K1066" s="75">
        <v>579.95000000000005</v>
      </c>
      <c r="L1066" s="75">
        <v>2.2971E-6</v>
      </c>
      <c r="M1066" s="75">
        <v>579.95000000000005</v>
      </c>
      <c r="N1066" s="75">
        <v>2.2465E-6</v>
      </c>
      <c r="O1066" s="90" t="str">
        <f>IF(VLOOKUP(UncLookup[[#This Row],[Item]],Items!$A$1:$F$43,2,FALSE)=0,"",VLOOKUP(UncLookup[[#This Row],[Item]],Items!$A$1:$F$43,2,FALSE))</f>
        <v/>
      </c>
      <c r="P1066" s="90" t="str">
        <f>IF(VLOOKUP(UncLookup[[#This Row],[Item]],Items!$A$1:$F$43,3,FALSE)=0,"",VLOOKUP(UncLookup[[#This Row],[Item]],Items!$A$1:$F$43,3,FALSE))</f>
        <v/>
      </c>
      <c r="Q1066" s="90" t="str">
        <f>IF(VLOOKUP(UncLookup[[#This Row],[Item]],Items!$A$1:$F$43,4,FALSE)=0,"",VLOOKUP(UncLookup[[#This Row],[Item]],Items!$A$1:$F$43,4,FALSE))</f>
        <v/>
      </c>
    </row>
    <row r="1067" spans="1:17" x14ac:dyDescent="0.25">
      <c r="A1067" s="76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90" t="str">
        <f>IF(VLOOKUP(UncLookup[[#This Row],[Item]],Items!$A$1:$F$43,2,FALSE)=0,"",VLOOKUP(UncLookup[[#This Row],[Item]],Items!$A$1:$F$43,2,FALSE))</f>
        <v/>
      </c>
      <c r="P1067" s="90" t="str">
        <f>IF(VLOOKUP(UncLookup[[#This Row],[Item]],Items!$A$1:$F$43,3,FALSE)=0,"",VLOOKUP(UncLookup[[#This Row],[Item]],Items!$A$1:$F$43,3,FALSE))</f>
        <v/>
      </c>
      <c r="Q1067" s="90" t="str">
        <f>IF(VLOOKUP(UncLookup[[#This Row],[Item]],Items!$A$1:$F$43,4,FALSE)=0,"",VLOOKUP(UncLookup[[#This Row],[Item]],Items!$A$1:$F$43,4,FALSE))</f>
        <v/>
      </c>
    </row>
    <row r="1068" spans="1:17" x14ac:dyDescent="0.25">
      <c r="A1068" s="75" t="s">
        <v>55</v>
      </c>
      <c r="B1068" s="75" t="s">
        <v>7</v>
      </c>
      <c r="C1068" s="75">
        <v>110000</v>
      </c>
      <c r="D1068" s="75">
        <v>330010</v>
      </c>
      <c r="E1068" s="75">
        <v>10</v>
      </c>
      <c r="F1068" s="75" t="s">
        <v>104</v>
      </c>
      <c r="G1068" s="75" t="s">
        <v>49</v>
      </c>
      <c r="H1068" s="75">
        <v>0</v>
      </c>
      <c r="I1068" s="75">
        <v>0</v>
      </c>
      <c r="J1068" s="75"/>
      <c r="K1068" s="75">
        <v>12.289</v>
      </c>
      <c r="L1068" s="75">
        <v>1.3783999999999999E-4</v>
      </c>
      <c r="M1068" s="75">
        <v>12.284000000000001</v>
      </c>
      <c r="N1068" s="75">
        <v>1.3782000000000001E-4</v>
      </c>
      <c r="O1068" s="90" t="str">
        <f>IF(VLOOKUP(UncLookup[[#This Row],[Item]],Items!$A$1:$F$43,2,FALSE)=0,"",VLOOKUP(UncLookup[[#This Row],[Item]],Items!$A$1:$F$43,2,FALSE))</f>
        <v/>
      </c>
      <c r="P1068" s="90" t="str">
        <f>IF(VLOOKUP(UncLookup[[#This Row],[Item]],Items!$A$1:$F$43,3,FALSE)=0,"",VLOOKUP(UncLookup[[#This Row],[Item]],Items!$A$1:$F$43,3,FALSE))</f>
        <v/>
      </c>
      <c r="Q1068" s="90" t="str">
        <f>IF(VLOOKUP(UncLookup[[#This Row],[Item]],Items!$A$1:$F$43,4,FALSE)=0,"",VLOOKUP(UncLookup[[#This Row],[Item]],Items!$A$1:$F$43,4,FALSE))</f>
        <v/>
      </c>
    </row>
    <row r="1069" spans="1:17" x14ac:dyDescent="0.25">
      <c r="A1069" s="76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90" t="str">
        <f>IF(VLOOKUP(UncLookup[[#This Row],[Item]],Items!$A$1:$F$43,2,FALSE)=0,"",VLOOKUP(UncLookup[[#This Row],[Item]],Items!$A$1:$F$43,2,FALSE))</f>
        <v/>
      </c>
      <c r="P1069" s="90" t="str">
        <f>IF(VLOOKUP(UncLookup[[#This Row],[Item]],Items!$A$1:$F$43,3,FALSE)=0,"",VLOOKUP(UncLookup[[#This Row],[Item]],Items!$A$1:$F$43,3,FALSE))</f>
        <v/>
      </c>
      <c r="Q1069" s="90" t="str">
        <f>IF(VLOOKUP(UncLookup[[#This Row],[Item]],Items!$A$1:$F$43,4,FALSE)=0,"",VLOOKUP(UncLookup[[#This Row],[Item]],Items!$A$1:$F$43,4,FALSE))</f>
        <v/>
      </c>
    </row>
    <row r="1070" spans="1:17" x14ac:dyDescent="0.25">
      <c r="A1070" s="75" t="s">
        <v>55</v>
      </c>
      <c r="B1070" s="75" t="s">
        <v>7</v>
      </c>
      <c r="C1070" s="75">
        <v>110000</v>
      </c>
      <c r="D1070" s="75">
        <v>330010</v>
      </c>
      <c r="E1070" s="75">
        <v>1000</v>
      </c>
      <c r="F1070" s="75" t="s">
        <v>104</v>
      </c>
      <c r="G1070" s="75" t="s">
        <v>49</v>
      </c>
      <c r="H1070" s="75">
        <v>0</v>
      </c>
      <c r="I1070" s="75">
        <v>0</v>
      </c>
      <c r="J1070" s="75"/>
      <c r="K1070" s="75">
        <v>579.51</v>
      </c>
      <c r="L1070" s="75">
        <v>1.0142E-5</v>
      </c>
      <c r="M1070" s="75">
        <v>579.51</v>
      </c>
      <c r="N1070" s="75">
        <v>1.0091E-5</v>
      </c>
      <c r="O1070" s="90" t="str">
        <f>IF(VLOOKUP(UncLookup[[#This Row],[Item]],Items!$A$1:$F$43,2,FALSE)=0,"",VLOOKUP(UncLookup[[#This Row],[Item]],Items!$A$1:$F$43,2,FALSE))</f>
        <v/>
      </c>
      <c r="P1070" s="90" t="str">
        <f>IF(VLOOKUP(UncLookup[[#This Row],[Item]],Items!$A$1:$F$43,3,FALSE)=0,"",VLOOKUP(UncLookup[[#This Row],[Item]],Items!$A$1:$F$43,3,FALSE))</f>
        <v/>
      </c>
      <c r="Q1070" s="90" t="str">
        <f>IF(VLOOKUP(UncLookup[[#This Row],[Item]],Items!$A$1:$F$43,4,FALSE)=0,"",VLOOKUP(UncLookup[[#This Row],[Item]],Items!$A$1:$F$43,4,FALSE))</f>
        <v/>
      </c>
    </row>
    <row r="1071" spans="1:17" x14ac:dyDescent="0.25">
      <c r="A1071" s="76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90" t="str">
        <f>IF(VLOOKUP(UncLookup[[#This Row],[Item]],Items!$A$1:$F$43,2,FALSE)=0,"",VLOOKUP(UncLookup[[#This Row],[Item]],Items!$A$1:$F$43,2,FALSE))</f>
        <v/>
      </c>
      <c r="P1071" s="90" t="str">
        <f>IF(VLOOKUP(UncLookup[[#This Row],[Item]],Items!$A$1:$F$43,3,FALSE)=0,"",VLOOKUP(UncLookup[[#This Row],[Item]],Items!$A$1:$F$43,3,FALSE))</f>
        <v/>
      </c>
      <c r="Q1071" s="90" t="str">
        <f>IF(VLOOKUP(UncLookup[[#This Row],[Item]],Items!$A$1:$F$43,4,FALSE)=0,"",VLOOKUP(UncLookup[[#This Row],[Item]],Items!$A$1:$F$43,4,FALSE))</f>
        <v/>
      </c>
    </row>
    <row r="1072" spans="1:17" x14ac:dyDescent="0.25">
      <c r="A1072" s="75" t="s">
        <v>55</v>
      </c>
      <c r="B1072" s="75" t="s">
        <v>7</v>
      </c>
      <c r="C1072" s="75">
        <v>330000</v>
      </c>
      <c r="D1072" s="75">
        <v>1100010</v>
      </c>
      <c r="E1072" s="75">
        <v>100</v>
      </c>
      <c r="F1072" s="75" t="s">
        <v>104</v>
      </c>
      <c r="G1072" s="75" t="s">
        <v>49</v>
      </c>
      <c r="H1072" s="75">
        <v>0</v>
      </c>
      <c r="I1072" s="75">
        <v>0</v>
      </c>
      <c r="J1072" s="75"/>
      <c r="K1072" s="75">
        <v>38.744</v>
      </c>
      <c r="L1072" s="75">
        <v>1.5613000000000001E-4</v>
      </c>
      <c r="M1072" s="75">
        <v>38.701999999999998</v>
      </c>
      <c r="N1072" s="75">
        <v>1.5610999999999999E-4</v>
      </c>
      <c r="O1072" s="90" t="str">
        <f>IF(VLOOKUP(UncLookup[[#This Row],[Item]],Items!$A$1:$F$43,2,FALSE)=0,"",VLOOKUP(UncLookup[[#This Row],[Item]],Items!$A$1:$F$43,2,FALSE))</f>
        <v/>
      </c>
      <c r="P1072" s="90" t="str">
        <f>IF(VLOOKUP(UncLookup[[#This Row],[Item]],Items!$A$1:$F$43,3,FALSE)=0,"",VLOOKUP(UncLookup[[#This Row],[Item]],Items!$A$1:$F$43,3,FALSE))</f>
        <v/>
      </c>
      <c r="Q1072" s="90" t="str">
        <f>IF(VLOOKUP(UncLookup[[#This Row],[Item]],Items!$A$1:$F$43,4,FALSE)=0,"",VLOOKUP(UncLookup[[#This Row],[Item]],Items!$A$1:$F$43,4,FALSE))</f>
        <v/>
      </c>
    </row>
    <row r="1073" spans="1:17" x14ac:dyDescent="0.25">
      <c r="A1073" s="76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90" t="str">
        <f>IF(VLOOKUP(UncLookup[[#This Row],[Item]],Items!$A$1:$F$43,2,FALSE)=0,"",VLOOKUP(UncLookup[[#This Row],[Item]],Items!$A$1:$F$43,2,FALSE))</f>
        <v/>
      </c>
      <c r="P1073" s="90" t="str">
        <f>IF(VLOOKUP(UncLookup[[#This Row],[Item]],Items!$A$1:$F$43,3,FALSE)=0,"",VLOOKUP(UncLookup[[#This Row],[Item]],Items!$A$1:$F$43,3,FALSE))</f>
        <v/>
      </c>
      <c r="Q1073" s="90" t="str">
        <f>IF(VLOOKUP(UncLookup[[#This Row],[Item]],Items!$A$1:$F$43,4,FALSE)=0,"",VLOOKUP(UncLookup[[#This Row],[Item]],Items!$A$1:$F$43,4,FALSE))</f>
        <v/>
      </c>
    </row>
    <row r="1074" spans="1:17" x14ac:dyDescent="0.25">
      <c r="A1074" s="75" t="s">
        <v>55</v>
      </c>
      <c r="B1074" s="75" t="s">
        <v>7</v>
      </c>
      <c r="C1074" s="75">
        <v>330000</v>
      </c>
      <c r="D1074" s="75">
        <v>1100010</v>
      </c>
      <c r="E1074" s="75">
        <v>10000</v>
      </c>
      <c r="F1074" s="75" t="s">
        <v>104</v>
      </c>
      <c r="G1074" s="75" t="s">
        <v>49</v>
      </c>
      <c r="H1074" s="75">
        <v>0</v>
      </c>
      <c r="I1074" s="75">
        <v>0</v>
      </c>
      <c r="J1074" s="75"/>
      <c r="K1074" s="75">
        <v>5799.1</v>
      </c>
      <c r="L1074" s="75">
        <v>4.0775999999999997E-6</v>
      </c>
      <c r="M1074" s="75">
        <v>5799.1</v>
      </c>
      <c r="N1074" s="75">
        <v>4.0446000000000002E-6</v>
      </c>
      <c r="O1074" s="90" t="str">
        <f>IF(VLOOKUP(UncLookup[[#This Row],[Item]],Items!$A$1:$F$43,2,FALSE)=0,"",VLOOKUP(UncLookup[[#This Row],[Item]],Items!$A$1:$F$43,2,FALSE))</f>
        <v/>
      </c>
      <c r="P1074" s="90" t="str">
        <f>IF(VLOOKUP(UncLookup[[#This Row],[Item]],Items!$A$1:$F$43,3,FALSE)=0,"",VLOOKUP(UncLookup[[#This Row],[Item]],Items!$A$1:$F$43,3,FALSE))</f>
        <v/>
      </c>
      <c r="Q1074" s="90" t="str">
        <f>IF(VLOOKUP(UncLookup[[#This Row],[Item]],Items!$A$1:$F$43,4,FALSE)=0,"",VLOOKUP(UncLookup[[#This Row],[Item]],Items!$A$1:$F$43,4,FALSE))</f>
        <v/>
      </c>
    </row>
    <row r="1075" spans="1:17" x14ac:dyDescent="0.25">
      <c r="A1075" s="76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90" t="str">
        <f>IF(VLOOKUP(UncLookup[[#This Row],[Item]],Items!$A$1:$F$43,2,FALSE)=0,"",VLOOKUP(UncLookup[[#This Row],[Item]],Items!$A$1:$F$43,2,FALSE))</f>
        <v/>
      </c>
      <c r="P1075" s="90" t="str">
        <f>IF(VLOOKUP(UncLookup[[#This Row],[Item]],Items!$A$1:$F$43,3,FALSE)=0,"",VLOOKUP(UncLookup[[#This Row],[Item]],Items!$A$1:$F$43,3,FALSE))</f>
        <v/>
      </c>
      <c r="Q1075" s="90" t="str">
        <f>IF(VLOOKUP(UncLookup[[#This Row],[Item]],Items!$A$1:$F$43,4,FALSE)=0,"",VLOOKUP(UncLookup[[#This Row],[Item]],Items!$A$1:$F$43,4,FALSE))</f>
        <v/>
      </c>
    </row>
    <row r="1076" spans="1:17" x14ac:dyDescent="0.25">
      <c r="A1076" s="75" t="s">
        <v>55</v>
      </c>
      <c r="B1076" s="75" t="s">
        <v>7</v>
      </c>
      <c r="C1076" s="75">
        <v>1100000</v>
      </c>
      <c r="D1076" s="75">
        <v>3301000</v>
      </c>
      <c r="E1076" s="75">
        <v>100</v>
      </c>
      <c r="F1076" s="75" t="s">
        <v>104</v>
      </c>
      <c r="G1076" s="75" t="s">
        <v>50</v>
      </c>
      <c r="H1076" s="75">
        <v>0</v>
      </c>
      <c r="I1076" s="75">
        <v>0</v>
      </c>
      <c r="J1076" s="75"/>
      <c r="K1076" s="75">
        <v>0.19</v>
      </c>
      <c r="L1076" s="75">
        <v>1.7214999999999999E-7</v>
      </c>
      <c r="M1076" s="75">
        <v>0.17910000000000001</v>
      </c>
      <c r="N1076" s="75">
        <v>1.7212999999999999E-7</v>
      </c>
      <c r="O1076" s="90" t="str">
        <f>IF(VLOOKUP(UncLookup[[#This Row],[Item]],Items!$A$1:$F$43,2,FALSE)=0,"",VLOOKUP(UncLookup[[#This Row],[Item]],Items!$A$1:$F$43,2,FALSE))</f>
        <v/>
      </c>
      <c r="P1076" s="90" t="str">
        <f>IF(VLOOKUP(UncLookup[[#This Row],[Item]],Items!$A$1:$F$43,3,FALSE)=0,"",VLOOKUP(UncLookup[[#This Row],[Item]],Items!$A$1:$F$43,3,FALSE))</f>
        <v/>
      </c>
      <c r="Q1076" s="90" t="str">
        <f>IF(VLOOKUP(UncLookup[[#This Row],[Item]],Items!$A$1:$F$43,4,FALSE)=0,"",VLOOKUP(UncLookup[[#This Row],[Item]],Items!$A$1:$F$43,4,FALSE))</f>
        <v/>
      </c>
    </row>
    <row r="1077" spans="1:17" x14ac:dyDescent="0.25">
      <c r="A1077" s="76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90" t="str">
        <f>IF(VLOOKUP(UncLookup[[#This Row],[Item]],Items!$A$1:$F$43,2,FALSE)=0,"",VLOOKUP(UncLookup[[#This Row],[Item]],Items!$A$1:$F$43,2,FALSE))</f>
        <v/>
      </c>
      <c r="P1077" s="90" t="str">
        <f>IF(VLOOKUP(UncLookup[[#This Row],[Item]],Items!$A$1:$F$43,3,FALSE)=0,"",VLOOKUP(UncLookup[[#This Row],[Item]],Items!$A$1:$F$43,3,FALSE))</f>
        <v/>
      </c>
      <c r="Q1077" s="90" t="str">
        <f>IF(VLOOKUP(UncLookup[[#This Row],[Item]],Items!$A$1:$F$43,4,FALSE)=0,"",VLOOKUP(UncLookup[[#This Row],[Item]],Items!$A$1:$F$43,4,FALSE))</f>
        <v/>
      </c>
    </row>
    <row r="1078" spans="1:17" x14ac:dyDescent="0.25">
      <c r="A1078" s="75" t="s">
        <v>55</v>
      </c>
      <c r="B1078" s="75" t="s">
        <v>7</v>
      </c>
      <c r="C1078" s="75">
        <v>1100000</v>
      </c>
      <c r="D1078" s="75">
        <v>3301000</v>
      </c>
      <c r="E1078" s="75">
        <v>10000</v>
      </c>
      <c r="F1078" s="75" t="s">
        <v>104</v>
      </c>
      <c r="G1078" s="75" t="s">
        <v>50</v>
      </c>
      <c r="H1078" s="75">
        <v>0</v>
      </c>
      <c r="I1078" s="75">
        <v>0</v>
      </c>
      <c r="J1078" s="75"/>
      <c r="K1078" s="75">
        <v>5.7933000000000003</v>
      </c>
      <c r="L1078" s="75">
        <v>1.6590000000000002E-8</v>
      </c>
      <c r="M1078" s="75">
        <v>5.7933000000000003</v>
      </c>
      <c r="N1078" s="75">
        <v>1.6469E-8</v>
      </c>
      <c r="O1078" s="90" t="str">
        <f>IF(VLOOKUP(UncLookup[[#This Row],[Item]],Items!$A$1:$F$43,2,FALSE)=0,"",VLOOKUP(UncLookup[[#This Row],[Item]],Items!$A$1:$F$43,2,FALSE))</f>
        <v/>
      </c>
      <c r="P1078" s="90" t="str">
        <f>IF(VLOOKUP(UncLookup[[#This Row],[Item]],Items!$A$1:$F$43,3,FALSE)=0,"",VLOOKUP(UncLookup[[#This Row],[Item]],Items!$A$1:$F$43,3,FALSE))</f>
        <v/>
      </c>
      <c r="Q1078" s="90" t="str">
        <f>IF(VLOOKUP(UncLookup[[#This Row],[Item]],Items!$A$1:$F$43,4,FALSE)=0,"",VLOOKUP(UncLookup[[#This Row],[Item]],Items!$A$1:$F$43,4,FALSE))</f>
        <v/>
      </c>
    </row>
    <row r="1079" spans="1:17" x14ac:dyDescent="0.25">
      <c r="A1079" s="76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90" t="str">
        <f>IF(VLOOKUP(UncLookup[[#This Row],[Item]],Items!$A$1:$F$43,2,FALSE)=0,"",VLOOKUP(UncLookup[[#This Row],[Item]],Items!$A$1:$F$43,2,FALSE))</f>
        <v/>
      </c>
      <c r="P1079" s="90" t="str">
        <f>IF(VLOOKUP(UncLookup[[#This Row],[Item]],Items!$A$1:$F$43,3,FALSE)=0,"",VLOOKUP(UncLookup[[#This Row],[Item]],Items!$A$1:$F$43,3,FALSE))</f>
        <v/>
      </c>
      <c r="Q1079" s="90" t="str">
        <f>IF(VLOOKUP(UncLookup[[#This Row],[Item]],Items!$A$1:$F$43,4,FALSE)=0,"",VLOOKUP(UncLookup[[#This Row],[Item]],Items!$A$1:$F$43,4,FALSE))</f>
        <v/>
      </c>
    </row>
    <row r="1080" spans="1:17" x14ac:dyDescent="0.25">
      <c r="A1080" s="75" t="s">
        <v>55</v>
      </c>
      <c r="B1080" s="75" t="s">
        <v>7</v>
      </c>
      <c r="C1080" s="75">
        <v>3300000</v>
      </c>
      <c r="D1080" s="75">
        <v>11001000</v>
      </c>
      <c r="E1080" s="75">
        <v>1000</v>
      </c>
      <c r="F1080" s="75" t="s">
        <v>104</v>
      </c>
      <c r="G1080" s="75" t="s">
        <v>50</v>
      </c>
      <c r="H1080" s="75">
        <v>0</v>
      </c>
      <c r="I1080" s="75">
        <v>0</v>
      </c>
      <c r="J1080" s="75"/>
      <c r="K1080" s="75">
        <v>0.37289</v>
      </c>
      <c r="L1080" s="75">
        <v>6.8714999999999996E-7</v>
      </c>
      <c r="M1080" s="75">
        <v>0.37252000000000002</v>
      </c>
      <c r="N1080" s="75">
        <v>6.8716000000000002E-7</v>
      </c>
      <c r="O1080" s="90" t="str">
        <f>IF(VLOOKUP(UncLookup[[#This Row],[Item]],Items!$A$1:$F$43,2,FALSE)=0,"",VLOOKUP(UncLookup[[#This Row],[Item]],Items!$A$1:$F$43,2,FALSE))</f>
        <v/>
      </c>
      <c r="P1080" s="90" t="str">
        <f>IF(VLOOKUP(UncLookup[[#This Row],[Item]],Items!$A$1:$F$43,3,FALSE)=0,"",VLOOKUP(UncLookup[[#This Row],[Item]],Items!$A$1:$F$43,3,FALSE))</f>
        <v/>
      </c>
      <c r="Q1080" s="90" t="str">
        <f>IF(VLOOKUP(UncLookup[[#This Row],[Item]],Items!$A$1:$F$43,4,FALSE)=0,"",VLOOKUP(UncLookup[[#This Row],[Item]],Items!$A$1:$F$43,4,FALSE))</f>
        <v/>
      </c>
    </row>
    <row r="1081" spans="1:17" x14ac:dyDescent="0.25">
      <c r="A1081" s="76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90" t="str">
        <f>IF(VLOOKUP(UncLookup[[#This Row],[Item]],Items!$A$1:$F$43,2,FALSE)=0,"",VLOOKUP(UncLookup[[#This Row],[Item]],Items!$A$1:$F$43,2,FALSE))</f>
        <v/>
      </c>
      <c r="P1081" s="90" t="str">
        <f>IF(VLOOKUP(UncLookup[[#This Row],[Item]],Items!$A$1:$F$43,3,FALSE)=0,"",VLOOKUP(UncLookup[[#This Row],[Item]],Items!$A$1:$F$43,3,FALSE))</f>
        <v/>
      </c>
      <c r="Q1081" s="90" t="str">
        <f>IF(VLOOKUP(UncLookup[[#This Row],[Item]],Items!$A$1:$F$43,4,FALSE)=0,"",VLOOKUP(UncLookup[[#This Row],[Item]],Items!$A$1:$F$43,4,FALSE))</f>
        <v/>
      </c>
    </row>
    <row r="1082" spans="1:17" x14ac:dyDescent="0.25">
      <c r="A1082" s="75" t="s">
        <v>55</v>
      </c>
      <c r="B1082" s="75" t="s">
        <v>7</v>
      </c>
      <c r="C1082" s="75">
        <v>3300000</v>
      </c>
      <c r="D1082" s="75">
        <v>11001000</v>
      </c>
      <c r="E1082" s="75">
        <v>100000</v>
      </c>
      <c r="F1082" s="75" t="s">
        <v>104</v>
      </c>
      <c r="G1082" s="75" t="s">
        <v>50</v>
      </c>
      <c r="H1082" s="75">
        <v>0</v>
      </c>
      <c r="I1082" s="75">
        <v>0</v>
      </c>
      <c r="J1082" s="75"/>
      <c r="K1082" s="75">
        <v>57.851999999999997</v>
      </c>
      <c r="L1082" s="75">
        <v>6.2356000000000006E-8</v>
      </c>
      <c r="M1082" s="75">
        <v>57.851999999999997</v>
      </c>
      <c r="N1082" s="75">
        <v>6.2304E-8</v>
      </c>
      <c r="O1082" s="90" t="str">
        <f>IF(VLOOKUP(UncLookup[[#This Row],[Item]],Items!$A$1:$F$43,2,FALSE)=0,"",VLOOKUP(UncLookup[[#This Row],[Item]],Items!$A$1:$F$43,2,FALSE))</f>
        <v/>
      </c>
      <c r="P1082" s="90" t="str">
        <f>IF(VLOOKUP(UncLookup[[#This Row],[Item]],Items!$A$1:$F$43,3,FALSE)=0,"",VLOOKUP(UncLookup[[#This Row],[Item]],Items!$A$1:$F$43,3,FALSE))</f>
        <v/>
      </c>
      <c r="Q1082" s="90" t="str">
        <f>IF(VLOOKUP(UncLookup[[#This Row],[Item]],Items!$A$1:$F$43,4,FALSE)=0,"",VLOOKUP(UncLookup[[#This Row],[Item]],Items!$A$1:$F$43,4,FALSE))</f>
        <v/>
      </c>
    </row>
    <row r="1083" spans="1:17" x14ac:dyDescent="0.25">
      <c r="A1083" s="76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90" t="str">
        <f>IF(VLOOKUP(UncLookup[[#This Row],[Item]],Items!$A$1:$F$43,2,FALSE)=0,"",VLOOKUP(UncLookup[[#This Row],[Item]],Items!$A$1:$F$43,2,FALSE))</f>
        <v/>
      </c>
      <c r="P1083" s="90" t="str">
        <f>IF(VLOOKUP(UncLookup[[#This Row],[Item]],Items!$A$1:$F$43,3,FALSE)=0,"",VLOOKUP(UncLookup[[#This Row],[Item]],Items!$A$1:$F$43,3,FALSE))</f>
        <v/>
      </c>
      <c r="Q1083" s="90" t="str">
        <f>IF(VLOOKUP(UncLookup[[#This Row],[Item]],Items!$A$1:$F$43,4,FALSE)=0,"",VLOOKUP(UncLookup[[#This Row],[Item]],Items!$A$1:$F$43,4,FALSE))</f>
        <v/>
      </c>
    </row>
    <row r="1084" spans="1:17" x14ac:dyDescent="0.25">
      <c r="A1084" s="75" t="s">
        <v>55</v>
      </c>
      <c r="B1084" s="75" t="s">
        <v>7</v>
      </c>
      <c r="C1084" s="75">
        <v>11000000</v>
      </c>
      <c r="D1084" s="75">
        <v>33001000</v>
      </c>
      <c r="E1084" s="75">
        <v>1000</v>
      </c>
      <c r="F1084" s="75" t="s">
        <v>104</v>
      </c>
      <c r="G1084" s="75" t="s">
        <v>50</v>
      </c>
      <c r="H1084" s="75">
        <v>0</v>
      </c>
      <c r="I1084" s="75">
        <v>0</v>
      </c>
      <c r="J1084" s="75"/>
      <c r="K1084" s="75">
        <v>2.9003999999999999</v>
      </c>
      <c r="L1084" s="75">
        <v>1.1544999999999999E-6</v>
      </c>
      <c r="M1084" s="75">
        <v>2.9</v>
      </c>
      <c r="N1084" s="75">
        <v>1.1544999999999999E-6</v>
      </c>
      <c r="O1084" s="90" t="str">
        <f>IF(VLOOKUP(UncLookup[[#This Row],[Item]],Items!$A$1:$F$43,2,FALSE)=0,"",VLOOKUP(UncLookup[[#This Row],[Item]],Items!$A$1:$F$43,2,FALSE))</f>
        <v/>
      </c>
      <c r="P1084" s="90" t="str">
        <f>IF(VLOOKUP(UncLookup[[#This Row],[Item]],Items!$A$1:$F$43,3,FALSE)=0,"",VLOOKUP(UncLookup[[#This Row],[Item]],Items!$A$1:$F$43,3,FALSE))</f>
        <v/>
      </c>
      <c r="Q1084" s="90" t="str">
        <f>IF(VLOOKUP(UncLookup[[#This Row],[Item]],Items!$A$1:$F$43,4,FALSE)=0,"",VLOOKUP(UncLookup[[#This Row],[Item]],Items!$A$1:$F$43,4,FALSE))</f>
        <v/>
      </c>
    </row>
    <row r="1085" spans="1:17" x14ac:dyDescent="0.25">
      <c r="A1085" s="76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90" t="str">
        <f>IF(VLOOKUP(UncLookup[[#This Row],[Item]],Items!$A$1:$F$43,2,FALSE)=0,"",VLOOKUP(UncLookup[[#This Row],[Item]],Items!$A$1:$F$43,2,FALSE))</f>
        <v/>
      </c>
      <c r="P1085" s="90" t="str">
        <f>IF(VLOOKUP(UncLookup[[#This Row],[Item]],Items!$A$1:$F$43,3,FALSE)=0,"",VLOOKUP(UncLookup[[#This Row],[Item]],Items!$A$1:$F$43,3,FALSE))</f>
        <v/>
      </c>
      <c r="Q1085" s="90" t="str">
        <f>IF(VLOOKUP(UncLookup[[#This Row],[Item]],Items!$A$1:$F$43,4,FALSE)=0,"",VLOOKUP(UncLookup[[#This Row],[Item]],Items!$A$1:$F$43,4,FALSE))</f>
        <v/>
      </c>
    </row>
    <row r="1086" spans="1:17" x14ac:dyDescent="0.25">
      <c r="A1086" s="75" t="s">
        <v>55</v>
      </c>
      <c r="B1086" s="75" t="s">
        <v>7</v>
      </c>
      <c r="C1086" s="75">
        <v>11000000</v>
      </c>
      <c r="D1086" s="75">
        <v>33001000</v>
      </c>
      <c r="E1086" s="75">
        <v>100000</v>
      </c>
      <c r="F1086" s="75" t="s">
        <v>104</v>
      </c>
      <c r="G1086" s="75" t="s">
        <v>50</v>
      </c>
      <c r="H1086" s="75">
        <v>0</v>
      </c>
      <c r="I1086" s="75">
        <v>0</v>
      </c>
      <c r="J1086" s="75"/>
      <c r="K1086" s="75">
        <v>54.575000000000003</v>
      </c>
      <c r="L1086" s="75">
        <v>4.9851999999999999E-7</v>
      </c>
      <c r="M1086" s="75">
        <v>54.575000000000003</v>
      </c>
      <c r="N1086" s="75">
        <v>4.9846000000000003E-7</v>
      </c>
      <c r="O1086" s="90" t="str">
        <f>IF(VLOOKUP(UncLookup[[#This Row],[Item]],Items!$A$1:$F$43,2,FALSE)=0,"",VLOOKUP(UncLookup[[#This Row],[Item]],Items!$A$1:$F$43,2,FALSE))</f>
        <v/>
      </c>
      <c r="P1086" s="90" t="str">
        <f>IF(VLOOKUP(UncLookup[[#This Row],[Item]],Items!$A$1:$F$43,3,FALSE)=0,"",VLOOKUP(UncLookup[[#This Row],[Item]],Items!$A$1:$F$43,3,FALSE))</f>
        <v/>
      </c>
      <c r="Q1086" s="90" t="str">
        <f>IF(VLOOKUP(UncLookup[[#This Row],[Item]],Items!$A$1:$F$43,4,FALSE)=0,"",VLOOKUP(UncLookup[[#This Row],[Item]],Items!$A$1:$F$43,4,FALSE))</f>
        <v/>
      </c>
    </row>
    <row r="1087" spans="1:17" x14ac:dyDescent="0.25">
      <c r="A1087" s="76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90" t="str">
        <f>IF(VLOOKUP(UncLookup[[#This Row],[Item]],Items!$A$1:$F$43,2,FALSE)=0,"",VLOOKUP(UncLookup[[#This Row],[Item]],Items!$A$1:$F$43,2,FALSE))</f>
        <v/>
      </c>
      <c r="P1087" s="90" t="str">
        <f>IF(VLOOKUP(UncLookup[[#This Row],[Item]],Items!$A$1:$F$43,3,FALSE)=0,"",VLOOKUP(UncLookup[[#This Row],[Item]],Items!$A$1:$F$43,3,FALSE))</f>
        <v/>
      </c>
      <c r="Q1087" s="90" t="str">
        <f>IF(VLOOKUP(UncLookup[[#This Row],[Item]],Items!$A$1:$F$43,4,FALSE)=0,"",VLOOKUP(UncLookup[[#This Row],[Item]],Items!$A$1:$F$43,4,FALSE))</f>
        <v/>
      </c>
    </row>
    <row r="1088" spans="1:17" x14ac:dyDescent="0.25">
      <c r="A1088" s="75" t="s">
        <v>55</v>
      </c>
      <c r="B1088" s="75" t="s">
        <v>7</v>
      </c>
      <c r="C1088" s="75">
        <v>33000000</v>
      </c>
      <c r="D1088" s="75">
        <v>110010000</v>
      </c>
      <c r="E1088" s="75">
        <v>10000</v>
      </c>
      <c r="F1088" s="75" t="s">
        <v>104</v>
      </c>
      <c r="G1088" s="75" t="s">
        <v>50</v>
      </c>
      <c r="H1088" s="75">
        <v>0</v>
      </c>
      <c r="I1088" s="75">
        <v>0</v>
      </c>
      <c r="J1088" s="75"/>
      <c r="K1088" s="75">
        <v>3.5802999999999998</v>
      </c>
      <c r="L1088" s="75">
        <v>5.7726999999999998E-6</v>
      </c>
      <c r="M1088" s="75">
        <v>3.5792000000000002</v>
      </c>
      <c r="N1088" s="75">
        <v>5.7726999999999998E-6</v>
      </c>
      <c r="O1088" s="90" t="str">
        <f>IF(VLOOKUP(UncLookup[[#This Row],[Item]],Items!$A$1:$F$43,2,FALSE)=0,"",VLOOKUP(UncLookup[[#This Row],[Item]],Items!$A$1:$F$43,2,FALSE))</f>
        <v/>
      </c>
      <c r="P1088" s="90" t="str">
        <f>IF(VLOOKUP(UncLookup[[#This Row],[Item]],Items!$A$1:$F$43,3,FALSE)=0,"",VLOOKUP(UncLookup[[#This Row],[Item]],Items!$A$1:$F$43,3,FALSE))</f>
        <v/>
      </c>
      <c r="Q1088" s="90" t="str">
        <f>IF(VLOOKUP(UncLookup[[#This Row],[Item]],Items!$A$1:$F$43,4,FALSE)=0,"",VLOOKUP(UncLookup[[#This Row],[Item]],Items!$A$1:$F$43,4,FALSE))</f>
        <v/>
      </c>
    </row>
    <row r="1089" spans="1:17" x14ac:dyDescent="0.25">
      <c r="A1089" s="76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90" t="str">
        <f>IF(VLOOKUP(UncLookup[[#This Row],[Item]],Items!$A$1:$F$43,2,FALSE)=0,"",VLOOKUP(UncLookup[[#This Row],[Item]],Items!$A$1:$F$43,2,FALSE))</f>
        <v/>
      </c>
      <c r="P1089" s="90" t="str">
        <f>IF(VLOOKUP(UncLookup[[#This Row],[Item]],Items!$A$1:$F$43,3,FALSE)=0,"",VLOOKUP(UncLookup[[#This Row],[Item]],Items!$A$1:$F$43,3,FALSE))</f>
        <v/>
      </c>
      <c r="Q1089" s="90" t="str">
        <f>IF(VLOOKUP(UncLookup[[#This Row],[Item]],Items!$A$1:$F$43,4,FALSE)=0,"",VLOOKUP(UncLookup[[#This Row],[Item]],Items!$A$1:$F$43,4,FALSE))</f>
        <v/>
      </c>
    </row>
    <row r="1090" spans="1:17" x14ac:dyDescent="0.25">
      <c r="A1090" s="75" t="s">
        <v>55</v>
      </c>
      <c r="B1090" s="75" t="s">
        <v>7</v>
      </c>
      <c r="C1090" s="75">
        <v>33000000</v>
      </c>
      <c r="D1090" s="75">
        <v>110010000</v>
      </c>
      <c r="E1090" s="75">
        <v>1000000</v>
      </c>
      <c r="F1090" s="75" t="s">
        <v>104</v>
      </c>
      <c r="G1090" s="75" t="s">
        <v>50</v>
      </c>
      <c r="H1090" s="75">
        <v>0</v>
      </c>
      <c r="I1090" s="75">
        <v>0</v>
      </c>
      <c r="J1090" s="75"/>
      <c r="K1090" s="75">
        <v>503.99</v>
      </c>
      <c r="L1090" s="75">
        <v>3.2606000000000002E-6</v>
      </c>
      <c r="M1090" s="75">
        <v>503.99</v>
      </c>
      <c r="N1090" s="75">
        <v>3.2605E-6</v>
      </c>
      <c r="O1090" s="90" t="str">
        <f>IF(VLOOKUP(UncLookup[[#This Row],[Item]],Items!$A$1:$F$43,2,FALSE)=0,"",VLOOKUP(UncLookup[[#This Row],[Item]],Items!$A$1:$F$43,2,FALSE))</f>
        <v/>
      </c>
      <c r="P1090" s="90" t="str">
        <f>IF(VLOOKUP(UncLookup[[#This Row],[Item]],Items!$A$1:$F$43,3,FALSE)=0,"",VLOOKUP(UncLookup[[#This Row],[Item]],Items!$A$1:$F$43,3,FALSE))</f>
        <v/>
      </c>
      <c r="Q1090" s="90" t="str">
        <f>IF(VLOOKUP(UncLookup[[#This Row],[Item]],Items!$A$1:$F$43,4,FALSE)=0,"",VLOOKUP(UncLookup[[#This Row],[Item]],Items!$A$1:$F$43,4,FALSE))</f>
        <v/>
      </c>
    </row>
    <row r="1091" spans="1:17" x14ac:dyDescent="0.25">
      <c r="A1091" s="76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90" t="str">
        <f>IF(VLOOKUP(UncLookup[[#This Row],[Item]],Items!$A$1:$F$43,2,FALSE)=0,"",VLOOKUP(UncLookup[[#This Row],[Item]],Items!$A$1:$F$43,2,FALSE))</f>
        <v/>
      </c>
      <c r="P1091" s="90" t="str">
        <f>IF(VLOOKUP(UncLookup[[#This Row],[Item]],Items!$A$1:$F$43,3,FALSE)=0,"",VLOOKUP(UncLookup[[#This Row],[Item]],Items!$A$1:$F$43,3,FALSE))</f>
        <v/>
      </c>
      <c r="Q1091" s="90" t="str">
        <f>IF(VLOOKUP(UncLookup[[#This Row],[Item]],Items!$A$1:$F$43,4,FALSE)=0,"",VLOOKUP(UncLookup[[#This Row],[Item]],Items!$A$1:$F$43,4,FALSE))</f>
        <v/>
      </c>
    </row>
    <row r="1092" spans="1:17" x14ac:dyDescent="0.25">
      <c r="A1092" s="75" t="s">
        <v>55</v>
      </c>
      <c r="B1092" s="75" t="s">
        <v>7</v>
      </c>
      <c r="C1092" s="75">
        <v>110000000</v>
      </c>
      <c r="D1092" s="75">
        <v>330010000</v>
      </c>
      <c r="E1092" s="75">
        <v>10000</v>
      </c>
      <c r="F1092" s="75" t="s">
        <v>104</v>
      </c>
      <c r="G1092" s="75" t="s">
        <v>50</v>
      </c>
      <c r="H1092" s="75">
        <v>0</v>
      </c>
      <c r="I1092" s="75">
        <v>0</v>
      </c>
      <c r="J1092" s="75"/>
      <c r="K1092" s="75">
        <v>120</v>
      </c>
      <c r="L1092" s="75">
        <v>5.7733999999999996E-6</v>
      </c>
      <c r="M1092" s="75">
        <v>115.52</v>
      </c>
      <c r="N1092" s="75">
        <v>5.7733999999999996E-6</v>
      </c>
      <c r="O1092" s="90" t="str">
        <f>IF(VLOOKUP(UncLookup[[#This Row],[Item]],Items!$A$1:$F$43,2,FALSE)=0,"",VLOOKUP(UncLookup[[#This Row],[Item]],Items!$A$1:$F$43,2,FALSE))</f>
        <v/>
      </c>
      <c r="P1092" s="90" t="str">
        <f>IF(VLOOKUP(UncLookup[[#This Row],[Item]],Items!$A$1:$F$43,3,FALSE)=0,"",VLOOKUP(UncLookup[[#This Row],[Item]],Items!$A$1:$F$43,3,FALSE))</f>
        <v/>
      </c>
      <c r="Q1092" s="90" t="str">
        <f>IF(VLOOKUP(UncLookup[[#This Row],[Item]],Items!$A$1:$F$43,4,FALSE)=0,"",VLOOKUP(UncLookup[[#This Row],[Item]],Items!$A$1:$F$43,4,FALSE))</f>
        <v/>
      </c>
    </row>
    <row r="1093" spans="1:17" x14ac:dyDescent="0.25">
      <c r="A1093" s="76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90" t="str">
        <f>IF(VLOOKUP(UncLookup[[#This Row],[Item]],Items!$A$1:$F$43,2,FALSE)=0,"",VLOOKUP(UncLookup[[#This Row],[Item]],Items!$A$1:$F$43,2,FALSE))</f>
        <v/>
      </c>
      <c r="P1093" s="90" t="str">
        <f>IF(VLOOKUP(UncLookup[[#This Row],[Item]],Items!$A$1:$F$43,3,FALSE)=0,"",VLOOKUP(UncLookup[[#This Row],[Item]],Items!$A$1:$F$43,3,FALSE))</f>
        <v/>
      </c>
      <c r="Q1093" s="90" t="str">
        <f>IF(VLOOKUP(UncLookup[[#This Row],[Item]],Items!$A$1:$F$43,4,FALSE)=0,"",VLOOKUP(UncLookup[[#This Row],[Item]],Items!$A$1:$F$43,4,FALSE))</f>
        <v/>
      </c>
    </row>
    <row r="1094" spans="1:17" x14ac:dyDescent="0.25">
      <c r="A1094" s="75" t="s">
        <v>55</v>
      </c>
      <c r="B1094" s="75" t="s">
        <v>7</v>
      </c>
      <c r="C1094" s="75">
        <v>110000000</v>
      </c>
      <c r="D1094" s="75">
        <v>330010000</v>
      </c>
      <c r="E1094" s="75">
        <v>1000000</v>
      </c>
      <c r="F1094" s="75" t="s">
        <v>104</v>
      </c>
      <c r="G1094" s="75" t="s">
        <v>50</v>
      </c>
      <c r="H1094" s="75">
        <v>0</v>
      </c>
      <c r="I1094" s="75">
        <v>0</v>
      </c>
      <c r="J1094" s="75"/>
      <c r="K1094" s="75">
        <v>371.66</v>
      </c>
      <c r="L1094" s="75">
        <v>5.2445000000000004E-6</v>
      </c>
      <c r="M1094" s="75">
        <v>371.67</v>
      </c>
      <c r="N1094" s="75">
        <v>5.2444000000000001E-6</v>
      </c>
      <c r="O1094" s="90" t="str">
        <f>IF(VLOOKUP(UncLookup[[#This Row],[Item]],Items!$A$1:$F$43,2,FALSE)=0,"",VLOOKUP(UncLookup[[#This Row],[Item]],Items!$A$1:$F$43,2,FALSE))</f>
        <v/>
      </c>
      <c r="P1094" s="90" t="str">
        <f>IF(VLOOKUP(UncLookup[[#This Row],[Item]],Items!$A$1:$F$43,3,FALSE)=0,"",VLOOKUP(UncLookup[[#This Row],[Item]],Items!$A$1:$F$43,3,FALSE))</f>
        <v/>
      </c>
      <c r="Q1094" s="90" t="str">
        <f>IF(VLOOKUP(UncLookup[[#This Row],[Item]],Items!$A$1:$F$43,4,FALSE)=0,"",VLOOKUP(UncLookup[[#This Row],[Item]],Items!$A$1:$F$43,4,FALSE))</f>
        <v/>
      </c>
    </row>
    <row r="1095" spans="1:17" x14ac:dyDescent="0.25">
      <c r="A1095" s="76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90" t="str">
        <f>IF(VLOOKUP(UncLookup[[#This Row],[Item]],Items!$A$1:$F$43,2,FALSE)=0,"",VLOOKUP(UncLookup[[#This Row],[Item]],Items!$A$1:$F$43,2,FALSE))</f>
        <v/>
      </c>
      <c r="P1095" s="90" t="str">
        <f>IF(VLOOKUP(UncLookup[[#This Row],[Item]],Items!$A$1:$F$43,3,FALSE)=0,"",VLOOKUP(UncLookup[[#This Row],[Item]],Items!$A$1:$F$43,3,FALSE))</f>
        <v/>
      </c>
      <c r="Q1095" s="90" t="str">
        <f>IF(VLOOKUP(UncLookup[[#This Row],[Item]],Items!$A$1:$F$43,4,FALSE)=0,"",VLOOKUP(UncLookup[[#This Row],[Item]],Items!$A$1:$F$43,4,FALSE))</f>
        <v/>
      </c>
    </row>
    <row r="1096" spans="1:17" x14ac:dyDescent="0.25">
      <c r="A1096" s="75" t="s">
        <v>55</v>
      </c>
      <c r="B1096" s="75" t="s">
        <v>7</v>
      </c>
      <c r="C1096" s="75">
        <v>330000000</v>
      </c>
      <c r="D1096" s="75">
        <v>1100010000</v>
      </c>
      <c r="E1096" s="75">
        <v>100000</v>
      </c>
      <c r="F1096" s="75" t="s">
        <v>104</v>
      </c>
      <c r="G1096" s="75" t="s">
        <v>50</v>
      </c>
      <c r="H1096" s="75">
        <v>0</v>
      </c>
      <c r="I1096" s="75">
        <v>0</v>
      </c>
      <c r="J1096" s="75"/>
      <c r="K1096" s="75">
        <v>930</v>
      </c>
      <c r="L1096" s="75">
        <v>1.732E-5</v>
      </c>
      <c r="M1096" s="75">
        <v>578</v>
      </c>
      <c r="N1096" s="75">
        <v>1.732E-5</v>
      </c>
      <c r="O1096" s="90" t="str">
        <f>IF(VLOOKUP(UncLookup[[#This Row],[Item]],Items!$A$1:$F$43,2,FALSE)=0,"",VLOOKUP(UncLookup[[#This Row],[Item]],Items!$A$1:$F$43,2,FALSE))</f>
        <v/>
      </c>
      <c r="P1096" s="90" t="str">
        <f>IF(VLOOKUP(UncLookup[[#This Row],[Item]],Items!$A$1:$F$43,3,FALSE)=0,"",VLOOKUP(UncLookup[[#This Row],[Item]],Items!$A$1:$F$43,3,FALSE))</f>
        <v/>
      </c>
      <c r="Q1096" s="90" t="str">
        <f>IF(VLOOKUP(UncLookup[[#This Row],[Item]],Items!$A$1:$F$43,4,FALSE)=0,"",VLOOKUP(UncLookup[[#This Row],[Item]],Items!$A$1:$F$43,4,FALSE))</f>
        <v/>
      </c>
    </row>
    <row r="1097" spans="1:17" x14ac:dyDescent="0.25">
      <c r="A1097" s="76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90" t="str">
        <f>IF(VLOOKUP(UncLookup[[#This Row],[Item]],Items!$A$1:$F$43,2,FALSE)=0,"",VLOOKUP(UncLookup[[#This Row],[Item]],Items!$A$1:$F$43,2,FALSE))</f>
        <v/>
      </c>
      <c r="P1097" s="90" t="str">
        <f>IF(VLOOKUP(UncLookup[[#This Row],[Item]],Items!$A$1:$F$43,3,FALSE)=0,"",VLOOKUP(UncLookup[[#This Row],[Item]],Items!$A$1:$F$43,3,FALSE))</f>
        <v/>
      </c>
      <c r="Q1097" s="90" t="str">
        <f>IF(VLOOKUP(UncLookup[[#This Row],[Item]],Items!$A$1:$F$43,4,FALSE)=0,"",VLOOKUP(UncLookup[[#This Row],[Item]],Items!$A$1:$F$43,4,FALSE))</f>
        <v/>
      </c>
    </row>
    <row r="1098" spans="1:17" x14ac:dyDescent="0.25">
      <c r="A1098" s="75" t="s">
        <v>55</v>
      </c>
      <c r="B1098" s="75" t="s">
        <v>7</v>
      </c>
      <c r="C1098" s="75">
        <v>330000000</v>
      </c>
      <c r="D1098" s="75">
        <v>1100010000</v>
      </c>
      <c r="E1098" s="75">
        <v>10000000</v>
      </c>
      <c r="F1098" s="75" t="s">
        <v>104</v>
      </c>
      <c r="G1098" s="75" t="s">
        <v>50</v>
      </c>
      <c r="H1098" s="75">
        <v>0</v>
      </c>
      <c r="I1098" s="75">
        <v>0</v>
      </c>
      <c r="J1098" s="75"/>
      <c r="K1098" s="75">
        <v>3454.2</v>
      </c>
      <c r="L1098" s="75">
        <v>1.5468000000000002E-5</v>
      </c>
      <c r="M1098" s="75">
        <v>3454.1</v>
      </c>
      <c r="N1098" s="75">
        <v>1.5468000000000002E-5</v>
      </c>
      <c r="O1098" s="90" t="str">
        <f>IF(VLOOKUP(UncLookup[[#This Row],[Item]],Items!$A$1:$F$43,2,FALSE)=0,"",VLOOKUP(UncLookup[[#This Row],[Item]],Items!$A$1:$F$43,2,FALSE))</f>
        <v/>
      </c>
      <c r="P1098" s="90" t="str">
        <f>IF(VLOOKUP(UncLookup[[#This Row],[Item]],Items!$A$1:$F$43,3,FALSE)=0,"",VLOOKUP(UncLookup[[#This Row],[Item]],Items!$A$1:$F$43,3,FALSE))</f>
        <v/>
      </c>
      <c r="Q1098" s="90" t="str">
        <f>IF(VLOOKUP(UncLookup[[#This Row],[Item]],Items!$A$1:$F$43,4,FALSE)=0,"",VLOOKUP(UncLookup[[#This Row],[Item]],Items!$A$1:$F$43,4,FALSE))</f>
        <v/>
      </c>
    </row>
    <row r="1099" spans="1:17" x14ac:dyDescent="0.25">
      <c r="A1099" s="76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90" t="str">
        <f>IF(VLOOKUP(UncLookup[[#This Row],[Item]],Items!$A$1:$F$43,2,FALSE)=0,"",VLOOKUP(UncLookup[[#This Row],[Item]],Items!$A$1:$F$43,2,FALSE))</f>
        <v/>
      </c>
      <c r="P1099" s="90" t="str">
        <f>IF(VLOOKUP(UncLookup[[#This Row],[Item]],Items!$A$1:$F$43,3,FALSE)=0,"",VLOOKUP(UncLookup[[#This Row],[Item]],Items!$A$1:$F$43,3,FALSE))</f>
        <v/>
      </c>
      <c r="Q1099" s="90" t="str">
        <f>IF(VLOOKUP(UncLookup[[#This Row],[Item]],Items!$A$1:$F$43,4,FALSE)=0,"",VLOOKUP(UncLookup[[#This Row],[Item]],Items!$A$1:$F$43,4,FALSE))</f>
        <v/>
      </c>
    </row>
    <row r="1100" spans="1:17" x14ac:dyDescent="0.25">
      <c r="A1100" s="75" t="s">
        <v>55</v>
      </c>
      <c r="B1100" s="75" t="s">
        <v>7</v>
      </c>
      <c r="C1100" s="75">
        <v>1100000000</v>
      </c>
      <c r="D1100" s="75">
        <v>1101000000</v>
      </c>
      <c r="E1100" s="75">
        <v>100000</v>
      </c>
      <c r="F1100" s="75" t="s">
        <v>104</v>
      </c>
      <c r="G1100" s="75" t="s">
        <v>50</v>
      </c>
      <c r="H1100" s="75">
        <v>0</v>
      </c>
      <c r="I1100" s="75">
        <v>0</v>
      </c>
      <c r="J1100" s="75"/>
      <c r="K1100" s="75">
        <v>930</v>
      </c>
      <c r="L1100" s="75">
        <v>1.732E-5</v>
      </c>
      <c r="M1100" s="75">
        <v>578</v>
      </c>
      <c r="N1100" s="75">
        <v>1.732E-5</v>
      </c>
      <c r="O1100" s="90" t="str">
        <f>IF(VLOOKUP(UncLookup[[#This Row],[Item]],Items!$A$1:$F$43,2,FALSE)=0,"",VLOOKUP(UncLookup[[#This Row],[Item]],Items!$A$1:$F$43,2,FALSE))</f>
        <v/>
      </c>
      <c r="P1100" s="90" t="str">
        <f>IF(VLOOKUP(UncLookup[[#This Row],[Item]],Items!$A$1:$F$43,3,FALSE)=0,"",VLOOKUP(UncLookup[[#This Row],[Item]],Items!$A$1:$F$43,3,FALSE))</f>
        <v/>
      </c>
      <c r="Q1100" s="90" t="str">
        <f>IF(VLOOKUP(UncLookup[[#This Row],[Item]],Items!$A$1:$F$43,4,FALSE)=0,"",VLOOKUP(UncLookup[[#This Row],[Item]],Items!$A$1:$F$43,4,FALSE))</f>
        <v/>
      </c>
    </row>
    <row r="1101" spans="1:17" x14ac:dyDescent="0.25">
      <c r="A1101" s="76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90" t="str">
        <f>IF(VLOOKUP(UncLookup[[#This Row],[Item]],Items!$A$1:$F$43,2,FALSE)=0,"",VLOOKUP(UncLookup[[#This Row],[Item]],Items!$A$1:$F$43,2,FALSE))</f>
        <v/>
      </c>
      <c r="P1101" s="90" t="str">
        <f>IF(VLOOKUP(UncLookup[[#This Row],[Item]],Items!$A$1:$F$43,3,FALSE)=0,"",VLOOKUP(UncLookup[[#This Row],[Item]],Items!$A$1:$F$43,3,FALSE))</f>
        <v/>
      </c>
      <c r="Q1101" s="90" t="str">
        <f>IF(VLOOKUP(UncLookup[[#This Row],[Item]],Items!$A$1:$F$43,4,FALSE)=0,"",VLOOKUP(UncLookup[[#This Row],[Item]],Items!$A$1:$F$43,4,FALSE))</f>
        <v/>
      </c>
    </row>
    <row r="1102" spans="1:17" x14ac:dyDescent="0.25">
      <c r="A1102" s="75" t="s">
        <v>55</v>
      </c>
      <c r="B1102" s="75" t="s">
        <v>7</v>
      </c>
      <c r="C1102" s="75">
        <v>1100000000</v>
      </c>
      <c r="D1102" s="75">
        <v>1101000000</v>
      </c>
      <c r="E1102" s="75">
        <v>10000000</v>
      </c>
      <c r="F1102" s="75" t="s">
        <v>104</v>
      </c>
      <c r="G1102" s="75" t="s">
        <v>50</v>
      </c>
      <c r="H1102" s="75">
        <v>0</v>
      </c>
      <c r="I1102" s="75">
        <v>0</v>
      </c>
      <c r="J1102" s="75"/>
      <c r="K1102" s="75">
        <v>3454.2</v>
      </c>
      <c r="L1102" s="75">
        <v>1.5468000000000002E-5</v>
      </c>
      <c r="M1102" s="75">
        <v>3454.1</v>
      </c>
      <c r="N1102" s="75">
        <v>1.5468000000000002E-5</v>
      </c>
      <c r="O1102" s="90" t="str">
        <f>IF(VLOOKUP(UncLookup[[#This Row],[Item]],Items!$A$1:$F$43,2,FALSE)=0,"",VLOOKUP(UncLookup[[#This Row],[Item]],Items!$A$1:$F$43,2,FALSE))</f>
        <v/>
      </c>
      <c r="P1102" s="90" t="str">
        <f>IF(VLOOKUP(UncLookup[[#This Row],[Item]],Items!$A$1:$F$43,3,FALSE)=0,"",VLOOKUP(UncLookup[[#This Row],[Item]],Items!$A$1:$F$43,3,FALSE))</f>
        <v/>
      </c>
      <c r="Q1102" s="90" t="str">
        <f>IF(VLOOKUP(UncLookup[[#This Row],[Item]],Items!$A$1:$F$43,4,FALSE)=0,"",VLOOKUP(UncLookup[[#This Row],[Item]],Items!$A$1:$F$43,4,FALSE))</f>
        <v/>
      </c>
    </row>
    <row r="1103" spans="1:17" x14ac:dyDescent="0.25">
      <c r="A1103" s="76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90" t="str">
        <f>IF(VLOOKUP(UncLookup[[#This Row],[Item]],Items!$A$1:$F$43,2,FALSE)=0,"",VLOOKUP(UncLookup[[#This Row],[Item]],Items!$A$1:$F$43,2,FALSE))</f>
        <v/>
      </c>
      <c r="P1103" s="90" t="str">
        <f>IF(VLOOKUP(UncLookup[[#This Row],[Item]],Items!$A$1:$F$43,3,FALSE)=0,"",VLOOKUP(UncLookup[[#This Row],[Item]],Items!$A$1:$F$43,3,FALSE))</f>
        <v/>
      </c>
      <c r="Q1103" s="90" t="str">
        <f>IF(VLOOKUP(UncLookup[[#This Row],[Item]],Items!$A$1:$F$43,4,FALSE)=0,"",VLOOKUP(UncLookup[[#This Row],[Item]],Items!$A$1:$F$43,4,FALSE))</f>
        <v/>
      </c>
    </row>
    <row r="1104" spans="1:17" x14ac:dyDescent="0.25">
      <c r="A1104" s="75" t="s">
        <v>55</v>
      </c>
      <c r="B1104" s="75" t="s">
        <v>17</v>
      </c>
      <c r="C1104" s="75">
        <v>0</v>
      </c>
      <c r="D1104" s="75">
        <v>120.001</v>
      </c>
      <c r="E1104" s="75">
        <v>0.01</v>
      </c>
      <c r="F1104" s="75" t="s">
        <v>9</v>
      </c>
      <c r="G1104" s="75" t="s">
        <v>9</v>
      </c>
      <c r="H1104" s="75">
        <v>0</v>
      </c>
      <c r="I1104" s="75">
        <v>0</v>
      </c>
      <c r="J1104" s="75"/>
      <c r="K1104" s="75">
        <v>6.0575999999999998E-3</v>
      </c>
      <c r="L1104" s="75">
        <v>1.5807E-5</v>
      </c>
      <c r="M1104" s="75">
        <v>5.8809999999999999E-3</v>
      </c>
      <c r="N1104" s="75">
        <v>1.26E-5</v>
      </c>
      <c r="O1104" s="90" t="str">
        <f>IF(VLOOKUP(UncLookup[[#This Row],[Item]],Items!$A$1:$F$43,2,FALSE)=0,"",VLOOKUP(UncLookup[[#This Row],[Item]],Items!$A$1:$F$43,2,FALSE))</f>
        <v/>
      </c>
      <c r="P1104" s="90" t="str">
        <f>IF(VLOOKUP(UncLookup[[#This Row],[Item]],Items!$A$1:$F$43,3,FALSE)=0,"",VLOOKUP(UncLookup[[#This Row],[Item]],Items!$A$1:$F$43,3,FALSE))</f>
        <v/>
      </c>
      <c r="Q1104" s="90" t="str">
        <f>IF(VLOOKUP(UncLookup[[#This Row],[Item]],Items!$A$1:$F$43,4,FALSE)=0,"",VLOOKUP(UncLookup[[#This Row],[Item]],Items!$A$1:$F$43,4,FALSE))</f>
        <v/>
      </c>
    </row>
    <row r="1105" spans="1:17" x14ac:dyDescent="0.25">
      <c r="A1105" s="76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90" t="str">
        <f>IF(VLOOKUP(UncLookup[[#This Row],[Item]],Items!$A$1:$F$43,2,FALSE)=0,"",VLOOKUP(UncLookup[[#This Row],[Item]],Items!$A$1:$F$43,2,FALSE))</f>
        <v/>
      </c>
      <c r="P1105" s="90" t="str">
        <f>IF(VLOOKUP(UncLookup[[#This Row],[Item]],Items!$A$1:$F$43,3,FALSE)=0,"",VLOOKUP(UncLookup[[#This Row],[Item]],Items!$A$1:$F$43,3,FALSE))</f>
        <v/>
      </c>
      <c r="Q1105" s="90" t="str">
        <f>IF(VLOOKUP(UncLookup[[#This Row],[Item]],Items!$A$1:$F$43,4,FALSE)=0,"",VLOOKUP(UncLookup[[#This Row],[Item]],Items!$A$1:$F$43,4,FALSE))</f>
        <v/>
      </c>
    </row>
    <row r="1106" spans="1:17" x14ac:dyDescent="0.25">
      <c r="A1106" s="75" t="s">
        <v>55</v>
      </c>
      <c r="B1106" s="75" t="s">
        <v>17</v>
      </c>
      <c r="C1106" s="75">
        <v>0</v>
      </c>
      <c r="D1106" s="75">
        <v>120.001</v>
      </c>
      <c r="E1106" s="75">
        <v>1</v>
      </c>
      <c r="F1106" s="75" t="s">
        <v>9</v>
      </c>
      <c r="G1106" s="75" t="s">
        <v>9</v>
      </c>
      <c r="H1106" s="75">
        <v>0</v>
      </c>
      <c r="I1106" s="75">
        <v>0</v>
      </c>
      <c r="J1106" s="75"/>
      <c r="K1106" s="75">
        <v>0.57738999999999996</v>
      </c>
      <c r="L1106" s="75">
        <v>8.9635999999999996E-7</v>
      </c>
      <c r="M1106" s="75">
        <v>0.57735999999999998</v>
      </c>
      <c r="N1106" s="75">
        <v>1.4506E-7</v>
      </c>
      <c r="O1106" s="90" t="str">
        <f>IF(VLOOKUP(UncLookup[[#This Row],[Item]],Items!$A$1:$F$43,2,FALSE)=0,"",VLOOKUP(UncLookup[[#This Row],[Item]],Items!$A$1:$F$43,2,FALSE))</f>
        <v/>
      </c>
      <c r="P1106" s="90" t="str">
        <f>IF(VLOOKUP(UncLookup[[#This Row],[Item]],Items!$A$1:$F$43,3,FALSE)=0,"",VLOOKUP(UncLookup[[#This Row],[Item]],Items!$A$1:$F$43,3,FALSE))</f>
        <v/>
      </c>
      <c r="Q1106" s="90" t="str">
        <f>IF(VLOOKUP(UncLookup[[#This Row],[Item]],Items!$A$1:$F$43,4,FALSE)=0,"",VLOOKUP(UncLookup[[#This Row],[Item]],Items!$A$1:$F$43,4,FALSE))</f>
        <v/>
      </c>
    </row>
    <row r="1107" spans="1:17" x14ac:dyDescent="0.25">
      <c r="A1107" s="76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90" t="str">
        <f>IF(VLOOKUP(UncLookup[[#This Row],[Item]],Items!$A$1:$F$43,2,FALSE)=0,"",VLOOKUP(UncLookup[[#This Row],[Item]],Items!$A$1:$F$43,2,FALSE))</f>
        <v/>
      </c>
      <c r="P1107" s="90" t="str">
        <f>IF(VLOOKUP(UncLookup[[#This Row],[Item]],Items!$A$1:$F$43,3,FALSE)=0,"",VLOOKUP(UncLookup[[#This Row],[Item]],Items!$A$1:$F$43,3,FALSE))</f>
        <v/>
      </c>
      <c r="Q1107" s="90" t="str">
        <f>IF(VLOOKUP(UncLookup[[#This Row],[Item]],Items!$A$1:$F$43,4,FALSE)=0,"",VLOOKUP(UncLookup[[#This Row],[Item]],Items!$A$1:$F$43,4,FALSE))</f>
        <v/>
      </c>
    </row>
    <row r="1108" spans="1:17" x14ac:dyDescent="0.25">
      <c r="A1108" s="75" t="s">
        <v>55</v>
      </c>
      <c r="B1108" s="75" t="s">
        <v>17</v>
      </c>
      <c r="C1108" s="75">
        <v>0</v>
      </c>
      <c r="D1108" s="75">
        <v>120.001</v>
      </c>
      <c r="E1108" s="75">
        <v>100</v>
      </c>
      <c r="F1108" s="75" t="s">
        <v>9</v>
      </c>
      <c r="G1108" s="75" t="s">
        <v>9</v>
      </c>
      <c r="H1108" s="75">
        <v>0</v>
      </c>
      <c r="I1108" s="75">
        <v>0</v>
      </c>
      <c r="J1108" s="75"/>
      <c r="K1108" s="75">
        <v>57.735999999999997</v>
      </c>
      <c r="L1108" s="75">
        <v>1.2167999999999999E-7</v>
      </c>
      <c r="M1108" s="75">
        <v>57.735999999999997</v>
      </c>
      <c r="N1108" s="75">
        <v>1.4510000000000001E-9</v>
      </c>
      <c r="O1108" s="90" t="str">
        <f>IF(VLOOKUP(UncLookup[[#This Row],[Item]],Items!$A$1:$F$43,2,FALSE)=0,"",VLOOKUP(UncLookup[[#This Row],[Item]],Items!$A$1:$F$43,2,FALSE))</f>
        <v/>
      </c>
      <c r="P1108" s="90" t="str">
        <f>IF(VLOOKUP(UncLookup[[#This Row],[Item]],Items!$A$1:$F$43,3,FALSE)=0,"",VLOOKUP(UncLookup[[#This Row],[Item]],Items!$A$1:$F$43,3,FALSE))</f>
        <v/>
      </c>
      <c r="Q1108" s="90" t="str">
        <f>IF(VLOOKUP(UncLookup[[#This Row],[Item]],Items!$A$1:$F$43,4,FALSE)=0,"",VLOOKUP(UncLookup[[#This Row],[Item]],Items!$A$1:$F$43,4,FALSE))</f>
        <v/>
      </c>
    </row>
    <row r="1109" spans="1:17" x14ac:dyDescent="0.25">
      <c r="A1109" s="76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90" t="str">
        <f>IF(VLOOKUP(UncLookup[[#This Row],[Item]],Items!$A$1:$F$43,2,FALSE)=0,"",VLOOKUP(UncLookup[[#This Row],[Item]],Items!$A$1:$F$43,2,FALSE))</f>
        <v/>
      </c>
      <c r="P1109" s="90" t="str">
        <f>IF(VLOOKUP(UncLookup[[#This Row],[Item]],Items!$A$1:$F$43,3,FALSE)=0,"",VLOOKUP(UncLookup[[#This Row],[Item]],Items!$A$1:$F$43,3,FALSE))</f>
        <v/>
      </c>
      <c r="Q1109" s="90" t="str">
        <f>IF(VLOOKUP(UncLookup[[#This Row],[Item]],Items!$A$1:$F$43,4,FALSE)=0,"",VLOOKUP(UncLookup[[#This Row],[Item]],Items!$A$1:$F$43,4,FALSE))</f>
        <v/>
      </c>
    </row>
    <row r="1110" spans="1:17" x14ac:dyDescent="0.25">
      <c r="A1110" s="75" t="s">
        <v>55</v>
      </c>
      <c r="B1110" s="75" t="s">
        <v>17</v>
      </c>
      <c r="C1110" s="75">
        <v>120</v>
      </c>
      <c r="D1110" s="75">
        <v>1200.01</v>
      </c>
      <c r="E1110" s="75">
        <v>0.01</v>
      </c>
      <c r="F1110" s="75" t="s">
        <v>9</v>
      </c>
      <c r="G1110" s="75" t="s">
        <v>9</v>
      </c>
      <c r="H1110" s="75">
        <v>0</v>
      </c>
      <c r="I1110" s="75">
        <v>0</v>
      </c>
      <c r="J1110" s="75"/>
      <c r="K1110" s="75">
        <v>5.8000000000000003E-2</v>
      </c>
      <c r="L1110" s="75">
        <v>9.5000000000000005E-6</v>
      </c>
      <c r="M1110" s="75">
        <v>4.1865000000000001E-3</v>
      </c>
      <c r="N1110" s="75">
        <v>2.6727E-5</v>
      </c>
      <c r="O1110" s="90" t="str">
        <f>IF(VLOOKUP(UncLookup[[#This Row],[Item]],Items!$A$1:$F$43,2,FALSE)=0,"",VLOOKUP(UncLookup[[#This Row],[Item]],Items!$A$1:$F$43,2,FALSE))</f>
        <v/>
      </c>
      <c r="P1110" s="90" t="str">
        <f>IF(VLOOKUP(UncLookup[[#This Row],[Item]],Items!$A$1:$F$43,3,FALSE)=0,"",VLOOKUP(UncLookup[[#This Row],[Item]],Items!$A$1:$F$43,3,FALSE))</f>
        <v/>
      </c>
      <c r="Q1110" s="90" t="str">
        <f>IF(VLOOKUP(UncLookup[[#This Row],[Item]],Items!$A$1:$F$43,4,FALSE)=0,"",VLOOKUP(UncLookup[[#This Row],[Item]],Items!$A$1:$F$43,4,FALSE))</f>
        <v/>
      </c>
    </row>
    <row r="1111" spans="1:17" x14ac:dyDescent="0.25">
      <c r="A1111" s="76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90" t="str">
        <f>IF(VLOOKUP(UncLookup[[#This Row],[Item]],Items!$A$1:$F$43,2,FALSE)=0,"",VLOOKUP(UncLookup[[#This Row],[Item]],Items!$A$1:$F$43,2,FALSE))</f>
        <v/>
      </c>
      <c r="P1111" s="90" t="str">
        <f>IF(VLOOKUP(UncLookup[[#This Row],[Item]],Items!$A$1:$F$43,3,FALSE)=0,"",VLOOKUP(UncLookup[[#This Row],[Item]],Items!$A$1:$F$43,3,FALSE))</f>
        <v/>
      </c>
      <c r="Q1111" s="90" t="str">
        <f>IF(VLOOKUP(UncLookup[[#This Row],[Item]],Items!$A$1:$F$43,4,FALSE)=0,"",VLOOKUP(UncLookup[[#This Row],[Item]],Items!$A$1:$F$43,4,FALSE))</f>
        <v/>
      </c>
    </row>
    <row r="1112" spans="1:17" x14ac:dyDescent="0.25">
      <c r="A1112" s="75" t="s">
        <v>55</v>
      </c>
      <c r="B1112" s="75" t="s">
        <v>17</v>
      </c>
      <c r="C1112" s="75">
        <v>120</v>
      </c>
      <c r="D1112" s="75">
        <v>1200.01</v>
      </c>
      <c r="E1112" s="75">
        <v>1</v>
      </c>
      <c r="F1112" s="75" t="s">
        <v>9</v>
      </c>
      <c r="G1112" s="75" t="s">
        <v>9</v>
      </c>
      <c r="H1112" s="75">
        <v>0</v>
      </c>
      <c r="I1112" s="75">
        <v>0</v>
      </c>
      <c r="J1112" s="75"/>
      <c r="K1112" s="75">
        <v>0.57794999999999996</v>
      </c>
      <c r="L1112" s="75">
        <v>1.5972999999999999E-6</v>
      </c>
      <c r="M1112" s="75">
        <v>0.57725000000000004</v>
      </c>
      <c r="N1112" s="75">
        <v>1.0094E-6</v>
      </c>
      <c r="O1112" s="90" t="str">
        <f>IF(VLOOKUP(UncLookup[[#This Row],[Item]],Items!$A$1:$F$43,2,FALSE)=0,"",VLOOKUP(UncLookup[[#This Row],[Item]],Items!$A$1:$F$43,2,FALSE))</f>
        <v/>
      </c>
      <c r="P1112" s="90" t="str">
        <f>IF(VLOOKUP(UncLookup[[#This Row],[Item]],Items!$A$1:$F$43,3,FALSE)=0,"",VLOOKUP(UncLookup[[#This Row],[Item]],Items!$A$1:$F$43,3,FALSE))</f>
        <v/>
      </c>
      <c r="Q1112" s="90" t="str">
        <f>IF(VLOOKUP(UncLookup[[#This Row],[Item]],Items!$A$1:$F$43,4,FALSE)=0,"",VLOOKUP(UncLookup[[#This Row],[Item]],Items!$A$1:$F$43,4,FALSE))</f>
        <v/>
      </c>
    </row>
    <row r="1113" spans="1:17" x14ac:dyDescent="0.25">
      <c r="A1113" s="76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90" t="str">
        <f>IF(VLOOKUP(UncLookup[[#This Row],[Item]],Items!$A$1:$F$43,2,FALSE)=0,"",VLOOKUP(UncLookup[[#This Row],[Item]],Items!$A$1:$F$43,2,FALSE))</f>
        <v/>
      </c>
      <c r="P1113" s="90" t="str">
        <f>IF(VLOOKUP(UncLookup[[#This Row],[Item]],Items!$A$1:$F$43,3,FALSE)=0,"",VLOOKUP(UncLookup[[#This Row],[Item]],Items!$A$1:$F$43,3,FALSE))</f>
        <v/>
      </c>
      <c r="Q1113" s="90" t="str">
        <f>IF(VLOOKUP(UncLookup[[#This Row],[Item]],Items!$A$1:$F$43,4,FALSE)=0,"",VLOOKUP(UncLookup[[#This Row],[Item]],Items!$A$1:$F$43,4,FALSE))</f>
        <v/>
      </c>
    </row>
    <row r="1114" spans="1:17" x14ac:dyDescent="0.25">
      <c r="A1114" s="75" t="s">
        <v>55</v>
      </c>
      <c r="B1114" s="75" t="s">
        <v>17</v>
      </c>
      <c r="C1114" s="75">
        <v>1200</v>
      </c>
      <c r="D1114" s="75">
        <v>12001</v>
      </c>
      <c r="E1114" s="75">
        <v>0.1</v>
      </c>
      <c r="F1114" s="75" t="s">
        <v>9</v>
      </c>
      <c r="G1114" s="75" t="s">
        <v>9</v>
      </c>
      <c r="H1114" s="75">
        <v>0</v>
      </c>
      <c r="I1114" s="75">
        <v>0</v>
      </c>
      <c r="J1114" s="75"/>
      <c r="K1114" s="75">
        <v>0.58496999999999999</v>
      </c>
      <c r="L1114" s="75">
        <v>9.8285999999999994E-6</v>
      </c>
      <c r="M1114" s="75">
        <v>0.56786000000000003</v>
      </c>
      <c r="N1114" s="75">
        <v>8.8367999999999998E-6</v>
      </c>
      <c r="O1114" s="90" t="str">
        <f>IF(VLOOKUP(UncLookup[[#This Row],[Item]],Items!$A$1:$F$43,2,FALSE)=0,"",VLOOKUP(UncLookup[[#This Row],[Item]],Items!$A$1:$F$43,2,FALSE))</f>
        <v/>
      </c>
      <c r="P1114" s="90" t="str">
        <f>IF(VLOOKUP(UncLookup[[#This Row],[Item]],Items!$A$1:$F$43,3,FALSE)=0,"",VLOOKUP(UncLookup[[#This Row],[Item]],Items!$A$1:$F$43,3,FALSE))</f>
        <v/>
      </c>
      <c r="Q1114" s="90" t="str">
        <f>IF(VLOOKUP(UncLookup[[#This Row],[Item]],Items!$A$1:$F$43,4,FALSE)=0,"",VLOOKUP(UncLookup[[#This Row],[Item]],Items!$A$1:$F$43,4,FALSE))</f>
        <v/>
      </c>
    </row>
    <row r="1115" spans="1:17" x14ac:dyDescent="0.25">
      <c r="A1115" s="76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90" t="str">
        <f>IF(VLOOKUP(UncLookup[[#This Row],[Item]],Items!$A$1:$F$43,2,FALSE)=0,"",VLOOKUP(UncLookup[[#This Row],[Item]],Items!$A$1:$F$43,2,FALSE))</f>
        <v/>
      </c>
      <c r="P1115" s="90" t="str">
        <f>IF(VLOOKUP(UncLookup[[#This Row],[Item]],Items!$A$1:$F$43,3,FALSE)=0,"",VLOOKUP(UncLookup[[#This Row],[Item]],Items!$A$1:$F$43,3,FALSE))</f>
        <v/>
      </c>
      <c r="Q1115" s="90" t="str">
        <f>IF(VLOOKUP(UncLookup[[#This Row],[Item]],Items!$A$1:$F$43,4,FALSE)=0,"",VLOOKUP(UncLookup[[#This Row],[Item]],Items!$A$1:$F$43,4,FALSE))</f>
        <v/>
      </c>
    </row>
    <row r="1116" spans="1:17" x14ac:dyDescent="0.25">
      <c r="A1116" s="75" t="s">
        <v>55</v>
      </c>
      <c r="B1116" s="75" t="s">
        <v>17</v>
      </c>
      <c r="C1116" s="75">
        <v>1200</v>
      </c>
      <c r="D1116" s="75">
        <v>12001</v>
      </c>
      <c r="E1116" s="75">
        <v>10</v>
      </c>
      <c r="F1116" s="75" t="s">
        <v>9</v>
      </c>
      <c r="G1116" s="75" t="s">
        <v>9</v>
      </c>
      <c r="H1116" s="75">
        <v>0</v>
      </c>
      <c r="I1116" s="75">
        <v>0</v>
      </c>
      <c r="J1116" s="75"/>
      <c r="K1116" s="75">
        <v>57.738999999999997</v>
      </c>
      <c r="L1116" s="75">
        <v>3.3237E-7</v>
      </c>
      <c r="M1116" s="75">
        <v>57.734999999999999</v>
      </c>
      <c r="N1116" s="75">
        <v>9.5840000000000003E-8</v>
      </c>
      <c r="O1116" s="90" t="str">
        <f>IF(VLOOKUP(UncLookup[[#This Row],[Item]],Items!$A$1:$F$43,2,FALSE)=0,"",VLOOKUP(UncLookup[[#This Row],[Item]],Items!$A$1:$F$43,2,FALSE))</f>
        <v/>
      </c>
      <c r="P1116" s="90" t="str">
        <f>IF(VLOOKUP(UncLookup[[#This Row],[Item]],Items!$A$1:$F$43,3,FALSE)=0,"",VLOOKUP(UncLookup[[#This Row],[Item]],Items!$A$1:$F$43,3,FALSE))</f>
        <v/>
      </c>
      <c r="Q1116" s="90" t="str">
        <f>IF(VLOOKUP(UncLookup[[#This Row],[Item]],Items!$A$1:$F$43,4,FALSE)=0,"",VLOOKUP(UncLookup[[#This Row],[Item]],Items!$A$1:$F$43,4,FALSE))</f>
        <v/>
      </c>
    </row>
    <row r="1117" spans="1:17" x14ac:dyDescent="0.25">
      <c r="A1117" s="76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90" t="str">
        <f>IF(VLOOKUP(UncLookup[[#This Row],[Item]],Items!$A$1:$F$43,2,FALSE)=0,"",VLOOKUP(UncLookup[[#This Row],[Item]],Items!$A$1:$F$43,2,FALSE))</f>
        <v/>
      </c>
      <c r="P1117" s="90" t="str">
        <f>IF(VLOOKUP(UncLookup[[#This Row],[Item]],Items!$A$1:$F$43,3,FALSE)=0,"",VLOOKUP(UncLookup[[#This Row],[Item]],Items!$A$1:$F$43,3,FALSE))</f>
        <v/>
      </c>
      <c r="Q1117" s="90" t="str">
        <f>IF(VLOOKUP(UncLookup[[#This Row],[Item]],Items!$A$1:$F$43,4,FALSE)=0,"",VLOOKUP(UncLookup[[#This Row],[Item]],Items!$A$1:$F$43,4,FALSE))</f>
        <v/>
      </c>
    </row>
    <row r="1118" spans="1:17" x14ac:dyDescent="0.25">
      <c r="A1118" s="75" t="s">
        <v>55</v>
      </c>
      <c r="B1118" s="75" t="s">
        <v>17</v>
      </c>
      <c r="C1118" s="75">
        <v>12000</v>
      </c>
      <c r="D1118" s="75">
        <v>120010</v>
      </c>
      <c r="E1118" s="75">
        <v>10</v>
      </c>
      <c r="F1118" s="75" t="s">
        <v>9</v>
      </c>
      <c r="G1118" s="75" t="s">
        <v>9</v>
      </c>
      <c r="H1118" s="75">
        <v>0</v>
      </c>
      <c r="I1118" s="75">
        <v>0</v>
      </c>
      <c r="J1118" s="75"/>
      <c r="K1118" s="75">
        <v>19</v>
      </c>
      <c r="L1118" s="75">
        <v>2.8E-5</v>
      </c>
      <c r="M1118" s="75">
        <v>18.254999999999999</v>
      </c>
      <c r="N1118" s="75">
        <v>2.7640999999999998E-5</v>
      </c>
      <c r="O1118" s="90" t="str">
        <f>IF(VLOOKUP(UncLookup[[#This Row],[Item]],Items!$A$1:$F$43,2,FALSE)=0,"",VLOOKUP(UncLookup[[#This Row],[Item]],Items!$A$1:$F$43,2,FALSE))</f>
        <v/>
      </c>
      <c r="P1118" s="90" t="str">
        <f>IF(VLOOKUP(UncLookup[[#This Row],[Item]],Items!$A$1:$F$43,3,FALSE)=0,"",VLOOKUP(UncLookup[[#This Row],[Item]],Items!$A$1:$F$43,3,FALSE))</f>
        <v/>
      </c>
      <c r="Q1118" s="90" t="str">
        <f>IF(VLOOKUP(UncLookup[[#This Row],[Item]],Items!$A$1:$F$43,4,FALSE)=0,"",VLOOKUP(UncLookup[[#This Row],[Item]],Items!$A$1:$F$43,4,FALSE))</f>
        <v/>
      </c>
    </row>
    <row r="1119" spans="1:17" x14ac:dyDescent="0.25">
      <c r="A1119" s="76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90" t="str">
        <f>IF(VLOOKUP(UncLookup[[#This Row],[Item]],Items!$A$1:$F$43,2,FALSE)=0,"",VLOOKUP(UncLookup[[#This Row],[Item]],Items!$A$1:$F$43,2,FALSE))</f>
        <v/>
      </c>
      <c r="P1119" s="90" t="str">
        <f>IF(VLOOKUP(UncLookup[[#This Row],[Item]],Items!$A$1:$F$43,3,FALSE)=0,"",VLOOKUP(UncLookup[[#This Row],[Item]],Items!$A$1:$F$43,3,FALSE))</f>
        <v/>
      </c>
      <c r="Q1119" s="90" t="str">
        <f>IF(VLOOKUP(UncLookup[[#This Row],[Item]],Items!$A$1:$F$43,4,FALSE)=0,"",VLOOKUP(UncLookup[[#This Row],[Item]],Items!$A$1:$F$43,4,FALSE))</f>
        <v/>
      </c>
    </row>
    <row r="1120" spans="1:17" x14ac:dyDescent="0.25">
      <c r="A1120" s="75" t="s">
        <v>55</v>
      </c>
      <c r="B1120" s="75" t="s">
        <v>17</v>
      </c>
      <c r="C1120" s="75">
        <v>12000</v>
      </c>
      <c r="D1120" s="75">
        <v>120010</v>
      </c>
      <c r="E1120" s="75">
        <v>1000</v>
      </c>
      <c r="F1120" s="75" t="s">
        <v>9</v>
      </c>
      <c r="G1120" s="75" t="s">
        <v>9</v>
      </c>
      <c r="H1120" s="75">
        <v>0</v>
      </c>
      <c r="I1120" s="75">
        <v>0</v>
      </c>
      <c r="J1120" s="75"/>
      <c r="K1120" s="75">
        <v>577.75</v>
      </c>
      <c r="L1120" s="75">
        <v>1.9059E-6</v>
      </c>
      <c r="M1120" s="75">
        <v>577.61</v>
      </c>
      <c r="N1120" s="75">
        <v>9.6075000000000008E-7</v>
      </c>
      <c r="O1120" s="90" t="str">
        <f>IF(VLOOKUP(UncLookup[[#This Row],[Item]],Items!$A$1:$F$43,2,FALSE)=0,"",VLOOKUP(UncLookup[[#This Row],[Item]],Items!$A$1:$F$43,2,FALSE))</f>
        <v/>
      </c>
      <c r="P1120" s="90" t="str">
        <f>IF(VLOOKUP(UncLookup[[#This Row],[Item]],Items!$A$1:$F$43,3,FALSE)=0,"",VLOOKUP(UncLookup[[#This Row],[Item]],Items!$A$1:$F$43,3,FALSE))</f>
        <v/>
      </c>
      <c r="Q1120" s="90" t="str">
        <f>IF(VLOOKUP(UncLookup[[#This Row],[Item]],Items!$A$1:$F$43,4,FALSE)=0,"",VLOOKUP(UncLookup[[#This Row],[Item]],Items!$A$1:$F$43,4,FALSE))</f>
        <v/>
      </c>
    </row>
    <row r="1121" spans="1:17" x14ac:dyDescent="0.25">
      <c r="A1121" s="76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90" t="str">
        <f>IF(VLOOKUP(UncLookup[[#This Row],[Item]],Items!$A$1:$F$43,2,FALSE)=0,"",VLOOKUP(UncLookup[[#This Row],[Item]],Items!$A$1:$F$43,2,FALSE))</f>
        <v/>
      </c>
      <c r="P1121" s="90" t="str">
        <f>IF(VLOOKUP(UncLookup[[#This Row],[Item]],Items!$A$1:$F$43,3,FALSE)=0,"",VLOOKUP(UncLookup[[#This Row],[Item]],Items!$A$1:$F$43,3,FALSE))</f>
        <v/>
      </c>
      <c r="Q1121" s="90" t="str">
        <f>IF(VLOOKUP(UncLookup[[#This Row],[Item]],Items!$A$1:$F$43,4,FALSE)=0,"",VLOOKUP(UncLookup[[#This Row],[Item]],Items!$A$1:$F$43,4,FALSE))</f>
        <v/>
      </c>
    </row>
    <row r="1122" spans="1:17" x14ac:dyDescent="0.25">
      <c r="A1122" s="75" t="s">
        <v>55</v>
      </c>
      <c r="B1122" s="75" t="s">
        <v>17</v>
      </c>
      <c r="C1122" s="75">
        <v>120000</v>
      </c>
      <c r="D1122" s="75">
        <v>1200010</v>
      </c>
      <c r="E1122" s="75">
        <v>100</v>
      </c>
      <c r="F1122" s="75" t="s">
        <v>9</v>
      </c>
      <c r="G1122" s="75" t="s">
        <v>9</v>
      </c>
      <c r="H1122" s="75">
        <v>0</v>
      </c>
      <c r="I1122" s="75">
        <v>0</v>
      </c>
      <c r="J1122" s="75"/>
      <c r="K1122" s="75">
        <v>60.875999999999998</v>
      </c>
      <c r="L1122" s="75">
        <v>1.8461000000000002E-5</v>
      </c>
      <c r="M1122" s="75">
        <v>59.55</v>
      </c>
      <c r="N1122" s="75">
        <v>1.5104E-5</v>
      </c>
      <c r="O1122" s="90" t="str">
        <f>IF(VLOOKUP(UncLookup[[#This Row],[Item]],Items!$A$1:$F$43,2,FALSE)=0,"",VLOOKUP(UncLookup[[#This Row],[Item]],Items!$A$1:$F$43,2,FALSE))</f>
        <v/>
      </c>
      <c r="P1122" s="90" t="str">
        <f>IF(VLOOKUP(UncLookup[[#This Row],[Item]],Items!$A$1:$F$43,3,FALSE)=0,"",VLOOKUP(UncLookup[[#This Row],[Item]],Items!$A$1:$F$43,3,FALSE))</f>
        <v/>
      </c>
      <c r="Q1122" s="90" t="str">
        <f>IF(VLOOKUP(UncLookup[[#This Row],[Item]],Items!$A$1:$F$43,4,FALSE)=0,"",VLOOKUP(UncLookup[[#This Row],[Item]],Items!$A$1:$F$43,4,FALSE))</f>
        <v/>
      </c>
    </row>
    <row r="1123" spans="1:17" x14ac:dyDescent="0.25">
      <c r="A1123" s="76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90" t="str">
        <f>IF(VLOOKUP(UncLookup[[#This Row],[Item]],Items!$A$1:$F$43,2,FALSE)=0,"",VLOOKUP(UncLookup[[#This Row],[Item]],Items!$A$1:$F$43,2,FALSE))</f>
        <v/>
      </c>
      <c r="P1123" s="90" t="str">
        <f>IF(VLOOKUP(UncLookup[[#This Row],[Item]],Items!$A$1:$F$43,3,FALSE)=0,"",VLOOKUP(UncLookup[[#This Row],[Item]],Items!$A$1:$F$43,3,FALSE))</f>
        <v/>
      </c>
      <c r="Q1123" s="90" t="str">
        <f>IF(VLOOKUP(UncLookup[[#This Row],[Item]],Items!$A$1:$F$43,4,FALSE)=0,"",VLOOKUP(UncLookup[[#This Row],[Item]],Items!$A$1:$F$43,4,FALSE))</f>
        <v/>
      </c>
    </row>
    <row r="1124" spans="1:17" x14ac:dyDescent="0.25">
      <c r="A1124" s="75" t="s">
        <v>55</v>
      </c>
      <c r="B1124" s="75" t="s">
        <v>17</v>
      </c>
      <c r="C1124" s="75">
        <v>120000</v>
      </c>
      <c r="D1124" s="75">
        <v>1200010</v>
      </c>
      <c r="E1124" s="75">
        <v>10000</v>
      </c>
      <c r="F1124" s="75" t="s">
        <v>9</v>
      </c>
      <c r="G1124" s="75" t="s">
        <v>9</v>
      </c>
      <c r="H1124" s="75">
        <v>0</v>
      </c>
      <c r="I1124" s="75">
        <v>0</v>
      </c>
      <c r="J1124" s="75"/>
      <c r="K1124" s="75">
        <v>5773.8</v>
      </c>
      <c r="L1124" s="75">
        <v>1.0097E-6</v>
      </c>
      <c r="M1124" s="75">
        <v>5773.6</v>
      </c>
      <c r="N1124" s="75">
        <v>1.8185999999999999E-7</v>
      </c>
      <c r="O1124" s="90" t="str">
        <f>IF(VLOOKUP(UncLookup[[#This Row],[Item]],Items!$A$1:$F$43,2,FALSE)=0,"",VLOOKUP(UncLookup[[#This Row],[Item]],Items!$A$1:$F$43,2,FALSE))</f>
        <v/>
      </c>
      <c r="P1124" s="90" t="str">
        <f>IF(VLOOKUP(UncLookup[[#This Row],[Item]],Items!$A$1:$F$43,3,FALSE)=0,"",VLOOKUP(UncLookup[[#This Row],[Item]],Items!$A$1:$F$43,3,FALSE))</f>
        <v/>
      </c>
      <c r="Q1124" s="90" t="str">
        <f>IF(VLOOKUP(UncLookup[[#This Row],[Item]],Items!$A$1:$F$43,4,FALSE)=0,"",VLOOKUP(UncLookup[[#This Row],[Item]],Items!$A$1:$F$43,4,FALSE))</f>
        <v/>
      </c>
    </row>
    <row r="1125" spans="1:17" x14ac:dyDescent="0.25">
      <c r="A1125" s="76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90" t="str">
        <f>IF(VLOOKUP(UncLookup[[#This Row],[Item]],Items!$A$1:$F$43,2,FALSE)=0,"",VLOOKUP(UncLookup[[#This Row],[Item]],Items!$A$1:$F$43,2,FALSE))</f>
        <v/>
      </c>
      <c r="P1125" s="90" t="str">
        <f>IF(VLOOKUP(UncLookup[[#This Row],[Item]],Items!$A$1:$F$43,3,FALSE)=0,"",VLOOKUP(UncLookup[[#This Row],[Item]],Items!$A$1:$F$43,3,FALSE))</f>
        <v/>
      </c>
      <c r="Q1125" s="90" t="str">
        <f>IF(VLOOKUP(UncLookup[[#This Row],[Item]],Items!$A$1:$F$43,4,FALSE)=0,"",VLOOKUP(UncLookup[[#This Row],[Item]],Items!$A$1:$F$43,4,FALSE))</f>
        <v/>
      </c>
    </row>
    <row r="1126" spans="1:17" x14ac:dyDescent="0.25">
      <c r="A1126" s="75" t="s">
        <v>55</v>
      </c>
      <c r="B1126" s="75" t="s">
        <v>17</v>
      </c>
      <c r="C1126" s="75">
        <v>1200000</v>
      </c>
      <c r="D1126" s="75">
        <v>2000000</v>
      </c>
      <c r="E1126" s="75">
        <v>1000</v>
      </c>
      <c r="F1126" s="75" t="s">
        <v>9</v>
      </c>
      <c r="G1126" s="75" t="s">
        <v>10</v>
      </c>
      <c r="H1126" s="75">
        <v>0</v>
      </c>
      <c r="I1126" s="75">
        <v>0</v>
      </c>
      <c r="J1126" s="75"/>
      <c r="K1126" s="75">
        <v>0.43</v>
      </c>
      <c r="L1126" s="75">
        <v>1.4137000000000001E-4</v>
      </c>
      <c r="M1126" s="75">
        <v>0.42565999999999998</v>
      </c>
      <c r="N1126" s="75">
        <v>1.2836E-4</v>
      </c>
      <c r="O1126" s="90" t="str">
        <f>IF(VLOOKUP(UncLookup[[#This Row],[Item]],Items!$A$1:$F$43,2,FALSE)=0,"",VLOOKUP(UncLookup[[#This Row],[Item]],Items!$A$1:$F$43,2,FALSE))</f>
        <v/>
      </c>
      <c r="P1126" s="90" t="str">
        <f>IF(VLOOKUP(UncLookup[[#This Row],[Item]],Items!$A$1:$F$43,3,FALSE)=0,"",VLOOKUP(UncLookup[[#This Row],[Item]],Items!$A$1:$F$43,3,FALSE))</f>
        <v/>
      </c>
      <c r="Q1126" s="90" t="str">
        <f>IF(VLOOKUP(UncLookup[[#This Row],[Item]],Items!$A$1:$F$43,4,FALSE)=0,"",VLOOKUP(UncLookup[[#This Row],[Item]],Items!$A$1:$F$43,4,FALSE))</f>
        <v/>
      </c>
    </row>
    <row r="1127" spans="1:17" x14ac:dyDescent="0.25">
      <c r="A1127" s="76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90" t="str">
        <f>IF(VLOOKUP(UncLookup[[#This Row],[Item]],Items!$A$1:$F$43,2,FALSE)=0,"",VLOOKUP(UncLookup[[#This Row],[Item]],Items!$A$1:$F$43,2,FALSE))</f>
        <v/>
      </c>
      <c r="P1127" s="90" t="str">
        <f>IF(VLOOKUP(UncLookup[[#This Row],[Item]],Items!$A$1:$F$43,3,FALSE)=0,"",VLOOKUP(UncLookup[[#This Row],[Item]],Items!$A$1:$F$43,3,FALSE))</f>
        <v/>
      </c>
      <c r="Q1127" s="90" t="str">
        <f>IF(VLOOKUP(UncLookup[[#This Row],[Item]],Items!$A$1:$F$43,4,FALSE)=0,"",VLOOKUP(UncLookup[[#This Row],[Item]],Items!$A$1:$F$43,4,FALSE))</f>
        <v/>
      </c>
    </row>
    <row r="1128" spans="1:17" x14ac:dyDescent="0.25">
      <c r="A1128" s="75" t="s">
        <v>55</v>
      </c>
      <c r="B1128" s="75" t="s">
        <v>17</v>
      </c>
      <c r="C1128" s="75">
        <v>1200000</v>
      </c>
      <c r="D1128" s="75">
        <v>2000000</v>
      </c>
      <c r="E1128" s="75">
        <v>100000</v>
      </c>
      <c r="F1128" s="75" t="s">
        <v>9</v>
      </c>
      <c r="G1128" s="75" t="s">
        <v>10</v>
      </c>
      <c r="H1128" s="75">
        <v>0</v>
      </c>
      <c r="I1128" s="75">
        <v>0</v>
      </c>
      <c r="J1128" s="75"/>
      <c r="K1128" s="75">
        <v>57.732999999999997</v>
      </c>
      <c r="L1128" s="75">
        <v>4.5960999999999999E-6</v>
      </c>
      <c r="M1128" s="75">
        <v>57.734000000000002</v>
      </c>
      <c r="N1128" s="75">
        <v>1.4028999999999999E-6</v>
      </c>
      <c r="O1128" s="90" t="str">
        <f>IF(VLOOKUP(UncLookup[[#This Row],[Item]],Items!$A$1:$F$43,2,FALSE)=0,"",VLOOKUP(UncLookup[[#This Row],[Item]],Items!$A$1:$F$43,2,FALSE))</f>
        <v/>
      </c>
      <c r="P1128" s="90" t="str">
        <f>IF(VLOOKUP(UncLookup[[#This Row],[Item]],Items!$A$1:$F$43,3,FALSE)=0,"",VLOOKUP(UncLookup[[#This Row],[Item]],Items!$A$1:$F$43,3,FALSE))</f>
        <v/>
      </c>
      <c r="Q1128" s="90" t="str">
        <f>IF(VLOOKUP(UncLookup[[#This Row],[Item]],Items!$A$1:$F$43,4,FALSE)=0,"",VLOOKUP(UncLookup[[#This Row],[Item]],Items!$A$1:$F$43,4,FALSE))</f>
        <v/>
      </c>
    </row>
    <row r="1129" spans="1:17" x14ac:dyDescent="0.25">
      <c r="A1129" s="76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90" t="str">
        <f>IF(VLOOKUP(UncLookup[[#This Row],[Item]],Items!$A$1:$F$43,2,FALSE)=0,"",VLOOKUP(UncLookup[[#This Row],[Item]],Items!$A$1:$F$43,2,FALSE))</f>
        <v/>
      </c>
      <c r="P1129" s="90" t="str">
        <f>IF(VLOOKUP(UncLookup[[#This Row],[Item]],Items!$A$1:$F$43,3,FALSE)=0,"",VLOOKUP(UncLookup[[#This Row],[Item]],Items!$A$1:$F$43,3,FALSE))</f>
        <v/>
      </c>
      <c r="Q1129" s="90" t="str">
        <f>IF(VLOOKUP(UncLookup[[#This Row],[Item]],Items!$A$1:$F$43,4,FALSE)=0,"",VLOOKUP(UncLookup[[#This Row],[Item]],Items!$A$1:$F$43,4,FALSE))</f>
        <v/>
      </c>
    </row>
    <row r="1130" spans="1:17" x14ac:dyDescent="0.25">
      <c r="A1130" s="75" t="s">
        <v>55</v>
      </c>
      <c r="B1130" s="75" t="s">
        <v>17</v>
      </c>
      <c r="C1130" s="75">
        <v>2000000</v>
      </c>
      <c r="D1130" s="75">
        <v>2001000</v>
      </c>
      <c r="E1130" s="75">
        <v>1000</v>
      </c>
      <c r="F1130" s="75" t="s">
        <v>9</v>
      </c>
      <c r="G1130" s="75" t="s">
        <v>10</v>
      </c>
      <c r="H1130" s="75">
        <v>0</v>
      </c>
      <c r="I1130" s="75">
        <v>0</v>
      </c>
      <c r="J1130" s="75"/>
      <c r="K1130" s="75">
        <v>0.43</v>
      </c>
      <c r="L1130" s="75">
        <v>1.4137000000000001E-4</v>
      </c>
      <c r="M1130" s="75">
        <v>0.42565999999999998</v>
      </c>
      <c r="N1130" s="75">
        <v>1.2836E-4</v>
      </c>
      <c r="O1130" s="90" t="str">
        <f>IF(VLOOKUP(UncLookup[[#This Row],[Item]],Items!$A$1:$F$43,2,FALSE)=0,"",VLOOKUP(UncLookup[[#This Row],[Item]],Items!$A$1:$F$43,2,FALSE))</f>
        <v/>
      </c>
      <c r="P1130" s="90" t="str">
        <f>IF(VLOOKUP(UncLookup[[#This Row],[Item]],Items!$A$1:$F$43,3,FALSE)=0,"",VLOOKUP(UncLookup[[#This Row],[Item]],Items!$A$1:$F$43,3,FALSE))</f>
        <v/>
      </c>
      <c r="Q1130" s="90" t="str">
        <f>IF(VLOOKUP(UncLookup[[#This Row],[Item]],Items!$A$1:$F$43,4,FALSE)=0,"",VLOOKUP(UncLookup[[#This Row],[Item]],Items!$A$1:$F$43,4,FALSE))</f>
        <v/>
      </c>
    </row>
    <row r="1131" spans="1:17" x14ac:dyDescent="0.25">
      <c r="A1131" s="76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90" t="str">
        <f>IF(VLOOKUP(UncLookup[[#This Row],[Item]],Items!$A$1:$F$43,2,FALSE)=0,"",VLOOKUP(UncLookup[[#This Row],[Item]],Items!$A$1:$F$43,2,FALSE))</f>
        <v/>
      </c>
      <c r="P1131" s="90" t="str">
        <f>IF(VLOOKUP(UncLookup[[#This Row],[Item]],Items!$A$1:$F$43,3,FALSE)=0,"",VLOOKUP(UncLookup[[#This Row],[Item]],Items!$A$1:$F$43,3,FALSE))</f>
        <v/>
      </c>
      <c r="Q1131" s="90" t="str">
        <f>IF(VLOOKUP(UncLookup[[#This Row],[Item]],Items!$A$1:$F$43,4,FALSE)=0,"",VLOOKUP(UncLookup[[#This Row],[Item]],Items!$A$1:$F$43,4,FALSE))</f>
        <v/>
      </c>
    </row>
    <row r="1132" spans="1:17" x14ac:dyDescent="0.25">
      <c r="A1132" s="75" t="s">
        <v>55</v>
      </c>
      <c r="B1132" s="75" t="s">
        <v>17</v>
      </c>
      <c r="C1132" s="75">
        <v>2000000</v>
      </c>
      <c r="D1132" s="75">
        <v>2001000</v>
      </c>
      <c r="E1132" s="75">
        <v>100000</v>
      </c>
      <c r="F1132" s="75" t="s">
        <v>9</v>
      </c>
      <c r="G1132" s="75" t="s">
        <v>10</v>
      </c>
      <c r="H1132" s="75">
        <v>0</v>
      </c>
      <c r="I1132" s="75">
        <v>0</v>
      </c>
      <c r="J1132" s="75"/>
      <c r="K1132" s="75">
        <v>57.732999999999997</v>
      </c>
      <c r="L1132" s="75">
        <v>4.5960999999999999E-6</v>
      </c>
      <c r="M1132" s="75">
        <v>57.734000000000002</v>
      </c>
      <c r="N1132" s="75">
        <v>1.4028999999999999E-6</v>
      </c>
      <c r="O1132" s="90" t="str">
        <f>IF(VLOOKUP(UncLookup[[#This Row],[Item]],Items!$A$1:$F$43,2,FALSE)=0,"",VLOOKUP(UncLookup[[#This Row],[Item]],Items!$A$1:$F$43,2,FALSE))</f>
        <v/>
      </c>
      <c r="P1132" s="90" t="str">
        <f>IF(VLOOKUP(UncLookup[[#This Row],[Item]],Items!$A$1:$F$43,3,FALSE)=0,"",VLOOKUP(UncLookup[[#This Row],[Item]],Items!$A$1:$F$43,3,FALSE))</f>
        <v/>
      </c>
      <c r="Q1132" s="90" t="str">
        <f>IF(VLOOKUP(UncLookup[[#This Row],[Item]],Items!$A$1:$F$43,4,FALSE)=0,"",VLOOKUP(UncLookup[[#This Row],[Item]],Items!$A$1:$F$43,4,FALSE))</f>
        <v/>
      </c>
    </row>
    <row r="1133" spans="1:17" x14ac:dyDescent="0.25">
      <c r="A1133" s="76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90" t="str">
        <f>IF(VLOOKUP(UncLookup[[#This Row],[Item]],Items!$A$1:$F$43,2,FALSE)=0,"",VLOOKUP(UncLookup[[#This Row],[Item]],Items!$A$1:$F$43,2,FALSE))</f>
        <v/>
      </c>
      <c r="P1133" s="90" t="str">
        <f>IF(VLOOKUP(UncLookup[[#This Row],[Item]],Items!$A$1:$F$43,3,FALSE)=0,"",VLOOKUP(UncLookup[[#This Row],[Item]],Items!$A$1:$F$43,3,FALSE))</f>
        <v/>
      </c>
      <c r="Q1133" s="90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5" t="s">
        <v>55</v>
      </c>
      <c r="B1134" s="75" t="s">
        <v>88</v>
      </c>
      <c r="C1134" s="75">
        <v>-418</v>
      </c>
      <c r="D1134" s="75">
        <v>-237.9</v>
      </c>
      <c r="E1134" s="75">
        <v>1</v>
      </c>
      <c r="F1134" s="75" t="s">
        <v>26</v>
      </c>
      <c r="G1134" s="75" t="s">
        <v>26</v>
      </c>
      <c r="H1134" s="75">
        <v>0</v>
      </c>
      <c r="I1134" s="75">
        <v>0</v>
      </c>
      <c r="J1134" s="75"/>
      <c r="K1134" s="75">
        <v>0.80890141400000004</v>
      </c>
      <c r="L1134" s="75">
        <v>0</v>
      </c>
      <c r="M1134" s="75">
        <v>0.79569649899999995</v>
      </c>
      <c r="N1134" s="75">
        <v>0</v>
      </c>
      <c r="O1134" s="90" t="str">
        <f>IF(VLOOKUP(UncLookup[[#This Row],[Item]],Items!$A$1:$F$43,2,FALSE)=0,"",VLOOKUP(UncLookup[[#This Row],[Item]],Items!$A$1:$F$43,2,FALSE))</f>
        <v/>
      </c>
      <c r="P1134" s="90" t="str">
        <f>IF(VLOOKUP(UncLookup[[#This Row],[Item]],Items!$A$1:$F$43,3,FALSE)=0,"",VLOOKUP(UncLookup[[#This Row],[Item]],Items!$A$1:$F$43,3,FALSE))</f>
        <v/>
      </c>
      <c r="Q1134" s="90" t="str">
        <f>IF(VLOOKUP(UncLookup[[#This Row],[Item]],Items!$A$1:$F$43,4,FALSE)=0,"",VLOOKUP(UncLookup[[#This Row],[Item]],Items!$A$1:$F$43,4,FALSE))</f>
        <v>T</v>
      </c>
    </row>
    <row r="1135" spans="1:17" x14ac:dyDescent="0.25">
      <c r="A1135" s="76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90" t="str">
        <f>IF(VLOOKUP(UncLookup[[#This Row],[Item]],Items!$A$1:$F$43,2,FALSE)=0,"",VLOOKUP(UncLookup[[#This Row],[Item]],Items!$A$1:$F$43,2,FALSE))</f>
        <v/>
      </c>
      <c r="P1135" s="90" t="str">
        <f>IF(VLOOKUP(UncLookup[[#This Row],[Item]],Items!$A$1:$F$43,3,FALSE)=0,"",VLOOKUP(UncLookup[[#This Row],[Item]],Items!$A$1:$F$43,3,FALSE))</f>
        <v/>
      </c>
      <c r="Q1135" s="90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5" t="s">
        <v>55</v>
      </c>
      <c r="B1136" s="75" t="s">
        <v>88</v>
      </c>
      <c r="C1136" s="75">
        <v>-238</v>
      </c>
      <c r="D1136" s="75">
        <v>32.1</v>
      </c>
      <c r="E1136" s="75">
        <v>1</v>
      </c>
      <c r="F1136" s="75" t="s">
        <v>26</v>
      </c>
      <c r="G1136" s="75" t="s">
        <v>26</v>
      </c>
      <c r="H1136" s="75">
        <v>0</v>
      </c>
      <c r="I1136" s="75">
        <v>0</v>
      </c>
      <c r="J1136" s="75"/>
      <c r="K1136" s="75">
        <v>0.65502346499999997</v>
      </c>
      <c r="L1136" s="75">
        <v>0</v>
      </c>
      <c r="M1136" s="75">
        <v>0.64148702499999999</v>
      </c>
      <c r="N1136" s="75">
        <v>0</v>
      </c>
      <c r="O1136" s="90" t="str">
        <f>IF(VLOOKUP(UncLookup[[#This Row],[Item]],Items!$A$1:$F$43,2,FALSE)=0,"",VLOOKUP(UncLookup[[#This Row],[Item]],Items!$A$1:$F$43,2,FALSE))</f>
        <v/>
      </c>
      <c r="P1136" s="90" t="str">
        <f>IF(VLOOKUP(UncLookup[[#This Row],[Item]],Items!$A$1:$F$43,3,FALSE)=0,"",VLOOKUP(UncLookup[[#This Row],[Item]],Items!$A$1:$F$43,3,FALSE))</f>
        <v/>
      </c>
      <c r="Q1136" s="90" t="str">
        <f>IF(VLOOKUP(UncLookup[[#This Row],[Item]],Items!$A$1:$F$43,4,FALSE)=0,"",VLOOKUP(UncLookup[[#This Row],[Item]],Items!$A$1:$F$43,4,FALSE))</f>
        <v>T</v>
      </c>
    </row>
    <row r="1137" spans="1:17" x14ac:dyDescent="0.25">
      <c r="A1137" s="76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90" t="str">
        <f>IF(VLOOKUP(UncLookup[[#This Row],[Item]],Items!$A$1:$F$43,2,FALSE)=0,"",VLOOKUP(UncLookup[[#This Row],[Item]],Items!$A$1:$F$43,2,FALSE))</f>
        <v/>
      </c>
      <c r="P1137" s="90" t="str">
        <f>IF(VLOOKUP(UncLookup[[#This Row],[Item]],Items!$A$1:$F$43,3,FALSE)=0,"",VLOOKUP(UncLookup[[#This Row],[Item]],Items!$A$1:$F$43,3,FALSE))</f>
        <v/>
      </c>
      <c r="Q1137" s="90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5" t="s">
        <v>55</v>
      </c>
      <c r="B1138" s="75" t="s">
        <v>88</v>
      </c>
      <c r="C1138" s="75">
        <v>32</v>
      </c>
      <c r="D1138" s="75">
        <v>248.1</v>
      </c>
      <c r="E1138" s="75">
        <v>1</v>
      </c>
      <c r="F1138" s="75" t="s">
        <v>26</v>
      </c>
      <c r="G1138" s="75" t="s">
        <v>26</v>
      </c>
      <c r="H1138" s="75">
        <v>0</v>
      </c>
      <c r="I1138" s="75">
        <v>0</v>
      </c>
      <c r="J1138" s="75"/>
      <c r="K1138" s="75">
        <v>0.61187724499999996</v>
      </c>
      <c r="L1138" s="75">
        <v>0</v>
      </c>
      <c r="M1138" s="75">
        <v>0.60713677099999996</v>
      </c>
      <c r="N1138" s="75">
        <v>0</v>
      </c>
      <c r="O1138" s="90" t="str">
        <f>IF(VLOOKUP(UncLookup[[#This Row],[Item]],Items!$A$1:$F$43,2,FALSE)=0,"",VLOOKUP(UncLookup[[#This Row],[Item]],Items!$A$1:$F$43,2,FALSE))</f>
        <v/>
      </c>
      <c r="P1138" s="90" t="str">
        <f>IF(VLOOKUP(UncLookup[[#This Row],[Item]],Items!$A$1:$F$43,3,FALSE)=0,"",VLOOKUP(UncLookup[[#This Row],[Item]],Items!$A$1:$F$43,3,FALSE))</f>
        <v/>
      </c>
      <c r="Q1138" s="90" t="str">
        <f>IF(VLOOKUP(UncLookup[[#This Row],[Item]],Items!$A$1:$F$43,4,FALSE)=0,"",VLOOKUP(UncLookup[[#This Row],[Item]],Items!$A$1:$F$43,4,FALSE))</f>
        <v>T</v>
      </c>
    </row>
    <row r="1139" spans="1:17" x14ac:dyDescent="0.25">
      <c r="A1139" s="76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90" t="str">
        <f>IF(VLOOKUP(UncLookup[[#This Row],[Item]],Items!$A$1:$F$43,2,FALSE)=0,"",VLOOKUP(UncLookup[[#This Row],[Item]],Items!$A$1:$F$43,2,FALSE))</f>
        <v/>
      </c>
      <c r="P1139" s="90" t="str">
        <f>IF(VLOOKUP(UncLookup[[#This Row],[Item]],Items!$A$1:$F$43,3,FALSE)=0,"",VLOOKUP(UncLookup[[#This Row],[Item]],Items!$A$1:$F$43,3,FALSE))</f>
        <v/>
      </c>
      <c r="Q1139" s="90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5" t="s">
        <v>55</v>
      </c>
      <c r="B1140" s="75" t="s">
        <v>88</v>
      </c>
      <c r="C1140" s="75">
        <v>248</v>
      </c>
      <c r="D1140" s="75">
        <v>752</v>
      </c>
      <c r="E1140" s="75">
        <v>1</v>
      </c>
      <c r="F1140" s="75" t="s">
        <v>26</v>
      </c>
      <c r="G1140" s="75" t="s">
        <v>26</v>
      </c>
      <c r="H1140" s="75">
        <v>0</v>
      </c>
      <c r="I1140" s="75">
        <v>0</v>
      </c>
      <c r="J1140" s="75"/>
      <c r="K1140" s="75">
        <v>0.60527551300000004</v>
      </c>
      <c r="L1140" s="75">
        <v>0</v>
      </c>
      <c r="M1140" s="75">
        <v>0.600482925</v>
      </c>
      <c r="N1140" s="75">
        <v>0</v>
      </c>
      <c r="O1140" s="90" t="str">
        <f>IF(VLOOKUP(UncLookup[[#This Row],[Item]],Items!$A$1:$F$43,2,FALSE)=0,"",VLOOKUP(UncLookup[[#This Row],[Item]],Items!$A$1:$F$43,2,FALSE))</f>
        <v/>
      </c>
      <c r="P1140" s="90" t="str">
        <f>IF(VLOOKUP(UncLookup[[#This Row],[Item]],Items!$A$1:$F$43,3,FALSE)=0,"",VLOOKUP(UncLookup[[#This Row],[Item]],Items!$A$1:$F$43,3,FALSE))</f>
        <v/>
      </c>
      <c r="Q1140" s="90" t="str">
        <f>IF(VLOOKUP(UncLookup[[#This Row],[Item]],Items!$A$1:$F$43,4,FALSE)=0,"",VLOOKUP(UncLookup[[#This Row],[Item]],Items!$A$1:$F$43,4,FALSE))</f>
        <v>T</v>
      </c>
    </row>
    <row r="1141" spans="1:17" x14ac:dyDescent="0.25">
      <c r="A1141" s="76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90" t="str">
        <f>IF(VLOOKUP(UncLookup[[#This Row],[Item]],Items!$A$1:$F$43,2,FALSE)=0,"",VLOOKUP(UncLookup[[#This Row],[Item]],Items!$A$1:$F$43,2,FALSE))</f>
        <v/>
      </c>
      <c r="P1141" s="90" t="str">
        <f>IF(VLOOKUP(UncLookup[[#This Row],[Item]],Items!$A$1:$F$43,3,FALSE)=0,"",VLOOKUP(UncLookup[[#This Row],[Item]],Items!$A$1:$F$43,3,FALSE))</f>
        <v/>
      </c>
      <c r="Q1141" s="90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5" t="s">
        <v>55</v>
      </c>
      <c r="B1142" s="75" t="s">
        <v>88</v>
      </c>
      <c r="C1142" s="75">
        <v>752</v>
      </c>
      <c r="D1142" s="75">
        <v>752.1</v>
      </c>
      <c r="E1142" s="75">
        <v>1</v>
      </c>
      <c r="F1142" s="75" t="s">
        <v>26</v>
      </c>
      <c r="G1142" s="75" t="s">
        <v>26</v>
      </c>
      <c r="H1142" s="75">
        <v>0</v>
      </c>
      <c r="I1142" s="75">
        <v>0</v>
      </c>
      <c r="J1142" s="75"/>
      <c r="K1142" s="75">
        <v>0.60527551300000004</v>
      </c>
      <c r="L1142" s="75">
        <v>0</v>
      </c>
      <c r="M1142" s="75">
        <v>0.600482925</v>
      </c>
      <c r="N1142" s="75">
        <v>0</v>
      </c>
      <c r="O1142" s="90" t="str">
        <f>IF(VLOOKUP(UncLookup[[#This Row],[Item]],Items!$A$1:$F$43,2,FALSE)=0,"",VLOOKUP(UncLookup[[#This Row],[Item]],Items!$A$1:$F$43,2,FALSE))</f>
        <v/>
      </c>
      <c r="P1142" s="90" t="str">
        <f>IF(VLOOKUP(UncLookup[[#This Row],[Item]],Items!$A$1:$F$43,3,FALSE)=0,"",VLOOKUP(UncLookup[[#This Row],[Item]],Items!$A$1:$F$43,3,FALSE))</f>
        <v/>
      </c>
      <c r="Q1142" s="90" t="str">
        <f>IF(VLOOKUP(UncLookup[[#This Row],[Item]],Items!$A$1:$F$43,4,FALSE)=0,"",VLOOKUP(UncLookup[[#This Row],[Item]],Items!$A$1:$F$43,4,FALSE))</f>
        <v>T</v>
      </c>
    </row>
    <row r="1143" spans="1:17" x14ac:dyDescent="0.25">
      <c r="A1143" s="76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90" t="str">
        <f>IF(VLOOKUP(UncLookup[[#This Row],[Item]],Items!$A$1:$F$43,2,FALSE)=0,"",VLOOKUP(UncLookup[[#This Row],[Item]],Items!$A$1:$F$43,2,FALSE))</f>
        <v/>
      </c>
      <c r="P1143" s="90" t="str">
        <f>IF(VLOOKUP(UncLookup[[#This Row],[Item]],Items!$A$1:$F$43,3,FALSE)=0,"",VLOOKUP(UncLookup[[#This Row],[Item]],Items!$A$1:$F$43,3,FALSE))</f>
        <v/>
      </c>
      <c r="Q1143" s="90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5" t="s">
        <v>55</v>
      </c>
      <c r="B1144" s="75" t="s">
        <v>87</v>
      </c>
      <c r="C1144" s="75">
        <v>32</v>
      </c>
      <c r="D1144" s="75">
        <v>482.1</v>
      </c>
      <c r="E1144" s="75">
        <v>1</v>
      </c>
      <c r="F1144" s="75" t="s">
        <v>26</v>
      </c>
      <c r="G1144" s="75" t="s">
        <v>26</v>
      </c>
      <c r="H1144" s="75">
        <v>0</v>
      </c>
      <c r="I1144" s="75">
        <v>0</v>
      </c>
      <c r="J1144" s="75"/>
      <c r="K1144" s="75">
        <v>1.165284896</v>
      </c>
      <c r="L1144" s="75">
        <v>0</v>
      </c>
      <c r="M1144" s="75">
        <v>1.1388001480000001</v>
      </c>
      <c r="N1144" s="75">
        <v>0</v>
      </c>
      <c r="O1144" s="90" t="str">
        <f>IF(VLOOKUP(UncLookup[[#This Row],[Item]],Items!$A$1:$F$43,2,FALSE)=0,"",VLOOKUP(UncLookup[[#This Row],[Item]],Items!$A$1:$F$43,2,FALSE))</f>
        <v/>
      </c>
      <c r="P1144" s="90" t="str">
        <f>IF(VLOOKUP(UncLookup[[#This Row],[Item]],Items!$A$1:$F$43,3,FALSE)=0,"",VLOOKUP(UncLookup[[#This Row],[Item]],Items!$A$1:$F$43,3,FALSE))</f>
        <v/>
      </c>
      <c r="Q1144" s="90" t="str">
        <f>IF(VLOOKUP(UncLookup[[#This Row],[Item]],Items!$A$1:$F$43,4,FALSE)=0,"",VLOOKUP(UncLookup[[#This Row],[Item]],Items!$A$1:$F$43,4,FALSE))</f>
        <v>S</v>
      </c>
    </row>
    <row r="1145" spans="1:17" x14ac:dyDescent="0.25">
      <c r="A1145" s="76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90" t="str">
        <f>IF(VLOOKUP(UncLookup[[#This Row],[Item]],Items!$A$1:$F$43,2,FALSE)=0,"",VLOOKUP(UncLookup[[#This Row],[Item]],Items!$A$1:$F$43,2,FALSE))</f>
        <v/>
      </c>
      <c r="P1145" s="90" t="str">
        <f>IF(VLOOKUP(UncLookup[[#This Row],[Item]],Items!$A$1:$F$43,3,FALSE)=0,"",VLOOKUP(UncLookup[[#This Row],[Item]],Items!$A$1:$F$43,3,FALSE))</f>
        <v/>
      </c>
      <c r="Q1145" s="90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5" t="s">
        <v>55</v>
      </c>
      <c r="B1146" s="75" t="s">
        <v>87</v>
      </c>
      <c r="C1146" s="75">
        <v>482</v>
      </c>
      <c r="D1146" s="75">
        <v>1832.1</v>
      </c>
      <c r="E1146" s="75">
        <v>1</v>
      </c>
      <c r="F1146" s="75" t="s">
        <v>26</v>
      </c>
      <c r="G1146" s="75" t="s">
        <v>26</v>
      </c>
      <c r="H1146" s="75">
        <v>0</v>
      </c>
      <c r="I1146" s="75">
        <v>0</v>
      </c>
      <c r="J1146" s="75"/>
      <c r="K1146" s="75">
        <v>0.97705967599999999</v>
      </c>
      <c r="L1146" s="75">
        <v>0</v>
      </c>
      <c r="M1146" s="75">
        <v>0.94824445800000001</v>
      </c>
      <c r="N1146" s="75">
        <v>0</v>
      </c>
      <c r="O1146" s="90" t="str">
        <f>IF(VLOOKUP(UncLookup[[#This Row],[Item]],Items!$A$1:$F$43,2,FALSE)=0,"",VLOOKUP(UncLookup[[#This Row],[Item]],Items!$A$1:$F$43,2,FALSE))</f>
        <v/>
      </c>
      <c r="P1146" s="90" t="str">
        <f>IF(VLOOKUP(UncLookup[[#This Row],[Item]],Items!$A$1:$F$43,3,FALSE)=0,"",VLOOKUP(UncLookup[[#This Row],[Item]],Items!$A$1:$F$43,3,FALSE))</f>
        <v/>
      </c>
      <c r="Q1146" s="90" t="str">
        <f>IF(VLOOKUP(UncLookup[[#This Row],[Item]],Items!$A$1:$F$43,4,FALSE)=0,"",VLOOKUP(UncLookup[[#This Row],[Item]],Items!$A$1:$F$43,4,FALSE))</f>
        <v>S</v>
      </c>
    </row>
    <row r="1147" spans="1:17" x14ac:dyDescent="0.25">
      <c r="A1147" s="76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90" t="str">
        <f>IF(VLOOKUP(UncLookup[[#This Row],[Item]],Items!$A$1:$F$43,2,FALSE)=0,"",VLOOKUP(UncLookup[[#This Row],[Item]],Items!$A$1:$F$43,2,FALSE))</f>
        <v/>
      </c>
      <c r="P1147" s="90" t="str">
        <f>IF(VLOOKUP(UncLookup[[#This Row],[Item]],Items!$A$1:$F$43,3,FALSE)=0,"",VLOOKUP(UncLookup[[#This Row],[Item]],Items!$A$1:$F$43,3,FALSE))</f>
        <v/>
      </c>
      <c r="Q1147" s="90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5" t="s">
        <v>55</v>
      </c>
      <c r="B1148" s="75" t="s">
        <v>87</v>
      </c>
      <c r="C1148" s="75">
        <v>1832</v>
      </c>
      <c r="D1148" s="75">
        <v>2552.1</v>
      </c>
      <c r="E1148" s="75">
        <v>1</v>
      </c>
      <c r="F1148" s="75" t="s">
        <v>26</v>
      </c>
      <c r="G1148" s="75" t="s">
        <v>26</v>
      </c>
      <c r="H1148" s="75">
        <v>0</v>
      </c>
      <c r="I1148" s="75">
        <v>0</v>
      </c>
      <c r="J1148" s="75"/>
      <c r="K1148" s="75">
        <v>0.99106384700000005</v>
      </c>
      <c r="L1148" s="75">
        <v>0</v>
      </c>
      <c r="M1148" s="75">
        <v>0.96410879699999996</v>
      </c>
      <c r="N1148" s="75">
        <v>0</v>
      </c>
      <c r="O1148" s="90" t="str">
        <f>IF(VLOOKUP(UncLookup[[#This Row],[Item]],Items!$A$1:$F$43,2,FALSE)=0,"",VLOOKUP(UncLookup[[#This Row],[Item]],Items!$A$1:$F$43,2,FALSE))</f>
        <v/>
      </c>
      <c r="P1148" s="90" t="str">
        <f>IF(VLOOKUP(UncLookup[[#This Row],[Item]],Items!$A$1:$F$43,3,FALSE)=0,"",VLOOKUP(UncLookup[[#This Row],[Item]],Items!$A$1:$F$43,3,FALSE))</f>
        <v/>
      </c>
      <c r="Q1148" s="90" t="str">
        <f>IF(VLOOKUP(UncLookup[[#This Row],[Item]],Items!$A$1:$F$43,4,FALSE)=0,"",VLOOKUP(UncLookup[[#This Row],[Item]],Items!$A$1:$F$43,4,FALSE))</f>
        <v>S</v>
      </c>
    </row>
    <row r="1149" spans="1:17" x14ac:dyDescent="0.25">
      <c r="A1149" s="76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90" t="str">
        <f>IF(VLOOKUP(UncLookup[[#This Row],[Item]],Items!$A$1:$F$43,2,FALSE)=0,"",VLOOKUP(UncLookup[[#This Row],[Item]],Items!$A$1:$F$43,2,FALSE))</f>
        <v/>
      </c>
      <c r="P1149" s="90" t="str">
        <f>IF(VLOOKUP(UncLookup[[#This Row],[Item]],Items!$A$1:$F$43,3,FALSE)=0,"",VLOOKUP(UncLookup[[#This Row],[Item]],Items!$A$1:$F$43,3,FALSE))</f>
        <v/>
      </c>
      <c r="Q1149" s="90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5" t="s">
        <v>55</v>
      </c>
      <c r="B1150" s="75" t="s">
        <v>87</v>
      </c>
      <c r="C1150" s="75">
        <v>2552</v>
      </c>
      <c r="D1150" s="75">
        <v>3213</v>
      </c>
      <c r="E1150" s="75">
        <v>1</v>
      </c>
      <c r="F1150" s="75" t="s">
        <v>26</v>
      </c>
      <c r="G1150" s="75" t="s">
        <v>26</v>
      </c>
      <c r="H1150" s="75">
        <v>0</v>
      </c>
      <c r="I1150" s="75">
        <v>0</v>
      </c>
      <c r="J1150" s="75"/>
      <c r="K1150" s="75">
        <v>1.142432525</v>
      </c>
      <c r="L1150" s="75">
        <v>0</v>
      </c>
      <c r="M1150" s="75">
        <v>1.1191292580000001</v>
      </c>
      <c r="N1150" s="75">
        <v>0</v>
      </c>
      <c r="O1150" s="90" t="str">
        <f>IF(VLOOKUP(UncLookup[[#This Row],[Item]],Items!$A$1:$F$43,2,FALSE)=0,"",VLOOKUP(UncLookup[[#This Row],[Item]],Items!$A$1:$F$43,2,FALSE))</f>
        <v/>
      </c>
      <c r="P1150" s="90" t="str">
        <f>IF(VLOOKUP(UncLookup[[#This Row],[Item]],Items!$A$1:$F$43,3,FALSE)=0,"",VLOOKUP(UncLookup[[#This Row],[Item]],Items!$A$1:$F$43,3,FALSE))</f>
        <v/>
      </c>
      <c r="Q1150" s="90" t="str">
        <f>IF(VLOOKUP(UncLookup[[#This Row],[Item]],Items!$A$1:$F$43,4,FALSE)=0,"",VLOOKUP(UncLookup[[#This Row],[Item]],Items!$A$1:$F$43,4,FALSE))</f>
        <v>S</v>
      </c>
    </row>
    <row r="1151" spans="1:17" x14ac:dyDescent="0.25">
      <c r="A1151" s="76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90" t="str">
        <f>IF(VLOOKUP(UncLookup[[#This Row],[Item]],Items!$A$1:$F$43,2,FALSE)=0,"",VLOOKUP(UncLookup[[#This Row],[Item]],Items!$A$1:$F$43,2,FALSE))</f>
        <v/>
      </c>
      <c r="P1151" s="90" t="str">
        <f>IF(VLOOKUP(UncLookup[[#This Row],[Item]],Items!$A$1:$F$43,3,FALSE)=0,"",VLOOKUP(UncLookup[[#This Row],[Item]],Items!$A$1:$F$43,3,FALSE))</f>
        <v/>
      </c>
      <c r="Q1151" s="90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5" t="s">
        <v>55</v>
      </c>
      <c r="B1152" s="75" t="s">
        <v>87</v>
      </c>
      <c r="C1152" s="75">
        <v>3213</v>
      </c>
      <c r="D1152" s="75">
        <v>3213.1</v>
      </c>
      <c r="E1152" s="75">
        <v>1</v>
      </c>
      <c r="F1152" s="75" t="s">
        <v>26</v>
      </c>
      <c r="G1152" s="75" t="s">
        <v>26</v>
      </c>
      <c r="H1152" s="75">
        <v>0</v>
      </c>
      <c r="I1152" s="75">
        <v>0</v>
      </c>
      <c r="J1152" s="75"/>
      <c r="K1152" s="75">
        <v>1.142432525</v>
      </c>
      <c r="L1152" s="75">
        <v>0</v>
      </c>
      <c r="M1152" s="75">
        <v>1.1191292580000001</v>
      </c>
      <c r="N1152" s="75">
        <v>0</v>
      </c>
      <c r="O1152" s="90" t="str">
        <f>IF(VLOOKUP(UncLookup[[#This Row],[Item]],Items!$A$1:$F$43,2,FALSE)=0,"",VLOOKUP(UncLookup[[#This Row],[Item]],Items!$A$1:$F$43,2,FALSE))</f>
        <v/>
      </c>
      <c r="P1152" s="90" t="str">
        <f>IF(VLOOKUP(UncLookup[[#This Row],[Item]],Items!$A$1:$F$43,3,FALSE)=0,"",VLOOKUP(UncLookup[[#This Row],[Item]],Items!$A$1:$F$43,3,FALSE))</f>
        <v/>
      </c>
      <c r="Q1152" s="90" t="str">
        <f>IF(VLOOKUP(UncLookup[[#This Row],[Item]],Items!$A$1:$F$43,4,FALSE)=0,"",VLOOKUP(UncLookup[[#This Row],[Item]],Items!$A$1:$F$43,4,FALSE))</f>
        <v>S</v>
      </c>
    </row>
    <row r="1153" spans="1:17" x14ac:dyDescent="0.25">
      <c r="A1153" s="76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90" t="str">
        <f>IF(VLOOKUP(UncLookup[[#This Row],[Item]],Items!$A$1:$F$43,2,FALSE)=0,"",VLOOKUP(UncLookup[[#This Row],[Item]],Items!$A$1:$F$43,2,FALSE))</f>
        <v/>
      </c>
      <c r="P1153" s="90" t="str">
        <f>IF(VLOOKUP(UncLookup[[#This Row],[Item]],Items!$A$1:$F$43,3,FALSE)=0,"",VLOOKUP(UncLookup[[#This Row],[Item]],Items!$A$1:$F$43,3,FALSE))</f>
        <v/>
      </c>
      <c r="Q1153" s="90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5" t="s">
        <v>55</v>
      </c>
      <c r="B1154" s="75" t="s">
        <v>86</v>
      </c>
      <c r="C1154" s="75">
        <v>32</v>
      </c>
      <c r="D1154" s="75">
        <v>482.1</v>
      </c>
      <c r="E1154" s="75">
        <v>1</v>
      </c>
      <c r="F1154" s="75" t="s">
        <v>26</v>
      </c>
      <c r="G1154" s="75" t="s">
        <v>26</v>
      </c>
      <c r="H1154" s="75">
        <v>0</v>
      </c>
      <c r="I1154" s="75">
        <v>0</v>
      </c>
      <c r="J1154" s="75"/>
      <c r="K1154" s="75">
        <v>1.3448255570000001</v>
      </c>
      <c r="L1154" s="75">
        <v>0</v>
      </c>
      <c r="M1154" s="75">
        <v>1.3214180929999999</v>
      </c>
      <c r="N1154" s="75">
        <v>0</v>
      </c>
      <c r="O1154" s="90" t="str">
        <f>IF(VLOOKUP(UncLookup[[#This Row],[Item]],Items!$A$1:$F$43,2,FALSE)=0,"",VLOOKUP(UncLookup[[#This Row],[Item]],Items!$A$1:$F$43,2,FALSE))</f>
        <v/>
      </c>
      <c r="P1154" s="90" t="str">
        <f>IF(VLOOKUP(UncLookup[[#This Row],[Item]],Items!$A$1:$F$43,3,FALSE)=0,"",VLOOKUP(UncLookup[[#This Row],[Item]],Items!$A$1:$F$43,3,FALSE))</f>
        <v/>
      </c>
      <c r="Q1154" s="90" t="str">
        <f>IF(VLOOKUP(UncLookup[[#This Row],[Item]],Items!$A$1:$F$43,4,FALSE)=0,"",VLOOKUP(UncLookup[[#This Row],[Item]],Items!$A$1:$F$43,4,FALSE))</f>
        <v>R</v>
      </c>
    </row>
    <row r="1155" spans="1:17" x14ac:dyDescent="0.25">
      <c r="A1155" s="76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90" t="str">
        <f>IF(VLOOKUP(UncLookup[[#This Row],[Item]],Items!$A$1:$F$43,2,FALSE)=0,"",VLOOKUP(UncLookup[[#This Row],[Item]],Items!$A$1:$F$43,2,FALSE))</f>
        <v/>
      </c>
      <c r="P1155" s="90" t="str">
        <f>IF(VLOOKUP(UncLookup[[#This Row],[Item]],Items!$A$1:$F$43,3,FALSE)=0,"",VLOOKUP(UncLookup[[#This Row],[Item]],Items!$A$1:$F$43,3,FALSE))</f>
        <v/>
      </c>
      <c r="Q1155" s="90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5" t="s">
        <v>55</v>
      </c>
      <c r="B1156" s="75" t="s">
        <v>86</v>
      </c>
      <c r="C1156" s="75">
        <v>482</v>
      </c>
      <c r="D1156" s="75">
        <v>752.1</v>
      </c>
      <c r="E1156" s="75">
        <v>1</v>
      </c>
      <c r="F1156" s="75" t="s">
        <v>26</v>
      </c>
      <c r="G1156" s="75" t="s">
        <v>26</v>
      </c>
      <c r="H1156" s="75">
        <v>0</v>
      </c>
      <c r="I1156" s="75">
        <v>0</v>
      </c>
      <c r="J1156" s="75"/>
      <c r="K1156" s="75">
        <v>0.959343006</v>
      </c>
      <c r="L1156" s="75">
        <v>0</v>
      </c>
      <c r="M1156" s="75">
        <v>0.931470464</v>
      </c>
      <c r="N1156" s="75">
        <v>0</v>
      </c>
      <c r="O1156" s="90" t="str">
        <f>IF(VLOOKUP(UncLookup[[#This Row],[Item]],Items!$A$1:$F$43,2,FALSE)=0,"",VLOOKUP(UncLookup[[#This Row],[Item]],Items!$A$1:$F$43,2,FALSE))</f>
        <v/>
      </c>
      <c r="P1156" s="90" t="str">
        <f>IF(VLOOKUP(UncLookup[[#This Row],[Item]],Items!$A$1:$F$43,3,FALSE)=0,"",VLOOKUP(UncLookup[[#This Row],[Item]],Items!$A$1:$F$43,3,FALSE))</f>
        <v/>
      </c>
      <c r="Q1156" s="90" t="str">
        <f>IF(VLOOKUP(UncLookup[[#This Row],[Item]],Items!$A$1:$F$43,4,FALSE)=0,"",VLOOKUP(UncLookup[[#This Row],[Item]],Items!$A$1:$F$43,4,FALSE))</f>
        <v>R</v>
      </c>
    </row>
    <row r="1157" spans="1:17" x14ac:dyDescent="0.25">
      <c r="A1157" s="76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90" t="str">
        <f>IF(VLOOKUP(UncLookup[[#This Row],[Item]],Items!$A$1:$F$43,2,FALSE)=0,"",VLOOKUP(UncLookup[[#This Row],[Item]],Items!$A$1:$F$43,2,FALSE))</f>
        <v/>
      </c>
      <c r="P1157" s="90" t="str">
        <f>IF(VLOOKUP(UncLookup[[#This Row],[Item]],Items!$A$1:$F$43,3,FALSE)=0,"",VLOOKUP(UncLookup[[#This Row],[Item]],Items!$A$1:$F$43,3,FALSE))</f>
        <v/>
      </c>
      <c r="Q1157" s="90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5" t="s">
        <v>55</v>
      </c>
      <c r="B1158" s="75" t="s">
        <v>86</v>
      </c>
      <c r="C1158" s="75">
        <v>752</v>
      </c>
      <c r="D1158" s="75">
        <v>1832.1</v>
      </c>
      <c r="E1158" s="75">
        <v>1</v>
      </c>
      <c r="F1158" s="75" t="s">
        <v>26</v>
      </c>
      <c r="G1158" s="75" t="s">
        <v>26</v>
      </c>
      <c r="H1158" s="75">
        <v>0</v>
      </c>
      <c r="I1158" s="75">
        <v>0</v>
      </c>
      <c r="J1158" s="75"/>
      <c r="K1158" s="75">
        <v>0.92821232499999995</v>
      </c>
      <c r="L1158" s="75">
        <v>0</v>
      </c>
      <c r="M1158" s="75">
        <v>0.89937552899999995</v>
      </c>
      <c r="N1158" s="75">
        <v>0</v>
      </c>
      <c r="O1158" s="90" t="str">
        <f>IF(VLOOKUP(UncLookup[[#This Row],[Item]],Items!$A$1:$F$43,2,FALSE)=0,"",VLOOKUP(UncLookup[[#This Row],[Item]],Items!$A$1:$F$43,2,FALSE))</f>
        <v/>
      </c>
      <c r="P1158" s="90" t="str">
        <f>IF(VLOOKUP(UncLookup[[#This Row],[Item]],Items!$A$1:$F$43,3,FALSE)=0,"",VLOOKUP(UncLookup[[#This Row],[Item]],Items!$A$1:$F$43,3,FALSE))</f>
        <v/>
      </c>
      <c r="Q1158" s="90" t="str">
        <f>IF(VLOOKUP(UncLookup[[#This Row],[Item]],Items!$A$1:$F$43,4,FALSE)=0,"",VLOOKUP(UncLookup[[#This Row],[Item]],Items!$A$1:$F$43,4,FALSE))</f>
        <v>R</v>
      </c>
    </row>
    <row r="1159" spans="1:17" x14ac:dyDescent="0.25">
      <c r="A1159" s="76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90" t="str">
        <f>IF(VLOOKUP(UncLookup[[#This Row],[Item]],Items!$A$1:$F$43,2,FALSE)=0,"",VLOOKUP(UncLookup[[#This Row],[Item]],Items!$A$1:$F$43,2,FALSE))</f>
        <v/>
      </c>
      <c r="P1159" s="90" t="str">
        <f>IF(VLOOKUP(UncLookup[[#This Row],[Item]],Items!$A$1:$F$43,3,FALSE)=0,"",VLOOKUP(UncLookup[[#This Row],[Item]],Items!$A$1:$F$43,3,FALSE))</f>
        <v/>
      </c>
      <c r="Q1159" s="90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5" t="s">
        <v>55</v>
      </c>
      <c r="B1160" s="75" t="s">
        <v>86</v>
      </c>
      <c r="C1160" s="75">
        <v>1832</v>
      </c>
      <c r="D1160" s="75">
        <v>3213</v>
      </c>
      <c r="E1160" s="75">
        <v>1</v>
      </c>
      <c r="F1160" s="75" t="s">
        <v>26</v>
      </c>
      <c r="G1160" s="75" t="s">
        <v>26</v>
      </c>
      <c r="H1160" s="75">
        <v>0</v>
      </c>
      <c r="I1160" s="75">
        <v>0</v>
      </c>
      <c r="J1160" s="75"/>
      <c r="K1160" s="75">
        <v>1.142154345</v>
      </c>
      <c r="L1160" s="75">
        <v>0</v>
      </c>
      <c r="M1160" s="75">
        <v>1.1188452840000001</v>
      </c>
      <c r="N1160" s="75">
        <v>0</v>
      </c>
      <c r="O1160" s="90" t="str">
        <f>IF(VLOOKUP(UncLookup[[#This Row],[Item]],Items!$A$1:$F$43,2,FALSE)=0,"",VLOOKUP(UncLookup[[#This Row],[Item]],Items!$A$1:$F$43,2,FALSE))</f>
        <v/>
      </c>
      <c r="P1160" s="90" t="str">
        <f>IF(VLOOKUP(UncLookup[[#This Row],[Item]],Items!$A$1:$F$43,3,FALSE)=0,"",VLOOKUP(UncLookup[[#This Row],[Item]],Items!$A$1:$F$43,3,FALSE))</f>
        <v/>
      </c>
      <c r="Q1160" s="90" t="str">
        <f>IF(VLOOKUP(UncLookup[[#This Row],[Item]],Items!$A$1:$F$43,4,FALSE)=0,"",VLOOKUP(UncLookup[[#This Row],[Item]],Items!$A$1:$F$43,4,FALSE))</f>
        <v>R</v>
      </c>
    </row>
    <row r="1161" spans="1:17" x14ac:dyDescent="0.25">
      <c r="A1161" s="76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90" t="str">
        <f>IF(VLOOKUP(UncLookup[[#This Row],[Item]],Items!$A$1:$F$43,2,FALSE)=0,"",VLOOKUP(UncLookup[[#This Row],[Item]],Items!$A$1:$F$43,2,FALSE))</f>
        <v/>
      </c>
      <c r="P1161" s="90" t="str">
        <f>IF(VLOOKUP(UncLookup[[#This Row],[Item]],Items!$A$1:$F$43,3,FALSE)=0,"",VLOOKUP(UncLookup[[#This Row],[Item]],Items!$A$1:$F$43,3,FALSE))</f>
        <v/>
      </c>
      <c r="Q1161" s="90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5" t="s">
        <v>55</v>
      </c>
      <c r="B1162" s="75" t="s">
        <v>86</v>
      </c>
      <c r="C1162" s="75">
        <v>3213</v>
      </c>
      <c r="D1162" s="75">
        <v>3213.1</v>
      </c>
      <c r="E1162" s="75">
        <v>1</v>
      </c>
      <c r="F1162" s="75" t="s">
        <v>26</v>
      </c>
      <c r="G1162" s="75" t="s">
        <v>26</v>
      </c>
      <c r="H1162" s="75">
        <v>0</v>
      </c>
      <c r="I1162" s="75">
        <v>0</v>
      </c>
      <c r="J1162" s="75"/>
      <c r="K1162" s="75">
        <v>1.142154345</v>
      </c>
      <c r="L1162" s="75">
        <v>0</v>
      </c>
      <c r="M1162" s="75">
        <v>1.1188452840000001</v>
      </c>
      <c r="N1162" s="75">
        <v>0</v>
      </c>
      <c r="O1162" s="90" t="str">
        <f>IF(VLOOKUP(UncLookup[[#This Row],[Item]],Items!$A$1:$F$43,2,FALSE)=0,"",VLOOKUP(UncLookup[[#This Row],[Item]],Items!$A$1:$F$43,2,FALSE))</f>
        <v/>
      </c>
      <c r="P1162" s="90" t="str">
        <f>IF(VLOOKUP(UncLookup[[#This Row],[Item]],Items!$A$1:$F$43,3,FALSE)=0,"",VLOOKUP(UncLookup[[#This Row],[Item]],Items!$A$1:$F$43,3,FALSE))</f>
        <v/>
      </c>
      <c r="Q1162" s="90" t="str">
        <f>IF(VLOOKUP(UncLookup[[#This Row],[Item]],Items!$A$1:$F$43,4,FALSE)=0,"",VLOOKUP(UncLookup[[#This Row],[Item]],Items!$A$1:$F$43,4,FALSE))</f>
        <v>R</v>
      </c>
    </row>
    <row r="1163" spans="1:17" x14ac:dyDescent="0.25">
      <c r="A1163" s="76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90" t="str">
        <f>IF(VLOOKUP(UncLookup[[#This Row],[Item]],Items!$A$1:$F$43,2,FALSE)=0,"",VLOOKUP(UncLookup[[#This Row],[Item]],Items!$A$1:$F$43,2,FALSE))</f>
        <v/>
      </c>
      <c r="P1163" s="90" t="str">
        <f>IF(VLOOKUP(UncLookup[[#This Row],[Item]],Items!$A$1:$F$43,3,FALSE)=0,"",VLOOKUP(UncLookup[[#This Row],[Item]],Items!$A$1:$F$43,3,FALSE))</f>
        <v/>
      </c>
      <c r="Q1163" s="90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5" t="s">
        <v>55</v>
      </c>
      <c r="B1164" s="75" t="s">
        <v>90</v>
      </c>
      <c r="C1164" s="75">
        <v>-328</v>
      </c>
      <c r="D1164" s="75">
        <v>32.1</v>
      </c>
      <c r="E1164" s="75">
        <v>1</v>
      </c>
      <c r="F1164" s="75" t="s">
        <v>26</v>
      </c>
      <c r="G1164" s="75" t="s">
        <v>26</v>
      </c>
      <c r="H1164" s="75">
        <v>0</v>
      </c>
      <c r="I1164" s="75">
        <v>0</v>
      </c>
      <c r="J1164" s="75"/>
      <c r="K1164" s="75">
        <v>0.59551113200000005</v>
      </c>
      <c r="L1164" s="75">
        <v>0</v>
      </c>
      <c r="M1164" s="75">
        <v>0.58313053800000003</v>
      </c>
      <c r="N1164" s="75">
        <v>0</v>
      </c>
      <c r="O1164" s="90" t="str">
        <f>IF(VLOOKUP(UncLookup[[#This Row],[Item]],Items!$A$1:$F$43,2,FALSE)=0,"",VLOOKUP(UncLookup[[#This Row],[Item]],Items!$A$1:$F$43,2,FALSE))</f>
        <v/>
      </c>
      <c r="P1164" s="90" t="str">
        <f>IF(VLOOKUP(UncLookup[[#This Row],[Item]],Items!$A$1:$F$43,3,FALSE)=0,"",VLOOKUP(UncLookup[[#This Row],[Item]],Items!$A$1:$F$43,3,FALSE))</f>
        <v/>
      </c>
      <c r="Q1164" s="90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76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90" t="str">
        <f>IF(VLOOKUP(UncLookup[[#This Row],[Item]],Items!$A$1:$F$43,2,FALSE)=0,"",VLOOKUP(UncLookup[[#This Row],[Item]],Items!$A$1:$F$43,2,FALSE))</f>
        <v/>
      </c>
      <c r="P1165" s="90" t="str">
        <f>IF(VLOOKUP(UncLookup[[#This Row],[Item]],Items!$A$1:$F$43,3,FALSE)=0,"",VLOOKUP(UncLookup[[#This Row],[Item]],Items!$A$1:$F$43,3,FALSE))</f>
        <v/>
      </c>
      <c r="Q1165" s="90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5" t="s">
        <v>55</v>
      </c>
      <c r="B1166" s="75" t="s">
        <v>90</v>
      </c>
      <c r="C1166" s="75">
        <v>212</v>
      </c>
      <c r="D1166" s="75">
        <v>500.1</v>
      </c>
      <c r="E1166" s="75">
        <v>0.1</v>
      </c>
      <c r="F1166" s="75" t="s">
        <v>26</v>
      </c>
      <c r="G1166" s="75" t="s">
        <v>26</v>
      </c>
      <c r="H1166" s="75">
        <v>0</v>
      </c>
      <c r="I1166" s="75">
        <v>0</v>
      </c>
      <c r="J1166" s="75"/>
      <c r="K1166" s="75">
        <v>0.19201475800000001</v>
      </c>
      <c r="L1166" s="75">
        <v>0</v>
      </c>
      <c r="M1166" s="75">
        <v>0.15827165600000001</v>
      </c>
      <c r="N1166" s="75">
        <v>0</v>
      </c>
      <c r="O1166" s="90" t="str">
        <f>IF(VLOOKUP(UncLookup[[#This Row],[Item]],Items!$A$1:$F$43,2,FALSE)=0,"",VLOOKUP(UncLookup[[#This Row],[Item]],Items!$A$1:$F$43,2,FALSE))</f>
        <v/>
      </c>
      <c r="P1166" s="90" t="str">
        <f>IF(VLOOKUP(UncLookup[[#This Row],[Item]],Items!$A$1:$F$43,3,FALSE)=0,"",VLOOKUP(UncLookup[[#This Row],[Item]],Items!$A$1:$F$43,3,FALSE))</f>
        <v/>
      </c>
      <c r="Q1166" s="90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76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90" t="str">
        <f>IF(VLOOKUP(UncLookup[[#This Row],[Item]],Items!$A$1:$F$43,2,FALSE)=0,"",VLOOKUP(UncLookup[[#This Row],[Item]],Items!$A$1:$F$43,2,FALSE))</f>
        <v/>
      </c>
      <c r="P1167" s="90" t="str">
        <f>IF(VLOOKUP(UncLookup[[#This Row],[Item]],Items!$A$1:$F$43,3,FALSE)=0,"",VLOOKUP(UncLookup[[#This Row],[Item]],Items!$A$1:$F$43,3,FALSE))</f>
        <v/>
      </c>
      <c r="Q1167" s="90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5" t="s">
        <v>55</v>
      </c>
      <c r="B1168" s="75" t="s">
        <v>90</v>
      </c>
      <c r="C1168" s="75">
        <v>500</v>
      </c>
      <c r="D1168" s="75">
        <v>572.1</v>
      </c>
      <c r="E1168" s="75">
        <v>0.1</v>
      </c>
      <c r="F1168" s="75" t="s">
        <v>26</v>
      </c>
      <c r="G1168" s="75" t="s">
        <v>26</v>
      </c>
      <c r="H1168" s="75">
        <v>0</v>
      </c>
      <c r="I1168" s="75">
        <v>0</v>
      </c>
      <c r="J1168" s="75"/>
      <c r="K1168" s="75">
        <v>0.26189677900000002</v>
      </c>
      <c r="L1168" s="75">
        <v>0</v>
      </c>
      <c r="M1168" s="75">
        <v>0.23826491999999999</v>
      </c>
      <c r="N1168" s="75">
        <v>0</v>
      </c>
      <c r="O1168" s="90" t="str">
        <f>IF(VLOOKUP(UncLookup[[#This Row],[Item]],Items!$A$1:$F$43,2,FALSE)=0,"",VLOOKUP(UncLookup[[#This Row],[Item]],Items!$A$1:$F$43,2,FALSE))</f>
        <v/>
      </c>
      <c r="P1168" s="90" t="str">
        <f>IF(VLOOKUP(UncLookup[[#This Row],[Item]],Items!$A$1:$F$43,3,FALSE)=0,"",VLOOKUP(UncLookup[[#This Row],[Item]],Items!$A$1:$F$43,3,FALSE))</f>
        <v/>
      </c>
      <c r="Q1168" s="90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76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90" t="str">
        <f>IF(VLOOKUP(UncLookup[[#This Row],[Item]],Items!$A$1:$F$43,2,FALSE)=0,"",VLOOKUP(UncLookup[[#This Row],[Item]],Items!$A$1:$F$43,2,FALSE))</f>
        <v/>
      </c>
      <c r="P1169" s="90" t="str">
        <f>IF(VLOOKUP(UncLookup[[#This Row],[Item]],Items!$A$1:$F$43,3,FALSE)=0,"",VLOOKUP(UncLookup[[#This Row],[Item]],Items!$A$1:$F$43,3,FALSE))</f>
        <v/>
      </c>
      <c r="Q1169" s="90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5" t="s">
        <v>55</v>
      </c>
      <c r="B1170" s="75" t="s">
        <v>90</v>
      </c>
      <c r="C1170" s="75">
        <v>572</v>
      </c>
      <c r="D1170" s="75">
        <v>752.1</v>
      </c>
      <c r="E1170" s="75">
        <v>0.1</v>
      </c>
      <c r="F1170" s="75" t="s">
        <v>26</v>
      </c>
      <c r="G1170" s="75" t="s">
        <v>26</v>
      </c>
      <c r="H1170" s="75">
        <v>0</v>
      </c>
      <c r="I1170" s="75">
        <v>0</v>
      </c>
      <c r="J1170" s="75"/>
      <c r="K1170" s="75">
        <v>0.29342095699999998</v>
      </c>
      <c r="L1170" s="75">
        <v>0</v>
      </c>
      <c r="M1170" s="75">
        <v>0.27253643399999999</v>
      </c>
      <c r="N1170" s="75">
        <v>0</v>
      </c>
      <c r="O1170" s="90" t="str">
        <f>IF(VLOOKUP(UncLookup[[#This Row],[Item]],Items!$A$1:$F$43,2,FALSE)=0,"",VLOOKUP(UncLookup[[#This Row],[Item]],Items!$A$1:$F$43,2,FALSE))</f>
        <v/>
      </c>
      <c r="P1170" s="90" t="str">
        <f>IF(VLOOKUP(UncLookup[[#This Row],[Item]],Items!$A$1:$F$43,3,FALSE)=0,"",VLOOKUP(UncLookup[[#This Row],[Item]],Items!$A$1:$F$43,3,FALSE))</f>
        <v/>
      </c>
      <c r="Q1170" s="90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76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90" t="str">
        <f>IF(VLOOKUP(UncLookup[[#This Row],[Item]],Items!$A$1:$F$43,2,FALSE)=0,"",VLOOKUP(UncLookup[[#This Row],[Item]],Items!$A$1:$F$43,2,FALSE))</f>
        <v/>
      </c>
      <c r="P1171" s="90" t="str">
        <f>IF(VLOOKUP(UncLookup[[#This Row],[Item]],Items!$A$1:$F$43,3,FALSE)=0,"",VLOOKUP(UncLookup[[#This Row],[Item]],Items!$A$1:$F$43,3,FALSE))</f>
        <v/>
      </c>
      <c r="Q1171" s="90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5" t="s">
        <v>55</v>
      </c>
      <c r="B1172" s="75" t="s">
        <v>90</v>
      </c>
      <c r="C1172" s="75">
        <v>752</v>
      </c>
      <c r="D1172" s="75">
        <v>1112.0999999999999</v>
      </c>
      <c r="E1172" s="75">
        <v>0.1</v>
      </c>
      <c r="F1172" s="75" t="s">
        <v>26</v>
      </c>
      <c r="G1172" s="75" t="s">
        <v>26</v>
      </c>
      <c r="H1172" s="75">
        <v>0</v>
      </c>
      <c r="I1172" s="75">
        <v>0</v>
      </c>
      <c r="J1172" s="75"/>
      <c r="K1172" s="75">
        <v>0.29725496600000001</v>
      </c>
      <c r="L1172" s="75">
        <v>0</v>
      </c>
      <c r="M1172" s="75">
        <v>0.27666001600000001</v>
      </c>
      <c r="N1172" s="75">
        <v>0</v>
      </c>
      <c r="O1172" s="90" t="str">
        <f>IF(VLOOKUP(UncLookup[[#This Row],[Item]],Items!$A$1:$F$43,2,FALSE)=0,"",VLOOKUP(UncLookup[[#This Row],[Item]],Items!$A$1:$F$43,2,FALSE))</f>
        <v/>
      </c>
      <c r="P1172" s="90" t="str">
        <f>IF(VLOOKUP(UncLookup[[#This Row],[Item]],Items!$A$1:$F$43,3,FALSE)=0,"",VLOOKUP(UncLookup[[#This Row],[Item]],Items!$A$1:$F$43,3,FALSE))</f>
        <v/>
      </c>
      <c r="Q1172" s="90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76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90" t="str">
        <f>IF(VLOOKUP(UncLookup[[#This Row],[Item]],Items!$A$1:$F$43,2,FALSE)=0,"",VLOOKUP(UncLookup[[#This Row],[Item]],Items!$A$1:$F$43,2,FALSE))</f>
        <v/>
      </c>
      <c r="P1173" s="90" t="str">
        <f>IF(VLOOKUP(UncLookup[[#This Row],[Item]],Items!$A$1:$F$43,3,FALSE)=0,"",VLOOKUP(UncLookup[[#This Row],[Item]],Items!$A$1:$F$43,3,FALSE))</f>
        <v/>
      </c>
      <c r="Q1173" s="90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5" t="s">
        <v>55</v>
      </c>
      <c r="B1174" s="75" t="s">
        <v>90</v>
      </c>
      <c r="C1174" s="75">
        <v>1112</v>
      </c>
      <c r="D1174" s="75">
        <v>1166</v>
      </c>
      <c r="E1174" s="75">
        <v>0.1</v>
      </c>
      <c r="F1174" s="75" t="s">
        <v>26</v>
      </c>
      <c r="G1174" s="75" t="s">
        <v>26</v>
      </c>
      <c r="H1174" s="75">
        <v>0</v>
      </c>
      <c r="I1174" s="75">
        <v>0</v>
      </c>
      <c r="J1174" s="75"/>
      <c r="K1174" s="75">
        <v>0.84698905999999996</v>
      </c>
      <c r="L1174" s="75">
        <v>0</v>
      </c>
      <c r="M1174" s="75">
        <v>0.83998256900000001</v>
      </c>
      <c r="N1174" s="75">
        <v>0</v>
      </c>
      <c r="O1174" s="90" t="str">
        <f>IF(VLOOKUP(UncLookup[[#This Row],[Item]],Items!$A$1:$F$43,2,FALSE)=0,"",VLOOKUP(UncLookup[[#This Row],[Item]],Items!$A$1:$F$43,2,FALSE))</f>
        <v/>
      </c>
      <c r="P1174" s="90" t="str">
        <f>IF(VLOOKUP(UncLookup[[#This Row],[Item]],Items!$A$1:$F$43,3,FALSE)=0,"",VLOOKUP(UncLookup[[#This Row],[Item]],Items!$A$1:$F$43,3,FALSE))</f>
        <v/>
      </c>
      <c r="Q1174" s="90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76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90" t="str">
        <f>IF(VLOOKUP(UncLookup[[#This Row],[Item]],Items!$A$1:$F$43,2,FALSE)=0,"",VLOOKUP(UncLookup[[#This Row],[Item]],Items!$A$1:$F$43,2,FALSE))</f>
        <v/>
      </c>
      <c r="P1175" s="90" t="str">
        <f>IF(VLOOKUP(UncLookup[[#This Row],[Item]],Items!$A$1:$F$43,3,FALSE)=0,"",VLOOKUP(UncLookup[[#This Row],[Item]],Items!$A$1:$F$43,3,FALSE))</f>
        <v/>
      </c>
      <c r="Q1175" s="90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5" t="s">
        <v>55</v>
      </c>
      <c r="B1176" s="75" t="s">
        <v>90</v>
      </c>
      <c r="C1176" s="75">
        <v>1166</v>
      </c>
      <c r="D1176" s="75">
        <v>1166.0999999999999</v>
      </c>
      <c r="E1176" s="75">
        <v>0.1</v>
      </c>
      <c r="F1176" s="75" t="s">
        <v>26</v>
      </c>
      <c r="G1176" s="75" t="s">
        <v>26</v>
      </c>
      <c r="H1176" s="75">
        <v>0</v>
      </c>
      <c r="I1176" s="75">
        <v>0</v>
      </c>
      <c r="J1176" s="75"/>
      <c r="K1176" s="75">
        <v>0.84698905999999996</v>
      </c>
      <c r="L1176" s="75">
        <v>0</v>
      </c>
      <c r="M1176" s="75">
        <v>0.83998256900000001</v>
      </c>
      <c r="N1176" s="75">
        <v>0</v>
      </c>
      <c r="O1176" s="90" t="str">
        <f>IF(VLOOKUP(UncLookup[[#This Row],[Item]],Items!$A$1:$F$43,2,FALSE)=0,"",VLOOKUP(UncLookup[[#This Row],[Item]],Items!$A$1:$F$43,2,FALSE))</f>
        <v/>
      </c>
      <c r="P1176" s="90" t="str">
        <f>IF(VLOOKUP(UncLookup[[#This Row],[Item]],Items!$A$1:$F$43,3,FALSE)=0,"",VLOOKUP(UncLookup[[#This Row],[Item]],Items!$A$1:$F$43,3,FALSE))</f>
        <v/>
      </c>
      <c r="Q1176" s="90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76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90" t="str">
        <f>IF(VLOOKUP(UncLookup[[#This Row],[Item]],Items!$A$1:$F$43,2,FALSE)=0,"",VLOOKUP(UncLookup[[#This Row],[Item]],Items!$A$1:$F$43,2,FALSE))</f>
        <v/>
      </c>
      <c r="P1177" s="90" t="str">
        <f>IF(VLOOKUP(UncLookup[[#This Row],[Item]],Items!$A$1:$F$43,3,FALSE)=0,"",VLOOKUP(UncLookup[[#This Row],[Item]],Items!$A$1:$F$43,3,FALSE))</f>
        <v/>
      </c>
      <c r="Q1177" s="90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5" t="s">
        <v>55</v>
      </c>
      <c r="B1178" s="75" t="s">
        <v>89</v>
      </c>
      <c r="C1178" s="75">
        <v>-328</v>
      </c>
      <c r="D1178" s="75">
        <v>32.1</v>
      </c>
      <c r="E1178" s="75">
        <v>0.1</v>
      </c>
      <c r="F1178" s="75" t="s">
        <v>26</v>
      </c>
      <c r="G1178" s="75" t="s">
        <v>26</v>
      </c>
      <c r="H1178" s="75">
        <v>0</v>
      </c>
      <c r="I1178" s="75">
        <v>0</v>
      </c>
      <c r="J1178" s="75"/>
      <c r="K1178" s="75">
        <v>0.219284594</v>
      </c>
      <c r="L1178" s="75">
        <v>0</v>
      </c>
      <c r="M1178" s="75">
        <v>0.190436296</v>
      </c>
      <c r="N1178" s="75">
        <v>0</v>
      </c>
      <c r="O1178" s="90" t="str">
        <f>IF(VLOOKUP(UncLookup[[#This Row],[Item]],Items!$A$1:$F$43,2,FALSE)=0,"",VLOOKUP(UncLookup[[#This Row],[Item]],Items!$A$1:$F$43,2,FALSE))</f>
        <v/>
      </c>
      <c r="P1178" s="90" t="str">
        <f>IF(VLOOKUP(UncLookup[[#This Row],[Item]],Items!$A$1:$F$43,3,FALSE)=0,"",VLOOKUP(UncLookup[[#This Row],[Item]],Items!$A$1:$F$43,3,FALSE))</f>
        <v/>
      </c>
      <c r="Q1178" s="90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76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90" t="str">
        <f>IF(VLOOKUP(UncLookup[[#This Row],[Item]],Items!$A$1:$F$43,2,FALSE)=0,"",VLOOKUP(UncLookup[[#This Row],[Item]],Items!$A$1:$F$43,2,FALSE))</f>
        <v/>
      </c>
      <c r="P1179" s="90" t="str">
        <f>IF(VLOOKUP(UncLookup[[#This Row],[Item]],Items!$A$1:$F$43,3,FALSE)=0,"",VLOOKUP(UncLookup[[#This Row],[Item]],Items!$A$1:$F$43,3,FALSE))</f>
        <v/>
      </c>
      <c r="Q1179" s="90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5" t="s">
        <v>55</v>
      </c>
      <c r="B1180" s="75" t="s">
        <v>89</v>
      </c>
      <c r="C1180" s="75">
        <v>32</v>
      </c>
      <c r="D1180" s="75">
        <v>212.1</v>
      </c>
      <c r="E1180" s="75">
        <v>0.1</v>
      </c>
      <c r="F1180" s="75" t="s">
        <v>26</v>
      </c>
      <c r="G1180" s="75" t="s">
        <v>26</v>
      </c>
      <c r="H1180" s="75">
        <v>0</v>
      </c>
      <c r="I1180" s="75">
        <v>0</v>
      </c>
      <c r="J1180" s="75"/>
      <c r="K1180" s="75">
        <v>0.28536871200000002</v>
      </c>
      <c r="L1180" s="75">
        <v>0</v>
      </c>
      <c r="M1180" s="75">
        <v>0.26384759099999999</v>
      </c>
      <c r="N1180" s="75">
        <v>0</v>
      </c>
      <c r="O1180" s="90" t="str">
        <f>IF(VLOOKUP(UncLookup[[#This Row],[Item]],Items!$A$1:$F$43,2,FALSE)=0,"",VLOOKUP(UncLookup[[#This Row],[Item]],Items!$A$1:$F$43,2,FALSE))</f>
        <v/>
      </c>
      <c r="P1180" s="90" t="str">
        <f>IF(VLOOKUP(UncLookup[[#This Row],[Item]],Items!$A$1:$F$43,3,FALSE)=0,"",VLOOKUP(UncLookup[[#This Row],[Item]],Items!$A$1:$F$43,3,FALSE))</f>
        <v/>
      </c>
      <c r="Q1180" s="90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76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90" t="str">
        <f>IF(VLOOKUP(UncLookup[[#This Row],[Item]],Items!$A$1:$F$43,2,FALSE)=0,"",VLOOKUP(UncLookup[[#This Row],[Item]],Items!$A$1:$F$43,2,FALSE))</f>
        <v/>
      </c>
      <c r="P1181" s="90" t="str">
        <f>IF(VLOOKUP(UncLookup[[#This Row],[Item]],Items!$A$1:$F$43,3,FALSE)=0,"",VLOOKUP(UncLookup[[#This Row],[Item]],Items!$A$1:$F$43,3,FALSE))</f>
        <v/>
      </c>
      <c r="Q1181" s="90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5" t="s">
        <v>55</v>
      </c>
      <c r="B1182" s="75" t="s">
        <v>89</v>
      </c>
      <c r="C1182" s="75">
        <v>212</v>
      </c>
      <c r="D1182" s="75">
        <v>572.1</v>
      </c>
      <c r="E1182" s="75">
        <v>0.1</v>
      </c>
      <c r="F1182" s="75" t="s">
        <v>26</v>
      </c>
      <c r="G1182" s="75" t="s">
        <v>26</v>
      </c>
      <c r="H1182" s="75">
        <v>0</v>
      </c>
      <c r="I1182" s="75">
        <v>0</v>
      </c>
      <c r="J1182" s="75"/>
      <c r="K1182" s="75">
        <v>0.28536871200000002</v>
      </c>
      <c r="L1182" s="75">
        <v>0</v>
      </c>
      <c r="M1182" s="75">
        <v>0.26384759099999999</v>
      </c>
      <c r="N1182" s="75">
        <v>0</v>
      </c>
      <c r="O1182" s="90" t="str">
        <f>IF(VLOOKUP(UncLookup[[#This Row],[Item]],Items!$A$1:$F$43,2,FALSE)=0,"",VLOOKUP(UncLookup[[#This Row],[Item]],Items!$A$1:$F$43,2,FALSE))</f>
        <v/>
      </c>
      <c r="P1182" s="90" t="str">
        <f>IF(VLOOKUP(UncLookup[[#This Row],[Item]],Items!$A$1:$F$43,3,FALSE)=0,"",VLOOKUP(UncLookup[[#This Row],[Item]],Items!$A$1:$F$43,3,FALSE))</f>
        <v/>
      </c>
      <c r="Q1182" s="90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76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90" t="str">
        <f>IF(VLOOKUP(UncLookup[[#This Row],[Item]],Items!$A$1:$F$43,2,FALSE)=0,"",VLOOKUP(UncLookup[[#This Row],[Item]],Items!$A$1:$F$43,2,FALSE))</f>
        <v/>
      </c>
      <c r="P1183" s="90" t="str">
        <f>IF(VLOOKUP(UncLookup[[#This Row],[Item]],Items!$A$1:$F$43,3,FALSE)=0,"",VLOOKUP(UncLookup[[#This Row],[Item]],Items!$A$1:$F$43,3,FALSE))</f>
        <v/>
      </c>
      <c r="Q1183" s="90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5" t="s">
        <v>55</v>
      </c>
      <c r="B1184" s="75" t="s">
        <v>89</v>
      </c>
      <c r="C1184" s="75">
        <v>572</v>
      </c>
      <c r="D1184" s="75">
        <v>752.1</v>
      </c>
      <c r="E1184" s="75">
        <v>0.1</v>
      </c>
      <c r="F1184" s="75" t="s">
        <v>26</v>
      </c>
      <c r="G1184" s="75" t="s">
        <v>26</v>
      </c>
      <c r="H1184" s="75">
        <v>0</v>
      </c>
      <c r="I1184" s="75">
        <v>0</v>
      </c>
      <c r="J1184" s="75"/>
      <c r="K1184" s="75">
        <v>0.39011774900000001</v>
      </c>
      <c r="L1184" s="75">
        <v>0</v>
      </c>
      <c r="M1184" s="75">
        <v>0.37466265900000001</v>
      </c>
      <c r="N1184" s="75">
        <v>0</v>
      </c>
      <c r="O1184" s="90" t="str">
        <f>IF(VLOOKUP(UncLookup[[#This Row],[Item]],Items!$A$1:$F$43,2,FALSE)=0,"",VLOOKUP(UncLookup[[#This Row],[Item]],Items!$A$1:$F$43,2,FALSE))</f>
        <v/>
      </c>
      <c r="P1184" s="90" t="str">
        <f>IF(VLOOKUP(UncLookup[[#This Row],[Item]],Items!$A$1:$F$43,3,FALSE)=0,"",VLOOKUP(UncLookup[[#This Row],[Item]],Items!$A$1:$F$43,3,FALSE))</f>
        <v/>
      </c>
      <c r="Q1184" s="90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76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90" t="str">
        <f>IF(VLOOKUP(UncLookup[[#This Row],[Item]],Items!$A$1:$F$43,2,FALSE)=0,"",VLOOKUP(UncLookup[[#This Row],[Item]],Items!$A$1:$F$43,2,FALSE))</f>
        <v/>
      </c>
      <c r="P1185" s="90" t="str">
        <f>IF(VLOOKUP(UncLookup[[#This Row],[Item]],Items!$A$1:$F$43,3,FALSE)=0,"",VLOOKUP(UncLookup[[#This Row],[Item]],Items!$A$1:$F$43,3,FALSE))</f>
        <v/>
      </c>
      <c r="Q1185" s="90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5" t="s">
        <v>55</v>
      </c>
      <c r="B1186" s="75" t="s">
        <v>89</v>
      </c>
      <c r="C1186" s="75">
        <v>752</v>
      </c>
      <c r="D1186" s="75">
        <v>1166.0999999999999</v>
      </c>
      <c r="E1186" s="75">
        <v>0.1</v>
      </c>
      <c r="F1186" s="75" t="s">
        <v>26</v>
      </c>
      <c r="G1186" s="75" t="s">
        <v>26</v>
      </c>
      <c r="H1186" s="75">
        <v>0</v>
      </c>
      <c r="I1186" s="75">
        <v>0</v>
      </c>
      <c r="J1186" s="75"/>
      <c r="K1186" s="75">
        <v>0.45987010699999997</v>
      </c>
      <c r="L1186" s="75">
        <v>0</v>
      </c>
      <c r="M1186" s="75">
        <v>0.44683415799999998</v>
      </c>
      <c r="N1186" s="75">
        <v>0</v>
      </c>
      <c r="O1186" s="90" t="str">
        <f>IF(VLOOKUP(UncLookup[[#This Row],[Item]],Items!$A$1:$F$43,2,FALSE)=0,"",VLOOKUP(UncLookup[[#This Row],[Item]],Items!$A$1:$F$43,2,FALSE))</f>
        <v/>
      </c>
      <c r="P1186" s="90" t="str">
        <f>IF(VLOOKUP(UncLookup[[#This Row],[Item]],Items!$A$1:$F$43,3,FALSE)=0,"",VLOOKUP(UncLookup[[#This Row],[Item]],Items!$A$1:$F$43,3,FALSE))</f>
        <v/>
      </c>
      <c r="Q1186" s="90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76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90" t="str">
        <f>IF(VLOOKUP(UncLookup[[#This Row],[Item]],Items!$A$1:$F$43,2,FALSE)=0,"",VLOOKUP(UncLookup[[#This Row],[Item]],Items!$A$1:$F$43,2,FALSE))</f>
        <v/>
      </c>
      <c r="P1187" s="90" t="str">
        <f>IF(VLOOKUP(UncLookup[[#This Row],[Item]],Items!$A$1:$F$43,3,FALSE)=0,"",VLOOKUP(UncLookup[[#This Row],[Item]],Items!$A$1:$F$43,3,FALSE))</f>
        <v/>
      </c>
      <c r="Q1187" s="90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5" t="s">
        <v>55</v>
      </c>
      <c r="B1188" s="75" t="s">
        <v>89</v>
      </c>
      <c r="C1188" s="75">
        <v>1166</v>
      </c>
      <c r="D1188" s="75">
        <v>1472</v>
      </c>
      <c r="E1188" s="75">
        <v>0.1</v>
      </c>
      <c r="F1188" s="75" t="s">
        <v>26</v>
      </c>
      <c r="G1188" s="75" t="s">
        <v>26</v>
      </c>
      <c r="H1188" s="75">
        <v>0</v>
      </c>
      <c r="I1188" s="75">
        <v>0</v>
      </c>
      <c r="J1188" s="75"/>
      <c r="K1188" s="75">
        <v>0.77811255300000004</v>
      </c>
      <c r="L1188" s="75">
        <v>0</v>
      </c>
      <c r="M1188" s="75">
        <v>0.77047997700000004</v>
      </c>
      <c r="N1188" s="75">
        <v>0</v>
      </c>
      <c r="O1188" s="90" t="str">
        <f>IF(VLOOKUP(UncLookup[[#This Row],[Item]],Items!$A$1:$F$43,2,FALSE)=0,"",VLOOKUP(UncLookup[[#This Row],[Item]],Items!$A$1:$F$43,2,FALSE))</f>
        <v/>
      </c>
      <c r="P1188" s="90" t="str">
        <f>IF(VLOOKUP(UncLookup[[#This Row],[Item]],Items!$A$1:$F$43,3,FALSE)=0,"",VLOOKUP(UncLookup[[#This Row],[Item]],Items!$A$1:$F$43,3,FALSE))</f>
        <v/>
      </c>
      <c r="Q1188" s="90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76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90" t="str">
        <f>IF(VLOOKUP(UncLookup[[#This Row],[Item]],Items!$A$1:$F$43,2,FALSE)=0,"",VLOOKUP(UncLookup[[#This Row],[Item]],Items!$A$1:$F$43,2,FALSE))</f>
        <v/>
      </c>
      <c r="P1189" s="90" t="str">
        <f>IF(VLOOKUP(UncLookup[[#This Row],[Item]],Items!$A$1:$F$43,3,FALSE)=0,"",VLOOKUP(UncLookup[[#This Row],[Item]],Items!$A$1:$F$43,3,FALSE))</f>
        <v/>
      </c>
      <c r="Q1189" s="90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5" t="s">
        <v>55</v>
      </c>
      <c r="B1190" s="75" t="s">
        <v>89</v>
      </c>
      <c r="C1190" s="75">
        <v>1472</v>
      </c>
      <c r="D1190" s="75">
        <v>1472.1</v>
      </c>
      <c r="E1190" s="75">
        <v>0.1</v>
      </c>
      <c r="F1190" s="75" t="s">
        <v>26</v>
      </c>
      <c r="G1190" s="75" t="s">
        <v>26</v>
      </c>
      <c r="H1190" s="75">
        <v>0</v>
      </c>
      <c r="I1190" s="75">
        <v>0</v>
      </c>
      <c r="J1190" s="75"/>
      <c r="K1190" s="75">
        <v>0.77811255300000004</v>
      </c>
      <c r="L1190" s="75">
        <v>0</v>
      </c>
      <c r="M1190" s="75">
        <v>0.77047997700000004</v>
      </c>
      <c r="N1190" s="75">
        <v>0</v>
      </c>
      <c r="O1190" s="90" t="str">
        <f>IF(VLOOKUP(UncLookup[[#This Row],[Item]],Items!$A$1:$F$43,2,FALSE)=0,"",VLOOKUP(UncLookup[[#This Row],[Item]],Items!$A$1:$F$43,2,FALSE))</f>
        <v/>
      </c>
      <c r="P1190" s="90" t="str">
        <f>IF(VLOOKUP(UncLookup[[#This Row],[Item]],Items!$A$1:$F$43,3,FALSE)=0,"",VLOOKUP(UncLookup[[#This Row],[Item]],Items!$A$1:$F$43,3,FALSE))</f>
        <v/>
      </c>
      <c r="Q1190" s="90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76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90" t="str">
        <f>IF(VLOOKUP(UncLookup[[#This Row],[Item]],Items!$A$1:$F$43,2,FALSE)=0,"",VLOOKUP(UncLookup[[#This Row],[Item]],Items!$A$1:$F$43,2,FALSE))</f>
        <v/>
      </c>
      <c r="P1191" s="90" t="str">
        <f>IF(VLOOKUP(UncLookup[[#This Row],[Item]],Items!$A$1:$F$43,3,FALSE)=0,"",VLOOKUP(UncLookup[[#This Row],[Item]],Items!$A$1:$F$43,3,FALSE))</f>
        <v/>
      </c>
      <c r="Q1191" s="90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5" t="s">
        <v>55</v>
      </c>
      <c r="B1192" s="75" t="s">
        <v>85</v>
      </c>
      <c r="C1192" s="75">
        <v>-328</v>
      </c>
      <c r="D1192" s="75">
        <v>-147.9</v>
      </c>
      <c r="E1192" s="75">
        <v>0.1</v>
      </c>
      <c r="F1192" s="75" t="s">
        <v>26</v>
      </c>
      <c r="G1192" s="75" t="s">
        <v>26</v>
      </c>
      <c r="H1192" s="75">
        <v>0</v>
      </c>
      <c r="I1192" s="75">
        <v>0</v>
      </c>
      <c r="J1192" s="75"/>
      <c r="K1192" s="75">
        <v>0.84492191400000005</v>
      </c>
      <c r="L1192" s="75">
        <v>0</v>
      </c>
      <c r="M1192" s="75">
        <v>0.83553406799999996</v>
      </c>
      <c r="N1192" s="75">
        <v>0</v>
      </c>
      <c r="O1192" s="90" t="str">
        <f>IF(VLOOKUP(UncLookup[[#This Row],[Item]],Items!$A$1:$F$43,2,FALSE)=0,"",VLOOKUP(UncLookup[[#This Row],[Item]],Items!$A$1:$F$43,2,FALSE))</f>
        <v/>
      </c>
      <c r="P1192" s="90" t="str">
        <f>IF(VLOOKUP(UncLookup[[#This Row],[Item]],Items!$A$1:$F$43,3,FALSE)=0,"",VLOOKUP(UncLookup[[#This Row],[Item]],Items!$A$1:$F$43,3,FALSE))</f>
        <v/>
      </c>
      <c r="Q1192" s="90" t="str">
        <f>IF(VLOOKUP(UncLookup[[#This Row],[Item]],Items!$A$1:$F$43,4,FALSE)=0,"",VLOOKUP(UncLookup[[#This Row],[Item]],Items!$A$1:$F$43,4,FALSE))</f>
        <v>N</v>
      </c>
    </row>
    <row r="1193" spans="1:17" x14ac:dyDescent="0.25">
      <c r="A1193" s="76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90" t="str">
        <f>IF(VLOOKUP(UncLookup[[#This Row],[Item]],Items!$A$1:$F$43,2,FALSE)=0,"",VLOOKUP(UncLookup[[#This Row],[Item]],Items!$A$1:$F$43,2,FALSE))</f>
        <v/>
      </c>
      <c r="P1193" s="90" t="str">
        <f>IF(VLOOKUP(UncLookup[[#This Row],[Item]],Items!$A$1:$F$43,3,FALSE)=0,"",VLOOKUP(UncLookup[[#This Row],[Item]],Items!$A$1:$F$43,3,FALSE))</f>
        <v/>
      </c>
      <c r="Q1193" s="90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5" t="s">
        <v>55</v>
      </c>
      <c r="B1194" s="75" t="s">
        <v>85</v>
      </c>
      <c r="C1194" s="75">
        <v>-148</v>
      </c>
      <c r="D1194" s="75">
        <v>-12.9</v>
      </c>
      <c r="E1194" s="75">
        <v>0.1</v>
      </c>
      <c r="F1194" s="75" t="s">
        <v>26</v>
      </c>
      <c r="G1194" s="75" t="s">
        <v>26</v>
      </c>
      <c r="H1194" s="75">
        <v>0</v>
      </c>
      <c r="I1194" s="75">
        <v>0</v>
      </c>
      <c r="J1194" s="75"/>
      <c r="K1194" s="75">
        <v>0.47673872299999998</v>
      </c>
      <c r="L1194" s="75">
        <v>0</v>
      </c>
      <c r="M1194" s="75">
        <v>0.46495666299999999</v>
      </c>
      <c r="N1194" s="75">
        <v>0</v>
      </c>
      <c r="O1194" s="90" t="str">
        <f>IF(VLOOKUP(UncLookup[[#This Row],[Item]],Items!$A$1:$F$43,2,FALSE)=0,"",VLOOKUP(UncLookup[[#This Row],[Item]],Items!$A$1:$F$43,2,FALSE))</f>
        <v/>
      </c>
      <c r="P1194" s="90" t="str">
        <f>IF(VLOOKUP(UncLookup[[#This Row],[Item]],Items!$A$1:$F$43,3,FALSE)=0,"",VLOOKUP(UncLookup[[#This Row],[Item]],Items!$A$1:$F$43,3,FALSE))</f>
        <v/>
      </c>
      <c r="Q1194" s="90" t="str">
        <f>IF(VLOOKUP(UncLookup[[#This Row],[Item]],Items!$A$1:$F$43,4,FALSE)=0,"",VLOOKUP(UncLookup[[#This Row],[Item]],Items!$A$1:$F$43,4,FALSE))</f>
        <v>N</v>
      </c>
    </row>
    <row r="1195" spans="1:17" x14ac:dyDescent="0.25">
      <c r="A1195" s="76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90" t="str">
        <f>IF(VLOOKUP(UncLookup[[#This Row],[Item]],Items!$A$1:$F$43,2,FALSE)=0,"",VLOOKUP(UncLookup[[#This Row],[Item]],Items!$A$1:$F$43,2,FALSE))</f>
        <v/>
      </c>
      <c r="P1195" s="90" t="str">
        <f>IF(VLOOKUP(UncLookup[[#This Row],[Item]],Items!$A$1:$F$43,3,FALSE)=0,"",VLOOKUP(UncLookup[[#This Row],[Item]],Items!$A$1:$F$43,3,FALSE))</f>
        <v/>
      </c>
      <c r="Q1195" s="90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5" t="s">
        <v>55</v>
      </c>
      <c r="B1196" s="75" t="s">
        <v>85</v>
      </c>
      <c r="C1196" s="75">
        <v>-13</v>
      </c>
      <c r="D1196" s="75">
        <v>248.1</v>
      </c>
      <c r="E1196" s="75">
        <v>0.1</v>
      </c>
      <c r="F1196" s="75" t="s">
        <v>26</v>
      </c>
      <c r="G1196" s="75" t="s">
        <v>26</v>
      </c>
      <c r="H1196" s="75">
        <v>0</v>
      </c>
      <c r="I1196" s="75">
        <v>0</v>
      </c>
      <c r="J1196" s="75"/>
      <c r="K1196" s="75">
        <v>0.41715274200000002</v>
      </c>
      <c r="L1196" s="75">
        <v>0</v>
      </c>
      <c r="M1196" s="75">
        <v>0.40363510699999999</v>
      </c>
      <c r="N1196" s="75">
        <v>0</v>
      </c>
      <c r="O1196" s="90" t="str">
        <f>IF(VLOOKUP(UncLookup[[#This Row],[Item]],Items!$A$1:$F$43,2,FALSE)=0,"",VLOOKUP(UncLookup[[#This Row],[Item]],Items!$A$1:$F$43,2,FALSE))</f>
        <v/>
      </c>
      <c r="P1196" s="90" t="str">
        <f>IF(VLOOKUP(UncLookup[[#This Row],[Item]],Items!$A$1:$F$43,3,FALSE)=0,"",VLOOKUP(UncLookup[[#This Row],[Item]],Items!$A$1:$F$43,3,FALSE))</f>
        <v/>
      </c>
      <c r="Q1196" s="90" t="str">
        <f>IF(VLOOKUP(UncLookup[[#This Row],[Item]],Items!$A$1:$F$43,4,FALSE)=0,"",VLOOKUP(UncLookup[[#This Row],[Item]],Items!$A$1:$F$43,4,FALSE))</f>
        <v>N</v>
      </c>
    </row>
    <row r="1197" spans="1:17" x14ac:dyDescent="0.25">
      <c r="A1197" s="76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90" t="str">
        <f>IF(VLOOKUP(UncLookup[[#This Row],[Item]],Items!$A$1:$F$43,2,FALSE)=0,"",VLOOKUP(UncLookup[[#This Row],[Item]],Items!$A$1:$F$43,2,FALSE))</f>
        <v/>
      </c>
      <c r="P1197" s="90" t="str">
        <f>IF(VLOOKUP(UncLookup[[#This Row],[Item]],Items!$A$1:$F$43,3,FALSE)=0,"",VLOOKUP(UncLookup[[#This Row],[Item]],Items!$A$1:$F$43,3,FALSE))</f>
        <v/>
      </c>
      <c r="Q1197" s="90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5" t="s">
        <v>55</v>
      </c>
      <c r="B1198" s="75" t="s">
        <v>85</v>
      </c>
      <c r="C1198" s="75">
        <v>248</v>
      </c>
      <c r="D1198" s="75">
        <v>770.1</v>
      </c>
      <c r="E1198" s="75">
        <v>0.1</v>
      </c>
      <c r="F1198" s="75" t="s">
        <v>26</v>
      </c>
      <c r="G1198" s="75" t="s">
        <v>26</v>
      </c>
      <c r="H1198" s="75">
        <v>0</v>
      </c>
      <c r="I1198" s="75">
        <v>0</v>
      </c>
      <c r="J1198" s="75"/>
      <c r="K1198" s="75">
        <v>0.391502774</v>
      </c>
      <c r="L1198" s="75">
        <v>0</v>
      </c>
      <c r="M1198" s="75">
        <v>0.38322325200000001</v>
      </c>
      <c r="N1198" s="75">
        <v>0</v>
      </c>
      <c r="O1198" s="90" t="str">
        <f>IF(VLOOKUP(UncLookup[[#This Row],[Item]],Items!$A$1:$F$43,2,FALSE)=0,"",VLOOKUP(UncLookup[[#This Row],[Item]],Items!$A$1:$F$43,2,FALSE))</f>
        <v/>
      </c>
      <c r="P1198" s="90" t="str">
        <f>IF(VLOOKUP(UncLookup[[#This Row],[Item]],Items!$A$1:$F$43,3,FALSE)=0,"",VLOOKUP(UncLookup[[#This Row],[Item]],Items!$A$1:$F$43,3,FALSE))</f>
        <v/>
      </c>
      <c r="Q1198" s="90" t="str">
        <f>IF(VLOOKUP(UncLookup[[#This Row],[Item]],Items!$A$1:$F$43,4,FALSE)=0,"",VLOOKUP(UncLookup[[#This Row],[Item]],Items!$A$1:$F$43,4,FALSE))</f>
        <v>N</v>
      </c>
    </row>
    <row r="1199" spans="1:17" x14ac:dyDescent="0.25">
      <c r="A1199" s="76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90" t="str">
        <f>IF(VLOOKUP(UncLookup[[#This Row],[Item]],Items!$A$1:$F$43,2,FALSE)=0,"",VLOOKUP(UncLookup[[#This Row],[Item]],Items!$A$1:$F$43,2,FALSE))</f>
        <v/>
      </c>
      <c r="P1199" s="90" t="str">
        <f>IF(VLOOKUP(UncLookup[[#This Row],[Item]],Items!$A$1:$F$43,3,FALSE)=0,"",VLOOKUP(UncLookup[[#This Row],[Item]],Items!$A$1:$F$43,3,FALSE))</f>
        <v/>
      </c>
      <c r="Q1199" s="90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5" t="s">
        <v>55</v>
      </c>
      <c r="B1200" s="75" t="s">
        <v>85</v>
      </c>
      <c r="C1200" s="75">
        <v>770</v>
      </c>
      <c r="D1200" s="75">
        <v>2372</v>
      </c>
      <c r="E1200" s="75">
        <v>0.1</v>
      </c>
      <c r="F1200" s="75" t="s">
        <v>26</v>
      </c>
      <c r="G1200" s="75" t="s">
        <v>26</v>
      </c>
      <c r="H1200" s="75">
        <v>0</v>
      </c>
      <c r="I1200" s="75">
        <v>0</v>
      </c>
      <c r="J1200" s="75"/>
      <c r="K1200" s="75">
        <v>0.57284718899999998</v>
      </c>
      <c r="L1200" s="75">
        <v>0</v>
      </c>
      <c r="M1200" s="75">
        <v>0.567220893</v>
      </c>
      <c r="N1200" s="75">
        <v>0</v>
      </c>
      <c r="O1200" s="90" t="str">
        <f>IF(VLOOKUP(UncLookup[[#This Row],[Item]],Items!$A$1:$F$43,2,FALSE)=0,"",VLOOKUP(UncLookup[[#This Row],[Item]],Items!$A$1:$F$43,2,FALSE))</f>
        <v/>
      </c>
      <c r="P1200" s="90" t="str">
        <f>IF(VLOOKUP(UncLookup[[#This Row],[Item]],Items!$A$1:$F$43,3,FALSE)=0,"",VLOOKUP(UncLookup[[#This Row],[Item]],Items!$A$1:$F$43,3,FALSE))</f>
        <v/>
      </c>
      <c r="Q1200" s="90" t="str">
        <f>IF(VLOOKUP(UncLookup[[#This Row],[Item]],Items!$A$1:$F$43,4,FALSE)=0,"",VLOOKUP(UncLookup[[#This Row],[Item]],Items!$A$1:$F$43,4,FALSE))</f>
        <v>N</v>
      </c>
    </row>
    <row r="1201" spans="1:17" x14ac:dyDescent="0.25">
      <c r="A1201" s="76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90" t="str">
        <f>IF(VLOOKUP(UncLookup[[#This Row],[Item]],Items!$A$1:$F$43,2,FALSE)=0,"",VLOOKUP(UncLookup[[#This Row],[Item]],Items!$A$1:$F$43,2,FALSE))</f>
        <v/>
      </c>
      <c r="P1201" s="90" t="str">
        <f>IF(VLOOKUP(UncLookup[[#This Row],[Item]],Items!$A$1:$F$43,3,FALSE)=0,"",VLOOKUP(UncLookup[[#This Row],[Item]],Items!$A$1:$F$43,3,FALSE))</f>
        <v/>
      </c>
      <c r="Q1201" s="90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5" t="s">
        <v>55</v>
      </c>
      <c r="B1202" s="75" t="s">
        <v>85</v>
      </c>
      <c r="C1202" s="75">
        <v>2372</v>
      </c>
      <c r="D1202" s="75">
        <v>2372.1</v>
      </c>
      <c r="E1202" s="75">
        <v>0.1</v>
      </c>
      <c r="F1202" s="75" t="s">
        <v>26</v>
      </c>
      <c r="G1202" s="75" t="s">
        <v>26</v>
      </c>
      <c r="H1202" s="75">
        <v>0</v>
      </c>
      <c r="I1202" s="75">
        <v>0</v>
      </c>
      <c r="J1202" s="75"/>
      <c r="K1202" s="75">
        <v>0.57284718899999998</v>
      </c>
      <c r="L1202" s="75">
        <v>0</v>
      </c>
      <c r="M1202" s="75">
        <v>0.567220893</v>
      </c>
      <c r="N1202" s="75">
        <v>0</v>
      </c>
      <c r="O1202" s="90" t="str">
        <f>IF(VLOOKUP(UncLookup[[#This Row],[Item]],Items!$A$1:$F$43,2,FALSE)=0,"",VLOOKUP(UncLookup[[#This Row],[Item]],Items!$A$1:$F$43,2,FALSE))</f>
        <v/>
      </c>
      <c r="P1202" s="90" t="str">
        <f>IF(VLOOKUP(UncLookup[[#This Row],[Item]],Items!$A$1:$F$43,3,FALSE)=0,"",VLOOKUP(UncLookup[[#This Row],[Item]],Items!$A$1:$F$43,3,FALSE))</f>
        <v/>
      </c>
      <c r="Q1202" s="90" t="str">
        <f>IF(VLOOKUP(UncLookup[[#This Row],[Item]],Items!$A$1:$F$43,4,FALSE)=0,"",VLOOKUP(UncLookup[[#This Row],[Item]],Items!$A$1:$F$43,4,FALSE))</f>
        <v>N</v>
      </c>
    </row>
    <row r="1203" spans="1:17" x14ac:dyDescent="0.25">
      <c r="A1203" s="76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90" t="str">
        <f>IF(VLOOKUP(UncLookup[[#This Row],[Item]],Items!$A$1:$F$43,2,FALSE)=0,"",VLOOKUP(UncLookup[[#This Row],[Item]],Items!$A$1:$F$43,2,FALSE))</f>
        <v/>
      </c>
      <c r="P1203" s="90" t="str">
        <f>IF(VLOOKUP(UncLookup[[#This Row],[Item]],Items!$A$1:$F$43,3,FALSE)=0,"",VLOOKUP(UncLookup[[#This Row],[Item]],Items!$A$1:$F$43,3,FALSE))</f>
        <v/>
      </c>
      <c r="Q1203" s="90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5" t="s">
        <v>55</v>
      </c>
      <c r="B1204" s="75" t="s">
        <v>84</v>
      </c>
      <c r="C1204" s="75">
        <v>-328</v>
      </c>
      <c r="D1204" s="75">
        <v>-147.9</v>
      </c>
      <c r="E1204" s="75">
        <v>0.1</v>
      </c>
      <c r="F1204" s="75" t="s">
        <v>26</v>
      </c>
      <c r="G1204" s="75" t="s">
        <v>26</v>
      </c>
      <c r="H1204" s="75">
        <v>0</v>
      </c>
      <c r="I1204" s="75">
        <v>0</v>
      </c>
      <c r="J1204" s="75"/>
      <c r="K1204" s="75">
        <v>0.70185549000000003</v>
      </c>
      <c r="L1204" s="75">
        <v>0</v>
      </c>
      <c r="M1204" s="75">
        <v>0.69127811699999997</v>
      </c>
      <c r="N1204" s="75">
        <v>0</v>
      </c>
      <c r="O1204" s="90" t="str">
        <f>IF(VLOOKUP(UncLookup[[#This Row],[Item]],Items!$A$1:$F$43,2,FALSE)=0,"",VLOOKUP(UncLookup[[#This Row],[Item]],Items!$A$1:$F$43,2,FALSE))</f>
        <v/>
      </c>
      <c r="P1204" s="90" t="str">
        <f>IF(VLOOKUP(UncLookup[[#This Row],[Item]],Items!$A$1:$F$43,3,FALSE)=0,"",VLOOKUP(UncLookup[[#This Row],[Item]],Items!$A$1:$F$43,3,FALSE))</f>
        <v/>
      </c>
      <c r="Q1204" s="90" t="str">
        <f>IF(VLOOKUP(UncLookup[[#This Row],[Item]],Items!$A$1:$F$43,4,FALSE)=0,"",VLOOKUP(UncLookup[[#This Row],[Item]],Items!$A$1:$F$43,4,FALSE))</f>
        <v>K</v>
      </c>
    </row>
    <row r="1205" spans="1:17" x14ac:dyDescent="0.25">
      <c r="A1205" s="76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90" t="str">
        <f>IF(VLOOKUP(UncLookup[[#This Row],[Item]],Items!$A$1:$F$43,2,FALSE)=0,"",VLOOKUP(UncLookup[[#This Row],[Item]],Items!$A$1:$F$43,2,FALSE))</f>
        <v/>
      </c>
      <c r="P1205" s="90" t="str">
        <f>IF(VLOOKUP(UncLookup[[#This Row],[Item]],Items!$A$1:$F$43,3,FALSE)=0,"",VLOOKUP(UncLookup[[#This Row],[Item]],Items!$A$1:$F$43,3,FALSE))</f>
        <v/>
      </c>
      <c r="Q1205" s="90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5" t="s">
        <v>55</v>
      </c>
      <c r="B1206" s="75" t="s">
        <v>84</v>
      </c>
      <c r="C1206" s="75">
        <v>-148</v>
      </c>
      <c r="D1206" s="75">
        <v>-12.9</v>
      </c>
      <c r="E1206" s="75">
        <v>0.1</v>
      </c>
      <c r="F1206" s="75" t="s">
        <v>26</v>
      </c>
      <c r="G1206" s="75" t="s">
        <v>26</v>
      </c>
      <c r="H1206" s="75">
        <v>0</v>
      </c>
      <c r="I1206" s="75">
        <v>0</v>
      </c>
      <c r="J1206" s="75"/>
      <c r="K1206" s="75">
        <v>0.40197575899999999</v>
      </c>
      <c r="L1206" s="75">
        <v>0</v>
      </c>
      <c r="M1206" s="75">
        <v>0.38320858099999999</v>
      </c>
      <c r="N1206" s="75">
        <v>0</v>
      </c>
      <c r="O1206" s="90" t="str">
        <f>IF(VLOOKUP(UncLookup[[#This Row],[Item]],Items!$A$1:$F$43,2,FALSE)=0,"",VLOOKUP(UncLookup[[#This Row],[Item]],Items!$A$1:$F$43,2,FALSE))</f>
        <v/>
      </c>
      <c r="P1206" s="90" t="str">
        <f>IF(VLOOKUP(UncLookup[[#This Row],[Item]],Items!$A$1:$F$43,3,FALSE)=0,"",VLOOKUP(UncLookup[[#This Row],[Item]],Items!$A$1:$F$43,3,FALSE))</f>
        <v/>
      </c>
      <c r="Q1206" s="90" t="str">
        <f>IF(VLOOKUP(UncLookup[[#This Row],[Item]],Items!$A$1:$F$43,4,FALSE)=0,"",VLOOKUP(UncLookup[[#This Row],[Item]],Items!$A$1:$F$43,4,FALSE))</f>
        <v>K</v>
      </c>
    </row>
    <row r="1207" spans="1:17" x14ac:dyDescent="0.25">
      <c r="A1207" s="76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90" t="str">
        <f>IF(VLOOKUP(UncLookup[[#This Row],[Item]],Items!$A$1:$F$43,2,FALSE)=0,"",VLOOKUP(UncLookup[[#This Row],[Item]],Items!$A$1:$F$43,2,FALSE))</f>
        <v/>
      </c>
      <c r="P1207" s="90" t="str">
        <f>IF(VLOOKUP(UncLookup[[#This Row],[Item]],Items!$A$1:$F$43,3,FALSE)=0,"",VLOOKUP(UncLookup[[#This Row],[Item]],Items!$A$1:$F$43,3,FALSE))</f>
        <v/>
      </c>
      <c r="Q1207" s="90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5" t="s">
        <v>55</v>
      </c>
      <c r="B1208" s="75" t="s">
        <v>84</v>
      </c>
      <c r="C1208" s="75">
        <v>-13</v>
      </c>
      <c r="D1208" s="75">
        <v>248.1</v>
      </c>
      <c r="E1208" s="75">
        <v>0.1</v>
      </c>
      <c r="F1208" s="75" t="s">
        <v>26</v>
      </c>
      <c r="G1208" s="75" t="s">
        <v>26</v>
      </c>
      <c r="H1208" s="75">
        <v>0</v>
      </c>
      <c r="I1208" s="75">
        <v>0</v>
      </c>
      <c r="J1208" s="75"/>
      <c r="K1208" s="75">
        <v>0.35702451000000002</v>
      </c>
      <c r="L1208" s="75">
        <v>0</v>
      </c>
      <c r="M1208" s="75">
        <v>0.34265369699999998</v>
      </c>
      <c r="N1208" s="75">
        <v>0</v>
      </c>
      <c r="O1208" s="90" t="str">
        <f>IF(VLOOKUP(UncLookup[[#This Row],[Item]],Items!$A$1:$F$43,2,FALSE)=0,"",VLOOKUP(UncLookup[[#This Row],[Item]],Items!$A$1:$F$43,2,FALSE))</f>
        <v/>
      </c>
      <c r="P1208" s="90" t="str">
        <f>IF(VLOOKUP(UncLookup[[#This Row],[Item]],Items!$A$1:$F$43,3,FALSE)=0,"",VLOOKUP(UncLookup[[#This Row],[Item]],Items!$A$1:$F$43,3,FALSE))</f>
        <v/>
      </c>
      <c r="Q1208" s="90" t="str">
        <f>IF(VLOOKUP(UncLookup[[#This Row],[Item]],Items!$A$1:$F$43,4,FALSE)=0,"",VLOOKUP(UncLookup[[#This Row],[Item]],Items!$A$1:$F$43,4,FALSE))</f>
        <v>K</v>
      </c>
    </row>
    <row r="1209" spans="1:17" x14ac:dyDescent="0.25">
      <c r="A1209" s="76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90" t="str">
        <f>IF(VLOOKUP(UncLookup[[#This Row],[Item]],Items!$A$1:$F$43,2,FALSE)=0,"",VLOOKUP(UncLookup[[#This Row],[Item]],Items!$A$1:$F$43,2,FALSE))</f>
        <v/>
      </c>
      <c r="P1209" s="90" t="str">
        <f>IF(VLOOKUP(UncLookup[[#This Row],[Item]],Items!$A$1:$F$43,3,FALSE)=0,"",VLOOKUP(UncLookup[[#This Row],[Item]],Items!$A$1:$F$43,3,FALSE))</f>
        <v/>
      </c>
      <c r="Q1209" s="90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5" t="s">
        <v>55</v>
      </c>
      <c r="B1210" s="75" t="s">
        <v>84</v>
      </c>
      <c r="C1210" s="75">
        <v>248</v>
      </c>
      <c r="D1210" s="75">
        <v>1832.1</v>
      </c>
      <c r="E1210" s="75">
        <v>0.1</v>
      </c>
      <c r="F1210" s="75" t="s">
        <v>26</v>
      </c>
      <c r="G1210" s="75" t="s">
        <v>26</v>
      </c>
      <c r="H1210" s="75">
        <v>0</v>
      </c>
      <c r="I1210" s="75">
        <v>0</v>
      </c>
      <c r="J1210" s="75"/>
      <c r="K1210" s="75">
        <v>0.55154780400000003</v>
      </c>
      <c r="L1210" s="75">
        <v>0</v>
      </c>
      <c r="M1210" s="75">
        <v>0.54665417400000005</v>
      </c>
      <c r="N1210" s="75">
        <v>0</v>
      </c>
      <c r="O1210" s="90" t="str">
        <f>IF(VLOOKUP(UncLookup[[#This Row],[Item]],Items!$A$1:$F$43,2,FALSE)=0,"",VLOOKUP(UncLookup[[#This Row],[Item]],Items!$A$1:$F$43,2,FALSE))</f>
        <v/>
      </c>
      <c r="P1210" s="90" t="str">
        <f>IF(VLOOKUP(UncLookup[[#This Row],[Item]],Items!$A$1:$F$43,3,FALSE)=0,"",VLOOKUP(UncLookup[[#This Row],[Item]],Items!$A$1:$F$43,3,FALSE))</f>
        <v/>
      </c>
      <c r="Q1210" s="90" t="str">
        <f>IF(VLOOKUP(UncLookup[[#This Row],[Item]],Items!$A$1:$F$43,4,FALSE)=0,"",VLOOKUP(UncLookup[[#This Row],[Item]],Items!$A$1:$F$43,4,FALSE))</f>
        <v>K</v>
      </c>
    </row>
    <row r="1211" spans="1:17" x14ac:dyDescent="0.25">
      <c r="A1211" s="76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90" t="str">
        <f>IF(VLOOKUP(UncLookup[[#This Row],[Item]],Items!$A$1:$F$43,2,FALSE)=0,"",VLOOKUP(UncLookup[[#This Row],[Item]],Items!$A$1:$F$43,2,FALSE))</f>
        <v/>
      </c>
      <c r="P1211" s="90" t="str">
        <f>IF(VLOOKUP(UncLookup[[#This Row],[Item]],Items!$A$1:$F$43,3,FALSE)=0,"",VLOOKUP(UncLookup[[#This Row],[Item]],Items!$A$1:$F$43,3,FALSE))</f>
        <v/>
      </c>
      <c r="Q1211" s="90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5" t="s">
        <v>55</v>
      </c>
      <c r="B1212" s="75" t="s">
        <v>84</v>
      </c>
      <c r="C1212" s="75">
        <v>1832</v>
      </c>
      <c r="D1212" s="75">
        <v>2500</v>
      </c>
      <c r="E1212" s="75">
        <v>0.1</v>
      </c>
      <c r="F1212" s="75" t="s">
        <v>26</v>
      </c>
      <c r="G1212" s="75" t="s">
        <v>26</v>
      </c>
      <c r="H1212" s="75">
        <v>0</v>
      </c>
      <c r="I1212" s="75">
        <v>0</v>
      </c>
      <c r="J1212" s="75"/>
      <c r="K1212" s="75">
        <v>0.83992544099999999</v>
      </c>
      <c r="L1212" s="75">
        <v>0</v>
      </c>
      <c r="M1212" s="75">
        <v>0.835476043</v>
      </c>
      <c r="N1212" s="75">
        <v>0</v>
      </c>
      <c r="O1212" s="90" t="str">
        <f>IF(VLOOKUP(UncLookup[[#This Row],[Item]],Items!$A$1:$F$43,2,FALSE)=0,"",VLOOKUP(UncLookup[[#This Row],[Item]],Items!$A$1:$F$43,2,FALSE))</f>
        <v/>
      </c>
      <c r="P1212" s="90" t="str">
        <f>IF(VLOOKUP(UncLookup[[#This Row],[Item]],Items!$A$1:$F$43,3,FALSE)=0,"",VLOOKUP(UncLookup[[#This Row],[Item]],Items!$A$1:$F$43,3,FALSE))</f>
        <v/>
      </c>
      <c r="Q1212" s="90" t="str">
        <f>IF(VLOOKUP(UncLookup[[#This Row],[Item]],Items!$A$1:$F$43,4,FALSE)=0,"",VLOOKUP(UncLookup[[#This Row],[Item]],Items!$A$1:$F$43,4,FALSE))</f>
        <v>K</v>
      </c>
    </row>
    <row r="1213" spans="1:17" x14ac:dyDescent="0.25">
      <c r="A1213" s="76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90" t="str">
        <f>IF(VLOOKUP(UncLookup[[#This Row],[Item]],Items!$A$1:$F$43,2,FALSE)=0,"",VLOOKUP(UncLookup[[#This Row],[Item]],Items!$A$1:$F$43,2,FALSE))</f>
        <v/>
      </c>
      <c r="P1213" s="90" t="str">
        <f>IF(VLOOKUP(UncLookup[[#This Row],[Item]],Items!$A$1:$F$43,3,FALSE)=0,"",VLOOKUP(UncLookup[[#This Row],[Item]],Items!$A$1:$F$43,3,FALSE))</f>
        <v/>
      </c>
      <c r="Q1213" s="90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5" t="s">
        <v>55</v>
      </c>
      <c r="B1214" s="75" t="s">
        <v>84</v>
      </c>
      <c r="C1214" s="75">
        <v>2500</v>
      </c>
      <c r="D1214" s="75">
        <v>2500.1</v>
      </c>
      <c r="E1214" s="75">
        <v>0.1</v>
      </c>
      <c r="F1214" s="75" t="s">
        <v>26</v>
      </c>
      <c r="G1214" s="75" t="s">
        <v>26</v>
      </c>
      <c r="H1214" s="75">
        <v>0</v>
      </c>
      <c r="I1214" s="75">
        <v>0</v>
      </c>
      <c r="J1214" s="75"/>
      <c r="K1214" s="75">
        <v>0.83992544099999999</v>
      </c>
      <c r="L1214" s="75">
        <v>0</v>
      </c>
      <c r="M1214" s="75">
        <v>0.835476043</v>
      </c>
      <c r="N1214" s="75">
        <v>0</v>
      </c>
      <c r="O1214" s="90" t="str">
        <f>IF(VLOOKUP(UncLookup[[#This Row],[Item]],Items!$A$1:$F$43,2,FALSE)=0,"",VLOOKUP(UncLookup[[#This Row],[Item]],Items!$A$1:$F$43,2,FALSE))</f>
        <v/>
      </c>
      <c r="P1214" s="90" t="str">
        <f>IF(VLOOKUP(UncLookup[[#This Row],[Item]],Items!$A$1:$F$43,3,FALSE)=0,"",VLOOKUP(UncLookup[[#This Row],[Item]],Items!$A$1:$F$43,3,FALSE))</f>
        <v/>
      </c>
      <c r="Q1214" s="90" t="str">
        <f>IF(VLOOKUP(UncLookup[[#This Row],[Item]],Items!$A$1:$F$43,4,FALSE)=0,"",VLOOKUP(UncLookup[[#This Row],[Item]],Items!$A$1:$F$43,4,FALSE))</f>
        <v>K</v>
      </c>
    </row>
    <row r="1215" spans="1:17" x14ac:dyDescent="0.25">
      <c r="A1215" s="76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90" t="str">
        <f>IF(VLOOKUP(UncLookup[[#This Row],[Item]],Items!$A$1:$F$43,2,FALSE)=0,"",VLOOKUP(UncLookup[[#This Row],[Item]],Items!$A$1:$F$43,2,FALSE))</f>
        <v/>
      </c>
      <c r="P1215" s="90" t="str">
        <f>IF(VLOOKUP(UncLookup[[#This Row],[Item]],Items!$A$1:$F$43,3,FALSE)=0,"",VLOOKUP(UncLookup[[#This Row],[Item]],Items!$A$1:$F$43,3,FALSE))</f>
        <v/>
      </c>
      <c r="Q1215" s="90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5" t="s">
        <v>55</v>
      </c>
      <c r="B1216" s="75" t="s">
        <v>83</v>
      </c>
      <c r="C1216" s="75">
        <v>-346</v>
      </c>
      <c r="D1216" s="75">
        <v>-147.9</v>
      </c>
      <c r="E1216" s="75">
        <v>0.1</v>
      </c>
      <c r="F1216" s="75" t="s">
        <v>26</v>
      </c>
      <c r="G1216" s="75" t="s">
        <v>26</v>
      </c>
      <c r="H1216" s="75">
        <v>0</v>
      </c>
      <c r="I1216" s="75">
        <v>0</v>
      </c>
      <c r="J1216" s="75"/>
      <c r="K1216" s="75">
        <v>0.57726726900000003</v>
      </c>
      <c r="L1216" s="75">
        <v>0</v>
      </c>
      <c r="M1216" s="75">
        <v>0.56757588800000003</v>
      </c>
      <c r="N1216" s="75">
        <v>0</v>
      </c>
      <c r="O1216" s="90" t="str">
        <f>IF(VLOOKUP(UncLookup[[#This Row],[Item]],Items!$A$1:$F$43,2,FALSE)=0,"",VLOOKUP(UncLookup[[#This Row],[Item]],Items!$A$1:$F$43,2,FALSE))</f>
        <v/>
      </c>
      <c r="P1216" s="90" t="str">
        <f>IF(VLOOKUP(UncLookup[[#This Row],[Item]],Items!$A$1:$F$43,3,FALSE)=0,"",VLOOKUP(UncLookup[[#This Row],[Item]],Items!$A$1:$F$43,3,FALSE))</f>
        <v/>
      </c>
      <c r="Q1216" s="90" t="str">
        <f>IF(VLOOKUP(UncLookup[[#This Row],[Item]],Items!$A$1:$F$43,4,FALSE)=0,"",VLOOKUP(UncLookup[[#This Row],[Item]],Items!$A$1:$F$43,4,FALSE))</f>
        <v>J</v>
      </c>
    </row>
    <row r="1217" spans="1:17" x14ac:dyDescent="0.25">
      <c r="A1217" s="76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90" t="str">
        <f>IF(VLOOKUP(UncLookup[[#This Row],[Item]],Items!$A$1:$F$43,2,FALSE)=0,"",VLOOKUP(UncLookup[[#This Row],[Item]],Items!$A$1:$F$43,2,FALSE))</f>
        <v/>
      </c>
      <c r="P1217" s="90" t="str">
        <f>IF(VLOOKUP(UncLookup[[#This Row],[Item]],Items!$A$1:$F$43,3,FALSE)=0,"",VLOOKUP(UncLookup[[#This Row],[Item]],Items!$A$1:$F$43,3,FALSE))</f>
        <v/>
      </c>
      <c r="Q1217" s="90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5" t="s">
        <v>55</v>
      </c>
      <c r="B1218" s="75" t="s">
        <v>83</v>
      </c>
      <c r="C1218" s="75">
        <v>-148</v>
      </c>
      <c r="D1218" s="75">
        <v>-21.9</v>
      </c>
      <c r="E1218" s="75">
        <v>0.1</v>
      </c>
      <c r="F1218" s="75" t="s">
        <v>26</v>
      </c>
      <c r="G1218" s="75" t="s">
        <v>26</v>
      </c>
      <c r="H1218" s="75">
        <v>0</v>
      </c>
      <c r="I1218" s="75">
        <v>0</v>
      </c>
      <c r="J1218" s="75"/>
      <c r="K1218" s="75">
        <v>0.354075484</v>
      </c>
      <c r="L1218" s="75">
        <v>0</v>
      </c>
      <c r="M1218" s="75">
        <v>0.34262930000000003</v>
      </c>
      <c r="N1218" s="75">
        <v>0</v>
      </c>
      <c r="O1218" s="90" t="str">
        <f>IF(VLOOKUP(UncLookup[[#This Row],[Item]],Items!$A$1:$F$43,2,FALSE)=0,"",VLOOKUP(UncLookup[[#This Row],[Item]],Items!$A$1:$F$43,2,FALSE))</f>
        <v/>
      </c>
      <c r="P1218" s="90" t="str">
        <f>IF(VLOOKUP(UncLookup[[#This Row],[Item]],Items!$A$1:$F$43,3,FALSE)=0,"",VLOOKUP(UncLookup[[#This Row],[Item]],Items!$A$1:$F$43,3,FALSE))</f>
        <v/>
      </c>
      <c r="Q1218" s="90" t="str">
        <f>IF(VLOOKUP(UncLookup[[#This Row],[Item]],Items!$A$1:$F$43,4,FALSE)=0,"",VLOOKUP(UncLookup[[#This Row],[Item]],Items!$A$1:$F$43,4,FALSE))</f>
        <v>J</v>
      </c>
    </row>
    <row r="1219" spans="1:17" x14ac:dyDescent="0.25">
      <c r="A1219" s="76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90" t="str">
        <f>IF(VLOOKUP(UncLookup[[#This Row],[Item]],Items!$A$1:$F$43,2,FALSE)=0,"",VLOOKUP(UncLookup[[#This Row],[Item]],Items!$A$1:$F$43,2,FALSE))</f>
        <v/>
      </c>
      <c r="P1219" s="90" t="str">
        <f>IF(VLOOKUP(UncLookup[[#This Row],[Item]],Items!$A$1:$F$43,3,FALSE)=0,"",VLOOKUP(UncLookup[[#This Row],[Item]],Items!$A$1:$F$43,3,FALSE))</f>
        <v/>
      </c>
      <c r="Q1219" s="90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5" t="s">
        <v>55</v>
      </c>
      <c r="B1220" s="75" t="s">
        <v>83</v>
      </c>
      <c r="C1220" s="75">
        <v>-22</v>
      </c>
      <c r="D1220" s="75">
        <v>302.10000000000002</v>
      </c>
      <c r="E1220" s="75">
        <v>0.1</v>
      </c>
      <c r="F1220" s="75" t="s">
        <v>26</v>
      </c>
      <c r="G1220" s="75" t="s">
        <v>26</v>
      </c>
      <c r="H1220" s="75">
        <v>0</v>
      </c>
      <c r="I1220" s="75">
        <v>0</v>
      </c>
      <c r="J1220" s="75"/>
      <c r="K1220" s="75">
        <v>0.31531184099999998</v>
      </c>
      <c r="L1220" s="75">
        <v>0</v>
      </c>
      <c r="M1220" s="75">
        <v>0.302401961</v>
      </c>
      <c r="N1220" s="75">
        <v>0</v>
      </c>
      <c r="O1220" s="90" t="str">
        <f>IF(VLOOKUP(UncLookup[[#This Row],[Item]],Items!$A$1:$F$43,2,FALSE)=0,"",VLOOKUP(UncLookup[[#This Row],[Item]],Items!$A$1:$F$43,2,FALSE))</f>
        <v/>
      </c>
      <c r="P1220" s="90" t="str">
        <f>IF(VLOOKUP(UncLookup[[#This Row],[Item]],Items!$A$1:$F$43,3,FALSE)=0,"",VLOOKUP(UncLookup[[#This Row],[Item]],Items!$A$1:$F$43,3,FALSE))</f>
        <v/>
      </c>
      <c r="Q1220" s="90" t="str">
        <f>IF(VLOOKUP(UncLookup[[#This Row],[Item]],Items!$A$1:$F$43,4,FALSE)=0,"",VLOOKUP(UncLookup[[#This Row],[Item]],Items!$A$1:$F$43,4,FALSE))</f>
        <v>J</v>
      </c>
    </row>
    <row r="1221" spans="1:17" x14ac:dyDescent="0.25">
      <c r="A1221" s="76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90" t="str">
        <f>IF(VLOOKUP(UncLookup[[#This Row],[Item]],Items!$A$1:$F$43,2,FALSE)=0,"",VLOOKUP(UncLookup[[#This Row],[Item]],Items!$A$1:$F$43,2,FALSE))</f>
        <v/>
      </c>
      <c r="P1221" s="90" t="str">
        <f>IF(VLOOKUP(UncLookup[[#This Row],[Item]],Items!$A$1:$F$43,3,FALSE)=0,"",VLOOKUP(UncLookup[[#This Row],[Item]],Items!$A$1:$F$43,3,FALSE))</f>
        <v/>
      </c>
      <c r="Q1221" s="90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5" t="s">
        <v>55</v>
      </c>
      <c r="B1222" s="75" t="s">
        <v>83</v>
      </c>
      <c r="C1222" s="75">
        <v>302</v>
      </c>
      <c r="D1222" s="75">
        <v>1400.1</v>
      </c>
      <c r="E1222" s="75">
        <v>0.1</v>
      </c>
      <c r="F1222" s="75" t="s">
        <v>26</v>
      </c>
      <c r="G1222" s="75" t="s">
        <v>26</v>
      </c>
      <c r="H1222" s="75">
        <v>0</v>
      </c>
      <c r="I1222" s="75">
        <v>0</v>
      </c>
      <c r="J1222" s="75"/>
      <c r="K1222" s="75">
        <v>0.36583836400000003</v>
      </c>
      <c r="L1222" s="75">
        <v>0</v>
      </c>
      <c r="M1222" s="75">
        <v>0.36274510900000001</v>
      </c>
      <c r="N1222" s="75">
        <v>0</v>
      </c>
      <c r="O1222" s="90" t="str">
        <f>IF(VLOOKUP(UncLookup[[#This Row],[Item]],Items!$A$1:$F$43,2,FALSE)=0,"",VLOOKUP(UncLookup[[#This Row],[Item]],Items!$A$1:$F$43,2,FALSE))</f>
        <v/>
      </c>
      <c r="P1222" s="90" t="str">
        <f>IF(VLOOKUP(UncLookup[[#This Row],[Item]],Items!$A$1:$F$43,3,FALSE)=0,"",VLOOKUP(UncLookup[[#This Row],[Item]],Items!$A$1:$F$43,3,FALSE))</f>
        <v/>
      </c>
      <c r="Q1222" s="90" t="str">
        <f>IF(VLOOKUP(UncLookup[[#This Row],[Item]],Items!$A$1:$F$43,4,FALSE)=0,"",VLOOKUP(UncLookup[[#This Row],[Item]],Items!$A$1:$F$43,4,FALSE))</f>
        <v>J</v>
      </c>
    </row>
    <row r="1223" spans="1:17" x14ac:dyDescent="0.25">
      <c r="A1223" s="76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90" t="str">
        <f>IF(VLOOKUP(UncLookup[[#This Row],[Item]],Items!$A$1:$F$43,2,FALSE)=0,"",VLOOKUP(UncLookup[[#This Row],[Item]],Items!$A$1:$F$43,2,FALSE))</f>
        <v/>
      </c>
      <c r="P1223" s="90" t="str">
        <f>IF(VLOOKUP(UncLookup[[#This Row],[Item]],Items!$A$1:$F$43,3,FALSE)=0,"",VLOOKUP(UncLookup[[#This Row],[Item]],Items!$A$1:$F$43,3,FALSE))</f>
        <v/>
      </c>
      <c r="Q1223" s="90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5" t="s">
        <v>55</v>
      </c>
      <c r="B1224" s="75" t="s">
        <v>83</v>
      </c>
      <c r="C1224" s="75">
        <v>1400</v>
      </c>
      <c r="D1224" s="75">
        <v>2192</v>
      </c>
      <c r="E1224" s="75">
        <v>0.1</v>
      </c>
      <c r="F1224" s="75" t="s">
        <v>26</v>
      </c>
      <c r="G1224" s="75" t="s">
        <v>26</v>
      </c>
      <c r="H1224" s="75">
        <v>0</v>
      </c>
      <c r="I1224" s="75">
        <v>0</v>
      </c>
      <c r="J1224" s="75"/>
      <c r="K1224" s="75">
        <v>0.487362028</v>
      </c>
      <c r="L1224" s="75">
        <v>0</v>
      </c>
      <c r="M1224" s="75">
        <v>0.48504438100000002</v>
      </c>
      <c r="N1224" s="75">
        <v>0</v>
      </c>
      <c r="O1224" s="90" t="str">
        <f>IF(VLOOKUP(UncLookup[[#This Row],[Item]],Items!$A$1:$F$43,2,FALSE)=0,"",VLOOKUP(UncLookup[[#This Row],[Item]],Items!$A$1:$F$43,2,FALSE))</f>
        <v/>
      </c>
      <c r="P1224" s="90" t="str">
        <f>IF(VLOOKUP(UncLookup[[#This Row],[Item]],Items!$A$1:$F$43,3,FALSE)=0,"",VLOOKUP(UncLookup[[#This Row],[Item]],Items!$A$1:$F$43,3,FALSE))</f>
        <v/>
      </c>
      <c r="Q1224" s="90" t="str">
        <f>IF(VLOOKUP(UncLookup[[#This Row],[Item]],Items!$A$1:$F$43,4,FALSE)=0,"",VLOOKUP(UncLookup[[#This Row],[Item]],Items!$A$1:$F$43,4,FALSE))</f>
        <v>J</v>
      </c>
    </row>
    <row r="1225" spans="1:17" x14ac:dyDescent="0.25">
      <c r="A1225" s="76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90" t="str">
        <f>IF(VLOOKUP(UncLookup[[#This Row],[Item]],Items!$A$1:$F$43,2,FALSE)=0,"",VLOOKUP(UncLookup[[#This Row],[Item]],Items!$A$1:$F$43,2,FALSE))</f>
        <v/>
      </c>
      <c r="P1225" s="90" t="str">
        <f>IF(VLOOKUP(UncLookup[[#This Row],[Item]],Items!$A$1:$F$43,3,FALSE)=0,"",VLOOKUP(UncLookup[[#This Row],[Item]],Items!$A$1:$F$43,3,FALSE))</f>
        <v/>
      </c>
      <c r="Q1225" s="90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5" t="s">
        <v>55</v>
      </c>
      <c r="B1226" s="75" t="s">
        <v>83</v>
      </c>
      <c r="C1226" s="75">
        <v>2192</v>
      </c>
      <c r="D1226" s="75">
        <v>2192.1</v>
      </c>
      <c r="E1226" s="75">
        <v>0.1</v>
      </c>
      <c r="F1226" s="75" t="s">
        <v>26</v>
      </c>
      <c r="G1226" s="75" t="s">
        <v>26</v>
      </c>
      <c r="H1226" s="75">
        <v>0</v>
      </c>
      <c r="I1226" s="75">
        <v>0</v>
      </c>
      <c r="J1226" s="75"/>
      <c r="K1226" s="75">
        <v>0.487362028</v>
      </c>
      <c r="L1226" s="75">
        <v>0</v>
      </c>
      <c r="M1226" s="75">
        <v>0.48504438100000002</v>
      </c>
      <c r="N1226" s="75">
        <v>0</v>
      </c>
      <c r="O1226" s="90" t="str">
        <f>IF(VLOOKUP(UncLookup[[#This Row],[Item]],Items!$A$1:$F$43,2,FALSE)=0,"",VLOOKUP(UncLookup[[#This Row],[Item]],Items!$A$1:$F$43,2,FALSE))</f>
        <v/>
      </c>
      <c r="P1226" s="90" t="str">
        <f>IF(VLOOKUP(UncLookup[[#This Row],[Item]],Items!$A$1:$F$43,3,FALSE)=0,"",VLOOKUP(UncLookup[[#This Row],[Item]],Items!$A$1:$F$43,3,FALSE))</f>
        <v/>
      </c>
      <c r="Q1226" s="90" t="str">
        <f>IF(VLOOKUP(UncLookup[[#This Row],[Item]],Items!$A$1:$F$43,4,FALSE)=0,"",VLOOKUP(UncLookup[[#This Row],[Item]],Items!$A$1:$F$43,4,FALSE))</f>
        <v>J</v>
      </c>
    </row>
    <row r="1227" spans="1:17" x14ac:dyDescent="0.25">
      <c r="A1227" s="76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90" t="str">
        <f>IF(VLOOKUP(UncLookup[[#This Row],[Item]],Items!$A$1:$F$43,2,FALSE)=0,"",VLOOKUP(UncLookup[[#This Row],[Item]],Items!$A$1:$F$43,2,FALSE))</f>
        <v/>
      </c>
      <c r="P1227" s="90" t="str">
        <f>IF(VLOOKUP(UncLookup[[#This Row],[Item]],Items!$A$1:$F$43,3,FALSE)=0,"",VLOOKUP(UncLookup[[#This Row],[Item]],Items!$A$1:$F$43,3,FALSE))</f>
        <v/>
      </c>
      <c r="Q1227" s="90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5" t="s">
        <v>55</v>
      </c>
      <c r="B1228" s="75" t="s">
        <v>82</v>
      </c>
      <c r="C1228" s="75">
        <v>-418</v>
      </c>
      <c r="D1228" s="75">
        <v>-147.9</v>
      </c>
      <c r="E1228" s="75">
        <v>0.1</v>
      </c>
      <c r="F1228" s="75" t="s">
        <v>26</v>
      </c>
      <c r="G1228" s="75" t="s">
        <v>26</v>
      </c>
      <c r="H1228" s="75">
        <v>0</v>
      </c>
      <c r="I1228" s="75">
        <v>0</v>
      </c>
      <c r="J1228" s="75"/>
      <c r="K1228" s="75">
        <v>1.046246556</v>
      </c>
      <c r="L1228" s="75">
        <v>0</v>
      </c>
      <c r="M1228" s="75">
        <v>1.0432597260000001</v>
      </c>
      <c r="N1228" s="75">
        <v>0</v>
      </c>
      <c r="O1228" s="90" t="str">
        <f>IF(VLOOKUP(UncLookup[[#This Row],[Item]],Items!$A$1:$F$43,2,FALSE)=0,"",VLOOKUP(UncLookup[[#This Row],[Item]],Items!$A$1:$F$43,2,FALSE))</f>
        <v/>
      </c>
      <c r="P1228" s="90" t="str">
        <f>IF(VLOOKUP(UncLookup[[#This Row],[Item]],Items!$A$1:$F$43,3,FALSE)=0,"",VLOOKUP(UncLookup[[#This Row],[Item]],Items!$A$1:$F$43,3,FALSE))</f>
        <v/>
      </c>
      <c r="Q1228" s="90" t="str">
        <f>IF(VLOOKUP(UncLookup[[#This Row],[Item]],Items!$A$1:$F$43,4,FALSE)=0,"",VLOOKUP(UncLookup[[#This Row],[Item]],Items!$A$1:$F$43,4,FALSE))</f>
        <v>E</v>
      </c>
    </row>
    <row r="1229" spans="1:17" x14ac:dyDescent="0.25">
      <c r="A1229" s="76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90" t="str">
        <f>IF(VLOOKUP(UncLookup[[#This Row],[Item]],Items!$A$1:$F$43,2,FALSE)=0,"",VLOOKUP(UncLookup[[#This Row],[Item]],Items!$A$1:$F$43,2,FALSE))</f>
        <v/>
      </c>
      <c r="P1229" s="90" t="str">
        <f>IF(VLOOKUP(UncLookup[[#This Row],[Item]],Items!$A$1:$F$43,3,FALSE)=0,"",VLOOKUP(UncLookup[[#This Row],[Item]],Items!$A$1:$F$43,3,FALSE))</f>
        <v/>
      </c>
      <c r="Q1229" s="90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5" t="s">
        <v>55</v>
      </c>
      <c r="B1230" s="75" t="s">
        <v>82</v>
      </c>
      <c r="C1230" s="75">
        <v>-148</v>
      </c>
      <c r="D1230" s="75">
        <v>-12.9</v>
      </c>
      <c r="E1230" s="75">
        <v>0.1</v>
      </c>
      <c r="F1230" s="75" t="s">
        <v>26</v>
      </c>
      <c r="G1230" s="75" t="s">
        <v>26</v>
      </c>
      <c r="H1230" s="75">
        <v>0</v>
      </c>
      <c r="I1230" s="75">
        <v>0</v>
      </c>
      <c r="J1230" s="75"/>
      <c r="K1230" s="75">
        <v>0.34659772799999999</v>
      </c>
      <c r="L1230" s="75">
        <v>0</v>
      </c>
      <c r="M1230" s="75">
        <v>0.34484265600000003</v>
      </c>
      <c r="N1230" s="75">
        <v>0</v>
      </c>
      <c r="O1230" s="90" t="str">
        <f>IF(VLOOKUP(UncLookup[[#This Row],[Item]],Items!$A$1:$F$43,2,FALSE)=0,"",VLOOKUP(UncLookup[[#This Row],[Item]],Items!$A$1:$F$43,2,FALSE))</f>
        <v/>
      </c>
      <c r="P1230" s="90" t="str">
        <f>IF(VLOOKUP(UncLookup[[#This Row],[Item]],Items!$A$1:$F$43,3,FALSE)=0,"",VLOOKUP(UncLookup[[#This Row],[Item]],Items!$A$1:$F$43,3,FALSE))</f>
        <v/>
      </c>
      <c r="Q1230" s="90" t="str">
        <f>IF(VLOOKUP(UncLookup[[#This Row],[Item]],Items!$A$1:$F$43,4,FALSE)=0,"",VLOOKUP(UncLookup[[#This Row],[Item]],Items!$A$1:$F$43,4,FALSE))</f>
        <v>E</v>
      </c>
    </row>
    <row r="1231" spans="1:17" x14ac:dyDescent="0.25">
      <c r="A1231" s="76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90" t="str">
        <f>IF(VLOOKUP(UncLookup[[#This Row],[Item]],Items!$A$1:$F$43,2,FALSE)=0,"",VLOOKUP(UncLookup[[#This Row],[Item]],Items!$A$1:$F$43,2,FALSE))</f>
        <v/>
      </c>
      <c r="P1231" s="90" t="str">
        <f>IF(VLOOKUP(UncLookup[[#This Row],[Item]],Items!$A$1:$F$43,3,FALSE)=0,"",VLOOKUP(UncLookup[[#This Row],[Item]],Items!$A$1:$F$43,3,FALSE))</f>
        <v/>
      </c>
      <c r="Q1231" s="90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5" t="s">
        <v>55</v>
      </c>
      <c r="B1232" s="75" t="s">
        <v>82</v>
      </c>
      <c r="C1232" s="75">
        <v>-13</v>
      </c>
      <c r="D1232" s="75">
        <v>662.1</v>
      </c>
      <c r="E1232" s="75">
        <v>0.1</v>
      </c>
      <c r="F1232" s="75" t="s">
        <v>26</v>
      </c>
      <c r="G1232" s="75" t="s">
        <v>26</v>
      </c>
      <c r="H1232" s="75">
        <v>0</v>
      </c>
      <c r="I1232" s="75">
        <v>0</v>
      </c>
      <c r="J1232" s="75"/>
      <c r="K1232" s="75">
        <v>0.30436869799999999</v>
      </c>
      <c r="L1232" s="75">
        <v>0</v>
      </c>
      <c r="M1232" s="75">
        <v>0.30236860999999998</v>
      </c>
      <c r="N1232" s="75">
        <v>0</v>
      </c>
      <c r="O1232" s="90" t="str">
        <f>IF(VLOOKUP(UncLookup[[#This Row],[Item]],Items!$A$1:$F$43,2,FALSE)=0,"",VLOOKUP(UncLookup[[#This Row],[Item]],Items!$A$1:$F$43,2,FALSE))</f>
        <v/>
      </c>
      <c r="P1232" s="90" t="str">
        <f>IF(VLOOKUP(UncLookup[[#This Row],[Item]],Items!$A$1:$F$43,3,FALSE)=0,"",VLOOKUP(UncLookup[[#This Row],[Item]],Items!$A$1:$F$43,3,FALSE))</f>
        <v/>
      </c>
      <c r="Q1232" s="90" t="str">
        <f>IF(VLOOKUP(UncLookup[[#This Row],[Item]],Items!$A$1:$F$43,4,FALSE)=0,"",VLOOKUP(UncLookup[[#This Row],[Item]],Items!$A$1:$F$43,4,FALSE))</f>
        <v>E</v>
      </c>
    </row>
    <row r="1233" spans="1:17" x14ac:dyDescent="0.25">
      <c r="A1233" s="76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90" t="str">
        <f>IF(VLOOKUP(UncLookup[[#This Row],[Item]],Items!$A$1:$F$43,2,FALSE)=0,"",VLOOKUP(UncLookup[[#This Row],[Item]],Items!$A$1:$F$43,2,FALSE))</f>
        <v/>
      </c>
      <c r="P1233" s="90" t="str">
        <f>IF(VLOOKUP(UncLookup[[#This Row],[Item]],Items!$A$1:$F$43,3,FALSE)=0,"",VLOOKUP(UncLookup[[#This Row],[Item]],Items!$A$1:$F$43,3,FALSE))</f>
        <v/>
      </c>
      <c r="Q1233" s="90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5" t="s">
        <v>55</v>
      </c>
      <c r="B1234" s="75" t="s">
        <v>82</v>
      </c>
      <c r="C1234" s="75">
        <v>662</v>
      </c>
      <c r="D1234" s="75">
        <v>1202.0999999999999</v>
      </c>
      <c r="E1234" s="75">
        <v>0.1</v>
      </c>
      <c r="F1234" s="75" t="s">
        <v>26</v>
      </c>
      <c r="G1234" s="75" t="s">
        <v>26</v>
      </c>
      <c r="H1234" s="75">
        <v>0</v>
      </c>
      <c r="I1234" s="75">
        <v>0</v>
      </c>
      <c r="J1234" s="75"/>
      <c r="K1234" s="75">
        <v>0.34352197200000001</v>
      </c>
      <c r="L1234" s="75">
        <v>0</v>
      </c>
      <c r="M1234" s="75">
        <v>0.342511169</v>
      </c>
      <c r="N1234" s="75">
        <v>0</v>
      </c>
      <c r="O1234" s="90" t="str">
        <f>IF(VLOOKUP(UncLookup[[#This Row],[Item]],Items!$A$1:$F$43,2,FALSE)=0,"",VLOOKUP(UncLookup[[#This Row],[Item]],Items!$A$1:$F$43,2,FALSE))</f>
        <v/>
      </c>
      <c r="P1234" s="90" t="str">
        <f>IF(VLOOKUP(UncLookup[[#This Row],[Item]],Items!$A$1:$F$43,3,FALSE)=0,"",VLOOKUP(UncLookup[[#This Row],[Item]],Items!$A$1:$F$43,3,FALSE))</f>
        <v/>
      </c>
      <c r="Q1234" s="90" t="str">
        <f>IF(VLOOKUP(UncLookup[[#This Row],[Item]],Items!$A$1:$F$43,4,FALSE)=0,"",VLOOKUP(UncLookup[[#This Row],[Item]],Items!$A$1:$F$43,4,FALSE))</f>
        <v>E</v>
      </c>
    </row>
    <row r="1235" spans="1:17" x14ac:dyDescent="0.25">
      <c r="A1235" s="76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90" t="str">
        <f>IF(VLOOKUP(UncLookup[[#This Row],[Item]],Items!$A$1:$F$43,2,FALSE)=0,"",VLOOKUP(UncLookup[[#This Row],[Item]],Items!$A$1:$F$43,2,FALSE))</f>
        <v/>
      </c>
      <c r="P1235" s="90" t="str">
        <f>IF(VLOOKUP(UncLookup[[#This Row],[Item]],Items!$A$1:$F$43,3,FALSE)=0,"",VLOOKUP(UncLookup[[#This Row],[Item]],Items!$A$1:$F$43,3,FALSE))</f>
        <v/>
      </c>
      <c r="Q1235" s="90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5" t="s">
        <v>55</v>
      </c>
      <c r="B1236" s="75" t="s">
        <v>82</v>
      </c>
      <c r="C1236" s="75">
        <v>1202</v>
      </c>
      <c r="D1236" s="75">
        <v>1832</v>
      </c>
      <c r="E1236" s="75">
        <v>0.1</v>
      </c>
      <c r="F1236" s="75" t="s">
        <v>26</v>
      </c>
      <c r="G1236" s="75" t="s">
        <v>26</v>
      </c>
      <c r="H1236" s="75">
        <v>0</v>
      </c>
      <c r="I1236" s="75">
        <v>0</v>
      </c>
      <c r="J1236" s="75"/>
      <c r="K1236" s="75">
        <v>0.44489108799999999</v>
      </c>
      <c r="L1236" s="75">
        <v>0</v>
      </c>
      <c r="M1236" s="75">
        <v>0.444111062</v>
      </c>
      <c r="N1236" s="75">
        <v>0</v>
      </c>
      <c r="O1236" s="90" t="str">
        <f>IF(VLOOKUP(UncLookup[[#This Row],[Item]],Items!$A$1:$F$43,2,FALSE)=0,"",VLOOKUP(UncLookup[[#This Row],[Item]],Items!$A$1:$F$43,2,FALSE))</f>
        <v/>
      </c>
      <c r="P1236" s="90" t="str">
        <f>IF(VLOOKUP(UncLookup[[#This Row],[Item]],Items!$A$1:$F$43,3,FALSE)=0,"",VLOOKUP(UncLookup[[#This Row],[Item]],Items!$A$1:$F$43,3,FALSE))</f>
        <v/>
      </c>
      <c r="Q1236" s="90" t="str">
        <f>IF(VLOOKUP(UncLookup[[#This Row],[Item]],Items!$A$1:$F$43,4,FALSE)=0,"",VLOOKUP(UncLookup[[#This Row],[Item]],Items!$A$1:$F$43,4,FALSE))</f>
        <v>E</v>
      </c>
    </row>
    <row r="1237" spans="1:17" x14ac:dyDescent="0.25">
      <c r="A1237" s="76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90" t="str">
        <f>IF(VLOOKUP(UncLookup[[#This Row],[Item]],Items!$A$1:$F$43,2,FALSE)=0,"",VLOOKUP(UncLookup[[#This Row],[Item]],Items!$A$1:$F$43,2,FALSE))</f>
        <v/>
      </c>
      <c r="P1237" s="90" t="str">
        <f>IF(VLOOKUP(UncLookup[[#This Row],[Item]],Items!$A$1:$F$43,3,FALSE)=0,"",VLOOKUP(UncLookup[[#This Row],[Item]],Items!$A$1:$F$43,3,FALSE))</f>
        <v/>
      </c>
      <c r="Q1237" s="90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5" t="s">
        <v>55</v>
      </c>
      <c r="B1238" s="75" t="s">
        <v>82</v>
      </c>
      <c r="C1238" s="75">
        <v>1832</v>
      </c>
      <c r="D1238" s="75">
        <v>1832.1</v>
      </c>
      <c r="E1238" s="75">
        <v>0.1</v>
      </c>
      <c r="F1238" s="75" t="s">
        <v>26</v>
      </c>
      <c r="G1238" s="75" t="s">
        <v>26</v>
      </c>
      <c r="H1238" s="75">
        <v>0</v>
      </c>
      <c r="I1238" s="75">
        <v>0</v>
      </c>
      <c r="J1238" s="75"/>
      <c r="K1238" s="75">
        <v>0.44489108799999999</v>
      </c>
      <c r="L1238" s="75">
        <v>0</v>
      </c>
      <c r="M1238" s="75">
        <v>0.444111062</v>
      </c>
      <c r="N1238" s="75">
        <v>0</v>
      </c>
      <c r="O1238" s="90" t="str">
        <f>IF(VLOOKUP(UncLookup[[#This Row],[Item]],Items!$A$1:$F$43,2,FALSE)=0,"",VLOOKUP(UncLookup[[#This Row],[Item]],Items!$A$1:$F$43,2,FALSE))</f>
        <v/>
      </c>
      <c r="P1238" s="90" t="str">
        <f>IF(VLOOKUP(UncLookup[[#This Row],[Item]],Items!$A$1:$F$43,3,FALSE)=0,"",VLOOKUP(UncLookup[[#This Row],[Item]],Items!$A$1:$F$43,3,FALSE))</f>
        <v/>
      </c>
      <c r="Q1238" s="90" t="str">
        <f>IF(VLOOKUP(UncLookup[[#This Row],[Item]],Items!$A$1:$F$43,4,FALSE)=0,"",VLOOKUP(UncLookup[[#This Row],[Item]],Items!$A$1:$F$43,4,FALSE))</f>
        <v>E</v>
      </c>
    </row>
    <row r="1239" spans="1:17" x14ac:dyDescent="0.25">
      <c r="A1239" s="76" t="s">
        <v>55</v>
      </c>
      <c r="B1239" s="76" t="s">
        <v>82</v>
      </c>
      <c r="C1239" s="76">
        <v>1832</v>
      </c>
      <c r="D1239" s="76">
        <v>1832.1</v>
      </c>
      <c r="E1239" s="77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90" t="str">
        <f>IF(VLOOKUP(UncLookup[[#This Row],[Item]],Items!$A$1:$F$43,2,FALSE)=0,"",VLOOKUP(UncLookup[[#This Row],[Item]],Items!$A$1:$F$43,2,FALSE))</f>
        <v/>
      </c>
      <c r="P1239" s="90" t="str">
        <f>IF(VLOOKUP(UncLookup[[#This Row],[Item]],Items!$A$1:$F$43,3,FALSE)=0,"",VLOOKUP(UncLookup[[#This Row],[Item]],Items!$A$1:$F$43,3,FALSE))</f>
        <v/>
      </c>
      <c r="Q1239" s="90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5" t="s">
        <v>55</v>
      </c>
      <c r="B1240" s="75" t="s">
        <v>100</v>
      </c>
      <c r="C1240" s="75">
        <v>0</v>
      </c>
      <c r="D1240" s="75">
        <v>1.0900000000000001E-4</v>
      </c>
      <c r="E1240" s="75">
        <v>1E-10</v>
      </c>
      <c r="F1240" s="75" t="s">
        <v>172</v>
      </c>
      <c r="G1240" s="75" t="s">
        <v>172</v>
      </c>
      <c r="H1240" s="75">
        <v>0</v>
      </c>
      <c r="I1240" s="75">
        <v>0</v>
      </c>
      <c r="J1240" s="75"/>
      <c r="K1240" s="75">
        <v>0</v>
      </c>
      <c r="L1240" s="75">
        <v>3.5999999999999999E-3</v>
      </c>
      <c r="M1240" s="75">
        <v>0</v>
      </c>
      <c r="N1240" s="75">
        <v>0</v>
      </c>
      <c r="O1240" s="90" t="str">
        <f>IF(VLOOKUP(UncLookup[[#This Row],[Item]],Items!$A$1:$F$43,2,FALSE)=0,"",VLOOKUP(UncLookup[[#This Row],[Item]],Items!$A$1:$F$43,2,FALSE))</f>
        <v/>
      </c>
      <c r="P1240" s="90" t="str">
        <f>IF(VLOOKUP(UncLookup[[#This Row],[Item]],Items!$A$1:$F$43,3,FALSE)=0,"",VLOOKUP(UncLookup[[#This Row],[Item]],Items!$A$1:$F$43,3,FALSE))</f>
        <v/>
      </c>
      <c r="Q1240" s="90" t="str">
        <f>IF(VLOOKUP(UncLookup[[#This Row],[Item]],Items!$A$1:$F$43,4,FALSE)=0,"",VLOOKUP(UncLookup[[#This Row],[Item]],Items!$A$1:$F$43,4,FALSE))</f>
        <v/>
      </c>
    </row>
    <row r="1241" spans="1:17" x14ac:dyDescent="0.25">
      <c r="A1241" s="76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172</v>
      </c>
      <c r="G1241" s="76" t="s">
        <v>172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90" t="str">
        <f>IF(VLOOKUP(UncLookup[[#This Row],[Item]],Items!$A$1:$F$43,2,FALSE)=0,"",VLOOKUP(UncLookup[[#This Row],[Item]],Items!$A$1:$F$43,2,FALSE))</f>
        <v/>
      </c>
      <c r="P1241" s="90" t="str">
        <f>IF(VLOOKUP(UncLookup[[#This Row],[Item]],Items!$A$1:$F$43,3,FALSE)=0,"",VLOOKUP(UncLookup[[#This Row],[Item]],Items!$A$1:$F$43,3,FALSE))</f>
        <v/>
      </c>
      <c r="Q1241" s="90" t="str">
        <f>IF(VLOOKUP(UncLookup[[#This Row],[Item]],Items!$A$1:$F$43,4,FALSE)=0,"",VLOOKUP(UncLookup[[#This Row],[Item]],Items!$A$1:$F$43,4,FALSE))</f>
        <v/>
      </c>
    </row>
    <row r="1242" spans="1:17" x14ac:dyDescent="0.25">
      <c r="A1242" s="75" t="s">
        <v>55</v>
      </c>
      <c r="B1242" s="75" t="s">
        <v>100</v>
      </c>
      <c r="C1242" s="75">
        <v>0</v>
      </c>
      <c r="D1242" s="75">
        <v>1.0900000000000001E-4</v>
      </c>
      <c r="E1242" s="75">
        <v>1E-8</v>
      </c>
      <c r="F1242" s="75" t="s">
        <v>172</v>
      </c>
      <c r="G1242" s="75" t="s">
        <v>172</v>
      </c>
      <c r="H1242" s="75">
        <v>0</v>
      </c>
      <c r="I1242" s="75">
        <v>0</v>
      </c>
      <c r="J1242" s="75"/>
      <c r="K1242" s="75">
        <v>0</v>
      </c>
      <c r="L1242" s="75">
        <v>6.8024000000000001E-3</v>
      </c>
      <c r="M1242" s="75">
        <v>0</v>
      </c>
      <c r="N1242" s="75">
        <v>0</v>
      </c>
      <c r="O1242" s="90" t="str">
        <f>IF(VLOOKUP(UncLookup[[#This Row],[Item]],Items!$A$1:$F$43,2,FALSE)=0,"",VLOOKUP(UncLookup[[#This Row],[Item]],Items!$A$1:$F$43,2,FALSE))</f>
        <v/>
      </c>
      <c r="P1242" s="90" t="str">
        <f>IF(VLOOKUP(UncLookup[[#This Row],[Item]],Items!$A$1:$F$43,3,FALSE)=0,"",VLOOKUP(UncLookup[[#This Row],[Item]],Items!$A$1:$F$43,3,FALSE))</f>
        <v/>
      </c>
      <c r="Q1242" s="90" t="str">
        <f>IF(VLOOKUP(UncLookup[[#This Row],[Item]],Items!$A$1:$F$43,4,FALSE)=0,"",VLOOKUP(UncLookup[[#This Row],[Item]],Items!$A$1:$F$43,4,FALSE))</f>
        <v/>
      </c>
    </row>
    <row r="1243" spans="1:17" x14ac:dyDescent="0.25">
      <c r="A1243" s="76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172</v>
      </c>
      <c r="G1243" s="76" t="s">
        <v>172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90" t="str">
        <f>IF(VLOOKUP(UncLookup[[#This Row],[Item]],Items!$A$1:$F$43,2,FALSE)=0,"",VLOOKUP(UncLookup[[#This Row],[Item]],Items!$A$1:$F$43,2,FALSE))</f>
        <v/>
      </c>
      <c r="P1243" s="90" t="str">
        <f>IF(VLOOKUP(UncLookup[[#This Row],[Item]],Items!$A$1:$F$43,3,FALSE)=0,"",VLOOKUP(UncLookup[[#This Row],[Item]],Items!$A$1:$F$43,3,FALSE))</f>
        <v/>
      </c>
      <c r="Q1243" s="90" t="str">
        <f>IF(VLOOKUP(UncLookup[[#This Row],[Item]],Items!$A$1:$F$43,4,FALSE)=0,"",VLOOKUP(UncLookup[[#This Row],[Item]],Items!$A$1:$F$43,4,FALSE))</f>
        <v/>
      </c>
    </row>
    <row r="1244" spans="1:17" x14ac:dyDescent="0.25">
      <c r="A1244" s="75" t="s">
        <v>55</v>
      </c>
      <c r="B1244" s="75" t="s">
        <v>100</v>
      </c>
      <c r="C1244" s="75">
        <v>0</v>
      </c>
      <c r="D1244" s="75">
        <v>1.0900000000000001E-4</v>
      </c>
      <c r="E1244" s="75">
        <v>9.9999999999999995E-7</v>
      </c>
      <c r="F1244" s="75" t="s">
        <v>172</v>
      </c>
      <c r="G1244" s="75" t="s">
        <v>172</v>
      </c>
      <c r="H1244" s="75">
        <v>0</v>
      </c>
      <c r="I1244" s="75">
        <v>0</v>
      </c>
      <c r="J1244" s="75"/>
      <c r="K1244" s="75">
        <v>0</v>
      </c>
      <c r="L1244" s="75">
        <v>0.58001000000000003</v>
      </c>
      <c r="M1244" s="75">
        <v>0</v>
      </c>
      <c r="N1244" s="75">
        <v>0</v>
      </c>
      <c r="O1244" s="90" t="str">
        <f>IF(VLOOKUP(UncLookup[[#This Row],[Item]],Items!$A$1:$F$43,2,FALSE)=0,"",VLOOKUP(UncLookup[[#This Row],[Item]],Items!$A$1:$F$43,2,FALSE))</f>
        <v/>
      </c>
      <c r="P1244" s="90" t="str">
        <f>IF(VLOOKUP(UncLookup[[#This Row],[Item]],Items!$A$1:$F$43,3,FALSE)=0,"",VLOOKUP(UncLookup[[#This Row],[Item]],Items!$A$1:$F$43,3,FALSE))</f>
        <v/>
      </c>
      <c r="Q1244" s="90" t="str">
        <f>IF(VLOOKUP(UncLookup[[#This Row],[Item]],Items!$A$1:$F$43,4,FALSE)=0,"",VLOOKUP(UncLookup[[#This Row],[Item]],Items!$A$1:$F$43,4,FALSE))</f>
        <v/>
      </c>
    </row>
    <row r="1245" spans="1:17" x14ac:dyDescent="0.25">
      <c r="A1245" s="76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172</v>
      </c>
      <c r="G1245" s="76" t="s">
        <v>172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90" t="str">
        <f>IF(VLOOKUP(UncLookup[[#This Row],[Item]],Items!$A$1:$F$43,2,FALSE)=0,"",VLOOKUP(UncLookup[[#This Row],[Item]],Items!$A$1:$F$43,2,FALSE))</f>
        <v/>
      </c>
      <c r="P1245" s="90" t="str">
        <f>IF(VLOOKUP(UncLookup[[#This Row],[Item]],Items!$A$1:$F$43,3,FALSE)=0,"",VLOOKUP(UncLookup[[#This Row],[Item]],Items!$A$1:$F$43,3,FALSE))</f>
        <v/>
      </c>
      <c r="Q1245" s="90" t="str">
        <f>IF(VLOOKUP(UncLookup[[#This Row],[Item]],Items!$A$1:$F$43,4,FALSE)=0,"",VLOOKUP(UncLookup[[#This Row],[Item]],Items!$A$1:$F$43,4,FALSE))</f>
        <v/>
      </c>
    </row>
    <row r="1246" spans="1:17" x14ac:dyDescent="0.25">
      <c r="A1246" s="75" t="s">
        <v>55</v>
      </c>
      <c r="B1246" s="75" t="s">
        <v>100</v>
      </c>
      <c r="C1246" s="75">
        <v>0</v>
      </c>
      <c r="D1246" s="75">
        <v>1.0900000000000001E-4</v>
      </c>
      <c r="E1246" s="75">
        <v>1E-4</v>
      </c>
      <c r="F1246" s="75" t="s">
        <v>172</v>
      </c>
      <c r="G1246" s="75" t="s">
        <v>172</v>
      </c>
      <c r="H1246" s="75">
        <v>0</v>
      </c>
      <c r="I1246" s="75">
        <v>0</v>
      </c>
      <c r="J1246" s="75"/>
      <c r="K1246" s="75">
        <v>0</v>
      </c>
      <c r="L1246" s="75">
        <v>58</v>
      </c>
      <c r="M1246" s="75">
        <v>0</v>
      </c>
      <c r="N1246" s="75">
        <v>0</v>
      </c>
      <c r="O1246" s="90" t="str">
        <f>IF(VLOOKUP(UncLookup[[#This Row],[Item]],Items!$A$1:$F$43,2,FALSE)=0,"",VLOOKUP(UncLookup[[#This Row],[Item]],Items!$A$1:$F$43,2,FALSE))</f>
        <v/>
      </c>
      <c r="P1246" s="90" t="str">
        <f>IF(VLOOKUP(UncLookup[[#This Row],[Item]],Items!$A$1:$F$43,3,FALSE)=0,"",VLOOKUP(UncLookup[[#This Row],[Item]],Items!$A$1:$F$43,3,FALSE))</f>
        <v/>
      </c>
      <c r="Q1246" s="90" t="str">
        <f>IF(VLOOKUP(UncLookup[[#This Row],[Item]],Items!$A$1:$F$43,4,FALSE)=0,"",VLOOKUP(UncLookup[[#This Row],[Item]],Items!$A$1:$F$43,4,FALSE))</f>
        <v/>
      </c>
    </row>
    <row r="1247" spans="1:17" x14ac:dyDescent="0.25">
      <c r="A1247" s="76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172</v>
      </c>
      <c r="G1247" s="76" t="s">
        <v>172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90" t="str">
        <f>IF(VLOOKUP(UncLookup[[#This Row],[Item]],Items!$A$1:$F$43,2,FALSE)=0,"",VLOOKUP(UncLookup[[#This Row],[Item]],Items!$A$1:$F$43,2,FALSE))</f>
        <v/>
      </c>
      <c r="P1247" s="90" t="str">
        <f>IF(VLOOKUP(UncLookup[[#This Row],[Item]],Items!$A$1:$F$43,3,FALSE)=0,"",VLOOKUP(UncLookup[[#This Row],[Item]],Items!$A$1:$F$43,3,FALSE))</f>
        <v/>
      </c>
      <c r="Q1247" s="90" t="str">
        <f>IF(VLOOKUP(UncLookup[[#This Row],[Item]],Items!$A$1:$F$43,4,FALSE)=0,"",VLOOKUP(UncLookup[[#This Row],[Item]],Items!$A$1:$F$43,4,FALSE))</f>
        <v/>
      </c>
    </row>
    <row r="1248" spans="1:17" x14ac:dyDescent="0.25">
      <c r="A1248" s="75" t="s">
        <v>55</v>
      </c>
      <c r="B1248" s="75" t="s">
        <v>100</v>
      </c>
      <c r="C1248" s="75">
        <v>0</v>
      </c>
      <c r="D1248" s="78">
        <v>1.0900000000000001E-4</v>
      </c>
      <c r="E1248" s="75">
        <v>0.01</v>
      </c>
      <c r="F1248" s="75" t="s">
        <v>172</v>
      </c>
      <c r="G1248" s="75" t="s">
        <v>172</v>
      </c>
      <c r="H1248" s="75">
        <v>0</v>
      </c>
      <c r="I1248" s="75">
        <v>0</v>
      </c>
      <c r="J1248" s="75"/>
      <c r="K1248" s="75">
        <v>0</v>
      </c>
      <c r="L1248" s="75">
        <v>5800</v>
      </c>
      <c r="M1248" s="75">
        <v>0</v>
      </c>
      <c r="N1248" s="75">
        <v>0</v>
      </c>
      <c r="O1248" s="90" t="str">
        <f>IF(VLOOKUP(UncLookup[[#This Row],[Item]],Items!$A$1:$F$43,2,FALSE)=0,"",VLOOKUP(UncLookup[[#This Row],[Item]],Items!$A$1:$F$43,2,FALSE))</f>
        <v/>
      </c>
      <c r="P1248" s="90" t="str">
        <f>IF(VLOOKUP(UncLookup[[#This Row],[Item]],Items!$A$1:$F$43,3,FALSE)=0,"",VLOOKUP(UncLookup[[#This Row],[Item]],Items!$A$1:$F$43,3,FALSE))</f>
        <v/>
      </c>
      <c r="Q1248" s="90" t="str">
        <f>IF(VLOOKUP(UncLookup[[#This Row],[Item]],Items!$A$1:$F$43,4,FALSE)=0,"",VLOOKUP(UncLookup[[#This Row],[Item]],Items!$A$1:$F$43,4,FALSE))</f>
        <v/>
      </c>
    </row>
    <row r="1249" spans="1:17" x14ac:dyDescent="0.25">
      <c r="A1249" s="76" t="s">
        <v>55</v>
      </c>
      <c r="B1249" s="76" t="s">
        <v>100</v>
      </c>
      <c r="C1249" s="76">
        <v>1.0900000000000001E-4</v>
      </c>
      <c r="D1249" s="77">
        <v>1.0900999999999999E-6</v>
      </c>
      <c r="E1249" s="76">
        <v>1E-8</v>
      </c>
      <c r="F1249" s="76" t="s">
        <v>172</v>
      </c>
      <c r="G1249" s="76" t="s">
        <v>172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90" t="str">
        <f>IF(VLOOKUP(UncLookup[[#This Row],[Item]],Items!$A$1:$F$43,2,FALSE)=0,"",VLOOKUP(UncLookup[[#This Row],[Item]],Items!$A$1:$F$43,2,FALSE))</f>
        <v/>
      </c>
      <c r="P1249" s="90" t="str">
        <f>IF(VLOOKUP(UncLookup[[#This Row],[Item]],Items!$A$1:$F$43,3,FALSE)=0,"",VLOOKUP(UncLookup[[#This Row],[Item]],Items!$A$1:$F$43,3,FALSE))</f>
        <v/>
      </c>
      <c r="Q1249" s="90" t="str">
        <f>IF(VLOOKUP(UncLookup[[#This Row],[Item]],Items!$A$1:$F$43,4,FALSE)=0,"",VLOOKUP(UncLookup[[#This Row],[Item]],Items!$A$1:$F$43,4,FALSE))</f>
        <v/>
      </c>
    </row>
    <row r="1250" spans="1:17" x14ac:dyDescent="0.25">
      <c r="A1250" s="75" t="s">
        <v>55</v>
      </c>
      <c r="B1250" s="75" t="s">
        <v>100</v>
      </c>
      <c r="C1250" s="75">
        <v>1.0900000000000001E-4</v>
      </c>
      <c r="D1250" s="78">
        <v>1.0900999999999999E-6</v>
      </c>
      <c r="E1250" s="75">
        <v>9.9999999999999995E-8</v>
      </c>
      <c r="F1250" s="75" t="s">
        <v>172</v>
      </c>
      <c r="G1250" s="75" t="s">
        <v>172</v>
      </c>
      <c r="H1250" s="75">
        <v>0</v>
      </c>
      <c r="I1250" s="75">
        <v>0</v>
      </c>
      <c r="J1250" s="75"/>
      <c r="K1250" s="75">
        <v>0</v>
      </c>
      <c r="L1250" s="75">
        <v>6.3400999999999996E-4</v>
      </c>
      <c r="M1250" s="75">
        <v>0</v>
      </c>
      <c r="N1250" s="75">
        <v>0</v>
      </c>
      <c r="O1250" s="90" t="str">
        <f>IF(VLOOKUP(UncLookup[[#This Row],[Item]],Items!$A$1:$F$43,2,FALSE)=0,"",VLOOKUP(UncLookup[[#This Row],[Item]],Items!$A$1:$F$43,2,FALSE))</f>
        <v/>
      </c>
      <c r="P1250" s="90" t="str">
        <f>IF(VLOOKUP(UncLookup[[#This Row],[Item]],Items!$A$1:$F$43,3,FALSE)=0,"",VLOOKUP(UncLookup[[#This Row],[Item]],Items!$A$1:$F$43,3,FALSE))</f>
        <v/>
      </c>
      <c r="Q1250" s="90" t="str">
        <f>IF(VLOOKUP(UncLookup[[#This Row],[Item]],Items!$A$1:$F$43,4,FALSE)=0,"",VLOOKUP(UncLookup[[#This Row],[Item]],Items!$A$1:$F$43,4,FALSE))</f>
        <v/>
      </c>
    </row>
    <row r="1251" spans="1:17" x14ac:dyDescent="0.25">
      <c r="A1251" s="76" t="s">
        <v>55</v>
      </c>
      <c r="B1251" s="76" t="s">
        <v>100</v>
      </c>
      <c r="C1251" s="76">
        <v>1.0900000000000001E-4</v>
      </c>
      <c r="D1251" s="77">
        <v>1.0900999999999999E-6</v>
      </c>
      <c r="E1251" s="76">
        <v>9.9999999999999995E-7</v>
      </c>
      <c r="F1251" s="76" t="s">
        <v>172</v>
      </c>
      <c r="G1251" s="76" t="s">
        <v>172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90" t="str">
        <f>IF(VLOOKUP(UncLookup[[#This Row],[Item]],Items!$A$1:$F$43,2,FALSE)=0,"",VLOOKUP(UncLookup[[#This Row],[Item]],Items!$A$1:$F$43,2,FALSE))</f>
        <v/>
      </c>
      <c r="P1251" s="90" t="str">
        <f>IF(VLOOKUP(UncLookup[[#This Row],[Item]],Items!$A$1:$F$43,3,FALSE)=0,"",VLOOKUP(UncLookup[[#This Row],[Item]],Items!$A$1:$F$43,3,FALSE))</f>
        <v/>
      </c>
      <c r="Q1251" s="90" t="str">
        <f>IF(VLOOKUP(UncLookup[[#This Row],[Item]],Items!$A$1:$F$43,4,FALSE)=0,"",VLOOKUP(UncLookup[[#This Row],[Item]],Items!$A$1:$F$43,4,FALSE))</f>
        <v/>
      </c>
    </row>
    <row r="1252" spans="1:17" x14ac:dyDescent="0.25">
      <c r="A1252" s="75" t="s">
        <v>55</v>
      </c>
      <c r="B1252" s="75" t="s">
        <v>100</v>
      </c>
      <c r="C1252" s="75">
        <v>1.0900000000000001E-4</v>
      </c>
      <c r="D1252" s="78">
        <v>1.0900999999999999E-6</v>
      </c>
      <c r="E1252" s="75">
        <v>1.0000000000000001E-5</v>
      </c>
      <c r="F1252" s="75" t="s">
        <v>172</v>
      </c>
      <c r="G1252" s="75" t="s">
        <v>172</v>
      </c>
      <c r="H1252" s="75">
        <v>0</v>
      </c>
      <c r="I1252" s="75">
        <v>0</v>
      </c>
      <c r="J1252" s="75"/>
      <c r="K1252" s="75">
        <v>0</v>
      </c>
      <c r="L1252" s="75">
        <v>5.3213000000000003E-2</v>
      </c>
      <c r="M1252" s="75">
        <v>0</v>
      </c>
      <c r="N1252" s="75">
        <v>0</v>
      </c>
      <c r="O1252" s="90" t="str">
        <f>IF(VLOOKUP(UncLookup[[#This Row],[Item]],Items!$A$1:$F$43,2,FALSE)=0,"",VLOOKUP(UncLookup[[#This Row],[Item]],Items!$A$1:$F$43,2,FALSE))</f>
        <v/>
      </c>
      <c r="P1252" s="90" t="str">
        <f>IF(VLOOKUP(UncLookup[[#This Row],[Item]],Items!$A$1:$F$43,3,FALSE)=0,"",VLOOKUP(UncLookup[[#This Row],[Item]],Items!$A$1:$F$43,3,FALSE))</f>
        <v/>
      </c>
      <c r="Q1252" s="90" t="str">
        <f>IF(VLOOKUP(UncLookup[[#This Row],[Item]],Items!$A$1:$F$43,4,FALSE)=0,"",VLOOKUP(UncLookup[[#This Row],[Item]],Items!$A$1:$F$43,4,FALSE))</f>
        <v/>
      </c>
    </row>
    <row r="1253" spans="1:17" x14ac:dyDescent="0.25">
      <c r="A1253" s="76" t="s">
        <v>55</v>
      </c>
      <c r="B1253" s="76" t="s">
        <v>100</v>
      </c>
      <c r="C1253" s="76">
        <v>1.0900000000000001E-4</v>
      </c>
      <c r="D1253" s="76">
        <v>1.0900999999999999E-6</v>
      </c>
      <c r="E1253" s="76">
        <v>1E-4</v>
      </c>
      <c r="F1253" s="76" t="s">
        <v>172</v>
      </c>
      <c r="G1253" s="76" t="s">
        <v>172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90" t="str">
        <f>IF(VLOOKUP(UncLookup[[#This Row],[Item]],Items!$A$1:$F$43,2,FALSE)=0,"",VLOOKUP(UncLookup[[#This Row],[Item]],Items!$A$1:$F$43,2,FALSE))</f>
        <v/>
      </c>
      <c r="P1253" s="90" t="str">
        <f>IF(VLOOKUP(UncLookup[[#This Row],[Item]],Items!$A$1:$F$43,3,FALSE)=0,"",VLOOKUP(UncLookup[[#This Row],[Item]],Items!$A$1:$F$43,3,FALSE))</f>
        <v/>
      </c>
      <c r="Q1253" s="90" t="str">
        <f>IF(VLOOKUP(UncLookup[[#This Row],[Item]],Items!$A$1:$F$43,4,FALSE)=0,"",VLOOKUP(UncLookup[[#This Row],[Item]],Items!$A$1:$F$43,4,FALSE))</f>
        <v/>
      </c>
    </row>
    <row r="1254" spans="1:17" x14ac:dyDescent="0.25">
      <c r="A1254" s="75" t="s">
        <v>55</v>
      </c>
      <c r="B1254" s="75" t="s">
        <v>100</v>
      </c>
      <c r="C1254" s="75">
        <v>1.09E-3</v>
      </c>
      <c r="D1254" s="75">
        <v>1.0900099999999999E-2</v>
      </c>
      <c r="E1254" s="75">
        <v>9.9999999999999995E-8</v>
      </c>
      <c r="F1254" s="75" t="s">
        <v>172</v>
      </c>
      <c r="G1254" s="75" t="s">
        <v>172</v>
      </c>
      <c r="H1254" s="75">
        <v>0</v>
      </c>
      <c r="I1254" s="75">
        <v>0</v>
      </c>
      <c r="J1254" s="75"/>
      <c r="K1254" s="75">
        <v>0</v>
      </c>
      <c r="L1254" s="75">
        <v>2.4000000000000001E-4</v>
      </c>
      <c r="M1254" s="75">
        <v>0</v>
      </c>
      <c r="N1254" s="75">
        <v>0</v>
      </c>
      <c r="O1254" s="90" t="str">
        <f>IF(VLOOKUP(UncLookup[[#This Row],[Item]],Items!$A$1:$F$43,2,FALSE)=0,"",VLOOKUP(UncLookup[[#This Row],[Item]],Items!$A$1:$F$43,2,FALSE))</f>
        <v/>
      </c>
      <c r="P1254" s="90" t="str">
        <f>IF(VLOOKUP(UncLookup[[#This Row],[Item]],Items!$A$1:$F$43,3,FALSE)=0,"",VLOOKUP(UncLookup[[#This Row],[Item]],Items!$A$1:$F$43,3,FALSE))</f>
        <v/>
      </c>
      <c r="Q1254" s="90" t="str">
        <f>IF(VLOOKUP(UncLookup[[#This Row],[Item]],Items!$A$1:$F$43,4,FALSE)=0,"",VLOOKUP(UncLookup[[#This Row],[Item]],Items!$A$1:$F$43,4,FALSE))</f>
        <v/>
      </c>
    </row>
    <row r="1255" spans="1:17" x14ac:dyDescent="0.25">
      <c r="A1255" s="76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172</v>
      </c>
      <c r="G1255" s="76" t="s">
        <v>172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90" t="str">
        <f>IF(VLOOKUP(UncLookup[[#This Row],[Item]],Items!$A$1:$F$43,2,FALSE)=0,"",VLOOKUP(UncLookup[[#This Row],[Item]],Items!$A$1:$F$43,2,FALSE))</f>
        <v/>
      </c>
      <c r="P1255" s="90" t="str">
        <f>IF(VLOOKUP(UncLookup[[#This Row],[Item]],Items!$A$1:$F$43,3,FALSE)=0,"",VLOOKUP(UncLookup[[#This Row],[Item]],Items!$A$1:$F$43,3,FALSE))</f>
        <v/>
      </c>
      <c r="Q1255" s="90" t="str">
        <f>IF(VLOOKUP(UncLookup[[#This Row],[Item]],Items!$A$1:$F$43,4,FALSE)=0,"",VLOOKUP(UncLookup[[#This Row],[Item]],Items!$A$1:$F$43,4,FALSE))</f>
        <v/>
      </c>
    </row>
    <row r="1256" spans="1:17" x14ac:dyDescent="0.25">
      <c r="A1256" s="75" t="s">
        <v>55</v>
      </c>
      <c r="B1256" s="75" t="s">
        <v>100</v>
      </c>
      <c r="C1256" s="75">
        <v>1.09E-3</v>
      </c>
      <c r="D1256" s="75">
        <v>1.0900099999999999E-2</v>
      </c>
      <c r="E1256" s="75">
        <v>1.0000000000000001E-5</v>
      </c>
      <c r="F1256" s="75" t="s">
        <v>172</v>
      </c>
      <c r="G1256" s="75" t="s">
        <v>172</v>
      </c>
      <c r="H1256" s="75">
        <v>0</v>
      </c>
      <c r="I1256" s="75">
        <v>0</v>
      </c>
      <c r="J1256" s="75"/>
      <c r="K1256" s="75">
        <v>0</v>
      </c>
      <c r="L1256" s="75">
        <v>5.3277000000000003E-3</v>
      </c>
      <c r="M1256" s="75">
        <v>0</v>
      </c>
      <c r="N1256" s="75">
        <v>0</v>
      </c>
      <c r="O1256" s="90" t="str">
        <f>IF(VLOOKUP(UncLookup[[#This Row],[Item]],Items!$A$1:$F$43,2,FALSE)=0,"",VLOOKUP(UncLookup[[#This Row],[Item]],Items!$A$1:$F$43,2,FALSE))</f>
        <v/>
      </c>
      <c r="P1256" s="90" t="str">
        <f>IF(VLOOKUP(UncLookup[[#This Row],[Item]],Items!$A$1:$F$43,3,FALSE)=0,"",VLOOKUP(UncLookup[[#This Row],[Item]],Items!$A$1:$F$43,3,FALSE))</f>
        <v/>
      </c>
      <c r="Q1256" s="90" t="str">
        <f>IF(VLOOKUP(UncLookup[[#This Row],[Item]],Items!$A$1:$F$43,4,FALSE)=0,"",VLOOKUP(UncLookup[[#This Row],[Item]],Items!$A$1:$F$43,4,FALSE))</f>
        <v/>
      </c>
    </row>
    <row r="1257" spans="1:17" x14ac:dyDescent="0.25">
      <c r="A1257" s="76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172</v>
      </c>
      <c r="G1257" s="76" t="s">
        <v>172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90" t="str">
        <f>IF(VLOOKUP(UncLookup[[#This Row],[Item]],Items!$A$1:$F$43,2,FALSE)=0,"",VLOOKUP(UncLookup[[#This Row],[Item]],Items!$A$1:$F$43,2,FALSE))</f>
        <v/>
      </c>
      <c r="P1257" s="90" t="str">
        <f>IF(VLOOKUP(UncLookup[[#This Row],[Item]],Items!$A$1:$F$43,3,FALSE)=0,"",VLOOKUP(UncLookup[[#This Row],[Item]],Items!$A$1:$F$43,3,FALSE))</f>
        <v/>
      </c>
      <c r="Q1257" s="90" t="str">
        <f>IF(VLOOKUP(UncLookup[[#This Row],[Item]],Items!$A$1:$F$43,4,FALSE)=0,"",VLOOKUP(UncLookup[[#This Row],[Item]],Items!$A$1:$F$43,4,FALSE))</f>
        <v/>
      </c>
    </row>
    <row r="1258" spans="1:17" x14ac:dyDescent="0.25">
      <c r="A1258" s="75" t="s">
        <v>55</v>
      </c>
      <c r="B1258" s="75" t="s">
        <v>100</v>
      </c>
      <c r="C1258" s="75">
        <v>1.09E-3</v>
      </c>
      <c r="D1258" s="75">
        <v>1.0900099999999999E-2</v>
      </c>
      <c r="E1258" s="75">
        <v>1E-3</v>
      </c>
      <c r="F1258" s="75" t="s">
        <v>172</v>
      </c>
      <c r="G1258" s="75" t="s">
        <v>172</v>
      </c>
      <c r="H1258" s="75">
        <v>0</v>
      </c>
      <c r="I1258" s="75">
        <v>0</v>
      </c>
      <c r="J1258" s="75"/>
      <c r="K1258" s="75">
        <v>0</v>
      </c>
      <c r="L1258" s="75">
        <v>0.53210999999999997</v>
      </c>
      <c r="M1258" s="75">
        <v>0</v>
      </c>
      <c r="N1258" s="75">
        <v>0</v>
      </c>
      <c r="O1258" s="90" t="str">
        <f>IF(VLOOKUP(UncLookup[[#This Row],[Item]],Items!$A$1:$F$43,2,FALSE)=0,"",VLOOKUP(UncLookup[[#This Row],[Item]],Items!$A$1:$F$43,2,FALSE))</f>
        <v/>
      </c>
      <c r="P1258" s="90" t="str">
        <f>IF(VLOOKUP(UncLookup[[#This Row],[Item]],Items!$A$1:$F$43,3,FALSE)=0,"",VLOOKUP(UncLookup[[#This Row],[Item]],Items!$A$1:$F$43,3,FALSE))</f>
        <v/>
      </c>
      <c r="Q1258" s="90" t="str">
        <f>IF(VLOOKUP(UncLookup[[#This Row],[Item]],Items!$A$1:$F$43,4,FALSE)=0,"",VLOOKUP(UncLookup[[#This Row],[Item]],Items!$A$1:$F$43,4,FALSE))</f>
        <v/>
      </c>
    </row>
    <row r="1259" spans="1:17" x14ac:dyDescent="0.25">
      <c r="A1259" s="76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172</v>
      </c>
      <c r="G1259" s="76" t="s">
        <v>172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90" t="str">
        <f>IF(VLOOKUP(UncLookup[[#This Row],[Item]],Items!$A$1:$F$43,2,FALSE)=0,"",VLOOKUP(UncLookup[[#This Row],[Item]],Items!$A$1:$F$43,2,FALSE))</f>
        <v/>
      </c>
      <c r="P1259" s="90" t="str">
        <f>IF(VLOOKUP(UncLookup[[#This Row],[Item]],Items!$A$1:$F$43,3,FALSE)=0,"",VLOOKUP(UncLookup[[#This Row],[Item]],Items!$A$1:$F$43,3,FALSE))</f>
        <v/>
      </c>
      <c r="Q1259" s="90" t="str">
        <f>IF(VLOOKUP(UncLookup[[#This Row],[Item]],Items!$A$1:$F$43,4,FALSE)=0,"",VLOOKUP(UncLookup[[#This Row],[Item]],Items!$A$1:$F$43,4,FALSE))</f>
        <v/>
      </c>
    </row>
    <row r="1260" spans="1:17" x14ac:dyDescent="0.25">
      <c r="A1260" s="75" t="s">
        <v>55</v>
      </c>
      <c r="B1260" s="75" t="s">
        <v>100</v>
      </c>
      <c r="C1260" s="75">
        <v>1.09E-2</v>
      </c>
      <c r="D1260" s="75">
        <v>0.1090001</v>
      </c>
      <c r="E1260" s="75">
        <v>1.0000000000000001E-5</v>
      </c>
      <c r="F1260" s="75" t="s">
        <v>172</v>
      </c>
      <c r="G1260" s="75" t="s">
        <v>172</v>
      </c>
      <c r="H1260" s="75">
        <v>0</v>
      </c>
      <c r="I1260" s="75">
        <v>0</v>
      </c>
      <c r="J1260" s="75"/>
      <c r="K1260" s="75">
        <v>0</v>
      </c>
      <c r="L1260" s="75">
        <v>5.6395000000000002E-4</v>
      </c>
      <c r="M1260" s="75">
        <v>0</v>
      </c>
      <c r="N1260" s="75">
        <v>0</v>
      </c>
      <c r="O1260" s="90" t="str">
        <f>IF(VLOOKUP(UncLookup[[#This Row],[Item]],Items!$A$1:$F$43,2,FALSE)=0,"",VLOOKUP(UncLookup[[#This Row],[Item]],Items!$A$1:$F$43,2,FALSE))</f>
        <v/>
      </c>
      <c r="P1260" s="90" t="str">
        <f>IF(VLOOKUP(UncLookup[[#This Row],[Item]],Items!$A$1:$F$43,3,FALSE)=0,"",VLOOKUP(UncLookup[[#This Row],[Item]],Items!$A$1:$F$43,3,FALSE))</f>
        <v/>
      </c>
      <c r="Q1260" s="90" t="str">
        <f>IF(VLOOKUP(UncLookup[[#This Row],[Item]],Items!$A$1:$F$43,4,FALSE)=0,"",VLOOKUP(UncLookup[[#This Row],[Item]],Items!$A$1:$F$43,4,FALSE))</f>
        <v/>
      </c>
    </row>
    <row r="1261" spans="1:17" x14ac:dyDescent="0.25">
      <c r="A1261" s="76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172</v>
      </c>
      <c r="G1261" s="76" t="s">
        <v>172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90" t="str">
        <f>IF(VLOOKUP(UncLookup[[#This Row],[Item]],Items!$A$1:$F$43,2,FALSE)=0,"",VLOOKUP(UncLookup[[#This Row],[Item]],Items!$A$1:$F$43,2,FALSE))</f>
        <v/>
      </c>
      <c r="P1261" s="90" t="str">
        <f>IF(VLOOKUP(UncLookup[[#This Row],[Item]],Items!$A$1:$F$43,3,FALSE)=0,"",VLOOKUP(UncLookup[[#This Row],[Item]],Items!$A$1:$F$43,3,FALSE))</f>
        <v/>
      </c>
      <c r="Q1261" s="90" t="str">
        <f>IF(VLOOKUP(UncLookup[[#This Row],[Item]],Items!$A$1:$F$43,4,FALSE)=0,"",VLOOKUP(UncLookup[[#This Row],[Item]],Items!$A$1:$F$43,4,FALSE))</f>
        <v/>
      </c>
    </row>
    <row r="1262" spans="1:17" x14ac:dyDescent="0.25">
      <c r="A1262" s="75" t="s">
        <v>55</v>
      </c>
      <c r="B1262" s="75" t="s">
        <v>100</v>
      </c>
      <c r="C1262" s="75">
        <v>1.09E-2</v>
      </c>
      <c r="D1262" s="75">
        <v>0.1090001</v>
      </c>
      <c r="E1262" s="75">
        <v>1E-3</v>
      </c>
      <c r="F1262" s="75" t="s">
        <v>172</v>
      </c>
      <c r="G1262" s="75" t="s">
        <v>172</v>
      </c>
      <c r="H1262" s="75">
        <v>0</v>
      </c>
      <c r="I1262" s="75">
        <v>0</v>
      </c>
      <c r="J1262" s="75"/>
      <c r="K1262" s="75">
        <v>0</v>
      </c>
      <c r="L1262" s="75">
        <v>5.3261000000000003E-2</v>
      </c>
      <c r="M1262" s="75">
        <v>0</v>
      </c>
      <c r="N1262" s="75">
        <v>0</v>
      </c>
      <c r="O1262" s="90" t="str">
        <f>IF(VLOOKUP(UncLookup[[#This Row],[Item]],Items!$A$1:$F$43,2,FALSE)=0,"",VLOOKUP(UncLookup[[#This Row],[Item]],Items!$A$1:$F$43,2,FALSE))</f>
        <v/>
      </c>
      <c r="P1262" s="90" t="str">
        <f>IF(VLOOKUP(UncLookup[[#This Row],[Item]],Items!$A$1:$F$43,3,FALSE)=0,"",VLOOKUP(UncLookup[[#This Row],[Item]],Items!$A$1:$F$43,3,FALSE))</f>
        <v/>
      </c>
      <c r="Q1262" s="90" t="str">
        <f>IF(VLOOKUP(UncLookup[[#This Row],[Item]],Items!$A$1:$F$43,4,FALSE)=0,"",VLOOKUP(UncLookup[[#This Row],[Item]],Items!$A$1:$F$43,4,FALSE))</f>
        <v/>
      </c>
    </row>
    <row r="1263" spans="1:17" x14ac:dyDescent="0.25">
      <c r="A1263" s="76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172</v>
      </c>
      <c r="G1263" s="76" t="s">
        <v>172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90" t="str">
        <f>IF(VLOOKUP(UncLookup[[#This Row],[Item]],Items!$A$1:$F$43,2,FALSE)=0,"",VLOOKUP(UncLookup[[#This Row],[Item]],Items!$A$1:$F$43,2,FALSE))</f>
        <v/>
      </c>
      <c r="P1263" s="90" t="str">
        <f>IF(VLOOKUP(UncLookup[[#This Row],[Item]],Items!$A$1:$F$43,3,FALSE)=0,"",VLOOKUP(UncLookup[[#This Row],[Item]],Items!$A$1:$F$43,3,FALSE))</f>
        <v/>
      </c>
      <c r="Q1263" s="90" t="str">
        <f>IF(VLOOKUP(UncLookup[[#This Row],[Item]],Items!$A$1:$F$43,4,FALSE)=0,"",VLOOKUP(UncLookup[[#This Row],[Item]],Items!$A$1:$F$43,4,FALSE))</f>
        <v/>
      </c>
    </row>
    <row r="1264" spans="1:17" x14ac:dyDescent="0.25">
      <c r="A1264" s="75" t="s">
        <v>55</v>
      </c>
      <c r="B1264" s="75" t="s">
        <v>100</v>
      </c>
      <c r="C1264" s="75">
        <v>0.109</v>
      </c>
      <c r="D1264" s="75">
        <v>1.0901000000000001</v>
      </c>
      <c r="E1264" s="75">
        <v>1.0000000000000001E-5</v>
      </c>
      <c r="F1264" s="75" t="s">
        <v>172</v>
      </c>
      <c r="G1264" s="75" t="s">
        <v>172</v>
      </c>
      <c r="H1264" s="75">
        <v>0</v>
      </c>
      <c r="I1264" s="75">
        <v>0</v>
      </c>
      <c r="J1264" s="75"/>
      <c r="K1264" s="75">
        <v>0</v>
      </c>
      <c r="L1264" s="75">
        <v>2.3000000000000001E-4</v>
      </c>
      <c r="M1264" s="75">
        <v>0</v>
      </c>
      <c r="N1264" s="75">
        <v>0</v>
      </c>
      <c r="O1264" s="90" t="str">
        <f>IF(VLOOKUP(UncLookup[[#This Row],[Item]],Items!$A$1:$F$43,2,FALSE)=0,"",VLOOKUP(UncLookup[[#This Row],[Item]],Items!$A$1:$F$43,2,FALSE))</f>
        <v/>
      </c>
      <c r="P1264" s="90" t="str">
        <f>IF(VLOOKUP(UncLookup[[#This Row],[Item]],Items!$A$1:$F$43,3,FALSE)=0,"",VLOOKUP(UncLookup[[#This Row],[Item]],Items!$A$1:$F$43,3,FALSE))</f>
        <v/>
      </c>
      <c r="Q1264" s="90" t="str">
        <f>IF(VLOOKUP(UncLookup[[#This Row],[Item]],Items!$A$1:$F$43,4,FALSE)=0,"",VLOOKUP(UncLookup[[#This Row],[Item]],Items!$A$1:$F$43,4,FALSE))</f>
        <v/>
      </c>
    </row>
    <row r="1265" spans="1:17" x14ac:dyDescent="0.25">
      <c r="A1265" s="76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172</v>
      </c>
      <c r="G1265" s="76" t="s">
        <v>172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90" t="str">
        <f>IF(VLOOKUP(UncLookup[[#This Row],[Item]],Items!$A$1:$F$43,2,FALSE)=0,"",VLOOKUP(UncLookup[[#This Row],[Item]],Items!$A$1:$F$43,2,FALSE))</f>
        <v/>
      </c>
      <c r="P1265" s="90" t="str">
        <f>IF(VLOOKUP(UncLookup[[#This Row],[Item]],Items!$A$1:$F$43,3,FALSE)=0,"",VLOOKUP(UncLookup[[#This Row],[Item]],Items!$A$1:$F$43,3,FALSE))</f>
        <v/>
      </c>
      <c r="Q1265" s="90" t="str">
        <f>IF(VLOOKUP(UncLookup[[#This Row],[Item]],Items!$A$1:$F$43,4,FALSE)=0,"",VLOOKUP(UncLookup[[#This Row],[Item]],Items!$A$1:$F$43,4,FALSE))</f>
        <v/>
      </c>
    </row>
    <row r="1266" spans="1:17" x14ac:dyDescent="0.25">
      <c r="A1266" s="75" t="s">
        <v>55</v>
      </c>
      <c r="B1266" s="75" t="s">
        <v>100</v>
      </c>
      <c r="C1266" s="75">
        <v>0.109</v>
      </c>
      <c r="D1266" s="75">
        <v>1.0901000000000001</v>
      </c>
      <c r="E1266" s="75">
        <v>1E-3</v>
      </c>
      <c r="F1266" s="75" t="s">
        <v>172</v>
      </c>
      <c r="G1266" s="75" t="s">
        <v>172</v>
      </c>
      <c r="H1266" s="75">
        <v>0</v>
      </c>
      <c r="I1266" s="75">
        <v>0</v>
      </c>
      <c r="J1266" s="75"/>
      <c r="K1266" s="75">
        <v>0</v>
      </c>
      <c r="L1266" s="75">
        <v>5.3324000000000002E-3</v>
      </c>
      <c r="M1266" s="75">
        <v>0</v>
      </c>
      <c r="N1266" s="75">
        <v>0</v>
      </c>
      <c r="O1266" s="90" t="str">
        <f>IF(VLOOKUP(UncLookup[[#This Row],[Item]],Items!$A$1:$F$43,2,FALSE)=0,"",VLOOKUP(UncLookup[[#This Row],[Item]],Items!$A$1:$F$43,2,FALSE))</f>
        <v/>
      </c>
      <c r="P1266" s="90" t="str">
        <f>IF(VLOOKUP(UncLookup[[#This Row],[Item]],Items!$A$1:$F$43,3,FALSE)=0,"",VLOOKUP(UncLookup[[#This Row],[Item]],Items!$A$1:$F$43,3,FALSE))</f>
        <v/>
      </c>
      <c r="Q1266" s="90" t="str">
        <f>IF(VLOOKUP(UncLookup[[#This Row],[Item]],Items!$A$1:$F$43,4,FALSE)=0,"",VLOOKUP(UncLookup[[#This Row],[Item]],Items!$A$1:$F$43,4,FALSE))</f>
        <v/>
      </c>
    </row>
    <row r="1267" spans="1:17" x14ac:dyDescent="0.25">
      <c r="A1267" s="76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172</v>
      </c>
      <c r="G1267" s="76" t="s">
        <v>172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90" t="str">
        <f>IF(VLOOKUP(UncLookup[[#This Row],[Item]],Items!$A$1:$F$43,2,FALSE)=0,"",VLOOKUP(UncLookup[[#This Row],[Item]],Items!$A$1:$F$43,2,FALSE))</f>
        <v/>
      </c>
      <c r="P1267" s="90" t="str">
        <f>IF(VLOOKUP(UncLookup[[#This Row],[Item]],Items!$A$1:$F$43,3,FALSE)=0,"",VLOOKUP(UncLookup[[#This Row],[Item]],Items!$A$1:$F$43,3,FALSE))</f>
        <v/>
      </c>
      <c r="Q1267" s="90" t="str">
        <f>IF(VLOOKUP(UncLookup[[#This Row],[Item]],Items!$A$1:$F$43,4,FALSE)=0,"",VLOOKUP(UncLookup[[#This Row],[Item]],Items!$A$1:$F$43,4,FALSE))</f>
        <v/>
      </c>
    </row>
    <row r="1268" spans="1:17" x14ac:dyDescent="0.25">
      <c r="A1268" s="75" t="s">
        <v>55</v>
      </c>
      <c r="B1268" s="75" t="s">
        <v>100</v>
      </c>
      <c r="C1268" s="75">
        <v>0.109</v>
      </c>
      <c r="D1268" s="75">
        <v>1.0901000000000001</v>
      </c>
      <c r="E1268" s="75">
        <v>0.1</v>
      </c>
      <c r="F1268" s="75" t="s">
        <v>172</v>
      </c>
      <c r="G1268" s="75" t="s">
        <v>172</v>
      </c>
      <c r="H1268" s="75">
        <v>0</v>
      </c>
      <c r="I1268" s="75">
        <v>0</v>
      </c>
      <c r="J1268" s="75"/>
      <c r="K1268" s="75">
        <v>0</v>
      </c>
      <c r="L1268" s="75">
        <v>0.53259999999999996</v>
      </c>
      <c r="M1268" s="75">
        <v>0</v>
      </c>
      <c r="N1268" s="75">
        <v>0</v>
      </c>
      <c r="O1268" s="90" t="str">
        <f>IF(VLOOKUP(UncLookup[[#This Row],[Item]],Items!$A$1:$F$43,2,FALSE)=0,"",VLOOKUP(UncLookup[[#This Row],[Item]],Items!$A$1:$F$43,2,FALSE))</f>
        <v/>
      </c>
      <c r="P1268" s="90" t="str">
        <f>IF(VLOOKUP(UncLookup[[#This Row],[Item]],Items!$A$1:$F$43,3,FALSE)=0,"",VLOOKUP(UncLookup[[#This Row],[Item]],Items!$A$1:$F$43,3,FALSE))</f>
        <v/>
      </c>
      <c r="Q1268" s="90" t="str">
        <f>IF(VLOOKUP(UncLookup[[#This Row],[Item]],Items!$A$1:$F$43,4,FALSE)=0,"",VLOOKUP(UncLookup[[#This Row],[Item]],Items!$A$1:$F$43,4,FALSE))</f>
        <v/>
      </c>
    </row>
    <row r="1269" spans="1:17" x14ac:dyDescent="0.25">
      <c r="A1269" s="76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172</v>
      </c>
      <c r="G1269" s="76" t="s">
        <v>172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90" t="str">
        <f>IF(VLOOKUP(UncLookup[[#This Row],[Item]],Items!$A$1:$F$43,2,FALSE)=0,"",VLOOKUP(UncLookup[[#This Row],[Item]],Items!$A$1:$F$43,2,FALSE))</f>
        <v/>
      </c>
      <c r="P1269" s="90" t="str">
        <f>IF(VLOOKUP(UncLookup[[#This Row],[Item]],Items!$A$1:$F$43,3,FALSE)=0,"",VLOOKUP(UncLookup[[#This Row],[Item]],Items!$A$1:$F$43,3,FALSE))</f>
        <v/>
      </c>
      <c r="Q1269" s="90" t="str">
        <f>IF(VLOOKUP(UncLookup[[#This Row],[Item]],Items!$A$1:$F$43,4,FALSE)=0,"",VLOOKUP(UncLookup[[#This Row],[Item]],Items!$A$1:$F$43,4,FALSE))</f>
        <v/>
      </c>
    </row>
    <row r="1270" spans="1:17" x14ac:dyDescent="0.25">
      <c r="A1270" s="75" t="s">
        <v>55</v>
      </c>
      <c r="B1270" s="75" t="s">
        <v>100</v>
      </c>
      <c r="C1270" s="75">
        <v>1.0900000000000001</v>
      </c>
      <c r="D1270" s="75">
        <v>10.9001</v>
      </c>
      <c r="E1270" s="75">
        <v>1E-3</v>
      </c>
      <c r="F1270" s="75" t="s">
        <v>172</v>
      </c>
      <c r="G1270" s="75" t="s">
        <v>172</v>
      </c>
      <c r="H1270" s="75">
        <v>0</v>
      </c>
      <c r="I1270" s="75">
        <v>0</v>
      </c>
      <c r="J1270" s="75"/>
      <c r="K1270" s="75">
        <v>0</v>
      </c>
      <c r="L1270" s="75">
        <v>5.7824999999999999E-4</v>
      </c>
      <c r="M1270" s="75">
        <v>0</v>
      </c>
      <c r="N1270" s="75">
        <v>0</v>
      </c>
      <c r="O1270" s="90" t="str">
        <f>IF(VLOOKUP(UncLookup[[#This Row],[Item]],Items!$A$1:$F$43,2,FALSE)=0,"",VLOOKUP(UncLookup[[#This Row],[Item]],Items!$A$1:$F$43,2,FALSE))</f>
        <v/>
      </c>
      <c r="P1270" s="90" t="str">
        <f>IF(VLOOKUP(UncLookup[[#This Row],[Item]],Items!$A$1:$F$43,3,FALSE)=0,"",VLOOKUP(UncLookup[[#This Row],[Item]],Items!$A$1:$F$43,3,FALSE))</f>
        <v/>
      </c>
      <c r="Q1270" s="90" t="str">
        <f>IF(VLOOKUP(UncLookup[[#This Row],[Item]],Items!$A$1:$F$43,4,FALSE)=0,"",VLOOKUP(UncLookup[[#This Row],[Item]],Items!$A$1:$F$43,4,FALSE))</f>
        <v/>
      </c>
    </row>
    <row r="1271" spans="1:17" x14ac:dyDescent="0.25">
      <c r="A1271" s="76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172</v>
      </c>
      <c r="G1271" s="76" t="s">
        <v>172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90" t="str">
        <f>IF(VLOOKUP(UncLookup[[#This Row],[Item]],Items!$A$1:$F$43,2,FALSE)=0,"",VLOOKUP(UncLookup[[#This Row],[Item]],Items!$A$1:$F$43,2,FALSE))</f>
        <v/>
      </c>
      <c r="P1271" s="90" t="str">
        <f>IF(VLOOKUP(UncLookup[[#This Row],[Item]],Items!$A$1:$F$43,3,FALSE)=0,"",VLOOKUP(UncLookup[[#This Row],[Item]],Items!$A$1:$F$43,3,FALSE))</f>
        <v/>
      </c>
      <c r="Q1271" s="90" t="str">
        <f>IF(VLOOKUP(UncLookup[[#This Row],[Item]],Items!$A$1:$F$43,4,FALSE)=0,"",VLOOKUP(UncLookup[[#This Row],[Item]],Items!$A$1:$F$43,4,FALSE))</f>
        <v/>
      </c>
    </row>
    <row r="1272" spans="1:17" x14ac:dyDescent="0.25">
      <c r="A1272" s="75" t="s">
        <v>55</v>
      </c>
      <c r="B1272" s="75" t="s">
        <v>100</v>
      </c>
      <c r="C1272" s="75">
        <v>1.0900000000000001</v>
      </c>
      <c r="D1272" s="75">
        <v>10.9001</v>
      </c>
      <c r="E1272" s="75">
        <v>0.1</v>
      </c>
      <c r="F1272" s="75" t="s">
        <v>172</v>
      </c>
      <c r="G1272" s="75" t="s">
        <v>172</v>
      </c>
      <c r="H1272" s="75">
        <v>0</v>
      </c>
      <c r="I1272" s="75">
        <v>0</v>
      </c>
      <c r="J1272" s="75"/>
      <c r="K1272" s="75">
        <v>0</v>
      </c>
      <c r="L1272" s="75">
        <v>5.3261000000000003E-2</v>
      </c>
      <c r="M1272" s="75">
        <v>0</v>
      </c>
      <c r="N1272" s="75">
        <v>0</v>
      </c>
      <c r="O1272" s="90" t="str">
        <f>IF(VLOOKUP(UncLookup[[#This Row],[Item]],Items!$A$1:$F$43,2,FALSE)=0,"",VLOOKUP(UncLookup[[#This Row],[Item]],Items!$A$1:$F$43,2,FALSE))</f>
        <v/>
      </c>
      <c r="P1272" s="90" t="str">
        <f>IF(VLOOKUP(UncLookup[[#This Row],[Item]],Items!$A$1:$F$43,3,FALSE)=0,"",VLOOKUP(UncLookup[[#This Row],[Item]],Items!$A$1:$F$43,3,FALSE))</f>
        <v/>
      </c>
      <c r="Q1272" s="90" t="str">
        <f>IF(VLOOKUP(UncLookup[[#This Row],[Item]],Items!$A$1:$F$43,4,FALSE)=0,"",VLOOKUP(UncLookup[[#This Row],[Item]],Items!$A$1:$F$43,4,FALSE))</f>
        <v/>
      </c>
    </row>
    <row r="1273" spans="1:17" x14ac:dyDescent="0.25">
      <c r="A1273" s="76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172</v>
      </c>
      <c r="G1273" s="76" t="s">
        <v>172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90" t="str">
        <f>IF(VLOOKUP(UncLookup[[#This Row],[Item]],Items!$A$1:$F$43,2,FALSE)=0,"",VLOOKUP(UncLookup[[#This Row],[Item]],Items!$A$1:$F$43,2,FALSE))</f>
        <v/>
      </c>
      <c r="P1273" s="90" t="str">
        <f>IF(VLOOKUP(UncLookup[[#This Row],[Item]],Items!$A$1:$F$43,3,FALSE)=0,"",VLOOKUP(UncLookup[[#This Row],[Item]],Items!$A$1:$F$43,3,FALSE))</f>
        <v/>
      </c>
      <c r="Q1273" s="90" t="str">
        <f>IF(VLOOKUP(UncLookup[[#This Row],[Item]],Items!$A$1:$F$43,4,FALSE)=0,"",VLOOKUP(UncLookup[[#This Row],[Item]],Items!$A$1:$F$43,4,FALSE))</f>
        <v/>
      </c>
    </row>
    <row r="1274" spans="1:17" x14ac:dyDescent="0.25">
      <c r="A1274" s="75" t="s">
        <v>55</v>
      </c>
      <c r="B1274" s="75" t="s">
        <v>100</v>
      </c>
      <c r="C1274" s="75">
        <v>10.9</v>
      </c>
      <c r="D1274" s="75">
        <v>109.0001</v>
      </c>
      <c r="E1274" s="75">
        <v>1E-3</v>
      </c>
      <c r="F1274" s="75" t="s">
        <v>172</v>
      </c>
      <c r="G1274" s="75" t="s">
        <v>172</v>
      </c>
      <c r="H1274" s="75">
        <v>0</v>
      </c>
      <c r="I1274" s="75">
        <v>0</v>
      </c>
      <c r="J1274" s="75"/>
      <c r="K1274" s="75">
        <v>0</v>
      </c>
      <c r="L1274" s="75">
        <v>2.3000000000000001E-4</v>
      </c>
      <c r="M1274" s="75">
        <v>0</v>
      </c>
      <c r="N1274" s="75">
        <v>0</v>
      </c>
      <c r="O1274" s="90" t="str">
        <f>IF(VLOOKUP(UncLookup[[#This Row],[Item]],Items!$A$1:$F$43,2,FALSE)=0,"",VLOOKUP(UncLookup[[#This Row],[Item]],Items!$A$1:$F$43,2,FALSE))</f>
        <v/>
      </c>
      <c r="P1274" s="90" t="str">
        <f>IF(VLOOKUP(UncLookup[[#This Row],[Item]],Items!$A$1:$F$43,3,FALSE)=0,"",VLOOKUP(UncLookup[[#This Row],[Item]],Items!$A$1:$F$43,3,FALSE))</f>
        <v/>
      </c>
      <c r="Q1274" s="90" t="str">
        <f>IF(VLOOKUP(UncLookup[[#This Row],[Item]],Items!$A$1:$F$43,4,FALSE)=0,"",VLOOKUP(UncLookup[[#This Row],[Item]],Items!$A$1:$F$43,4,FALSE))</f>
        <v/>
      </c>
    </row>
    <row r="1275" spans="1:17" x14ac:dyDescent="0.25">
      <c r="A1275" s="76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172</v>
      </c>
      <c r="G1275" s="76" t="s">
        <v>172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90" t="str">
        <f>IF(VLOOKUP(UncLookup[[#This Row],[Item]],Items!$A$1:$F$43,2,FALSE)=0,"",VLOOKUP(UncLookup[[#This Row],[Item]],Items!$A$1:$F$43,2,FALSE))</f>
        <v/>
      </c>
      <c r="P1275" s="90" t="str">
        <f>IF(VLOOKUP(UncLookup[[#This Row],[Item]],Items!$A$1:$F$43,3,FALSE)=0,"",VLOOKUP(UncLookup[[#This Row],[Item]],Items!$A$1:$F$43,3,FALSE))</f>
        <v/>
      </c>
      <c r="Q1275" s="90" t="str">
        <f>IF(VLOOKUP(UncLookup[[#This Row],[Item]],Items!$A$1:$F$43,4,FALSE)=0,"",VLOOKUP(UncLookup[[#This Row],[Item]],Items!$A$1:$F$43,4,FALSE))</f>
        <v/>
      </c>
    </row>
    <row r="1276" spans="1:17" x14ac:dyDescent="0.25">
      <c r="A1276" s="75" t="s">
        <v>55</v>
      </c>
      <c r="B1276" s="75" t="s">
        <v>100</v>
      </c>
      <c r="C1276" s="75">
        <v>10.9</v>
      </c>
      <c r="D1276" s="75">
        <v>109.0001</v>
      </c>
      <c r="E1276" s="75">
        <v>0.1</v>
      </c>
      <c r="F1276" s="75" t="s">
        <v>172</v>
      </c>
      <c r="G1276" s="75" t="s">
        <v>172</v>
      </c>
      <c r="H1276" s="75">
        <v>0</v>
      </c>
      <c r="I1276" s="75">
        <v>0</v>
      </c>
      <c r="J1276" s="75"/>
      <c r="K1276" s="75">
        <v>0</v>
      </c>
      <c r="L1276" s="75">
        <v>5.3322999999999999E-3</v>
      </c>
      <c r="M1276" s="75">
        <v>0</v>
      </c>
      <c r="N1276" s="75">
        <v>0</v>
      </c>
      <c r="O1276" s="90" t="str">
        <f>IF(VLOOKUP(UncLookup[[#This Row],[Item]],Items!$A$1:$F$43,2,FALSE)=0,"",VLOOKUP(UncLookup[[#This Row],[Item]],Items!$A$1:$F$43,2,FALSE))</f>
        <v/>
      </c>
      <c r="P1276" s="90" t="str">
        <f>IF(VLOOKUP(UncLookup[[#This Row],[Item]],Items!$A$1:$F$43,3,FALSE)=0,"",VLOOKUP(UncLookup[[#This Row],[Item]],Items!$A$1:$F$43,3,FALSE))</f>
        <v/>
      </c>
      <c r="Q1276" s="90" t="str">
        <f>IF(VLOOKUP(UncLookup[[#This Row],[Item]],Items!$A$1:$F$43,4,FALSE)=0,"",VLOOKUP(UncLookup[[#This Row],[Item]],Items!$A$1:$F$43,4,FALSE))</f>
        <v/>
      </c>
    </row>
    <row r="1277" spans="1:17" x14ac:dyDescent="0.25">
      <c r="A1277" s="76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172</v>
      </c>
      <c r="G1277" s="76" t="s">
        <v>172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90" t="str">
        <f>IF(VLOOKUP(UncLookup[[#This Row],[Item]],Items!$A$1:$F$43,2,FALSE)=0,"",VLOOKUP(UncLookup[[#This Row],[Item]],Items!$A$1:$F$43,2,FALSE))</f>
        <v/>
      </c>
      <c r="P1277" s="90" t="str">
        <f>IF(VLOOKUP(UncLookup[[#This Row],[Item]],Items!$A$1:$F$43,3,FALSE)=0,"",VLOOKUP(UncLookup[[#This Row],[Item]],Items!$A$1:$F$43,3,FALSE))</f>
        <v/>
      </c>
      <c r="Q1277" s="90" t="str">
        <f>IF(VLOOKUP(UncLookup[[#This Row],[Item]],Items!$A$1:$F$43,4,FALSE)=0,"",VLOOKUP(UncLookup[[#This Row],[Item]],Items!$A$1:$F$43,4,FALSE))</f>
        <v/>
      </c>
    </row>
    <row r="1278" spans="1:17" x14ac:dyDescent="0.25">
      <c r="A1278" s="75" t="s">
        <v>55</v>
      </c>
      <c r="B1278" s="75" t="s">
        <v>100</v>
      </c>
      <c r="C1278" s="75">
        <v>10.9</v>
      </c>
      <c r="D1278" s="75">
        <v>109.0001</v>
      </c>
      <c r="E1278" s="75">
        <v>10</v>
      </c>
      <c r="F1278" s="75" t="s">
        <v>172</v>
      </c>
      <c r="G1278" s="75" t="s">
        <v>172</v>
      </c>
      <c r="H1278" s="75">
        <v>0</v>
      </c>
      <c r="I1278" s="75">
        <v>0</v>
      </c>
      <c r="J1278" s="75"/>
      <c r="K1278" s="75">
        <v>0</v>
      </c>
      <c r="L1278" s="75">
        <v>0.53259999999999996</v>
      </c>
      <c r="M1278" s="75">
        <v>0</v>
      </c>
      <c r="N1278" s="75">
        <v>0</v>
      </c>
      <c r="O1278" s="90" t="str">
        <f>IF(VLOOKUP(UncLookup[[#This Row],[Item]],Items!$A$1:$F$43,2,FALSE)=0,"",VLOOKUP(UncLookup[[#This Row],[Item]],Items!$A$1:$F$43,2,FALSE))</f>
        <v/>
      </c>
      <c r="P1278" s="90" t="str">
        <f>IF(VLOOKUP(UncLookup[[#This Row],[Item]],Items!$A$1:$F$43,3,FALSE)=0,"",VLOOKUP(UncLookup[[#This Row],[Item]],Items!$A$1:$F$43,3,FALSE))</f>
        <v/>
      </c>
      <c r="Q1278" s="90" t="str">
        <f>IF(VLOOKUP(UncLookup[[#This Row],[Item]],Items!$A$1:$F$43,4,FALSE)=0,"",VLOOKUP(UncLookup[[#This Row],[Item]],Items!$A$1:$F$43,4,FALSE))</f>
        <v/>
      </c>
    </row>
    <row r="1279" spans="1:17" x14ac:dyDescent="0.25">
      <c r="A1279" s="76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172</v>
      </c>
      <c r="G1279" s="76" t="s">
        <v>172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90" t="str">
        <f>IF(VLOOKUP(UncLookup[[#This Row],[Item]],Items!$A$1:$F$43,2,FALSE)=0,"",VLOOKUP(UncLookup[[#This Row],[Item]],Items!$A$1:$F$43,2,FALSE))</f>
        <v/>
      </c>
      <c r="P1279" s="90" t="str">
        <f>IF(VLOOKUP(UncLookup[[#This Row],[Item]],Items!$A$1:$F$43,3,FALSE)=0,"",VLOOKUP(UncLookup[[#This Row],[Item]],Items!$A$1:$F$43,3,FALSE))</f>
        <v/>
      </c>
      <c r="Q1279" s="90" t="str">
        <f>IF(VLOOKUP(UncLookup[[#This Row],[Item]],Items!$A$1:$F$43,4,FALSE)=0,"",VLOOKUP(UncLookup[[#This Row],[Item]],Items!$A$1:$F$43,4,FALSE))</f>
        <v/>
      </c>
    </row>
    <row r="1280" spans="1:17" x14ac:dyDescent="0.25">
      <c r="A1280" s="75" t="s">
        <v>55</v>
      </c>
      <c r="B1280" s="75" t="s">
        <v>100</v>
      </c>
      <c r="C1280" s="75">
        <v>109</v>
      </c>
      <c r="D1280" s="75">
        <v>330.00009999999997</v>
      </c>
      <c r="E1280" s="75">
        <v>0.01</v>
      </c>
      <c r="F1280" s="75" t="s">
        <v>172</v>
      </c>
      <c r="G1280" s="75" t="s">
        <v>172</v>
      </c>
      <c r="H1280" s="75">
        <v>0</v>
      </c>
      <c r="I1280" s="75">
        <v>0</v>
      </c>
      <c r="J1280" s="75"/>
      <c r="K1280" s="75">
        <v>0</v>
      </c>
      <c r="L1280" s="75">
        <v>1.5254999999999999E-4</v>
      </c>
      <c r="M1280" s="75">
        <v>0</v>
      </c>
      <c r="N1280" s="75">
        <v>0</v>
      </c>
      <c r="O1280" s="90" t="str">
        <f>IF(VLOOKUP(UncLookup[[#This Row],[Item]],Items!$A$1:$F$43,2,FALSE)=0,"",VLOOKUP(UncLookup[[#This Row],[Item]],Items!$A$1:$F$43,2,FALSE))</f>
        <v/>
      </c>
      <c r="P1280" s="90" t="str">
        <f>IF(VLOOKUP(UncLookup[[#This Row],[Item]],Items!$A$1:$F$43,3,FALSE)=0,"",VLOOKUP(UncLookup[[#This Row],[Item]],Items!$A$1:$F$43,3,FALSE))</f>
        <v/>
      </c>
      <c r="Q1280" s="90" t="str">
        <f>IF(VLOOKUP(UncLookup[[#This Row],[Item]],Items!$A$1:$F$43,4,FALSE)=0,"",VLOOKUP(UncLookup[[#This Row],[Item]],Items!$A$1:$F$43,4,FALSE))</f>
        <v/>
      </c>
    </row>
    <row r="1281" spans="1:17" x14ac:dyDescent="0.25">
      <c r="A1281" s="76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172</v>
      </c>
      <c r="G1281" s="76" t="s">
        <v>172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90" t="str">
        <f>IF(VLOOKUP(UncLookup[[#This Row],[Item]],Items!$A$1:$F$43,2,FALSE)=0,"",VLOOKUP(UncLookup[[#This Row],[Item]],Items!$A$1:$F$43,2,FALSE))</f>
        <v/>
      </c>
      <c r="P1281" s="90" t="str">
        <f>IF(VLOOKUP(UncLookup[[#This Row],[Item]],Items!$A$1:$F$43,3,FALSE)=0,"",VLOOKUP(UncLookup[[#This Row],[Item]],Items!$A$1:$F$43,3,FALSE))</f>
        <v/>
      </c>
      <c r="Q1281" s="90" t="str">
        <f>IF(VLOOKUP(UncLookup[[#This Row],[Item]],Items!$A$1:$F$43,4,FALSE)=0,"",VLOOKUP(UncLookup[[#This Row],[Item]],Items!$A$1:$F$43,4,FALSE))</f>
        <v/>
      </c>
    </row>
    <row r="1282" spans="1:17" x14ac:dyDescent="0.25">
      <c r="A1282" s="75" t="s">
        <v>55</v>
      </c>
      <c r="B1282" s="75" t="s">
        <v>100</v>
      </c>
      <c r="C1282" s="75">
        <v>109</v>
      </c>
      <c r="D1282" s="75">
        <v>330.00009999999997</v>
      </c>
      <c r="E1282" s="75">
        <v>1</v>
      </c>
      <c r="F1282" s="75" t="s">
        <v>172</v>
      </c>
      <c r="G1282" s="75" t="s">
        <v>172</v>
      </c>
      <c r="H1282" s="75">
        <v>0</v>
      </c>
      <c r="I1282" s="75">
        <v>0</v>
      </c>
      <c r="J1282" s="75"/>
      <c r="K1282" s="75">
        <v>0</v>
      </c>
      <c r="L1282" s="75">
        <v>5.3282E-3</v>
      </c>
      <c r="M1282" s="75">
        <v>0</v>
      </c>
      <c r="N1282" s="75">
        <v>0</v>
      </c>
      <c r="O1282" s="90" t="str">
        <f>IF(VLOOKUP(UncLookup[[#This Row],[Item]],Items!$A$1:$F$43,2,FALSE)=0,"",VLOOKUP(UncLookup[[#This Row],[Item]],Items!$A$1:$F$43,2,FALSE))</f>
        <v/>
      </c>
      <c r="P1282" s="90" t="str">
        <f>IF(VLOOKUP(UncLookup[[#This Row],[Item]],Items!$A$1:$F$43,3,FALSE)=0,"",VLOOKUP(UncLookup[[#This Row],[Item]],Items!$A$1:$F$43,3,FALSE))</f>
        <v/>
      </c>
      <c r="Q1282" s="90" t="str">
        <f>IF(VLOOKUP(UncLookup[[#This Row],[Item]],Items!$A$1:$F$43,4,FALSE)=0,"",VLOOKUP(UncLookup[[#This Row],[Item]],Items!$A$1:$F$43,4,FALSE))</f>
        <v/>
      </c>
    </row>
    <row r="1283" spans="1:17" x14ac:dyDescent="0.25">
      <c r="A1283" s="76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172</v>
      </c>
      <c r="G1283" s="76" t="s">
        <v>172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90" t="str">
        <f>IF(VLOOKUP(UncLookup[[#This Row],[Item]],Items!$A$1:$F$43,2,FALSE)=0,"",VLOOKUP(UncLookup[[#This Row],[Item]],Items!$A$1:$F$43,2,FALSE))</f>
        <v/>
      </c>
      <c r="P1283" s="90" t="str">
        <f>IF(VLOOKUP(UncLookup[[#This Row],[Item]],Items!$A$1:$F$43,3,FALSE)=0,"",VLOOKUP(UncLookup[[#This Row],[Item]],Items!$A$1:$F$43,3,FALSE))</f>
        <v/>
      </c>
      <c r="Q1283" s="90" t="str">
        <f>IF(VLOOKUP(UncLookup[[#This Row],[Item]],Items!$A$1:$F$43,4,FALSE)=0,"",VLOOKUP(UncLookup[[#This Row],[Item]],Items!$A$1:$F$43,4,FALSE))</f>
        <v/>
      </c>
    </row>
    <row r="1284" spans="1:17" x14ac:dyDescent="0.25">
      <c r="A1284" s="75" t="s">
        <v>55</v>
      </c>
      <c r="B1284" s="75" t="s">
        <v>100</v>
      </c>
      <c r="C1284" s="75">
        <v>330</v>
      </c>
      <c r="D1284" s="75">
        <v>3000.0001000000002</v>
      </c>
      <c r="E1284" s="75">
        <v>0.01</v>
      </c>
      <c r="F1284" s="75" t="s">
        <v>172</v>
      </c>
      <c r="G1284" s="75" t="s">
        <v>172</v>
      </c>
      <c r="H1284" s="75">
        <v>0</v>
      </c>
      <c r="I1284" s="75">
        <v>0</v>
      </c>
      <c r="J1284" s="75"/>
      <c r="K1284" s="75">
        <v>0</v>
      </c>
      <c r="L1284" s="75">
        <v>5.9999999999999995E-4</v>
      </c>
      <c r="M1284" s="75">
        <v>0</v>
      </c>
      <c r="N1284" s="75">
        <v>0</v>
      </c>
      <c r="O1284" s="90" t="str">
        <f>IF(VLOOKUP(UncLookup[[#This Row],[Item]],Items!$A$1:$F$43,2,FALSE)=0,"",VLOOKUP(UncLookup[[#This Row],[Item]],Items!$A$1:$F$43,2,FALSE))</f>
        <v/>
      </c>
      <c r="P1284" s="90" t="str">
        <f>IF(VLOOKUP(UncLookup[[#This Row],[Item]],Items!$A$1:$F$43,3,FALSE)=0,"",VLOOKUP(UncLookup[[#This Row],[Item]],Items!$A$1:$F$43,3,FALSE))</f>
        <v/>
      </c>
      <c r="Q1284" s="90" t="str">
        <f>IF(VLOOKUP(UncLookup[[#This Row],[Item]],Items!$A$1:$F$43,4,FALSE)=0,"",VLOOKUP(UncLookup[[#This Row],[Item]],Items!$A$1:$F$43,4,FALSE))</f>
        <v/>
      </c>
    </row>
    <row r="1285" spans="1:17" x14ac:dyDescent="0.25">
      <c r="A1285" s="76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172</v>
      </c>
      <c r="G1285" s="76" t="s">
        <v>172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90" t="str">
        <f>IF(VLOOKUP(UncLookup[[#This Row],[Item]],Items!$A$1:$F$43,2,FALSE)=0,"",VLOOKUP(UncLookup[[#This Row],[Item]],Items!$A$1:$F$43,2,FALSE))</f>
        <v/>
      </c>
      <c r="P1285" s="90" t="str">
        <f>IF(VLOOKUP(UncLookup[[#This Row],[Item]],Items!$A$1:$F$43,3,FALSE)=0,"",VLOOKUP(UncLookup[[#This Row],[Item]],Items!$A$1:$F$43,3,FALSE))</f>
        <v/>
      </c>
      <c r="Q1285" s="90" t="str">
        <f>IF(VLOOKUP(UncLookup[[#This Row],[Item]],Items!$A$1:$F$43,4,FALSE)=0,"",VLOOKUP(UncLookup[[#This Row],[Item]],Items!$A$1:$F$43,4,FALSE))</f>
        <v/>
      </c>
    </row>
    <row r="1286" spans="1:17" x14ac:dyDescent="0.25">
      <c r="A1286" s="75" t="s">
        <v>55</v>
      </c>
      <c r="B1286" s="75" t="s">
        <v>100</v>
      </c>
      <c r="C1286" s="75">
        <v>330</v>
      </c>
      <c r="D1286" s="75">
        <v>3000.0001000000002</v>
      </c>
      <c r="E1286" s="75">
        <v>1</v>
      </c>
      <c r="F1286" s="75" t="s">
        <v>172</v>
      </c>
      <c r="G1286" s="75" t="s">
        <v>172</v>
      </c>
      <c r="H1286" s="75">
        <v>0</v>
      </c>
      <c r="I1286" s="75">
        <v>0</v>
      </c>
      <c r="J1286" s="75"/>
      <c r="K1286" s="75">
        <v>0</v>
      </c>
      <c r="L1286" s="75">
        <v>1.8565000000000001E-3</v>
      </c>
      <c r="M1286" s="75">
        <v>0</v>
      </c>
      <c r="N1286" s="75">
        <v>0</v>
      </c>
      <c r="O1286" s="90" t="str">
        <f>IF(VLOOKUP(UncLookup[[#This Row],[Item]],Items!$A$1:$F$43,2,FALSE)=0,"",VLOOKUP(UncLookup[[#This Row],[Item]],Items!$A$1:$F$43,2,FALSE))</f>
        <v/>
      </c>
      <c r="P1286" s="90" t="str">
        <f>IF(VLOOKUP(UncLookup[[#This Row],[Item]],Items!$A$1:$F$43,3,FALSE)=0,"",VLOOKUP(UncLookup[[#This Row],[Item]],Items!$A$1:$F$43,3,FALSE))</f>
        <v/>
      </c>
      <c r="Q1286" s="90" t="str">
        <f>IF(VLOOKUP(UncLookup[[#This Row],[Item]],Items!$A$1:$F$43,4,FALSE)=0,"",VLOOKUP(UncLookup[[#This Row],[Item]],Items!$A$1:$F$43,4,FALSE))</f>
        <v/>
      </c>
    </row>
    <row r="1287" spans="1:17" x14ac:dyDescent="0.25">
      <c r="A1287" s="76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172</v>
      </c>
      <c r="G1287" s="76" t="s">
        <v>172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90" t="str">
        <f>IF(VLOOKUP(UncLookup[[#This Row],[Item]],Items!$A$1:$F$43,2,FALSE)=0,"",VLOOKUP(UncLookup[[#This Row],[Item]],Items!$A$1:$F$43,2,FALSE))</f>
        <v/>
      </c>
      <c r="P1287" s="90" t="str">
        <f>IF(VLOOKUP(UncLookup[[#This Row],[Item]],Items!$A$1:$F$43,3,FALSE)=0,"",VLOOKUP(UncLookup[[#This Row],[Item]],Items!$A$1:$F$43,3,FALSE))</f>
        <v/>
      </c>
      <c r="Q1287" s="90" t="str">
        <f>IF(VLOOKUP(UncLookup[[#This Row],[Item]],Items!$A$1:$F$43,4,FALSE)=0,"",VLOOKUP(UncLookup[[#This Row],[Item]],Items!$A$1:$F$43,4,FALSE))</f>
        <v/>
      </c>
    </row>
    <row r="1288" spans="1:17" x14ac:dyDescent="0.25">
      <c r="A1288" s="75" t="s">
        <v>55</v>
      </c>
      <c r="B1288" s="75" t="s">
        <v>100</v>
      </c>
      <c r="C1288" s="75">
        <v>330</v>
      </c>
      <c r="D1288" s="75">
        <v>3000.0001000000002</v>
      </c>
      <c r="E1288" s="75">
        <v>100</v>
      </c>
      <c r="F1288" s="75" t="s">
        <v>172</v>
      </c>
      <c r="G1288" s="75" t="s">
        <v>172</v>
      </c>
      <c r="H1288" s="75">
        <v>0</v>
      </c>
      <c r="I1288" s="75">
        <v>0</v>
      </c>
      <c r="J1288" s="75"/>
      <c r="K1288" s="75">
        <v>0</v>
      </c>
      <c r="L1288" s="75">
        <v>0.17576</v>
      </c>
      <c r="M1288" s="75">
        <v>0</v>
      </c>
      <c r="N1288" s="75">
        <v>0</v>
      </c>
      <c r="O1288" s="90" t="str">
        <f>IF(VLOOKUP(UncLookup[[#This Row],[Item]],Items!$A$1:$F$43,2,FALSE)=0,"",VLOOKUP(UncLookup[[#This Row],[Item]],Items!$A$1:$F$43,2,FALSE))</f>
        <v/>
      </c>
      <c r="P1288" s="90" t="str">
        <f>IF(VLOOKUP(UncLookup[[#This Row],[Item]],Items!$A$1:$F$43,3,FALSE)=0,"",VLOOKUP(UncLookup[[#This Row],[Item]],Items!$A$1:$F$43,3,FALSE))</f>
        <v/>
      </c>
      <c r="Q1288" s="90" t="str">
        <f>IF(VLOOKUP(UncLookup[[#This Row],[Item]],Items!$A$1:$F$43,4,FALSE)=0,"",VLOOKUP(UncLookup[[#This Row],[Item]],Items!$A$1:$F$43,4,FALSE))</f>
        <v/>
      </c>
    </row>
    <row r="1289" spans="1:17" x14ac:dyDescent="0.25">
      <c r="A1289" s="76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172</v>
      </c>
      <c r="G1289" s="76" t="s">
        <v>172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90" t="str">
        <f>IF(VLOOKUP(UncLookup[[#This Row],[Item]],Items!$A$1:$F$43,2,FALSE)=0,"",VLOOKUP(UncLookup[[#This Row],[Item]],Items!$A$1:$F$43,2,FALSE))</f>
        <v/>
      </c>
      <c r="P1289" s="90" t="str">
        <f>IF(VLOOKUP(UncLookup[[#This Row],[Item]],Items!$A$1:$F$43,3,FALSE)=0,"",VLOOKUP(UncLookup[[#This Row],[Item]],Items!$A$1:$F$43,3,FALSE))</f>
        <v/>
      </c>
      <c r="Q1289" s="90" t="str">
        <f>IF(VLOOKUP(UncLookup[[#This Row],[Item]],Items!$A$1:$F$43,4,FALSE)=0,"",VLOOKUP(UncLookup[[#This Row],[Item]],Items!$A$1:$F$43,4,FALSE))</f>
        <v/>
      </c>
    </row>
    <row r="1290" spans="1:17" x14ac:dyDescent="0.25">
      <c r="A1290" s="75" t="s">
        <v>55</v>
      </c>
      <c r="B1290" s="75" t="s">
        <v>100</v>
      </c>
      <c r="C1290" s="75">
        <v>3000</v>
      </c>
      <c r="D1290" s="75">
        <v>11000.1</v>
      </c>
      <c r="E1290" s="75">
        <v>100</v>
      </c>
      <c r="F1290" s="75" t="s">
        <v>172</v>
      </c>
      <c r="G1290" s="75" t="s">
        <v>172</v>
      </c>
      <c r="H1290" s="75">
        <v>0</v>
      </c>
      <c r="I1290" s="75">
        <v>0</v>
      </c>
      <c r="J1290" s="75"/>
      <c r="K1290" s="75">
        <v>0</v>
      </c>
      <c r="L1290" s="75">
        <v>9.1E-4</v>
      </c>
      <c r="M1290" s="75">
        <v>0</v>
      </c>
      <c r="N1290" s="75">
        <v>0</v>
      </c>
      <c r="O1290" s="90" t="str">
        <f>IF(VLOOKUP(UncLookup[[#This Row],[Item]],Items!$A$1:$F$43,2,FALSE)=0,"",VLOOKUP(UncLookup[[#This Row],[Item]],Items!$A$1:$F$43,2,FALSE))</f>
        <v/>
      </c>
      <c r="P1290" s="90" t="str">
        <f>IF(VLOOKUP(UncLookup[[#This Row],[Item]],Items!$A$1:$F$43,3,FALSE)=0,"",VLOOKUP(UncLookup[[#This Row],[Item]],Items!$A$1:$F$43,3,FALSE))</f>
        <v/>
      </c>
      <c r="Q1290" s="90" t="str">
        <f>IF(VLOOKUP(UncLookup[[#This Row],[Item]],Items!$A$1:$F$43,4,FALSE)=0,"",VLOOKUP(UncLookup[[#This Row],[Item]],Items!$A$1:$F$43,4,FALSE))</f>
        <v/>
      </c>
    </row>
    <row r="1291" spans="1:17" x14ac:dyDescent="0.25">
      <c r="A1291" s="76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172</v>
      </c>
      <c r="G1291" s="76" t="s">
        <v>172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90" t="str">
        <f>IF(VLOOKUP(UncLookup[[#This Row],[Item]],Items!$A$1:$F$43,2,FALSE)=0,"",VLOOKUP(UncLookup[[#This Row],[Item]],Items!$A$1:$F$43,2,FALSE))</f>
        <v/>
      </c>
      <c r="P1291" s="90" t="str">
        <f>IF(VLOOKUP(UncLookup[[#This Row],[Item]],Items!$A$1:$F$43,3,FALSE)=0,"",VLOOKUP(UncLookup[[#This Row],[Item]],Items!$A$1:$F$43,3,FALSE))</f>
        <v/>
      </c>
      <c r="Q1291" s="90" t="str">
        <f>IF(VLOOKUP(UncLookup[[#This Row],[Item]],Items!$A$1:$F$43,4,FALSE)=0,"",VLOOKUP(UncLookup[[#This Row],[Item]],Items!$A$1:$F$43,4,FALSE))</f>
        <v/>
      </c>
    </row>
    <row r="1292" spans="1:17" x14ac:dyDescent="0.25">
      <c r="A1292" s="75" t="s">
        <v>55</v>
      </c>
      <c r="B1292" s="75" t="s">
        <v>100</v>
      </c>
      <c r="C1292" s="75">
        <v>3000</v>
      </c>
      <c r="D1292" s="75">
        <v>11000.1</v>
      </c>
      <c r="E1292" s="75">
        <v>10000</v>
      </c>
      <c r="F1292" s="75" t="s">
        <v>172</v>
      </c>
      <c r="G1292" s="75" t="s">
        <v>172</v>
      </c>
      <c r="H1292" s="75">
        <v>0</v>
      </c>
      <c r="I1292" s="75">
        <v>0</v>
      </c>
      <c r="J1292" s="75"/>
      <c r="K1292" s="75">
        <v>0</v>
      </c>
      <c r="L1292" s="75">
        <v>2.1367000000000001E-3</v>
      </c>
      <c r="M1292" s="75">
        <v>0</v>
      </c>
      <c r="N1292" s="75">
        <v>0</v>
      </c>
      <c r="O1292" s="90" t="str">
        <f>IF(VLOOKUP(UncLookup[[#This Row],[Item]],Items!$A$1:$F$43,2,FALSE)=0,"",VLOOKUP(UncLookup[[#This Row],[Item]],Items!$A$1:$F$43,2,FALSE))</f>
        <v/>
      </c>
      <c r="P1292" s="90" t="str">
        <f>IF(VLOOKUP(UncLookup[[#This Row],[Item]],Items!$A$1:$F$43,3,FALSE)=0,"",VLOOKUP(UncLookup[[#This Row],[Item]],Items!$A$1:$F$43,3,FALSE))</f>
        <v/>
      </c>
      <c r="Q1292" s="90" t="str">
        <f>IF(VLOOKUP(UncLookup[[#This Row],[Item]],Items!$A$1:$F$43,4,FALSE)=0,"",VLOOKUP(UncLookup[[#This Row],[Item]],Items!$A$1:$F$43,4,FALSE))</f>
        <v/>
      </c>
    </row>
    <row r="1293" spans="1:17" x14ac:dyDescent="0.25">
      <c r="A1293" s="76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172</v>
      </c>
      <c r="G1293" s="76" t="s">
        <v>172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90" t="str">
        <f>IF(VLOOKUP(UncLookup[[#This Row],[Item]],Items!$A$1:$F$43,2,FALSE)=0,"",VLOOKUP(UncLookup[[#This Row],[Item]],Items!$A$1:$F$43,2,FALSE))</f>
        <v/>
      </c>
      <c r="P1293" s="90" t="str">
        <f>IF(VLOOKUP(UncLookup[[#This Row],[Item]],Items!$A$1:$F$43,3,FALSE)=0,"",VLOOKUP(UncLookup[[#This Row],[Item]],Items!$A$1:$F$43,3,FALSE))</f>
        <v/>
      </c>
      <c r="Q1293" s="90" t="str">
        <f>IF(VLOOKUP(UncLookup[[#This Row],[Item]],Items!$A$1:$F$43,4,FALSE)=0,"",VLOOKUP(UncLookup[[#This Row],[Item]],Items!$A$1:$F$43,4,FALSE))</f>
        <v/>
      </c>
    </row>
    <row r="1294" spans="1:17" x14ac:dyDescent="0.25">
      <c r="A1294" s="75" t="s">
        <v>55</v>
      </c>
      <c r="B1294" s="75" t="s">
        <v>100</v>
      </c>
      <c r="C1294" s="75">
        <v>11000</v>
      </c>
      <c r="D1294" s="75">
        <v>24500</v>
      </c>
      <c r="E1294" s="75">
        <v>10</v>
      </c>
      <c r="F1294" s="75" t="s">
        <v>172</v>
      </c>
      <c r="G1294" s="75" t="s">
        <v>172</v>
      </c>
      <c r="H1294" s="75">
        <v>0</v>
      </c>
      <c r="I1294" s="75">
        <v>0</v>
      </c>
      <c r="J1294" s="75"/>
      <c r="K1294" s="75">
        <v>0</v>
      </c>
      <c r="L1294" s="75">
        <v>1.4E-3</v>
      </c>
      <c r="M1294" s="75">
        <v>0</v>
      </c>
      <c r="N1294" s="75">
        <v>0</v>
      </c>
      <c r="O1294" s="90" t="str">
        <f>IF(VLOOKUP(UncLookup[[#This Row],[Item]],Items!$A$1:$F$43,2,FALSE)=0,"",VLOOKUP(UncLookup[[#This Row],[Item]],Items!$A$1:$F$43,2,FALSE))</f>
        <v/>
      </c>
      <c r="P1294" s="90" t="str">
        <f>IF(VLOOKUP(UncLookup[[#This Row],[Item]],Items!$A$1:$F$43,3,FALSE)=0,"",VLOOKUP(UncLookup[[#This Row],[Item]],Items!$A$1:$F$43,3,FALSE))</f>
        <v/>
      </c>
      <c r="Q1294" s="90" t="str">
        <f>IF(VLOOKUP(UncLookup[[#This Row],[Item]],Items!$A$1:$F$43,4,FALSE)=0,"",VLOOKUP(UncLookup[[#This Row],[Item]],Items!$A$1:$F$43,4,FALSE))</f>
        <v/>
      </c>
    </row>
    <row r="1295" spans="1:17" x14ac:dyDescent="0.25">
      <c r="A1295" s="76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172</v>
      </c>
      <c r="G1295" s="76" t="s">
        <v>172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90" t="str">
        <f>IF(VLOOKUP(UncLookup[[#This Row],[Item]],Items!$A$1:$F$43,2,FALSE)=0,"",VLOOKUP(UncLookup[[#This Row],[Item]],Items!$A$1:$F$43,2,FALSE))</f>
        <v/>
      </c>
      <c r="P1295" s="90" t="str">
        <f>IF(VLOOKUP(UncLookup[[#This Row],[Item]],Items!$A$1:$F$43,3,FALSE)=0,"",VLOOKUP(UncLookup[[#This Row],[Item]],Items!$A$1:$F$43,3,FALSE))</f>
        <v/>
      </c>
      <c r="Q1295" s="90" t="str">
        <f>IF(VLOOKUP(UncLookup[[#This Row],[Item]],Items!$A$1:$F$43,4,FALSE)=0,"",VLOOKUP(UncLookup[[#This Row],[Item]],Items!$A$1:$F$43,4,FALSE))</f>
        <v/>
      </c>
    </row>
    <row r="1296" spans="1:17" x14ac:dyDescent="0.25">
      <c r="A1296" s="75" t="s">
        <v>55</v>
      </c>
      <c r="B1296" s="75" t="s">
        <v>100</v>
      </c>
      <c r="C1296" s="75">
        <v>11000</v>
      </c>
      <c r="D1296" s="75">
        <v>24500</v>
      </c>
      <c r="E1296" s="75">
        <v>1000</v>
      </c>
      <c r="F1296" s="75" t="s">
        <v>172</v>
      </c>
      <c r="G1296" s="75" t="s">
        <v>172</v>
      </c>
      <c r="H1296" s="75">
        <v>0</v>
      </c>
      <c r="I1296" s="75">
        <v>0</v>
      </c>
      <c r="J1296" s="75"/>
      <c r="K1296" s="75">
        <v>0</v>
      </c>
      <c r="L1296" s="75">
        <v>1.4429E-3</v>
      </c>
      <c r="M1296" s="75">
        <v>0</v>
      </c>
      <c r="N1296" s="75">
        <v>0</v>
      </c>
      <c r="O1296" s="90" t="str">
        <f>IF(VLOOKUP(UncLookup[[#This Row],[Item]],Items!$A$1:$F$43,2,FALSE)=0,"",VLOOKUP(UncLookup[[#This Row],[Item]],Items!$A$1:$F$43,2,FALSE))</f>
        <v/>
      </c>
      <c r="P1296" s="90" t="str">
        <f>IF(VLOOKUP(UncLookup[[#This Row],[Item]],Items!$A$1:$F$43,3,FALSE)=0,"",VLOOKUP(UncLookup[[#This Row],[Item]],Items!$A$1:$F$43,3,FALSE))</f>
        <v/>
      </c>
      <c r="Q1296" s="90" t="str">
        <f>IF(VLOOKUP(UncLookup[[#This Row],[Item]],Items!$A$1:$F$43,4,FALSE)=0,"",VLOOKUP(UncLookup[[#This Row],[Item]],Items!$A$1:$F$43,4,FALSE))</f>
        <v/>
      </c>
    </row>
    <row r="1297" spans="1:17" x14ac:dyDescent="0.25">
      <c r="A1297" s="76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172</v>
      </c>
      <c r="G1297" s="76" t="s">
        <v>172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90" t="str">
        <f>IF(VLOOKUP(UncLookup[[#This Row],[Item]],Items!$A$1:$F$43,2,FALSE)=0,"",VLOOKUP(UncLookup[[#This Row],[Item]],Items!$A$1:$F$43,2,FALSE))</f>
        <v/>
      </c>
      <c r="P1297" s="90" t="str">
        <f>IF(VLOOKUP(UncLookup[[#This Row],[Item]],Items!$A$1:$F$43,3,FALSE)=0,"",VLOOKUP(UncLookup[[#This Row],[Item]],Items!$A$1:$F$43,3,FALSE))</f>
        <v/>
      </c>
      <c r="Q1297" s="90" t="str">
        <f>IF(VLOOKUP(UncLookup[[#This Row],[Item]],Items!$A$1:$F$43,4,FALSE)=0,"",VLOOKUP(UncLookup[[#This Row],[Item]],Items!$A$1:$F$43,4,FALSE))</f>
        <v/>
      </c>
    </row>
    <row r="1298" spans="1:17" x14ac:dyDescent="0.25">
      <c r="A1298" s="75" t="s">
        <v>55</v>
      </c>
      <c r="B1298" s="75" t="s">
        <v>100</v>
      </c>
      <c r="C1298" s="75">
        <v>11000</v>
      </c>
      <c r="D1298" s="75">
        <v>24500</v>
      </c>
      <c r="E1298" s="75">
        <v>100000</v>
      </c>
      <c r="F1298" s="75" t="s">
        <v>172</v>
      </c>
      <c r="G1298" s="75" t="s">
        <v>172</v>
      </c>
      <c r="H1298" s="75">
        <v>0</v>
      </c>
      <c r="I1298" s="75">
        <v>0</v>
      </c>
      <c r="J1298" s="75"/>
      <c r="K1298" s="75">
        <v>0</v>
      </c>
      <c r="L1298" s="75">
        <v>5.2745E-2</v>
      </c>
      <c r="M1298" s="75">
        <v>0</v>
      </c>
      <c r="N1298" s="75">
        <v>0</v>
      </c>
      <c r="O1298" s="90" t="str">
        <f>IF(VLOOKUP(UncLookup[[#This Row],[Item]],Items!$A$1:$F$43,2,FALSE)=0,"",VLOOKUP(UncLookup[[#This Row],[Item]],Items!$A$1:$F$43,2,FALSE))</f>
        <v/>
      </c>
      <c r="P1298" s="90" t="str">
        <f>IF(VLOOKUP(UncLookup[[#This Row],[Item]],Items!$A$1:$F$43,3,FALSE)=0,"",VLOOKUP(UncLookup[[#This Row],[Item]],Items!$A$1:$F$43,3,FALSE))</f>
        <v/>
      </c>
      <c r="Q1298" s="90" t="str">
        <f>IF(VLOOKUP(UncLookup[[#This Row],[Item]],Items!$A$1:$F$43,4,FALSE)=0,"",VLOOKUP(UncLookup[[#This Row],[Item]],Items!$A$1:$F$43,4,FALSE))</f>
        <v/>
      </c>
    </row>
    <row r="1299" spans="1:17" x14ac:dyDescent="0.25">
      <c r="A1299" s="76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90" t="str">
        <f>IF(VLOOKUP(UncLookup[[#This Row],[Item]],Items!$A$1:$F$43,2,FALSE)=0,"",VLOOKUP(UncLookup[[#This Row],[Item]],Items!$A$1:$F$43,2,FALSE))</f>
        <v/>
      </c>
      <c r="P1299" s="90" t="str">
        <f>IF(VLOOKUP(UncLookup[[#This Row],[Item]],Items!$A$1:$F$43,3,FALSE)=0,"",VLOOKUP(UncLookup[[#This Row],[Item]],Items!$A$1:$F$43,3,FALSE))</f>
        <v/>
      </c>
      <c r="Q1299" s="90" t="str">
        <f>IF(VLOOKUP(UncLookup[[#This Row],[Item]],Items!$A$1:$F$43,4,FALSE)=0,"",VLOOKUP(UncLookup[[#This Row],[Item]],Items!$A$1:$F$43,4,FALSE))</f>
        <v/>
      </c>
    </row>
    <row r="1300" spans="1:17" x14ac:dyDescent="0.25">
      <c r="A1300" s="75" t="s">
        <v>55</v>
      </c>
      <c r="B1300" s="75" t="s">
        <v>100</v>
      </c>
      <c r="C1300" s="75">
        <v>24500</v>
      </c>
      <c r="D1300" s="75">
        <v>24500</v>
      </c>
      <c r="E1300" s="75">
        <v>100</v>
      </c>
      <c r="F1300" s="75" t="s">
        <v>102</v>
      </c>
      <c r="G1300" s="75" t="s">
        <v>102</v>
      </c>
      <c r="H1300" s="75">
        <v>0</v>
      </c>
      <c r="I1300" s="75">
        <v>0</v>
      </c>
      <c r="J1300" s="75"/>
      <c r="K1300" s="75">
        <v>0</v>
      </c>
      <c r="L1300" s="75">
        <v>1.4E-3</v>
      </c>
      <c r="M1300" s="75">
        <v>0</v>
      </c>
      <c r="N1300" s="75">
        <v>0</v>
      </c>
      <c r="O1300" s="90" t="str">
        <f>IF(VLOOKUP(UncLookup[[#This Row],[Item]],Items!$A$1:$F$43,2,FALSE)=0,"",VLOOKUP(UncLookup[[#This Row],[Item]],Items!$A$1:$F$43,2,FALSE))</f>
        <v/>
      </c>
      <c r="P1300" s="90" t="str">
        <f>IF(VLOOKUP(UncLookup[[#This Row],[Item]],Items!$A$1:$F$43,3,FALSE)=0,"",VLOOKUP(UncLookup[[#This Row],[Item]],Items!$A$1:$F$43,3,FALSE))</f>
        <v/>
      </c>
      <c r="Q1300" s="90" t="str">
        <f>IF(VLOOKUP(UncLookup[[#This Row],[Item]],Items!$A$1:$F$43,4,FALSE)=0,"",VLOOKUP(UncLookup[[#This Row],[Item]],Items!$A$1:$F$43,4,FALSE))</f>
        <v/>
      </c>
    </row>
    <row r="1301" spans="1:17" x14ac:dyDescent="0.25">
      <c r="A1301" s="76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90" t="str">
        <f>IF(VLOOKUP(UncLookup[[#This Row],[Item]],Items!$A$1:$F$43,2,FALSE)=0,"",VLOOKUP(UncLookup[[#This Row],[Item]],Items!$A$1:$F$43,2,FALSE))</f>
        <v/>
      </c>
      <c r="P1301" s="90" t="str">
        <f>IF(VLOOKUP(UncLookup[[#This Row],[Item]],Items!$A$1:$F$43,3,FALSE)=0,"",VLOOKUP(UncLookup[[#This Row],[Item]],Items!$A$1:$F$43,3,FALSE))</f>
        <v/>
      </c>
      <c r="Q1301" s="90" t="str">
        <f>IF(VLOOKUP(UncLookup[[#This Row],[Item]],Items!$A$1:$F$43,4,FALSE)=0,"",VLOOKUP(UncLookup[[#This Row],[Item]],Items!$A$1:$F$43,4,FALSE))</f>
        <v/>
      </c>
    </row>
    <row r="1302" spans="1:17" x14ac:dyDescent="0.25">
      <c r="A1302" s="75" t="s">
        <v>55</v>
      </c>
      <c r="B1302" s="75" t="s">
        <v>100</v>
      </c>
      <c r="C1302" s="75">
        <v>24500</v>
      </c>
      <c r="D1302" s="75">
        <v>24500</v>
      </c>
      <c r="E1302" s="75">
        <v>10000</v>
      </c>
      <c r="F1302" s="75" t="s">
        <v>102</v>
      </c>
      <c r="G1302" s="75" t="s">
        <v>102</v>
      </c>
      <c r="H1302" s="75">
        <v>0</v>
      </c>
      <c r="I1302" s="75">
        <v>0</v>
      </c>
      <c r="J1302" s="75"/>
      <c r="K1302" s="75">
        <v>0</v>
      </c>
      <c r="L1302" s="75">
        <v>5.4410999999999999E-3</v>
      </c>
      <c r="M1302" s="75">
        <v>0</v>
      </c>
      <c r="N1302" s="75">
        <v>0</v>
      </c>
      <c r="O1302" s="90" t="str">
        <f>IF(VLOOKUP(UncLookup[[#This Row],[Item]],Items!$A$1:$F$43,2,FALSE)=0,"",VLOOKUP(UncLookup[[#This Row],[Item]],Items!$A$1:$F$43,2,FALSE))</f>
        <v/>
      </c>
      <c r="P1302" s="90" t="str">
        <f>IF(VLOOKUP(UncLookup[[#This Row],[Item]],Items!$A$1:$F$43,3,FALSE)=0,"",VLOOKUP(UncLookup[[#This Row],[Item]],Items!$A$1:$F$43,3,FALSE))</f>
        <v/>
      </c>
      <c r="Q1302" s="90" t="str">
        <f>IF(VLOOKUP(UncLookup[[#This Row],[Item]],Items!$A$1:$F$43,4,FALSE)=0,"",VLOOKUP(UncLookup[[#This Row],[Item]],Items!$A$1:$F$43,4,FALSE))</f>
        <v/>
      </c>
    </row>
    <row r="1303" spans="1:17" x14ac:dyDescent="0.25">
      <c r="A1303" s="76" t="s">
        <v>55</v>
      </c>
      <c r="B1303" s="76" t="s">
        <v>100</v>
      </c>
      <c r="C1303" s="76">
        <v>24500</v>
      </c>
      <c r="D1303" s="77">
        <v>24500</v>
      </c>
      <c r="E1303" s="77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90" t="str">
        <f>IF(VLOOKUP(UncLookup[[#This Row],[Item]],Items!$A$1:$F$43,2,FALSE)=0,"",VLOOKUP(UncLookup[[#This Row],[Item]],Items!$A$1:$F$43,2,FALSE))</f>
        <v/>
      </c>
      <c r="P1303" s="90" t="str">
        <f>IF(VLOOKUP(UncLookup[[#This Row],[Item]],Items!$A$1:$F$43,3,FALSE)=0,"",VLOOKUP(UncLookup[[#This Row],[Item]],Items!$A$1:$F$43,3,FALSE))</f>
        <v/>
      </c>
      <c r="Q1303" s="90" t="str">
        <f>IF(VLOOKUP(UncLookup[[#This Row],[Item]],Items!$A$1:$F$43,4,FALSE)=0,"",VLOOKUP(UncLookup[[#This Row],[Item]],Items!$A$1:$F$43,4,FALSE))</f>
        <v/>
      </c>
    </row>
    <row r="1304" spans="1:17" x14ac:dyDescent="0.25">
      <c r="A1304" s="75" t="s">
        <v>55</v>
      </c>
      <c r="B1304" s="75" t="s">
        <v>3</v>
      </c>
      <c r="C1304" s="75">
        <v>0</v>
      </c>
      <c r="D1304" s="78">
        <v>0.33000099999999999</v>
      </c>
      <c r="E1304" s="75">
        <v>9.9999999999999995E-8</v>
      </c>
      <c r="F1304" s="75" t="s">
        <v>6</v>
      </c>
      <c r="G1304" s="75" t="s">
        <v>5</v>
      </c>
      <c r="H1304" s="75">
        <v>0</v>
      </c>
      <c r="I1304" s="75">
        <v>0</v>
      </c>
      <c r="J1304" s="75"/>
      <c r="K1304" s="75">
        <v>3.6</v>
      </c>
      <c r="L1304" s="75">
        <v>69</v>
      </c>
      <c r="M1304" s="75">
        <v>3.4727000000000001</v>
      </c>
      <c r="N1304" s="75">
        <v>69.313999999999993</v>
      </c>
      <c r="O1304" s="90" t="str">
        <f>IF(VLOOKUP(UncLookup[[#This Row],[Item]],Items!$A$1:$F$43,2,FALSE)=0,"",VLOOKUP(UncLookup[[#This Row],[Item]],Items!$A$1:$F$43,2,FALSE))</f>
        <v/>
      </c>
      <c r="P1304" s="90" t="str">
        <f>IF(VLOOKUP(UncLookup[[#This Row],[Item]],Items!$A$1:$F$43,3,FALSE)=0,"",VLOOKUP(UncLookup[[#This Row],[Item]],Items!$A$1:$F$43,3,FALSE))</f>
        <v/>
      </c>
      <c r="Q1304" s="90" t="str">
        <f>IF(VLOOKUP(UncLookup[[#This Row],[Item]],Items!$A$1:$F$43,4,FALSE)=0,"",VLOOKUP(UncLookup[[#This Row],[Item]],Items!$A$1:$F$43,4,FALSE))</f>
        <v/>
      </c>
    </row>
    <row r="1305" spans="1:17" x14ac:dyDescent="0.25">
      <c r="A1305" s="76" t="s">
        <v>55</v>
      </c>
      <c r="B1305" s="76" t="s">
        <v>3</v>
      </c>
      <c r="C1305" s="76">
        <v>0</v>
      </c>
      <c r="D1305" s="7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90" t="str">
        <f>IF(VLOOKUP(UncLookup[[#This Row],[Item]],Items!$A$1:$F$43,2,FALSE)=0,"",VLOOKUP(UncLookup[[#This Row],[Item]],Items!$A$1:$F$43,2,FALSE))</f>
        <v/>
      </c>
      <c r="P1305" s="90" t="str">
        <f>IF(VLOOKUP(UncLookup[[#This Row],[Item]],Items!$A$1:$F$43,3,FALSE)=0,"",VLOOKUP(UncLookup[[#This Row],[Item]],Items!$A$1:$F$43,3,FALSE))</f>
        <v/>
      </c>
      <c r="Q1305" s="90" t="str">
        <f>IF(VLOOKUP(UncLookup[[#This Row],[Item]],Items!$A$1:$F$43,4,FALSE)=0,"",VLOOKUP(UncLookup[[#This Row],[Item]],Items!$A$1:$F$43,4,FALSE))</f>
        <v/>
      </c>
    </row>
    <row r="1306" spans="1:17" x14ac:dyDescent="0.25">
      <c r="A1306" s="75" t="s">
        <v>55</v>
      </c>
      <c r="B1306" s="75" t="s">
        <v>3</v>
      </c>
      <c r="C1306" s="75">
        <v>0</v>
      </c>
      <c r="D1306" s="78">
        <v>0.33000099999999999</v>
      </c>
      <c r="E1306" s="75">
        <v>1.0000000000000001E-5</v>
      </c>
      <c r="F1306" s="75" t="s">
        <v>6</v>
      </c>
      <c r="G1306" s="75" t="s">
        <v>5</v>
      </c>
      <c r="H1306" s="75">
        <v>0</v>
      </c>
      <c r="I1306" s="75">
        <v>0</v>
      </c>
      <c r="J1306" s="75"/>
      <c r="K1306" s="75">
        <v>6.7737999999999996</v>
      </c>
      <c r="L1306" s="75">
        <v>61.286999999999999</v>
      </c>
      <c r="M1306" s="75">
        <v>6.7343999999999999</v>
      </c>
      <c r="N1306" s="75">
        <v>61.341999999999999</v>
      </c>
      <c r="O1306" s="90" t="str">
        <f>IF(VLOOKUP(UncLookup[[#This Row],[Item]],Items!$A$1:$F$43,2,FALSE)=0,"",VLOOKUP(UncLookup[[#This Row],[Item]],Items!$A$1:$F$43,2,FALSE))</f>
        <v/>
      </c>
      <c r="P1306" s="90" t="str">
        <f>IF(VLOOKUP(UncLookup[[#This Row],[Item]],Items!$A$1:$F$43,3,FALSE)=0,"",VLOOKUP(UncLookup[[#This Row],[Item]],Items!$A$1:$F$43,3,FALSE))</f>
        <v/>
      </c>
      <c r="Q1306" s="90" t="str">
        <f>IF(VLOOKUP(UncLookup[[#This Row],[Item]],Items!$A$1:$F$43,4,FALSE)=0,"",VLOOKUP(UncLookup[[#This Row],[Item]],Items!$A$1:$F$43,4,FALSE))</f>
        <v/>
      </c>
    </row>
    <row r="1307" spans="1:17" x14ac:dyDescent="0.25">
      <c r="A1307" s="76" t="s">
        <v>55</v>
      </c>
      <c r="B1307" s="76" t="s">
        <v>3</v>
      </c>
      <c r="C1307" s="76">
        <v>0</v>
      </c>
      <c r="D1307" s="7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90" t="str">
        <f>IF(VLOOKUP(UncLookup[[#This Row],[Item]],Items!$A$1:$F$43,2,FALSE)=0,"",VLOOKUP(UncLookup[[#This Row],[Item]],Items!$A$1:$F$43,2,FALSE))</f>
        <v/>
      </c>
      <c r="P1307" s="90" t="str">
        <f>IF(VLOOKUP(UncLookup[[#This Row],[Item]],Items!$A$1:$F$43,3,FALSE)=0,"",VLOOKUP(UncLookup[[#This Row],[Item]],Items!$A$1:$F$43,3,FALSE))</f>
        <v/>
      </c>
      <c r="Q1307" s="90" t="str">
        <f>IF(VLOOKUP(UncLookup[[#This Row],[Item]],Items!$A$1:$F$43,4,FALSE)=0,"",VLOOKUP(UncLookup[[#This Row],[Item]],Items!$A$1:$F$43,4,FALSE))</f>
        <v/>
      </c>
    </row>
    <row r="1308" spans="1:17" x14ac:dyDescent="0.25">
      <c r="A1308" s="75" t="s">
        <v>55</v>
      </c>
      <c r="B1308" s="75" t="s">
        <v>3</v>
      </c>
      <c r="C1308" s="75">
        <v>0</v>
      </c>
      <c r="D1308" s="75">
        <v>0.33000099999999999</v>
      </c>
      <c r="E1308" s="75">
        <v>1E-3</v>
      </c>
      <c r="F1308" s="75" t="s">
        <v>6</v>
      </c>
      <c r="G1308" s="75" t="s">
        <v>5</v>
      </c>
      <c r="H1308" s="75">
        <v>0</v>
      </c>
      <c r="I1308" s="75">
        <v>0</v>
      </c>
      <c r="J1308" s="75"/>
      <c r="K1308" s="75">
        <v>580.02</v>
      </c>
      <c r="L1308" s="75">
        <v>1.8105</v>
      </c>
      <c r="M1308" s="75">
        <v>580.01</v>
      </c>
      <c r="N1308" s="75">
        <v>1.7849999999999999</v>
      </c>
      <c r="O1308" s="90" t="str">
        <f>IF(VLOOKUP(UncLookup[[#This Row],[Item]],Items!$A$1:$F$43,2,FALSE)=0,"",VLOOKUP(UncLookup[[#This Row],[Item]],Items!$A$1:$F$43,2,FALSE))</f>
        <v/>
      </c>
      <c r="P1308" s="90" t="str">
        <f>IF(VLOOKUP(UncLookup[[#This Row],[Item]],Items!$A$1:$F$43,3,FALSE)=0,"",VLOOKUP(UncLookup[[#This Row],[Item]],Items!$A$1:$F$43,3,FALSE))</f>
        <v/>
      </c>
      <c r="Q1308" s="90" t="str">
        <f>IF(VLOOKUP(UncLookup[[#This Row],[Item]],Items!$A$1:$F$43,4,FALSE)=0,"",VLOOKUP(UncLookup[[#This Row],[Item]],Items!$A$1:$F$43,4,FALSE))</f>
        <v/>
      </c>
    </row>
    <row r="1309" spans="1:17" x14ac:dyDescent="0.25">
      <c r="A1309" s="76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90" t="str">
        <f>IF(VLOOKUP(UncLookup[[#This Row],[Item]],Items!$A$1:$F$43,2,FALSE)=0,"",VLOOKUP(UncLookup[[#This Row],[Item]],Items!$A$1:$F$43,2,FALSE))</f>
        <v/>
      </c>
      <c r="P1309" s="90" t="str">
        <f>IF(VLOOKUP(UncLookup[[#This Row],[Item]],Items!$A$1:$F$43,3,FALSE)=0,"",VLOOKUP(UncLookup[[#This Row],[Item]],Items!$A$1:$F$43,3,FALSE))</f>
        <v/>
      </c>
      <c r="Q1309" s="90" t="str">
        <f>IF(VLOOKUP(UncLookup[[#This Row],[Item]],Items!$A$1:$F$43,4,FALSE)=0,"",VLOOKUP(UncLookup[[#This Row],[Item]],Items!$A$1:$F$43,4,FALSE))</f>
        <v/>
      </c>
    </row>
    <row r="1310" spans="1:17" x14ac:dyDescent="0.25">
      <c r="A1310" s="75" t="s">
        <v>55</v>
      </c>
      <c r="B1310" s="75" t="s">
        <v>3</v>
      </c>
      <c r="C1310" s="75">
        <v>0</v>
      </c>
      <c r="D1310" s="75">
        <v>0.33000099999999999</v>
      </c>
      <c r="E1310" s="75">
        <v>0.1</v>
      </c>
      <c r="F1310" s="75" t="s">
        <v>6</v>
      </c>
      <c r="G1310" s="75" t="s">
        <v>4</v>
      </c>
      <c r="H1310" s="75">
        <v>0</v>
      </c>
      <c r="I1310" s="75">
        <v>0</v>
      </c>
      <c r="J1310" s="75"/>
      <c r="K1310" s="75">
        <v>58</v>
      </c>
      <c r="L1310" s="75">
        <v>2.1943E-5</v>
      </c>
      <c r="M1310" s="75">
        <v>58</v>
      </c>
      <c r="N1310" s="75">
        <v>1.7859E-5</v>
      </c>
      <c r="O1310" s="90" t="str">
        <f>IF(VLOOKUP(UncLookup[[#This Row],[Item]],Items!$A$1:$F$43,2,FALSE)=0,"",VLOOKUP(UncLookup[[#This Row],[Item]],Items!$A$1:$F$43,2,FALSE))</f>
        <v/>
      </c>
      <c r="P1310" s="90" t="str">
        <f>IF(VLOOKUP(UncLookup[[#This Row],[Item]],Items!$A$1:$F$43,3,FALSE)=0,"",VLOOKUP(UncLookup[[#This Row],[Item]],Items!$A$1:$F$43,3,FALSE))</f>
        <v/>
      </c>
      <c r="Q1310" s="90" t="str">
        <f>IF(VLOOKUP(UncLookup[[#This Row],[Item]],Items!$A$1:$F$43,4,FALSE)=0,"",VLOOKUP(UncLookup[[#This Row],[Item]],Items!$A$1:$F$43,4,FALSE))</f>
        <v/>
      </c>
    </row>
    <row r="1311" spans="1:17" x14ac:dyDescent="0.25">
      <c r="A1311" s="76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90" t="str">
        <f>IF(VLOOKUP(UncLookup[[#This Row],[Item]],Items!$A$1:$F$43,2,FALSE)=0,"",VLOOKUP(UncLookup[[#This Row],[Item]],Items!$A$1:$F$43,2,FALSE))</f>
        <v/>
      </c>
      <c r="P1311" s="90" t="str">
        <f>IF(VLOOKUP(UncLookup[[#This Row],[Item]],Items!$A$1:$F$43,3,FALSE)=0,"",VLOOKUP(UncLookup[[#This Row],[Item]],Items!$A$1:$F$43,3,FALSE))</f>
        <v/>
      </c>
      <c r="Q1311" s="90" t="str">
        <f>IF(VLOOKUP(UncLookup[[#This Row],[Item]],Items!$A$1:$F$43,4,FALSE)=0,"",VLOOKUP(UncLookup[[#This Row],[Item]],Items!$A$1:$F$43,4,FALSE))</f>
        <v/>
      </c>
    </row>
    <row r="1312" spans="1:17" x14ac:dyDescent="0.25">
      <c r="A1312" s="75" t="s">
        <v>55</v>
      </c>
      <c r="B1312" s="75" t="s">
        <v>3</v>
      </c>
      <c r="C1312" s="75">
        <v>0</v>
      </c>
      <c r="D1312" s="75">
        <v>0.33000099999999999</v>
      </c>
      <c r="E1312" s="75">
        <v>10</v>
      </c>
      <c r="F1312" s="75" t="s">
        <v>6</v>
      </c>
      <c r="G1312" s="75" t="s">
        <v>4</v>
      </c>
      <c r="H1312" s="75">
        <v>0</v>
      </c>
      <c r="I1312" s="75">
        <v>0</v>
      </c>
      <c r="J1312" s="75"/>
      <c r="K1312" s="75">
        <v>5800</v>
      </c>
      <c r="L1312" s="75">
        <v>8.3200000000000004E-7</v>
      </c>
      <c r="M1312" s="75">
        <v>5800</v>
      </c>
      <c r="N1312" s="75">
        <v>1.79E-7</v>
      </c>
      <c r="O1312" s="90" t="str">
        <f>IF(VLOOKUP(UncLookup[[#This Row],[Item]],Items!$A$1:$F$43,2,FALSE)=0,"",VLOOKUP(UncLookup[[#This Row],[Item]],Items!$A$1:$F$43,2,FALSE))</f>
        <v/>
      </c>
      <c r="P1312" s="90" t="str">
        <f>IF(VLOOKUP(UncLookup[[#This Row],[Item]],Items!$A$1:$F$43,3,FALSE)=0,"",VLOOKUP(UncLookup[[#This Row],[Item]],Items!$A$1:$F$43,3,FALSE))</f>
        <v/>
      </c>
      <c r="Q1312" s="90" t="str">
        <f>IF(VLOOKUP(UncLookup[[#This Row],[Item]],Items!$A$1:$F$43,4,FALSE)=0,"",VLOOKUP(UncLookup[[#This Row],[Item]],Items!$A$1:$F$43,4,FALSE))</f>
        <v/>
      </c>
    </row>
    <row r="1313" spans="1:17" x14ac:dyDescent="0.25">
      <c r="A1313" s="76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90" t="str">
        <f>IF(VLOOKUP(UncLookup[[#This Row],[Item]],Items!$A$1:$F$43,2,FALSE)=0,"",VLOOKUP(UncLookup[[#This Row],[Item]],Items!$A$1:$F$43,2,FALSE))</f>
        <v/>
      </c>
      <c r="P1313" s="90" t="str">
        <f>IF(VLOOKUP(UncLookup[[#This Row],[Item]],Items!$A$1:$F$43,3,FALSE)=0,"",VLOOKUP(UncLookup[[#This Row],[Item]],Items!$A$1:$F$43,3,FALSE))</f>
        <v/>
      </c>
      <c r="Q1313" s="90" t="str">
        <f>IF(VLOOKUP(UncLookup[[#This Row],[Item]],Items!$A$1:$F$43,4,FALSE)=0,"",VLOOKUP(UncLookup[[#This Row],[Item]],Items!$A$1:$F$43,4,FALSE))</f>
        <v/>
      </c>
    </row>
    <row r="1314" spans="1:17" x14ac:dyDescent="0.25">
      <c r="A1314" s="75" t="s">
        <v>55</v>
      </c>
      <c r="B1314" s="75" t="s">
        <v>3</v>
      </c>
      <c r="C1314" s="75">
        <v>0.33</v>
      </c>
      <c r="D1314" s="75">
        <v>3.3000099999999999</v>
      </c>
      <c r="E1314" s="75">
        <v>1.0000000000000001E-5</v>
      </c>
      <c r="F1314" s="75" t="s">
        <v>6</v>
      </c>
      <c r="G1314" s="75" t="s">
        <v>5</v>
      </c>
      <c r="H1314" s="75">
        <v>0</v>
      </c>
      <c r="I1314" s="75">
        <v>0</v>
      </c>
      <c r="J1314" s="75"/>
      <c r="K1314" s="75">
        <v>6.8066000000000004</v>
      </c>
      <c r="L1314" s="75">
        <v>57.529000000000003</v>
      </c>
      <c r="M1314" s="75">
        <v>6.4957000000000003</v>
      </c>
      <c r="N1314" s="75">
        <v>57.593000000000004</v>
      </c>
      <c r="O1314" s="90" t="str">
        <f>IF(VLOOKUP(UncLookup[[#This Row],[Item]],Items!$A$1:$F$43,2,FALSE)=0,"",VLOOKUP(UncLookup[[#This Row],[Item]],Items!$A$1:$F$43,2,FALSE))</f>
        <v/>
      </c>
      <c r="P1314" s="90" t="str">
        <f>IF(VLOOKUP(UncLookup[[#This Row],[Item]],Items!$A$1:$F$43,3,FALSE)=0,"",VLOOKUP(UncLookup[[#This Row],[Item]],Items!$A$1:$F$43,3,FALSE))</f>
        <v/>
      </c>
      <c r="Q1314" s="90" t="str">
        <f>IF(VLOOKUP(UncLookup[[#This Row],[Item]],Items!$A$1:$F$43,4,FALSE)=0,"",VLOOKUP(UncLookup[[#This Row],[Item]],Items!$A$1:$F$43,4,FALSE))</f>
        <v/>
      </c>
    </row>
    <row r="1315" spans="1:17" x14ac:dyDescent="0.25">
      <c r="A1315" s="76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90" t="str">
        <f>IF(VLOOKUP(UncLookup[[#This Row],[Item]],Items!$A$1:$F$43,2,FALSE)=0,"",VLOOKUP(UncLookup[[#This Row],[Item]],Items!$A$1:$F$43,2,FALSE))</f>
        <v/>
      </c>
      <c r="P1315" s="90" t="str">
        <f>IF(VLOOKUP(UncLookup[[#This Row],[Item]],Items!$A$1:$F$43,3,FALSE)=0,"",VLOOKUP(UncLookup[[#This Row],[Item]],Items!$A$1:$F$43,3,FALSE))</f>
        <v/>
      </c>
      <c r="Q1315" s="90" t="str">
        <f>IF(VLOOKUP(UncLookup[[#This Row],[Item]],Items!$A$1:$F$43,4,FALSE)=0,"",VLOOKUP(UncLookup[[#This Row],[Item]],Items!$A$1:$F$43,4,FALSE))</f>
        <v/>
      </c>
    </row>
    <row r="1316" spans="1:17" x14ac:dyDescent="0.25">
      <c r="A1316" s="75" t="s">
        <v>55</v>
      </c>
      <c r="B1316" s="75" t="s">
        <v>3</v>
      </c>
      <c r="C1316" s="75">
        <v>0.33</v>
      </c>
      <c r="D1316" s="75">
        <v>3.3000099999999999</v>
      </c>
      <c r="E1316" s="75">
        <v>1E-3</v>
      </c>
      <c r="F1316" s="75" t="s">
        <v>6</v>
      </c>
      <c r="G1316" s="75" t="s">
        <v>5</v>
      </c>
      <c r="H1316" s="75">
        <v>0</v>
      </c>
      <c r="I1316" s="75">
        <v>0</v>
      </c>
      <c r="J1316" s="75"/>
      <c r="K1316" s="75">
        <v>577.16999999999996</v>
      </c>
      <c r="L1316" s="75">
        <v>10.824</v>
      </c>
      <c r="M1316" s="75">
        <v>576.99</v>
      </c>
      <c r="N1316" s="75">
        <v>10.721</v>
      </c>
      <c r="O1316" s="90" t="str">
        <f>IF(VLOOKUP(UncLookup[[#This Row],[Item]],Items!$A$1:$F$43,2,FALSE)=0,"",VLOOKUP(UncLookup[[#This Row],[Item]],Items!$A$1:$F$43,2,FALSE))</f>
        <v/>
      </c>
      <c r="P1316" s="90" t="str">
        <f>IF(VLOOKUP(UncLookup[[#This Row],[Item]],Items!$A$1:$F$43,3,FALSE)=0,"",VLOOKUP(UncLookup[[#This Row],[Item]],Items!$A$1:$F$43,3,FALSE))</f>
        <v/>
      </c>
      <c r="Q1316" s="90" t="str">
        <f>IF(VLOOKUP(UncLookup[[#This Row],[Item]],Items!$A$1:$F$43,4,FALSE)=0,"",VLOOKUP(UncLookup[[#This Row],[Item]],Items!$A$1:$F$43,4,FALSE))</f>
        <v/>
      </c>
    </row>
    <row r="1317" spans="1:17" x14ac:dyDescent="0.25">
      <c r="A1317" s="76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90" t="str">
        <f>IF(VLOOKUP(UncLookup[[#This Row],[Item]],Items!$A$1:$F$43,2,FALSE)=0,"",VLOOKUP(UncLookup[[#This Row],[Item]],Items!$A$1:$F$43,2,FALSE))</f>
        <v/>
      </c>
      <c r="P1317" s="90" t="str">
        <f>IF(VLOOKUP(UncLookup[[#This Row],[Item]],Items!$A$1:$F$43,3,FALSE)=0,"",VLOOKUP(UncLookup[[#This Row],[Item]],Items!$A$1:$F$43,3,FALSE))</f>
        <v/>
      </c>
      <c r="Q1317" s="90" t="str">
        <f>IF(VLOOKUP(UncLookup[[#This Row],[Item]],Items!$A$1:$F$43,4,FALSE)=0,"",VLOOKUP(UncLookup[[#This Row],[Item]],Items!$A$1:$F$43,4,FALSE))</f>
        <v/>
      </c>
    </row>
    <row r="1318" spans="1:17" x14ac:dyDescent="0.25">
      <c r="A1318" s="75" t="s">
        <v>55</v>
      </c>
      <c r="B1318" s="75" t="s">
        <v>3</v>
      </c>
      <c r="C1318" s="75">
        <v>0.33</v>
      </c>
      <c r="D1318" s="75">
        <v>3.3000099999999999</v>
      </c>
      <c r="E1318" s="75">
        <v>0.1</v>
      </c>
      <c r="F1318" s="75" t="s">
        <v>6</v>
      </c>
      <c r="G1318" s="75" t="s">
        <v>5</v>
      </c>
      <c r="H1318" s="75">
        <v>0</v>
      </c>
      <c r="I1318" s="75">
        <v>0</v>
      </c>
      <c r="J1318" s="75"/>
      <c r="K1318" s="75">
        <v>58000</v>
      </c>
      <c r="L1318" s="75">
        <v>0.12833</v>
      </c>
      <c r="M1318" s="75">
        <v>5799.8</v>
      </c>
      <c r="N1318" s="75">
        <v>0.11025</v>
      </c>
      <c r="O1318" s="90" t="str">
        <f>IF(VLOOKUP(UncLookup[[#This Row],[Item]],Items!$A$1:$F$43,2,FALSE)=0,"",VLOOKUP(UncLookup[[#This Row],[Item]],Items!$A$1:$F$43,2,FALSE))</f>
        <v/>
      </c>
      <c r="P1318" s="90" t="str">
        <f>IF(VLOOKUP(UncLookup[[#This Row],[Item]],Items!$A$1:$F$43,3,FALSE)=0,"",VLOOKUP(UncLookup[[#This Row],[Item]],Items!$A$1:$F$43,3,FALSE))</f>
        <v/>
      </c>
      <c r="Q1318" s="90" t="str">
        <f>IF(VLOOKUP(UncLookup[[#This Row],[Item]],Items!$A$1:$F$43,4,FALSE)=0,"",VLOOKUP(UncLookup[[#This Row],[Item]],Items!$A$1:$F$43,4,FALSE))</f>
        <v/>
      </c>
    </row>
    <row r="1319" spans="1:17" x14ac:dyDescent="0.25">
      <c r="A1319" s="76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90" t="str">
        <f>IF(VLOOKUP(UncLookup[[#This Row],[Item]],Items!$A$1:$F$43,2,FALSE)=0,"",VLOOKUP(UncLookup[[#This Row],[Item]],Items!$A$1:$F$43,2,FALSE))</f>
        <v/>
      </c>
      <c r="P1319" s="90" t="str">
        <f>IF(VLOOKUP(UncLookup[[#This Row],[Item]],Items!$A$1:$F$43,3,FALSE)=0,"",VLOOKUP(UncLookup[[#This Row],[Item]],Items!$A$1:$F$43,3,FALSE))</f>
        <v/>
      </c>
      <c r="Q1319" s="90" t="str">
        <f>IF(VLOOKUP(UncLookup[[#This Row],[Item]],Items!$A$1:$F$43,4,FALSE)=0,"",VLOOKUP(UncLookup[[#This Row],[Item]],Items!$A$1:$F$43,4,FALSE))</f>
        <v/>
      </c>
    </row>
    <row r="1320" spans="1:17" x14ac:dyDescent="0.25">
      <c r="A1320" s="75" t="s">
        <v>55</v>
      </c>
      <c r="B1320" s="75" t="s">
        <v>3</v>
      </c>
      <c r="C1320" s="75">
        <v>3</v>
      </c>
      <c r="D1320" s="75">
        <v>33.000100000000003</v>
      </c>
      <c r="E1320" s="75">
        <v>1E-4</v>
      </c>
      <c r="F1320" s="75" t="s">
        <v>6</v>
      </c>
      <c r="G1320" s="75" t="s">
        <v>4</v>
      </c>
      <c r="H1320" s="75">
        <v>0</v>
      </c>
      <c r="I1320" s="75">
        <v>0</v>
      </c>
      <c r="J1320" s="75"/>
      <c r="K1320" s="75">
        <v>6.7757999999999999E-2</v>
      </c>
      <c r="L1320" s="75">
        <v>5.7660999999999997E-2</v>
      </c>
      <c r="M1320" s="75">
        <v>6.4652000000000001E-2</v>
      </c>
      <c r="N1320" s="75">
        <v>5.7724999999999999E-2</v>
      </c>
      <c r="O1320" s="90" t="str">
        <f>IF(VLOOKUP(UncLookup[[#This Row],[Item]],Items!$A$1:$F$43,2,FALSE)=0,"",VLOOKUP(UncLookup[[#This Row],[Item]],Items!$A$1:$F$43,2,FALSE))</f>
        <v/>
      </c>
      <c r="P1320" s="90" t="str">
        <f>IF(VLOOKUP(UncLookup[[#This Row],[Item]],Items!$A$1:$F$43,3,FALSE)=0,"",VLOOKUP(UncLookup[[#This Row],[Item]],Items!$A$1:$F$43,3,FALSE))</f>
        <v/>
      </c>
      <c r="Q1320" s="90" t="str">
        <f>IF(VLOOKUP(UncLookup[[#This Row],[Item]],Items!$A$1:$F$43,4,FALSE)=0,"",VLOOKUP(UncLookup[[#This Row],[Item]],Items!$A$1:$F$43,4,FALSE))</f>
        <v/>
      </c>
    </row>
    <row r="1321" spans="1:17" x14ac:dyDescent="0.25">
      <c r="A1321" s="76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90" t="str">
        <f>IF(VLOOKUP(UncLookup[[#This Row],[Item]],Items!$A$1:$F$43,2,FALSE)=0,"",VLOOKUP(UncLookup[[#This Row],[Item]],Items!$A$1:$F$43,2,FALSE))</f>
        <v/>
      </c>
      <c r="P1321" s="90" t="str">
        <f>IF(VLOOKUP(UncLookup[[#This Row],[Item]],Items!$A$1:$F$43,3,FALSE)=0,"",VLOOKUP(UncLookup[[#This Row],[Item]],Items!$A$1:$F$43,3,FALSE))</f>
        <v/>
      </c>
      <c r="Q1321" s="90" t="str">
        <f>IF(VLOOKUP(UncLookup[[#This Row],[Item]],Items!$A$1:$F$43,4,FALSE)=0,"",VLOOKUP(UncLookup[[#This Row],[Item]],Items!$A$1:$F$43,4,FALSE))</f>
        <v/>
      </c>
    </row>
    <row r="1322" spans="1:17" x14ac:dyDescent="0.25">
      <c r="A1322" s="75" t="s">
        <v>55</v>
      </c>
      <c r="B1322" s="75" t="s">
        <v>3</v>
      </c>
      <c r="C1322" s="75">
        <v>3</v>
      </c>
      <c r="D1322" s="75">
        <v>33.000100000000003</v>
      </c>
      <c r="E1322" s="75">
        <v>0.01</v>
      </c>
      <c r="F1322" s="75" t="s">
        <v>6</v>
      </c>
      <c r="G1322" s="75" t="s">
        <v>4</v>
      </c>
      <c r="H1322" s="75">
        <v>0</v>
      </c>
      <c r="I1322" s="75">
        <v>0</v>
      </c>
      <c r="J1322" s="75"/>
      <c r="K1322" s="75">
        <v>5.7714999999999996</v>
      </c>
      <c r="L1322" s="75">
        <v>1.0867999999999999E-2</v>
      </c>
      <c r="M1322" s="75">
        <v>5.7698</v>
      </c>
      <c r="N1322" s="75">
        <v>1.0763999999999999E-2</v>
      </c>
      <c r="O1322" s="90" t="str">
        <f>IF(VLOOKUP(UncLookup[[#This Row],[Item]],Items!$A$1:$F$43,2,FALSE)=0,"",VLOOKUP(UncLookup[[#This Row],[Item]],Items!$A$1:$F$43,2,FALSE))</f>
        <v/>
      </c>
      <c r="P1322" s="90" t="str">
        <f>IF(VLOOKUP(UncLookup[[#This Row],[Item]],Items!$A$1:$F$43,3,FALSE)=0,"",VLOOKUP(UncLookup[[#This Row],[Item]],Items!$A$1:$F$43,3,FALSE))</f>
        <v/>
      </c>
      <c r="Q1322" s="90" t="str">
        <f>IF(VLOOKUP(UncLookup[[#This Row],[Item]],Items!$A$1:$F$43,4,FALSE)=0,"",VLOOKUP(UncLookup[[#This Row],[Item]],Items!$A$1:$F$43,4,FALSE))</f>
        <v/>
      </c>
    </row>
    <row r="1323" spans="1:17" x14ac:dyDescent="0.25">
      <c r="A1323" s="76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90" t="str">
        <f>IF(VLOOKUP(UncLookup[[#This Row],[Item]],Items!$A$1:$F$43,2,FALSE)=0,"",VLOOKUP(UncLookup[[#This Row],[Item]],Items!$A$1:$F$43,2,FALSE))</f>
        <v/>
      </c>
      <c r="P1323" s="90" t="str">
        <f>IF(VLOOKUP(UncLookup[[#This Row],[Item]],Items!$A$1:$F$43,3,FALSE)=0,"",VLOOKUP(UncLookup[[#This Row],[Item]],Items!$A$1:$F$43,3,FALSE))</f>
        <v/>
      </c>
      <c r="Q1323" s="90" t="str">
        <f>IF(VLOOKUP(UncLookup[[#This Row],[Item]],Items!$A$1:$F$43,4,FALSE)=0,"",VLOOKUP(UncLookup[[#This Row],[Item]],Items!$A$1:$F$43,4,FALSE))</f>
        <v/>
      </c>
    </row>
    <row r="1324" spans="1:17" x14ac:dyDescent="0.25">
      <c r="A1324" s="75" t="s">
        <v>55</v>
      </c>
      <c r="B1324" s="75" t="s">
        <v>3</v>
      </c>
      <c r="C1324" s="75">
        <v>3</v>
      </c>
      <c r="D1324" s="75">
        <v>33.000100000000003</v>
      </c>
      <c r="E1324" s="75">
        <v>1</v>
      </c>
      <c r="F1324" s="75" t="s">
        <v>6</v>
      </c>
      <c r="G1324" s="75" t="s">
        <v>4</v>
      </c>
      <c r="H1324" s="75">
        <v>0</v>
      </c>
      <c r="I1324" s="75">
        <v>0</v>
      </c>
      <c r="J1324" s="75"/>
      <c r="K1324" s="75">
        <v>580</v>
      </c>
      <c r="L1324" s="75">
        <v>1.2878999999999999E-4</v>
      </c>
      <c r="M1324" s="75">
        <v>580</v>
      </c>
      <c r="N1324" s="75">
        <v>1.1071E-4</v>
      </c>
      <c r="O1324" s="90" t="str">
        <f>IF(VLOOKUP(UncLookup[[#This Row],[Item]],Items!$A$1:$F$43,2,FALSE)=0,"",VLOOKUP(UncLookup[[#This Row],[Item]],Items!$A$1:$F$43,2,FALSE))</f>
        <v/>
      </c>
      <c r="P1324" s="90" t="str">
        <f>IF(VLOOKUP(UncLookup[[#This Row],[Item]],Items!$A$1:$F$43,3,FALSE)=0,"",VLOOKUP(UncLookup[[#This Row],[Item]],Items!$A$1:$F$43,3,FALSE))</f>
        <v/>
      </c>
      <c r="Q1324" s="90" t="str">
        <f>IF(VLOOKUP(UncLookup[[#This Row],[Item]],Items!$A$1:$F$43,4,FALSE)=0,"",VLOOKUP(UncLookup[[#This Row],[Item]],Items!$A$1:$F$43,4,FALSE))</f>
        <v/>
      </c>
    </row>
    <row r="1325" spans="1:17" x14ac:dyDescent="0.25">
      <c r="A1325" s="76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90" t="str">
        <f>IF(VLOOKUP(UncLookup[[#This Row],[Item]],Items!$A$1:$F$43,2,FALSE)=0,"",VLOOKUP(UncLookup[[#This Row],[Item]],Items!$A$1:$F$43,2,FALSE))</f>
        <v/>
      </c>
      <c r="P1325" s="90" t="str">
        <f>IF(VLOOKUP(UncLookup[[#This Row],[Item]],Items!$A$1:$F$43,3,FALSE)=0,"",VLOOKUP(UncLookup[[#This Row],[Item]],Items!$A$1:$F$43,3,FALSE))</f>
        <v/>
      </c>
      <c r="Q1325" s="90" t="str">
        <f>IF(VLOOKUP(UncLookup[[#This Row],[Item]],Items!$A$1:$F$43,4,FALSE)=0,"",VLOOKUP(UncLookup[[#This Row],[Item]],Items!$A$1:$F$43,4,FALSE))</f>
        <v/>
      </c>
    </row>
    <row r="1326" spans="1:17" x14ac:dyDescent="0.25">
      <c r="A1326" s="75" t="s">
        <v>55</v>
      </c>
      <c r="B1326" s="75" t="s">
        <v>3</v>
      </c>
      <c r="C1326" s="75">
        <v>33</v>
      </c>
      <c r="D1326" s="75">
        <v>330.00099999999998</v>
      </c>
      <c r="E1326" s="75">
        <v>1E-3</v>
      </c>
      <c r="F1326" s="75" t="s">
        <v>6</v>
      </c>
      <c r="G1326" s="75" t="s">
        <v>4</v>
      </c>
      <c r="H1326" s="75">
        <v>0</v>
      </c>
      <c r="I1326" s="75">
        <v>0</v>
      </c>
      <c r="J1326" s="75"/>
      <c r="K1326" s="75">
        <v>0.67471000000000003</v>
      </c>
      <c r="L1326" s="75">
        <v>6.3403000000000001E-2</v>
      </c>
      <c r="M1326" s="75">
        <v>0.64578000000000002</v>
      </c>
      <c r="N1326" s="75">
        <v>6.3463000000000006E-2</v>
      </c>
      <c r="O1326" s="90" t="str">
        <f>IF(VLOOKUP(UncLookup[[#This Row],[Item]],Items!$A$1:$F$43,2,FALSE)=0,"",VLOOKUP(UncLookup[[#This Row],[Item]],Items!$A$1:$F$43,2,FALSE))</f>
        <v/>
      </c>
      <c r="P1326" s="90" t="str">
        <f>IF(VLOOKUP(UncLookup[[#This Row],[Item]],Items!$A$1:$F$43,3,FALSE)=0,"",VLOOKUP(UncLookup[[#This Row],[Item]],Items!$A$1:$F$43,3,FALSE))</f>
        <v/>
      </c>
      <c r="Q1326" s="90" t="str">
        <f>IF(VLOOKUP(UncLookup[[#This Row],[Item]],Items!$A$1:$F$43,4,FALSE)=0,"",VLOOKUP(UncLookup[[#This Row],[Item]],Items!$A$1:$F$43,4,FALSE))</f>
        <v/>
      </c>
    </row>
    <row r="1327" spans="1:17" x14ac:dyDescent="0.25">
      <c r="A1327" s="76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90" t="str">
        <f>IF(VLOOKUP(UncLookup[[#This Row],[Item]],Items!$A$1:$F$43,2,FALSE)=0,"",VLOOKUP(UncLookup[[#This Row],[Item]],Items!$A$1:$F$43,2,FALSE))</f>
        <v/>
      </c>
      <c r="P1327" s="90" t="str">
        <f>IF(VLOOKUP(UncLookup[[#This Row],[Item]],Items!$A$1:$F$43,3,FALSE)=0,"",VLOOKUP(UncLookup[[#This Row],[Item]],Items!$A$1:$F$43,3,FALSE))</f>
        <v/>
      </c>
      <c r="Q1327" s="90" t="str">
        <f>IF(VLOOKUP(UncLookup[[#This Row],[Item]],Items!$A$1:$F$43,4,FALSE)=0,"",VLOOKUP(UncLookup[[#This Row],[Item]],Items!$A$1:$F$43,4,FALSE))</f>
        <v/>
      </c>
    </row>
    <row r="1328" spans="1:17" x14ac:dyDescent="0.25">
      <c r="A1328" s="75" t="s">
        <v>55</v>
      </c>
      <c r="B1328" s="75" t="s">
        <v>3</v>
      </c>
      <c r="C1328" s="75">
        <v>33</v>
      </c>
      <c r="D1328" s="75">
        <v>330.00099999999998</v>
      </c>
      <c r="E1328" s="75">
        <v>0.1</v>
      </c>
      <c r="F1328" s="75" t="s">
        <v>6</v>
      </c>
      <c r="G1328" s="75" t="s">
        <v>4</v>
      </c>
      <c r="H1328" s="75">
        <v>0</v>
      </c>
      <c r="I1328" s="75">
        <v>0</v>
      </c>
      <c r="J1328" s="75"/>
      <c r="K1328" s="75">
        <v>57.654000000000003</v>
      </c>
      <c r="L1328" s="75">
        <v>1.2973999999999999E-2</v>
      </c>
      <c r="M1328" s="75">
        <v>57.637</v>
      </c>
      <c r="N1328" s="75">
        <v>1.2872E-2</v>
      </c>
      <c r="O1328" s="90" t="str">
        <f>IF(VLOOKUP(UncLookup[[#This Row],[Item]],Items!$A$1:$F$43,2,FALSE)=0,"",VLOOKUP(UncLookup[[#This Row],[Item]],Items!$A$1:$F$43,2,FALSE))</f>
        <v/>
      </c>
      <c r="P1328" s="90" t="str">
        <f>IF(VLOOKUP(UncLookup[[#This Row],[Item]],Items!$A$1:$F$43,3,FALSE)=0,"",VLOOKUP(UncLookup[[#This Row],[Item]],Items!$A$1:$F$43,3,FALSE))</f>
        <v/>
      </c>
      <c r="Q1328" s="90" t="str">
        <f>IF(VLOOKUP(UncLookup[[#This Row],[Item]],Items!$A$1:$F$43,4,FALSE)=0,"",VLOOKUP(UncLookup[[#This Row],[Item]],Items!$A$1:$F$43,4,FALSE))</f>
        <v/>
      </c>
    </row>
    <row r="1329" spans="1:17" x14ac:dyDescent="0.25">
      <c r="A1329" s="76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90" t="str">
        <f>IF(VLOOKUP(UncLookup[[#This Row],[Item]],Items!$A$1:$F$43,2,FALSE)=0,"",VLOOKUP(UncLookup[[#This Row],[Item]],Items!$A$1:$F$43,2,FALSE))</f>
        <v/>
      </c>
      <c r="P1329" s="90" t="str">
        <f>IF(VLOOKUP(UncLookup[[#This Row],[Item]],Items!$A$1:$F$43,3,FALSE)=0,"",VLOOKUP(UncLookup[[#This Row],[Item]],Items!$A$1:$F$43,3,FALSE))</f>
        <v/>
      </c>
      <c r="Q1329" s="90" t="str">
        <f>IF(VLOOKUP(UncLookup[[#This Row],[Item]],Items!$A$1:$F$43,4,FALSE)=0,"",VLOOKUP(UncLookup[[#This Row],[Item]],Items!$A$1:$F$43,4,FALSE))</f>
        <v/>
      </c>
    </row>
    <row r="1330" spans="1:17" x14ac:dyDescent="0.25">
      <c r="A1330" s="75" t="s">
        <v>55</v>
      </c>
      <c r="B1330" s="75" t="s">
        <v>3</v>
      </c>
      <c r="C1330" s="75">
        <v>33</v>
      </c>
      <c r="D1330" s="75">
        <v>330.00099999999998</v>
      </c>
      <c r="E1330" s="75">
        <v>10</v>
      </c>
      <c r="F1330" s="75" t="s">
        <v>6</v>
      </c>
      <c r="G1330" s="75" t="s">
        <v>4</v>
      </c>
      <c r="H1330" s="75">
        <v>0</v>
      </c>
      <c r="I1330" s="75">
        <v>0</v>
      </c>
      <c r="J1330" s="75"/>
      <c r="K1330" s="75">
        <v>5800</v>
      </c>
      <c r="L1330" s="75">
        <v>1.5118E-4</v>
      </c>
      <c r="M1330" s="75">
        <v>5800</v>
      </c>
      <c r="N1330" s="75">
        <v>1.3310000000000001E-4</v>
      </c>
      <c r="O1330" s="90" t="str">
        <f>IF(VLOOKUP(UncLookup[[#This Row],[Item]],Items!$A$1:$F$43,2,FALSE)=0,"",VLOOKUP(UncLookup[[#This Row],[Item]],Items!$A$1:$F$43,2,FALSE))</f>
        <v/>
      </c>
      <c r="P1330" s="90" t="str">
        <f>IF(VLOOKUP(UncLookup[[#This Row],[Item]],Items!$A$1:$F$43,3,FALSE)=0,"",VLOOKUP(UncLookup[[#This Row],[Item]],Items!$A$1:$F$43,3,FALSE))</f>
        <v/>
      </c>
      <c r="Q1330" s="90" t="str">
        <f>IF(VLOOKUP(UncLookup[[#This Row],[Item]],Items!$A$1:$F$43,4,FALSE)=0,"",VLOOKUP(UncLookup[[#This Row],[Item]],Items!$A$1:$F$43,4,FALSE))</f>
        <v/>
      </c>
    </row>
    <row r="1331" spans="1:17" x14ac:dyDescent="0.25">
      <c r="A1331" s="76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90" t="str">
        <f>IF(VLOOKUP(UncLookup[[#This Row],[Item]],Items!$A$1:$F$43,2,FALSE)=0,"",VLOOKUP(UncLookup[[#This Row],[Item]],Items!$A$1:$F$43,2,FALSE))</f>
        <v/>
      </c>
      <c r="P1331" s="90" t="str">
        <f>IF(VLOOKUP(UncLookup[[#This Row],[Item]],Items!$A$1:$F$43,3,FALSE)=0,"",VLOOKUP(UncLookup[[#This Row],[Item]],Items!$A$1:$F$43,3,FALSE))</f>
        <v/>
      </c>
      <c r="Q1331" s="90" t="str">
        <f>IF(VLOOKUP(UncLookup[[#This Row],[Item]],Items!$A$1:$F$43,4,FALSE)=0,"",VLOOKUP(UncLookup[[#This Row],[Item]],Items!$A$1:$F$43,4,FALSE))</f>
        <v/>
      </c>
    </row>
    <row r="1332" spans="1:17" x14ac:dyDescent="0.25">
      <c r="A1332" s="75" t="s">
        <v>55</v>
      </c>
      <c r="B1332" s="75" t="s">
        <v>3</v>
      </c>
      <c r="C1332" s="75">
        <v>330</v>
      </c>
      <c r="D1332" s="75">
        <v>1000.01</v>
      </c>
      <c r="E1332" s="75">
        <v>0.01</v>
      </c>
      <c r="F1332" s="75" t="s">
        <v>6</v>
      </c>
      <c r="G1332" s="75" t="s">
        <v>4</v>
      </c>
      <c r="H1332" s="75">
        <v>0</v>
      </c>
      <c r="I1332" s="75">
        <v>0</v>
      </c>
      <c r="J1332" s="75"/>
      <c r="K1332" s="75">
        <v>3.0276999999999998</v>
      </c>
      <c r="L1332" s="75">
        <v>6.2894000000000005E-2</v>
      </c>
      <c r="M1332" s="75">
        <v>2.7052</v>
      </c>
      <c r="N1332" s="75">
        <v>6.2919000000000003E-2</v>
      </c>
      <c r="O1332" s="90" t="str">
        <f>IF(VLOOKUP(UncLookup[[#This Row],[Item]],Items!$A$1:$F$43,2,FALSE)=0,"",VLOOKUP(UncLookup[[#This Row],[Item]],Items!$A$1:$F$43,2,FALSE))</f>
        <v/>
      </c>
      <c r="P1332" s="90" t="str">
        <f>IF(VLOOKUP(UncLookup[[#This Row],[Item]],Items!$A$1:$F$43,3,FALSE)=0,"",VLOOKUP(UncLookup[[#This Row],[Item]],Items!$A$1:$F$43,3,FALSE))</f>
        <v/>
      </c>
      <c r="Q1332" s="90" t="str">
        <f>IF(VLOOKUP(UncLookup[[#This Row],[Item]],Items!$A$1:$F$43,4,FALSE)=0,"",VLOOKUP(UncLookup[[#This Row],[Item]],Items!$A$1:$F$43,4,FALSE))</f>
        <v/>
      </c>
    </row>
    <row r="1333" spans="1:17" x14ac:dyDescent="0.25">
      <c r="A1333" s="76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90" t="str">
        <f>IF(VLOOKUP(UncLookup[[#This Row],[Item]],Items!$A$1:$F$43,2,FALSE)=0,"",VLOOKUP(UncLookup[[#This Row],[Item]],Items!$A$1:$F$43,2,FALSE))</f>
        <v/>
      </c>
      <c r="P1333" s="90" t="str">
        <f>IF(VLOOKUP(UncLookup[[#This Row],[Item]],Items!$A$1:$F$43,3,FALSE)=0,"",VLOOKUP(UncLookup[[#This Row],[Item]],Items!$A$1:$F$43,3,FALSE))</f>
        <v/>
      </c>
      <c r="Q1333" s="90" t="str">
        <f>IF(VLOOKUP(UncLookup[[#This Row],[Item]],Items!$A$1:$F$43,4,FALSE)=0,"",VLOOKUP(UncLookup[[#This Row],[Item]],Items!$A$1:$F$43,4,FALSE))</f>
        <v/>
      </c>
    </row>
    <row r="1334" spans="1:17" x14ac:dyDescent="0.25">
      <c r="A1334" s="75" t="s">
        <v>55</v>
      </c>
      <c r="B1334" s="75" t="s">
        <v>3</v>
      </c>
      <c r="C1334" s="75">
        <v>330</v>
      </c>
      <c r="D1334" s="75">
        <v>1000.01</v>
      </c>
      <c r="E1334" s="75">
        <v>1</v>
      </c>
      <c r="F1334" s="75" t="s">
        <v>6</v>
      </c>
      <c r="G1334" s="75" t="s">
        <v>4</v>
      </c>
      <c r="H1334" s="75">
        <v>0</v>
      </c>
      <c r="I1334" s="75">
        <v>0</v>
      </c>
      <c r="J1334" s="75"/>
      <c r="K1334" s="75">
        <v>578.9</v>
      </c>
      <c r="L1334" s="75">
        <v>5.3112000000000003E-3</v>
      </c>
      <c r="M1334" s="75">
        <v>578.86</v>
      </c>
      <c r="N1334" s="75">
        <v>4.8152999999999998E-3</v>
      </c>
      <c r="O1334" s="90" t="str">
        <f>IF(VLOOKUP(UncLookup[[#This Row],[Item]],Items!$A$1:$F$43,2,FALSE)=0,"",VLOOKUP(UncLookup[[#This Row],[Item]],Items!$A$1:$F$43,2,FALSE))</f>
        <v/>
      </c>
      <c r="P1334" s="90" t="str">
        <f>IF(VLOOKUP(UncLookup[[#This Row],[Item]],Items!$A$1:$F$43,3,FALSE)=0,"",VLOOKUP(UncLookup[[#This Row],[Item]],Items!$A$1:$F$43,3,FALSE))</f>
        <v/>
      </c>
      <c r="Q1334" s="90" t="str">
        <f>IF(VLOOKUP(UncLookup[[#This Row],[Item]],Items!$A$1:$F$43,4,FALSE)=0,"",VLOOKUP(UncLookup[[#This Row],[Item]],Items!$A$1:$F$43,4,FALSE))</f>
        <v/>
      </c>
    </row>
    <row r="1335" spans="1:17" x14ac:dyDescent="0.25">
      <c r="A1335" s="76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90" t="str">
        <f>IF(VLOOKUP(UncLookup[[#This Row],[Item]],Items!$A$1:$F$43,2,FALSE)=0,"",VLOOKUP(UncLookup[[#This Row],[Item]],Items!$A$1:$F$43,2,FALSE))</f>
        <v/>
      </c>
      <c r="P1335" s="90" t="str">
        <f>IF(VLOOKUP(UncLookup[[#This Row],[Item]],Items!$A$1:$F$43,3,FALSE)=0,"",VLOOKUP(UncLookup[[#This Row],[Item]],Items!$A$1:$F$43,3,FALSE))</f>
        <v/>
      </c>
      <c r="Q1335" s="90" t="str">
        <f>IF(VLOOKUP(UncLookup[[#This Row],[Item]],Items!$A$1:$F$43,4,FALSE)=0,"",VLOOKUP(UncLookup[[#This Row],[Item]],Items!$A$1:$F$43,4,FALSE))</f>
        <v/>
      </c>
    </row>
    <row r="1336" spans="1:17" x14ac:dyDescent="0.25">
      <c r="A1336" s="75" t="s">
        <v>55</v>
      </c>
      <c r="B1336" s="75" t="s">
        <v>3</v>
      </c>
      <c r="C1336" s="75">
        <v>1000</v>
      </c>
      <c r="D1336" s="75">
        <v>1001</v>
      </c>
      <c r="E1336" s="75">
        <v>1E-3</v>
      </c>
      <c r="F1336" s="75" t="s">
        <v>6</v>
      </c>
      <c r="G1336" s="75" t="s">
        <v>4</v>
      </c>
      <c r="H1336" s="75">
        <v>0</v>
      </c>
      <c r="I1336" s="75">
        <v>0</v>
      </c>
      <c r="J1336" s="75"/>
      <c r="K1336" s="75">
        <v>1.9</v>
      </c>
      <c r="L1336" s="75">
        <v>6.4000000000000001E-2</v>
      </c>
      <c r="M1336" s="75">
        <v>1.7548999999999999</v>
      </c>
      <c r="N1336" s="75">
        <v>6.3615000000000005E-2</v>
      </c>
      <c r="O1336" s="90" t="str">
        <f>IF(VLOOKUP(UncLookup[[#This Row],[Item]],Items!$A$1:$F$43,2,FALSE)=0,"",VLOOKUP(UncLookup[[#This Row],[Item]],Items!$A$1:$F$43,2,FALSE))</f>
        <v/>
      </c>
      <c r="P1336" s="90" t="str">
        <f>IF(VLOOKUP(UncLookup[[#This Row],[Item]],Items!$A$1:$F$43,3,FALSE)=0,"",VLOOKUP(UncLookup[[#This Row],[Item]],Items!$A$1:$F$43,3,FALSE))</f>
        <v/>
      </c>
      <c r="Q1336" s="90" t="str">
        <f>IF(VLOOKUP(UncLookup[[#This Row],[Item]],Items!$A$1:$F$43,4,FALSE)=0,"",VLOOKUP(UncLookup[[#This Row],[Item]],Items!$A$1:$F$43,4,FALSE))</f>
        <v/>
      </c>
    </row>
    <row r="1337" spans="1:17" x14ac:dyDescent="0.25">
      <c r="A1337" s="76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90" t="str">
        <f>IF(VLOOKUP(UncLookup[[#This Row],[Item]],Items!$A$1:$F$43,2,FALSE)=0,"",VLOOKUP(UncLookup[[#This Row],[Item]],Items!$A$1:$F$43,2,FALSE))</f>
        <v/>
      </c>
      <c r="P1337" s="90" t="str">
        <f>IF(VLOOKUP(UncLookup[[#This Row],[Item]],Items!$A$1:$F$43,3,FALSE)=0,"",VLOOKUP(UncLookup[[#This Row],[Item]],Items!$A$1:$F$43,3,FALSE))</f>
        <v/>
      </c>
      <c r="Q1337" s="90" t="str">
        <f>IF(VLOOKUP(UncLookup[[#This Row],[Item]],Items!$A$1:$F$43,4,FALSE)=0,"",VLOOKUP(UncLookup[[#This Row],[Item]],Items!$A$1:$F$43,4,FALSE))</f>
        <v/>
      </c>
    </row>
    <row r="1338" spans="1:17" x14ac:dyDescent="0.25">
      <c r="A1338" s="75" t="s">
        <v>55</v>
      </c>
      <c r="B1338" s="75" t="s">
        <v>3</v>
      </c>
      <c r="C1338" s="75">
        <v>1000</v>
      </c>
      <c r="D1338" s="75">
        <v>1001</v>
      </c>
      <c r="E1338" s="75">
        <v>0.1</v>
      </c>
      <c r="F1338" s="75" t="s">
        <v>6</v>
      </c>
      <c r="G1338" s="75" t="s">
        <v>4</v>
      </c>
      <c r="H1338" s="75">
        <v>0</v>
      </c>
      <c r="I1338" s="75">
        <v>0</v>
      </c>
      <c r="J1338" s="75"/>
      <c r="K1338" s="75">
        <v>50.21</v>
      </c>
      <c r="L1338" s="75">
        <v>3.8072000000000002E-2</v>
      </c>
      <c r="M1338" s="75">
        <v>49.941000000000003</v>
      </c>
      <c r="N1338" s="75">
        <v>3.7448000000000002E-2</v>
      </c>
      <c r="O1338" s="90" t="str">
        <f>IF(VLOOKUP(UncLookup[[#This Row],[Item]],Items!$A$1:$F$43,2,FALSE)=0,"",VLOOKUP(UncLookup[[#This Row],[Item]],Items!$A$1:$F$43,2,FALSE))</f>
        <v/>
      </c>
      <c r="P1338" s="90" t="str">
        <f>IF(VLOOKUP(UncLookup[[#This Row],[Item]],Items!$A$1:$F$43,3,FALSE)=0,"",VLOOKUP(UncLookup[[#This Row],[Item]],Items!$A$1:$F$43,3,FALSE))</f>
        <v/>
      </c>
      <c r="Q1338" s="90" t="str">
        <f>IF(VLOOKUP(UncLookup[[#This Row],[Item]],Items!$A$1:$F$43,4,FALSE)=0,"",VLOOKUP(UncLookup[[#This Row],[Item]],Items!$A$1:$F$43,4,FALSE))</f>
        <v/>
      </c>
    </row>
    <row r="1339" spans="1:17" x14ac:dyDescent="0.25">
      <c r="A1339" s="76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90" t="str">
        <f>IF(VLOOKUP(UncLookup[[#This Row],[Item]],Items!$A$1:$F$43,2,FALSE)=0,"",VLOOKUP(UncLookup[[#This Row],[Item]],Items!$A$1:$F$43,2,FALSE))</f>
        <v/>
      </c>
      <c r="P1339" s="90" t="str">
        <f>IF(VLOOKUP(UncLookup[[#This Row],[Item]],Items!$A$1:$F$43,3,FALSE)=0,"",VLOOKUP(UncLookup[[#This Row],[Item]],Items!$A$1:$F$43,3,FALSE))</f>
        <v/>
      </c>
      <c r="Q1339" s="90" t="str">
        <f>IF(VLOOKUP(UncLookup[[#This Row],[Item]],Items!$A$1:$F$43,4,FALSE)=0,"",VLOOKUP(UncLookup[[#This Row],[Item]],Items!$A$1:$F$43,4,FALSE))</f>
        <v/>
      </c>
    </row>
    <row r="1340" spans="1:17" x14ac:dyDescent="0.25">
      <c r="A1340" s="75" t="s">
        <v>55</v>
      </c>
      <c r="B1340" s="75" t="s">
        <v>3</v>
      </c>
      <c r="C1340" s="75">
        <v>1000</v>
      </c>
      <c r="D1340" s="75">
        <v>1001</v>
      </c>
      <c r="E1340" s="75">
        <v>10</v>
      </c>
      <c r="F1340" s="75" t="s">
        <v>6</v>
      </c>
      <c r="G1340" s="75" t="s">
        <v>4</v>
      </c>
      <c r="H1340" s="75">
        <v>0</v>
      </c>
      <c r="I1340" s="75">
        <v>0</v>
      </c>
      <c r="J1340" s="75"/>
      <c r="K1340" s="75">
        <v>5799.9</v>
      </c>
      <c r="L1340" s="75">
        <v>6.8362000000000002E-4</v>
      </c>
      <c r="M1340" s="75">
        <v>5799.9</v>
      </c>
      <c r="N1340" s="75">
        <v>4.8322000000000003E-4</v>
      </c>
      <c r="O1340" s="90" t="str">
        <f>IF(VLOOKUP(UncLookup[[#This Row],[Item]],Items!$A$1:$F$43,2,FALSE)=0,"",VLOOKUP(UncLookup[[#This Row],[Item]],Items!$A$1:$F$43,2,FALSE))</f>
        <v/>
      </c>
      <c r="P1340" s="90" t="str">
        <f>IF(VLOOKUP(UncLookup[[#This Row],[Item]],Items!$A$1:$F$43,3,FALSE)=0,"",VLOOKUP(UncLookup[[#This Row],[Item]],Items!$A$1:$F$43,3,FALSE))</f>
        <v/>
      </c>
      <c r="Q1340" s="90" t="str">
        <f>IF(VLOOKUP(UncLookup[[#This Row],[Item]],Items!$A$1:$F$43,4,FALSE)=0,"",VLOOKUP(UncLookup[[#This Row],[Item]],Items!$A$1:$F$43,4,FALSE))</f>
        <v/>
      </c>
    </row>
    <row r="1341" spans="1:17" x14ac:dyDescent="0.25">
      <c r="A1341" s="76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90" t="str">
        <f>IF(VLOOKUP(UncLookup[[#This Row],[Item]],Items!$A$1:$F$43,2,FALSE)=0,"",VLOOKUP(UncLookup[[#This Row],[Item]],Items!$A$1:$F$43,2,FALSE))</f>
        <v/>
      </c>
      <c r="P1341" s="90" t="str">
        <f>IF(VLOOKUP(UncLookup[[#This Row],[Item]],Items!$A$1:$F$43,3,FALSE)=0,"",VLOOKUP(UncLookup[[#This Row],[Item]],Items!$A$1:$F$43,3,FALSE))</f>
        <v>50 turn</v>
      </c>
      <c r="Q1341" s="90" t="str">
        <f>IF(VLOOKUP(UncLookup[[#This Row],[Item]],Items!$A$1:$F$43,4,FALSE)=0,"",VLOOKUP(UncLookup[[#This Row],[Item]],Items!$A$1:$F$43,4,FALSE))</f>
        <v/>
      </c>
    </row>
    <row r="1342" spans="1:17" x14ac:dyDescent="0.25">
      <c r="A1342" s="75" t="s">
        <v>55</v>
      </c>
      <c r="B1342" s="75" t="s">
        <v>61</v>
      </c>
      <c r="C1342" s="75">
        <v>55</v>
      </c>
      <c r="D1342" s="75">
        <v>150.01</v>
      </c>
      <c r="E1342" s="75">
        <v>0.01</v>
      </c>
      <c r="F1342" s="75" t="s">
        <v>13</v>
      </c>
      <c r="G1342" s="75" t="s">
        <v>12</v>
      </c>
      <c r="H1342" s="75">
        <v>0</v>
      </c>
      <c r="I1342" s="75">
        <v>0</v>
      </c>
      <c r="J1342" s="75"/>
      <c r="K1342" s="75">
        <v>7.7</v>
      </c>
      <c r="L1342" s="75">
        <v>2.0005999999999999</v>
      </c>
      <c r="M1342" s="75">
        <v>0.78383999999999998</v>
      </c>
      <c r="N1342" s="75">
        <v>2.0464000000000002</v>
      </c>
      <c r="O1342" s="90" t="str">
        <f>IF(VLOOKUP(UncLookup[[#This Row],[Item]],Items!$A$1:$F$43,2,FALSE)=0,"",VLOOKUP(UncLookup[[#This Row],[Item]],Items!$A$1:$F$43,2,FALSE))</f>
        <v/>
      </c>
      <c r="P1342" s="90" t="str">
        <f>IF(VLOOKUP(UncLookup[[#This Row],[Item]],Items!$A$1:$F$43,3,FALSE)=0,"",VLOOKUP(UncLookup[[#This Row],[Item]],Items!$A$1:$F$43,3,FALSE))</f>
        <v>50 turn</v>
      </c>
      <c r="Q1342" s="90" t="str">
        <f>IF(VLOOKUP(UncLookup[[#This Row],[Item]],Items!$A$1:$F$43,4,FALSE)=0,"",VLOOKUP(UncLookup[[#This Row],[Item]],Items!$A$1:$F$43,4,FALSE))</f>
        <v/>
      </c>
    </row>
    <row r="1343" spans="1:17" x14ac:dyDescent="0.25">
      <c r="A1343" s="76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90" t="str">
        <f>IF(VLOOKUP(UncLookup[[#This Row],[Item]],Items!$A$1:$F$43,2,FALSE)=0,"",VLOOKUP(UncLookup[[#This Row],[Item]],Items!$A$1:$F$43,2,FALSE))</f>
        <v/>
      </c>
      <c r="P1343" s="90" t="str">
        <f>IF(VLOOKUP(UncLookup[[#This Row],[Item]],Items!$A$1:$F$43,3,FALSE)=0,"",VLOOKUP(UncLookup[[#This Row],[Item]],Items!$A$1:$F$43,3,FALSE))</f>
        <v>50 turn</v>
      </c>
      <c r="Q1343" s="90" t="str">
        <f>IF(VLOOKUP(UncLookup[[#This Row],[Item]],Items!$A$1:$F$43,4,FALSE)=0,"",VLOOKUP(UncLookup[[#This Row],[Item]],Items!$A$1:$F$43,4,FALSE))</f>
        <v/>
      </c>
    </row>
    <row r="1344" spans="1:17" x14ac:dyDescent="0.25">
      <c r="A1344" s="75" t="s">
        <v>55</v>
      </c>
      <c r="B1344" s="75" t="s">
        <v>61</v>
      </c>
      <c r="C1344" s="75">
        <v>55</v>
      </c>
      <c r="D1344" s="75">
        <v>150.01</v>
      </c>
      <c r="E1344" s="75">
        <v>1</v>
      </c>
      <c r="F1344" s="75" t="s">
        <v>13</v>
      </c>
      <c r="G1344" s="75" t="s">
        <v>12</v>
      </c>
      <c r="H1344" s="75">
        <v>0</v>
      </c>
      <c r="I1344" s="75">
        <v>0</v>
      </c>
      <c r="J1344" s="75"/>
      <c r="K1344" s="75">
        <v>550.23</v>
      </c>
      <c r="L1344" s="75">
        <v>0.69408000000000003</v>
      </c>
      <c r="M1344" s="75">
        <v>550.20000000000005</v>
      </c>
      <c r="N1344" s="75">
        <v>0.69349000000000005</v>
      </c>
      <c r="O1344" s="90" t="str">
        <f>IF(VLOOKUP(UncLookup[[#This Row],[Item]],Items!$A$1:$F$43,2,FALSE)=0,"",VLOOKUP(UncLookup[[#This Row],[Item]],Items!$A$1:$F$43,2,FALSE))</f>
        <v/>
      </c>
      <c r="P1344" s="90" t="str">
        <f>IF(VLOOKUP(UncLookup[[#This Row],[Item]],Items!$A$1:$F$43,3,FALSE)=0,"",VLOOKUP(UncLookup[[#This Row],[Item]],Items!$A$1:$F$43,3,FALSE))</f>
        <v>50 turn</v>
      </c>
      <c r="Q1344" s="90" t="str">
        <f>IF(VLOOKUP(UncLookup[[#This Row],[Item]],Items!$A$1:$F$43,4,FALSE)=0,"",VLOOKUP(UncLookup[[#This Row],[Item]],Items!$A$1:$F$43,4,FALSE))</f>
        <v/>
      </c>
    </row>
    <row r="1345" spans="1:17" x14ac:dyDescent="0.25">
      <c r="A1345" s="76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90" t="str">
        <f>IF(VLOOKUP(UncLookup[[#This Row],[Item]],Items!$A$1:$F$43,2,FALSE)=0,"",VLOOKUP(UncLookup[[#This Row],[Item]],Items!$A$1:$F$43,2,FALSE))</f>
        <v/>
      </c>
      <c r="P1345" s="90" t="str">
        <f>IF(VLOOKUP(UncLookup[[#This Row],[Item]],Items!$A$1:$F$43,3,FALSE)=0,"",VLOOKUP(UncLookup[[#This Row],[Item]],Items!$A$1:$F$43,3,FALSE))</f>
        <v>50 turn</v>
      </c>
      <c r="Q1345" s="90" t="str">
        <f>IF(VLOOKUP(UncLookup[[#This Row],[Item]],Items!$A$1:$F$43,4,FALSE)=0,"",VLOOKUP(UncLookup[[#This Row],[Item]],Items!$A$1:$F$43,4,FALSE))</f>
        <v/>
      </c>
    </row>
    <row r="1346" spans="1:17" x14ac:dyDescent="0.25">
      <c r="A1346" s="75" t="s">
        <v>55</v>
      </c>
      <c r="B1346" s="75" t="s">
        <v>61</v>
      </c>
      <c r="C1346" s="75">
        <v>55</v>
      </c>
      <c r="D1346" s="75">
        <v>150.01</v>
      </c>
      <c r="E1346" s="75">
        <v>100</v>
      </c>
      <c r="F1346" s="75" t="s">
        <v>13</v>
      </c>
      <c r="G1346" s="75" t="s">
        <v>12</v>
      </c>
      <c r="H1346" s="75">
        <v>0</v>
      </c>
      <c r="I1346" s="75">
        <v>0</v>
      </c>
      <c r="J1346" s="75"/>
      <c r="K1346" s="75">
        <v>57735</v>
      </c>
      <c r="L1346" s="75">
        <v>7.5814999999999997E-3</v>
      </c>
      <c r="M1346" s="75">
        <v>57732</v>
      </c>
      <c r="N1346" s="75">
        <v>7.4625000000000004E-3</v>
      </c>
      <c r="O1346" s="90" t="str">
        <f>IF(VLOOKUP(UncLookup[[#This Row],[Item]],Items!$A$1:$F$43,2,FALSE)=0,"",VLOOKUP(UncLookup[[#This Row],[Item]],Items!$A$1:$F$43,2,FALSE))</f>
        <v/>
      </c>
      <c r="P1346" s="90" t="str">
        <f>IF(VLOOKUP(UncLookup[[#This Row],[Item]],Items!$A$1:$F$43,3,FALSE)=0,"",VLOOKUP(UncLookup[[#This Row],[Item]],Items!$A$1:$F$43,3,FALSE))</f>
        <v>50 turn</v>
      </c>
      <c r="Q1346" s="90" t="str">
        <f>IF(VLOOKUP(UncLookup[[#This Row],[Item]],Items!$A$1:$F$43,4,FALSE)=0,"",VLOOKUP(UncLookup[[#This Row],[Item]],Items!$A$1:$F$43,4,FALSE))</f>
        <v/>
      </c>
    </row>
    <row r="1347" spans="1:17" x14ac:dyDescent="0.25">
      <c r="A1347" s="76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90" t="str">
        <f>IF(VLOOKUP(UncLookup[[#This Row],[Item]],Items!$A$1:$F$43,2,FALSE)=0,"",VLOOKUP(UncLookup[[#This Row],[Item]],Items!$A$1:$F$43,2,FALSE))</f>
        <v/>
      </c>
      <c r="P1347" s="90" t="str">
        <f>IF(VLOOKUP(UncLookup[[#This Row],[Item]],Items!$A$1:$F$43,3,FALSE)=0,"",VLOOKUP(UncLookup[[#This Row],[Item]],Items!$A$1:$F$43,3,FALSE))</f>
        <v>50 turn</v>
      </c>
      <c r="Q1347" s="90" t="str">
        <f>IF(VLOOKUP(UncLookup[[#This Row],[Item]],Items!$A$1:$F$43,4,FALSE)=0,"",VLOOKUP(UncLookup[[#This Row],[Item]],Items!$A$1:$F$43,4,FALSE))</f>
        <v/>
      </c>
    </row>
    <row r="1348" spans="1:17" x14ac:dyDescent="0.25">
      <c r="A1348" s="75" t="s">
        <v>55</v>
      </c>
      <c r="B1348" s="75" t="s">
        <v>61</v>
      </c>
      <c r="C1348" s="75">
        <v>150</v>
      </c>
      <c r="D1348" s="75">
        <v>550.01</v>
      </c>
      <c r="E1348" s="75">
        <v>0.1</v>
      </c>
      <c r="F1348" s="75" t="s">
        <v>13</v>
      </c>
      <c r="G1348" s="75" t="s">
        <v>12</v>
      </c>
      <c r="H1348" s="75">
        <v>0</v>
      </c>
      <c r="I1348" s="75">
        <v>0</v>
      </c>
      <c r="J1348" s="75"/>
      <c r="K1348" s="75">
        <v>19</v>
      </c>
      <c r="L1348" s="75">
        <v>2.2000000000000002</v>
      </c>
      <c r="M1348" s="75">
        <v>-10.260999999999999</v>
      </c>
      <c r="N1348" s="75">
        <v>2.1556000000000002</v>
      </c>
      <c r="O1348" s="90" t="str">
        <f>IF(VLOOKUP(UncLookup[[#This Row],[Item]],Items!$A$1:$F$43,2,FALSE)=0,"",VLOOKUP(UncLookup[[#This Row],[Item]],Items!$A$1:$F$43,2,FALSE))</f>
        <v/>
      </c>
      <c r="P1348" s="90" t="str">
        <f>IF(VLOOKUP(UncLookup[[#This Row],[Item]],Items!$A$1:$F$43,3,FALSE)=0,"",VLOOKUP(UncLookup[[#This Row],[Item]],Items!$A$1:$F$43,3,FALSE))</f>
        <v>50 turn</v>
      </c>
      <c r="Q1348" s="90" t="str">
        <f>IF(VLOOKUP(UncLookup[[#This Row],[Item]],Items!$A$1:$F$43,4,FALSE)=0,"",VLOOKUP(UncLookup[[#This Row],[Item]],Items!$A$1:$F$43,4,FALSE))</f>
        <v/>
      </c>
    </row>
    <row r="1349" spans="1:17" x14ac:dyDescent="0.25">
      <c r="A1349" s="76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90" t="str">
        <f>IF(VLOOKUP(UncLookup[[#This Row],[Item]],Items!$A$1:$F$43,2,FALSE)=0,"",VLOOKUP(UncLookup[[#This Row],[Item]],Items!$A$1:$F$43,2,FALSE))</f>
        <v/>
      </c>
      <c r="P1349" s="90" t="str">
        <f>IF(VLOOKUP(UncLookup[[#This Row],[Item]],Items!$A$1:$F$43,3,FALSE)=0,"",VLOOKUP(UncLookup[[#This Row],[Item]],Items!$A$1:$F$43,3,FALSE))</f>
        <v>50 turn</v>
      </c>
      <c r="Q1349" s="90" t="str">
        <f>IF(VLOOKUP(UncLookup[[#This Row],[Item]],Items!$A$1:$F$43,4,FALSE)=0,"",VLOOKUP(UncLookup[[#This Row],[Item]],Items!$A$1:$F$43,4,FALSE))</f>
        <v/>
      </c>
    </row>
    <row r="1350" spans="1:17" x14ac:dyDescent="0.25">
      <c r="A1350" s="75" t="s">
        <v>55</v>
      </c>
      <c r="B1350" s="75" t="s">
        <v>61</v>
      </c>
      <c r="C1350" s="75">
        <v>150</v>
      </c>
      <c r="D1350" s="75">
        <v>550.01</v>
      </c>
      <c r="E1350" s="75">
        <v>10</v>
      </c>
      <c r="F1350" s="75" t="s">
        <v>13</v>
      </c>
      <c r="G1350" s="75" t="s">
        <v>12</v>
      </c>
      <c r="H1350" s="75">
        <v>0</v>
      </c>
      <c r="I1350" s="75">
        <v>0</v>
      </c>
      <c r="J1350" s="75"/>
      <c r="K1350" s="75">
        <v>5740.6</v>
      </c>
      <c r="L1350" s="75">
        <v>0.27617999999999998</v>
      </c>
      <c r="M1350" s="75">
        <v>5740.5</v>
      </c>
      <c r="N1350" s="75">
        <v>0.27484999999999998</v>
      </c>
      <c r="O1350" s="90" t="str">
        <f>IF(VLOOKUP(UncLookup[[#This Row],[Item]],Items!$A$1:$F$43,2,FALSE)=0,"",VLOOKUP(UncLookup[[#This Row],[Item]],Items!$A$1:$F$43,2,FALSE))</f>
        <v/>
      </c>
      <c r="P1350" s="90" t="str">
        <f>IF(VLOOKUP(UncLookup[[#This Row],[Item]],Items!$A$1:$F$43,3,FALSE)=0,"",VLOOKUP(UncLookup[[#This Row],[Item]],Items!$A$1:$F$43,3,FALSE))</f>
        <v>50 turn</v>
      </c>
      <c r="Q1350" s="90" t="str">
        <f>IF(VLOOKUP(UncLookup[[#This Row],[Item]],Items!$A$1:$F$43,4,FALSE)=0,"",VLOOKUP(UncLookup[[#This Row],[Item]],Items!$A$1:$F$43,4,FALSE))</f>
        <v/>
      </c>
    </row>
    <row r="1351" spans="1:17" x14ac:dyDescent="0.25">
      <c r="A1351" s="76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90" t="str">
        <f>IF(VLOOKUP(UncLookup[[#This Row],[Item]],Items!$A$1:$F$43,2,FALSE)=0,"",VLOOKUP(UncLookup[[#This Row],[Item]],Items!$A$1:$F$43,2,FALSE))</f>
        <v/>
      </c>
      <c r="P1351" s="90" t="str">
        <f>IF(VLOOKUP(UncLookup[[#This Row],[Item]],Items!$A$1:$F$43,3,FALSE)=0,"",VLOOKUP(UncLookup[[#This Row],[Item]],Items!$A$1:$F$43,3,FALSE))</f>
        <v>50 turn</v>
      </c>
      <c r="Q1351" s="90" t="str">
        <f>IF(VLOOKUP(UncLookup[[#This Row],[Item]],Items!$A$1:$F$43,4,FALSE)=0,"",VLOOKUP(UncLookup[[#This Row],[Item]],Items!$A$1:$F$43,4,FALSE))</f>
        <v/>
      </c>
    </row>
    <row r="1352" spans="1:17" x14ac:dyDescent="0.25">
      <c r="A1352" s="75" t="s">
        <v>55</v>
      </c>
      <c r="B1352" s="75" t="s">
        <v>61</v>
      </c>
      <c r="C1352" s="75">
        <v>550</v>
      </c>
      <c r="D1352" s="75">
        <v>1025</v>
      </c>
      <c r="E1352" s="75">
        <v>0.01</v>
      </c>
      <c r="F1352" s="75" t="s">
        <v>13</v>
      </c>
      <c r="G1352" s="75" t="s">
        <v>12</v>
      </c>
      <c r="H1352" s="75">
        <v>0</v>
      </c>
      <c r="I1352" s="75">
        <v>0</v>
      </c>
      <c r="J1352" s="75"/>
      <c r="K1352" s="75">
        <v>32</v>
      </c>
      <c r="L1352" s="75">
        <v>2.2999999999999998</v>
      </c>
      <c r="M1352" s="75">
        <v>22.486999999999998</v>
      </c>
      <c r="N1352" s="75">
        <v>2.3089</v>
      </c>
      <c r="O1352" s="90" t="str">
        <f>IF(VLOOKUP(UncLookup[[#This Row],[Item]],Items!$A$1:$F$43,2,FALSE)=0,"",VLOOKUP(UncLookup[[#This Row],[Item]],Items!$A$1:$F$43,2,FALSE))</f>
        <v/>
      </c>
      <c r="P1352" s="90" t="str">
        <f>IF(VLOOKUP(UncLookup[[#This Row],[Item]],Items!$A$1:$F$43,3,FALSE)=0,"",VLOOKUP(UncLookup[[#This Row],[Item]],Items!$A$1:$F$43,3,FALSE))</f>
        <v>50 turn</v>
      </c>
      <c r="Q1352" s="90" t="str">
        <f>IF(VLOOKUP(UncLookup[[#This Row],[Item]],Items!$A$1:$F$43,4,FALSE)=0,"",VLOOKUP(UncLookup[[#This Row],[Item]],Items!$A$1:$F$43,4,FALSE))</f>
        <v/>
      </c>
    </row>
    <row r="1353" spans="1:17" x14ac:dyDescent="0.25">
      <c r="A1353" s="76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90" t="str">
        <f>IF(VLOOKUP(UncLookup[[#This Row],[Item]],Items!$A$1:$F$43,2,FALSE)=0,"",VLOOKUP(UncLookup[[#This Row],[Item]],Items!$A$1:$F$43,2,FALSE))</f>
        <v/>
      </c>
      <c r="P1353" s="90" t="str">
        <f>IF(VLOOKUP(UncLookup[[#This Row],[Item]],Items!$A$1:$F$43,3,FALSE)=0,"",VLOOKUP(UncLookup[[#This Row],[Item]],Items!$A$1:$F$43,3,FALSE))</f>
        <v>50 turn</v>
      </c>
      <c r="Q1353" s="90" t="str">
        <f>IF(VLOOKUP(UncLookup[[#This Row],[Item]],Items!$A$1:$F$43,4,FALSE)=0,"",VLOOKUP(UncLookup[[#This Row],[Item]],Items!$A$1:$F$43,4,FALSE))</f>
        <v/>
      </c>
    </row>
    <row r="1354" spans="1:17" x14ac:dyDescent="0.25">
      <c r="A1354" s="75" t="s">
        <v>55</v>
      </c>
      <c r="B1354" s="75" t="s">
        <v>61</v>
      </c>
      <c r="C1354" s="75">
        <v>550</v>
      </c>
      <c r="D1354" s="75">
        <v>1025</v>
      </c>
      <c r="E1354" s="75">
        <v>1</v>
      </c>
      <c r="F1354" s="75" t="s">
        <v>13</v>
      </c>
      <c r="G1354" s="75" t="s">
        <v>12</v>
      </c>
      <c r="H1354" s="75">
        <v>0</v>
      </c>
      <c r="I1354" s="75">
        <v>0</v>
      </c>
      <c r="J1354" s="75"/>
      <c r="K1354" s="75">
        <v>209.6</v>
      </c>
      <c r="L1354" s="75">
        <v>2.1949000000000001</v>
      </c>
      <c r="M1354" s="75">
        <v>208.5</v>
      </c>
      <c r="N1354" s="75">
        <v>2.1945000000000001</v>
      </c>
      <c r="O1354" s="90" t="str">
        <f>IF(VLOOKUP(UncLookup[[#This Row],[Item]],Items!$A$1:$F$43,2,FALSE)=0,"",VLOOKUP(UncLookup[[#This Row],[Item]],Items!$A$1:$F$43,2,FALSE))</f>
        <v/>
      </c>
      <c r="P1354" s="90" t="str">
        <f>IF(VLOOKUP(UncLookup[[#This Row],[Item]],Items!$A$1:$F$43,3,FALSE)=0,"",VLOOKUP(UncLookup[[#This Row],[Item]],Items!$A$1:$F$43,3,FALSE))</f>
        <v>50 turn</v>
      </c>
      <c r="Q1354" s="90" t="str">
        <f>IF(VLOOKUP(UncLookup[[#This Row],[Item]],Items!$A$1:$F$43,4,FALSE)=0,"",VLOOKUP(UncLookup[[#This Row],[Item]],Items!$A$1:$F$43,4,FALSE))</f>
        <v/>
      </c>
    </row>
    <row r="1355" spans="1:17" x14ac:dyDescent="0.25">
      <c r="A1355" s="76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90" t="str">
        <f>IF(VLOOKUP(UncLookup[[#This Row],[Item]],Items!$A$1:$F$43,2,FALSE)=0,"",VLOOKUP(UncLookup[[#This Row],[Item]],Items!$A$1:$F$43,2,FALSE))</f>
        <v/>
      </c>
      <c r="P1355" s="90" t="str">
        <f>IF(VLOOKUP(UncLookup[[#This Row],[Item]],Items!$A$1:$F$43,3,FALSE)=0,"",VLOOKUP(UncLookup[[#This Row],[Item]],Items!$A$1:$F$43,3,FALSE))</f>
        <v>50 turn</v>
      </c>
      <c r="Q1355" s="90" t="str">
        <f>IF(VLOOKUP(UncLookup[[#This Row],[Item]],Items!$A$1:$F$43,4,FALSE)=0,"",VLOOKUP(UncLookup[[#This Row],[Item]],Items!$A$1:$F$43,4,FALSE))</f>
        <v/>
      </c>
    </row>
    <row r="1356" spans="1:17" x14ac:dyDescent="0.25">
      <c r="A1356" s="75" t="s">
        <v>55</v>
      </c>
      <c r="B1356" s="75" t="s">
        <v>61</v>
      </c>
      <c r="C1356" s="75">
        <v>550</v>
      </c>
      <c r="D1356" s="75">
        <v>1025</v>
      </c>
      <c r="E1356" s="75">
        <v>100</v>
      </c>
      <c r="F1356" s="75" t="s">
        <v>13</v>
      </c>
      <c r="G1356" s="75" t="s">
        <v>12</v>
      </c>
      <c r="H1356" s="75">
        <v>0</v>
      </c>
      <c r="I1356" s="75">
        <v>0</v>
      </c>
      <c r="J1356" s="75"/>
      <c r="K1356" s="75">
        <v>57709</v>
      </c>
      <c r="L1356" s="75">
        <v>7.4653999999999998E-2</v>
      </c>
      <c r="M1356" s="75">
        <v>57710</v>
      </c>
      <c r="N1356" s="75">
        <v>7.3570999999999998E-2</v>
      </c>
      <c r="O1356" s="90" t="str">
        <f>IF(VLOOKUP(UncLookup[[#This Row],[Item]],Items!$A$1:$F$43,2,FALSE)=0,"",VLOOKUP(UncLookup[[#This Row],[Item]],Items!$A$1:$F$43,2,FALSE))</f>
        <v/>
      </c>
      <c r="P1356" s="90" t="str">
        <f>IF(VLOOKUP(UncLookup[[#This Row],[Item]],Items!$A$1:$F$43,3,FALSE)=0,"",VLOOKUP(UncLookup[[#This Row],[Item]],Items!$A$1:$F$43,3,FALSE))</f>
        <v>50 turn</v>
      </c>
      <c r="Q1356" s="90" t="str">
        <f>IF(VLOOKUP(UncLookup[[#This Row],[Item]],Items!$A$1:$F$43,4,FALSE)=0,"",VLOOKUP(UncLookup[[#This Row],[Item]],Items!$A$1:$F$43,4,FALSE))</f>
        <v/>
      </c>
    </row>
    <row r="1357" spans="1:17" x14ac:dyDescent="0.25">
      <c r="A1357" s="76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90" t="str">
        <f>IF(VLOOKUP(UncLookup[[#This Row],[Item]],Items!$A$1:$F$43,2,FALSE)=0,"",VLOOKUP(UncLookup[[#This Row],[Item]],Items!$A$1:$F$43,2,FALSE))</f>
        <v/>
      </c>
      <c r="P1357" s="90" t="str">
        <f>IF(VLOOKUP(UncLookup[[#This Row],[Item]],Items!$A$1:$F$43,3,FALSE)=0,"",VLOOKUP(UncLookup[[#This Row],[Item]],Items!$A$1:$F$43,3,FALSE))</f>
        <v>50 turn</v>
      </c>
      <c r="Q1357" s="90" t="str">
        <f>IF(VLOOKUP(UncLookup[[#This Row],[Item]],Items!$A$1:$F$43,4,FALSE)=0,"",VLOOKUP(UncLookup[[#This Row],[Item]],Items!$A$1:$F$43,4,FALSE))</f>
        <v/>
      </c>
    </row>
    <row r="1358" spans="1:17" x14ac:dyDescent="0.25">
      <c r="A1358" s="75" t="s">
        <v>55</v>
      </c>
      <c r="B1358" s="75" t="s">
        <v>61</v>
      </c>
      <c r="C1358" s="75">
        <v>1025</v>
      </c>
      <c r="D1358" s="75">
        <v>1026</v>
      </c>
      <c r="E1358" s="75">
        <v>0.1</v>
      </c>
      <c r="F1358" s="75" t="s">
        <v>13</v>
      </c>
      <c r="G1358" s="75" t="s">
        <v>12</v>
      </c>
      <c r="H1358" s="75">
        <v>0</v>
      </c>
      <c r="I1358" s="75">
        <v>0</v>
      </c>
      <c r="J1358" s="75"/>
      <c r="K1358" s="75">
        <v>32</v>
      </c>
      <c r="L1358" s="75">
        <v>2.3014000000000001</v>
      </c>
      <c r="M1358" s="75">
        <v>24.491</v>
      </c>
      <c r="N1358" s="75">
        <v>2.3075999999999999</v>
      </c>
      <c r="O1358" s="90" t="str">
        <f>IF(VLOOKUP(UncLookup[[#This Row],[Item]],Items!$A$1:$F$43,2,FALSE)=0,"",VLOOKUP(UncLookup[[#This Row],[Item]],Items!$A$1:$F$43,2,FALSE))</f>
        <v/>
      </c>
      <c r="P1358" s="90" t="str">
        <f>IF(VLOOKUP(UncLookup[[#This Row],[Item]],Items!$A$1:$F$43,3,FALSE)=0,"",VLOOKUP(UncLookup[[#This Row],[Item]],Items!$A$1:$F$43,3,FALSE))</f>
        <v>50 turn</v>
      </c>
      <c r="Q1358" s="90" t="str">
        <f>IF(VLOOKUP(UncLookup[[#This Row],[Item]],Items!$A$1:$F$43,4,FALSE)=0,"",VLOOKUP(UncLookup[[#This Row],[Item]],Items!$A$1:$F$43,4,FALSE))</f>
        <v/>
      </c>
    </row>
    <row r="1359" spans="1:17" x14ac:dyDescent="0.25">
      <c r="A1359" s="76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90" t="str">
        <f>IF(VLOOKUP(UncLookup[[#This Row],[Item]],Items!$A$1:$F$43,2,FALSE)=0,"",VLOOKUP(UncLookup[[#This Row],[Item]],Items!$A$1:$F$43,2,FALSE))</f>
        <v/>
      </c>
      <c r="P1359" s="90" t="str">
        <f>IF(VLOOKUP(UncLookup[[#This Row],[Item]],Items!$A$1:$F$43,3,FALSE)=0,"",VLOOKUP(UncLookup[[#This Row],[Item]],Items!$A$1:$F$43,3,FALSE))</f>
        <v>50 turn</v>
      </c>
      <c r="Q1359" s="90" t="str">
        <f>IF(VLOOKUP(UncLookup[[#This Row],[Item]],Items!$A$1:$F$43,4,FALSE)=0,"",VLOOKUP(UncLookup[[#This Row],[Item]],Items!$A$1:$F$43,4,FALSE))</f>
        <v/>
      </c>
    </row>
    <row r="1360" spans="1:17" x14ac:dyDescent="0.25">
      <c r="A1360" s="75" t="s">
        <v>55</v>
      </c>
      <c r="B1360" s="75" t="s">
        <v>61</v>
      </c>
      <c r="C1360" s="75">
        <v>1025</v>
      </c>
      <c r="D1360" s="75">
        <v>1026</v>
      </c>
      <c r="E1360" s="75">
        <v>10</v>
      </c>
      <c r="F1360" s="75" t="s">
        <v>13</v>
      </c>
      <c r="G1360" s="75" t="s">
        <v>12</v>
      </c>
      <c r="H1360" s="75">
        <v>0</v>
      </c>
      <c r="I1360" s="75">
        <v>0</v>
      </c>
      <c r="J1360" s="75"/>
      <c r="K1360" s="75">
        <v>5532.1</v>
      </c>
      <c r="L1360" s="75">
        <v>0.70111000000000001</v>
      </c>
      <c r="M1360" s="75">
        <v>5532.1</v>
      </c>
      <c r="N1360" s="75">
        <v>0.69874999999999998</v>
      </c>
      <c r="O1360" s="90" t="str">
        <f>IF(VLOOKUP(UncLookup[[#This Row],[Item]],Items!$A$1:$F$43,2,FALSE)=0,"",VLOOKUP(UncLookup[[#This Row],[Item]],Items!$A$1:$F$43,2,FALSE))</f>
        <v/>
      </c>
      <c r="P1360" s="90" t="str">
        <f>IF(VLOOKUP(UncLookup[[#This Row],[Item]],Items!$A$1:$F$43,3,FALSE)=0,"",VLOOKUP(UncLookup[[#This Row],[Item]],Items!$A$1:$F$43,3,FALSE))</f>
        <v>50 turn</v>
      </c>
      <c r="Q1360" s="90" t="str">
        <f>IF(VLOOKUP(UncLookup[[#This Row],[Item]],Items!$A$1:$F$43,4,FALSE)=0,"",VLOOKUP(UncLookup[[#This Row],[Item]],Items!$A$1:$F$43,4,FALSE))</f>
        <v/>
      </c>
    </row>
    <row r="1361" spans="1:17" x14ac:dyDescent="0.25">
      <c r="A1361" s="76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90" t="str">
        <f>IF(VLOOKUP(UncLookup[[#This Row],[Item]],Items!$A$1:$F$43,2,FALSE)=0,"",VLOOKUP(UncLookup[[#This Row],[Item]],Items!$A$1:$F$43,2,FALSE))</f>
        <v/>
      </c>
      <c r="P1361" s="90" t="str">
        <f>IF(VLOOKUP(UncLookup[[#This Row],[Item]],Items!$A$1:$F$43,3,FALSE)=0,"",VLOOKUP(UncLookup[[#This Row],[Item]],Items!$A$1:$F$43,3,FALSE))</f>
        <v>50 turn</v>
      </c>
      <c r="Q1361" s="90" t="str">
        <f>IF(VLOOKUP(UncLookup[[#This Row],[Item]],Items!$A$1:$F$43,4,FALSE)=0,"",VLOOKUP(UncLookup[[#This Row],[Item]],Items!$A$1:$F$43,4,FALSE))</f>
        <v/>
      </c>
    </row>
    <row r="1362" spans="1:17" x14ac:dyDescent="0.25">
      <c r="A1362" s="75" t="s">
        <v>55</v>
      </c>
      <c r="B1362" s="75" t="s">
        <v>60</v>
      </c>
      <c r="C1362" s="75">
        <v>20</v>
      </c>
      <c r="D1362" s="75">
        <v>60.01</v>
      </c>
      <c r="E1362" s="75">
        <v>1E-3</v>
      </c>
      <c r="F1362" s="75" t="s">
        <v>13</v>
      </c>
      <c r="G1362" s="75" t="s">
        <v>12</v>
      </c>
      <c r="H1362" s="75">
        <v>0</v>
      </c>
      <c r="I1362" s="75">
        <v>0</v>
      </c>
      <c r="J1362" s="75"/>
      <c r="K1362" s="75">
        <v>3.9</v>
      </c>
      <c r="L1362" s="75">
        <v>2.1</v>
      </c>
      <c r="M1362" s="75">
        <v>0.23927999999999999</v>
      </c>
      <c r="N1362" s="75">
        <v>2.0472999999999999</v>
      </c>
      <c r="O1362" s="90" t="str">
        <f>IF(VLOOKUP(UncLookup[[#This Row],[Item]],Items!$A$1:$F$43,2,FALSE)=0,"",VLOOKUP(UncLookup[[#This Row],[Item]],Items!$A$1:$F$43,2,FALSE))</f>
        <v/>
      </c>
      <c r="P1362" s="90" t="str">
        <f>IF(VLOOKUP(UncLookup[[#This Row],[Item]],Items!$A$1:$F$43,3,FALSE)=0,"",VLOOKUP(UncLookup[[#This Row],[Item]],Items!$A$1:$F$43,3,FALSE))</f>
        <v>20 turn</v>
      </c>
      <c r="Q1362" s="90" t="str">
        <f>IF(VLOOKUP(UncLookup[[#This Row],[Item]],Items!$A$1:$F$43,4,FALSE)=0,"",VLOOKUP(UncLookup[[#This Row],[Item]],Items!$A$1:$F$43,4,FALSE))</f>
        <v/>
      </c>
    </row>
    <row r="1363" spans="1:17" x14ac:dyDescent="0.25">
      <c r="A1363" s="76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90" t="str">
        <f>IF(VLOOKUP(UncLookup[[#This Row],[Item]],Items!$A$1:$F$43,2,FALSE)=0,"",VLOOKUP(UncLookup[[#This Row],[Item]],Items!$A$1:$F$43,2,FALSE))</f>
        <v/>
      </c>
      <c r="P1363" s="90" t="str">
        <f>IF(VLOOKUP(UncLookup[[#This Row],[Item]],Items!$A$1:$F$43,3,FALSE)=0,"",VLOOKUP(UncLookup[[#This Row],[Item]],Items!$A$1:$F$43,3,FALSE))</f>
        <v>20 turn</v>
      </c>
      <c r="Q1363" s="90" t="str">
        <f>IF(VLOOKUP(UncLookup[[#This Row],[Item]],Items!$A$1:$F$43,4,FALSE)=0,"",VLOOKUP(UncLookup[[#This Row],[Item]],Items!$A$1:$F$43,4,FALSE))</f>
        <v/>
      </c>
    </row>
    <row r="1364" spans="1:17" x14ac:dyDescent="0.25">
      <c r="A1364" s="75" t="s">
        <v>55</v>
      </c>
      <c r="B1364" s="75" t="s">
        <v>60</v>
      </c>
      <c r="C1364" s="75">
        <v>20</v>
      </c>
      <c r="D1364" s="75">
        <v>60.01</v>
      </c>
      <c r="E1364" s="75">
        <v>0.1</v>
      </c>
      <c r="F1364" s="75" t="s">
        <v>13</v>
      </c>
      <c r="G1364" s="75" t="s">
        <v>12</v>
      </c>
      <c r="H1364" s="75">
        <v>0</v>
      </c>
      <c r="I1364" s="75">
        <v>0</v>
      </c>
      <c r="J1364" s="75"/>
      <c r="K1364" s="75">
        <v>38.447000000000003</v>
      </c>
      <c r="L1364" s="75">
        <v>1.6259999999999999</v>
      </c>
      <c r="M1364" s="75">
        <v>38.404000000000003</v>
      </c>
      <c r="N1364" s="75">
        <v>1.6256999999999999</v>
      </c>
      <c r="O1364" s="90" t="str">
        <f>IF(VLOOKUP(UncLookup[[#This Row],[Item]],Items!$A$1:$F$43,2,FALSE)=0,"",VLOOKUP(UncLookup[[#This Row],[Item]],Items!$A$1:$F$43,2,FALSE))</f>
        <v/>
      </c>
      <c r="P1364" s="90" t="str">
        <f>IF(VLOOKUP(UncLookup[[#This Row],[Item]],Items!$A$1:$F$43,3,FALSE)=0,"",VLOOKUP(UncLookup[[#This Row],[Item]],Items!$A$1:$F$43,3,FALSE))</f>
        <v>20 turn</v>
      </c>
      <c r="Q1364" s="90" t="str">
        <f>IF(VLOOKUP(UncLookup[[#This Row],[Item]],Items!$A$1:$F$43,4,FALSE)=0,"",VLOOKUP(UncLookup[[#This Row],[Item]],Items!$A$1:$F$43,4,FALSE))</f>
        <v/>
      </c>
    </row>
    <row r="1365" spans="1:17" x14ac:dyDescent="0.25">
      <c r="A1365" s="76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90" t="str">
        <f>IF(VLOOKUP(UncLookup[[#This Row],[Item]],Items!$A$1:$F$43,2,FALSE)=0,"",VLOOKUP(UncLookup[[#This Row],[Item]],Items!$A$1:$F$43,2,FALSE))</f>
        <v/>
      </c>
      <c r="P1365" s="90" t="str">
        <f>IF(VLOOKUP(UncLookup[[#This Row],[Item]],Items!$A$1:$F$43,3,FALSE)=0,"",VLOOKUP(UncLookup[[#This Row],[Item]],Items!$A$1:$F$43,3,FALSE))</f>
        <v>20 turn</v>
      </c>
      <c r="Q1365" s="90" t="str">
        <f>IF(VLOOKUP(UncLookup[[#This Row],[Item]],Items!$A$1:$F$43,4,FALSE)=0,"",VLOOKUP(UncLookup[[#This Row],[Item]],Items!$A$1:$F$43,4,FALSE))</f>
        <v/>
      </c>
    </row>
    <row r="1366" spans="1:17" x14ac:dyDescent="0.25">
      <c r="A1366" s="75" t="s">
        <v>55</v>
      </c>
      <c r="B1366" s="75" t="s">
        <v>60</v>
      </c>
      <c r="C1366" s="75">
        <v>20</v>
      </c>
      <c r="D1366" s="75">
        <v>60.01</v>
      </c>
      <c r="E1366" s="75">
        <v>10</v>
      </c>
      <c r="F1366" s="75" t="s">
        <v>13</v>
      </c>
      <c r="G1366" s="75" t="s">
        <v>12</v>
      </c>
      <c r="H1366" s="75">
        <v>0</v>
      </c>
      <c r="I1366" s="75">
        <v>0</v>
      </c>
      <c r="J1366" s="75"/>
      <c r="K1366" s="75">
        <v>5773.1</v>
      </c>
      <c r="L1366" s="75">
        <v>2.9468000000000001E-2</v>
      </c>
      <c r="M1366" s="75">
        <v>5773.1</v>
      </c>
      <c r="N1366" s="75">
        <v>2.912E-2</v>
      </c>
      <c r="O1366" s="90" t="str">
        <f>IF(VLOOKUP(UncLookup[[#This Row],[Item]],Items!$A$1:$F$43,2,FALSE)=0,"",VLOOKUP(UncLookup[[#This Row],[Item]],Items!$A$1:$F$43,2,FALSE))</f>
        <v/>
      </c>
      <c r="P1366" s="90" t="str">
        <f>IF(VLOOKUP(UncLookup[[#This Row],[Item]],Items!$A$1:$F$43,3,FALSE)=0,"",VLOOKUP(UncLookup[[#This Row],[Item]],Items!$A$1:$F$43,3,FALSE))</f>
        <v>20 turn</v>
      </c>
      <c r="Q1366" s="90" t="str">
        <f>IF(VLOOKUP(UncLookup[[#This Row],[Item]],Items!$A$1:$F$43,4,FALSE)=0,"",VLOOKUP(UncLookup[[#This Row],[Item]],Items!$A$1:$F$43,4,FALSE))</f>
        <v/>
      </c>
    </row>
    <row r="1367" spans="1:17" x14ac:dyDescent="0.25">
      <c r="A1367" s="76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90" t="str">
        <f>IF(VLOOKUP(UncLookup[[#This Row],[Item]],Items!$A$1:$F$43,2,FALSE)=0,"",VLOOKUP(UncLookup[[#This Row],[Item]],Items!$A$1:$F$43,2,FALSE))</f>
        <v/>
      </c>
      <c r="P1367" s="90" t="str">
        <f>IF(VLOOKUP(UncLookup[[#This Row],[Item]],Items!$A$1:$F$43,3,FALSE)=0,"",VLOOKUP(UncLookup[[#This Row],[Item]],Items!$A$1:$F$43,3,FALSE))</f>
        <v>20 turn</v>
      </c>
      <c r="Q1367" s="90" t="str">
        <f>IF(VLOOKUP(UncLookup[[#This Row],[Item]],Items!$A$1:$F$43,4,FALSE)=0,"",VLOOKUP(UncLookup[[#This Row],[Item]],Items!$A$1:$F$43,4,FALSE))</f>
        <v/>
      </c>
    </row>
    <row r="1368" spans="1:17" x14ac:dyDescent="0.25">
      <c r="A1368" s="75" t="s">
        <v>55</v>
      </c>
      <c r="B1368" s="75" t="s">
        <v>60</v>
      </c>
      <c r="C1368" s="75">
        <v>60</v>
      </c>
      <c r="D1368" s="75">
        <v>220.01</v>
      </c>
      <c r="E1368" s="75">
        <v>1E-3</v>
      </c>
      <c r="F1368" s="75" t="s">
        <v>13</v>
      </c>
      <c r="G1368" s="75" t="s">
        <v>12</v>
      </c>
      <c r="H1368" s="75">
        <v>0</v>
      </c>
      <c r="I1368" s="75">
        <v>0</v>
      </c>
      <c r="J1368" s="75"/>
      <c r="K1368" s="75">
        <v>19</v>
      </c>
      <c r="L1368" s="75">
        <v>2.2000000000000002</v>
      </c>
      <c r="M1368" s="75">
        <v>4.5221</v>
      </c>
      <c r="N1368" s="75">
        <v>2.1139999999999999</v>
      </c>
      <c r="O1368" s="90" t="str">
        <f>IF(VLOOKUP(UncLookup[[#This Row],[Item]],Items!$A$1:$F$43,2,FALSE)=0,"",VLOOKUP(UncLookup[[#This Row],[Item]],Items!$A$1:$F$43,2,FALSE))</f>
        <v/>
      </c>
      <c r="P1368" s="90" t="str">
        <f>IF(VLOOKUP(UncLookup[[#This Row],[Item]],Items!$A$1:$F$43,3,FALSE)=0,"",VLOOKUP(UncLookup[[#This Row],[Item]],Items!$A$1:$F$43,3,FALSE))</f>
        <v>20 turn</v>
      </c>
      <c r="Q1368" s="90" t="str">
        <f>IF(VLOOKUP(UncLookup[[#This Row],[Item]],Items!$A$1:$F$43,4,FALSE)=0,"",VLOOKUP(UncLookup[[#This Row],[Item]],Items!$A$1:$F$43,4,FALSE))</f>
        <v/>
      </c>
    </row>
    <row r="1369" spans="1:17" x14ac:dyDescent="0.25">
      <c r="A1369" s="76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90" t="str">
        <f>IF(VLOOKUP(UncLookup[[#This Row],[Item]],Items!$A$1:$F$43,2,FALSE)=0,"",VLOOKUP(UncLookup[[#This Row],[Item]],Items!$A$1:$F$43,2,FALSE))</f>
        <v/>
      </c>
      <c r="P1369" s="90" t="str">
        <f>IF(VLOOKUP(UncLookup[[#This Row],[Item]],Items!$A$1:$F$43,3,FALSE)=0,"",VLOOKUP(UncLookup[[#This Row],[Item]],Items!$A$1:$F$43,3,FALSE))</f>
        <v>20 turn</v>
      </c>
      <c r="Q1369" s="90" t="str">
        <f>IF(VLOOKUP(UncLookup[[#This Row],[Item]],Items!$A$1:$F$43,4,FALSE)=0,"",VLOOKUP(UncLookup[[#This Row],[Item]],Items!$A$1:$F$43,4,FALSE))</f>
        <v/>
      </c>
    </row>
    <row r="1370" spans="1:17" x14ac:dyDescent="0.25">
      <c r="A1370" s="75" t="s">
        <v>55</v>
      </c>
      <c r="B1370" s="75" t="s">
        <v>60</v>
      </c>
      <c r="C1370" s="75">
        <v>60</v>
      </c>
      <c r="D1370" s="75">
        <v>220.01</v>
      </c>
      <c r="E1370" s="75">
        <v>0.1</v>
      </c>
      <c r="F1370" s="75" t="s">
        <v>13</v>
      </c>
      <c r="G1370" s="75" t="s">
        <v>12</v>
      </c>
      <c r="H1370" s="75">
        <v>0</v>
      </c>
      <c r="I1370" s="75">
        <v>0</v>
      </c>
      <c r="J1370" s="75"/>
      <c r="K1370" s="75">
        <v>535.04</v>
      </c>
      <c r="L1370" s="75">
        <v>0.95226</v>
      </c>
      <c r="M1370" s="75">
        <v>535.04</v>
      </c>
      <c r="N1370" s="75">
        <v>0.95071000000000006</v>
      </c>
      <c r="O1370" s="90" t="str">
        <f>IF(VLOOKUP(UncLookup[[#This Row],[Item]],Items!$A$1:$F$43,2,FALSE)=0,"",VLOOKUP(UncLookup[[#This Row],[Item]],Items!$A$1:$F$43,2,FALSE))</f>
        <v/>
      </c>
      <c r="P1370" s="90" t="str">
        <f>IF(VLOOKUP(UncLookup[[#This Row],[Item]],Items!$A$1:$F$43,3,FALSE)=0,"",VLOOKUP(UncLookup[[#This Row],[Item]],Items!$A$1:$F$43,3,FALSE))</f>
        <v>20 turn</v>
      </c>
      <c r="Q1370" s="90" t="str">
        <f>IF(VLOOKUP(UncLookup[[#This Row],[Item]],Items!$A$1:$F$43,4,FALSE)=0,"",VLOOKUP(UncLookup[[#This Row],[Item]],Items!$A$1:$F$43,4,FALSE))</f>
        <v/>
      </c>
    </row>
    <row r="1371" spans="1:17" x14ac:dyDescent="0.25">
      <c r="A1371" s="76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90" t="str">
        <f>IF(VLOOKUP(UncLookup[[#This Row],[Item]],Items!$A$1:$F$43,2,FALSE)=0,"",VLOOKUP(UncLookup[[#This Row],[Item]],Items!$A$1:$F$43,2,FALSE))</f>
        <v/>
      </c>
      <c r="P1371" s="90" t="str">
        <f>IF(VLOOKUP(UncLookup[[#This Row],[Item]],Items!$A$1:$F$43,3,FALSE)=0,"",VLOOKUP(UncLookup[[#This Row],[Item]],Items!$A$1:$F$43,3,FALSE))</f>
        <v>20 turn</v>
      </c>
      <c r="Q1371" s="90" t="str">
        <f>IF(VLOOKUP(UncLookup[[#This Row],[Item]],Items!$A$1:$F$43,4,FALSE)=0,"",VLOOKUP(UncLookup[[#This Row],[Item]],Items!$A$1:$F$43,4,FALSE))</f>
        <v/>
      </c>
    </row>
    <row r="1372" spans="1:17" x14ac:dyDescent="0.25">
      <c r="A1372" s="75" t="s">
        <v>55</v>
      </c>
      <c r="B1372" s="75" t="s">
        <v>60</v>
      </c>
      <c r="C1372" s="75">
        <v>60</v>
      </c>
      <c r="D1372" s="75">
        <v>220.01</v>
      </c>
      <c r="E1372" s="75">
        <v>10</v>
      </c>
      <c r="F1372" s="75" t="s">
        <v>13</v>
      </c>
      <c r="G1372" s="75" t="s">
        <v>12</v>
      </c>
      <c r="H1372" s="75">
        <v>0</v>
      </c>
      <c r="I1372" s="75">
        <v>0</v>
      </c>
      <c r="J1372" s="75"/>
      <c r="K1372" s="75">
        <v>57735</v>
      </c>
      <c r="L1372" s="75">
        <v>1.1346999999999999E-2</v>
      </c>
      <c r="M1372" s="75">
        <v>57735</v>
      </c>
      <c r="N1372" s="75">
        <v>1.1002E-2</v>
      </c>
      <c r="O1372" s="90" t="str">
        <f>IF(VLOOKUP(UncLookup[[#This Row],[Item]],Items!$A$1:$F$43,2,FALSE)=0,"",VLOOKUP(UncLookup[[#This Row],[Item]],Items!$A$1:$F$43,2,FALSE))</f>
        <v/>
      </c>
      <c r="P1372" s="90" t="str">
        <f>IF(VLOOKUP(UncLookup[[#This Row],[Item]],Items!$A$1:$F$43,3,FALSE)=0,"",VLOOKUP(UncLookup[[#This Row],[Item]],Items!$A$1:$F$43,3,FALSE))</f>
        <v>20 turn</v>
      </c>
      <c r="Q1372" s="90" t="str">
        <f>IF(VLOOKUP(UncLookup[[#This Row],[Item]],Items!$A$1:$F$43,4,FALSE)=0,"",VLOOKUP(UncLookup[[#This Row],[Item]],Items!$A$1:$F$43,4,FALSE))</f>
        <v/>
      </c>
    </row>
    <row r="1373" spans="1:17" x14ac:dyDescent="0.25">
      <c r="A1373" s="76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90" t="str">
        <f>IF(VLOOKUP(UncLookup[[#This Row],[Item]],Items!$A$1:$F$43,2,FALSE)=0,"",VLOOKUP(UncLookup[[#This Row],[Item]],Items!$A$1:$F$43,2,FALSE))</f>
        <v/>
      </c>
      <c r="P1373" s="90" t="str">
        <f>IF(VLOOKUP(UncLookup[[#This Row],[Item]],Items!$A$1:$F$43,3,FALSE)=0,"",VLOOKUP(UncLookup[[#This Row],[Item]],Items!$A$1:$F$43,3,FALSE))</f>
        <v>20 turn</v>
      </c>
      <c r="Q1373" s="90" t="str">
        <f>IF(VLOOKUP(UncLookup[[#This Row],[Item]],Items!$A$1:$F$43,4,FALSE)=0,"",VLOOKUP(UncLookup[[#This Row],[Item]],Items!$A$1:$F$43,4,FALSE))</f>
        <v/>
      </c>
    </row>
    <row r="1374" spans="1:17" x14ac:dyDescent="0.25">
      <c r="A1374" s="75" t="s">
        <v>55</v>
      </c>
      <c r="B1374" s="75" t="s">
        <v>60</v>
      </c>
      <c r="C1374" s="75">
        <v>220</v>
      </c>
      <c r="D1374" s="75">
        <v>410</v>
      </c>
      <c r="E1374" s="75">
        <v>0.01</v>
      </c>
      <c r="F1374" s="75" t="s">
        <v>13</v>
      </c>
      <c r="G1374" s="75" t="s">
        <v>12</v>
      </c>
      <c r="H1374" s="75">
        <v>0</v>
      </c>
      <c r="I1374" s="75">
        <v>0</v>
      </c>
      <c r="J1374" s="75"/>
      <c r="K1374" s="75">
        <v>13</v>
      </c>
      <c r="L1374" s="75">
        <v>2.2999999999999998</v>
      </c>
      <c r="M1374" s="75">
        <v>9.0436999999999994</v>
      </c>
      <c r="N1374" s="75">
        <v>2.3088000000000002</v>
      </c>
      <c r="O1374" s="90" t="str">
        <f>IF(VLOOKUP(UncLookup[[#This Row],[Item]],Items!$A$1:$F$43,2,FALSE)=0,"",VLOOKUP(UncLookup[[#This Row],[Item]],Items!$A$1:$F$43,2,FALSE))</f>
        <v/>
      </c>
      <c r="P1374" s="90" t="str">
        <f>IF(VLOOKUP(UncLookup[[#This Row],[Item]],Items!$A$1:$F$43,3,FALSE)=0,"",VLOOKUP(UncLookup[[#This Row],[Item]],Items!$A$1:$F$43,3,FALSE))</f>
        <v>20 turn</v>
      </c>
      <c r="Q1374" s="90" t="str">
        <f>IF(VLOOKUP(UncLookup[[#This Row],[Item]],Items!$A$1:$F$43,4,FALSE)=0,"",VLOOKUP(UncLookup[[#This Row],[Item]],Items!$A$1:$F$43,4,FALSE))</f>
        <v/>
      </c>
    </row>
    <row r="1375" spans="1:17" x14ac:dyDescent="0.25">
      <c r="A1375" s="76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90" t="str">
        <f>IF(VLOOKUP(UncLookup[[#This Row],[Item]],Items!$A$1:$F$43,2,FALSE)=0,"",VLOOKUP(UncLookup[[#This Row],[Item]],Items!$A$1:$F$43,2,FALSE))</f>
        <v/>
      </c>
      <c r="P1375" s="90" t="str">
        <f>IF(VLOOKUP(UncLookup[[#This Row],[Item]],Items!$A$1:$F$43,3,FALSE)=0,"",VLOOKUP(UncLookup[[#This Row],[Item]],Items!$A$1:$F$43,3,FALSE))</f>
        <v>20 turn</v>
      </c>
      <c r="Q1375" s="90" t="str">
        <f>IF(VLOOKUP(UncLookup[[#This Row],[Item]],Items!$A$1:$F$43,4,FALSE)=0,"",VLOOKUP(UncLookup[[#This Row],[Item]],Items!$A$1:$F$43,4,FALSE))</f>
        <v/>
      </c>
    </row>
    <row r="1376" spans="1:17" x14ac:dyDescent="0.25">
      <c r="A1376" s="75" t="s">
        <v>55</v>
      </c>
      <c r="B1376" s="75" t="s">
        <v>60</v>
      </c>
      <c r="C1376" s="75">
        <v>220</v>
      </c>
      <c r="D1376" s="75">
        <v>410</v>
      </c>
      <c r="E1376" s="75">
        <v>1</v>
      </c>
      <c r="F1376" s="75" t="s">
        <v>13</v>
      </c>
      <c r="G1376" s="75" t="s">
        <v>12</v>
      </c>
      <c r="H1376" s="75">
        <v>0</v>
      </c>
      <c r="I1376" s="75">
        <v>0</v>
      </c>
      <c r="J1376" s="75"/>
      <c r="K1376" s="75">
        <v>379.54</v>
      </c>
      <c r="L1376" s="75">
        <v>1.7988999999999999</v>
      </c>
      <c r="M1376" s="75">
        <v>379.5</v>
      </c>
      <c r="N1376" s="75">
        <v>1.7976000000000001</v>
      </c>
      <c r="O1376" s="90" t="str">
        <f>IF(VLOOKUP(UncLookup[[#This Row],[Item]],Items!$A$1:$F$43,2,FALSE)=0,"",VLOOKUP(UncLookup[[#This Row],[Item]],Items!$A$1:$F$43,2,FALSE))</f>
        <v/>
      </c>
      <c r="P1376" s="90" t="str">
        <f>IF(VLOOKUP(UncLookup[[#This Row],[Item]],Items!$A$1:$F$43,3,FALSE)=0,"",VLOOKUP(UncLookup[[#This Row],[Item]],Items!$A$1:$F$43,3,FALSE))</f>
        <v>20 turn</v>
      </c>
      <c r="Q1376" s="90" t="str">
        <f>IF(VLOOKUP(UncLookup[[#This Row],[Item]],Items!$A$1:$F$43,4,FALSE)=0,"",VLOOKUP(UncLookup[[#This Row],[Item]],Items!$A$1:$F$43,4,FALSE))</f>
        <v/>
      </c>
    </row>
    <row r="1377" spans="1:17" x14ac:dyDescent="0.25">
      <c r="A1377" s="76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90" t="str">
        <f>IF(VLOOKUP(UncLookup[[#This Row],[Item]],Items!$A$1:$F$43,2,FALSE)=0,"",VLOOKUP(UncLookup[[#This Row],[Item]],Items!$A$1:$F$43,2,FALSE))</f>
        <v/>
      </c>
      <c r="P1377" s="90" t="str">
        <f>IF(VLOOKUP(UncLookup[[#This Row],[Item]],Items!$A$1:$F$43,3,FALSE)=0,"",VLOOKUP(UncLookup[[#This Row],[Item]],Items!$A$1:$F$43,3,FALSE))</f>
        <v>20 turn</v>
      </c>
      <c r="Q1377" s="90" t="str">
        <f>IF(VLOOKUP(UncLookup[[#This Row],[Item]],Items!$A$1:$F$43,4,FALSE)=0,"",VLOOKUP(UncLookup[[#This Row],[Item]],Items!$A$1:$F$43,4,FALSE))</f>
        <v/>
      </c>
    </row>
    <row r="1378" spans="1:17" x14ac:dyDescent="0.25">
      <c r="A1378" s="75" t="s">
        <v>55</v>
      </c>
      <c r="B1378" s="75" t="s">
        <v>60</v>
      </c>
      <c r="C1378" s="75">
        <v>220</v>
      </c>
      <c r="D1378" s="75">
        <v>410</v>
      </c>
      <c r="E1378" s="75">
        <v>100</v>
      </c>
      <c r="F1378" s="75" t="s">
        <v>13</v>
      </c>
      <c r="G1378" s="75" t="s">
        <v>12</v>
      </c>
      <c r="H1378" s="75">
        <v>0</v>
      </c>
      <c r="I1378" s="75">
        <v>0</v>
      </c>
      <c r="J1378" s="75"/>
      <c r="K1378" s="75">
        <v>57731</v>
      </c>
      <c r="L1378" s="75">
        <v>3.0030000000000001E-2</v>
      </c>
      <c r="M1378" s="75">
        <v>57731</v>
      </c>
      <c r="N1378" s="78">
        <v>2.9441999999999999E-2</v>
      </c>
      <c r="O1378" s="90" t="str">
        <f>IF(VLOOKUP(UncLookup[[#This Row],[Item]],Items!$A$1:$F$43,2,FALSE)=0,"",VLOOKUP(UncLookup[[#This Row],[Item]],Items!$A$1:$F$43,2,FALSE))</f>
        <v/>
      </c>
      <c r="P1378" s="90" t="str">
        <f>IF(VLOOKUP(UncLookup[[#This Row],[Item]],Items!$A$1:$F$43,3,FALSE)=0,"",VLOOKUP(UncLookup[[#This Row],[Item]],Items!$A$1:$F$43,3,FALSE))</f>
        <v>20 turn</v>
      </c>
      <c r="Q1378" s="90" t="str">
        <f>IF(VLOOKUP(UncLookup[[#This Row],[Item]],Items!$A$1:$F$43,4,FALSE)=0,"",VLOOKUP(UncLookup[[#This Row],[Item]],Items!$A$1:$F$43,4,FALSE))</f>
        <v/>
      </c>
    </row>
    <row r="1379" spans="1:17" x14ac:dyDescent="0.25">
      <c r="A1379" s="76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7">
        <v>2.2999999999999998</v>
      </c>
      <c r="M1379" s="76">
        <v>9.0436999999999994</v>
      </c>
      <c r="N1379" s="77">
        <v>2.3088000000000002</v>
      </c>
      <c r="O1379" s="90" t="str">
        <f>IF(VLOOKUP(UncLookup[[#This Row],[Item]],Items!$A$1:$F$43,2,FALSE)=0,"",VLOOKUP(UncLookup[[#This Row],[Item]],Items!$A$1:$F$43,2,FALSE))</f>
        <v/>
      </c>
      <c r="P1379" s="90" t="str">
        <f>IF(VLOOKUP(UncLookup[[#This Row],[Item]],Items!$A$1:$F$43,3,FALSE)=0,"",VLOOKUP(UncLookup[[#This Row],[Item]],Items!$A$1:$F$43,3,FALSE))</f>
        <v>20 turn</v>
      </c>
      <c r="Q1379" s="90" t="str">
        <f>IF(VLOOKUP(UncLookup[[#This Row],[Item]],Items!$A$1:$F$43,4,FALSE)=0,"",VLOOKUP(UncLookup[[#This Row],[Item]],Items!$A$1:$F$43,4,FALSE))</f>
        <v/>
      </c>
    </row>
    <row r="1380" spans="1:17" x14ac:dyDescent="0.25">
      <c r="A1380" s="75" t="s">
        <v>55</v>
      </c>
      <c r="B1380" s="75" t="s">
        <v>60</v>
      </c>
      <c r="C1380" s="75">
        <v>410</v>
      </c>
      <c r="D1380" s="75">
        <v>411</v>
      </c>
      <c r="E1380" s="75">
        <v>0.1</v>
      </c>
      <c r="F1380" s="75" t="s">
        <v>13</v>
      </c>
      <c r="G1380" s="75" t="s">
        <v>12</v>
      </c>
      <c r="H1380" s="75">
        <v>0</v>
      </c>
      <c r="I1380" s="75">
        <v>0</v>
      </c>
      <c r="J1380" s="75"/>
      <c r="K1380" s="75">
        <v>13.978</v>
      </c>
      <c r="L1380" s="78">
        <v>2.3014000000000001</v>
      </c>
      <c r="M1380" s="75">
        <v>13.925000000000001</v>
      </c>
      <c r="N1380" s="78">
        <v>2.3010999999999999</v>
      </c>
      <c r="O1380" s="90" t="str">
        <f>IF(VLOOKUP(UncLookup[[#This Row],[Item]],Items!$A$1:$F$43,2,FALSE)=0,"",VLOOKUP(UncLookup[[#This Row],[Item]],Items!$A$1:$F$43,2,FALSE))</f>
        <v/>
      </c>
      <c r="P1380" s="90" t="str">
        <f>IF(VLOOKUP(UncLookup[[#This Row],[Item]],Items!$A$1:$F$43,3,FALSE)=0,"",VLOOKUP(UncLookup[[#This Row],[Item]],Items!$A$1:$F$43,3,FALSE))</f>
        <v>20 turn</v>
      </c>
      <c r="Q1380" s="90" t="str">
        <f>IF(VLOOKUP(UncLookup[[#This Row],[Item]],Items!$A$1:$F$43,4,FALSE)=0,"",VLOOKUP(UncLookup[[#This Row],[Item]],Items!$A$1:$F$43,4,FALSE))</f>
        <v/>
      </c>
    </row>
    <row r="1381" spans="1:17" x14ac:dyDescent="0.25">
      <c r="A1381" s="76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76">
        <v>1.7988999999999999</v>
      </c>
      <c r="M1381" s="76">
        <v>379.5</v>
      </c>
      <c r="N1381" s="76">
        <v>1.7976000000000001</v>
      </c>
      <c r="O1381" s="90" t="str">
        <f>IF(VLOOKUP(UncLookup[[#This Row],[Item]],Items!$A$1:$F$43,2,FALSE)=0,"",VLOOKUP(UncLookup[[#This Row],[Item]],Items!$A$1:$F$43,2,FALSE))</f>
        <v/>
      </c>
      <c r="P1381" s="90" t="str">
        <f>IF(VLOOKUP(UncLookup[[#This Row],[Item]],Items!$A$1:$F$43,3,FALSE)=0,"",VLOOKUP(UncLookup[[#This Row],[Item]],Items!$A$1:$F$43,3,FALSE))</f>
        <v>20 turn</v>
      </c>
      <c r="Q1381" s="90" t="str">
        <f>IF(VLOOKUP(UncLookup[[#This Row],[Item]],Items!$A$1:$F$43,4,FALSE)=0,"",VLOOKUP(UncLookup[[#This Row],[Item]],Items!$A$1:$F$43,4,FALSE))</f>
        <v/>
      </c>
    </row>
    <row r="1382" spans="1:17" x14ac:dyDescent="0.25">
      <c r="A1382" s="75" t="s">
        <v>55</v>
      </c>
      <c r="B1382" s="75" t="s">
        <v>60</v>
      </c>
      <c r="C1382" s="75">
        <v>410</v>
      </c>
      <c r="D1382" s="75">
        <v>411</v>
      </c>
      <c r="E1382" s="75">
        <v>10</v>
      </c>
      <c r="F1382" s="75" t="s">
        <v>13</v>
      </c>
      <c r="G1382" s="75" t="s">
        <v>12</v>
      </c>
      <c r="H1382" s="75">
        <v>0</v>
      </c>
      <c r="I1382" s="75">
        <v>0</v>
      </c>
      <c r="J1382" s="75"/>
      <c r="K1382" s="75">
        <v>5732.3</v>
      </c>
      <c r="L1382" s="75">
        <v>0.29332000000000003</v>
      </c>
      <c r="M1382" s="75">
        <v>5732.4</v>
      </c>
      <c r="N1382" s="75">
        <v>0.29187999999999997</v>
      </c>
      <c r="O1382" s="90" t="str">
        <f>IF(VLOOKUP(UncLookup[[#This Row],[Item]],Items!$A$1:$F$43,2,FALSE)=0,"",VLOOKUP(UncLookup[[#This Row],[Item]],Items!$A$1:$F$43,2,FALSE))</f>
        <v/>
      </c>
      <c r="P1382" s="90" t="str">
        <f>IF(VLOOKUP(UncLookup[[#This Row],[Item]],Items!$A$1:$F$43,3,FALSE)=0,"",VLOOKUP(UncLookup[[#This Row],[Item]],Items!$A$1:$F$43,3,FALSE))</f>
        <v>20 turn</v>
      </c>
      <c r="Q1382" s="90" t="str">
        <f>IF(VLOOKUP(UncLookup[[#This Row],[Item]],Items!$A$1:$F$43,4,FALSE)=0,"",VLOOKUP(UncLookup[[#This Row],[Item]],Items!$A$1:$F$43,4,FALSE))</f>
        <v/>
      </c>
    </row>
    <row r="1383" spans="1:17" x14ac:dyDescent="0.25">
      <c r="A1383" s="76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90" t="str">
        <f>IF(VLOOKUP(UncLookup[[#This Row],[Item]],Items!$A$1:$F$43,2,FALSE)=0,"",VLOOKUP(UncLookup[[#This Row],[Item]],Items!$A$1:$F$43,2,FALSE))</f>
        <v/>
      </c>
      <c r="P1383" s="90" t="str">
        <f>IF(VLOOKUP(UncLookup[[#This Row],[Item]],Items!$A$1:$F$43,3,FALSE)=0,"",VLOOKUP(UncLookup[[#This Row],[Item]],Items!$A$1:$F$43,3,FALSE))</f>
        <v>20 turn</v>
      </c>
      <c r="Q1383" s="90" t="str">
        <f>IF(VLOOKUP(UncLookup[[#This Row],[Item]],Items!$A$1:$F$43,4,FALSE)=0,"",VLOOKUP(UncLookup[[#This Row],[Item]],Items!$A$1:$F$43,4,FALSE))</f>
        <v/>
      </c>
    </row>
    <row r="1384" spans="1:17" x14ac:dyDescent="0.25">
      <c r="A1384" s="75" t="s">
        <v>55</v>
      </c>
      <c r="B1384" s="75" t="s">
        <v>59</v>
      </c>
      <c r="C1384" s="75">
        <v>1</v>
      </c>
      <c r="D1384" s="75">
        <v>11.000999999999999</v>
      </c>
      <c r="E1384" s="75">
        <v>1E-4</v>
      </c>
      <c r="F1384" s="75" t="s">
        <v>13</v>
      </c>
      <c r="G1384" s="75" t="s">
        <v>12</v>
      </c>
      <c r="H1384" s="75">
        <v>0</v>
      </c>
      <c r="I1384" s="75">
        <v>0</v>
      </c>
      <c r="J1384" s="75"/>
      <c r="K1384" s="75">
        <v>8.2000000000000003E-2</v>
      </c>
      <c r="L1384" s="75">
        <v>2</v>
      </c>
      <c r="M1384" s="75">
        <v>8.0875000000000002E-2</v>
      </c>
      <c r="N1384" s="75">
        <v>1.9946999999999999</v>
      </c>
      <c r="O1384" s="90" t="str">
        <f>IF(VLOOKUP(UncLookup[[#This Row],[Item]],Items!$A$1:$F$43,2,FALSE)=0,"",VLOOKUP(UncLookup[[#This Row],[Item]],Items!$A$1:$F$43,2,FALSE))</f>
        <v/>
      </c>
      <c r="P1384" s="90" t="str">
        <f>IF(VLOOKUP(UncLookup[[#This Row],[Item]],Items!$A$1:$F$43,3,FALSE)=0,"",VLOOKUP(UncLookup[[#This Row],[Item]],Items!$A$1:$F$43,3,FALSE))</f>
        <v>10 turn</v>
      </c>
      <c r="Q1384" s="90" t="str">
        <f>IF(VLOOKUP(UncLookup[[#This Row],[Item]],Items!$A$1:$F$43,4,FALSE)=0,"",VLOOKUP(UncLookup[[#This Row],[Item]],Items!$A$1:$F$43,4,FALSE))</f>
        <v/>
      </c>
    </row>
    <row r="1385" spans="1:17" x14ac:dyDescent="0.25">
      <c r="A1385" s="76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90" t="str">
        <f>IF(VLOOKUP(UncLookup[[#This Row],[Item]],Items!$A$1:$F$43,2,FALSE)=0,"",VLOOKUP(UncLookup[[#This Row],[Item]],Items!$A$1:$F$43,2,FALSE))</f>
        <v/>
      </c>
      <c r="P1385" s="90" t="str">
        <f>IF(VLOOKUP(UncLookup[[#This Row],[Item]],Items!$A$1:$F$43,3,FALSE)=0,"",VLOOKUP(UncLookup[[#This Row],[Item]],Items!$A$1:$F$43,3,FALSE))</f>
        <v>10 turn</v>
      </c>
      <c r="Q1385" s="90" t="str">
        <f>IF(VLOOKUP(UncLookup[[#This Row],[Item]],Items!$A$1:$F$43,4,FALSE)=0,"",VLOOKUP(UncLookup[[#This Row],[Item]],Items!$A$1:$F$43,4,FALSE))</f>
        <v/>
      </c>
    </row>
    <row r="1386" spans="1:17" x14ac:dyDescent="0.25">
      <c r="A1386" s="75" t="s">
        <v>55</v>
      </c>
      <c r="B1386" s="75" t="s">
        <v>59</v>
      </c>
      <c r="C1386" s="75">
        <v>1</v>
      </c>
      <c r="D1386" s="75">
        <v>11.000999999999999</v>
      </c>
      <c r="E1386" s="75">
        <v>0.01</v>
      </c>
      <c r="F1386" s="75" t="s">
        <v>13</v>
      </c>
      <c r="G1386" s="75" t="s">
        <v>12</v>
      </c>
      <c r="H1386" s="75">
        <v>0</v>
      </c>
      <c r="I1386" s="75">
        <v>0</v>
      </c>
      <c r="J1386" s="75"/>
      <c r="K1386" s="75">
        <v>4.4751000000000003</v>
      </c>
      <c r="L1386" s="75">
        <v>1.6631</v>
      </c>
      <c r="M1386" s="75">
        <v>4.4718</v>
      </c>
      <c r="N1386" s="75">
        <v>1.6632</v>
      </c>
      <c r="O1386" s="90" t="str">
        <f>IF(VLOOKUP(UncLookup[[#This Row],[Item]],Items!$A$1:$F$43,2,FALSE)=0,"",VLOOKUP(UncLookup[[#This Row],[Item]],Items!$A$1:$F$43,2,FALSE))</f>
        <v/>
      </c>
      <c r="P1386" s="90" t="str">
        <f>IF(VLOOKUP(UncLookup[[#This Row],[Item]],Items!$A$1:$F$43,3,FALSE)=0,"",VLOOKUP(UncLookup[[#This Row],[Item]],Items!$A$1:$F$43,3,FALSE))</f>
        <v>10 turn</v>
      </c>
      <c r="Q1386" s="90" t="str">
        <f>IF(VLOOKUP(UncLookup[[#This Row],[Item]],Items!$A$1:$F$43,4,FALSE)=0,"",VLOOKUP(UncLookup[[#This Row],[Item]],Items!$A$1:$F$43,4,FALSE))</f>
        <v/>
      </c>
    </row>
    <row r="1387" spans="1:17" x14ac:dyDescent="0.25">
      <c r="A1387" s="76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90" t="str">
        <f>IF(VLOOKUP(UncLookup[[#This Row],[Item]],Items!$A$1:$F$43,2,FALSE)=0,"",VLOOKUP(UncLookup[[#This Row],[Item]],Items!$A$1:$F$43,2,FALSE))</f>
        <v/>
      </c>
      <c r="P1387" s="90" t="str">
        <f>IF(VLOOKUP(UncLookup[[#This Row],[Item]],Items!$A$1:$F$43,3,FALSE)=0,"",VLOOKUP(UncLookup[[#This Row],[Item]],Items!$A$1:$F$43,3,FALSE))</f>
        <v>10 turn</v>
      </c>
      <c r="Q1387" s="90" t="str">
        <f>IF(VLOOKUP(UncLookup[[#This Row],[Item]],Items!$A$1:$F$43,4,FALSE)=0,"",VLOOKUP(UncLookup[[#This Row],[Item]],Items!$A$1:$F$43,4,FALSE))</f>
        <v/>
      </c>
    </row>
    <row r="1388" spans="1:17" x14ac:dyDescent="0.25">
      <c r="A1388" s="75" t="s">
        <v>55</v>
      </c>
      <c r="B1388" s="75" t="s">
        <v>59</v>
      </c>
      <c r="C1388" s="75">
        <v>1</v>
      </c>
      <c r="D1388" s="75">
        <v>11.000999999999999</v>
      </c>
      <c r="E1388" s="75">
        <v>1</v>
      </c>
      <c r="F1388" s="75" t="s">
        <v>13</v>
      </c>
      <c r="G1388" s="75" t="s">
        <v>12</v>
      </c>
      <c r="H1388" s="75">
        <v>0</v>
      </c>
      <c r="I1388" s="75">
        <v>0</v>
      </c>
      <c r="J1388" s="75"/>
      <c r="K1388" s="75">
        <v>577.32000000000005</v>
      </c>
      <c r="L1388" s="75">
        <v>4.1721000000000001E-2</v>
      </c>
      <c r="M1388" s="75">
        <v>577.32000000000005</v>
      </c>
      <c r="N1388" s="75">
        <v>4.1612999999999997E-2</v>
      </c>
      <c r="O1388" s="90" t="str">
        <f>IF(VLOOKUP(UncLookup[[#This Row],[Item]],Items!$A$1:$F$43,2,FALSE)=0,"",VLOOKUP(UncLookup[[#This Row],[Item]],Items!$A$1:$F$43,2,FALSE))</f>
        <v/>
      </c>
      <c r="P1388" s="90" t="str">
        <f>IF(VLOOKUP(UncLookup[[#This Row],[Item]],Items!$A$1:$F$43,3,FALSE)=0,"",VLOOKUP(UncLookup[[#This Row],[Item]],Items!$A$1:$F$43,3,FALSE))</f>
        <v>10 turn</v>
      </c>
      <c r="Q1388" s="90" t="str">
        <f>IF(VLOOKUP(UncLookup[[#This Row],[Item]],Items!$A$1:$F$43,4,FALSE)=0,"",VLOOKUP(UncLookup[[#This Row],[Item]],Items!$A$1:$F$43,4,FALSE))</f>
        <v/>
      </c>
    </row>
    <row r="1389" spans="1:17" x14ac:dyDescent="0.25">
      <c r="A1389" s="76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90" t="str">
        <f>IF(VLOOKUP(UncLookup[[#This Row],[Item]],Items!$A$1:$F$43,2,FALSE)=0,"",VLOOKUP(UncLookup[[#This Row],[Item]],Items!$A$1:$F$43,2,FALSE))</f>
        <v/>
      </c>
      <c r="P1389" s="90" t="str">
        <f>IF(VLOOKUP(UncLookup[[#This Row],[Item]],Items!$A$1:$F$43,3,FALSE)=0,"",VLOOKUP(UncLookup[[#This Row],[Item]],Items!$A$1:$F$43,3,FALSE))</f>
        <v>10 turn</v>
      </c>
      <c r="Q1389" s="90" t="str">
        <f>IF(VLOOKUP(UncLookup[[#This Row],[Item]],Items!$A$1:$F$43,4,FALSE)=0,"",VLOOKUP(UncLookup[[#This Row],[Item]],Items!$A$1:$F$43,4,FALSE))</f>
        <v/>
      </c>
    </row>
    <row r="1390" spans="1:17" x14ac:dyDescent="0.25">
      <c r="A1390" s="75" t="s">
        <v>55</v>
      </c>
      <c r="B1390" s="75" t="s">
        <v>59</v>
      </c>
      <c r="C1390" s="75">
        <v>11</v>
      </c>
      <c r="D1390" s="75">
        <v>30.001000000000001</v>
      </c>
      <c r="E1390" s="75">
        <v>0.01</v>
      </c>
      <c r="F1390" s="75" t="s">
        <v>13</v>
      </c>
      <c r="G1390" s="75" t="s">
        <v>12</v>
      </c>
      <c r="H1390" s="75">
        <v>0</v>
      </c>
      <c r="I1390" s="75">
        <v>0</v>
      </c>
      <c r="J1390" s="75"/>
      <c r="K1390" s="75">
        <v>1.6</v>
      </c>
      <c r="L1390" s="75">
        <v>2.0127000000000002</v>
      </c>
      <c r="M1390" s="75">
        <v>1.1037999999999999</v>
      </c>
      <c r="N1390" s="75">
        <v>2.0234999999999999</v>
      </c>
      <c r="O1390" s="90" t="str">
        <f>IF(VLOOKUP(UncLookup[[#This Row],[Item]],Items!$A$1:$F$43,2,FALSE)=0,"",VLOOKUP(UncLookup[[#This Row],[Item]],Items!$A$1:$F$43,2,FALSE))</f>
        <v/>
      </c>
      <c r="P1390" s="90" t="str">
        <f>IF(VLOOKUP(UncLookup[[#This Row],[Item]],Items!$A$1:$F$43,3,FALSE)=0,"",VLOOKUP(UncLookup[[#This Row],[Item]],Items!$A$1:$F$43,3,FALSE))</f>
        <v>10 turn</v>
      </c>
      <c r="Q1390" s="90" t="str">
        <f>IF(VLOOKUP(UncLookup[[#This Row],[Item]],Items!$A$1:$F$43,4,FALSE)=0,"",VLOOKUP(UncLookup[[#This Row],[Item]],Items!$A$1:$F$43,4,FALSE))</f>
        <v/>
      </c>
    </row>
    <row r="1391" spans="1:17" x14ac:dyDescent="0.25">
      <c r="A1391" s="76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90" t="str">
        <f>IF(VLOOKUP(UncLookup[[#This Row],[Item]],Items!$A$1:$F$43,2,FALSE)=0,"",VLOOKUP(UncLookup[[#This Row],[Item]],Items!$A$1:$F$43,2,FALSE))</f>
        <v/>
      </c>
      <c r="P1391" s="90" t="str">
        <f>IF(VLOOKUP(UncLookup[[#This Row],[Item]],Items!$A$1:$F$43,3,FALSE)=0,"",VLOOKUP(UncLookup[[#This Row],[Item]],Items!$A$1:$F$43,3,FALSE))</f>
        <v>10 turn</v>
      </c>
      <c r="Q1391" s="90" t="str">
        <f>IF(VLOOKUP(UncLookup[[#This Row],[Item]],Items!$A$1:$F$43,4,FALSE)=0,"",VLOOKUP(UncLookup[[#This Row],[Item]],Items!$A$1:$F$43,4,FALSE))</f>
        <v/>
      </c>
    </row>
    <row r="1392" spans="1:17" x14ac:dyDescent="0.25">
      <c r="A1392" s="75" t="s">
        <v>55</v>
      </c>
      <c r="B1392" s="75" t="s">
        <v>59</v>
      </c>
      <c r="C1392" s="75">
        <v>11</v>
      </c>
      <c r="D1392" s="75">
        <v>30.001000000000001</v>
      </c>
      <c r="E1392" s="75">
        <v>1</v>
      </c>
      <c r="F1392" s="75" t="s">
        <v>13</v>
      </c>
      <c r="G1392" s="75" t="s">
        <v>12</v>
      </c>
      <c r="H1392" s="75">
        <v>0</v>
      </c>
      <c r="I1392" s="75">
        <v>0</v>
      </c>
      <c r="J1392" s="75"/>
      <c r="K1392" s="75">
        <v>576.16999999999996</v>
      </c>
      <c r="L1392" s="75">
        <v>0.15057999999999999</v>
      </c>
      <c r="M1392" s="75">
        <v>576.16</v>
      </c>
      <c r="N1392" s="75">
        <v>0.14877000000000001</v>
      </c>
      <c r="O1392" s="90" t="str">
        <f>IF(VLOOKUP(UncLookup[[#This Row],[Item]],Items!$A$1:$F$43,2,FALSE)=0,"",VLOOKUP(UncLookup[[#This Row],[Item]],Items!$A$1:$F$43,2,FALSE))</f>
        <v/>
      </c>
      <c r="P1392" s="90" t="str">
        <f>IF(VLOOKUP(UncLookup[[#This Row],[Item]],Items!$A$1:$F$43,3,FALSE)=0,"",VLOOKUP(UncLookup[[#This Row],[Item]],Items!$A$1:$F$43,3,FALSE))</f>
        <v>10 turn</v>
      </c>
      <c r="Q1392" s="90" t="str">
        <f>IF(VLOOKUP(UncLookup[[#This Row],[Item]],Items!$A$1:$F$43,4,FALSE)=0,"",VLOOKUP(UncLookup[[#This Row],[Item]],Items!$A$1:$F$43,4,FALSE))</f>
        <v/>
      </c>
    </row>
    <row r="1393" spans="1:17" x14ac:dyDescent="0.25">
      <c r="A1393" s="76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90" t="str">
        <f>IF(VLOOKUP(UncLookup[[#This Row],[Item]],Items!$A$1:$F$43,2,FALSE)=0,"",VLOOKUP(UncLookup[[#This Row],[Item]],Items!$A$1:$F$43,2,FALSE))</f>
        <v/>
      </c>
      <c r="P1393" s="90" t="str">
        <f>IF(VLOOKUP(UncLookup[[#This Row],[Item]],Items!$A$1:$F$43,3,FALSE)=0,"",VLOOKUP(UncLookup[[#This Row],[Item]],Items!$A$1:$F$43,3,FALSE))</f>
        <v>10 turn</v>
      </c>
      <c r="Q1393" s="90" t="str">
        <f>IF(VLOOKUP(UncLookup[[#This Row],[Item]],Items!$A$1:$F$43,4,FALSE)=0,"",VLOOKUP(UncLookup[[#This Row],[Item]],Items!$A$1:$F$43,4,FALSE))</f>
        <v/>
      </c>
    </row>
    <row r="1394" spans="1:17" x14ac:dyDescent="0.25">
      <c r="A1394" s="75" t="s">
        <v>55</v>
      </c>
      <c r="B1394" s="75" t="s">
        <v>59</v>
      </c>
      <c r="C1394" s="75">
        <v>11</v>
      </c>
      <c r="D1394" s="75">
        <v>30.001000000000001</v>
      </c>
      <c r="E1394" s="75">
        <v>100</v>
      </c>
      <c r="F1394" s="75" t="s">
        <v>13</v>
      </c>
      <c r="G1394" s="75" t="s">
        <v>12</v>
      </c>
      <c r="H1394" s="75">
        <v>0</v>
      </c>
      <c r="I1394" s="75">
        <v>0</v>
      </c>
      <c r="J1394" s="75"/>
      <c r="K1394" s="75">
        <v>57736</v>
      </c>
      <c r="L1394" s="75">
        <v>1.7851E-3</v>
      </c>
      <c r="M1394" s="75">
        <v>57735</v>
      </c>
      <c r="N1394" s="75">
        <v>1.4924999999999999E-3</v>
      </c>
      <c r="O1394" s="90" t="str">
        <f>IF(VLOOKUP(UncLookup[[#This Row],[Item]],Items!$A$1:$F$43,2,FALSE)=0,"",VLOOKUP(UncLookup[[#This Row],[Item]],Items!$A$1:$F$43,2,FALSE))</f>
        <v/>
      </c>
      <c r="P1394" s="90" t="str">
        <f>IF(VLOOKUP(UncLookup[[#This Row],[Item]],Items!$A$1:$F$43,3,FALSE)=0,"",VLOOKUP(UncLookup[[#This Row],[Item]],Items!$A$1:$F$43,3,FALSE))</f>
        <v>10 turn</v>
      </c>
      <c r="Q1394" s="90" t="str">
        <f>IF(VLOOKUP(UncLookup[[#This Row],[Item]],Items!$A$1:$F$43,4,FALSE)=0,"",VLOOKUP(UncLookup[[#This Row],[Item]],Items!$A$1:$F$43,4,FALSE))</f>
        <v/>
      </c>
    </row>
    <row r="1395" spans="1:17" x14ac:dyDescent="0.25">
      <c r="A1395" s="76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90" t="str">
        <f>IF(VLOOKUP(UncLookup[[#This Row],[Item]],Items!$A$1:$F$43,2,FALSE)=0,"",VLOOKUP(UncLookup[[#This Row],[Item]],Items!$A$1:$F$43,2,FALSE))</f>
        <v/>
      </c>
      <c r="P1395" s="90" t="str">
        <f>IF(VLOOKUP(UncLookup[[#This Row],[Item]],Items!$A$1:$F$43,3,FALSE)=0,"",VLOOKUP(UncLookup[[#This Row],[Item]],Items!$A$1:$F$43,3,FALSE))</f>
        <v>10 turn</v>
      </c>
      <c r="Q1395" s="90" t="str">
        <f>IF(VLOOKUP(UncLookup[[#This Row],[Item]],Items!$A$1:$F$43,4,FALSE)=0,"",VLOOKUP(UncLookup[[#This Row],[Item]],Items!$A$1:$F$43,4,FALSE))</f>
        <v/>
      </c>
    </row>
    <row r="1396" spans="1:17" x14ac:dyDescent="0.25">
      <c r="A1396" s="75" t="s">
        <v>55</v>
      </c>
      <c r="B1396" s="75" t="s">
        <v>59</v>
      </c>
      <c r="C1396" s="75">
        <v>30</v>
      </c>
      <c r="D1396" s="75">
        <v>110.01</v>
      </c>
      <c r="E1396" s="75">
        <v>0.1</v>
      </c>
      <c r="F1396" s="75" t="s">
        <v>13</v>
      </c>
      <c r="G1396" s="75" t="s">
        <v>12</v>
      </c>
      <c r="H1396" s="75">
        <v>0</v>
      </c>
      <c r="I1396" s="75">
        <v>0</v>
      </c>
      <c r="J1396" s="75"/>
      <c r="K1396" s="75">
        <v>29.550999999999998</v>
      </c>
      <c r="L1396" s="75">
        <v>1.93</v>
      </c>
      <c r="M1396" s="75">
        <v>29.510999999999999</v>
      </c>
      <c r="N1396" s="75">
        <v>1.9297</v>
      </c>
      <c r="O1396" s="90" t="str">
        <f>IF(VLOOKUP(UncLookup[[#This Row],[Item]],Items!$A$1:$F$43,2,FALSE)=0,"",VLOOKUP(UncLookup[[#This Row],[Item]],Items!$A$1:$F$43,2,FALSE))</f>
        <v/>
      </c>
      <c r="P1396" s="90" t="str">
        <f>IF(VLOOKUP(UncLookup[[#This Row],[Item]],Items!$A$1:$F$43,3,FALSE)=0,"",VLOOKUP(UncLookup[[#This Row],[Item]],Items!$A$1:$F$43,3,FALSE))</f>
        <v>10 turn</v>
      </c>
      <c r="Q1396" s="90" t="str">
        <f>IF(VLOOKUP(UncLookup[[#This Row],[Item]],Items!$A$1:$F$43,4,FALSE)=0,"",VLOOKUP(UncLookup[[#This Row],[Item]],Items!$A$1:$F$43,4,FALSE))</f>
        <v/>
      </c>
    </row>
    <row r="1397" spans="1:17" x14ac:dyDescent="0.25">
      <c r="A1397" s="76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90" t="str">
        <f>IF(VLOOKUP(UncLookup[[#This Row],[Item]],Items!$A$1:$F$43,2,FALSE)=0,"",VLOOKUP(UncLookup[[#This Row],[Item]],Items!$A$1:$F$43,2,FALSE))</f>
        <v/>
      </c>
      <c r="P1397" s="90" t="str">
        <f>IF(VLOOKUP(UncLookup[[#This Row],[Item]],Items!$A$1:$F$43,3,FALSE)=0,"",VLOOKUP(UncLookup[[#This Row],[Item]],Items!$A$1:$F$43,3,FALSE))</f>
        <v>10 turn</v>
      </c>
      <c r="Q1397" s="90" t="str">
        <f>IF(VLOOKUP(UncLookup[[#This Row],[Item]],Items!$A$1:$F$43,4,FALSE)=0,"",VLOOKUP(UncLookup[[#This Row],[Item]],Items!$A$1:$F$43,4,FALSE))</f>
        <v/>
      </c>
    </row>
    <row r="1398" spans="1:17" x14ac:dyDescent="0.25">
      <c r="A1398" s="75" t="s">
        <v>55</v>
      </c>
      <c r="B1398" s="75" t="s">
        <v>59</v>
      </c>
      <c r="C1398" s="75">
        <v>30</v>
      </c>
      <c r="D1398" s="75">
        <v>110.01</v>
      </c>
      <c r="E1398" s="75">
        <v>10</v>
      </c>
      <c r="F1398" s="75" t="s">
        <v>13</v>
      </c>
      <c r="G1398" s="75" t="s">
        <v>12</v>
      </c>
      <c r="H1398" s="75">
        <v>0</v>
      </c>
      <c r="I1398" s="75">
        <v>0</v>
      </c>
      <c r="J1398" s="75"/>
      <c r="K1398" s="75">
        <v>5772.3</v>
      </c>
      <c r="L1398" s="75">
        <v>5.5474999999999997E-2</v>
      </c>
      <c r="M1398" s="75">
        <v>5772.3</v>
      </c>
      <c r="N1398" s="75">
        <v>5.4984999999999999E-2</v>
      </c>
      <c r="O1398" s="90" t="str">
        <f>IF(VLOOKUP(UncLookup[[#This Row],[Item]],Items!$A$1:$F$43,2,FALSE)=0,"",VLOOKUP(UncLookup[[#This Row],[Item]],Items!$A$1:$F$43,2,FALSE))</f>
        <v/>
      </c>
      <c r="P1398" s="90" t="str">
        <f>IF(VLOOKUP(UncLookup[[#This Row],[Item]],Items!$A$1:$F$43,3,FALSE)=0,"",VLOOKUP(UncLookup[[#This Row],[Item]],Items!$A$1:$F$43,3,FALSE))</f>
        <v>10 turn</v>
      </c>
      <c r="Q1398" s="90" t="str">
        <f>IF(VLOOKUP(UncLookup[[#This Row],[Item]],Items!$A$1:$F$43,4,FALSE)=0,"",VLOOKUP(UncLookup[[#This Row],[Item]],Items!$A$1:$F$43,4,FALSE))</f>
        <v/>
      </c>
    </row>
    <row r="1399" spans="1:17" x14ac:dyDescent="0.25">
      <c r="A1399" s="76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90" t="str">
        <f>IF(VLOOKUP(UncLookup[[#This Row],[Item]],Items!$A$1:$F$43,2,FALSE)=0,"",VLOOKUP(UncLookup[[#This Row],[Item]],Items!$A$1:$F$43,2,FALSE))</f>
        <v/>
      </c>
      <c r="P1399" s="90" t="str">
        <f>IF(VLOOKUP(UncLookup[[#This Row],[Item]],Items!$A$1:$F$43,3,FALSE)=0,"",VLOOKUP(UncLookup[[#This Row],[Item]],Items!$A$1:$F$43,3,FALSE))</f>
        <v>10 turn</v>
      </c>
      <c r="Q1399" s="90" t="str">
        <f>IF(VLOOKUP(UncLookup[[#This Row],[Item]],Items!$A$1:$F$43,4,FALSE)=0,"",VLOOKUP(UncLookup[[#This Row],[Item]],Items!$A$1:$F$43,4,FALSE))</f>
        <v/>
      </c>
    </row>
    <row r="1400" spans="1:17" x14ac:dyDescent="0.25">
      <c r="A1400" s="75" t="s">
        <v>55</v>
      </c>
      <c r="B1400" s="75" t="s">
        <v>59</v>
      </c>
      <c r="C1400" s="75">
        <v>110</v>
      </c>
      <c r="D1400" s="75">
        <v>205</v>
      </c>
      <c r="E1400" s="75">
        <v>0.01</v>
      </c>
      <c r="F1400" s="75" t="s">
        <v>13</v>
      </c>
      <c r="G1400" s="75" t="s">
        <v>12</v>
      </c>
      <c r="H1400" s="75">
        <v>0</v>
      </c>
      <c r="I1400" s="75">
        <v>0</v>
      </c>
      <c r="J1400" s="75"/>
      <c r="K1400" s="75">
        <v>6.5</v>
      </c>
      <c r="L1400" s="75">
        <v>2.2999999999999998</v>
      </c>
      <c r="M1400" s="75">
        <v>4.5922000000000001</v>
      </c>
      <c r="N1400" s="75">
        <v>2.3086000000000002</v>
      </c>
      <c r="O1400" s="90" t="str">
        <f>IF(VLOOKUP(UncLookup[[#This Row],[Item]],Items!$A$1:$F$43,2,FALSE)=0,"",VLOOKUP(UncLookup[[#This Row],[Item]],Items!$A$1:$F$43,2,FALSE))</f>
        <v/>
      </c>
      <c r="P1400" s="90" t="str">
        <f>IF(VLOOKUP(UncLookup[[#This Row],[Item]],Items!$A$1:$F$43,3,FALSE)=0,"",VLOOKUP(UncLookup[[#This Row],[Item]],Items!$A$1:$F$43,3,FALSE))</f>
        <v>10 turn</v>
      </c>
      <c r="Q1400" s="90" t="str">
        <f>IF(VLOOKUP(UncLookup[[#This Row],[Item]],Items!$A$1:$F$43,4,FALSE)=0,"",VLOOKUP(UncLookup[[#This Row],[Item]],Items!$A$1:$F$43,4,FALSE))</f>
        <v/>
      </c>
    </row>
    <row r="1401" spans="1:17" x14ac:dyDescent="0.25">
      <c r="A1401" s="76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90" t="str">
        <f>IF(VLOOKUP(UncLookup[[#This Row],[Item]],Items!$A$1:$F$43,2,FALSE)=0,"",VLOOKUP(UncLookup[[#This Row],[Item]],Items!$A$1:$F$43,2,FALSE))</f>
        <v/>
      </c>
      <c r="P1401" s="90" t="str">
        <f>IF(VLOOKUP(UncLookup[[#This Row],[Item]],Items!$A$1:$F$43,3,FALSE)=0,"",VLOOKUP(UncLookup[[#This Row],[Item]],Items!$A$1:$F$43,3,FALSE))</f>
        <v>10 turn</v>
      </c>
      <c r="Q1401" s="90" t="str">
        <f>IF(VLOOKUP(UncLookup[[#This Row],[Item]],Items!$A$1:$F$43,4,FALSE)=0,"",VLOOKUP(UncLookup[[#This Row],[Item]],Items!$A$1:$F$43,4,FALSE))</f>
        <v/>
      </c>
    </row>
    <row r="1402" spans="1:17" x14ac:dyDescent="0.25">
      <c r="A1402" s="75" t="s">
        <v>55</v>
      </c>
      <c r="B1402" s="75" t="s">
        <v>59</v>
      </c>
      <c r="C1402" s="75">
        <v>110</v>
      </c>
      <c r="D1402" s="75">
        <v>205</v>
      </c>
      <c r="E1402" s="75">
        <v>1</v>
      </c>
      <c r="F1402" s="75" t="s">
        <v>13</v>
      </c>
      <c r="G1402" s="75" t="s">
        <v>12</v>
      </c>
      <c r="H1402" s="75">
        <v>0</v>
      </c>
      <c r="I1402" s="75">
        <v>0</v>
      </c>
      <c r="J1402" s="75"/>
      <c r="K1402" s="75">
        <v>497.21</v>
      </c>
      <c r="L1402" s="75">
        <v>1.2323999999999999</v>
      </c>
      <c r="M1402" s="75">
        <v>497.26</v>
      </c>
      <c r="N1402" s="75">
        <v>1.2301</v>
      </c>
      <c r="O1402" s="90" t="str">
        <f>IF(VLOOKUP(UncLookup[[#This Row],[Item]],Items!$A$1:$F$43,2,FALSE)=0,"",VLOOKUP(UncLookup[[#This Row],[Item]],Items!$A$1:$F$43,2,FALSE))</f>
        <v/>
      </c>
      <c r="P1402" s="90" t="str">
        <f>IF(VLOOKUP(UncLookup[[#This Row],[Item]],Items!$A$1:$F$43,3,FALSE)=0,"",VLOOKUP(UncLookup[[#This Row],[Item]],Items!$A$1:$F$43,3,FALSE))</f>
        <v>10 turn</v>
      </c>
      <c r="Q1402" s="90" t="str">
        <f>IF(VLOOKUP(UncLookup[[#This Row],[Item]],Items!$A$1:$F$43,4,FALSE)=0,"",VLOOKUP(UncLookup[[#This Row],[Item]],Items!$A$1:$F$43,4,FALSE))</f>
        <v/>
      </c>
    </row>
    <row r="1403" spans="1:17" x14ac:dyDescent="0.25">
      <c r="A1403" s="76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90" t="str">
        <f>IF(VLOOKUP(UncLookup[[#This Row],[Item]],Items!$A$1:$F$43,2,FALSE)=0,"",VLOOKUP(UncLookup[[#This Row],[Item]],Items!$A$1:$F$43,2,FALSE))</f>
        <v/>
      </c>
      <c r="P1403" s="90" t="str">
        <f>IF(VLOOKUP(UncLookup[[#This Row],[Item]],Items!$A$1:$F$43,3,FALSE)=0,"",VLOOKUP(UncLookup[[#This Row],[Item]],Items!$A$1:$F$43,3,FALSE))</f>
        <v>10 turn</v>
      </c>
      <c r="Q1403" s="90" t="str">
        <f>IF(VLOOKUP(UncLookup[[#This Row],[Item]],Items!$A$1:$F$43,4,FALSE)=0,"",VLOOKUP(UncLookup[[#This Row],[Item]],Items!$A$1:$F$43,4,FALSE))</f>
        <v/>
      </c>
    </row>
    <row r="1404" spans="1:17" x14ac:dyDescent="0.25">
      <c r="A1404" s="75" t="s">
        <v>55</v>
      </c>
      <c r="B1404" s="75" t="s">
        <v>59</v>
      </c>
      <c r="C1404" s="75">
        <v>110</v>
      </c>
      <c r="D1404" s="75">
        <v>205</v>
      </c>
      <c r="E1404" s="78">
        <v>100</v>
      </c>
      <c r="F1404" s="75" t="s">
        <v>13</v>
      </c>
      <c r="G1404" s="75" t="s">
        <v>12</v>
      </c>
      <c r="H1404" s="75">
        <v>0</v>
      </c>
      <c r="I1404" s="75">
        <v>0</v>
      </c>
      <c r="J1404" s="75"/>
      <c r="K1404" s="75">
        <v>57734</v>
      </c>
      <c r="L1404" s="75">
        <v>1.5259999999999999E-2</v>
      </c>
      <c r="M1404" s="75">
        <v>57734</v>
      </c>
      <c r="N1404" s="75">
        <v>1.4722000000000001E-2</v>
      </c>
      <c r="O1404" s="90" t="str">
        <f>IF(VLOOKUP(UncLookup[[#This Row],[Item]],Items!$A$1:$F$43,2,FALSE)=0,"",VLOOKUP(UncLookup[[#This Row],[Item]],Items!$A$1:$F$43,2,FALSE))</f>
        <v/>
      </c>
      <c r="P1404" s="90" t="str">
        <f>IF(VLOOKUP(UncLookup[[#This Row],[Item]],Items!$A$1:$F$43,3,FALSE)=0,"",VLOOKUP(UncLookup[[#This Row],[Item]],Items!$A$1:$F$43,3,FALSE))</f>
        <v>10 turn</v>
      </c>
      <c r="Q1404" s="90" t="str">
        <f>IF(VLOOKUP(UncLookup[[#This Row],[Item]],Items!$A$1:$F$43,4,FALSE)=0,"",VLOOKUP(UncLookup[[#This Row],[Item]],Items!$A$1:$F$43,4,FALSE))</f>
        <v/>
      </c>
    </row>
    <row r="1405" spans="1:17" x14ac:dyDescent="0.25">
      <c r="A1405" s="76" t="s">
        <v>55</v>
      </c>
      <c r="B1405" s="76" t="s">
        <v>59</v>
      </c>
      <c r="C1405" s="76">
        <v>205</v>
      </c>
      <c r="D1405" s="76">
        <v>206</v>
      </c>
      <c r="E1405" s="7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90" t="str">
        <f>IF(VLOOKUP(UncLookup[[#This Row],[Item]],Items!$A$1:$F$43,2,FALSE)=0,"",VLOOKUP(UncLookup[[#This Row],[Item]],Items!$A$1:$F$43,2,FALSE))</f>
        <v/>
      </c>
      <c r="P1405" s="90" t="str">
        <f>IF(VLOOKUP(UncLookup[[#This Row],[Item]],Items!$A$1:$F$43,3,FALSE)=0,"",VLOOKUP(UncLookup[[#This Row],[Item]],Items!$A$1:$F$43,3,FALSE))</f>
        <v>10 turn</v>
      </c>
      <c r="Q1405" s="90" t="str">
        <f>IF(VLOOKUP(UncLookup[[#This Row],[Item]],Items!$A$1:$F$43,4,FALSE)=0,"",VLOOKUP(UncLookup[[#This Row],[Item]],Items!$A$1:$F$43,4,FALSE))</f>
        <v/>
      </c>
    </row>
    <row r="1406" spans="1:17" x14ac:dyDescent="0.25">
      <c r="A1406" s="75" t="s">
        <v>55</v>
      </c>
      <c r="B1406" s="75" t="s">
        <v>59</v>
      </c>
      <c r="C1406" s="75">
        <v>205</v>
      </c>
      <c r="D1406" s="75">
        <v>206</v>
      </c>
      <c r="E1406" s="78">
        <v>0.1</v>
      </c>
      <c r="F1406" s="75" t="s">
        <v>13</v>
      </c>
      <c r="G1406" s="75" t="s">
        <v>12</v>
      </c>
      <c r="H1406" s="75">
        <v>0</v>
      </c>
      <c r="I1406" s="75">
        <v>0</v>
      </c>
      <c r="J1406" s="75"/>
      <c r="K1406" s="75">
        <v>14.301</v>
      </c>
      <c r="L1406" s="75">
        <v>2.2787999999999999</v>
      </c>
      <c r="M1406" s="75">
        <v>14.221</v>
      </c>
      <c r="N1406" s="75">
        <v>2.2784</v>
      </c>
      <c r="O1406" s="90" t="str">
        <f>IF(VLOOKUP(UncLookup[[#This Row],[Item]],Items!$A$1:$F$43,2,FALSE)=0,"",VLOOKUP(UncLookup[[#This Row],[Item]],Items!$A$1:$F$43,2,FALSE))</f>
        <v/>
      </c>
      <c r="P1406" s="90" t="str">
        <f>IF(VLOOKUP(UncLookup[[#This Row],[Item]],Items!$A$1:$F$43,3,FALSE)=0,"",VLOOKUP(UncLookup[[#This Row],[Item]],Items!$A$1:$F$43,3,FALSE))</f>
        <v>10 turn</v>
      </c>
      <c r="Q1406" s="90" t="str">
        <f>IF(VLOOKUP(UncLookup[[#This Row],[Item]],Items!$A$1:$F$43,4,FALSE)=0,"",VLOOKUP(UncLookup[[#This Row],[Item]],Items!$A$1:$F$43,4,FALSE))</f>
        <v/>
      </c>
    </row>
    <row r="1407" spans="1:17" x14ac:dyDescent="0.25">
      <c r="A1407" s="76" t="s">
        <v>55</v>
      </c>
      <c r="B1407" s="76" t="s">
        <v>59</v>
      </c>
      <c r="C1407" s="76">
        <v>205</v>
      </c>
      <c r="D1407" s="76">
        <v>206</v>
      </c>
      <c r="E1407" s="76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90" t="str">
        <f>IF(VLOOKUP(UncLookup[[#This Row],[Item]],Items!$A$1:$F$43,2,FALSE)=0,"",VLOOKUP(UncLookup[[#This Row],[Item]],Items!$A$1:$F$43,2,FALSE))</f>
        <v/>
      </c>
      <c r="P1407" s="90" t="str">
        <f>IF(VLOOKUP(UncLookup[[#This Row],[Item]],Items!$A$1:$F$43,3,FALSE)=0,"",VLOOKUP(UncLookup[[#This Row],[Item]],Items!$A$1:$F$43,3,FALSE))</f>
        <v>10 turn</v>
      </c>
      <c r="Q1407" s="90" t="str">
        <f>IF(VLOOKUP(UncLookup[[#This Row],[Item]],Items!$A$1:$F$43,4,FALSE)=0,"",VLOOKUP(UncLookup[[#This Row],[Item]],Items!$A$1:$F$43,4,FALSE))</f>
        <v/>
      </c>
    </row>
    <row r="1408" spans="1:17" x14ac:dyDescent="0.25">
      <c r="A1408" s="75" t="s">
        <v>55</v>
      </c>
      <c r="B1408" s="75" t="s">
        <v>59</v>
      </c>
      <c r="C1408" s="75">
        <v>205</v>
      </c>
      <c r="D1408" s="75">
        <v>206</v>
      </c>
      <c r="E1408" s="75">
        <v>10</v>
      </c>
      <c r="F1408" s="75" t="s">
        <v>13</v>
      </c>
      <c r="G1408" s="75" t="s">
        <v>12</v>
      </c>
      <c r="H1408" s="75">
        <v>0</v>
      </c>
      <c r="I1408" s="75">
        <v>0</v>
      </c>
      <c r="J1408" s="75"/>
      <c r="K1408" s="75">
        <v>5763.1</v>
      </c>
      <c r="L1408" s="75">
        <v>0.14824000000000001</v>
      </c>
      <c r="M1408" s="75">
        <v>5763.2</v>
      </c>
      <c r="N1408" s="75">
        <v>0.1469</v>
      </c>
      <c r="O1408" s="90" t="str">
        <f>IF(VLOOKUP(UncLookup[[#This Row],[Item]],Items!$A$1:$F$43,2,FALSE)=0,"",VLOOKUP(UncLookup[[#This Row],[Item]],Items!$A$1:$F$43,2,FALSE))</f>
        <v/>
      </c>
      <c r="P1408" s="90" t="str">
        <f>IF(VLOOKUP(UncLookup[[#This Row],[Item]],Items!$A$1:$F$43,3,FALSE)=0,"",VLOOKUP(UncLookup[[#This Row],[Item]],Items!$A$1:$F$43,3,FALSE))</f>
        <v>10 turn</v>
      </c>
      <c r="Q1408" s="90" t="str">
        <f>IF(VLOOKUP(UncLookup[[#This Row],[Item]],Items!$A$1:$F$43,4,FALSE)=0,"",VLOOKUP(UncLookup[[#This Row],[Item]],Items!$A$1:$F$43,4,FALSE))</f>
        <v/>
      </c>
    </row>
    <row r="1409" spans="1:17" x14ac:dyDescent="0.25">
      <c r="A1409" s="76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90" t="str">
        <f>IF(VLOOKUP(UncLookup[[#This Row],[Item]],Items!$A$1:$F$43,2,FALSE)=0,"",VLOOKUP(UncLookup[[#This Row],[Item]],Items!$A$1:$F$43,2,FALSE))</f>
        <v/>
      </c>
      <c r="P1409" s="90" t="str">
        <f>IF(VLOOKUP(UncLookup[[#This Row],[Item]],Items!$A$1:$F$43,3,FALSE)=0,"",VLOOKUP(UncLookup[[#This Row],[Item]],Items!$A$1:$F$43,3,FALSE))</f>
        <v>10 turn</v>
      </c>
      <c r="Q1409" s="90" t="str">
        <f>IF(VLOOKUP(UncLookup[[#This Row],[Item]],Items!$A$1:$F$43,4,FALSE)=0,"",VLOOKUP(UncLookup[[#This Row],[Item]],Items!$A$1:$F$43,4,FALSE))</f>
        <v/>
      </c>
    </row>
    <row r="1410" spans="1:17" x14ac:dyDescent="0.25">
      <c r="A1410" s="75" t="s">
        <v>55</v>
      </c>
      <c r="B1410" s="75" t="s">
        <v>46</v>
      </c>
      <c r="C1410" s="75">
        <v>0</v>
      </c>
      <c r="D1410" s="75">
        <v>3.3000999999999999E-4</v>
      </c>
      <c r="E1410" s="75">
        <v>1.0000000000000001E-9</v>
      </c>
      <c r="F1410" s="75" t="s">
        <v>13</v>
      </c>
      <c r="G1410" s="75" t="s">
        <v>11</v>
      </c>
      <c r="H1410" s="75">
        <v>0</v>
      </c>
      <c r="I1410" s="75">
        <v>0</v>
      </c>
      <c r="J1410" s="75"/>
      <c r="K1410" s="75">
        <v>2.4E-2</v>
      </c>
      <c r="L1410" s="75">
        <v>180</v>
      </c>
      <c r="M1410" s="75">
        <v>2.3106999999999999E-2</v>
      </c>
      <c r="N1410" s="75">
        <v>175.06</v>
      </c>
      <c r="O1410" s="90" t="str">
        <f>IF(VLOOKUP(UncLookup[[#This Row],[Item]],Items!$A$1:$F$43,2,FALSE)=0,"",VLOOKUP(UncLookup[[#This Row],[Item]],Items!$A$1:$F$43,2,FALSE))</f>
        <v/>
      </c>
      <c r="P1410" s="90" t="str">
        <f>IF(VLOOKUP(UncLookup[[#This Row],[Item]],Items!$A$1:$F$43,3,FALSE)=0,"",VLOOKUP(UncLookup[[#This Row],[Item]],Items!$A$1:$F$43,3,FALSE))</f>
        <v/>
      </c>
      <c r="Q1410" s="90" t="str">
        <f>IF(VLOOKUP(UncLookup[[#This Row],[Item]],Items!$A$1:$F$43,4,FALSE)=0,"",VLOOKUP(UncLookup[[#This Row],[Item]],Items!$A$1:$F$43,4,FALSE))</f>
        <v/>
      </c>
    </row>
    <row r="1411" spans="1:17" x14ac:dyDescent="0.25">
      <c r="A1411" s="76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90" t="str">
        <f>IF(VLOOKUP(UncLookup[[#This Row],[Item]],Items!$A$1:$F$43,2,FALSE)=0,"",VLOOKUP(UncLookup[[#This Row],[Item]],Items!$A$1:$F$43,2,FALSE))</f>
        <v/>
      </c>
      <c r="P1411" s="90" t="str">
        <f>IF(VLOOKUP(UncLookup[[#This Row],[Item]],Items!$A$1:$F$43,3,FALSE)=0,"",VLOOKUP(UncLookup[[#This Row],[Item]],Items!$A$1:$F$43,3,FALSE))</f>
        <v/>
      </c>
      <c r="Q1411" s="90" t="str">
        <f>IF(VLOOKUP(UncLookup[[#This Row],[Item]],Items!$A$1:$F$43,4,FALSE)=0,"",VLOOKUP(UncLookup[[#This Row],[Item]],Items!$A$1:$F$43,4,FALSE))</f>
        <v/>
      </c>
    </row>
    <row r="1412" spans="1:17" x14ac:dyDescent="0.25">
      <c r="A1412" s="75" t="s">
        <v>55</v>
      </c>
      <c r="B1412" s="75" t="s">
        <v>46</v>
      </c>
      <c r="C1412" s="75">
        <v>0</v>
      </c>
      <c r="D1412" s="75">
        <v>3.3000999999999999E-4</v>
      </c>
      <c r="E1412" s="75">
        <v>9.9999999999999995E-8</v>
      </c>
      <c r="F1412" s="75" t="s">
        <v>13</v>
      </c>
      <c r="G1412" s="75" t="s">
        <v>11</v>
      </c>
      <c r="H1412" s="75">
        <v>0</v>
      </c>
      <c r="I1412" s="75">
        <v>0</v>
      </c>
      <c r="J1412" s="75"/>
      <c r="K1412" s="75">
        <v>6.2453000000000002E-2</v>
      </c>
      <c r="L1412" s="75">
        <v>113</v>
      </c>
      <c r="M1412" s="75">
        <v>6.2384000000000002E-2</v>
      </c>
      <c r="N1412" s="75">
        <v>113</v>
      </c>
      <c r="O1412" s="90" t="str">
        <f>IF(VLOOKUP(UncLookup[[#This Row],[Item]],Items!$A$1:$F$43,2,FALSE)=0,"",VLOOKUP(UncLookup[[#This Row],[Item]],Items!$A$1:$F$43,2,FALSE))</f>
        <v/>
      </c>
      <c r="P1412" s="90" t="str">
        <f>IF(VLOOKUP(UncLookup[[#This Row],[Item]],Items!$A$1:$F$43,3,FALSE)=0,"",VLOOKUP(UncLookup[[#This Row],[Item]],Items!$A$1:$F$43,3,FALSE))</f>
        <v/>
      </c>
      <c r="Q1412" s="90" t="str">
        <f>IF(VLOOKUP(UncLookup[[#This Row],[Item]],Items!$A$1:$F$43,4,FALSE)=0,"",VLOOKUP(UncLookup[[#This Row],[Item]],Items!$A$1:$F$43,4,FALSE))</f>
        <v/>
      </c>
    </row>
    <row r="1413" spans="1:17" x14ac:dyDescent="0.25">
      <c r="A1413" s="76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90" t="str">
        <f>IF(VLOOKUP(UncLookup[[#This Row],[Item]],Items!$A$1:$F$43,2,FALSE)=0,"",VLOOKUP(UncLookup[[#This Row],[Item]],Items!$A$1:$F$43,2,FALSE))</f>
        <v/>
      </c>
      <c r="P1413" s="90" t="str">
        <f>IF(VLOOKUP(UncLookup[[#This Row],[Item]],Items!$A$1:$F$43,3,FALSE)=0,"",VLOOKUP(UncLookup[[#This Row],[Item]],Items!$A$1:$F$43,3,FALSE))</f>
        <v/>
      </c>
      <c r="Q1413" s="90" t="str">
        <f>IF(VLOOKUP(UncLookup[[#This Row],[Item]],Items!$A$1:$F$43,4,FALSE)=0,"",VLOOKUP(UncLookup[[#This Row],[Item]],Items!$A$1:$F$43,4,FALSE))</f>
        <v/>
      </c>
    </row>
    <row r="1414" spans="1:17" x14ac:dyDescent="0.25">
      <c r="A1414" s="75" t="s">
        <v>55</v>
      </c>
      <c r="B1414" s="75" t="s">
        <v>46</v>
      </c>
      <c r="C1414" s="75">
        <v>0</v>
      </c>
      <c r="D1414" s="75">
        <v>3.3000999999999999E-4</v>
      </c>
      <c r="E1414" s="75">
        <v>1.0000000000000001E-5</v>
      </c>
      <c r="F1414" s="75" t="s">
        <v>13</v>
      </c>
      <c r="G1414" s="75" t="s">
        <v>11</v>
      </c>
      <c r="H1414" s="75">
        <v>0</v>
      </c>
      <c r="I1414" s="75">
        <v>0</v>
      </c>
      <c r="J1414" s="75"/>
      <c r="K1414" s="75">
        <v>5.8000999999999996</v>
      </c>
      <c r="L1414" s="75">
        <v>1.6500999999999999</v>
      </c>
      <c r="M1414" s="75">
        <v>5.8000999999999996</v>
      </c>
      <c r="N1414" s="75">
        <v>1.5718000000000001</v>
      </c>
      <c r="O1414" s="90" t="str">
        <f>IF(VLOOKUP(UncLookup[[#This Row],[Item]],Items!$A$1:$F$43,2,FALSE)=0,"",VLOOKUP(UncLookup[[#This Row],[Item]],Items!$A$1:$F$43,2,FALSE))</f>
        <v/>
      </c>
      <c r="P1414" s="90" t="str">
        <f>IF(VLOOKUP(UncLookup[[#This Row],[Item]],Items!$A$1:$F$43,3,FALSE)=0,"",VLOOKUP(UncLookup[[#This Row],[Item]],Items!$A$1:$F$43,3,FALSE))</f>
        <v/>
      </c>
      <c r="Q1414" s="90" t="str">
        <f>IF(VLOOKUP(UncLookup[[#This Row],[Item]],Items!$A$1:$F$43,4,FALSE)=0,"",VLOOKUP(UncLookup[[#This Row],[Item]],Items!$A$1:$F$43,4,FALSE))</f>
        <v/>
      </c>
    </row>
    <row r="1415" spans="1:17" x14ac:dyDescent="0.25">
      <c r="A1415" s="76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90" t="str">
        <f>IF(VLOOKUP(UncLookup[[#This Row],[Item]],Items!$A$1:$F$43,2,FALSE)=0,"",VLOOKUP(UncLookup[[#This Row],[Item]],Items!$A$1:$F$43,2,FALSE))</f>
        <v/>
      </c>
      <c r="P1415" s="90" t="str">
        <f>IF(VLOOKUP(UncLookup[[#This Row],[Item]],Items!$A$1:$F$43,3,FALSE)=0,"",VLOOKUP(UncLookup[[#This Row],[Item]],Items!$A$1:$F$43,3,FALSE))</f>
        <v/>
      </c>
      <c r="Q1415" s="90" t="str">
        <f>IF(VLOOKUP(UncLookup[[#This Row],[Item]],Items!$A$1:$F$43,4,FALSE)=0,"",VLOOKUP(UncLookup[[#This Row],[Item]],Items!$A$1:$F$43,4,FALSE))</f>
        <v/>
      </c>
    </row>
    <row r="1416" spans="1:17" x14ac:dyDescent="0.25">
      <c r="A1416" s="75" t="s">
        <v>55</v>
      </c>
      <c r="B1416" s="75" t="s">
        <v>46</v>
      </c>
      <c r="C1416" s="75">
        <v>0</v>
      </c>
      <c r="D1416" s="75">
        <v>3.3000999999999999E-4</v>
      </c>
      <c r="E1416" s="78">
        <v>1E-3</v>
      </c>
      <c r="F1416" s="75" t="s">
        <v>13</v>
      </c>
      <c r="G1416" s="75" t="s">
        <v>11</v>
      </c>
      <c r="H1416" s="75">
        <v>0</v>
      </c>
      <c r="I1416" s="75">
        <v>0</v>
      </c>
      <c r="J1416" s="75"/>
      <c r="K1416" s="75">
        <v>580</v>
      </c>
      <c r="L1416" s="75">
        <v>2.8251999999999999E-2</v>
      </c>
      <c r="M1416" s="75">
        <v>580</v>
      </c>
      <c r="N1416" s="75">
        <v>1.5719E-2</v>
      </c>
      <c r="O1416" s="90" t="str">
        <f>IF(VLOOKUP(UncLookup[[#This Row],[Item]],Items!$A$1:$F$43,2,FALSE)=0,"",VLOOKUP(UncLookup[[#This Row],[Item]],Items!$A$1:$F$43,2,FALSE))</f>
        <v/>
      </c>
      <c r="P1416" s="90" t="str">
        <f>IF(VLOOKUP(UncLookup[[#This Row],[Item]],Items!$A$1:$F$43,3,FALSE)=0,"",VLOOKUP(UncLookup[[#This Row],[Item]],Items!$A$1:$F$43,3,FALSE))</f>
        <v/>
      </c>
      <c r="Q1416" s="90" t="str">
        <f>IF(VLOOKUP(UncLookup[[#This Row],[Item]],Items!$A$1:$F$43,4,FALSE)=0,"",VLOOKUP(UncLookup[[#This Row],[Item]],Items!$A$1:$F$43,4,FALSE))</f>
        <v/>
      </c>
    </row>
    <row r="1417" spans="1:17" x14ac:dyDescent="0.25">
      <c r="A1417" s="76" t="s">
        <v>55</v>
      </c>
      <c r="B1417" s="76" t="s">
        <v>46</v>
      </c>
      <c r="C1417" s="76">
        <v>0</v>
      </c>
      <c r="D1417" s="76">
        <v>3.3000999999999999E-4</v>
      </c>
      <c r="E1417" s="7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90" t="str">
        <f>IF(VLOOKUP(UncLookup[[#This Row],[Item]],Items!$A$1:$F$43,2,FALSE)=0,"",VLOOKUP(UncLookup[[#This Row],[Item]],Items!$A$1:$F$43,2,FALSE))</f>
        <v/>
      </c>
      <c r="P1417" s="90" t="str">
        <f>IF(VLOOKUP(UncLookup[[#This Row],[Item]],Items!$A$1:$F$43,3,FALSE)=0,"",VLOOKUP(UncLookup[[#This Row],[Item]],Items!$A$1:$F$43,3,FALSE))</f>
        <v/>
      </c>
      <c r="Q1417" s="90" t="str">
        <f>IF(VLOOKUP(UncLookup[[#This Row],[Item]],Items!$A$1:$F$43,4,FALSE)=0,"",VLOOKUP(UncLookup[[#This Row],[Item]],Items!$A$1:$F$43,4,FALSE))</f>
        <v/>
      </c>
    </row>
    <row r="1418" spans="1:17" x14ac:dyDescent="0.25">
      <c r="A1418" s="75" t="s">
        <v>55</v>
      </c>
      <c r="B1418" s="75" t="s">
        <v>46</v>
      </c>
      <c r="C1418" s="75">
        <v>0</v>
      </c>
      <c r="D1418" s="75">
        <v>3.3000999999999999E-4</v>
      </c>
      <c r="E1418" s="78">
        <v>0.1</v>
      </c>
      <c r="F1418" s="75" t="s">
        <v>13</v>
      </c>
      <c r="G1418" s="75" t="s">
        <v>12</v>
      </c>
      <c r="H1418" s="75">
        <v>0</v>
      </c>
      <c r="I1418" s="75">
        <v>0</v>
      </c>
      <c r="J1418" s="75"/>
      <c r="K1418" s="75">
        <v>58</v>
      </c>
      <c r="L1418" s="75">
        <v>2.1625E-6</v>
      </c>
      <c r="M1418" s="75">
        <v>58</v>
      </c>
      <c r="N1418" s="75">
        <v>1.572E-7</v>
      </c>
      <c r="O1418" s="90" t="str">
        <f>IF(VLOOKUP(UncLookup[[#This Row],[Item]],Items!$A$1:$F$43,2,FALSE)=0,"",VLOOKUP(UncLookup[[#This Row],[Item]],Items!$A$1:$F$43,2,FALSE))</f>
        <v/>
      </c>
      <c r="P1418" s="90" t="str">
        <f>IF(VLOOKUP(UncLookup[[#This Row],[Item]],Items!$A$1:$F$43,3,FALSE)=0,"",VLOOKUP(UncLookup[[#This Row],[Item]],Items!$A$1:$F$43,3,FALSE))</f>
        <v/>
      </c>
      <c r="Q1418" s="90" t="str">
        <f>IF(VLOOKUP(UncLookup[[#This Row],[Item]],Items!$A$1:$F$43,4,FALSE)=0,"",VLOOKUP(UncLookup[[#This Row],[Item]],Items!$A$1:$F$43,4,FALSE))</f>
        <v/>
      </c>
    </row>
    <row r="1419" spans="1:17" x14ac:dyDescent="0.25">
      <c r="A1419" s="76" t="s">
        <v>55</v>
      </c>
      <c r="B1419" s="76" t="s">
        <v>46</v>
      </c>
      <c r="C1419" s="76">
        <v>3.3E-4</v>
      </c>
      <c r="D1419" s="76">
        <v>3.3000999999999998E-3</v>
      </c>
      <c r="E1419" s="76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90" t="str">
        <f>IF(VLOOKUP(UncLookup[[#This Row],[Item]],Items!$A$1:$F$43,2,FALSE)=0,"",VLOOKUP(UncLookup[[#This Row],[Item]],Items!$A$1:$F$43,2,FALSE))</f>
        <v/>
      </c>
      <c r="P1419" s="90" t="str">
        <f>IF(VLOOKUP(UncLookup[[#This Row],[Item]],Items!$A$1:$F$43,3,FALSE)=0,"",VLOOKUP(UncLookup[[#This Row],[Item]],Items!$A$1:$F$43,3,FALSE))</f>
        <v/>
      </c>
      <c r="Q1419" s="90" t="str">
        <f>IF(VLOOKUP(UncLookup[[#This Row],[Item]],Items!$A$1:$F$43,4,FALSE)=0,"",VLOOKUP(UncLookup[[#This Row],[Item]],Items!$A$1:$F$43,4,FALSE))</f>
        <v/>
      </c>
    </row>
    <row r="1420" spans="1:17" x14ac:dyDescent="0.25">
      <c r="A1420" s="75" t="s">
        <v>55</v>
      </c>
      <c r="B1420" s="75" t="s">
        <v>46</v>
      </c>
      <c r="C1420" s="75">
        <v>3.3E-4</v>
      </c>
      <c r="D1420" s="75">
        <v>3.3000999999999998E-3</v>
      </c>
      <c r="E1420" s="75">
        <v>9.9999999999999995E-8</v>
      </c>
      <c r="F1420" s="75" t="s">
        <v>13</v>
      </c>
      <c r="G1420" s="75" t="s">
        <v>11</v>
      </c>
      <c r="H1420" s="75">
        <v>0</v>
      </c>
      <c r="I1420" s="75">
        <v>0</v>
      </c>
      <c r="J1420" s="75"/>
      <c r="K1420" s="75">
        <v>7.6187000000000005E-2</v>
      </c>
      <c r="L1420" s="75">
        <v>148.47</v>
      </c>
      <c r="M1420" s="75">
        <v>7.3319999999999996E-2</v>
      </c>
      <c r="N1420" s="75">
        <v>149.02000000000001</v>
      </c>
      <c r="O1420" s="90" t="str">
        <f>IF(VLOOKUP(UncLookup[[#This Row],[Item]],Items!$A$1:$F$43,2,FALSE)=0,"",VLOOKUP(UncLookup[[#This Row],[Item]],Items!$A$1:$F$43,2,FALSE))</f>
        <v/>
      </c>
      <c r="P1420" s="90" t="str">
        <f>IF(VLOOKUP(UncLookup[[#This Row],[Item]],Items!$A$1:$F$43,3,FALSE)=0,"",VLOOKUP(UncLookup[[#This Row],[Item]],Items!$A$1:$F$43,3,FALSE))</f>
        <v/>
      </c>
      <c r="Q1420" s="90" t="str">
        <f>IF(VLOOKUP(UncLookup[[#This Row],[Item]],Items!$A$1:$F$43,4,FALSE)=0,"",VLOOKUP(UncLookup[[#This Row],[Item]],Items!$A$1:$F$43,4,FALSE))</f>
        <v/>
      </c>
    </row>
    <row r="1421" spans="1:17" x14ac:dyDescent="0.25">
      <c r="A1421" s="76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90" t="str">
        <f>IF(VLOOKUP(UncLookup[[#This Row],[Item]],Items!$A$1:$F$43,2,FALSE)=0,"",VLOOKUP(UncLookup[[#This Row],[Item]],Items!$A$1:$F$43,2,FALSE))</f>
        <v/>
      </c>
      <c r="P1421" s="90" t="str">
        <f>IF(VLOOKUP(UncLookup[[#This Row],[Item]],Items!$A$1:$F$43,3,FALSE)=0,"",VLOOKUP(UncLookup[[#This Row],[Item]],Items!$A$1:$F$43,3,FALSE))</f>
        <v/>
      </c>
      <c r="Q1421" s="90" t="str">
        <f>IF(VLOOKUP(UncLookup[[#This Row],[Item]],Items!$A$1:$F$43,4,FALSE)=0,"",VLOOKUP(UncLookup[[#This Row],[Item]],Items!$A$1:$F$43,4,FALSE))</f>
        <v/>
      </c>
    </row>
    <row r="1422" spans="1:17" x14ac:dyDescent="0.25">
      <c r="A1422" s="75" t="s">
        <v>55</v>
      </c>
      <c r="B1422" s="75" t="s">
        <v>46</v>
      </c>
      <c r="C1422" s="75">
        <v>3.3E-4</v>
      </c>
      <c r="D1422" s="75">
        <v>3.3000999999999998E-3</v>
      </c>
      <c r="E1422" s="78">
        <v>1.0000000000000001E-5</v>
      </c>
      <c r="F1422" s="75" t="s">
        <v>13</v>
      </c>
      <c r="G1422" s="75" t="s">
        <v>11</v>
      </c>
      <c r="H1422" s="75">
        <v>0</v>
      </c>
      <c r="I1422" s="75">
        <v>0</v>
      </c>
      <c r="J1422" s="75"/>
      <c r="K1422" s="75">
        <v>5.7988999999999997</v>
      </c>
      <c r="L1422" s="75">
        <v>9.0556999999999999</v>
      </c>
      <c r="M1422" s="75">
        <v>5.7980999999999998</v>
      </c>
      <c r="N1422" s="75">
        <v>8.8116000000000003</v>
      </c>
      <c r="O1422" s="90" t="str">
        <f>IF(VLOOKUP(UncLookup[[#This Row],[Item]],Items!$A$1:$F$43,2,FALSE)=0,"",VLOOKUP(UncLookup[[#This Row],[Item]],Items!$A$1:$F$43,2,FALSE))</f>
        <v/>
      </c>
      <c r="P1422" s="90" t="str">
        <f>IF(VLOOKUP(UncLookup[[#This Row],[Item]],Items!$A$1:$F$43,3,FALSE)=0,"",VLOOKUP(UncLookup[[#This Row],[Item]],Items!$A$1:$F$43,3,FALSE))</f>
        <v/>
      </c>
      <c r="Q1422" s="90" t="str">
        <f>IF(VLOOKUP(UncLookup[[#This Row],[Item]],Items!$A$1:$F$43,4,FALSE)=0,"",VLOOKUP(UncLookup[[#This Row],[Item]],Items!$A$1:$F$43,4,FALSE))</f>
        <v/>
      </c>
    </row>
    <row r="1423" spans="1:17" x14ac:dyDescent="0.25">
      <c r="A1423" s="76" t="s">
        <v>55</v>
      </c>
      <c r="B1423" s="76" t="s">
        <v>46</v>
      </c>
      <c r="C1423" s="76">
        <v>3.3E-4</v>
      </c>
      <c r="D1423" s="76">
        <v>3.3000999999999998E-3</v>
      </c>
      <c r="E1423" s="7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90" t="str">
        <f>IF(VLOOKUP(UncLookup[[#This Row],[Item]],Items!$A$1:$F$43,2,FALSE)=0,"",VLOOKUP(UncLookup[[#This Row],[Item]],Items!$A$1:$F$43,2,FALSE))</f>
        <v/>
      </c>
      <c r="P1423" s="90" t="str">
        <f>IF(VLOOKUP(UncLookup[[#This Row],[Item]],Items!$A$1:$F$43,3,FALSE)=0,"",VLOOKUP(UncLookup[[#This Row],[Item]],Items!$A$1:$F$43,3,FALSE))</f>
        <v/>
      </c>
      <c r="Q1423" s="90" t="str">
        <f>IF(VLOOKUP(UncLookup[[#This Row],[Item]],Items!$A$1:$F$43,4,FALSE)=0,"",VLOOKUP(UncLookup[[#This Row],[Item]],Items!$A$1:$F$43,4,FALSE))</f>
        <v/>
      </c>
    </row>
    <row r="1424" spans="1:17" x14ac:dyDescent="0.25">
      <c r="A1424" s="75" t="s">
        <v>55</v>
      </c>
      <c r="B1424" s="75" t="s">
        <v>46</v>
      </c>
      <c r="C1424" s="75">
        <v>3.3E-3</v>
      </c>
      <c r="D1424" s="75">
        <v>3.3001000000000003E-2</v>
      </c>
      <c r="E1424" s="78">
        <v>9.9999999999999995E-8</v>
      </c>
      <c r="F1424" s="75" t="s">
        <v>13</v>
      </c>
      <c r="G1424" s="75" t="s">
        <v>11</v>
      </c>
      <c r="H1424" s="75">
        <v>0</v>
      </c>
      <c r="I1424" s="75">
        <v>0</v>
      </c>
      <c r="J1424" s="75"/>
      <c r="K1424" s="75">
        <v>0.21</v>
      </c>
      <c r="L1424" s="75">
        <v>150</v>
      </c>
      <c r="M1424" s="75">
        <v>0.20100000000000001</v>
      </c>
      <c r="N1424" s="75">
        <v>145.79</v>
      </c>
      <c r="O1424" s="90" t="str">
        <f>IF(VLOOKUP(UncLookup[[#This Row],[Item]],Items!$A$1:$F$43,2,FALSE)=0,"",VLOOKUP(UncLookup[[#This Row],[Item]],Items!$A$1:$F$43,2,FALSE))</f>
        <v/>
      </c>
      <c r="P1424" s="90" t="str">
        <f>IF(VLOOKUP(UncLookup[[#This Row],[Item]],Items!$A$1:$F$43,3,FALSE)=0,"",VLOOKUP(UncLookup[[#This Row],[Item]],Items!$A$1:$F$43,3,FALSE))</f>
        <v/>
      </c>
      <c r="Q1424" s="90" t="str">
        <f>IF(VLOOKUP(UncLookup[[#This Row],[Item]],Items!$A$1:$F$43,4,FALSE)=0,"",VLOOKUP(UncLookup[[#This Row],[Item]],Items!$A$1:$F$43,4,FALSE))</f>
        <v/>
      </c>
    </row>
    <row r="1425" spans="1:17" x14ac:dyDescent="0.25">
      <c r="A1425" s="76" t="s">
        <v>55</v>
      </c>
      <c r="B1425" s="76" t="s">
        <v>46</v>
      </c>
      <c r="C1425" s="76">
        <v>3.3E-3</v>
      </c>
      <c r="D1425" s="76">
        <v>3.3001000000000003E-2</v>
      </c>
      <c r="E1425" s="76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90" t="str">
        <f>IF(VLOOKUP(UncLookup[[#This Row],[Item]],Items!$A$1:$F$43,2,FALSE)=0,"",VLOOKUP(UncLookup[[#This Row],[Item]],Items!$A$1:$F$43,2,FALSE))</f>
        <v/>
      </c>
      <c r="P1425" s="90" t="str">
        <f>IF(VLOOKUP(UncLookup[[#This Row],[Item]],Items!$A$1:$F$43,3,FALSE)=0,"",VLOOKUP(UncLookup[[#This Row],[Item]],Items!$A$1:$F$43,3,FALSE))</f>
        <v/>
      </c>
      <c r="Q1425" s="90" t="str">
        <f>IF(VLOOKUP(UncLookup[[#This Row],[Item]],Items!$A$1:$F$43,4,FALSE)=0,"",VLOOKUP(UncLookup[[#This Row],[Item]],Items!$A$1:$F$43,4,FALSE))</f>
        <v/>
      </c>
    </row>
    <row r="1426" spans="1:17" x14ac:dyDescent="0.25">
      <c r="A1426" s="75" t="s">
        <v>55</v>
      </c>
      <c r="B1426" s="75" t="s">
        <v>46</v>
      </c>
      <c r="C1426" s="75">
        <v>3.3E-3</v>
      </c>
      <c r="D1426" s="75">
        <v>3.3001000000000003E-2</v>
      </c>
      <c r="E1426" s="75">
        <v>1.0000000000000001E-5</v>
      </c>
      <c r="F1426" s="75" t="s">
        <v>13</v>
      </c>
      <c r="G1426" s="75" t="s">
        <v>11</v>
      </c>
      <c r="H1426" s="75">
        <v>0</v>
      </c>
      <c r="I1426" s="75">
        <v>0</v>
      </c>
      <c r="J1426" s="75"/>
      <c r="K1426" s="75">
        <v>5.6421999999999999</v>
      </c>
      <c r="L1426" s="75">
        <v>61.543999999999997</v>
      </c>
      <c r="M1426" s="75">
        <v>5.6368999999999998</v>
      </c>
      <c r="N1426" s="75">
        <v>61.47</v>
      </c>
      <c r="O1426" s="90" t="str">
        <f>IF(VLOOKUP(UncLookup[[#This Row],[Item]],Items!$A$1:$F$43,2,FALSE)=0,"",VLOOKUP(UncLookup[[#This Row],[Item]],Items!$A$1:$F$43,2,FALSE))</f>
        <v/>
      </c>
      <c r="P1426" s="90" t="str">
        <f>IF(VLOOKUP(UncLookup[[#This Row],[Item]],Items!$A$1:$F$43,3,FALSE)=0,"",VLOOKUP(UncLookup[[#This Row],[Item]],Items!$A$1:$F$43,3,FALSE))</f>
        <v/>
      </c>
      <c r="Q1426" s="90" t="str">
        <f>IF(VLOOKUP(UncLookup[[#This Row],[Item]],Items!$A$1:$F$43,4,FALSE)=0,"",VLOOKUP(UncLookup[[#This Row],[Item]],Items!$A$1:$F$43,4,FALSE))</f>
        <v/>
      </c>
    </row>
    <row r="1427" spans="1:17" x14ac:dyDescent="0.25">
      <c r="A1427" s="76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90" t="str">
        <f>IF(VLOOKUP(UncLookup[[#This Row],[Item]],Items!$A$1:$F$43,2,FALSE)=0,"",VLOOKUP(UncLookup[[#This Row],[Item]],Items!$A$1:$F$43,2,FALSE))</f>
        <v/>
      </c>
      <c r="P1427" s="90" t="str">
        <f>IF(VLOOKUP(UncLookup[[#This Row],[Item]],Items!$A$1:$F$43,3,FALSE)=0,"",VLOOKUP(UncLookup[[#This Row],[Item]],Items!$A$1:$F$43,3,FALSE))</f>
        <v/>
      </c>
      <c r="Q1427" s="90" t="str">
        <f>IF(VLOOKUP(UncLookup[[#This Row],[Item]],Items!$A$1:$F$43,4,FALSE)=0,"",VLOOKUP(UncLookup[[#This Row],[Item]],Items!$A$1:$F$43,4,FALSE))</f>
        <v/>
      </c>
    </row>
    <row r="1428" spans="1:17" x14ac:dyDescent="0.25">
      <c r="A1428" s="75" t="s">
        <v>55</v>
      </c>
      <c r="B1428" s="75" t="s">
        <v>46</v>
      </c>
      <c r="C1428" s="75">
        <v>3.3E-3</v>
      </c>
      <c r="D1428" s="75">
        <v>3.3001000000000003E-2</v>
      </c>
      <c r="E1428" s="78">
        <v>1E-3</v>
      </c>
      <c r="F1428" s="75" t="s">
        <v>13</v>
      </c>
      <c r="G1428" s="75" t="s">
        <v>11</v>
      </c>
      <c r="H1428" s="75">
        <v>0</v>
      </c>
      <c r="I1428" s="75">
        <v>0</v>
      </c>
      <c r="J1428" s="75"/>
      <c r="K1428" s="75">
        <v>580</v>
      </c>
      <c r="L1428" s="75">
        <v>0.74075999999999997</v>
      </c>
      <c r="M1428" s="75">
        <v>580</v>
      </c>
      <c r="N1428" s="75">
        <v>0.71564000000000005</v>
      </c>
      <c r="O1428" s="90" t="str">
        <f>IF(VLOOKUP(UncLookup[[#This Row],[Item]],Items!$A$1:$F$43,2,FALSE)=0,"",VLOOKUP(UncLookup[[#This Row],[Item]],Items!$A$1:$F$43,2,FALSE))</f>
        <v/>
      </c>
      <c r="P1428" s="90" t="str">
        <f>IF(VLOOKUP(UncLookup[[#This Row],[Item]],Items!$A$1:$F$43,3,FALSE)=0,"",VLOOKUP(UncLookup[[#This Row],[Item]],Items!$A$1:$F$43,3,FALSE))</f>
        <v/>
      </c>
      <c r="Q1428" s="90" t="str">
        <f>IF(VLOOKUP(UncLookup[[#This Row],[Item]],Items!$A$1:$F$43,4,FALSE)=0,"",VLOOKUP(UncLookup[[#This Row],[Item]],Items!$A$1:$F$43,4,FALSE))</f>
        <v/>
      </c>
    </row>
    <row r="1429" spans="1:17" x14ac:dyDescent="0.25">
      <c r="A1429" s="76" t="s">
        <v>55</v>
      </c>
      <c r="B1429" s="76" t="s">
        <v>46</v>
      </c>
      <c r="C1429" s="76">
        <v>3.3000000000000002E-2</v>
      </c>
      <c r="D1429" s="76">
        <v>0.33001000000000003</v>
      </c>
      <c r="E1429" s="7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90" t="str">
        <f>IF(VLOOKUP(UncLookup[[#This Row],[Item]],Items!$A$1:$F$43,2,FALSE)=0,"",VLOOKUP(UncLookup[[#This Row],[Item]],Items!$A$1:$F$43,2,FALSE))</f>
        <v/>
      </c>
      <c r="P1429" s="90" t="str">
        <f>IF(VLOOKUP(UncLookup[[#This Row],[Item]],Items!$A$1:$F$43,3,FALSE)=0,"",VLOOKUP(UncLookup[[#This Row],[Item]],Items!$A$1:$F$43,3,FALSE))</f>
        <v/>
      </c>
      <c r="Q1429" s="90" t="str">
        <f>IF(VLOOKUP(UncLookup[[#This Row],[Item]],Items!$A$1:$F$43,4,FALSE)=0,"",VLOOKUP(UncLookup[[#This Row],[Item]],Items!$A$1:$F$43,4,FALSE))</f>
        <v/>
      </c>
    </row>
    <row r="1430" spans="1:17" x14ac:dyDescent="0.25">
      <c r="A1430" s="75" t="s">
        <v>55</v>
      </c>
      <c r="B1430" s="75" t="s">
        <v>46</v>
      </c>
      <c r="C1430" s="75">
        <v>3.3000000000000002E-2</v>
      </c>
      <c r="D1430" s="75">
        <v>0.33001000000000003</v>
      </c>
      <c r="E1430" s="75">
        <v>1.0000000000000001E-5</v>
      </c>
      <c r="F1430" s="75" t="s">
        <v>13</v>
      </c>
      <c r="G1430" s="75" t="s">
        <v>11</v>
      </c>
      <c r="H1430" s="75">
        <v>0</v>
      </c>
      <c r="I1430" s="75">
        <v>0</v>
      </c>
      <c r="J1430" s="75"/>
      <c r="K1430" s="75">
        <v>5.2853000000000003</v>
      </c>
      <c r="L1430" s="75">
        <v>109.48</v>
      </c>
      <c r="M1430" s="75">
        <v>5.266</v>
      </c>
      <c r="N1430" s="75">
        <v>109.51</v>
      </c>
      <c r="O1430" s="90" t="str">
        <f>IF(VLOOKUP(UncLookup[[#This Row],[Item]],Items!$A$1:$F$43,2,FALSE)=0,"",VLOOKUP(UncLookup[[#This Row],[Item]],Items!$A$1:$F$43,2,FALSE))</f>
        <v/>
      </c>
      <c r="P1430" s="90" t="str">
        <f>IF(VLOOKUP(UncLookup[[#This Row],[Item]],Items!$A$1:$F$43,3,FALSE)=0,"",VLOOKUP(UncLookup[[#This Row],[Item]],Items!$A$1:$F$43,3,FALSE))</f>
        <v/>
      </c>
      <c r="Q1430" s="90" t="str">
        <f>IF(VLOOKUP(UncLookup[[#This Row],[Item]],Items!$A$1:$F$43,4,FALSE)=0,"",VLOOKUP(UncLookup[[#This Row],[Item]],Items!$A$1:$F$43,4,FALSE))</f>
        <v/>
      </c>
    </row>
    <row r="1431" spans="1:17" x14ac:dyDescent="0.25">
      <c r="A1431" s="76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90" t="str">
        <f>IF(VLOOKUP(UncLookup[[#This Row],[Item]],Items!$A$1:$F$43,2,FALSE)=0,"",VLOOKUP(UncLookup[[#This Row],[Item]],Items!$A$1:$F$43,2,FALSE))</f>
        <v/>
      </c>
      <c r="P1431" s="90" t="str">
        <f>IF(VLOOKUP(UncLookup[[#This Row],[Item]],Items!$A$1:$F$43,3,FALSE)=0,"",VLOOKUP(UncLookup[[#This Row],[Item]],Items!$A$1:$F$43,3,FALSE))</f>
        <v/>
      </c>
      <c r="Q1431" s="90" t="str">
        <f>IF(VLOOKUP(UncLookup[[#This Row],[Item]],Items!$A$1:$F$43,4,FALSE)=0,"",VLOOKUP(UncLookup[[#This Row],[Item]],Items!$A$1:$F$43,4,FALSE))</f>
        <v/>
      </c>
    </row>
    <row r="1432" spans="1:17" x14ac:dyDescent="0.25">
      <c r="A1432" s="75" t="s">
        <v>55</v>
      </c>
      <c r="B1432" s="75" t="s">
        <v>46</v>
      </c>
      <c r="C1432" s="75">
        <v>3.3000000000000002E-2</v>
      </c>
      <c r="D1432" s="75">
        <v>0.33001000000000003</v>
      </c>
      <c r="E1432" s="75">
        <v>1E-3</v>
      </c>
      <c r="F1432" s="75" t="s">
        <v>13</v>
      </c>
      <c r="G1432" s="75" t="s">
        <v>11</v>
      </c>
      <c r="H1432" s="75">
        <v>0</v>
      </c>
      <c r="I1432" s="75">
        <v>0</v>
      </c>
      <c r="J1432" s="75"/>
      <c r="K1432" s="75">
        <v>579.89</v>
      </c>
      <c r="L1432" s="75">
        <v>4.7610000000000001</v>
      </c>
      <c r="M1432" s="75">
        <v>579.88</v>
      </c>
      <c r="N1432" s="75">
        <v>4.7411000000000003</v>
      </c>
      <c r="O1432" s="90" t="str">
        <f>IF(VLOOKUP(UncLookup[[#This Row],[Item]],Items!$A$1:$F$43,2,FALSE)=0,"",VLOOKUP(UncLookup[[#This Row],[Item]],Items!$A$1:$F$43,2,FALSE))</f>
        <v/>
      </c>
      <c r="P1432" s="90" t="str">
        <f>IF(VLOOKUP(UncLookup[[#This Row],[Item]],Items!$A$1:$F$43,3,FALSE)=0,"",VLOOKUP(UncLookup[[#This Row],[Item]],Items!$A$1:$F$43,3,FALSE))</f>
        <v/>
      </c>
      <c r="Q1432" s="90" t="str">
        <f>IF(VLOOKUP(UncLookup[[#This Row],[Item]],Items!$A$1:$F$43,4,FALSE)=0,"",VLOOKUP(UncLookup[[#This Row],[Item]],Items!$A$1:$F$43,4,FALSE))</f>
        <v/>
      </c>
    </row>
    <row r="1433" spans="1:17" x14ac:dyDescent="0.25">
      <c r="A1433" s="76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90" t="str">
        <f>IF(VLOOKUP(UncLookup[[#This Row],[Item]],Items!$A$1:$F$43,2,FALSE)=0,"",VLOOKUP(UncLookup[[#This Row],[Item]],Items!$A$1:$F$43,2,FALSE))</f>
        <v/>
      </c>
      <c r="P1433" s="90" t="str">
        <f>IF(VLOOKUP(UncLookup[[#This Row],[Item]],Items!$A$1:$F$43,3,FALSE)=0,"",VLOOKUP(UncLookup[[#This Row],[Item]],Items!$A$1:$F$43,3,FALSE))</f>
        <v/>
      </c>
      <c r="Q1433" s="90" t="str">
        <f>IF(VLOOKUP(UncLookup[[#This Row],[Item]],Items!$A$1:$F$43,4,FALSE)=0,"",VLOOKUP(UncLookup[[#This Row],[Item]],Items!$A$1:$F$43,4,FALSE))</f>
        <v/>
      </c>
    </row>
    <row r="1434" spans="1:17" x14ac:dyDescent="0.25">
      <c r="A1434" s="75" t="s">
        <v>55</v>
      </c>
      <c r="B1434" s="75" t="s">
        <v>46</v>
      </c>
      <c r="C1434" s="75">
        <v>0.33</v>
      </c>
      <c r="D1434" s="75">
        <v>3.0001000000000002</v>
      </c>
      <c r="E1434" s="78">
        <v>1.0000000000000001E-5</v>
      </c>
      <c r="F1434" s="75" t="s">
        <v>13</v>
      </c>
      <c r="G1434" s="75" t="s">
        <v>12</v>
      </c>
      <c r="H1434" s="75">
        <v>0</v>
      </c>
      <c r="I1434" s="75">
        <v>0</v>
      </c>
      <c r="J1434" s="75"/>
      <c r="K1434" s="75">
        <v>5.1999999999999998E-2</v>
      </c>
      <c r="L1434" s="75">
        <v>0.44</v>
      </c>
      <c r="M1434" s="75">
        <v>5.0999999999999997E-2</v>
      </c>
      <c r="N1434" s="75">
        <v>0.43873000000000001</v>
      </c>
      <c r="O1434" s="90" t="str">
        <f>IF(VLOOKUP(UncLookup[[#This Row],[Item]],Items!$A$1:$F$43,2,FALSE)=0,"",VLOOKUP(UncLookup[[#This Row],[Item]],Items!$A$1:$F$43,2,FALSE))</f>
        <v/>
      </c>
      <c r="P1434" s="90" t="str">
        <f>IF(VLOOKUP(UncLookup[[#This Row],[Item]],Items!$A$1:$F$43,3,FALSE)=0,"",VLOOKUP(UncLookup[[#This Row],[Item]],Items!$A$1:$F$43,3,FALSE))</f>
        <v/>
      </c>
      <c r="Q1434" s="90" t="str">
        <f>IF(VLOOKUP(UncLookup[[#This Row],[Item]],Items!$A$1:$F$43,4,FALSE)=0,"",VLOOKUP(UncLookup[[#This Row],[Item]],Items!$A$1:$F$43,4,FALSE))</f>
        <v/>
      </c>
    </row>
    <row r="1435" spans="1:17" x14ac:dyDescent="0.25">
      <c r="A1435" s="76" t="s">
        <v>55</v>
      </c>
      <c r="B1435" s="76" t="s">
        <v>46</v>
      </c>
      <c r="C1435" s="76">
        <v>0.33</v>
      </c>
      <c r="D1435" s="76">
        <v>3.0001000000000002</v>
      </c>
      <c r="E1435" s="76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90" t="str">
        <f>IF(VLOOKUP(UncLookup[[#This Row],[Item]],Items!$A$1:$F$43,2,FALSE)=0,"",VLOOKUP(UncLookup[[#This Row],[Item]],Items!$A$1:$F$43,2,FALSE))</f>
        <v/>
      </c>
      <c r="P1435" s="90" t="str">
        <f>IF(VLOOKUP(UncLookup[[#This Row],[Item]],Items!$A$1:$F$43,3,FALSE)=0,"",VLOOKUP(UncLookup[[#This Row],[Item]],Items!$A$1:$F$43,3,FALSE))</f>
        <v/>
      </c>
      <c r="Q1435" s="90" t="str">
        <f>IF(VLOOKUP(UncLookup[[#This Row],[Item]],Items!$A$1:$F$43,4,FALSE)=0,"",VLOOKUP(UncLookup[[#This Row],[Item]],Items!$A$1:$F$43,4,FALSE))</f>
        <v/>
      </c>
    </row>
    <row r="1436" spans="1:17" x14ac:dyDescent="0.25">
      <c r="A1436" s="75" t="s">
        <v>55</v>
      </c>
      <c r="B1436" s="75" t="s">
        <v>46</v>
      </c>
      <c r="C1436" s="75">
        <v>0.33</v>
      </c>
      <c r="D1436" s="75">
        <v>3.0001000000000002</v>
      </c>
      <c r="E1436" s="75">
        <v>1E-3</v>
      </c>
      <c r="F1436" s="75" t="s">
        <v>13</v>
      </c>
      <c r="G1436" s="75" t="s">
        <v>12</v>
      </c>
      <c r="H1436" s="75">
        <v>0</v>
      </c>
      <c r="I1436" s="75">
        <v>0</v>
      </c>
      <c r="J1436" s="75"/>
      <c r="K1436" s="75">
        <v>0.50421000000000005</v>
      </c>
      <c r="L1436" s="75">
        <v>0.32729000000000003</v>
      </c>
      <c r="M1436" s="75">
        <v>0.50424000000000002</v>
      </c>
      <c r="N1436" s="75">
        <v>0.32695999999999997</v>
      </c>
      <c r="O1436" s="90" t="str">
        <f>IF(VLOOKUP(UncLookup[[#This Row],[Item]],Items!$A$1:$F$43,2,FALSE)=0,"",VLOOKUP(UncLookup[[#This Row],[Item]],Items!$A$1:$F$43,2,FALSE))</f>
        <v/>
      </c>
      <c r="P1436" s="90" t="str">
        <f>IF(VLOOKUP(UncLookup[[#This Row],[Item]],Items!$A$1:$F$43,3,FALSE)=0,"",VLOOKUP(UncLookup[[#This Row],[Item]],Items!$A$1:$F$43,3,FALSE))</f>
        <v/>
      </c>
      <c r="Q1436" s="90" t="str">
        <f>IF(VLOOKUP(UncLookup[[#This Row],[Item]],Items!$A$1:$F$43,4,FALSE)=0,"",VLOOKUP(UncLookup[[#This Row],[Item]],Items!$A$1:$F$43,4,FALSE))</f>
        <v/>
      </c>
    </row>
    <row r="1437" spans="1:17" x14ac:dyDescent="0.25">
      <c r="A1437" s="76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90" t="str">
        <f>IF(VLOOKUP(UncLookup[[#This Row],[Item]],Items!$A$1:$F$43,2,FALSE)=0,"",VLOOKUP(UncLookup[[#This Row],[Item]],Items!$A$1:$F$43,2,FALSE))</f>
        <v/>
      </c>
      <c r="P1437" s="90" t="str">
        <f>IF(VLOOKUP(UncLookup[[#This Row],[Item]],Items!$A$1:$F$43,3,FALSE)=0,"",VLOOKUP(UncLookup[[#This Row],[Item]],Items!$A$1:$F$43,3,FALSE))</f>
        <v/>
      </c>
      <c r="Q1437" s="90" t="str">
        <f>IF(VLOOKUP(UncLookup[[#This Row],[Item]],Items!$A$1:$F$43,4,FALSE)=0,"",VLOOKUP(UncLookup[[#This Row],[Item]],Items!$A$1:$F$43,4,FALSE))</f>
        <v/>
      </c>
    </row>
    <row r="1438" spans="1:17" x14ac:dyDescent="0.25">
      <c r="A1438" s="75" t="s">
        <v>55</v>
      </c>
      <c r="B1438" s="75" t="s">
        <v>46</v>
      </c>
      <c r="C1438" s="75">
        <v>0.33</v>
      </c>
      <c r="D1438" s="75">
        <v>3.0001000000000002</v>
      </c>
      <c r="E1438" s="75">
        <v>0.1</v>
      </c>
      <c r="F1438" s="75" t="s">
        <v>13</v>
      </c>
      <c r="G1438" s="75" t="s">
        <v>12</v>
      </c>
      <c r="H1438" s="75">
        <v>0</v>
      </c>
      <c r="I1438" s="75">
        <v>0</v>
      </c>
      <c r="J1438" s="75"/>
      <c r="K1438" s="75">
        <v>57.997999999999998</v>
      </c>
      <c r="L1438" s="75">
        <v>6.0523E-3</v>
      </c>
      <c r="M1438" s="75">
        <v>57.997999999999998</v>
      </c>
      <c r="N1438" s="75">
        <v>5.9106000000000002E-3</v>
      </c>
      <c r="O1438" s="90" t="str">
        <f>IF(VLOOKUP(UncLookup[[#This Row],[Item]],Items!$A$1:$F$43,2,FALSE)=0,"",VLOOKUP(UncLookup[[#This Row],[Item]],Items!$A$1:$F$43,2,FALSE))</f>
        <v/>
      </c>
      <c r="P1438" s="90" t="str">
        <f>IF(VLOOKUP(UncLookup[[#This Row],[Item]],Items!$A$1:$F$43,3,FALSE)=0,"",VLOOKUP(UncLookup[[#This Row],[Item]],Items!$A$1:$F$43,3,FALSE))</f>
        <v/>
      </c>
      <c r="Q1438" s="90" t="str">
        <f>IF(VLOOKUP(UncLookup[[#This Row],[Item]],Items!$A$1:$F$43,4,FALSE)=0,"",VLOOKUP(UncLookup[[#This Row],[Item]],Items!$A$1:$F$43,4,FALSE))</f>
        <v/>
      </c>
    </row>
    <row r="1439" spans="1:17" x14ac:dyDescent="0.25">
      <c r="A1439" s="76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90" t="str">
        <f>IF(VLOOKUP(UncLookup[[#This Row],[Item]],Items!$A$1:$F$43,2,FALSE)=0,"",VLOOKUP(UncLookup[[#This Row],[Item]],Items!$A$1:$F$43,2,FALSE))</f>
        <v/>
      </c>
      <c r="P1439" s="90" t="str">
        <f>IF(VLOOKUP(UncLookup[[#This Row],[Item]],Items!$A$1:$F$43,3,FALSE)=0,"",VLOOKUP(UncLookup[[#This Row],[Item]],Items!$A$1:$F$43,3,FALSE))</f>
        <v/>
      </c>
      <c r="Q1439" s="90" t="str">
        <f>IF(VLOOKUP(UncLookup[[#This Row],[Item]],Items!$A$1:$F$43,4,FALSE)=0,"",VLOOKUP(UncLookup[[#This Row],[Item]],Items!$A$1:$F$43,4,FALSE))</f>
        <v/>
      </c>
    </row>
    <row r="1440" spans="1:17" x14ac:dyDescent="0.25">
      <c r="A1440" s="75" t="s">
        <v>55</v>
      </c>
      <c r="B1440" s="75" t="s">
        <v>46</v>
      </c>
      <c r="C1440" s="75">
        <v>3</v>
      </c>
      <c r="D1440" s="75">
        <v>11.000999999999999</v>
      </c>
      <c r="E1440" s="75">
        <v>1E-3</v>
      </c>
      <c r="F1440" s="75" t="s">
        <v>13</v>
      </c>
      <c r="G1440" s="75" t="s">
        <v>12</v>
      </c>
      <c r="H1440" s="75">
        <v>0</v>
      </c>
      <c r="I1440" s="75">
        <v>0</v>
      </c>
      <c r="J1440" s="75"/>
      <c r="K1440" s="75">
        <v>5.5271000000000001E-2</v>
      </c>
      <c r="L1440" s="75">
        <v>0.90973000000000004</v>
      </c>
      <c r="M1440" s="75">
        <v>5.2344000000000002E-2</v>
      </c>
      <c r="N1440" s="75">
        <v>0.90973999999999999</v>
      </c>
      <c r="O1440" s="90" t="str">
        <f>IF(VLOOKUP(UncLookup[[#This Row],[Item]],Items!$A$1:$F$43,2,FALSE)=0,"",VLOOKUP(UncLookup[[#This Row],[Item]],Items!$A$1:$F$43,2,FALSE))</f>
        <v/>
      </c>
      <c r="P1440" s="90" t="str">
        <f>IF(VLOOKUP(UncLookup[[#This Row],[Item]],Items!$A$1:$F$43,3,FALSE)=0,"",VLOOKUP(UncLookup[[#This Row],[Item]],Items!$A$1:$F$43,3,FALSE))</f>
        <v/>
      </c>
      <c r="Q1440" s="90" t="str">
        <f>IF(VLOOKUP(UncLookup[[#This Row],[Item]],Items!$A$1:$F$43,4,FALSE)=0,"",VLOOKUP(UncLookup[[#This Row],[Item]],Items!$A$1:$F$43,4,FALSE))</f>
        <v/>
      </c>
    </row>
    <row r="1441" spans="1:17" x14ac:dyDescent="0.25">
      <c r="A1441" s="76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90" t="str">
        <f>IF(VLOOKUP(UncLookup[[#This Row],[Item]],Items!$A$1:$F$43,2,FALSE)=0,"",VLOOKUP(UncLookup[[#This Row],[Item]],Items!$A$1:$F$43,2,FALSE))</f>
        <v/>
      </c>
      <c r="P1441" s="90" t="str">
        <f>IF(VLOOKUP(UncLookup[[#This Row],[Item]],Items!$A$1:$F$43,3,FALSE)=0,"",VLOOKUP(UncLookup[[#This Row],[Item]],Items!$A$1:$F$43,3,FALSE))</f>
        <v/>
      </c>
      <c r="Q1441" s="90" t="str">
        <f>IF(VLOOKUP(UncLookup[[#This Row],[Item]],Items!$A$1:$F$43,4,FALSE)=0,"",VLOOKUP(UncLookup[[#This Row],[Item]],Items!$A$1:$F$43,4,FALSE))</f>
        <v/>
      </c>
    </row>
    <row r="1442" spans="1:17" x14ac:dyDescent="0.25">
      <c r="A1442" s="75" t="s">
        <v>55</v>
      </c>
      <c r="B1442" s="75" t="s">
        <v>46</v>
      </c>
      <c r="C1442" s="75">
        <v>3</v>
      </c>
      <c r="D1442" s="75">
        <v>11.000999999999999</v>
      </c>
      <c r="E1442" s="75">
        <v>0.1</v>
      </c>
      <c r="F1442" s="75" t="s">
        <v>13</v>
      </c>
      <c r="G1442" s="75" t="s">
        <v>12</v>
      </c>
      <c r="H1442" s="75">
        <v>0</v>
      </c>
      <c r="I1442" s="75">
        <v>0</v>
      </c>
      <c r="J1442" s="75"/>
      <c r="K1442" s="75">
        <v>57.764000000000003</v>
      </c>
      <c r="L1442" s="75">
        <v>0.10059999999999999</v>
      </c>
      <c r="M1442" s="75">
        <v>57.764000000000003</v>
      </c>
      <c r="N1442" s="75">
        <v>9.9908999999999998E-2</v>
      </c>
      <c r="O1442" s="90" t="str">
        <f>IF(VLOOKUP(UncLookup[[#This Row],[Item]],Items!$A$1:$F$43,2,FALSE)=0,"",VLOOKUP(UncLookup[[#This Row],[Item]],Items!$A$1:$F$43,2,FALSE))</f>
        <v/>
      </c>
      <c r="P1442" s="90" t="str">
        <f>IF(VLOOKUP(UncLookup[[#This Row],[Item]],Items!$A$1:$F$43,3,FALSE)=0,"",VLOOKUP(UncLookup[[#This Row],[Item]],Items!$A$1:$F$43,3,FALSE))</f>
        <v/>
      </c>
      <c r="Q1442" s="90" t="str">
        <f>IF(VLOOKUP(UncLookup[[#This Row],[Item]],Items!$A$1:$F$43,4,FALSE)=0,"",VLOOKUP(UncLookup[[#This Row],[Item]],Items!$A$1:$F$43,4,FALSE))</f>
        <v/>
      </c>
    </row>
    <row r="1443" spans="1:17" x14ac:dyDescent="0.25">
      <c r="A1443" s="76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90" t="str">
        <f>IF(VLOOKUP(UncLookup[[#This Row],[Item]],Items!$A$1:$F$43,2,FALSE)=0,"",VLOOKUP(UncLookup[[#This Row],[Item]],Items!$A$1:$F$43,2,FALSE))</f>
        <v/>
      </c>
      <c r="P1443" s="90" t="str">
        <f>IF(VLOOKUP(UncLookup[[#This Row],[Item]],Items!$A$1:$F$43,3,FALSE)=0,"",VLOOKUP(UncLookup[[#This Row],[Item]],Items!$A$1:$F$43,3,FALSE))</f>
        <v/>
      </c>
      <c r="Q1443" s="90" t="str">
        <f>IF(VLOOKUP(UncLookup[[#This Row],[Item]],Items!$A$1:$F$43,4,FALSE)=0,"",VLOOKUP(UncLookup[[#This Row],[Item]],Items!$A$1:$F$43,4,FALSE))</f>
        <v/>
      </c>
    </row>
    <row r="1444" spans="1:17" x14ac:dyDescent="0.25">
      <c r="A1444" s="75" t="s">
        <v>55</v>
      </c>
      <c r="B1444" s="75" t="s">
        <v>46</v>
      </c>
      <c r="C1444" s="75">
        <v>11</v>
      </c>
      <c r="D1444" s="75">
        <v>20.5</v>
      </c>
      <c r="E1444" s="75">
        <v>1E-3</v>
      </c>
      <c r="F1444" s="75" t="s">
        <v>13</v>
      </c>
      <c r="G1444" s="75" t="s">
        <v>12</v>
      </c>
      <c r="H1444" s="75">
        <v>0</v>
      </c>
      <c r="I1444" s="75">
        <v>0</v>
      </c>
      <c r="J1444" s="75"/>
      <c r="K1444" s="75">
        <v>2.7</v>
      </c>
      <c r="L1444" s="75">
        <v>1.1006</v>
      </c>
      <c r="M1444" s="75">
        <v>2.6625999999999999</v>
      </c>
      <c r="N1444" s="75">
        <v>1.1004</v>
      </c>
      <c r="O1444" s="90" t="str">
        <f>IF(VLOOKUP(UncLookup[[#This Row],[Item]],Items!$A$1:$F$43,2,FALSE)=0,"",VLOOKUP(UncLookup[[#This Row],[Item]],Items!$A$1:$F$43,2,FALSE))</f>
        <v/>
      </c>
      <c r="P1444" s="90" t="str">
        <f>IF(VLOOKUP(UncLookup[[#This Row],[Item]],Items!$A$1:$F$43,3,FALSE)=0,"",VLOOKUP(UncLookup[[#This Row],[Item]],Items!$A$1:$F$43,3,FALSE))</f>
        <v/>
      </c>
      <c r="Q1444" s="90" t="str">
        <f>IF(VLOOKUP(UncLookup[[#This Row],[Item]],Items!$A$1:$F$43,4,FALSE)=0,"",VLOOKUP(UncLookup[[#This Row],[Item]],Items!$A$1:$F$43,4,FALSE))</f>
        <v/>
      </c>
    </row>
    <row r="1445" spans="1:17" x14ac:dyDescent="0.25">
      <c r="A1445" s="76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90" t="str">
        <f>IF(VLOOKUP(UncLookup[[#This Row],[Item]],Items!$A$1:$F$43,2,FALSE)=0,"",VLOOKUP(UncLookup[[#This Row],[Item]],Items!$A$1:$F$43,2,FALSE))</f>
        <v/>
      </c>
      <c r="P1445" s="90" t="str">
        <f>IF(VLOOKUP(UncLookup[[#This Row],[Item]],Items!$A$1:$F$43,3,FALSE)=0,"",VLOOKUP(UncLookup[[#This Row],[Item]],Items!$A$1:$F$43,3,FALSE))</f>
        <v/>
      </c>
      <c r="Q1445" s="90" t="str">
        <f>IF(VLOOKUP(UncLookup[[#This Row],[Item]],Items!$A$1:$F$43,4,FALSE)=0,"",VLOOKUP(UncLookup[[#This Row],[Item]],Items!$A$1:$F$43,4,FALSE))</f>
        <v/>
      </c>
    </row>
    <row r="1446" spans="1:17" x14ac:dyDescent="0.25">
      <c r="A1446" s="75" t="s">
        <v>55</v>
      </c>
      <c r="B1446" s="75" t="s">
        <v>46</v>
      </c>
      <c r="C1446" s="75">
        <v>11</v>
      </c>
      <c r="D1446" s="75">
        <v>20.5</v>
      </c>
      <c r="E1446" s="75">
        <v>0.1</v>
      </c>
      <c r="F1446" s="75" t="s">
        <v>13</v>
      </c>
      <c r="G1446" s="75" t="s">
        <v>12</v>
      </c>
      <c r="H1446" s="75">
        <v>0</v>
      </c>
      <c r="I1446" s="75">
        <v>0</v>
      </c>
      <c r="J1446" s="75"/>
      <c r="K1446" s="75">
        <v>55.899000000000001</v>
      </c>
      <c r="L1446" s="75">
        <v>0.35962</v>
      </c>
      <c r="M1446" s="75">
        <v>55.915999999999997</v>
      </c>
      <c r="N1446" s="75">
        <v>0.35746</v>
      </c>
      <c r="O1446" s="90" t="str">
        <f>IF(VLOOKUP(UncLookup[[#This Row],[Item]],Items!$A$1:$F$43,2,FALSE)=0,"",VLOOKUP(UncLookup[[#This Row],[Item]],Items!$A$1:$F$43,2,FALSE))</f>
        <v/>
      </c>
      <c r="P1446" s="90" t="str">
        <f>IF(VLOOKUP(UncLookup[[#This Row],[Item]],Items!$A$1:$F$43,3,FALSE)=0,"",VLOOKUP(UncLookup[[#This Row],[Item]],Items!$A$1:$F$43,3,FALSE))</f>
        <v/>
      </c>
      <c r="Q1446" s="90" t="str">
        <f>IF(VLOOKUP(UncLookup[[#This Row],[Item]],Items!$A$1:$F$43,4,FALSE)=0,"",VLOOKUP(UncLookup[[#This Row],[Item]],Items!$A$1:$F$43,4,FALSE))</f>
        <v/>
      </c>
    </row>
    <row r="1447" spans="1:17" x14ac:dyDescent="0.25">
      <c r="A1447" s="76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90" t="str">
        <f>IF(VLOOKUP(UncLookup[[#This Row],[Item]],Items!$A$1:$F$43,2,FALSE)=0,"",VLOOKUP(UncLookup[[#This Row],[Item]],Items!$A$1:$F$43,2,FALSE))</f>
        <v/>
      </c>
      <c r="P1447" s="90" t="str">
        <f>IF(VLOOKUP(UncLookup[[#This Row],[Item]],Items!$A$1:$F$43,3,FALSE)=0,"",VLOOKUP(UncLookup[[#This Row],[Item]],Items!$A$1:$F$43,3,FALSE))</f>
        <v/>
      </c>
      <c r="Q1447" s="90" t="str">
        <f>IF(VLOOKUP(UncLookup[[#This Row],[Item]],Items!$A$1:$F$43,4,FALSE)=0,"",VLOOKUP(UncLookup[[#This Row],[Item]],Items!$A$1:$F$43,4,FALSE))</f>
        <v/>
      </c>
    </row>
    <row r="1448" spans="1:17" x14ac:dyDescent="0.25">
      <c r="A1448" s="75" t="s">
        <v>55</v>
      </c>
      <c r="B1448" s="75" t="s">
        <v>46</v>
      </c>
      <c r="C1448" s="75">
        <v>20.5</v>
      </c>
      <c r="D1448" s="75">
        <v>20.6</v>
      </c>
      <c r="E1448" s="75">
        <v>1E-3</v>
      </c>
      <c r="F1448" s="75" t="s">
        <v>13</v>
      </c>
      <c r="G1448" s="75" t="s">
        <v>12</v>
      </c>
      <c r="H1448" s="75">
        <v>0</v>
      </c>
      <c r="I1448" s="75">
        <v>0</v>
      </c>
      <c r="J1448" s="75"/>
      <c r="K1448" s="75">
        <v>2.7</v>
      </c>
      <c r="L1448" s="75">
        <v>1.1006</v>
      </c>
      <c r="M1448" s="75">
        <v>2.6625999999999999</v>
      </c>
      <c r="N1448" s="75">
        <v>1.1004</v>
      </c>
      <c r="O1448" s="90" t="str">
        <f>IF(VLOOKUP(UncLookup[[#This Row],[Item]],Items!$A$1:$F$43,2,FALSE)=0,"",VLOOKUP(UncLookup[[#This Row],[Item]],Items!$A$1:$F$43,2,FALSE))</f>
        <v/>
      </c>
      <c r="P1448" s="90" t="str">
        <f>IF(VLOOKUP(UncLookup[[#This Row],[Item]],Items!$A$1:$F$43,3,FALSE)=0,"",VLOOKUP(UncLookup[[#This Row],[Item]],Items!$A$1:$F$43,3,FALSE))</f>
        <v/>
      </c>
      <c r="Q1448" s="90" t="str">
        <f>IF(VLOOKUP(UncLookup[[#This Row],[Item]],Items!$A$1:$F$43,4,FALSE)=0,"",VLOOKUP(UncLookup[[#This Row],[Item]],Items!$A$1:$F$43,4,FALSE))</f>
        <v/>
      </c>
    </row>
    <row r="1449" spans="1:17" x14ac:dyDescent="0.25">
      <c r="A1449" s="76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90" t="str">
        <f>IF(VLOOKUP(UncLookup[[#This Row],[Item]],Items!$A$1:$F$43,2,FALSE)=0,"",VLOOKUP(UncLookup[[#This Row],[Item]],Items!$A$1:$F$43,2,FALSE))</f>
        <v/>
      </c>
      <c r="P1449" s="90" t="str">
        <f>IF(VLOOKUP(UncLookup[[#This Row],[Item]],Items!$A$1:$F$43,3,FALSE)=0,"",VLOOKUP(UncLookup[[#This Row],[Item]],Items!$A$1:$F$43,3,FALSE))</f>
        <v/>
      </c>
      <c r="Q1449" s="90" t="str">
        <f>IF(VLOOKUP(UncLookup[[#This Row],[Item]],Items!$A$1:$F$43,4,FALSE)=0,"",VLOOKUP(UncLookup[[#This Row],[Item]],Items!$A$1:$F$43,4,FALSE))</f>
        <v/>
      </c>
    </row>
    <row r="1450" spans="1:17" x14ac:dyDescent="0.25">
      <c r="A1450" s="75" t="s">
        <v>55</v>
      </c>
      <c r="B1450" s="75" t="s">
        <v>46</v>
      </c>
      <c r="C1450" s="75">
        <v>20.5</v>
      </c>
      <c r="D1450" s="75">
        <v>20.6</v>
      </c>
      <c r="E1450" s="75">
        <v>0.1</v>
      </c>
      <c r="F1450" s="75" t="s">
        <v>13</v>
      </c>
      <c r="G1450" s="75" t="s">
        <v>12</v>
      </c>
      <c r="H1450" s="75">
        <v>0</v>
      </c>
      <c r="I1450" s="75">
        <v>0</v>
      </c>
      <c r="J1450" s="75"/>
      <c r="K1450" s="75">
        <v>55.899000000000001</v>
      </c>
      <c r="L1450" s="75">
        <v>0.35962</v>
      </c>
      <c r="M1450" s="75">
        <v>55.915999999999997</v>
      </c>
      <c r="N1450" s="75">
        <v>0.35746</v>
      </c>
      <c r="O1450" s="90" t="str">
        <f>IF(VLOOKUP(UncLookup[[#This Row],[Item]],Items!$A$1:$F$43,2,FALSE)=0,"",VLOOKUP(UncLookup[[#This Row],[Item]],Items!$A$1:$F$43,2,FALSE))</f>
        <v/>
      </c>
      <c r="P1450" s="90" t="str">
        <f>IF(VLOOKUP(UncLookup[[#This Row],[Item]],Items!$A$1:$F$43,3,FALSE)=0,"",VLOOKUP(UncLookup[[#This Row],[Item]],Items!$A$1:$F$43,3,FALSE))</f>
        <v/>
      </c>
      <c r="Q1450" s="90" t="str">
        <f>IF(VLOOKUP(UncLookup[[#This Row],[Item]],Items!$A$1:$F$43,4,FALSE)=0,"",VLOOKUP(UncLookup[[#This Row],[Item]],Items!$A$1:$F$43,4,FALSE))</f>
        <v/>
      </c>
    </row>
    <row r="1451" spans="1:17" x14ac:dyDescent="0.25">
      <c r="A1451" s="76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90" t="str">
        <f>IF(VLOOKUP(UncLookup[[#This Row],[Item]],Items!$A$1:$F$43,2,FALSE)=0,"",VLOOKUP(UncLookup[[#This Row],[Item]],Items!$A$1:$F$43,2,FALSE))</f>
        <v/>
      </c>
      <c r="P1451" s="90" t="str">
        <f>IF(VLOOKUP(UncLookup[[#This Row],[Item]],Items!$A$1:$F$43,3,FALSE)=0,"",VLOOKUP(UncLookup[[#This Row],[Item]],Items!$A$1:$F$43,3,FALSE))</f>
        <v/>
      </c>
      <c r="Q1451" s="90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5" t="s">
        <v>55</v>
      </c>
      <c r="B1452" s="75" t="s">
        <v>97</v>
      </c>
      <c r="C1452" s="75">
        <v>-250</v>
      </c>
      <c r="D1452" s="75">
        <v>-149.9</v>
      </c>
      <c r="E1452" s="75">
        <v>1</v>
      </c>
      <c r="F1452" s="75" t="s">
        <v>23</v>
      </c>
      <c r="G1452" s="75" t="s">
        <v>23</v>
      </c>
      <c r="H1452" s="75">
        <v>0</v>
      </c>
      <c r="I1452" s="75">
        <v>0</v>
      </c>
      <c r="J1452" s="75"/>
      <c r="K1452" s="75">
        <v>0.80890141400000004</v>
      </c>
      <c r="L1452" s="75">
        <v>0</v>
      </c>
      <c r="M1452" s="75">
        <v>0.79569649899999995</v>
      </c>
      <c r="N1452" s="75">
        <v>0</v>
      </c>
      <c r="O1452" s="90" t="str">
        <f>IF(VLOOKUP(UncLookup[[#This Row],[Item]],Items!$A$1:$F$43,2,FALSE)=0,"",VLOOKUP(UncLookup[[#This Row],[Item]],Items!$A$1:$F$43,2,FALSE))</f>
        <v/>
      </c>
      <c r="P1452" s="90" t="str">
        <f>IF(VLOOKUP(UncLookup[[#This Row],[Item]],Items!$A$1:$F$43,3,FALSE)=0,"",VLOOKUP(UncLookup[[#This Row],[Item]],Items!$A$1:$F$43,3,FALSE))</f>
        <v/>
      </c>
      <c r="Q1452" s="90" t="str">
        <f>IF(VLOOKUP(UncLookup[[#This Row],[Item]],Items!$A$1:$F$43,4,FALSE)=0,"",VLOOKUP(UncLookup[[#This Row],[Item]],Items!$A$1:$F$43,4,FALSE))</f>
        <v>T</v>
      </c>
    </row>
    <row r="1453" spans="1:17" x14ac:dyDescent="0.25">
      <c r="A1453" s="76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90" t="str">
        <f>IF(VLOOKUP(UncLookup[[#This Row],[Item]],Items!$A$1:$F$43,2,FALSE)=0,"",VLOOKUP(UncLookup[[#This Row],[Item]],Items!$A$1:$F$43,2,FALSE))</f>
        <v/>
      </c>
      <c r="P1453" s="90" t="str">
        <f>IF(VLOOKUP(UncLookup[[#This Row],[Item]],Items!$A$1:$F$43,3,FALSE)=0,"",VLOOKUP(UncLookup[[#This Row],[Item]],Items!$A$1:$F$43,3,FALSE))</f>
        <v/>
      </c>
      <c r="Q1453" s="90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5" t="s">
        <v>55</v>
      </c>
      <c r="B1454" s="75" t="s">
        <v>97</v>
      </c>
      <c r="C1454" s="75">
        <v>-150</v>
      </c>
      <c r="D1454" s="75">
        <v>0.1</v>
      </c>
      <c r="E1454" s="75">
        <v>1</v>
      </c>
      <c r="F1454" s="75" t="s">
        <v>23</v>
      </c>
      <c r="G1454" s="75" t="s">
        <v>23</v>
      </c>
      <c r="H1454" s="75">
        <v>0</v>
      </c>
      <c r="I1454" s="75">
        <v>0</v>
      </c>
      <c r="J1454" s="75"/>
      <c r="K1454" s="75">
        <v>0.65502346499999997</v>
      </c>
      <c r="L1454" s="75">
        <v>0</v>
      </c>
      <c r="M1454" s="75">
        <v>0.64148702499999999</v>
      </c>
      <c r="N1454" s="75">
        <v>0</v>
      </c>
      <c r="O1454" s="90" t="str">
        <f>IF(VLOOKUP(UncLookup[[#This Row],[Item]],Items!$A$1:$F$43,2,FALSE)=0,"",VLOOKUP(UncLookup[[#This Row],[Item]],Items!$A$1:$F$43,2,FALSE))</f>
        <v/>
      </c>
      <c r="P1454" s="90" t="str">
        <f>IF(VLOOKUP(UncLookup[[#This Row],[Item]],Items!$A$1:$F$43,3,FALSE)=0,"",VLOOKUP(UncLookup[[#This Row],[Item]],Items!$A$1:$F$43,3,FALSE))</f>
        <v/>
      </c>
      <c r="Q1454" s="90" t="str">
        <f>IF(VLOOKUP(UncLookup[[#This Row],[Item]],Items!$A$1:$F$43,4,FALSE)=0,"",VLOOKUP(UncLookup[[#This Row],[Item]],Items!$A$1:$F$43,4,FALSE))</f>
        <v>T</v>
      </c>
    </row>
    <row r="1455" spans="1:17" x14ac:dyDescent="0.25">
      <c r="A1455" s="76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90" t="str">
        <f>IF(VLOOKUP(UncLookup[[#This Row],[Item]],Items!$A$1:$F$43,2,FALSE)=0,"",VLOOKUP(UncLookup[[#This Row],[Item]],Items!$A$1:$F$43,2,FALSE))</f>
        <v/>
      </c>
      <c r="P1455" s="90" t="str">
        <f>IF(VLOOKUP(UncLookup[[#This Row],[Item]],Items!$A$1:$F$43,3,FALSE)=0,"",VLOOKUP(UncLookup[[#This Row],[Item]],Items!$A$1:$F$43,3,FALSE))</f>
        <v/>
      </c>
      <c r="Q1455" s="90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5" t="s">
        <v>55</v>
      </c>
      <c r="B1456" s="75" t="s">
        <v>97</v>
      </c>
      <c r="C1456" s="75">
        <v>0</v>
      </c>
      <c r="D1456" s="75">
        <v>120.1</v>
      </c>
      <c r="E1456" s="75">
        <v>1</v>
      </c>
      <c r="F1456" s="75" t="s">
        <v>23</v>
      </c>
      <c r="G1456" s="75" t="s">
        <v>23</v>
      </c>
      <c r="H1456" s="75">
        <v>0</v>
      </c>
      <c r="I1456" s="75">
        <v>0</v>
      </c>
      <c r="J1456" s="75"/>
      <c r="K1456" s="75">
        <v>0.61187724499999996</v>
      </c>
      <c r="L1456" s="75">
        <v>0</v>
      </c>
      <c r="M1456" s="75">
        <v>0.60713677099999996</v>
      </c>
      <c r="N1456" s="75">
        <v>0</v>
      </c>
      <c r="O1456" s="90" t="str">
        <f>IF(VLOOKUP(UncLookup[[#This Row],[Item]],Items!$A$1:$F$43,2,FALSE)=0,"",VLOOKUP(UncLookup[[#This Row],[Item]],Items!$A$1:$F$43,2,FALSE))</f>
        <v/>
      </c>
      <c r="P1456" s="90" t="str">
        <f>IF(VLOOKUP(UncLookup[[#This Row],[Item]],Items!$A$1:$F$43,3,FALSE)=0,"",VLOOKUP(UncLookup[[#This Row],[Item]],Items!$A$1:$F$43,3,FALSE))</f>
        <v/>
      </c>
      <c r="Q1456" s="90" t="str">
        <f>IF(VLOOKUP(UncLookup[[#This Row],[Item]],Items!$A$1:$F$43,4,FALSE)=0,"",VLOOKUP(UncLookup[[#This Row],[Item]],Items!$A$1:$F$43,4,FALSE))</f>
        <v>T</v>
      </c>
    </row>
    <row r="1457" spans="1:17" x14ac:dyDescent="0.25">
      <c r="A1457" s="76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90" t="str">
        <f>IF(VLOOKUP(UncLookup[[#This Row],[Item]],Items!$A$1:$F$43,2,FALSE)=0,"",VLOOKUP(UncLookup[[#This Row],[Item]],Items!$A$1:$F$43,2,FALSE))</f>
        <v/>
      </c>
      <c r="P1457" s="90" t="str">
        <f>IF(VLOOKUP(UncLookup[[#This Row],[Item]],Items!$A$1:$F$43,3,FALSE)=0,"",VLOOKUP(UncLookup[[#This Row],[Item]],Items!$A$1:$F$43,3,FALSE))</f>
        <v/>
      </c>
      <c r="Q1457" s="90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5" t="s">
        <v>55</v>
      </c>
      <c r="B1458" s="75" t="s">
        <v>97</v>
      </c>
      <c r="C1458" s="75">
        <v>120</v>
      </c>
      <c r="D1458" s="75">
        <v>400</v>
      </c>
      <c r="E1458" s="75">
        <v>1</v>
      </c>
      <c r="F1458" s="75" t="s">
        <v>23</v>
      </c>
      <c r="G1458" s="75" t="s">
        <v>23</v>
      </c>
      <c r="H1458" s="75">
        <v>0</v>
      </c>
      <c r="I1458" s="75">
        <v>0</v>
      </c>
      <c r="J1458" s="75"/>
      <c r="K1458" s="75">
        <v>0.60527551300000004</v>
      </c>
      <c r="L1458" s="75">
        <v>0</v>
      </c>
      <c r="M1458" s="75">
        <v>0.600482925</v>
      </c>
      <c r="N1458" s="75">
        <v>0</v>
      </c>
      <c r="O1458" s="90" t="str">
        <f>IF(VLOOKUP(UncLookup[[#This Row],[Item]],Items!$A$1:$F$43,2,FALSE)=0,"",VLOOKUP(UncLookup[[#This Row],[Item]],Items!$A$1:$F$43,2,FALSE))</f>
        <v/>
      </c>
      <c r="P1458" s="90" t="str">
        <f>IF(VLOOKUP(UncLookup[[#This Row],[Item]],Items!$A$1:$F$43,3,FALSE)=0,"",VLOOKUP(UncLookup[[#This Row],[Item]],Items!$A$1:$F$43,3,FALSE))</f>
        <v/>
      </c>
      <c r="Q1458" s="90" t="str">
        <f>IF(VLOOKUP(UncLookup[[#This Row],[Item]],Items!$A$1:$F$43,4,FALSE)=0,"",VLOOKUP(UncLookup[[#This Row],[Item]],Items!$A$1:$F$43,4,FALSE))</f>
        <v>T</v>
      </c>
    </row>
    <row r="1459" spans="1:17" x14ac:dyDescent="0.25">
      <c r="A1459" s="76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90" t="str">
        <f>IF(VLOOKUP(UncLookup[[#This Row],[Item]],Items!$A$1:$F$43,2,FALSE)=0,"",VLOOKUP(UncLookup[[#This Row],[Item]],Items!$A$1:$F$43,2,FALSE))</f>
        <v/>
      </c>
      <c r="P1459" s="90" t="str">
        <f>IF(VLOOKUP(UncLookup[[#This Row],[Item]],Items!$A$1:$F$43,3,FALSE)=0,"",VLOOKUP(UncLookup[[#This Row],[Item]],Items!$A$1:$F$43,3,FALSE))</f>
        <v/>
      </c>
      <c r="Q1459" s="90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5" t="s">
        <v>55</v>
      </c>
      <c r="B1460" s="75" t="s">
        <v>97</v>
      </c>
      <c r="C1460" s="75">
        <v>400</v>
      </c>
      <c r="D1460" s="75">
        <v>400.1</v>
      </c>
      <c r="E1460" s="75">
        <v>1</v>
      </c>
      <c r="F1460" s="75" t="s">
        <v>23</v>
      </c>
      <c r="G1460" s="75" t="s">
        <v>23</v>
      </c>
      <c r="H1460" s="75">
        <v>0</v>
      </c>
      <c r="I1460" s="75">
        <v>0</v>
      </c>
      <c r="J1460" s="75"/>
      <c r="K1460" s="75">
        <v>0.60527551300000004</v>
      </c>
      <c r="L1460" s="75">
        <v>0</v>
      </c>
      <c r="M1460" s="75">
        <v>0.600482925</v>
      </c>
      <c r="N1460" s="75">
        <v>0</v>
      </c>
      <c r="O1460" s="90" t="str">
        <f>IF(VLOOKUP(UncLookup[[#This Row],[Item]],Items!$A$1:$F$43,2,FALSE)=0,"",VLOOKUP(UncLookup[[#This Row],[Item]],Items!$A$1:$F$43,2,FALSE))</f>
        <v/>
      </c>
      <c r="P1460" s="90" t="str">
        <f>IF(VLOOKUP(UncLookup[[#This Row],[Item]],Items!$A$1:$F$43,3,FALSE)=0,"",VLOOKUP(UncLookup[[#This Row],[Item]],Items!$A$1:$F$43,3,FALSE))</f>
        <v/>
      </c>
      <c r="Q1460" s="90" t="str">
        <f>IF(VLOOKUP(UncLookup[[#This Row],[Item]],Items!$A$1:$F$43,4,FALSE)=0,"",VLOOKUP(UncLookup[[#This Row],[Item]],Items!$A$1:$F$43,4,FALSE))</f>
        <v>T</v>
      </c>
    </row>
    <row r="1461" spans="1:17" x14ac:dyDescent="0.25">
      <c r="A1461" s="76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90" t="str">
        <f>IF(VLOOKUP(UncLookup[[#This Row],[Item]],Items!$A$1:$F$43,2,FALSE)=0,"",VLOOKUP(UncLookup[[#This Row],[Item]],Items!$A$1:$F$43,2,FALSE))</f>
        <v/>
      </c>
      <c r="P1461" s="90" t="str">
        <f>IF(VLOOKUP(UncLookup[[#This Row],[Item]],Items!$A$1:$F$43,3,FALSE)=0,"",VLOOKUP(UncLookup[[#This Row],[Item]],Items!$A$1:$F$43,3,FALSE))</f>
        <v/>
      </c>
      <c r="Q1461" s="90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5" t="s">
        <v>55</v>
      </c>
      <c r="B1462" s="75" t="s">
        <v>96</v>
      </c>
      <c r="C1462" s="75">
        <v>0</v>
      </c>
      <c r="D1462" s="75">
        <v>250.1</v>
      </c>
      <c r="E1462" s="75">
        <v>1</v>
      </c>
      <c r="F1462" s="75" t="s">
        <v>23</v>
      </c>
      <c r="G1462" s="75" t="s">
        <v>23</v>
      </c>
      <c r="H1462" s="75">
        <v>0</v>
      </c>
      <c r="I1462" s="75">
        <v>0</v>
      </c>
      <c r="J1462" s="75"/>
      <c r="K1462" s="75">
        <v>0.808466346</v>
      </c>
      <c r="L1462" s="75">
        <v>0</v>
      </c>
      <c r="M1462" s="75">
        <v>0.79673304099999998</v>
      </c>
      <c r="N1462" s="75">
        <v>0</v>
      </c>
      <c r="O1462" s="90" t="str">
        <f>IF(VLOOKUP(UncLookup[[#This Row],[Item]],Items!$A$1:$F$43,2,FALSE)=0,"",VLOOKUP(UncLookup[[#This Row],[Item]],Items!$A$1:$F$43,2,FALSE))</f>
        <v/>
      </c>
      <c r="P1462" s="90" t="str">
        <f>IF(VLOOKUP(UncLookup[[#This Row],[Item]],Items!$A$1:$F$43,3,FALSE)=0,"",VLOOKUP(UncLookup[[#This Row],[Item]],Items!$A$1:$F$43,3,FALSE))</f>
        <v/>
      </c>
      <c r="Q1462" s="90" t="str">
        <f>IF(VLOOKUP(UncLookup[[#This Row],[Item]],Items!$A$1:$F$43,4,FALSE)=0,"",VLOOKUP(UncLookup[[#This Row],[Item]],Items!$A$1:$F$43,4,FALSE))</f>
        <v>S</v>
      </c>
    </row>
    <row r="1463" spans="1:17" x14ac:dyDescent="0.25">
      <c r="A1463" s="76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7">
        <v>0</v>
      </c>
      <c r="O1463" s="90" t="str">
        <f>IF(VLOOKUP(UncLookup[[#This Row],[Item]],Items!$A$1:$F$43,2,FALSE)=0,"",VLOOKUP(UncLookup[[#This Row],[Item]],Items!$A$1:$F$43,2,FALSE))</f>
        <v/>
      </c>
      <c r="P1463" s="90" t="str">
        <f>IF(VLOOKUP(UncLookup[[#This Row],[Item]],Items!$A$1:$F$43,3,FALSE)=0,"",VLOOKUP(UncLookup[[#This Row],[Item]],Items!$A$1:$F$43,3,FALSE))</f>
        <v/>
      </c>
      <c r="Q1463" s="90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5" t="s">
        <v>55</v>
      </c>
      <c r="B1464" s="75" t="s">
        <v>96</v>
      </c>
      <c r="C1464" s="75">
        <v>250</v>
      </c>
      <c r="D1464" s="75">
        <v>1000.1</v>
      </c>
      <c r="E1464" s="75">
        <v>1</v>
      </c>
      <c r="F1464" s="75" t="s">
        <v>23</v>
      </c>
      <c r="G1464" s="75" t="s">
        <v>23</v>
      </c>
      <c r="H1464" s="75">
        <v>0</v>
      </c>
      <c r="I1464" s="75">
        <v>0</v>
      </c>
      <c r="J1464" s="75"/>
      <c r="K1464" s="75">
        <v>0.72528198700000002</v>
      </c>
      <c r="L1464" s="75">
        <v>0</v>
      </c>
      <c r="M1464" s="75">
        <v>0.71398037800000003</v>
      </c>
      <c r="N1464" s="75">
        <v>0</v>
      </c>
      <c r="O1464" s="90" t="str">
        <f>IF(VLOOKUP(UncLookup[[#This Row],[Item]],Items!$A$1:$F$43,2,FALSE)=0,"",VLOOKUP(UncLookup[[#This Row],[Item]],Items!$A$1:$F$43,2,FALSE))</f>
        <v/>
      </c>
      <c r="P1464" s="90" t="str">
        <f>IF(VLOOKUP(UncLookup[[#This Row],[Item]],Items!$A$1:$F$43,3,FALSE)=0,"",VLOOKUP(UncLookup[[#This Row],[Item]],Items!$A$1:$F$43,3,FALSE))</f>
        <v/>
      </c>
      <c r="Q1464" s="90" t="str">
        <f>IF(VLOOKUP(UncLookup[[#This Row],[Item]],Items!$A$1:$F$43,4,FALSE)=0,"",VLOOKUP(UncLookup[[#This Row],[Item]],Items!$A$1:$F$43,4,FALSE))</f>
        <v>S</v>
      </c>
    </row>
    <row r="1465" spans="1:17" x14ac:dyDescent="0.25">
      <c r="A1465" s="76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90" t="str">
        <f>IF(VLOOKUP(UncLookup[[#This Row],[Item]],Items!$A$1:$F$43,2,FALSE)=0,"",VLOOKUP(UncLookup[[#This Row],[Item]],Items!$A$1:$F$43,2,FALSE))</f>
        <v/>
      </c>
      <c r="P1465" s="90" t="str">
        <f>IF(VLOOKUP(UncLookup[[#This Row],[Item]],Items!$A$1:$F$43,3,FALSE)=0,"",VLOOKUP(UncLookup[[#This Row],[Item]],Items!$A$1:$F$43,3,FALSE))</f>
        <v/>
      </c>
      <c r="Q1465" s="90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5" t="s">
        <v>55</v>
      </c>
      <c r="B1466" s="75" t="s">
        <v>96</v>
      </c>
      <c r="C1466" s="75">
        <v>1000</v>
      </c>
      <c r="D1466" s="75">
        <v>1400.1</v>
      </c>
      <c r="E1466" s="75">
        <v>1</v>
      </c>
      <c r="F1466" s="75" t="s">
        <v>23</v>
      </c>
      <c r="G1466" s="75" t="s">
        <v>23</v>
      </c>
      <c r="H1466" s="75">
        <v>0</v>
      </c>
      <c r="I1466" s="75">
        <v>0</v>
      </c>
      <c r="J1466" s="75"/>
      <c r="K1466" s="75">
        <v>0.73114260799999997</v>
      </c>
      <c r="L1466" s="75">
        <v>0</v>
      </c>
      <c r="M1466" s="75">
        <v>0.71993300599999999</v>
      </c>
      <c r="N1466" s="75">
        <v>0</v>
      </c>
      <c r="O1466" s="90" t="str">
        <f>IF(VLOOKUP(UncLookup[[#This Row],[Item]],Items!$A$1:$F$43,2,FALSE)=0,"",VLOOKUP(UncLookup[[#This Row],[Item]],Items!$A$1:$F$43,2,FALSE))</f>
        <v/>
      </c>
      <c r="P1466" s="90" t="str">
        <f>IF(VLOOKUP(UncLookup[[#This Row],[Item]],Items!$A$1:$F$43,3,FALSE)=0,"",VLOOKUP(UncLookup[[#This Row],[Item]],Items!$A$1:$F$43,3,FALSE))</f>
        <v/>
      </c>
      <c r="Q1466" s="90" t="str">
        <f>IF(VLOOKUP(UncLookup[[#This Row],[Item]],Items!$A$1:$F$43,4,FALSE)=0,"",VLOOKUP(UncLookup[[#This Row],[Item]],Items!$A$1:$F$43,4,FALSE))</f>
        <v>S</v>
      </c>
    </row>
    <row r="1467" spans="1:17" x14ac:dyDescent="0.25">
      <c r="A1467" s="76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90" t="str">
        <f>IF(VLOOKUP(UncLookup[[#This Row],[Item]],Items!$A$1:$F$43,2,FALSE)=0,"",VLOOKUP(UncLookup[[#This Row],[Item]],Items!$A$1:$F$43,2,FALSE))</f>
        <v/>
      </c>
      <c r="P1467" s="90" t="str">
        <f>IF(VLOOKUP(UncLookup[[#This Row],[Item]],Items!$A$1:$F$43,3,FALSE)=0,"",VLOOKUP(UncLookup[[#This Row],[Item]],Items!$A$1:$F$43,3,FALSE))</f>
        <v/>
      </c>
      <c r="Q1467" s="90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5" t="s">
        <v>55</v>
      </c>
      <c r="B1468" s="75" t="s">
        <v>96</v>
      </c>
      <c r="C1468" s="75">
        <v>1400</v>
      </c>
      <c r="D1468" s="75">
        <v>1767</v>
      </c>
      <c r="E1468" s="75">
        <v>1</v>
      </c>
      <c r="F1468" s="75" t="s">
        <v>23</v>
      </c>
      <c r="G1468" s="75" t="s">
        <v>23</v>
      </c>
      <c r="H1468" s="75">
        <v>0</v>
      </c>
      <c r="I1468" s="75">
        <v>0</v>
      </c>
      <c r="J1468" s="75"/>
      <c r="K1468" s="75">
        <v>0.79649861099999997</v>
      </c>
      <c r="L1468" s="75">
        <v>0</v>
      </c>
      <c r="M1468" s="75">
        <v>0.786221379</v>
      </c>
      <c r="N1468" s="75">
        <v>0</v>
      </c>
      <c r="O1468" s="90" t="str">
        <f>IF(VLOOKUP(UncLookup[[#This Row],[Item]],Items!$A$1:$F$43,2,FALSE)=0,"",VLOOKUP(UncLookup[[#This Row],[Item]],Items!$A$1:$F$43,2,FALSE))</f>
        <v/>
      </c>
      <c r="P1468" s="90" t="str">
        <f>IF(VLOOKUP(UncLookup[[#This Row],[Item]],Items!$A$1:$F$43,3,FALSE)=0,"",VLOOKUP(UncLookup[[#This Row],[Item]],Items!$A$1:$F$43,3,FALSE))</f>
        <v/>
      </c>
      <c r="Q1468" s="90" t="str">
        <f>IF(VLOOKUP(UncLookup[[#This Row],[Item]],Items!$A$1:$F$43,4,FALSE)=0,"",VLOOKUP(UncLookup[[#This Row],[Item]],Items!$A$1:$F$43,4,FALSE))</f>
        <v>S</v>
      </c>
    </row>
    <row r="1469" spans="1:17" x14ac:dyDescent="0.25">
      <c r="A1469" s="76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90" t="str">
        <f>IF(VLOOKUP(UncLookup[[#This Row],[Item]],Items!$A$1:$F$43,2,FALSE)=0,"",VLOOKUP(UncLookup[[#This Row],[Item]],Items!$A$1:$F$43,2,FALSE))</f>
        <v/>
      </c>
      <c r="P1469" s="90" t="str">
        <f>IF(VLOOKUP(UncLookup[[#This Row],[Item]],Items!$A$1:$F$43,3,FALSE)=0,"",VLOOKUP(UncLookup[[#This Row],[Item]],Items!$A$1:$F$43,3,FALSE))</f>
        <v/>
      </c>
      <c r="Q1469" s="90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5" t="s">
        <v>55</v>
      </c>
      <c r="B1470" s="75" t="s">
        <v>96</v>
      </c>
      <c r="C1470" s="75">
        <v>1767</v>
      </c>
      <c r="D1470" s="75">
        <v>1767.1</v>
      </c>
      <c r="E1470" s="75">
        <v>1</v>
      </c>
      <c r="F1470" s="75" t="s">
        <v>23</v>
      </c>
      <c r="G1470" s="75" t="s">
        <v>23</v>
      </c>
      <c r="H1470" s="75">
        <v>0</v>
      </c>
      <c r="I1470" s="75">
        <v>0</v>
      </c>
      <c r="J1470" s="75"/>
      <c r="K1470" s="75">
        <v>0.79649861099999997</v>
      </c>
      <c r="L1470" s="75">
        <v>0</v>
      </c>
      <c r="M1470" s="75">
        <v>0.786221379</v>
      </c>
      <c r="N1470" s="75">
        <v>0</v>
      </c>
      <c r="O1470" s="90" t="str">
        <f>IF(VLOOKUP(UncLookup[[#This Row],[Item]],Items!$A$1:$F$43,2,FALSE)=0,"",VLOOKUP(UncLookup[[#This Row],[Item]],Items!$A$1:$F$43,2,FALSE))</f>
        <v/>
      </c>
      <c r="P1470" s="90" t="str">
        <f>IF(VLOOKUP(UncLookup[[#This Row],[Item]],Items!$A$1:$F$43,3,FALSE)=0,"",VLOOKUP(UncLookup[[#This Row],[Item]],Items!$A$1:$F$43,3,FALSE))</f>
        <v/>
      </c>
      <c r="Q1470" s="90" t="str">
        <f>IF(VLOOKUP(UncLookup[[#This Row],[Item]],Items!$A$1:$F$43,4,FALSE)=0,"",VLOOKUP(UncLookup[[#This Row],[Item]],Items!$A$1:$F$43,4,FALSE))</f>
        <v>S</v>
      </c>
    </row>
    <row r="1471" spans="1:17" x14ac:dyDescent="0.25">
      <c r="A1471" s="76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90" t="str">
        <f>IF(VLOOKUP(UncLookup[[#This Row],[Item]],Items!$A$1:$F$43,2,FALSE)=0,"",VLOOKUP(UncLookup[[#This Row],[Item]],Items!$A$1:$F$43,2,FALSE))</f>
        <v/>
      </c>
      <c r="P1471" s="90" t="str">
        <f>IF(VLOOKUP(UncLookup[[#This Row],[Item]],Items!$A$1:$F$43,3,FALSE)=0,"",VLOOKUP(UncLookup[[#This Row],[Item]],Items!$A$1:$F$43,3,FALSE))</f>
        <v/>
      </c>
      <c r="Q1471" s="90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5" t="s">
        <v>55</v>
      </c>
      <c r="B1472" s="75" t="s">
        <v>95</v>
      </c>
      <c r="C1472" s="75">
        <v>0</v>
      </c>
      <c r="D1472" s="75">
        <v>250.1</v>
      </c>
      <c r="E1472" s="75">
        <v>1</v>
      </c>
      <c r="F1472" s="75" t="s">
        <v>23</v>
      </c>
      <c r="G1472" s="75" t="s">
        <v>23</v>
      </c>
      <c r="H1472" s="75">
        <v>0</v>
      </c>
      <c r="I1472" s="75">
        <v>0</v>
      </c>
      <c r="J1472" s="75"/>
      <c r="K1472" s="75">
        <v>0.89034406399999999</v>
      </c>
      <c r="L1472" s="75">
        <v>0</v>
      </c>
      <c r="M1472" s="75">
        <v>0.87946017899999995</v>
      </c>
      <c r="N1472" s="75">
        <v>0</v>
      </c>
      <c r="O1472" s="90" t="str">
        <f>IF(VLOOKUP(UncLookup[[#This Row],[Item]],Items!$A$1:$F$43,2,FALSE)=0,"",VLOOKUP(UncLookup[[#This Row],[Item]],Items!$A$1:$F$43,2,FALSE))</f>
        <v/>
      </c>
      <c r="P1472" s="90" t="str">
        <f>IF(VLOOKUP(UncLookup[[#This Row],[Item]],Items!$A$1:$F$43,3,FALSE)=0,"",VLOOKUP(UncLookup[[#This Row],[Item]],Items!$A$1:$F$43,3,FALSE))</f>
        <v/>
      </c>
      <c r="Q1472" s="90" t="str">
        <f>IF(VLOOKUP(UncLookup[[#This Row],[Item]],Items!$A$1:$F$43,4,FALSE)=0,"",VLOOKUP(UncLookup[[#This Row],[Item]],Items!$A$1:$F$43,4,FALSE))</f>
        <v>R</v>
      </c>
    </row>
    <row r="1473" spans="1:17" x14ac:dyDescent="0.25">
      <c r="A1473" s="76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90" t="str">
        <f>IF(VLOOKUP(UncLookup[[#This Row],[Item]],Items!$A$1:$F$43,2,FALSE)=0,"",VLOOKUP(UncLookup[[#This Row],[Item]],Items!$A$1:$F$43,2,FALSE))</f>
        <v/>
      </c>
      <c r="P1473" s="90" t="str">
        <f>IF(VLOOKUP(UncLookup[[#This Row],[Item]],Items!$A$1:$F$43,3,FALSE)=0,"",VLOOKUP(UncLookup[[#This Row],[Item]],Items!$A$1:$F$43,3,FALSE))</f>
        <v/>
      </c>
      <c r="Q1473" s="90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5" t="s">
        <v>55</v>
      </c>
      <c r="B1474" s="75" t="s">
        <v>95</v>
      </c>
      <c r="C1474" s="75">
        <v>250</v>
      </c>
      <c r="D1474" s="75">
        <v>400.1</v>
      </c>
      <c r="E1474" s="75">
        <v>1</v>
      </c>
      <c r="F1474" s="75" t="s">
        <v>23</v>
      </c>
      <c r="G1474" s="75" t="s">
        <v>23</v>
      </c>
      <c r="H1474" s="75">
        <v>0</v>
      </c>
      <c r="I1474" s="75">
        <v>0</v>
      </c>
      <c r="J1474" s="75"/>
      <c r="K1474" s="75">
        <v>0.71812879500000004</v>
      </c>
      <c r="L1474" s="75">
        <v>0</v>
      </c>
      <c r="M1474" s="75">
        <v>0.70671280299999995</v>
      </c>
      <c r="N1474" s="75">
        <v>0</v>
      </c>
      <c r="O1474" s="90" t="str">
        <f>IF(VLOOKUP(UncLookup[[#This Row],[Item]],Items!$A$1:$F$43,2,FALSE)=0,"",VLOOKUP(UncLookup[[#This Row],[Item]],Items!$A$1:$F$43,2,FALSE))</f>
        <v/>
      </c>
      <c r="P1474" s="90" t="str">
        <f>IF(VLOOKUP(UncLookup[[#This Row],[Item]],Items!$A$1:$F$43,3,FALSE)=0,"",VLOOKUP(UncLookup[[#This Row],[Item]],Items!$A$1:$F$43,3,FALSE))</f>
        <v/>
      </c>
      <c r="Q1474" s="90" t="str">
        <f>IF(VLOOKUP(UncLookup[[#This Row],[Item]],Items!$A$1:$F$43,4,FALSE)=0,"",VLOOKUP(UncLookup[[#This Row],[Item]],Items!$A$1:$F$43,4,FALSE))</f>
        <v>R</v>
      </c>
    </row>
    <row r="1475" spans="1:17" x14ac:dyDescent="0.25">
      <c r="A1475" s="76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7">
        <v>0.39416654600000001</v>
      </c>
      <c r="L1475" s="76">
        <v>0</v>
      </c>
      <c r="M1475" s="77">
        <v>0.38897399700000002</v>
      </c>
      <c r="N1475" s="76">
        <v>0</v>
      </c>
      <c r="O1475" s="90" t="str">
        <f>IF(VLOOKUP(UncLookup[[#This Row],[Item]],Items!$A$1:$F$43,2,FALSE)=0,"",VLOOKUP(UncLookup[[#This Row],[Item]],Items!$A$1:$F$43,2,FALSE))</f>
        <v/>
      </c>
      <c r="P1475" s="90" t="str">
        <f>IF(VLOOKUP(UncLookup[[#This Row],[Item]],Items!$A$1:$F$43,3,FALSE)=0,"",VLOOKUP(UncLookup[[#This Row],[Item]],Items!$A$1:$F$43,3,FALSE))</f>
        <v/>
      </c>
      <c r="Q1475" s="90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5" t="s">
        <v>55</v>
      </c>
      <c r="B1476" s="75" t="s">
        <v>95</v>
      </c>
      <c r="C1476" s="75">
        <v>400</v>
      </c>
      <c r="D1476" s="75">
        <v>1000.1</v>
      </c>
      <c r="E1476" s="75">
        <v>1</v>
      </c>
      <c r="F1476" s="75" t="s">
        <v>23</v>
      </c>
      <c r="G1476" s="75" t="s">
        <v>23</v>
      </c>
      <c r="H1476" s="75">
        <v>0</v>
      </c>
      <c r="I1476" s="75">
        <v>0</v>
      </c>
      <c r="J1476" s="75"/>
      <c r="K1476" s="75">
        <v>0.70538411599999995</v>
      </c>
      <c r="L1476" s="75">
        <v>0</v>
      </c>
      <c r="M1476" s="75">
        <v>0.69375843800000003</v>
      </c>
      <c r="N1476" s="75">
        <v>0</v>
      </c>
      <c r="O1476" s="90" t="str">
        <f>IF(VLOOKUP(UncLookup[[#This Row],[Item]],Items!$A$1:$F$43,2,FALSE)=0,"",VLOOKUP(UncLookup[[#This Row],[Item]],Items!$A$1:$F$43,2,FALSE))</f>
        <v/>
      </c>
      <c r="P1476" s="90" t="str">
        <f>IF(VLOOKUP(UncLookup[[#This Row],[Item]],Items!$A$1:$F$43,3,FALSE)=0,"",VLOOKUP(UncLookup[[#This Row],[Item]],Items!$A$1:$F$43,3,FALSE))</f>
        <v/>
      </c>
      <c r="Q1476" s="90" t="str">
        <f>IF(VLOOKUP(UncLookup[[#This Row],[Item]],Items!$A$1:$F$43,4,FALSE)=0,"",VLOOKUP(UncLookup[[#This Row],[Item]],Items!$A$1:$F$43,4,FALSE))</f>
        <v>R</v>
      </c>
    </row>
    <row r="1477" spans="1:17" x14ac:dyDescent="0.25">
      <c r="A1477" s="76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90" t="str">
        <f>IF(VLOOKUP(UncLookup[[#This Row],[Item]],Items!$A$1:$F$43,2,FALSE)=0,"",VLOOKUP(UncLookup[[#This Row],[Item]],Items!$A$1:$F$43,2,FALSE))</f>
        <v/>
      </c>
      <c r="P1477" s="90" t="str">
        <f>IF(VLOOKUP(UncLookup[[#This Row],[Item]],Items!$A$1:$F$43,3,FALSE)=0,"",VLOOKUP(UncLookup[[#This Row],[Item]],Items!$A$1:$F$43,3,FALSE))</f>
        <v/>
      </c>
      <c r="Q1477" s="90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5" t="s">
        <v>55</v>
      </c>
      <c r="B1478" s="75" t="s">
        <v>95</v>
      </c>
      <c r="C1478" s="75">
        <v>1000</v>
      </c>
      <c r="D1478" s="75">
        <v>1767</v>
      </c>
      <c r="E1478" s="75">
        <v>1</v>
      </c>
      <c r="F1478" s="75" t="s">
        <v>23</v>
      </c>
      <c r="G1478" s="75" t="s">
        <v>23</v>
      </c>
      <c r="H1478" s="75">
        <v>0</v>
      </c>
      <c r="I1478" s="75">
        <v>0</v>
      </c>
      <c r="J1478" s="75"/>
      <c r="K1478" s="75">
        <v>0.79609956199999998</v>
      </c>
      <c r="L1478" s="75">
        <v>0</v>
      </c>
      <c r="M1478" s="75">
        <v>0.78581710999999999</v>
      </c>
      <c r="N1478" s="75">
        <v>0</v>
      </c>
      <c r="O1478" s="90" t="str">
        <f>IF(VLOOKUP(UncLookup[[#This Row],[Item]],Items!$A$1:$F$43,2,FALSE)=0,"",VLOOKUP(UncLookup[[#This Row],[Item]],Items!$A$1:$F$43,2,FALSE))</f>
        <v/>
      </c>
      <c r="P1478" s="90" t="str">
        <f>IF(VLOOKUP(UncLookup[[#This Row],[Item]],Items!$A$1:$F$43,3,FALSE)=0,"",VLOOKUP(UncLookup[[#This Row],[Item]],Items!$A$1:$F$43,3,FALSE))</f>
        <v/>
      </c>
      <c r="Q1478" s="90" t="str">
        <f>IF(VLOOKUP(UncLookup[[#This Row],[Item]],Items!$A$1:$F$43,4,FALSE)=0,"",VLOOKUP(UncLookup[[#This Row],[Item]],Items!$A$1:$F$43,4,FALSE))</f>
        <v>R</v>
      </c>
    </row>
    <row r="1479" spans="1:17" x14ac:dyDescent="0.25">
      <c r="A1479" s="76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90" t="str">
        <f>IF(VLOOKUP(UncLookup[[#This Row],[Item]],Items!$A$1:$F$43,2,FALSE)=0,"",VLOOKUP(UncLookup[[#This Row],[Item]],Items!$A$1:$F$43,2,FALSE))</f>
        <v/>
      </c>
      <c r="P1479" s="90" t="str">
        <f>IF(VLOOKUP(UncLookup[[#This Row],[Item]],Items!$A$1:$F$43,3,FALSE)=0,"",VLOOKUP(UncLookup[[#This Row],[Item]],Items!$A$1:$F$43,3,FALSE))</f>
        <v/>
      </c>
      <c r="Q1479" s="90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5" t="s">
        <v>55</v>
      </c>
      <c r="B1480" s="75" t="s">
        <v>95</v>
      </c>
      <c r="C1480" s="75">
        <v>1767</v>
      </c>
      <c r="D1480" s="75">
        <v>1767.1</v>
      </c>
      <c r="E1480" s="75">
        <v>1</v>
      </c>
      <c r="F1480" s="75" t="s">
        <v>23</v>
      </c>
      <c r="G1480" s="75" t="s">
        <v>23</v>
      </c>
      <c r="H1480" s="75">
        <v>0</v>
      </c>
      <c r="I1480" s="75">
        <v>0</v>
      </c>
      <c r="J1480" s="75"/>
      <c r="K1480" s="75">
        <v>0.79609956199999998</v>
      </c>
      <c r="L1480" s="75">
        <v>0</v>
      </c>
      <c r="M1480" s="75">
        <v>0.78581710999999999</v>
      </c>
      <c r="N1480" s="75">
        <v>0</v>
      </c>
      <c r="O1480" s="90" t="str">
        <f>IF(VLOOKUP(UncLookup[[#This Row],[Item]],Items!$A$1:$F$43,2,FALSE)=0,"",VLOOKUP(UncLookup[[#This Row],[Item]],Items!$A$1:$F$43,2,FALSE))</f>
        <v/>
      </c>
      <c r="P1480" s="90" t="str">
        <f>IF(VLOOKUP(UncLookup[[#This Row],[Item]],Items!$A$1:$F$43,3,FALSE)=0,"",VLOOKUP(UncLookup[[#This Row],[Item]],Items!$A$1:$F$43,3,FALSE))</f>
        <v/>
      </c>
      <c r="Q1480" s="90" t="str">
        <f>IF(VLOOKUP(UncLookup[[#This Row],[Item]],Items!$A$1:$F$43,4,FALSE)=0,"",VLOOKUP(UncLookup[[#This Row],[Item]],Items!$A$1:$F$43,4,FALSE))</f>
        <v>R</v>
      </c>
    </row>
    <row r="1481" spans="1:17" x14ac:dyDescent="0.25">
      <c r="A1481" s="76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90" t="str">
        <f>IF(VLOOKUP(UncLookup[[#This Row],[Item]],Items!$A$1:$F$43,2,FALSE)=0,"",VLOOKUP(UncLookup[[#This Row],[Item]],Items!$A$1:$F$43,2,FALSE))</f>
        <v/>
      </c>
      <c r="P1481" s="90" t="str">
        <f>IF(VLOOKUP(UncLookup[[#This Row],[Item]],Items!$A$1:$F$43,3,FALSE)=0,"",VLOOKUP(UncLookup[[#This Row],[Item]],Items!$A$1:$F$43,3,FALSE))</f>
        <v/>
      </c>
      <c r="Q1481" s="90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5" t="s">
        <v>55</v>
      </c>
      <c r="B1482" s="75" t="s">
        <v>99</v>
      </c>
      <c r="C1482" s="75">
        <v>-200</v>
      </c>
      <c r="D1482" s="75">
        <v>0.1</v>
      </c>
      <c r="E1482" s="75">
        <v>1</v>
      </c>
      <c r="F1482" s="75" t="s">
        <v>23</v>
      </c>
      <c r="G1482" s="75" t="s">
        <v>23</v>
      </c>
      <c r="H1482" s="75">
        <v>0</v>
      </c>
      <c r="I1482" s="75">
        <v>0</v>
      </c>
      <c r="J1482" s="75"/>
      <c r="K1482" s="75">
        <v>0.59548622600000001</v>
      </c>
      <c r="L1482" s="75">
        <v>0</v>
      </c>
      <c r="M1482" s="75">
        <v>0.58310510299999996</v>
      </c>
      <c r="N1482" s="75">
        <v>0</v>
      </c>
      <c r="O1482" s="90" t="str">
        <f>IF(VLOOKUP(UncLookup[[#This Row],[Item]],Items!$A$1:$F$43,2,FALSE)=0,"",VLOOKUP(UncLookup[[#This Row],[Item]],Items!$A$1:$F$43,2,FALSE))</f>
        <v/>
      </c>
      <c r="P1482" s="90" t="str">
        <f>IF(VLOOKUP(UncLookup[[#This Row],[Item]],Items!$A$1:$F$43,3,FALSE)=0,"",VLOOKUP(UncLookup[[#This Row],[Item]],Items!$A$1:$F$43,3,FALSE))</f>
        <v/>
      </c>
      <c r="Q1482" s="90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76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90" t="str">
        <f>IF(VLOOKUP(UncLookup[[#This Row],[Item]],Items!$A$1:$F$43,2,FALSE)=0,"",VLOOKUP(UncLookup[[#This Row],[Item]],Items!$A$1:$F$43,2,FALSE))</f>
        <v/>
      </c>
      <c r="P1483" s="90" t="str">
        <f>IF(VLOOKUP(UncLookup[[#This Row],[Item]],Items!$A$1:$F$43,3,FALSE)=0,"",VLOOKUP(UncLookup[[#This Row],[Item]],Items!$A$1:$F$43,3,FALSE))</f>
        <v/>
      </c>
      <c r="Q1483" s="90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5" t="s">
        <v>55</v>
      </c>
      <c r="B1484" s="75" t="s">
        <v>99</v>
      </c>
      <c r="C1484" s="75">
        <v>0</v>
      </c>
      <c r="D1484" s="75">
        <v>100.1</v>
      </c>
      <c r="E1484" s="75">
        <v>1</v>
      </c>
      <c r="F1484" s="75" t="s">
        <v>23</v>
      </c>
      <c r="G1484" s="75" t="s">
        <v>23</v>
      </c>
      <c r="H1484" s="75">
        <v>0</v>
      </c>
      <c r="I1484" s="75">
        <v>0</v>
      </c>
      <c r="J1484" s="75"/>
      <c r="K1484" s="75">
        <v>0.59806418900000002</v>
      </c>
      <c r="L1484" s="75">
        <v>0</v>
      </c>
      <c r="M1484" s="75">
        <v>0.58573755999999999</v>
      </c>
      <c r="N1484" s="75">
        <v>0</v>
      </c>
      <c r="O1484" s="90" t="str">
        <f>IF(VLOOKUP(UncLookup[[#This Row],[Item]],Items!$A$1:$F$43,2,FALSE)=0,"",VLOOKUP(UncLookup[[#This Row],[Item]],Items!$A$1:$F$43,2,FALSE))</f>
        <v/>
      </c>
      <c r="P1484" s="90" t="str">
        <f>IF(VLOOKUP(UncLookup[[#This Row],[Item]],Items!$A$1:$F$43,3,FALSE)=0,"",VLOOKUP(UncLookup[[#This Row],[Item]],Items!$A$1:$F$43,3,FALSE))</f>
        <v/>
      </c>
      <c r="Q1484" s="90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76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90" t="str">
        <f>IF(VLOOKUP(UncLookup[[#This Row],[Item]],Items!$A$1:$F$43,2,FALSE)=0,"",VLOOKUP(UncLookup[[#This Row],[Item]],Items!$A$1:$F$43,2,FALSE))</f>
        <v/>
      </c>
      <c r="P1485" s="90" t="str">
        <f>IF(VLOOKUP(UncLookup[[#This Row],[Item]],Items!$A$1:$F$43,3,FALSE)=0,"",VLOOKUP(UncLookup[[#This Row],[Item]],Items!$A$1:$F$43,3,FALSE))</f>
        <v/>
      </c>
      <c r="Q1485" s="90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5" t="s">
        <v>55</v>
      </c>
      <c r="B1486" s="75" t="s">
        <v>99</v>
      </c>
      <c r="C1486" s="75">
        <v>100</v>
      </c>
      <c r="D1486" s="75">
        <v>260.10000000000002</v>
      </c>
      <c r="E1486" s="75">
        <v>1</v>
      </c>
      <c r="F1486" s="75" t="s">
        <v>23</v>
      </c>
      <c r="G1486" s="75" t="s">
        <v>23</v>
      </c>
      <c r="H1486" s="75">
        <v>0</v>
      </c>
      <c r="I1486" s="75">
        <v>0</v>
      </c>
      <c r="J1486" s="75"/>
      <c r="K1486" s="75">
        <v>0.59806418900000002</v>
      </c>
      <c r="L1486" s="75">
        <v>0</v>
      </c>
      <c r="M1486" s="75">
        <v>0.58573755999999999</v>
      </c>
      <c r="N1486" s="75">
        <v>0</v>
      </c>
      <c r="O1486" s="90" t="str">
        <f>IF(VLOOKUP(UncLookup[[#This Row],[Item]],Items!$A$1:$F$43,2,FALSE)=0,"",VLOOKUP(UncLookup[[#This Row],[Item]],Items!$A$1:$F$43,2,FALSE))</f>
        <v/>
      </c>
      <c r="P1486" s="90" t="str">
        <f>IF(VLOOKUP(UncLookup[[#This Row],[Item]],Items!$A$1:$F$43,3,FALSE)=0,"",VLOOKUP(UncLookup[[#This Row],[Item]],Items!$A$1:$F$43,3,FALSE))</f>
        <v/>
      </c>
      <c r="Q1486" s="90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76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90" t="str">
        <f>IF(VLOOKUP(UncLookup[[#This Row],[Item]],Items!$A$1:$F$43,2,FALSE)=0,"",VLOOKUP(UncLookup[[#This Row],[Item]],Items!$A$1:$F$43,2,FALSE))</f>
        <v/>
      </c>
      <c r="P1487" s="90" t="str">
        <f>IF(VLOOKUP(UncLookup[[#This Row],[Item]],Items!$A$1:$F$43,3,FALSE)=0,"",VLOOKUP(UncLookup[[#This Row],[Item]],Items!$A$1:$F$43,3,FALSE))</f>
        <v/>
      </c>
      <c r="Q1487" s="90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5" t="s">
        <v>55</v>
      </c>
      <c r="B1488" s="75" t="s">
        <v>99</v>
      </c>
      <c r="C1488" s="75">
        <v>260</v>
      </c>
      <c r="D1488" s="75">
        <v>300.10000000000002</v>
      </c>
      <c r="E1488" s="75">
        <v>1</v>
      </c>
      <c r="F1488" s="75" t="s">
        <v>23</v>
      </c>
      <c r="G1488" s="75" t="s">
        <v>23</v>
      </c>
      <c r="H1488" s="75">
        <v>0</v>
      </c>
      <c r="I1488" s="75">
        <v>0</v>
      </c>
      <c r="J1488" s="75"/>
      <c r="K1488" s="75">
        <v>0.60619384399999998</v>
      </c>
      <c r="L1488" s="75">
        <v>0</v>
      </c>
      <c r="M1488" s="75">
        <v>0.59403593399999999</v>
      </c>
      <c r="N1488" s="75">
        <v>0</v>
      </c>
      <c r="O1488" s="90" t="str">
        <f>IF(VLOOKUP(UncLookup[[#This Row],[Item]],Items!$A$1:$F$43,2,FALSE)=0,"",VLOOKUP(UncLookup[[#This Row],[Item]],Items!$A$1:$F$43,2,FALSE))</f>
        <v/>
      </c>
      <c r="P1488" s="90" t="str">
        <f>IF(VLOOKUP(UncLookup[[#This Row],[Item]],Items!$A$1:$F$43,3,FALSE)=0,"",VLOOKUP(UncLookup[[#This Row],[Item]],Items!$A$1:$F$43,3,FALSE))</f>
        <v/>
      </c>
      <c r="Q1488" s="90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76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90" t="str">
        <f>IF(VLOOKUP(UncLookup[[#This Row],[Item]],Items!$A$1:$F$43,2,FALSE)=0,"",VLOOKUP(UncLookup[[#This Row],[Item]],Items!$A$1:$F$43,2,FALSE))</f>
        <v/>
      </c>
      <c r="P1489" s="90" t="str">
        <f>IF(VLOOKUP(UncLookup[[#This Row],[Item]],Items!$A$1:$F$43,3,FALSE)=0,"",VLOOKUP(UncLookup[[#This Row],[Item]],Items!$A$1:$F$43,3,FALSE))</f>
        <v/>
      </c>
      <c r="Q1489" s="90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5" t="s">
        <v>55</v>
      </c>
      <c r="B1490" s="75" t="s">
        <v>99</v>
      </c>
      <c r="C1490" s="75">
        <v>300</v>
      </c>
      <c r="D1490" s="75">
        <v>400.1</v>
      </c>
      <c r="E1490" s="75">
        <v>1</v>
      </c>
      <c r="F1490" s="75" t="s">
        <v>23</v>
      </c>
      <c r="G1490" s="75" t="s">
        <v>23</v>
      </c>
      <c r="H1490" s="75">
        <v>0</v>
      </c>
      <c r="I1490" s="75">
        <v>0</v>
      </c>
      <c r="J1490" s="75"/>
      <c r="K1490" s="75">
        <v>0.61063413099999997</v>
      </c>
      <c r="L1490" s="75">
        <v>0</v>
      </c>
      <c r="M1490" s="75">
        <v>0.59856641899999996</v>
      </c>
      <c r="N1490" s="75">
        <v>0</v>
      </c>
      <c r="O1490" s="90" t="str">
        <f>IF(VLOOKUP(UncLookup[[#This Row],[Item]],Items!$A$1:$F$43,2,FALSE)=0,"",VLOOKUP(UncLookup[[#This Row],[Item]],Items!$A$1:$F$43,2,FALSE))</f>
        <v/>
      </c>
      <c r="P1490" s="90" t="str">
        <f>IF(VLOOKUP(UncLookup[[#This Row],[Item]],Items!$A$1:$F$43,3,FALSE)=0,"",VLOOKUP(UncLookup[[#This Row],[Item]],Items!$A$1:$F$43,3,FALSE))</f>
        <v/>
      </c>
      <c r="Q1490" s="90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76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90" t="str">
        <f>IF(VLOOKUP(UncLookup[[#This Row],[Item]],Items!$A$1:$F$43,2,FALSE)=0,"",VLOOKUP(UncLookup[[#This Row],[Item]],Items!$A$1:$F$43,2,FALSE))</f>
        <v/>
      </c>
      <c r="P1491" s="90" t="str">
        <f>IF(VLOOKUP(UncLookup[[#This Row],[Item]],Items!$A$1:$F$43,3,FALSE)=0,"",VLOOKUP(UncLookup[[#This Row],[Item]],Items!$A$1:$F$43,3,FALSE))</f>
        <v/>
      </c>
      <c r="Q1491" s="90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5" t="s">
        <v>55</v>
      </c>
      <c r="B1492" s="75" t="s">
        <v>99</v>
      </c>
      <c r="C1492" s="75">
        <v>400</v>
      </c>
      <c r="D1492" s="75">
        <v>600.1</v>
      </c>
      <c r="E1492" s="75">
        <v>1</v>
      </c>
      <c r="F1492" s="75" t="s">
        <v>23</v>
      </c>
      <c r="G1492" s="75" t="s">
        <v>23</v>
      </c>
      <c r="H1492" s="75">
        <v>0</v>
      </c>
      <c r="I1492" s="75">
        <v>0</v>
      </c>
      <c r="J1492" s="75"/>
      <c r="K1492" s="75">
        <v>0.61120619300000001</v>
      </c>
      <c r="L1492" s="75">
        <v>0</v>
      </c>
      <c r="M1492" s="75">
        <v>0.59915000299999999</v>
      </c>
      <c r="N1492" s="75">
        <v>0</v>
      </c>
      <c r="O1492" s="90" t="str">
        <f>IF(VLOOKUP(UncLookup[[#This Row],[Item]],Items!$A$1:$F$43,2,FALSE)=0,"",VLOOKUP(UncLookup[[#This Row],[Item]],Items!$A$1:$F$43,2,FALSE))</f>
        <v/>
      </c>
      <c r="P1492" s="90" t="str">
        <f>IF(VLOOKUP(UncLookup[[#This Row],[Item]],Items!$A$1:$F$43,3,FALSE)=0,"",VLOOKUP(UncLookup[[#This Row],[Item]],Items!$A$1:$F$43,3,FALSE))</f>
        <v/>
      </c>
      <c r="Q1492" s="90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76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90" t="str">
        <f>IF(VLOOKUP(UncLookup[[#This Row],[Item]],Items!$A$1:$F$43,2,FALSE)=0,"",VLOOKUP(UncLookup[[#This Row],[Item]],Items!$A$1:$F$43,2,FALSE))</f>
        <v/>
      </c>
      <c r="P1493" s="90" t="str">
        <f>IF(VLOOKUP(UncLookup[[#This Row],[Item]],Items!$A$1:$F$43,3,FALSE)=0,"",VLOOKUP(UncLookup[[#This Row],[Item]],Items!$A$1:$F$43,3,FALSE))</f>
        <v/>
      </c>
      <c r="Q1493" s="90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5" t="s">
        <v>55</v>
      </c>
      <c r="B1494" s="75" t="s">
        <v>99</v>
      </c>
      <c r="C1494" s="75">
        <v>600</v>
      </c>
      <c r="D1494" s="75">
        <v>630</v>
      </c>
      <c r="E1494" s="75">
        <v>1</v>
      </c>
      <c r="F1494" s="75" t="s">
        <v>23</v>
      </c>
      <c r="G1494" s="75" t="s">
        <v>23</v>
      </c>
      <c r="H1494" s="75">
        <v>0</v>
      </c>
      <c r="I1494" s="75">
        <v>0</v>
      </c>
      <c r="J1494" s="75"/>
      <c r="K1494" s="75">
        <v>0.75347067499999998</v>
      </c>
      <c r="L1494" s="75">
        <v>0</v>
      </c>
      <c r="M1494" s="75">
        <v>0.74372425900000005</v>
      </c>
      <c r="N1494" s="75">
        <v>0</v>
      </c>
      <c r="O1494" s="90" t="str">
        <f>IF(VLOOKUP(UncLookup[[#This Row],[Item]],Items!$A$1:$F$43,2,FALSE)=0,"",VLOOKUP(UncLookup[[#This Row],[Item]],Items!$A$1:$F$43,2,FALSE))</f>
        <v/>
      </c>
      <c r="P1494" s="90" t="str">
        <f>IF(VLOOKUP(UncLookup[[#This Row],[Item]],Items!$A$1:$F$43,3,FALSE)=0,"",VLOOKUP(UncLookup[[#This Row],[Item]],Items!$A$1:$F$43,3,FALSE))</f>
        <v/>
      </c>
      <c r="Q1494" s="90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76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90" t="str">
        <f>IF(VLOOKUP(UncLookup[[#This Row],[Item]],Items!$A$1:$F$43,2,FALSE)=0,"",VLOOKUP(UncLookup[[#This Row],[Item]],Items!$A$1:$F$43,2,FALSE))</f>
        <v/>
      </c>
      <c r="P1495" s="90" t="str">
        <f>IF(VLOOKUP(UncLookup[[#This Row],[Item]],Items!$A$1:$F$43,3,FALSE)=0,"",VLOOKUP(UncLookup[[#This Row],[Item]],Items!$A$1:$F$43,3,FALSE))</f>
        <v/>
      </c>
      <c r="Q1495" s="90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5" t="s">
        <v>55</v>
      </c>
      <c r="B1496" s="75" t="s">
        <v>99</v>
      </c>
      <c r="C1496" s="75">
        <v>630</v>
      </c>
      <c r="D1496" s="75">
        <v>630.1</v>
      </c>
      <c r="E1496" s="75">
        <v>1</v>
      </c>
      <c r="F1496" s="75" t="s">
        <v>23</v>
      </c>
      <c r="G1496" s="75" t="s">
        <v>23</v>
      </c>
      <c r="H1496" s="75">
        <v>0</v>
      </c>
      <c r="I1496" s="75">
        <v>0</v>
      </c>
      <c r="J1496" s="75"/>
      <c r="K1496" s="75">
        <v>0.75347067499999998</v>
      </c>
      <c r="L1496" s="75">
        <v>0</v>
      </c>
      <c r="M1496" s="75">
        <v>0.74372425900000005</v>
      </c>
      <c r="N1496" s="75">
        <v>0</v>
      </c>
      <c r="O1496" s="90" t="str">
        <f>IF(VLOOKUP(UncLookup[[#This Row],[Item]],Items!$A$1:$F$43,2,FALSE)=0,"",VLOOKUP(UncLookup[[#This Row],[Item]],Items!$A$1:$F$43,2,FALSE))</f>
        <v/>
      </c>
      <c r="P1496" s="90" t="str">
        <f>IF(VLOOKUP(UncLookup[[#This Row],[Item]],Items!$A$1:$F$43,3,FALSE)=0,"",VLOOKUP(UncLookup[[#This Row],[Item]],Items!$A$1:$F$43,3,FALSE))</f>
        <v/>
      </c>
      <c r="Q1496" s="90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76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90" t="str">
        <f>IF(VLOOKUP(UncLookup[[#This Row],[Item]],Items!$A$1:$F$43,2,FALSE)=0,"",VLOOKUP(UncLookup[[#This Row],[Item]],Items!$A$1:$F$43,2,FALSE))</f>
        <v/>
      </c>
      <c r="P1497" s="90" t="str">
        <f>IF(VLOOKUP(UncLookup[[#This Row],[Item]],Items!$A$1:$F$43,3,FALSE)=0,"",VLOOKUP(UncLookup[[#This Row],[Item]],Items!$A$1:$F$43,3,FALSE))</f>
        <v/>
      </c>
      <c r="Q1497" s="90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5" t="s">
        <v>55</v>
      </c>
      <c r="B1498" s="75" t="s">
        <v>98</v>
      </c>
      <c r="C1498" s="75">
        <v>-200</v>
      </c>
      <c r="D1498" s="75">
        <v>0.1</v>
      </c>
      <c r="E1498" s="75">
        <v>1</v>
      </c>
      <c r="F1498" s="75" t="s">
        <v>23</v>
      </c>
      <c r="G1498" s="75" t="s">
        <v>23</v>
      </c>
      <c r="H1498" s="75">
        <v>0</v>
      </c>
      <c r="I1498" s="75">
        <v>0</v>
      </c>
      <c r="J1498" s="75"/>
      <c r="K1498" s="75">
        <v>0.60095134800000005</v>
      </c>
      <c r="L1498" s="75">
        <v>0</v>
      </c>
      <c r="M1498" s="75">
        <v>0.588685177</v>
      </c>
      <c r="N1498" s="75">
        <v>0</v>
      </c>
      <c r="O1498" s="90" t="str">
        <f>IF(VLOOKUP(UncLookup[[#This Row],[Item]],Items!$A$1:$F$43,2,FALSE)=0,"",VLOOKUP(UncLookup[[#This Row],[Item]],Items!$A$1:$F$43,2,FALSE))</f>
        <v/>
      </c>
      <c r="P1498" s="90" t="str">
        <f>IF(VLOOKUP(UncLookup[[#This Row],[Item]],Items!$A$1:$F$43,3,FALSE)=0,"",VLOOKUP(UncLookup[[#This Row],[Item]],Items!$A$1:$F$43,3,FALSE))</f>
        <v/>
      </c>
      <c r="Q1498" s="90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76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90" t="str">
        <f>IF(VLOOKUP(UncLookup[[#This Row],[Item]],Items!$A$1:$F$43,2,FALSE)=0,"",VLOOKUP(UncLookup[[#This Row],[Item]],Items!$A$1:$F$43,2,FALSE))</f>
        <v/>
      </c>
      <c r="P1499" s="90" t="str">
        <f>IF(VLOOKUP(UncLookup[[#This Row],[Item]],Items!$A$1:$F$43,3,FALSE)=0,"",VLOOKUP(UncLookup[[#This Row],[Item]],Items!$A$1:$F$43,3,FALSE))</f>
        <v/>
      </c>
      <c r="Q1499" s="90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5" t="s">
        <v>55</v>
      </c>
      <c r="B1500" s="75" t="s">
        <v>98</v>
      </c>
      <c r="C1500" s="75">
        <v>0</v>
      </c>
      <c r="D1500" s="75">
        <v>100.1</v>
      </c>
      <c r="E1500" s="75">
        <v>1</v>
      </c>
      <c r="F1500" s="75" t="s">
        <v>23</v>
      </c>
      <c r="G1500" s="75" t="s">
        <v>23</v>
      </c>
      <c r="H1500" s="75">
        <v>0</v>
      </c>
      <c r="I1500" s="75">
        <v>0</v>
      </c>
      <c r="J1500" s="75"/>
      <c r="K1500" s="75">
        <v>0.60945516600000005</v>
      </c>
      <c r="L1500" s="75">
        <v>0</v>
      </c>
      <c r="M1500" s="75">
        <v>0.59736363699999995</v>
      </c>
      <c r="N1500" s="75">
        <v>0</v>
      </c>
      <c r="O1500" s="90" t="str">
        <f>IF(VLOOKUP(UncLookup[[#This Row],[Item]],Items!$A$1:$F$43,2,FALSE)=0,"",VLOOKUP(UncLookup[[#This Row],[Item]],Items!$A$1:$F$43,2,FALSE))</f>
        <v/>
      </c>
      <c r="P1500" s="90" t="str">
        <f>IF(VLOOKUP(UncLookup[[#This Row],[Item]],Items!$A$1:$F$43,3,FALSE)=0,"",VLOOKUP(UncLookup[[#This Row],[Item]],Items!$A$1:$F$43,3,FALSE))</f>
        <v/>
      </c>
      <c r="Q1500" s="90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76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90" t="str">
        <f>IF(VLOOKUP(UncLookup[[#This Row],[Item]],Items!$A$1:$F$43,2,FALSE)=0,"",VLOOKUP(UncLookup[[#This Row],[Item]],Items!$A$1:$F$43,2,FALSE))</f>
        <v/>
      </c>
      <c r="P1501" s="90" t="str">
        <f>IF(VLOOKUP(UncLookup[[#This Row],[Item]],Items!$A$1:$F$43,3,FALSE)=0,"",VLOOKUP(UncLookup[[#This Row],[Item]],Items!$A$1:$F$43,3,FALSE))</f>
        <v/>
      </c>
      <c r="Q1501" s="90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5" t="s">
        <v>55</v>
      </c>
      <c r="B1502" s="75" t="s">
        <v>98</v>
      </c>
      <c r="C1502" s="75">
        <v>100</v>
      </c>
      <c r="D1502" s="75">
        <v>300.10000000000002</v>
      </c>
      <c r="E1502" s="75">
        <v>1</v>
      </c>
      <c r="F1502" s="75" t="s">
        <v>23</v>
      </c>
      <c r="G1502" s="75" t="s">
        <v>23</v>
      </c>
      <c r="H1502" s="75">
        <v>0</v>
      </c>
      <c r="I1502" s="75">
        <v>0</v>
      </c>
      <c r="J1502" s="75"/>
      <c r="K1502" s="75">
        <v>0.60945516600000005</v>
      </c>
      <c r="L1502" s="75">
        <v>0</v>
      </c>
      <c r="M1502" s="75">
        <v>0.59736363699999995</v>
      </c>
      <c r="N1502" s="75">
        <v>0</v>
      </c>
      <c r="O1502" s="90" t="str">
        <f>IF(VLOOKUP(UncLookup[[#This Row],[Item]],Items!$A$1:$F$43,2,FALSE)=0,"",VLOOKUP(UncLookup[[#This Row],[Item]],Items!$A$1:$F$43,2,FALSE))</f>
        <v/>
      </c>
      <c r="P1502" s="90" t="str">
        <f>IF(VLOOKUP(UncLookup[[#This Row],[Item]],Items!$A$1:$F$43,3,FALSE)=0,"",VLOOKUP(UncLookup[[#This Row],[Item]],Items!$A$1:$F$43,3,FALSE))</f>
        <v/>
      </c>
      <c r="Q1502" s="90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76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90" t="str">
        <f>IF(VLOOKUP(UncLookup[[#This Row],[Item]],Items!$A$1:$F$43,2,FALSE)=0,"",VLOOKUP(UncLookup[[#This Row],[Item]],Items!$A$1:$F$43,2,FALSE))</f>
        <v/>
      </c>
      <c r="P1503" s="90" t="str">
        <f>IF(VLOOKUP(UncLookup[[#This Row],[Item]],Items!$A$1:$F$43,3,FALSE)=0,"",VLOOKUP(UncLookup[[#This Row],[Item]],Items!$A$1:$F$43,3,FALSE))</f>
        <v/>
      </c>
      <c r="Q1503" s="90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5" t="s">
        <v>55</v>
      </c>
      <c r="B1504" s="75" t="s">
        <v>98</v>
      </c>
      <c r="C1504" s="75">
        <v>300</v>
      </c>
      <c r="D1504" s="75">
        <v>400.1</v>
      </c>
      <c r="E1504" s="75">
        <v>1</v>
      </c>
      <c r="F1504" s="75" t="s">
        <v>23</v>
      </c>
      <c r="G1504" s="75" t="s">
        <v>23</v>
      </c>
      <c r="H1504" s="75">
        <v>0</v>
      </c>
      <c r="I1504" s="75">
        <v>0</v>
      </c>
      <c r="J1504" s="75"/>
      <c r="K1504" s="75">
        <v>0.62711565300000005</v>
      </c>
      <c r="L1504" s="75">
        <v>0</v>
      </c>
      <c r="M1504" s="75">
        <v>0.61537123599999999</v>
      </c>
      <c r="N1504" s="75">
        <v>0</v>
      </c>
      <c r="O1504" s="90" t="str">
        <f>IF(VLOOKUP(UncLookup[[#This Row],[Item]],Items!$A$1:$F$43,2,FALSE)=0,"",VLOOKUP(UncLookup[[#This Row],[Item]],Items!$A$1:$F$43,2,FALSE))</f>
        <v/>
      </c>
      <c r="P1504" s="90" t="str">
        <f>IF(VLOOKUP(UncLookup[[#This Row],[Item]],Items!$A$1:$F$43,3,FALSE)=0,"",VLOOKUP(UncLookup[[#This Row],[Item]],Items!$A$1:$F$43,3,FALSE))</f>
        <v/>
      </c>
      <c r="Q1504" s="90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76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90" t="str">
        <f>IF(VLOOKUP(UncLookup[[#This Row],[Item]],Items!$A$1:$F$43,2,FALSE)=0,"",VLOOKUP(UncLookup[[#This Row],[Item]],Items!$A$1:$F$43,2,FALSE))</f>
        <v/>
      </c>
      <c r="P1505" s="90" t="str">
        <f>IF(VLOOKUP(UncLookup[[#This Row],[Item]],Items!$A$1:$F$43,3,FALSE)=0,"",VLOOKUP(UncLookup[[#This Row],[Item]],Items!$A$1:$F$43,3,FALSE))</f>
        <v/>
      </c>
      <c r="Q1505" s="90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5" t="s">
        <v>55</v>
      </c>
      <c r="B1506" s="75" t="s">
        <v>98</v>
      </c>
      <c r="C1506" s="75">
        <v>400</v>
      </c>
      <c r="D1506" s="75">
        <v>630.1</v>
      </c>
      <c r="E1506" s="75">
        <v>1</v>
      </c>
      <c r="F1506" s="75" t="s">
        <v>23</v>
      </c>
      <c r="G1506" s="75" t="s">
        <v>23</v>
      </c>
      <c r="H1506" s="75">
        <v>0</v>
      </c>
      <c r="I1506" s="75">
        <v>0</v>
      </c>
      <c r="J1506" s="75"/>
      <c r="K1506" s="75">
        <v>0.64153956300000003</v>
      </c>
      <c r="L1506" s="75">
        <v>0</v>
      </c>
      <c r="M1506" s="75">
        <v>0.63006406500000001</v>
      </c>
      <c r="N1506" s="75">
        <v>0</v>
      </c>
      <c r="O1506" s="90" t="str">
        <f>IF(VLOOKUP(UncLookup[[#This Row],[Item]],Items!$A$1:$F$43,2,FALSE)=0,"",VLOOKUP(UncLookup[[#This Row],[Item]],Items!$A$1:$F$43,2,FALSE))</f>
        <v/>
      </c>
      <c r="P1506" s="90" t="str">
        <f>IF(VLOOKUP(UncLookup[[#This Row],[Item]],Items!$A$1:$F$43,3,FALSE)=0,"",VLOOKUP(UncLookup[[#This Row],[Item]],Items!$A$1:$F$43,3,FALSE))</f>
        <v/>
      </c>
      <c r="Q1506" s="90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76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90" t="str">
        <f>IF(VLOOKUP(UncLookup[[#This Row],[Item]],Items!$A$1:$F$43,2,FALSE)=0,"",VLOOKUP(UncLookup[[#This Row],[Item]],Items!$A$1:$F$43,2,FALSE))</f>
        <v/>
      </c>
      <c r="P1507" s="90" t="str">
        <f>IF(VLOOKUP(UncLookup[[#This Row],[Item]],Items!$A$1:$F$43,3,FALSE)=0,"",VLOOKUP(UncLookup[[#This Row],[Item]],Items!$A$1:$F$43,3,FALSE))</f>
        <v/>
      </c>
      <c r="Q1507" s="90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5" t="s">
        <v>55</v>
      </c>
      <c r="B1508" s="75" t="s">
        <v>98</v>
      </c>
      <c r="C1508" s="75">
        <v>630</v>
      </c>
      <c r="D1508" s="75">
        <v>800</v>
      </c>
      <c r="E1508" s="75">
        <v>1</v>
      </c>
      <c r="F1508" s="75" t="s">
        <v>23</v>
      </c>
      <c r="G1508" s="75" t="s">
        <v>23</v>
      </c>
      <c r="H1508" s="75">
        <v>0</v>
      </c>
      <c r="I1508" s="75">
        <v>0</v>
      </c>
      <c r="J1508" s="75"/>
      <c r="K1508" s="75">
        <v>0.73018583500000001</v>
      </c>
      <c r="L1508" s="75">
        <v>0</v>
      </c>
      <c r="M1508" s="75">
        <v>0.72012434299999994</v>
      </c>
      <c r="N1508" s="75">
        <v>0</v>
      </c>
      <c r="O1508" s="90" t="str">
        <f>IF(VLOOKUP(UncLookup[[#This Row],[Item]],Items!$A$1:$F$43,2,FALSE)=0,"",VLOOKUP(UncLookup[[#This Row],[Item]],Items!$A$1:$F$43,2,FALSE))</f>
        <v/>
      </c>
      <c r="P1508" s="90" t="str">
        <f>IF(VLOOKUP(UncLookup[[#This Row],[Item]],Items!$A$1:$F$43,3,FALSE)=0,"",VLOOKUP(UncLookup[[#This Row],[Item]],Items!$A$1:$F$43,3,FALSE))</f>
        <v/>
      </c>
      <c r="Q1508" s="90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76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90" t="str">
        <f>IF(VLOOKUP(UncLookup[[#This Row],[Item]],Items!$A$1:$F$43,2,FALSE)=0,"",VLOOKUP(UncLookup[[#This Row],[Item]],Items!$A$1:$F$43,2,FALSE))</f>
        <v/>
      </c>
      <c r="P1509" s="90" t="str">
        <f>IF(VLOOKUP(UncLookup[[#This Row],[Item]],Items!$A$1:$F$43,3,FALSE)=0,"",VLOOKUP(UncLookup[[#This Row],[Item]],Items!$A$1:$F$43,3,FALSE))</f>
        <v/>
      </c>
      <c r="Q1509" s="90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5" t="s">
        <v>55</v>
      </c>
      <c r="B1510" s="75" t="s">
        <v>98</v>
      </c>
      <c r="C1510" s="75">
        <v>800</v>
      </c>
      <c r="D1510" s="75">
        <v>800.1</v>
      </c>
      <c r="E1510" s="75">
        <v>1</v>
      </c>
      <c r="F1510" s="75" t="s">
        <v>23</v>
      </c>
      <c r="G1510" s="75" t="s">
        <v>23</v>
      </c>
      <c r="H1510" s="75">
        <v>0</v>
      </c>
      <c r="I1510" s="75">
        <v>0</v>
      </c>
      <c r="J1510" s="75"/>
      <c r="K1510" s="75">
        <v>0.73018583500000001</v>
      </c>
      <c r="L1510" s="75">
        <v>0</v>
      </c>
      <c r="M1510" s="75">
        <v>0.72012434299999994</v>
      </c>
      <c r="N1510" s="75">
        <v>0</v>
      </c>
      <c r="O1510" s="90" t="str">
        <f>IF(VLOOKUP(UncLookup[[#This Row],[Item]],Items!$A$1:$F$43,2,FALSE)=0,"",VLOOKUP(UncLookup[[#This Row],[Item]],Items!$A$1:$F$43,2,FALSE))</f>
        <v/>
      </c>
      <c r="P1510" s="90" t="str">
        <f>IF(VLOOKUP(UncLookup[[#This Row],[Item]],Items!$A$1:$F$43,3,FALSE)=0,"",VLOOKUP(UncLookup[[#This Row],[Item]],Items!$A$1:$F$43,3,FALSE))</f>
        <v/>
      </c>
      <c r="Q1510" s="90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76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90" t="str">
        <f>IF(VLOOKUP(UncLookup[[#This Row],[Item]],Items!$A$1:$F$43,2,FALSE)=0,"",VLOOKUP(UncLookup[[#This Row],[Item]],Items!$A$1:$F$43,2,FALSE))</f>
        <v/>
      </c>
      <c r="P1511" s="90" t="str">
        <f>IF(VLOOKUP(UncLookup[[#This Row],[Item]],Items!$A$1:$F$43,3,FALSE)=0,"",VLOOKUP(UncLookup[[#This Row],[Item]],Items!$A$1:$F$43,3,FALSE))</f>
        <v/>
      </c>
      <c r="Q1511" s="90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5" t="s">
        <v>55</v>
      </c>
      <c r="B1512" s="75" t="s">
        <v>94</v>
      </c>
      <c r="C1512" s="75">
        <v>-200</v>
      </c>
      <c r="D1512" s="75">
        <v>-99.9</v>
      </c>
      <c r="E1512" s="75">
        <v>1</v>
      </c>
      <c r="F1512" s="75" t="s">
        <v>23</v>
      </c>
      <c r="G1512" s="75" t="s">
        <v>23</v>
      </c>
      <c r="H1512" s="75">
        <v>0</v>
      </c>
      <c r="I1512" s="75">
        <v>0</v>
      </c>
      <c r="J1512" s="75"/>
      <c r="K1512" s="75">
        <v>0.75325912699999997</v>
      </c>
      <c r="L1512" s="75">
        <v>0</v>
      </c>
      <c r="M1512" s="75">
        <v>0.74021817099999998</v>
      </c>
      <c r="N1512" s="75">
        <v>0</v>
      </c>
      <c r="O1512" s="90" t="str">
        <f>IF(VLOOKUP(UncLookup[[#This Row],[Item]],Items!$A$1:$F$43,2,FALSE)=0,"",VLOOKUP(UncLookup[[#This Row],[Item]],Items!$A$1:$F$43,2,FALSE))</f>
        <v/>
      </c>
      <c r="P1512" s="90" t="str">
        <f>IF(VLOOKUP(UncLookup[[#This Row],[Item]],Items!$A$1:$F$43,3,FALSE)=0,"",VLOOKUP(UncLookup[[#This Row],[Item]],Items!$A$1:$F$43,3,FALSE))</f>
        <v/>
      </c>
      <c r="Q1512" s="90" t="str">
        <f>IF(VLOOKUP(UncLookup[[#This Row],[Item]],Items!$A$1:$F$43,4,FALSE)=0,"",VLOOKUP(UncLookup[[#This Row],[Item]],Items!$A$1:$F$43,4,FALSE))</f>
        <v>N</v>
      </c>
    </row>
    <row r="1513" spans="1:17" x14ac:dyDescent="0.25">
      <c r="A1513" s="76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90" t="str">
        <f>IF(VLOOKUP(UncLookup[[#This Row],[Item]],Items!$A$1:$F$43,2,FALSE)=0,"",VLOOKUP(UncLookup[[#This Row],[Item]],Items!$A$1:$F$43,2,FALSE))</f>
        <v/>
      </c>
      <c r="P1513" s="90" t="str">
        <f>IF(VLOOKUP(UncLookup[[#This Row],[Item]],Items!$A$1:$F$43,3,FALSE)=0,"",VLOOKUP(UncLookup[[#This Row],[Item]],Items!$A$1:$F$43,3,FALSE))</f>
        <v/>
      </c>
      <c r="Q1513" s="90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5" t="s">
        <v>55</v>
      </c>
      <c r="B1514" s="75" t="s">
        <v>94</v>
      </c>
      <c r="C1514" s="75">
        <v>-100</v>
      </c>
      <c r="D1514" s="75">
        <v>-24.9</v>
      </c>
      <c r="E1514" s="75">
        <v>1</v>
      </c>
      <c r="F1514" s="75" t="s">
        <v>23</v>
      </c>
      <c r="G1514" s="75" t="s">
        <v>23</v>
      </c>
      <c r="H1514" s="75">
        <v>0</v>
      </c>
      <c r="I1514" s="75">
        <v>0</v>
      </c>
      <c r="J1514" s="75"/>
      <c r="K1514" s="75">
        <v>0.64265086000000005</v>
      </c>
      <c r="L1514" s="75">
        <v>0</v>
      </c>
      <c r="M1514" s="75">
        <v>0.63190383800000005</v>
      </c>
      <c r="N1514" s="75">
        <v>0</v>
      </c>
      <c r="O1514" s="90" t="str">
        <f>IF(VLOOKUP(UncLookup[[#This Row],[Item]],Items!$A$1:$F$43,2,FALSE)=0,"",VLOOKUP(UncLookup[[#This Row],[Item]],Items!$A$1:$F$43,2,FALSE))</f>
        <v/>
      </c>
      <c r="P1514" s="90" t="str">
        <f>IF(VLOOKUP(UncLookup[[#This Row],[Item]],Items!$A$1:$F$43,3,FALSE)=0,"",VLOOKUP(UncLookup[[#This Row],[Item]],Items!$A$1:$F$43,3,FALSE))</f>
        <v/>
      </c>
      <c r="Q1514" s="90" t="str">
        <f>IF(VLOOKUP(UncLookup[[#This Row],[Item]],Items!$A$1:$F$43,4,FALSE)=0,"",VLOOKUP(UncLookup[[#This Row],[Item]],Items!$A$1:$F$43,4,FALSE))</f>
        <v>N</v>
      </c>
    </row>
    <row r="1515" spans="1:17" x14ac:dyDescent="0.25">
      <c r="A1515" s="76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90" t="str">
        <f>IF(VLOOKUP(UncLookup[[#This Row],[Item]],Items!$A$1:$F$43,2,FALSE)=0,"",VLOOKUP(UncLookup[[#This Row],[Item]],Items!$A$1:$F$43,2,FALSE))</f>
        <v/>
      </c>
      <c r="P1515" s="90" t="str">
        <f>IF(VLOOKUP(UncLookup[[#This Row],[Item]],Items!$A$1:$F$43,3,FALSE)=0,"",VLOOKUP(UncLookup[[#This Row],[Item]],Items!$A$1:$F$43,3,FALSE))</f>
        <v/>
      </c>
      <c r="Q1515" s="90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5" t="s">
        <v>55</v>
      </c>
      <c r="B1516" s="75" t="s">
        <v>94</v>
      </c>
      <c r="C1516" s="75">
        <v>-25</v>
      </c>
      <c r="D1516" s="75">
        <v>120.1</v>
      </c>
      <c r="E1516" s="75">
        <v>1</v>
      </c>
      <c r="F1516" s="75" t="s">
        <v>23</v>
      </c>
      <c r="G1516" s="75" t="s">
        <v>23</v>
      </c>
      <c r="H1516" s="75">
        <v>0</v>
      </c>
      <c r="I1516" s="75">
        <v>0</v>
      </c>
      <c r="J1516" s="75"/>
      <c r="K1516" s="75">
        <v>0.62966080400000002</v>
      </c>
      <c r="L1516" s="75">
        <v>0</v>
      </c>
      <c r="M1516" s="75">
        <v>0.61868817700000001</v>
      </c>
      <c r="N1516" s="75">
        <v>0</v>
      </c>
      <c r="O1516" s="90" t="str">
        <f>IF(VLOOKUP(UncLookup[[#This Row],[Item]],Items!$A$1:$F$43,2,FALSE)=0,"",VLOOKUP(UncLookup[[#This Row],[Item]],Items!$A$1:$F$43,2,FALSE))</f>
        <v/>
      </c>
      <c r="P1516" s="90" t="str">
        <f>IF(VLOOKUP(UncLookup[[#This Row],[Item]],Items!$A$1:$F$43,3,FALSE)=0,"",VLOOKUP(UncLookup[[#This Row],[Item]],Items!$A$1:$F$43,3,FALSE))</f>
        <v/>
      </c>
      <c r="Q1516" s="90" t="str">
        <f>IF(VLOOKUP(UncLookup[[#This Row],[Item]],Items!$A$1:$F$43,4,FALSE)=0,"",VLOOKUP(UncLookup[[#This Row],[Item]],Items!$A$1:$F$43,4,FALSE))</f>
        <v>N</v>
      </c>
    </row>
    <row r="1517" spans="1:17" x14ac:dyDescent="0.25">
      <c r="A1517" s="76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7">
        <v>0</v>
      </c>
      <c r="M1517" s="76">
        <v>0.218550883</v>
      </c>
      <c r="N1517" s="77">
        <v>0</v>
      </c>
      <c r="O1517" s="90" t="str">
        <f>IF(VLOOKUP(UncLookup[[#This Row],[Item]],Items!$A$1:$F$43,2,FALSE)=0,"",VLOOKUP(UncLookup[[#This Row],[Item]],Items!$A$1:$F$43,2,FALSE))</f>
        <v/>
      </c>
      <c r="P1517" s="90" t="str">
        <f>IF(VLOOKUP(UncLookup[[#This Row],[Item]],Items!$A$1:$F$43,3,FALSE)=0,"",VLOOKUP(UncLookup[[#This Row],[Item]],Items!$A$1:$F$43,3,FALSE))</f>
        <v/>
      </c>
      <c r="Q1517" s="90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5" t="s">
        <v>55</v>
      </c>
      <c r="B1518" s="75" t="s">
        <v>94</v>
      </c>
      <c r="C1518" s="75">
        <v>120</v>
      </c>
      <c r="D1518" s="75">
        <v>410.1</v>
      </c>
      <c r="E1518" s="75">
        <v>1</v>
      </c>
      <c r="F1518" s="75" t="s">
        <v>23</v>
      </c>
      <c r="G1518" s="75" t="s">
        <v>23</v>
      </c>
      <c r="H1518" s="75">
        <v>0</v>
      </c>
      <c r="I1518" s="75">
        <v>0</v>
      </c>
      <c r="J1518" s="75"/>
      <c r="K1518" s="75">
        <v>0.62103417999999999</v>
      </c>
      <c r="L1518" s="75">
        <v>0</v>
      </c>
      <c r="M1518" s="75">
        <v>0.614625486</v>
      </c>
      <c r="N1518" s="75">
        <v>0</v>
      </c>
      <c r="O1518" s="90" t="str">
        <f>IF(VLOOKUP(UncLookup[[#This Row],[Item]],Items!$A$1:$F$43,2,FALSE)=0,"",VLOOKUP(UncLookup[[#This Row],[Item]],Items!$A$1:$F$43,2,FALSE))</f>
        <v/>
      </c>
      <c r="P1518" s="90" t="str">
        <f>IF(VLOOKUP(UncLookup[[#This Row],[Item]],Items!$A$1:$F$43,3,FALSE)=0,"",VLOOKUP(UncLookup[[#This Row],[Item]],Items!$A$1:$F$43,3,FALSE))</f>
        <v/>
      </c>
      <c r="Q1518" s="90" t="str">
        <f>IF(VLOOKUP(UncLookup[[#This Row],[Item]],Items!$A$1:$F$43,4,FALSE)=0,"",VLOOKUP(UncLookup[[#This Row],[Item]],Items!$A$1:$F$43,4,FALSE))</f>
        <v>N</v>
      </c>
    </row>
    <row r="1519" spans="1:17" x14ac:dyDescent="0.25">
      <c r="A1519" s="76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90" t="str">
        <f>IF(VLOOKUP(UncLookup[[#This Row],[Item]],Items!$A$1:$F$43,2,FALSE)=0,"",VLOOKUP(UncLookup[[#This Row],[Item]],Items!$A$1:$F$43,2,FALSE))</f>
        <v/>
      </c>
      <c r="P1519" s="90" t="str">
        <f>IF(VLOOKUP(UncLookup[[#This Row],[Item]],Items!$A$1:$F$43,3,FALSE)=0,"",VLOOKUP(UncLookup[[#This Row],[Item]],Items!$A$1:$F$43,3,FALSE))</f>
        <v/>
      </c>
      <c r="Q1519" s="90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5" t="s">
        <v>55</v>
      </c>
      <c r="B1520" s="75" t="s">
        <v>94</v>
      </c>
      <c r="C1520" s="75">
        <v>410</v>
      </c>
      <c r="D1520" s="75">
        <v>1300</v>
      </c>
      <c r="E1520" s="75">
        <v>1</v>
      </c>
      <c r="F1520" s="75" t="s">
        <v>23</v>
      </c>
      <c r="G1520" s="75" t="s">
        <v>23</v>
      </c>
      <c r="H1520" s="75">
        <v>0</v>
      </c>
      <c r="I1520" s="75">
        <v>0</v>
      </c>
      <c r="J1520" s="75"/>
      <c r="K1520" s="75">
        <v>0.66302559000000005</v>
      </c>
      <c r="L1520" s="75">
        <v>0</v>
      </c>
      <c r="M1520" s="75">
        <v>0.65702661200000001</v>
      </c>
      <c r="N1520" s="75">
        <v>0</v>
      </c>
      <c r="O1520" s="90" t="str">
        <f>IF(VLOOKUP(UncLookup[[#This Row],[Item]],Items!$A$1:$F$43,2,FALSE)=0,"",VLOOKUP(UncLookup[[#This Row],[Item]],Items!$A$1:$F$43,2,FALSE))</f>
        <v/>
      </c>
      <c r="P1520" s="90" t="str">
        <f>IF(VLOOKUP(UncLookup[[#This Row],[Item]],Items!$A$1:$F$43,3,FALSE)=0,"",VLOOKUP(UncLookup[[#This Row],[Item]],Items!$A$1:$F$43,3,FALSE))</f>
        <v/>
      </c>
      <c r="Q1520" s="90" t="str">
        <f>IF(VLOOKUP(UncLookup[[#This Row],[Item]],Items!$A$1:$F$43,4,FALSE)=0,"",VLOOKUP(UncLookup[[#This Row],[Item]],Items!$A$1:$F$43,4,FALSE))</f>
        <v>N</v>
      </c>
    </row>
    <row r="1521" spans="1:17" x14ac:dyDescent="0.25">
      <c r="A1521" s="76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90" t="str">
        <f>IF(VLOOKUP(UncLookup[[#This Row],[Item]],Items!$A$1:$F$43,2,FALSE)=0,"",VLOOKUP(UncLookup[[#This Row],[Item]],Items!$A$1:$F$43,2,FALSE))</f>
        <v/>
      </c>
      <c r="P1521" s="90" t="str">
        <f>IF(VLOOKUP(UncLookup[[#This Row],[Item]],Items!$A$1:$F$43,3,FALSE)=0,"",VLOOKUP(UncLookup[[#This Row],[Item]],Items!$A$1:$F$43,3,FALSE))</f>
        <v/>
      </c>
      <c r="Q1521" s="90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5" t="s">
        <v>55</v>
      </c>
      <c r="B1522" s="75" t="s">
        <v>94</v>
      </c>
      <c r="C1522" s="75">
        <v>1300</v>
      </c>
      <c r="D1522" s="75">
        <v>1300.0999999999999</v>
      </c>
      <c r="E1522" s="75">
        <v>1</v>
      </c>
      <c r="F1522" s="75" t="s">
        <v>23</v>
      </c>
      <c r="G1522" s="75" t="s">
        <v>23</v>
      </c>
      <c r="H1522" s="75">
        <v>0</v>
      </c>
      <c r="I1522" s="75">
        <v>0</v>
      </c>
      <c r="J1522" s="75"/>
      <c r="K1522" s="75">
        <v>0.66302559000000005</v>
      </c>
      <c r="L1522" s="75">
        <v>0</v>
      </c>
      <c r="M1522" s="75">
        <v>0.65702661200000001</v>
      </c>
      <c r="N1522" s="75">
        <v>0</v>
      </c>
      <c r="O1522" s="90" t="str">
        <f>IF(VLOOKUP(UncLookup[[#This Row],[Item]],Items!$A$1:$F$43,2,FALSE)=0,"",VLOOKUP(UncLookup[[#This Row],[Item]],Items!$A$1:$F$43,2,FALSE))</f>
        <v/>
      </c>
      <c r="P1522" s="90" t="str">
        <f>IF(VLOOKUP(UncLookup[[#This Row],[Item]],Items!$A$1:$F$43,3,FALSE)=0,"",VLOOKUP(UncLookup[[#This Row],[Item]],Items!$A$1:$F$43,3,FALSE))</f>
        <v/>
      </c>
      <c r="Q1522" s="90" t="str">
        <f>IF(VLOOKUP(UncLookup[[#This Row],[Item]],Items!$A$1:$F$43,4,FALSE)=0,"",VLOOKUP(UncLookup[[#This Row],[Item]],Items!$A$1:$F$43,4,FALSE))</f>
        <v>N</v>
      </c>
    </row>
    <row r="1523" spans="1:17" x14ac:dyDescent="0.25">
      <c r="A1523" s="76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90" t="str">
        <f>IF(VLOOKUP(UncLookup[[#This Row],[Item]],Items!$A$1:$F$43,2,FALSE)=0,"",VLOOKUP(UncLookup[[#This Row],[Item]],Items!$A$1:$F$43,2,FALSE))</f>
        <v/>
      </c>
      <c r="P1523" s="90" t="str">
        <f>IF(VLOOKUP(UncLookup[[#This Row],[Item]],Items!$A$1:$F$43,3,FALSE)=0,"",VLOOKUP(UncLookup[[#This Row],[Item]],Items!$A$1:$F$43,3,FALSE))</f>
        <v/>
      </c>
      <c r="Q1523" s="90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5" t="s">
        <v>55</v>
      </c>
      <c r="B1524" s="75" t="s">
        <v>91</v>
      </c>
      <c r="C1524" s="75">
        <v>-200</v>
      </c>
      <c r="D1524" s="75">
        <v>-99.9</v>
      </c>
      <c r="E1524" s="75">
        <v>1</v>
      </c>
      <c r="F1524" s="75" t="s">
        <v>23</v>
      </c>
      <c r="G1524" s="75" t="s">
        <v>23</v>
      </c>
      <c r="H1524" s="75">
        <v>0</v>
      </c>
      <c r="I1524" s="75">
        <v>0</v>
      </c>
      <c r="J1524" s="75"/>
      <c r="K1524" s="75">
        <v>0.70603263199999999</v>
      </c>
      <c r="L1524" s="75">
        <v>0</v>
      </c>
      <c r="M1524" s="75">
        <v>0.69302948200000003</v>
      </c>
      <c r="N1524" s="75">
        <v>0</v>
      </c>
      <c r="O1524" s="90" t="str">
        <f>IF(VLOOKUP(UncLookup[[#This Row],[Item]],Items!$A$1:$F$43,2,FALSE)=0,"",VLOOKUP(UncLookup[[#This Row],[Item]],Items!$A$1:$F$43,2,FALSE))</f>
        <v/>
      </c>
      <c r="P1524" s="90" t="str">
        <f>IF(VLOOKUP(UncLookup[[#This Row],[Item]],Items!$A$1:$F$43,3,FALSE)=0,"",VLOOKUP(UncLookup[[#This Row],[Item]],Items!$A$1:$F$43,3,FALSE))</f>
        <v/>
      </c>
      <c r="Q1524" s="90" t="str">
        <f>IF(VLOOKUP(UncLookup[[#This Row],[Item]],Items!$A$1:$F$43,4,FALSE)=0,"",VLOOKUP(UncLookup[[#This Row],[Item]],Items!$A$1:$F$43,4,FALSE))</f>
        <v>K</v>
      </c>
    </row>
    <row r="1525" spans="1:17" x14ac:dyDescent="0.25">
      <c r="A1525" s="76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90" t="str">
        <f>IF(VLOOKUP(UncLookup[[#This Row],[Item]],Items!$A$1:$F$43,2,FALSE)=0,"",VLOOKUP(UncLookup[[#This Row],[Item]],Items!$A$1:$F$43,2,FALSE))</f>
        <v/>
      </c>
      <c r="P1525" s="90" t="str">
        <f>IF(VLOOKUP(UncLookup[[#This Row],[Item]],Items!$A$1:$F$43,3,FALSE)=0,"",VLOOKUP(UncLookup[[#This Row],[Item]],Items!$A$1:$F$43,3,FALSE))</f>
        <v/>
      </c>
      <c r="Q1525" s="90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5" t="s">
        <v>55</v>
      </c>
      <c r="B1526" s="75" t="s">
        <v>91</v>
      </c>
      <c r="C1526" s="75">
        <v>-100</v>
      </c>
      <c r="D1526" s="75">
        <v>-24.9</v>
      </c>
      <c r="E1526" s="75">
        <v>1</v>
      </c>
      <c r="F1526" s="75" t="s">
        <v>23</v>
      </c>
      <c r="G1526" s="75" t="s">
        <v>23</v>
      </c>
      <c r="H1526" s="75">
        <v>0</v>
      </c>
      <c r="I1526" s="75">
        <v>0</v>
      </c>
      <c r="J1526" s="75"/>
      <c r="K1526" s="75">
        <v>0.62924197199999998</v>
      </c>
      <c r="L1526" s="75">
        <v>0</v>
      </c>
      <c r="M1526" s="75">
        <v>0.61461633900000001</v>
      </c>
      <c r="N1526" s="75">
        <v>0</v>
      </c>
      <c r="O1526" s="90" t="str">
        <f>IF(VLOOKUP(UncLookup[[#This Row],[Item]],Items!$A$1:$F$43,2,FALSE)=0,"",VLOOKUP(UncLookup[[#This Row],[Item]],Items!$A$1:$F$43,2,FALSE))</f>
        <v/>
      </c>
      <c r="P1526" s="90" t="str">
        <f>IF(VLOOKUP(UncLookup[[#This Row],[Item]],Items!$A$1:$F$43,3,FALSE)=0,"",VLOOKUP(UncLookup[[#This Row],[Item]],Items!$A$1:$F$43,3,FALSE))</f>
        <v/>
      </c>
      <c r="Q1526" s="90" t="str">
        <f>IF(VLOOKUP(UncLookup[[#This Row],[Item]],Items!$A$1:$F$43,4,FALSE)=0,"",VLOOKUP(UncLookup[[#This Row],[Item]],Items!$A$1:$F$43,4,FALSE))</f>
        <v>K</v>
      </c>
    </row>
    <row r="1527" spans="1:17" x14ac:dyDescent="0.25">
      <c r="A1527" s="76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90" t="str">
        <f>IF(VLOOKUP(UncLookup[[#This Row],[Item]],Items!$A$1:$F$43,2,FALSE)=0,"",VLOOKUP(UncLookup[[#This Row],[Item]],Items!$A$1:$F$43,2,FALSE))</f>
        <v/>
      </c>
      <c r="P1527" s="90" t="str">
        <f>IF(VLOOKUP(UncLookup[[#This Row],[Item]],Items!$A$1:$F$43,3,FALSE)=0,"",VLOOKUP(UncLookup[[#This Row],[Item]],Items!$A$1:$F$43,3,FALSE))</f>
        <v/>
      </c>
      <c r="Q1527" s="90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5" t="s">
        <v>55</v>
      </c>
      <c r="B1528" s="75" t="s">
        <v>91</v>
      </c>
      <c r="C1528" s="75">
        <v>-25</v>
      </c>
      <c r="D1528" s="75">
        <v>120.1</v>
      </c>
      <c r="E1528" s="75">
        <v>1</v>
      </c>
      <c r="F1528" s="75" t="s">
        <v>23</v>
      </c>
      <c r="G1528" s="75" t="s">
        <v>23</v>
      </c>
      <c r="H1528" s="75">
        <v>0</v>
      </c>
      <c r="I1528" s="75">
        <v>0</v>
      </c>
      <c r="J1528" s="75"/>
      <c r="K1528" s="75">
        <v>0.61728342700000005</v>
      </c>
      <c r="L1528" s="75">
        <v>0</v>
      </c>
      <c r="M1528" s="75">
        <v>0.60714521899999996</v>
      </c>
      <c r="N1528" s="75">
        <v>0</v>
      </c>
      <c r="O1528" s="90" t="str">
        <f>IF(VLOOKUP(UncLookup[[#This Row],[Item]],Items!$A$1:$F$43,2,FALSE)=0,"",VLOOKUP(UncLookup[[#This Row],[Item]],Items!$A$1:$F$43,2,FALSE))</f>
        <v/>
      </c>
      <c r="P1528" s="90" t="str">
        <f>IF(VLOOKUP(UncLookup[[#This Row],[Item]],Items!$A$1:$F$43,3,FALSE)=0,"",VLOOKUP(UncLookup[[#This Row],[Item]],Items!$A$1:$F$43,3,FALSE))</f>
        <v/>
      </c>
      <c r="Q1528" s="90" t="str">
        <f>IF(VLOOKUP(UncLookup[[#This Row],[Item]],Items!$A$1:$F$43,4,FALSE)=0,"",VLOOKUP(UncLookup[[#This Row],[Item]],Items!$A$1:$F$43,4,FALSE))</f>
        <v>K</v>
      </c>
    </row>
    <row r="1529" spans="1:17" x14ac:dyDescent="0.25">
      <c r="A1529" s="76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90" t="str">
        <f>IF(VLOOKUP(UncLookup[[#This Row],[Item]],Items!$A$1:$F$43,2,FALSE)=0,"",VLOOKUP(UncLookup[[#This Row],[Item]],Items!$A$1:$F$43,2,FALSE))</f>
        <v/>
      </c>
      <c r="P1529" s="90" t="str">
        <f>IF(VLOOKUP(UncLookup[[#This Row],[Item]],Items!$A$1:$F$43,3,FALSE)=0,"",VLOOKUP(UncLookup[[#This Row],[Item]],Items!$A$1:$F$43,3,FALSE))</f>
        <v/>
      </c>
      <c r="Q1529" s="90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5" t="s">
        <v>55</v>
      </c>
      <c r="B1530" s="75" t="s">
        <v>91</v>
      </c>
      <c r="C1530" s="75">
        <v>120</v>
      </c>
      <c r="D1530" s="75">
        <v>1000.1</v>
      </c>
      <c r="E1530" s="75">
        <v>1</v>
      </c>
      <c r="F1530" s="75" t="s">
        <v>23</v>
      </c>
      <c r="G1530" s="75" t="s">
        <v>23</v>
      </c>
      <c r="H1530" s="75">
        <v>0</v>
      </c>
      <c r="I1530" s="75">
        <v>0</v>
      </c>
      <c r="J1530" s="75"/>
      <c r="K1530" s="75">
        <v>0.65668817199999996</v>
      </c>
      <c r="L1530" s="75">
        <v>0</v>
      </c>
      <c r="M1530" s="75">
        <v>0.65161687099999999</v>
      </c>
      <c r="N1530" s="75">
        <v>0</v>
      </c>
      <c r="O1530" s="90" t="str">
        <f>IF(VLOOKUP(UncLookup[[#This Row],[Item]],Items!$A$1:$F$43,2,FALSE)=0,"",VLOOKUP(UncLookup[[#This Row],[Item]],Items!$A$1:$F$43,2,FALSE))</f>
        <v/>
      </c>
      <c r="P1530" s="90" t="str">
        <f>IF(VLOOKUP(UncLookup[[#This Row],[Item]],Items!$A$1:$F$43,3,FALSE)=0,"",VLOOKUP(UncLookup[[#This Row],[Item]],Items!$A$1:$F$43,3,FALSE))</f>
        <v/>
      </c>
      <c r="Q1530" s="90" t="str">
        <f>IF(VLOOKUP(UncLookup[[#This Row],[Item]],Items!$A$1:$F$43,4,FALSE)=0,"",VLOOKUP(UncLookup[[#This Row],[Item]],Items!$A$1:$F$43,4,FALSE))</f>
        <v>K</v>
      </c>
    </row>
    <row r="1531" spans="1:17" x14ac:dyDescent="0.25">
      <c r="A1531" s="76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90" t="str">
        <f>IF(VLOOKUP(UncLookup[[#This Row],[Item]],Items!$A$1:$F$43,2,FALSE)=0,"",VLOOKUP(UncLookup[[#This Row],[Item]],Items!$A$1:$F$43,2,FALSE))</f>
        <v/>
      </c>
      <c r="P1531" s="90" t="str">
        <f>IF(VLOOKUP(UncLookup[[#This Row],[Item]],Items!$A$1:$F$43,3,FALSE)=0,"",VLOOKUP(UncLookup[[#This Row],[Item]],Items!$A$1:$F$43,3,FALSE))</f>
        <v/>
      </c>
      <c r="Q1531" s="90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5" t="s">
        <v>55</v>
      </c>
      <c r="B1532" s="75" t="s">
        <v>91</v>
      </c>
      <c r="C1532" s="75">
        <v>1000</v>
      </c>
      <c r="D1532" s="75">
        <v>1372</v>
      </c>
      <c r="E1532" s="75">
        <v>1</v>
      </c>
      <c r="F1532" s="75" t="s">
        <v>23</v>
      </c>
      <c r="G1532" s="75" t="s">
        <v>23</v>
      </c>
      <c r="H1532" s="75">
        <v>0</v>
      </c>
      <c r="I1532" s="75">
        <v>0</v>
      </c>
      <c r="J1532" s="75"/>
      <c r="K1532" s="75">
        <v>0.74634382200000005</v>
      </c>
      <c r="L1532" s="75">
        <v>0</v>
      </c>
      <c r="M1532" s="75">
        <v>0.74015267399999995</v>
      </c>
      <c r="N1532" s="75">
        <v>0</v>
      </c>
      <c r="O1532" s="90" t="str">
        <f>IF(VLOOKUP(UncLookup[[#This Row],[Item]],Items!$A$1:$F$43,2,FALSE)=0,"",VLOOKUP(UncLookup[[#This Row],[Item]],Items!$A$1:$F$43,2,FALSE))</f>
        <v/>
      </c>
      <c r="P1532" s="90" t="str">
        <f>IF(VLOOKUP(UncLookup[[#This Row],[Item]],Items!$A$1:$F$43,3,FALSE)=0,"",VLOOKUP(UncLookup[[#This Row],[Item]],Items!$A$1:$F$43,3,FALSE))</f>
        <v/>
      </c>
      <c r="Q1532" s="90" t="str">
        <f>IF(VLOOKUP(UncLookup[[#This Row],[Item]],Items!$A$1:$F$43,4,FALSE)=0,"",VLOOKUP(UncLookup[[#This Row],[Item]],Items!$A$1:$F$43,4,FALSE))</f>
        <v>K</v>
      </c>
    </row>
    <row r="1533" spans="1:17" x14ac:dyDescent="0.25">
      <c r="A1533" s="76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90" t="str">
        <f>IF(VLOOKUP(UncLookup[[#This Row],[Item]],Items!$A$1:$F$43,2,FALSE)=0,"",VLOOKUP(UncLookup[[#This Row],[Item]],Items!$A$1:$F$43,2,FALSE))</f>
        <v/>
      </c>
      <c r="P1533" s="90" t="str">
        <f>IF(VLOOKUP(UncLookup[[#This Row],[Item]],Items!$A$1:$F$43,3,FALSE)=0,"",VLOOKUP(UncLookup[[#This Row],[Item]],Items!$A$1:$F$43,3,FALSE))</f>
        <v/>
      </c>
      <c r="Q1533" s="90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5" t="s">
        <v>55</v>
      </c>
      <c r="B1534" s="75" t="s">
        <v>91</v>
      </c>
      <c r="C1534" s="75">
        <v>1372</v>
      </c>
      <c r="D1534" s="75">
        <v>1372.1</v>
      </c>
      <c r="E1534" s="75">
        <v>1</v>
      </c>
      <c r="F1534" s="75" t="s">
        <v>23</v>
      </c>
      <c r="G1534" s="75" t="s">
        <v>23</v>
      </c>
      <c r="H1534" s="75">
        <v>0</v>
      </c>
      <c r="I1534" s="75">
        <v>0</v>
      </c>
      <c r="J1534" s="75"/>
      <c r="K1534" s="75">
        <v>0.74634382200000005</v>
      </c>
      <c r="L1534" s="75">
        <v>0</v>
      </c>
      <c r="M1534" s="75">
        <v>0.74015267399999995</v>
      </c>
      <c r="N1534" s="75">
        <v>0</v>
      </c>
      <c r="O1534" s="90" t="str">
        <f>IF(VLOOKUP(UncLookup[[#This Row],[Item]],Items!$A$1:$F$43,2,FALSE)=0,"",VLOOKUP(UncLookup[[#This Row],[Item]],Items!$A$1:$F$43,2,FALSE))</f>
        <v/>
      </c>
      <c r="P1534" s="90" t="str">
        <f>IF(VLOOKUP(UncLookup[[#This Row],[Item]],Items!$A$1:$F$43,3,FALSE)=0,"",VLOOKUP(UncLookup[[#This Row],[Item]],Items!$A$1:$F$43,3,FALSE))</f>
        <v/>
      </c>
      <c r="Q1534" s="90" t="str">
        <f>IF(VLOOKUP(UncLookup[[#This Row],[Item]],Items!$A$1:$F$43,4,FALSE)=0,"",VLOOKUP(UncLookup[[#This Row],[Item]],Items!$A$1:$F$43,4,FALSE))</f>
        <v>K</v>
      </c>
    </row>
    <row r="1535" spans="1:17" x14ac:dyDescent="0.25">
      <c r="A1535" s="76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90" t="str">
        <f>IF(VLOOKUP(UncLookup[[#This Row],[Item]],Items!$A$1:$F$43,2,FALSE)=0,"",VLOOKUP(UncLookup[[#This Row],[Item]],Items!$A$1:$F$43,2,FALSE))</f>
        <v/>
      </c>
      <c r="P1535" s="90" t="str">
        <f>IF(VLOOKUP(UncLookup[[#This Row],[Item]],Items!$A$1:$F$43,3,FALSE)=0,"",VLOOKUP(UncLookup[[#This Row],[Item]],Items!$A$1:$F$43,3,FALSE))</f>
        <v/>
      </c>
      <c r="Q1535" s="90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5" t="s">
        <v>55</v>
      </c>
      <c r="B1536" s="75" t="s">
        <v>92</v>
      </c>
      <c r="C1536" s="75">
        <v>-210</v>
      </c>
      <c r="D1536" s="75">
        <v>-99.9</v>
      </c>
      <c r="E1536" s="75">
        <v>1</v>
      </c>
      <c r="F1536" s="75" t="s">
        <v>23</v>
      </c>
      <c r="G1536" s="75" t="s">
        <v>23</v>
      </c>
      <c r="H1536" s="75">
        <v>0</v>
      </c>
      <c r="I1536" s="75">
        <v>0</v>
      </c>
      <c r="J1536" s="75"/>
      <c r="K1536" s="75">
        <v>0.66767094000000005</v>
      </c>
      <c r="L1536" s="75">
        <v>0</v>
      </c>
      <c r="M1536" s="75">
        <v>0.65733310899999997</v>
      </c>
      <c r="N1536" s="75">
        <v>0</v>
      </c>
      <c r="O1536" s="90" t="str">
        <f>IF(VLOOKUP(UncLookup[[#This Row],[Item]],Items!$A$1:$F$43,2,FALSE)=0,"",VLOOKUP(UncLookup[[#This Row],[Item]],Items!$A$1:$F$43,2,FALSE))</f>
        <v/>
      </c>
      <c r="P1536" s="90" t="str">
        <f>IF(VLOOKUP(UncLookup[[#This Row],[Item]],Items!$A$1:$F$43,3,FALSE)=0,"",VLOOKUP(UncLookup[[#This Row],[Item]],Items!$A$1:$F$43,3,FALSE))</f>
        <v/>
      </c>
      <c r="Q1536" s="90" t="str">
        <f>IF(VLOOKUP(UncLookup[[#This Row],[Item]],Items!$A$1:$F$43,4,FALSE)=0,"",VLOOKUP(UncLookup[[#This Row],[Item]],Items!$A$1:$F$43,4,FALSE))</f>
        <v>J</v>
      </c>
    </row>
    <row r="1537" spans="1:17" x14ac:dyDescent="0.25">
      <c r="A1537" s="76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90" t="str">
        <f>IF(VLOOKUP(UncLookup[[#This Row],[Item]],Items!$A$1:$F$43,2,FALSE)=0,"",VLOOKUP(UncLookup[[#This Row],[Item]],Items!$A$1:$F$43,2,FALSE))</f>
        <v/>
      </c>
      <c r="P1537" s="90" t="str">
        <f>IF(VLOOKUP(UncLookup[[#This Row],[Item]],Items!$A$1:$F$43,3,FALSE)=0,"",VLOOKUP(UncLookup[[#This Row],[Item]],Items!$A$1:$F$43,3,FALSE))</f>
        <v/>
      </c>
      <c r="Q1537" s="90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5" t="s">
        <v>55</v>
      </c>
      <c r="B1538" s="75" t="s">
        <v>92</v>
      </c>
      <c r="C1538" s="75">
        <v>-100</v>
      </c>
      <c r="D1538" s="75">
        <v>-29.9</v>
      </c>
      <c r="E1538" s="75">
        <v>1</v>
      </c>
      <c r="F1538" s="75" t="s">
        <v>23</v>
      </c>
      <c r="G1538" s="75" t="s">
        <v>23</v>
      </c>
      <c r="H1538" s="75">
        <v>0</v>
      </c>
      <c r="I1538" s="75">
        <v>0</v>
      </c>
      <c r="J1538" s="75"/>
      <c r="K1538" s="75">
        <v>0.61518598599999996</v>
      </c>
      <c r="L1538" s="75">
        <v>0</v>
      </c>
      <c r="M1538" s="75">
        <v>0.60713145099999999</v>
      </c>
      <c r="N1538" s="75">
        <v>0</v>
      </c>
      <c r="O1538" s="90" t="str">
        <f>IF(VLOOKUP(UncLookup[[#This Row],[Item]],Items!$A$1:$F$43,2,FALSE)=0,"",VLOOKUP(UncLookup[[#This Row],[Item]],Items!$A$1:$F$43,2,FALSE))</f>
        <v/>
      </c>
      <c r="P1538" s="90" t="str">
        <f>IF(VLOOKUP(UncLookup[[#This Row],[Item]],Items!$A$1:$F$43,3,FALSE)=0,"",VLOOKUP(UncLookup[[#This Row],[Item]],Items!$A$1:$F$43,3,FALSE))</f>
        <v/>
      </c>
      <c r="Q1538" s="90" t="str">
        <f>IF(VLOOKUP(UncLookup[[#This Row],[Item]],Items!$A$1:$F$43,4,FALSE)=0,"",VLOOKUP(UncLookup[[#This Row],[Item]],Items!$A$1:$F$43,4,FALSE))</f>
        <v>J</v>
      </c>
    </row>
    <row r="1539" spans="1:17" x14ac:dyDescent="0.25">
      <c r="A1539" s="76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90" t="str">
        <f>IF(VLOOKUP(UncLookup[[#This Row],[Item]],Items!$A$1:$F$43,2,FALSE)=0,"",VLOOKUP(UncLookup[[#This Row],[Item]],Items!$A$1:$F$43,2,FALSE))</f>
        <v/>
      </c>
      <c r="P1539" s="90" t="str">
        <f>IF(VLOOKUP(UncLookup[[#This Row],[Item]],Items!$A$1:$F$43,3,FALSE)=0,"",VLOOKUP(UncLookup[[#This Row],[Item]],Items!$A$1:$F$43,3,FALSE))</f>
        <v/>
      </c>
      <c r="Q1539" s="90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5" t="s">
        <v>55</v>
      </c>
      <c r="B1540" s="75" t="s">
        <v>92</v>
      </c>
      <c r="C1540" s="75">
        <v>-30</v>
      </c>
      <c r="D1540" s="75">
        <v>150.1</v>
      </c>
      <c r="E1540" s="75">
        <v>1</v>
      </c>
      <c r="F1540" s="75" t="s">
        <v>23</v>
      </c>
      <c r="G1540" s="75" t="s">
        <v>23</v>
      </c>
      <c r="H1540" s="75">
        <v>0</v>
      </c>
      <c r="I1540" s="75">
        <v>0</v>
      </c>
      <c r="J1540" s="75"/>
      <c r="K1540" s="75">
        <v>0.60862624499999995</v>
      </c>
      <c r="L1540" s="75">
        <v>0</v>
      </c>
      <c r="M1540" s="75">
        <v>0.60048372800000005</v>
      </c>
      <c r="N1540" s="75">
        <v>0</v>
      </c>
      <c r="O1540" s="90" t="str">
        <f>IF(VLOOKUP(UncLookup[[#This Row],[Item]],Items!$A$1:$F$43,2,FALSE)=0,"",VLOOKUP(UncLookup[[#This Row],[Item]],Items!$A$1:$F$43,2,FALSE))</f>
        <v/>
      </c>
      <c r="P1540" s="90" t="str">
        <f>IF(VLOOKUP(UncLookup[[#This Row],[Item]],Items!$A$1:$F$43,3,FALSE)=0,"",VLOOKUP(UncLookup[[#This Row],[Item]],Items!$A$1:$F$43,3,FALSE))</f>
        <v/>
      </c>
      <c r="Q1540" s="90" t="str">
        <f>IF(VLOOKUP(UncLookup[[#This Row],[Item]],Items!$A$1:$F$43,4,FALSE)=0,"",VLOOKUP(UncLookup[[#This Row],[Item]],Items!$A$1:$F$43,4,FALSE))</f>
        <v>J</v>
      </c>
    </row>
    <row r="1541" spans="1:17" x14ac:dyDescent="0.25">
      <c r="A1541" s="76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90" t="str">
        <f>IF(VLOOKUP(UncLookup[[#This Row],[Item]],Items!$A$1:$F$43,2,FALSE)=0,"",VLOOKUP(UncLookup[[#This Row],[Item]],Items!$A$1:$F$43,2,FALSE))</f>
        <v/>
      </c>
      <c r="P1541" s="90" t="str">
        <f>IF(VLOOKUP(UncLookup[[#This Row],[Item]],Items!$A$1:$F$43,3,FALSE)=0,"",VLOOKUP(UncLookup[[#This Row],[Item]],Items!$A$1:$F$43,3,FALSE))</f>
        <v/>
      </c>
      <c r="Q1541" s="90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5" t="s">
        <v>55</v>
      </c>
      <c r="B1542" s="75" t="s">
        <v>92</v>
      </c>
      <c r="C1542" s="75">
        <v>150</v>
      </c>
      <c r="D1542" s="75">
        <v>760.1</v>
      </c>
      <c r="E1542" s="75">
        <v>1</v>
      </c>
      <c r="F1542" s="75" t="s">
        <v>23</v>
      </c>
      <c r="G1542" s="75" t="s">
        <v>23</v>
      </c>
      <c r="H1542" s="75">
        <v>0</v>
      </c>
      <c r="I1542" s="75">
        <v>0</v>
      </c>
      <c r="J1542" s="75"/>
      <c r="K1542" s="75">
        <v>0.61296338699999997</v>
      </c>
      <c r="L1542" s="75">
        <v>0</v>
      </c>
      <c r="M1542" s="75">
        <v>0.61068959</v>
      </c>
      <c r="N1542" s="75">
        <v>0</v>
      </c>
      <c r="O1542" s="90" t="str">
        <f>IF(VLOOKUP(UncLookup[[#This Row],[Item]],Items!$A$1:$F$43,2,FALSE)=0,"",VLOOKUP(UncLookup[[#This Row],[Item]],Items!$A$1:$F$43,2,FALSE))</f>
        <v/>
      </c>
      <c r="P1542" s="90" t="str">
        <f>IF(VLOOKUP(UncLookup[[#This Row],[Item]],Items!$A$1:$F$43,3,FALSE)=0,"",VLOOKUP(UncLookup[[#This Row],[Item]],Items!$A$1:$F$43,3,FALSE))</f>
        <v/>
      </c>
      <c r="Q1542" s="90" t="str">
        <f>IF(VLOOKUP(UncLookup[[#This Row],[Item]],Items!$A$1:$F$43,4,FALSE)=0,"",VLOOKUP(UncLookup[[#This Row],[Item]],Items!$A$1:$F$43,4,FALSE))</f>
        <v>J</v>
      </c>
    </row>
    <row r="1543" spans="1:17" x14ac:dyDescent="0.25">
      <c r="A1543" s="76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90" t="str">
        <f>IF(VLOOKUP(UncLookup[[#This Row],[Item]],Items!$A$1:$F$43,2,FALSE)=0,"",VLOOKUP(UncLookup[[#This Row],[Item]],Items!$A$1:$F$43,2,FALSE))</f>
        <v/>
      </c>
      <c r="P1543" s="90" t="str">
        <f>IF(VLOOKUP(UncLookup[[#This Row],[Item]],Items!$A$1:$F$43,3,FALSE)=0,"",VLOOKUP(UncLookup[[#This Row],[Item]],Items!$A$1:$F$43,3,FALSE))</f>
        <v/>
      </c>
      <c r="Q1543" s="90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5" t="s">
        <v>55</v>
      </c>
      <c r="B1544" s="75" t="s">
        <v>92</v>
      </c>
      <c r="C1544" s="75">
        <v>760</v>
      </c>
      <c r="D1544" s="75">
        <v>1200</v>
      </c>
      <c r="E1544" s="75">
        <v>1</v>
      </c>
      <c r="F1544" s="75" t="s">
        <v>23</v>
      </c>
      <c r="G1544" s="75" t="s">
        <v>23</v>
      </c>
      <c r="H1544" s="75">
        <v>0</v>
      </c>
      <c r="I1544" s="75">
        <v>0</v>
      </c>
      <c r="J1544" s="75"/>
      <c r="K1544" s="75">
        <v>0.63853594400000002</v>
      </c>
      <c r="L1544" s="75">
        <v>0</v>
      </c>
      <c r="M1544" s="75">
        <v>0.636353528</v>
      </c>
      <c r="N1544" s="75">
        <v>0</v>
      </c>
      <c r="O1544" s="90" t="str">
        <f>IF(VLOOKUP(UncLookup[[#This Row],[Item]],Items!$A$1:$F$43,2,FALSE)=0,"",VLOOKUP(UncLookup[[#This Row],[Item]],Items!$A$1:$F$43,2,FALSE))</f>
        <v/>
      </c>
      <c r="P1544" s="90" t="str">
        <f>IF(VLOOKUP(UncLookup[[#This Row],[Item]],Items!$A$1:$F$43,3,FALSE)=0,"",VLOOKUP(UncLookup[[#This Row],[Item]],Items!$A$1:$F$43,3,FALSE))</f>
        <v/>
      </c>
      <c r="Q1544" s="90" t="str">
        <f>IF(VLOOKUP(UncLookup[[#This Row],[Item]],Items!$A$1:$F$43,4,FALSE)=0,"",VLOOKUP(UncLookup[[#This Row],[Item]],Items!$A$1:$F$43,4,FALSE))</f>
        <v>J</v>
      </c>
    </row>
    <row r="1545" spans="1:17" x14ac:dyDescent="0.25">
      <c r="A1545" s="76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90" t="str">
        <f>IF(VLOOKUP(UncLookup[[#This Row],[Item]],Items!$A$1:$F$43,2,FALSE)=0,"",VLOOKUP(UncLookup[[#This Row],[Item]],Items!$A$1:$F$43,2,FALSE))</f>
        <v/>
      </c>
      <c r="P1545" s="90" t="str">
        <f>IF(VLOOKUP(UncLookup[[#This Row],[Item]],Items!$A$1:$F$43,3,FALSE)=0,"",VLOOKUP(UncLookup[[#This Row],[Item]],Items!$A$1:$F$43,3,FALSE))</f>
        <v/>
      </c>
      <c r="Q1545" s="90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5" t="s">
        <v>55</v>
      </c>
      <c r="B1546" s="75" t="s">
        <v>92</v>
      </c>
      <c r="C1546" s="75">
        <v>1200</v>
      </c>
      <c r="D1546" s="75">
        <v>1200.0999999999999</v>
      </c>
      <c r="E1546" s="75">
        <v>1</v>
      </c>
      <c r="F1546" s="75" t="s">
        <v>23</v>
      </c>
      <c r="G1546" s="75" t="s">
        <v>23</v>
      </c>
      <c r="H1546" s="75">
        <v>0</v>
      </c>
      <c r="I1546" s="75">
        <v>0</v>
      </c>
      <c r="J1546" s="75"/>
      <c r="K1546" s="75">
        <v>0.63853594400000002</v>
      </c>
      <c r="L1546" s="75">
        <v>0</v>
      </c>
      <c r="M1546" s="75">
        <v>0.636353528</v>
      </c>
      <c r="N1546" s="75">
        <v>0</v>
      </c>
      <c r="O1546" s="90" t="str">
        <f>IF(VLOOKUP(UncLookup[[#This Row],[Item]],Items!$A$1:$F$43,2,FALSE)=0,"",VLOOKUP(UncLookup[[#This Row],[Item]],Items!$A$1:$F$43,2,FALSE))</f>
        <v/>
      </c>
      <c r="P1546" s="90" t="str">
        <f>IF(VLOOKUP(UncLookup[[#This Row],[Item]],Items!$A$1:$F$43,3,FALSE)=0,"",VLOOKUP(UncLookup[[#This Row],[Item]],Items!$A$1:$F$43,3,FALSE))</f>
        <v/>
      </c>
      <c r="Q1546" s="90" t="str">
        <f>IF(VLOOKUP(UncLookup[[#This Row],[Item]],Items!$A$1:$F$43,4,FALSE)=0,"",VLOOKUP(UncLookup[[#This Row],[Item]],Items!$A$1:$F$43,4,FALSE))</f>
        <v>J</v>
      </c>
    </row>
    <row r="1547" spans="1:17" x14ac:dyDescent="0.25">
      <c r="A1547" s="76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90" t="str">
        <f>IF(VLOOKUP(UncLookup[[#This Row],[Item]],Items!$A$1:$F$43,2,FALSE)=0,"",VLOOKUP(UncLookup[[#This Row],[Item]],Items!$A$1:$F$43,2,FALSE))</f>
        <v/>
      </c>
      <c r="P1547" s="90" t="str">
        <f>IF(VLOOKUP(UncLookup[[#This Row],[Item]],Items!$A$1:$F$43,3,FALSE)=0,"",VLOOKUP(UncLookup[[#This Row],[Item]],Items!$A$1:$F$43,3,FALSE))</f>
        <v/>
      </c>
      <c r="Q1547" s="90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5" t="s">
        <v>55</v>
      </c>
      <c r="B1548" s="75" t="s">
        <v>93</v>
      </c>
      <c r="C1548" s="75">
        <v>-250</v>
      </c>
      <c r="D1548" s="75">
        <v>-99.9</v>
      </c>
      <c r="E1548" s="75">
        <v>1</v>
      </c>
      <c r="F1548" s="75" t="s">
        <v>23</v>
      </c>
      <c r="G1548" s="75" t="s">
        <v>23</v>
      </c>
      <c r="H1548" s="75">
        <v>0</v>
      </c>
      <c r="I1548" s="75">
        <v>0</v>
      </c>
      <c r="J1548" s="75"/>
      <c r="K1548" s="75">
        <v>0.82286180799999997</v>
      </c>
      <c r="L1548" s="75">
        <v>0</v>
      </c>
      <c r="M1548" s="75">
        <v>0.81816661899999998</v>
      </c>
      <c r="N1548" s="75">
        <v>0</v>
      </c>
      <c r="O1548" s="90" t="str">
        <f>IF(VLOOKUP(UncLookup[[#This Row],[Item]],Items!$A$1:$F$43,2,FALSE)=0,"",VLOOKUP(UncLookup[[#This Row],[Item]],Items!$A$1:$F$43,2,FALSE))</f>
        <v/>
      </c>
      <c r="P1548" s="90" t="str">
        <f>IF(VLOOKUP(UncLookup[[#This Row],[Item]],Items!$A$1:$F$43,3,FALSE)=0,"",VLOOKUP(UncLookup[[#This Row],[Item]],Items!$A$1:$F$43,3,FALSE))</f>
        <v/>
      </c>
      <c r="Q1548" s="90" t="str">
        <f>IF(VLOOKUP(UncLookup[[#This Row],[Item]],Items!$A$1:$F$43,4,FALSE)=0,"",VLOOKUP(UncLookup[[#This Row],[Item]],Items!$A$1:$F$43,4,FALSE))</f>
        <v>E</v>
      </c>
    </row>
    <row r="1549" spans="1:17" x14ac:dyDescent="0.25">
      <c r="A1549" s="76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90" t="str">
        <f>IF(VLOOKUP(UncLookup[[#This Row],[Item]],Items!$A$1:$F$43,2,FALSE)=0,"",VLOOKUP(UncLookup[[#This Row],[Item]],Items!$A$1:$F$43,2,FALSE))</f>
        <v/>
      </c>
      <c r="P1549" s="90" t="str">
        <f>IF(VLOOKUP(UncLookup[[#This Row],[Item]],Items!$A$1:$F$43,3,FALSE)=0,"",VLOOKUP(UncLookup[[#This Row],[Item]],Items!$A$1:$F$43,3,FALSE))</f>
        <v/>
      </c>
      <c r="Q1549" s="90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5" t="s">
        <v>55</v>
      </c>
      <c r="B1550" s="75" t="s">
        <v>93</v>
      </c>
      <c r="C1550" s="75">
        <v>-100</v>
      </c>
      <c r="D1550" s="75">
        <v>-24.9</v>
      </c>
      <c r="E1550" s="75">
        <v>1</v>
      </c>
      <c r="F1550" s="75" t="s">
        <v>23</v>
      </c>
      <c r="G1550" s="75" t="s">
        <v>23</v>
      </c>
      <c r="H1550" s="75">
        <v>0</v>
      </c>
      <c r="I1550" s="75">
        <v>0</v>
      </c>
      <c r="J1550" s="75"/>
      <c r="K1550" s="75">
        <v>0.60873868600000003</v>
      </c>
      <c r="L1550" s="75">
        <v>0</v>
      </c>
      <c r="M1550" s="75">
        <v>0.60750687699999995</v>
      </c>
      <c r="N1550" s="75">
        <v>0</v>
      </c>
      <c r="O1550" s="90" t="str">
        <f>IF(VLOOKUP(UncLookup[[#This Row],[Item]],Items!$A$1:$F$43,2,FALSE)=0,"",VLOOKUP(UncLookup[[#This Row],[Item]],Items!$A$1:$F$43,2,FALSE))</f>
        <v/>
      </c>
      <c r="P1550" s="90" t="str">
        <f>IF(VLOOKUP(UncLookup[[#This Row],[Item]],Items!$A$1:$F$43,3,FALSE)=0,"",VLOOKUP(UncLookup[[#This Row],[Item]],Items!$A$1:$F$43,3,FALSE))</f>
        <v/>
      </c>
      <c r="Q1550" s="90" t="str">
        <f>IF(VLOOKUP(UncLookup[[#This Row],[Item]],Items!$A$1:$F$43,4,FALSE)=0,"",VLOOKUP(UncLookup[[#This Row],[Item]],Items!$A$1:$F$43,4,FALSE))</f>
        <v>E</v>
      </c>
    </row>
    <row r="1551" spans="1:17" x14ac:dyDescent="0.25">
      <c r="A1551" s="76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90" t="str">
        <f>IF(VLOOKUP(UncLookup[[#This Row],[Item]],Items!$A$1:$F$43,2,FALSE)=0,"",VLOOKUP(UncLookup[[#This Row],[Item]],Items!$A$1:$F$43,2,FALSE))</f>
        <v/>
      </c>
      <c r="P1551" s="90" t="str">
        <f>IF(VLOOKUP(UncLookup[[#This Row],[Item]],Items!$A$1:$F$43,3,FALSE)=0,"",VLOOKUP(UncLookup[[#This Row],[Item]],Items!$A$1:$F$43,3,FALSE))</f>
        <v/>
      </c>
      <c r="Q1551" s="90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5" t="s">
        <v>55</v>
      </c>
      <c r="B1552" s="75" t="s">
        <v>93</v>
      </c>
      <c r="C1552" s="75">
        <v>-25</v>
      </c>
      <c r="D1552" s="75">
        <v>350.1</v>
      </c>
      <c r="E1552" s="75">
        <v>1</v>
      </c>
      <c r="F1552" s="75" t="s">
        <v>23</v>
      </c>
      <c r="G1552" s="75" t="s">
        <v>23</v>
      </c>
      <c r="H1552" s="75">
        <v>0</v>
      </c>
      <c r="I1552" s="75">
        <v>0</v>
      </c>
      <c r="J1552" s="75"/>
      <c r="K1552" s="75">
        <v>0.60171315400000003</v>
      </c>
      <c r="L1552" s="75">
        <v>0</v>
      </c>
      <c r="M1552" s="75">
        <v>0.60046693299999998</v>
      </c>
      <c r="N1552" s="75">
        <v>0</v>
      </c>
      <c r="O1552" s="90" t="str">
        <f>IF(VLOOKUP(UncLookup[[#This Row],[Item]],Items!$A$1:$F$43,2,FALSE)=0,"",VLOOKUP(UncLookup[[#This Row],[Item]],Items!$A$1:$F$43,2,FALSE))</f>
        <v/>
      </c>
      <c r="P1552" s="90" t="str">
        <f>IF(VLOOKUP(UncLookup[[#This Row],[Item]],Items!$A$1:$F$43,3,FALSE)=0,"",VLOOKUP(UncLookup[[#This Row],[Item]],Items!$A$1:$F$43,3,FALSE))</f>
        <v/>
      </c>
      <c r="Q1552" s="90" t="str">
        <f>IF(VLOOKUP(UncLookup[[#This Row],[Item]],Items!$A$1:$F$43,4,FALSE)=0,"",VLOOKUP(UncLookup[[#This Row],[Item]],Items!$A$1:$F$43,4,FALSE))</f>
        <v>E</v>
      </c>
    </row>
    <row r="1553" spans="1:17" x14ac:dyDescent="0.25">
      <c r="A1553" s="76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90" t="str">
        <f>IF(VLOOKUP(UncLookup[[#This Row],[Item]],Items!$A$1:$F$43,2,FALSE)=0,"",VLOOKUP(UncLookup[[#This Row],[Item]],Items!$A$1:$F$43,2,FALSE))</f>
        <v/>
      </c>
      <c r="P1553" s="90" t="str">
        <f>IF(VLOOKUP(UncLookup[[#This Row],[Item]],Items!$A$1:$F$43,3,FALSE)=0,"",VLOOKUP(UncLookup[[#This Row],[Item]],Items!$A$1:$F$43,3,FALSE))</f>
        <v/>
      </c>
      <c r="Q1553" s="90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5" t="s">
        <v>55</v>
      </c>
      <c r="B1554" s="75" t="s">
        <v>93</v>
      </c>
      <c r="C1554" s="75">
        <v>350</v>
      </c>
      <c r="D1554" s="75">
        <v>650.1</v>
      </c>
      <c r="E1554" s="75">
        <v>1</v>
      </c>
      <c r="F1554" s="75" t="s">
        <v>23</v>
      </c>
      <c r="G1554" s="75" t="s">
        <v>23</v>
      </c>
      <c r="H1554" s="75">
        <v>0</v>
      </c>
      <c r="I1554" s="75">
        <v>0</v>
      </c>
      <c r="J1554" s="75"/>
      <c r="K1554" s="75">
        <v>0.60776950100000005</v>
      </c>
      <c r="L1554" s="75">
        <v>0</v>
      </c>
      <c r="M1554" s="75">
        <v>0.60706479199999996</v>
      </c>
      <c r="N1554" s="75">
        <v>0</v>
      </c>
      <c r="O1554" s="90" t="str">
        <f>IF(VLOOKUP(UncLookup[[#This Row],[Item]],Items!$A$1:$F$43,2,FALSE)=0,"",VLOOKUP(UncLookup[[#This Row],[Item]],Items!$A$1:$F$43,2,FALSE))</f>
        <v/>
      </c>
      <c r="P1554" s="90" t="str">
        <f>IF(VLOOKUP(UncLookup[[#This Row],[Item]],Items!$A$1:$F$43,3,FALSE)=0,"",VLOOKUP(UncLookup[[#This Row],[Item]],Items!$A$1:$F$43,3,FALSE))</f>
        <v/>
      </c>
      <c r="Q1554" s="90" t="str">
        <f>IF(VLOOKUP(UncLookup[[#This Row],[Item]],Items!$A$1:$F$43,4,FALSE)=0,"",VLOOKUP(UncLookup[[#This Row],[Item]],Items!$A$1:$F$43,4,FALSE))</f>
        <v>E</v>
      </c>
    </row>
    <row r="1555" spans="1:17" x14ac:dyDescent="0.25">
      <c r="A1555" s="76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90" t="str">
        <f>IF(VLOOKUP(UncLookup[[#This Row],[Item]],Items!$A$1:$F$43,2,FALSE)=0,"",VLOOKUP(UncLookup[[#This Row],[Item]],Items!$A$1:$F$43,2,FALSE))</f>
        <v/>
      </c>
      <c r="P1555" s="90" t="str">
        <f>IF(VLOOKUP(UncLookup[[#This Row],[Item]],Items!$A$1:$F$43,3,FALSE)=0,"",VLOOKUP(UncLookup[[#This Row],[Item]],Items!$A$1:$F$43,3,FALSE))</f>
        <v/>
      </c>
      <c r="Q1555" s="90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5" t="s">
        <v>55</v>
      </c>
      <c r="B1556" s="75" t="s">
        <v>93</v>
      </c>
      <c r="C1556" s="75">
        <v>650</v>
      </c>
      <c r="D1556" s="75">
        <v>1000</v>
      </c>
      <c r="E1556" s="75">
        <v>1</v>
      </c>
      <c r="F1556" s="75" t="s">
        <v>23</v>
      </c>
      <c r="G1556" s="75" t="s">
        <v>23</v>
      </c>
      <c r="H1556" s="75">
        <v>0</v>
      </c>
      <c r="I1556" s="75">
        <v>0</v>
      </c>
      <c r="J1556" s="75"/>
      <c r="K1556" s="75">
        <v>0.62773495000000001</v>
      </c>
      <c r="L1556" s="75">
        <v>0</v>
      </c>
      <c r="M1556" s="75">
        <v>0.62705268000000003</v>
      </c>
      <c r="N1556" s="75">
        <v>0</v>
      </c>
      <c r="O1556" s="90" t="str">
        <f>IF(VLOOKUP(UncLookup[[#This Row],[Item]],Items!$A$1:$F$43,2,FALSE)=0,"",VLOOKUP(UncLookup[[#This Row],[Item]],Items!$A$1:$F$43,2,FALSE))</f>
        <v/>
      </c>
      <c r="P1556" s="90" t="str">
        <f>IF(VLOOKUP(UncLookup[[#This Row],[Item]],Items!$A$1:$F$43,3,FALSE)=0,"",VLOOKUP(UncLookup[[#This Row],[Item]],Items!$A$1:$F$43,3,FALSE))</f>
        <v/>
      </c>
      <c r="Q1556" s="90" t="str">
        <f>IF(VLOOKUP(UncLookup[[#This Row],[Item]],Items!$A$1:$F$43,4,FALSE)=0,"",VLOOKUP(UncLookup[[#This Row],[Item]],Items!$A$1:$F$43,4,FALSE))</f>
        <v>E</v>
      </c>
    </row>
    <row r="1557" spans="1:17" x14ac:dyDescent="0.25">
      <c r="A1557" s="76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90" t="str">
        <f>IF(VLOOKUP(UncLookup[[#This Row],[Item]],Items!$A$1:$F$43,2,FALSE)=0,"",VLOOKUP(UncLookup[[#This Row],[Item]],Items!$A$1:$F$43,2,FALSE))</f>
        <v/>
      </c>
      <c r="P1557" s="90" t="str">
        <f>IF(VLOOKUP(UncLookup[[#This Row],[Item]],Items!$A$1:$F$43,3,FALSE)=0,"",VLOOKUP(UncLookup[[#This Row],[Item]],Items!$A$1:$F$43,3,FALSE))</f>
        <v/>
      </c>
      <c r="Q1557" s="90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5" t="s">
        <v>55</v>
      </c>
      <c r="B1558" s="75" t="s">
        <v>93</v>
      </c>
      <c r="C1558" s="75">
        <v>1000</v>
      </c>
      <c r="D1558" s="75">
        <v>1000.1</v>
      </c>
      <c r="E1558" s="75">
        <v>1</v>
      </c>
      <c r="F1558" s="75" t="s">
        <v>23</v>
      </c>
      <c r="G1558" s="75" t="s">
        <v>23</v>
      </c>
      <c r="H1558" s="75">
        <v>0</v>
      </c>
      <c r="I1558" s="75">
        <v>0</v>
      </c>
      <c r="J1558" s="75"/>
      <c r="K1558" s="75">
        <v>0.62773495000000001</v>
      </c>
      <c r="L1558" s="75">
        <v>0</v>
      </c>
      <c r="M1558" s="75">
        <v>0.62705268000000003</v>
      </c>
      <c r="N1558" s="75">
        <v>0</v>
      </c>
      <c r="O1558" s="90" t="str">
        <f>IF(VLOOKUP(UncLookup[[#This Row],[Item]],Items!$A$1:$F$43,2,FALSE)=0,"",VLOOKUP(UncLookup[[#This Row],[Item]],Items!$A$1:$F$43,2,FALSE))</f>
        <v/>
      </c>
      <c r="P1558" s="90" t="str">
        <f>IF(VLOOKUP(UncLookup[[#This Row],[Item]],Items!$A$1:$F$43,3,FALSE)=0,"",VLOOKUP(UncLookup[[#This Row],[Item]],Items!$A$1:$F$43,3,FALSE))</f>
        <v/>
      </c>
      <c r="Q1558" s="90" t="str">
        <f>IF(VLOOKUP(UncLookup[[#This Row],[Item]],Items!$A$1:$F$43,4,FALSE)=0,"",VLOOKUP(UncLookup[[#This Row],[Item]],Items!$A$1:$F$43,4,FALSE))</f>
        <v>E</v>
      </c>
    </row>
    <row r="1559" spans="1:17" x14ac:dyDescent="0.25">
      <c r="A1559" s="76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90" t="str">
        <f>IF(VLOOKUP(UncLookup[[#This Row],[Item]],Items!$A$1:$F$43,2,FALSE)=0,"",VLOOKUP(UncLookup[[#This Row],[Item]],Items!$A$1:$F$43,2,FALSE))</f>
        <v/>
      </c>
      <c r="P1559" s="90" t="str">
        <f>IF(VLOOKUP(UncLookup[[#This Row],[Item]],Items!$A$1:$F$43,3,FALSE)=0,"",VLOOKUP(UncLookup[[#This Row],[Item]],Items!$A$1:$F$43,3,FALSE))</f>
        <v/>
      </c>
      <c r="Q1559" s="90" t="str">
        <f>IF(VLOOKUP(UncLookup[[#This Row],[Item]],Items!$A$1:$F$43,4,FALSE)=0,"",VLOOKUP(UncLookup[[#This Row],[Item]],Items!$A$1:$F$43,4,FALSE))</f>
        <v/>
      </c>
    </row>
    <row r="1560" spans="1:17" x14ac:dyDescent="0.25">
      <c r="A1560" s="75" t="s">
        <v>55</v>
      </c>
      <c r="B1560" s="75" t="s">
        <v>14</v>
      </c>
      <c r="C1560" s="75">
        <v>2.1999999999999999E-10</v>
      </c>
      <c r="D1560" s="75">
        <v>3.3000000000000002E-9</v>
      </c>
      <c r="E1560" s="75">
        <v>9.9999999999999998E-13</v>
      </c>
      <c r="F1560" s="75" t="s">
        <v>142</v>
      </c>
      <c r="G1560" s="75" t="s">
        <v>15</v>
      </c>
      <c r="H1560" s="75">
        <v>0</v>
      </c>
      <c r="I1560" s="75">
        <v>0</v>
      </c>
      <c r="J1560" s="75"/>
      <c r="K1560" s="75">
        <v>1.2E-2</v>
      </c>
      <c r="L1560" s="75">
        <v>5800000</v>
      </c>
      <c r="M1560" s="75">
        <v>1.1563E-2</v>
      </c>
      <c r="N1560" s="75">
        <v>5772800</v>
      </c>
      <c r="O1560" s="90" t="str">
        <f>IF(VLOOKUP(UncLookup[[#This Row],[Item]],Items!$A$1:$F$43,2,FALSE)=0,"",VLOOKUP(UncLookup[[#This Row],[Item]],Items!$A$1:$F$43,2,FALSE))</f>
        <v/>
      </c>
      <c r="P1560" s="90" t="str">
        <f>IF(VLOOKUP(UncLookup[[#This Row],[Item]],Items!$A$1:$F$43,3,FALSE)=0,"",VLOOKUP(UncLookup[[#This Row],[Item]],Items!$A$1:$F$43,3,FALSE))</f>
        <v/>
      </c>
      <c r="Q1560" s="90" t="str">
        <f>IF(VLOOKUP(UncLookup[[#This Row],[Item]],Items!$A$1:$F$43,4,FALSE)=0,"",VLOOKUP(UncLookup[[#This Row],[Item]],Items!$A$1:$F$43,4,FALSE))</f>
        <v/>
      </c>
    </row>
    <row r="1561" spans="1:17" x14ac:dyDescent="0.25">
      <c r="A1561" s="76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90" t="str">
        <f>IF(VLOOKUP(UncLookup[[#This Row],[Item]],Items!$A$1:$F$43,2,FALSE)=0,"",VLOOKUP(UncLookup[[#This Row],[Item]],Items!$A$1:$F$43,2,FALSE))</f>
        <v/>
      </c>
      <c r="P1561" s="90" t="str">
        <f>IF(VLOOKUP(UncLookup[[#This Row],[Item]],Items!$A$1:$F$43,3,FALSE)=0,"",VLOOKUP(UncLookup[[#This Row],[Item]],Items!$A$1:$F$43,3,FALSE))</f>
        <v/>
      </c>
      <c r="Q1561" s="90" t="str">
        <f>IF(VLOOKUP(UncLookup[[#This Row],[Item]],Items!$A$1:$F$43,4,FALSE)=0,"",VLOOKUP(UncLookup[[#This Row],[Item]],Items!$A$1:$F$43,4,FALSE))</f>
        <v/>
      </c>
    </row>
    <row r="1562" spans="1:17" x14ac:dyDescent="0.25">
      <c r="A1562" s="75" t="s">
        <v>55</v>
      </c>
      <c r="B1562" s="75" t="s">
        <v>14</v>
      </c>
      <c r="C1562" s="75">
        <v>2.1999999999999999E-10</v>
      </c>
      <c r="D1562" s="75">
        <v>3.3000000000000002E-9</v>
      </c>
      <c r="E1562" s="75">
        <v>1E-10</v>
      </c>
      <c r="F1562" s="75" t="s">
        <v>142</v>
      </c>
      <c r="G1562" s="75" t="s">
        <v>15</v>
      </c>
      <c r="H1562" s="75">
        <v>0</v>
      </c>
      <c r="I1562" s="75">
        <v>0</v>
      </c>
      <c r="J1562" s="75"/>
      <c r="K1562" s="75">
        <v>5.8705E-2</v>
      </c>
      <c r="L1562" s="75">
        <v>2016900</v>
      </c>
      <c r="M1562" s="75">
        <v>5.8698E-2</v>
      </c>
      <c r="N1562" s="75">
        <v>2014500</v>
      </c>
      <c r="O1562" s="90" t="str">
        <f>IF(VLOOKUP(UncLookup[[#This Row],[Item]],Items!$A$1:$F$43,2,FALSE)=0,"",VLOOKUP(UncLookup[[#This Row],[Item]],Items!$A$1:$F$43,2,FALSE))</f>
        <v/>
      </c>
      <c r="P1562" s="90" t="str">
        <f>IF(VLOOKUP(UncLookup[[#This Row],[Item]],Items!$A$1:$F$43,3,FALSE)=0,"",VLOOKUP(UncLookup[[#This Row],[Item]],Items!$A$1:$F$43,3,FALSE))</f>
        <v/>
      </c>
      <c r="Q1562" s="90" t="str">
        <f>IF(VLOOKUP(UncLookup[[#This Row],[Item]],Items!$A$1:$F$43,4,FALSE)=0,"",VLOOKUP(UncLookup[[#This Row],[Item]],Items!$A$1:$F$43,4,FALSE))</f>
        <v/>
      </c>
    </row>
    <row r="1563" spans="1:17" x14ac:dyDescent="0.25">
      <c r="A1563" s="76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90" t="str">
        <f>IF(VLOOKUP(UncLookup[[#This Row],[Item]],Items!$A$1:$F$43,2,FALSE)=0,"",VLOOKUP(UncLookup[[#This Row],[Item]],Items!$A$1:$F$43,2,FALSE))</f>
        <v/>
      </c>
      <c r="P1563" s="90" t="str">
        <f>IF(VLOOKUP(UncLookup[[#This Row],[Item]],Items!$A$1:$F$43,3,FALSE)=0,"",VLOOKUP(UncLookup[[#This Row],[Item]],Items!$A$1:$F$43,3,FALSE))</f>
        <v/>
      </c>
      <c r="Q1563" s="90" t="str">
        <f>IF(VLOOKUP(UncLookup[[#This Row],[Item]],Items!$A$1:$F$43,4,FALSE)=0,"",VLOOKUP(UncLookup[[#This Row],[Item]],Items!$A$1:$F$43,4,FALSE))</f>
        <v/>
      </c>
    </row>
    <row r="1564" spans="1:17" x14ac:dyDescent="0.25">
      <c r="A1564" s="75" t="s">
        <v>55</v>
      </c>
      <c r="B1564" s="75" t="s">
        <v>14</v>
      </c>
      <c r="C1564" s="75">
        <v>3.3000000000000002E-9</v>
      </c>
      <c r="D1564" s="75">
        <v>1.0999999999999999E-8</v>
      </c>
      <c r="E1564" s="75">
        <v>9.9999999999999998E-13</v>
      </c>
      <c r="F1564" s="75" t="s">
        <v>142</v>
      </c>
      <c r="G1564" s="75" t="s">
        <v>15</v>
      </c>
      <c r="H1564" s="75">
        <v>0</v>
      </c>
      <c r="I1564" s="75">
        <v>0</v>
      </c>
      <c r="J1564" s="75"/>
      <c r="K1564" s="75">
        <v>1.2E-2</v>
      </c>
      <c r="L1564" s="75">
        <v>2900000</v>
      </c>
      <c r="M1564" s="75">
        <v>1.1575999999999999E-2</v>
      </c>
      <c r="N1564" s="75">
        <v>2885200</v>
      </c>
      <c r="O1564" s="90" t="str">
        <f>IF(VLOOKUP(UncLookup[[#This Row],[Item]],Items!$A$1:$F$43,2,FALSE)=0,"",VLOOKUP(UncLookup[[#This Row],[Item]],Items!$A$1:$F$43,2,FALSE))</f>
        <v/>
      </c>
      <c r="P1564" s="90" t="str">
        <f>IF(VLOOKUP(UncLookup[[#This Row],[Item]],Items!$A$1:$F$43,3,FALSE)=0,"",VLOOKUP(UncLookup[[#This Row],[Item]],Items!$A$1:$F$43,3,FALSE))</f>
        <v/>
      </c>
      <c r="Q1564" s="90" t="str">
        <f>IF(VLOOKUP(UncLookup[[#This Row],[Item]],Items!$A$1:$F$43,4,FALSE)=0,"",VLOOKUP(UncLookup[[#This Row],[Item]],Items!$A$1:$F$43,4,FALSE))</f>
        <v/>
      </c>
    </row>
    <row r="1565" spans="1:17" x14ac:dyDescent="0.25">
      <c r="A1565" s="76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90" t="str">
        <f>IF(VLOOKUP(UncLookup[[#This Row],[Item]],Items!$A$1:$F$43,2,FALSE)=0,"",VLOOKUP(UncLookup[[#This Row],[Item]],Items!$A$1:$F$43,2,FALSE))</f>
        <v/>
      </c>
      <c r="P1565" s="90" t="str">
        <f>IF(VLOOKUP(UncLookup[[#This Row],[Item]],Items!$A$1:$F$43,3,FALSE)=0,"",VLOOKUP(UncLookup[[#This Row],[Item]],Items!$A$1:$F$43,3,FALSE))</f>
        <v/>
      </c>
      <c r="Q1565" s="90" t="str">
        <f>IF(VLOOKUP(UncLookup[[#This Row],[Item]],Items!$A$1:$F$43,4,FALSE)=0,"",VLOOKUP(UncLookup[[#This Row],[Item]],Items!$A$1:$F$43,4,FALSE))</f>
        <v/>
      </c>
    </row>
    <row r="1566" spans="1:17" x14ac:dyDescent="0.25">
      <c r="A1566" s="75" t="s">
        <v>55</v>
      </c>
      <c r="B1566" s="75" t="s">
        <v>14</v>
      </c>
      <c r="C1566" s="75">
        <v>3.3000000000000002E-9</v>
      </c>
      <c r="D1566" s="75">
        <v>1.0999999999999999E-8</v>
      </c>
      <c r="E1566" s="75">
        <v>1E-10</v>
      </c>
      <c r="F1566" s="75" t="s">
        <v>142</v>
      </c>
      <c r="G1566" s="75" t="s">
        <v>15</v>
      </c>
      <c r="H1566" s="75">
        <v>0</v>
      </c>
      <c r="I1566" s="75">
        <v>0</v>
      </c>
      <c r="J1566" s="75"/>
      <c r="K1566" s="75">
        <v>5.6911000000000003E-2</v>
      </c>
      <c r="L1566" s="75">
        <v>1398700</v>
      </c>
      <c r="M1566" s="75">
        <v>5.6877999999999998E-2</v>
      </c>
      <c r="N1566" s="75">
        <v>1390600</v>
      </c>
      <c r="O1566" s="90" t="str">
        <f>IF(VLOOKUP(UncLookup[[#This Row],[Item]],Items!$A$1:$F$43,2,FALSE)=0,"",VLOOKUP(UncLookup[[#This Row],[Item]],Items!$A$1:$F$43,2,FALSE))</f>
        <v/>
      </c>
      <c r="P1566" s="90" t="str">
        <f>IF(VLOOKUP(UncLookup[[#This Row],[Item]],Items!$A$1:$F$43,3,FALSE)=0,"",VLOOKUP(UncLookup[[#This Row],[Item]],Items!$A$1:$F$43,3,FALSE))</f>
        <v/>
      </c>
      <c r="Q1566" s="90" t="str">
        <f>IF(VLOOKUP(UncLookup[[#This Row],[Item]],Items!$A$1:$F$43,4,FALSE)=0,"",VLOOKUP(UncLookup[[#This Row],[Item]],Items!$A$1:$F$43,4,FALSE))</f>
        <v/>
      </c>
    </row>
    <row r="1567" spans="1:17" x14ac:dyDescent="0.25">
      <c r="A1567" s="76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90" t="str">
        <f>IF(VLOOKUP(UncLookup[[#This Row],[Item]],Items!$A$1:$F$43,2,FALSE)=0,"",VLOOKUP(UncLookup[[#This Row],[Item]],Items!$A$1:$F$43,2,FALSE))</f>
        <v/>
      </c>
      <c r="P1567" s="90" t="str">
        <f>IF(VLOOKUP(UncLookup[[#This Row],[Item]],Items!$A$1:$F$43,3,FALSE)=0,"",VLOOKUP(UncLookup[[#This Row],[Item]],Items!$A$1:$F$43,3,FALSE))</f>
        <v/>
      </c>
      <c r="Q1567" s="90" t="str">
        <f>IF(VLOOKUP(UncLookup[[#This Row],[Item]],Items!$A$1:$F$43,4,FALSE)=0,"",VLOOKUP(UncLookup[[#This Row],[Item]],Items!$A$1:$F$43,4,FALSE))</f>
        <v/>
      </c>
    </row>
    <row r="1568" spans="1:17" x14ac:dyDescent="0.25">
      <c r="A1568" s="75" t="s">
        <v>55</v>
      </c>
      <c r="B1568" s="75" t="s">
        <v>14</v>
      </c>
      <c r="C1568" s="75">
        <v>1.0999999999999999E-8</v>
      </c>
      <c r="D1568" s="75">
        <v>3.2999999999999998E-8</v>
      </c>
      <c r="E1568" s="75">
        <v>9.9999999999999998E-13</v>
      </c>
      <c r="F1568" s="75" t="s">
        <v>142</v>
      </c>
      <c r="G1568" s="75" t="s">
        <v>15</v>
      </c>
      <c r="H1568" s="75">
        <v>0</v>
      </c>
      <c r="I1568" s="75">
        <v>0</v>
      </c>
      <c r="J1568" s="75"/>
      <c r="K1568" s="75">
        <v>0.12</v>
      </c>
      <c r="L1568" s="75">
        <v>2900000</v>
      </c>
      <c r="M1568" s="75">
        <v>0.11547</v>
      </c>
      <c r="N1568" s="75">
        <v>2886700</v>
      </c>
      <c r="O1568" s="90" t="str">
        <f>IF(VLOOKUP(UncLookup[[#This Row],[Item]],Items!$A$1:$F$43,2,FALSE)=0,"",VLOOKUP(UncLookup[[#This Row],[Item]],Items!$A$1:$F$43,2,FALSE))</f>
        <v/>
      </c>
      <c r="P1568" s="90" t="str">
        <f>IF(VLOOKUP(UncLookup[[#This Row],[Item]],Items!$A$1:$F$43,3,FALSE)=0,"",VLOOKUP(UncLookup[[#This Row],[Item]],Items!$A$1:$F$43,3,FALSE))</f>
        <v/>
      </c>
      <c r="Q1568" s="90" t="str">
        <f>IF(VLOOKUP(UncLookup[[#This Row],[Item]],Items!$A$1:$F$43,4,FALSE)=0,"",VLOOKUP(UncLookup[[#This Row],[Item]],Items!$A$1:$F$43,4,FALSE))</f>
        <v/>
      </c>
    </row>
    <row r="1569" spans="1:17" x14ac:dyDescent="0.25">
      <c r="A1569" s="76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90" t="str">
        <f>IF(VLOOKUP(UncLookup[[#This Row],[Item]],Items!$A$1:$F$43,2,FALSE)=0,"",VLOOKUP(UncLookup[[#This Row],[Item]],Items!$A$1:$F$43,2,FALSE))</f>
        <v/>
      </c>
      <c r="P1569" s="90" t="str">
        <f>IF(VLOOKUP(UncLookup[[#This Row],[Item]],Items!$A$1:$F$43,3,FALSE)=0,"",VLOOKUP(UncLookup[[#This Row],[Item]],Items!$A$1:$F$43,3,FALSE))</f>
        <v/>
      </c>
      <c r="Q1569" s="90" t="str">
        <f>IF(VLOOKUP(UncLookup[[#This Row],[Item]],Items!$A$1:$F$43,4,FALSE)=0,"",VLOOKUP(UncLookup[[#This Row],[Item]],Items!$A$1:$F$43,4,FALSE))</f>
        <v/>
      </c>
    </row>
    <row r="1570" spans="1:17" x14ac:dyDescent="0.25">
      <c r="A1570" s="75" t="s">
        <v>55</v>
      </c>
      <c r="B1570" s="75" t="s">
        <v>14</v>
      </c>
      <c r="C1570" s="75">
        <v>1.0999999999999999E-8</v>
      </c>
      <c r="D1570" s="75">
        <v>3.2999999999999998E-8</v>
      </c>
      <c r="E1570" s="75">
        <v>1E-10</v>
      </c>
      <c r="F1570" s="75" t="s">
        <v>142</v>
      </c>
      <c r="G1570" s="75" t="s">
        <v>15</v>
      </c>
      <c r="H1570" s="75">
        <v>0</v>
      </c>
      <c r="I1570" s="75">
        <v>0</v>
      </c>
      <c r="J1570" s="75"/>
      <c r="K1570" s="75">
        <v>0.12801000000000001</v>
      </c>
      <c r="L1570" s="75">
        <v>2745100</v>
      </c>
      <c r="M1570" s="75">
        <v>0.12797</v>
      </c>
      <c r="N1570" s="75">
        <v>2743500</v>
      </c>
      <c r="O1570" s="90" t="str">
        <f>IF(VLOOKUP(UncLookup[[#This Row],[Item]],Items!$A$1:$F$43,2,FALSE)=0,"",VLOOKUP(UncLookup[[#This Row],[Item]],Items!$A$1:$F$43,2,FALSE))</f>
        <v/>
      </c>
      <c r="P1570" s="90" t="str">
        <f>IF(VLOOKUP(UncLookup[[#This Row],[Item]],Items!$A$1:$F$43,3,FALSE)=0,"",VLOOKUP(UncLookup[[#This Row],[Item]],Items!$A$1:$F$43,3,FALSE))</f>
        <v/>
      </c>
      <c r="Q1570" s="90" t="str">
        <f>IF(VLOOKUP(UncLookup[[#This Row],[Item]],Items!$A$1:$F$43,4,FALSE)=0,"",VLOOKUP(UncLookup[[#This Row],[Item]],Items!$A$1:$F$43,4,FALSE))</f>
        <v/>
      </c>
    </row>
    <row r="1571" spans="1:17" x14ac:dyDescent="0.25">
      <c r="A1571" s="76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90" t="str">
        <f>IF(VLOOKUP(UncLookup[[#This Row],[Item]],Items!$A$1:$F$43,2,FALSE)=0,"",VLOOKUP(UncLookup[[#This Row],[Item]],Items!$A$1:$F$43,2,FALSE))</f>
        <v/>
      </c>
      <c r="P1571" s="90" t="str">
        <f>IF(VLOOKUP(UncLookup[[#This Row],[Item]],Items!$A$1:$F$43,3,FALSE)=0,"",VLOOKUP(UncLookup[[#This Row],[Item]],Items!$A$1:$F$43,3,FALSE))</f>
        <v/>
      </c>
      <c r="Q1571" s="90" t="str">
        <f>IF(VLOOKUP(UncLookup[[#This Row],[Item]],Items!$A$1:$F$43,4,FALSE)=0,"",VLOOKUP(UncLookup[[#This Row],[Item]],Items!$A$1:$F$43,4,FALSE))</f>
        <v/>
      </c>
    </row>
    <row r="1572" spans="1:17" x14ac:dyDescent="0.25">
      <c r="A1572" s="75" t="s">
        <v>55</v>
      </c>
      <c r="B1572" s="75" t="s">
        <v>14</v>
      </c>
      <c r="C1572" s="75">
        <v>1.0999999999999999E-8</v>
      </c>
      <c r="D1572" s="75">
        <v>3.2999999999999998E-8</v>
      </c>
      <c r="E1572" s="75">
        <v>1E-8</v>
      </c>
      <c r="F1572" s="75" t="s">
        <v>142</v>
      </c>
      <c r="G1572" s="75" t="s">
        <v>15</v>
      </c>
      <c r="H1572" s="75">
        <v>0</v>
      </c>
      <c r="I1572" s="75">
        <v>0</v>
      </c>
      <c r="J1572" s="75"/>
      <c r="K1572" s="75">
        <v>5.7744999999999997</v>
      </c>
      <c r="L1572" s="75">
        <v>853270</v>
      </c>
      <c r="M1572" s="75">
        <v>5.7744</v>
      </c>
      <c r="N1572" s="75">
        <v>89445</v>
      </c>
      <c r="O1572" s="90" t="str">
        <f>IF(VLOOKUP(UncLookup[[#This Row],[Item]],Items!$A$1:$F$43,2,FALSE)=0,"",VLOOKUP(UncLookup[[#This Row],[Item]],Items!$A$1:$F$43,2,FALSE))</f>
        <v/>
      </c>
      <c r="P1572" s="90" t="str">
        <f>IF(VLOOKUP(UncLookup[[#This Row],[Item]],Items!$A$1:$F$43,3,FALSE)=0,"",VLOOKUP(UncLookup[[#This Row],[Item]],Items!$A$1:$F$43,3,FALSE))</f>
        <v/>
      </c>
      <c r="Q1572" s="90" t="str">
        <f>IF(VLOOKUP(UncLookup[[#This Row],[Item]],Items!$A$1:$F$43,4,FALSE)=0,"",VLOOKUP(UncLookup[[#This Row],[Item]],Items!$A$1:$F$43,4,FALSE))</f>
        <v/>
      </c>
    </row>
    <row r="1573" spans="1:17" x14ac:dyDescent="0.25">
      <c r="A1573" s="76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90" t="str">
        <f>IF(VLOOKUP(UncLookup[[#This Row],[Item]],Items!$A$1:$F$43,2,FALSE)=0,"",VLOOKUP(UncLookup[[#This Row],[Item]],Items!$A$1:$F$43,2,FALSE))</f>
        <v/>
      </c>
      <c r="P1573" s="90" t="str">
        <f>IF(VLOOKUP(UncLookup[[#This Row],[Item]],Items!$A$1:$F$43,3,FALSE)=0,"",VLOOKUP(UncLookup[[#This Row],[Item]],Items!$A$1:$F$43,3,FALSE))</f>
        <v/>
      </c>
      <c r="Q1573" s="90" t="str">
        <f>IF(VLOOKUP(UncLookup[[#This Row],[Item]],Items!$A$1:$F$43,4,FALSE)=0,"",VLOOKUP(UncLookup[[#This Row],[Item]],Items!$A$1:$F$43,4,FALSE))</f>
        <v/>
      </c>
    </row>
    <row r="1574" spans="1:17" x14ac:dyDescent="0.25">
      <c r="A1574" s="75" t="s">
        <v>55</v>
      </c>
      <c r="B1574" s="75" t="s">
        <v>14</v>
      </c>
      <c r="C1574" s="75">
        <v>3.2999999999999998E-8</v>
      </c>
      <c r="D1574" s="75">
        <v>1.1000000000000001E-7</v>
      </c>
      <c r="E1574" s="75">
        <v>1E-10</v>
      </c>
      <c r="F1574" s="75" t="s">
        <v>142</v>
      </c>
      <c r="G1574" s="75" t="s">
        <v>15</v>
      </c>
      <c r="H1574" s="75">
        <v>0</v>
      </c>
      <c r="I1574" s="75">
        <v>0</v>
      </c>
      <c r="J1574" s="75"/>
      <c r="K1574" s="75">
        <v>0.12459000000000001</v>
      </c>
      <c r="L1574" s="75">
        <v>2858300</v>
      </c>
      <c r="M1574" s="75">
        <v>0.125</v>
      </c>
      <c r="N1574" s="75">
        <v>2835700</v>
      </c>
      <c r="O1574" s="90" t="str">
        <f>IF(VLOOKUP(UncLookup[[#This Row],[Item]],Items!$A$1:$F$43,2,FALSE)=0,"",VLOOKUP(UncLookup[[#This Row],[Item]],Items!$A$1:$F$43,2,FALSE))</f>
        <v/>
      </c>
      <c r="P1574" s="90" t="str">
        <f>IF(VLOOKUP(UncLookup[[#This Row],[Item]],Items!$A$1:$F$43,3,FALSE)=0,"",VLOOKUP(UncLookup[[#This Row],[Item]],Items!$A$1:$F$43,3,FALSE))</f>
        <v/>
      </c>
      <c r="Q1574" s="90" t="str">
        <f>IF(VLOOKUP(UncLookup[[#This Row],[Item]],Items!$A$1:$F$43,4,FALSE)=0,"",VLOOKUP(UncLookup[[#This Row],[Item]],Items!$A$1:$F$43,4,FALSE))</f>
        <v/>
      </c>
    </row>
    <row r="1575" spans="1:17" x14ac:dyDescent="0.25">
      <c r="A1575" s="76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90" t="str">
        <f>IF(VLOOKUP(UncLookup[[#This Row],[Item]],Items!$A$1:$F$43,2,FALSE)=0,"",VLOOKUP(UncLookup[[#This Row],[Item]],Items!$A$1:$F$43,2,FALSE))</f>
        <v/>
      </c>
      <c r="P1575" s="90" t="str">
        <f>IF(VLOOKUP(UncLookup[[#This Row],[Item]],Items!$A$1:$F$43,3,FALSE)=0,"",VLOOKUP(UncLookup[[#This Row],[Item]],Items!$A$1:$F$43,3,FALSE))</f>
        <v/>
      </c>
      <c r="Q1575" s="90" t="str">
        <f>IF(VLOOKUP(UncLookup[[#This Row],[Item]],Items!$A$1:$F$43,4,FALSE)=0,"",VLOOKUP(UncLookup[[#This Row],[Item]],Items!$A$1:$F$43,4,FALSE))</f>
        <v/>
      </c>
    </row>
    <row r="1576" spans="1:17" x14ac:dyDescent="0.25">
      <c r="A1576" s="75" t="s">
        <v>55</v>
      </c>
      <c r="B1576" s="75" t="s">
        <v>14</v>
      </c>
      <c r="C1576" s="75">
        <v>3.2999999999999998E-8</v>
      </c>
      <c r="D1576" s="75">
        <v>1.1000000000000001E-7</v>
      </c>
      <c r="E1576" s="75">
        <v>1E-8</v>
      </c>
      <c r="F1576" s="75" t="s">
        <v>142</v>
      </c>
      <c r="G1576" s="75" t="s">
        <v>15</v>
      </c>
      <c r="H1576" s="75">
        <v>0</v>
      </c>
      <c r="I1576" s="75">
        <v>0</v>
      </c>
      <c r="J1576" s="75"/>
      <c r="K1576" s="75">
        <v>5.7721999999999998</v>
      </c>
      <c r="L1576" s="75">
        <v>164700</v>
      </c>
      <c r="M1576" s="75">
        <v>5.7721</v>
      </c>
      <c r="N1576" s="75">
        <v>160690</v>
      </c>
      <c r="O1576" s="90" t="str">
        <f>IF(VLOOKUP(UncLookup[[#This Row],[Item]],Items!$A$1:$F$43,2,FALSE)=0,"",VLOOKUP(UncLookup[[#This Row],[Item]],Items!$A$1:$F$43,2,FALSE))</f>
        <v/>
      </c>
      <c r="P1576" s="90" t="str">
        <f>IF(VLOOKUP(UncLookup[[#This Row],[Item]],Items!$A$1:$F$43,3,FALSE)=0,"",VLOOKUP(UncLookup[[#This Row],[Item]],Items!$A$1:$F$43,3,FALSE))</f>
        <v/>
      </c>
      <c r="Q1576" s="90" t="str">
        <f>IF(VLOOKUP(UncLookup[[#This Row],[Item]],Items!$A$1:$F$43,4,FALSE)=0,"",VLOOKUP(UncLookup[[#This Row],[Item]],Items!$A$1:$F$43,4,FALSE))</f>
        <v/>
      </c>
    </row>
    <row r="1577" spans="1:17" x14ac:dyDescent="0.25">
      <c r="A1577" s="76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90" t="str">
        <f>IF(VLOOKUP(UncLookup[[#This Row],[Item]],Items!$A$1:$F$43,2,FALSE)=0,"",VLOOKUP(UncLookup[[#This Row],[Item]],Items!$A$1:$F$43,2,FALSE))</f>
        <v/>
      </c>
      <c r="P1577" s="90" t="str">
        <f>IF(VLOOKUP(UncLookup[[#This Row],[Item]],Items!$A$1:$F$43,3,FALSE)=0,"",VLOOKUP(UncLookup[[#This Row],[Item]],Items!$A$1:$F$43,3,FALSE))</f>
        <v/>
      </c>
      <c r="Q1577" s="90" t="str">
        <f>IF(VLOOKUP(UncLookup[[#This Row],[Item]],Items!$A$1:$F$43,4,FALSE)=0,"",VLOOKUP(UncLookup[[#This Row],[Item]],Items!$A$1:$F$43,4,FALSE))</f>
        <v/>
      </c>
    </row>
    <row r="1578" spans="1:17" x14ac:dyDescent="0.25">
      <c r="A1578" s="75" t="s">
        <v>55</v>
      </c>
      <c r="B1578" s="75" t="s">
        <v>14</v>
      </c>
      <c r="C1578" s="75">
        <v>1.1000000000000001E-7</v>
      </c>
      <c r="D1578" s="75">
        <v>3.3000000000000002E-7</v>
      </c>
      <c r="E1578" s="75">
        <v>1E-10</v>
      </c>
      <c r="F1578" s="75" t="s">
        <v>142</v>
      </c>
      <c r="G1578" s="75" t="s">
        <v>15</v>
      </c>
      <c r="H1578" s="75">
        <v>0</v>
      </c>
      <c r="I1578" s="75">
        <v>0</v>
      </c>
      <c r="J1578" s="75"/>
      <c r="K1578" s="75">
        <v>0.35</v>
      </c>
      <c r="L1578" s="75">
        <v>2900000</v>
      </c>
      <c r="M1578" s="75">
        <v>0.34958</v>
      </c>
      <c r="N1578" s="75">
        <v>2881200</v>
      </c>
      <c r="O1578" s="90" t="str">
        <f>IF(VLOOKUP(UncLookup[[#This Row],[Item]],Items!$A$1:$F$43,2,FALSE)=0,"",VLOOKUP(UncLookup[[#This Row],[Item]],Items!$A$1:$F$43,2,FALSE))</f>
        <v/>
      </c>
      <c r="P1578" s="90" t="str">
        <f>IF(VLOOKUP(UncLookup[[#This Row],[Item]],Items!$A$1:$F$43,3,FALSE)=0,"",VLOOKUP(UncLookup[[#This Row],[Item]],Items!$A$1:$F$43,3,FALSE))</f>
        <v/>
      </c>
      <c r="Q1578" s="90" t="str">
        <f>IF(VLOOKUP(UncLookup[[#This Row],[Item]],Items!$A$1:$F$43,4,FALSE)=0,"",VLOOKUP(UncLookup[[#This Row],[Item]],Items!$A$1:$F$43,4,FALSE))</f>
        <v/>
      </c>
    </row>
    <row r="1579" spans="1:17" x14ac:dyDescent="0.25">
      <c r="A1579" s="76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90" t="str">
        <f>IF(VLOOKUP(UncLookup[[#This Row],[Item]],Items!$A$1:$F$43,2,FALSE)=0,"",VLOOKUP(UncLookup[[#This Row],[Item]],Items!$A$1:$F$43,2,FALSE))</f>
        <v/>
      </c>
      <c r="P1579" s="90" t="str">
        <f>IF(VLOOKUP(UncLookup[[#This Row],[Item]],Items!$A$1:$F$43,3,FALSE)=0,"",VLOOKUP(UncLookup[[#This Row],[Item]],Items!$A$1:$F$43,3,FALSE))</f>
        <v/>
      </c>
      <c r="Q1579" s="90" t="str">
        <f>IF(VLOOKUP(UncLookup[[#This Row],[Item]],Items!$A$1:$F$43,4,FALSE)=0,"",VLOOKUP(UncLookup[[#This Row],[Item]],Items!$A$1:$F$43,4,FALSE))</f>
        <v/>
      </c>
    </row>
    <row r="1580" spans="1:17" x14ac:dyDescent="0.25">
      <c r="A1580" s="75" t="s">
        <v>55</v>
      </c>
      <c r="B1580" s="75" t="s">
        <v>14</v>
      </c>
      <c r="C1580" s="75">
        <v>1.1000000000000001E-7</v>
      </c>
      <c r="D1580" s="75">
        <v>3.3000000000000002E-7</v>
      </c>
      <c r="E1580" s="75">
        <v>1E-8</v>
      </c>
      <c r="F1580" s="75" t="s">
        <v>142</v>
      </c>
      <c r="G1580" s="75" t="s">
        <v>15</v>
      </c>
      <c r="H1580" s="75">
        <v>0</v>
      </c>
      <c r="I1580" s="75">
        <v>0</v>
      </c>
      <c r="J1580" s="75"/>
      <c r="K1580" s="75">
        <v>5.7584999999999997</v>
      </c>
      <c r="L1580" s="75">
        <v>484500</v>
      </c>
      <c r="M1580" s="75">
        <v>5.7584999999999997</v>
      </c>
      <c r="N1580" s="75">
        <v>483140</v>
      </c>
      <c r="O1580" s="90" t="str">
        <f>IF(VLOOKUP(UncLookup[[#This Row],[Item]],Items!$A$1:$F$43,2,FALSE)=0,"",VLOOKUP(UncLookup[[#This Row],[Item]],Items!$A$1:$F$43,2,FALSE))</f>
        <v/>
      </c>
      <c r="P1580" s="90" t="str">
        <f>IF(VLOOKUP(UncLookup[[#This Row],[Item]],Items!$A$1:$F$43,3,FALSE)=0,"",VLOOKUP(UncLookup[[#This Row],[Item]],Items!$A$1:$F$43,3,FALSE))</f>
        <v/>
      </c>
      <c r="Q1580" s="90" t="str">
        <f>IF(VLOOKUP(UncLookup[[#This Row],[Item]],Items!$A$1:$F$43,4,FALSE)=0,"",VLOOKUP(UncLookup[[#This Row],[Item]],Items!$A$1:$F$43,4,FALSE))</f>
        <v/>
      </c>
    </row>
    <row r="1581" spans="1:17" x14ac:dyDescent="0.25">
      <c r="A1581" s="76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90" t="str">
        <f>IF(VLOOKUP(UncLookup[[#This Row],[Item]],Items!$A$1:$F$43,2,FALSE)=0,"",VLOOKUP(UncLookup[[#This Row],[Item]],Items!$A$1:$F$43,2,FALSE))</f>
        <v/>
      </c>
      <c r="P1581" s="90" t="str">
        <f>IF(VLOOKUP(UncLookup[[#This Row],[Item]],Items!$A$1:$F$43,3,FALSE)=0,"",VLOOKUP(UncLookup[[#This Row],[Item]],Items!$A$1:$F$43,3,FALSE))</f>
        <v/>
      </c>
      <c r="Q1581" s="90" t="str">
        <f>IF(VLOOKUP(UncLookup[[#This Row],[Item]],Items!$A$1:$F$43,4,FALSE)=0,"",VLOOKUP(UncLookup[[#This Row],[Item]],Items!$A$1:$F$43,4,FALSE))</f>
        <v/>
      </c>
    </row>
    <row r="1582" spans="1:17" x14ac:dyDescent="0.25">
      <c r="A1582" s="75" t="s">
        <v>55</v>
      </c>
      <c r="B1582" s="75" t="s">
        <v>14</v>
      </c>
      <c r="C1582" s="75">
        <v>3.3000000000000002E-7</v>
      </c>
      <c r="D1582" s="75">
        <v>1.1000000000000001E-6</v>
      </c>
      <c r="E1582" s="75">
        <v>1.0000000000000001E-9</v>
      </c>
      <c r="F1582" s="75" t="s">
        <v>142</v>
      </c>
      <c r="G1582" s="75" t="s">
        <v>15</v>
      </c>
      <c r="H1582" s="75">
        <v>0</v>
      </c>
      <c r="I1582" s="75">
        <v>0</v>
      </c>
      <c r="J1582" s="75"/>
      <c r="K1582" s="75">
        <v>1.2438</v>
      </c>
      <c r="L1582" s="75">
        <v>2860200</v>
      </c>
      <c r="M1582" s="75">
        <v>1.2501</v>
      </c>
      <c r="N1582" s="75">
        <v>2835600</v>
      </c>
      <c r="O1582" s="90" t="str">
        <f>IF(VLOOKUP(UncLookup[[#This Row],[Item]],Items!$A$1:$F$43,2,FALSE)=0,"",VLOOKUP(UncLookup[[#This Row],[Item]],Items!$A$1:$F$43,2,FALSE))</f>
        <v/>
      </c>
      <c r="P1582" s="90" t="str">
        <f>IF(VLOOKUP(UncLookup[[#This Row],[Item]],Items!$A$1:$F$43,3,FALSE)=0,"",VLOOKUP(UncLookup[[#This Row],[Item]],Items!$A$1:$F$43,3,FALSE))</f>
        <v/>
      </c>
      <c r="Q1582" s="90" t="str">
        <f>IF(VLOOKUP(UncLookup[[#This Row],[Item]],Items!$A$1:$F$43,4,FALSE)=0,"",VLOOKUP(UncLookup[[#This Row],[Item]],Items!$A$1:$F$43,4,FALSE))</f>
        <v/>
      </c>
    </row>
    <row r="1583" spans="1:17" x14ac:dyDescent="0.25">
      <c r="A1583" s="76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90" t="str">
        <f>IF(VLOOKUP(UncLookup[[#This Row],[Item]],Items!$A$1:$F$43,2,FALSE)=0,"",VLOOKUP(UncLookup[[#This Row],[Item]],Items!$A$1:$F$43,2,FALSE))</f>
        <v/>
      </c>
      <c r="P1583" s="90" t="str">
        <f>IF(VLOOKUP(UncLookup[[#This Row],[Item]],Items!$A$1:$F$43,3,FALSE)=0,"",VLOOKUP(UncLookup[[#This Row],[Item]],Items!$A$1:$F$43,3,FALSE))</f>
        <v/>
      </c>
      <c r="Q1583" s="90" t="str">
        <f>IF(VLOOKUP(UncLookup[[#This Row],[Item]],Items!$A$1:$F$43,4,FALSE)=0,"",VLOOKUP(UncLookup[[#This Row],[Item]],Items!$A$1:$F$43,4,FALSE))</f>
        <v/>
      </c>
    </row>
    <row r="1584" spans="1:17" x14ac:dyDescent="0.25">
      <c r="A1584" s="75" t="s">
        <v>55</v>
      </c>
      <c r="B1584" s="75" t="s">
        <v>14</v>
      </c>
      <c r="C1584" s="75">
        <v>3.3000000000000002E-7</v>
      </c>
      <c r="D1584" s="75">
        <v>1.1001000000000001E-6</v>
      </c>
      <c r="E1584" s="75">
        <v>9.9999999999999995E-8</v>
      </c>
      <c r="F1584" s="75" t="s">
        <v>142</v>
      </c>
      <c r="G1584" s="75" t="s">
        <v>15</v>
      </c>
      <c r="H1584" s="75">
        <v>0</v>
      </c>
      <c r="I1584" s="75">
        <v>0</v>
      </c>
      <c r="J1584" s="75"/>
      <c r="K1584" s="75">
        <v>57.722000000000001</v>
      </c>
      <c r="L1584" s="75">
        <v>162480</v>
      </c>
      <c r="M1584" s="75">
        <v>57.720999999999997</v>
      </c>
      <c r="N1584" s="75">
        <v>160690</v>
      </c>
      <c r="O1584" s="90" t="str">
        <f>IF(VLOOKUP(UncLookup[[#This Row],[Item]],Items!$A$1:$F$43,2,FALSE)=0,"",VLOOKUP(UncLookup[[#This Row],[Item]],Items!$A$1:$F$43,2,FALSE))</f>
        <v/>
      </c>
      <c r="P1584" s="90" t="str">
        <f>IF(VLOOKUP(UncLookup[[#This Row],[Item]],Items!$A$1:$F$43,3,FALSE)=0,"",VLOOKUP(UncLookup[[#This Row],[Item]],Items!$A$1:$F$43,3,FALSE))</f>
        <v/>
      </c>
      <c r="Q1584" s="90" t="str">
        <f>IF(VLOOKUP(UncLookup[[#This Row],[Item]],Items!$A$1:$F$43,4,FALSE)=0,"",VLOOKUP(UncLookup[[#This Row],[Item]],Items!$A$1:$F$43,4,FALSE))</f>
        <v/>
      </c>
    </row>
    <row r="1585" spans="1:17" x14ac:dyDescent="0.25">
      <c r="A1585" s="76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90" t="str">
        <f>IF(VLOOKUP(UncLookup[[#This Row],[Item]],Items!$A$1:$F$43,2,FALSE)=0,"",VLOOKUP(UncLookup[[#This Row],[Item]],Items!$A$1:$F$43,2,FALSE))</f>
        <v/>
      </c>
      <c r="P1585" s="90" t="str">
        <f>IF(VLOOKUP(UncLookup[[#This Row],[Item]],Items!$A$1:$F$43,3,FALSE)=0,"",VLOOKUP(UncLookup[[#This Row],[Item]],Items!$A$1:$F$43,3,FALSE))</f>
        <v/>
      </c>
      <c r="Q1585" s="90" t="str">
        <f>IF(VLOOKUP(UncLookup[[#This Row],[Item]],Items!$A$1:$F$43,4,FALSE)=0,"",VLOOKUP(UncLookup[[#This Row],[Item]],Items!$A$1:$F$43,4,FALSE))</f>
        <v/>
      </c>
    </row>
    <row r="1586" spans="1:17" x14ac:dyDescent="0.25">
      <c r="A1586" s="75" t="s">
        <v>55</v>
      </c>
      <c r="B1586" s="75" t="s">
        <v>14</v>
      </c>
      <c r="C1586" s="75">
        <v>1.1000000000000001E-6</v>
      </c>
      <c r="D1586" s="75">
        <v>3.3001E-6</v>
      </c>
      <c r="E1586" s="75">
        <v>1.0000000000000001E-9</v>
      </c>
      <c r="F1586" s="75" t="s">
        <v>142</v>
      </c>
      <c r="G1586" s="75" t="s">
        <v>15</v>
      </c>
      <c r="H1586" s="75">
        <v>0</v>
      </c>
      <c r="I1586" s="75">
        <v>0</v>
      </c>
      <c r="J1586" s="75"/>
      <c r="K1586" s="75">
        <v>3.5</v>
      </c>
      <c r="L1586" s="75">
        <v>2900000</v>
      </c>
      <c r="M1586" s="75">
        <v>3.4958</v>
      </c>
      <c r="N1586" s="75">
        <v>2881200</v>
      </c>
      <c r="O1586" s="90" t="str">
        <f>IF(VLOOKUP(UncLookup[[#This Row],[Item]],Items!$A$1:$F$43,2,FALSE)=0,"",VLOOKUP(UncLookup[[#This Row],[Item]],Items!$A$1:$F$43,2,FALSE))</f>
        <v/>
      </c>
      <c r="P1586" s="90" t="str">
        <f>IF(VLOOKUP(UncLookup[[#This Row],[Item]],Items!$A$1:$F$43,3,FALSE)=0,"",VLOOKUP(UncLookup[[#This Row],[Item]],Items!$A$1:$F$43,3,FALSE))</f>
        <v/>
      </c>
      <c r="Q1586" s="90" t="str">
        <f>IF(VLOOKUP(UncLookup[[#This Row],[Item]],Items!$A$1:$F$43,4,FALSE)=0,"",VLOOKUP(UncLookup[[#This Row],[Item]],Items!$A$1:$F$43,4,FALSE))</f>
        <v/>
      </c>
    </row>
    <row r="1587" spans="1:17" x14ac:dyDescent="0.25">
      <c r="A1587" s="76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90" t="str">
        <f>IF(VLOOKUP(UncLookup[[#This Row],[Item]],Items!$A$1:$F$43,2,FALSE)=0,"",VLOOKUP(UncLookup[[#This Row],[Item]],Items!$A$1:$F$43,2,FALSE))</f>
        <v/>
      </c>
      <c r="P1587" s="90" t="str">
        <f>IF(VLOOKUP(UncLookup[[#This Row],[Item]],Items!$A$1:$F$43,3,FALSE)=0,"",VLOOKUP(UncLookup[[#This Row],[Item]],Items!$A$1:$F$43,3,FALSE))</f>
        <v/>
      </c>
      <c r="Q1587" s="90" t="str">
        <f>IF(VLOOKUP(UncLookup[[#This Row],[Item]],Items!$A$1:$F$43,4,FALSE)=0,"",VLOOKUP(UncLookup[[#This Row],[Item]],Items!$A$1:$F$43,4,FALSE))</f>
        <v/>
      </c>
    </row>
    <row r="1588" spans="1:17" x14ac:dyDescent="0.25">
      <c r="A1588" s="75" t="s">
        <v>55</v>
      </c>
      <c r="B1588" s="75" t="s">
        <v>14</v>
      </c>
      <c r="C1588" s="75">
        <v>1.1000000000000001E-6</v>
      </c>
      <c r="D1588" s="75">
        <v>3.3001E-6</v>
      </c>
      <c r="E1588" s="75">
        <v>9.9999999999999995E-8</v>
      </c>
      <c r="F1588" s="75" t="s">
        <v>142</v>
      </c>
      <c r="G1588" s="75" t="s">
        <v>15</v>
      </c>
      <c r="H1588" s="75">
        <v>0</v>
      </c>
      <c r="I1588" s="75">
        <v>0</v>
      </c>
      <c r="J1588" s="75"/>
      <c r="K1588" s="75">
        <v>57.585000000000001</v>
      </c>
      <c r="L1588" s="75">
        <v>484680</v>
      </c>
      <c r="M1588" s="75">
        <v>57.585000000000001</v>
      </c>
      <c r="N1588" s="75">
        <v>483140</v>
      </c>
      <c r="O1588" s="90" t="str">
        <f>IF(VLOOKUP(UncLookup[[#This Row],[Item]],Items!$A$1:$F$43,2,FALSE)=0,"",VLOOKUP(UncLookup[[#This Row],[Item]],Items!$A$1:$F$43,2,FALSE))</f>
        <v/>
      </c>
      <c r="P1588" s="90" t="str">
        <f>IF(VLOOKUP(UncLookup[[#This Row],[Item]],Items!$A$1:$F$43,3,FALSE)=0,"",VLOOKUP(UncLookup[[#This Row],[Item]],Items!$A$1:$F$43,3,FALSE))</f>
        <v/>
      </c>
      <c r="Q1588" s="90" t="str">
        <f>IF(VLOOKUP(UncLookup[[#This Row],[Item]],Items!$A$1:$F$43,4,FALSE)=0,"",VLOOKUP(UncLookup[[#This Row],[Item]],Items!$A$1:$F$43,4,FALSE))</f>
        <v/>
      </c>
    </row>
    <row r="1589" spans="1:17" x14ac:dyDescent="0.25">
      <c r="A1589" s="76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90" t="str">
        <f>IF(VLOOKUP(UncLookup[[#This Row],[Item]],Items!$A$1:$F$43,2,FALSE)=0,"",VLOOKUP(UncLookup[[#This Row],[Item]],Items!$A$1:$F$43,2,FALSE))</f>
        <v/>
      </c>
      <c r="P1589" s="90" t="str">
        <f>IF(VLOOKUP(UncLookup[[#This Row],[Item]],Items!$A$1:$F$43,3,FALSE)=0,"",VLOOKUP(UncLookup[[#This Row],[Item]],Items!$A$1:$F$43,3,FALSE))</f>
        <v/>
      </c>
      <c r="Q1589" s="90" t="str">
        <f>IF(VLOOKUP(UncLookup[[#This Row],[Item]],Items!$A$1:$F$43,4,FALSE)=0,"",VLOOKUP(UncLookup[[#This Row],[Item]],Items!$A$1:$F$43,4,FALSE))</f>
        <v/>
      </c>
    </row>
    <row r="1590" spans="1:17" x14ac:dyDescent="0.25">
      <c r="A1590" s="75" t="s">
        <v>55</v>
      </c>
      <c r="B1590" s="75" t="s">
        <v>14</v>
      </c>
      <c r="C1590" s="75">
        <v>3.3000000000000002E-6</v>
      </c>
      <c r="D1590" s="75">
        <v>1.1001E-5</v>
      </c>
      <c r="E1590" s="75">
        <v>1E-8</v>
      </c>
      <c r="F1590" s="75" t="s">
        <v>142</v>
      </c>
      <c r="G1590" s="75" t="s">
        <v>15</v>
      </c>
      <c r="H1590" s="75">
        <v>0</v>
      </c>
      <c r="I1590" s="75">
        <v>0</v>
      </c>
      <c r="J1590" s="75"/>
      <c r="K1590" s="75">
        <v>12.429</v>
      </c>
      <c r="L1590" s="75">
        <v>2861100</v>
      </c>
      <c r="M1590" s="75">
        <v>12.500999999999999</v>
      </c>
      <c r="N1590" s="75">
        <v>2835600</v>
      </c>
      <c r="O1590" s="90" t="str">
        <f>IF(VLOOKUP(UncLookup[[#This Row],[Item]],Items!$A$1:$F$43,2,FALSE)=0,"",VLOOKUP(UncLookup[[#This Row],[Item]],Items!$A$1:$F$43,2,FALSE))</f>
        <v/>
      </c>
      <c r="P1590" s="90" t="str">
        <f>IF(VLOOKUP(UncLookup[[#This Row],[Item]],Items!$A$1:$F$43,3,FALSE)=0,"",VLOOKUP(UncLookup[[#This Row],[Item]],Items!$A$1:$F$43,3,FALSE))</f>
        <v/>
      </c>
      <c r="Q1590" s="90" t="str">
        <f>IF(VLOOKUP(UncLookup[[#This Row],[Item]],Items!$A$1:$F$43,4,FALSE)=0,"",VLOOKUP(UncLookup[[#This Row],[Item]],Items!$A$1:$F$43,4,FALSE))</f>
        <v/>
      </c>
    </row>
    <row r="1591" spans="1:17" x14ac:dyDescent="0.25">
      <c r="A1591" s="76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90" t="str">
        <f>IF(VLOOKUP(UncLookup[[#This Row],[Item]],Items!$A$1:$F$43,2,FALSE)=0,"",VLOOKUP(UncLookup[[#This Row],[Item]],Items!$A$1:$F$43,2,FALSE))</f>
        <v/>
      </c>
      <c r="P1591" s="90" t="str">
        <f>IF(VLOOKUP(UncLookup[[#This Row],[Item]],Items!$A$1:$F$43,3,FALSE)=0,"",VLOOKUP(UncLookup[[#This Row],[Item]],Items!$A$1:$F$43,3,FALSE))</f>
        <v/>
      </c>
      <c r="Q1591" s="90" t="str">
        <f>IF(VLOOKUP(UncLookup[[#This Row],[Item]],Items!$A$1:$F$43,4,FALSE)=0,"",VLOOKUP(UncLookup[[#This Row],[Item]],Items!$A$1:$F$43,4,FALSE))</f>
        <v/>
      </c>
    </row>
    <row r="1592" spans="1:17" x14ac:dyDescent="0.25">
      <c r="A1592" s="75" t="s">
        <v>55</v>
      </c>
      <c r="B1592" s="75" t="s">
        <v>14</v>
      </c>
      <c r="C1592" s="75">
        <v>3.3000000000000002E-6</v>
      </c>
      <c r="D1592" s="75">
        <v>1.1001E-5</v>
      </c>
      <c r="E1592" s="75">
        <v>9.9999999999999995E-7</v>
      </c>
      <c r="F1592" s="75" t="s">
        <v>142</v>
      </c>
      <c r="G1592" s="75" t="s">
        <v>15</v>
      </c>
      <c r="H1592" s="75">
        <v>0</v>
      </c>
      <c r="I1592" s="75">
        <v>0</v>
      </c>
      <c r="J1592" s="75"/>
      <c r="K1592" s="75">
        <v>577.21</v>
      </c>
      <c r="L1592" s="75">
        <v>162540</v>
      </c>
      <c r="M1592" s="75">
        <v>577.21</v>
      </c>
      <c r="N1592" s="75">
        <v>160690</v>
      </c>
      <c r="O1592" s="90" t="str">
        <f>IF(VLOOKUP(UncLookup[[#This Row],[Item]],Items!$A$1:$F$43,2,FALSE)=0,"",VLOOKUP(UncLookup[[#This Row],[Item]],Items!$A$1:$F$43,2,FALSE))</f>
        <v/>
      </c>
      <c r="P1592" s="90" t="str">
        <f>IF(VLOOKUP(UncLookup[[#This Row],[Item]],Items!$A$1:$F$43,3,FALSE)=0,"",VLOOKUP(UncLookup[[#This Row],[Item]],Items!$A$1:$F$43,3,FALSE))</f>
        <v/>
      </c>
      <c r="Q1592" s="90" t="str">
        <f>IF(VLOOKUP(UncLookup[[#This Row],[Item]],Items!$A$1:$F$43,4,FALSE)=0,"",VLOOKUP(UncLookup[[#This Row],[Item]],Items!$A$1:$F$43,4,FALSE))</f>
        <v/>
      </c>
    </row>
    <row r="1593" spans="1:17" x14ac:dyDescent="0.25">
      <c r="A1593" s="76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90" t="str">
        <f>IF(VLOOKUP(UncLookup[[#This Row],[Item]],Items!$A$1:$F$43,2,FALSE)=0,"",VLOOKUP(UncLookup[[#This Row],[Item]],Items!$A$1:$F$43,2,FALSE))</f>
        <v/>
      </c>
      <c r="P1593" s="90" t="str">
        <f>IF(VLOOKUP(UncLookup[[#This Row],[Item]],Items!$A$1:$F$43,3,FALSE)=0,"",VLOOKUP(UncLookup[[#This Row],[Item]],Items!$A$1:$F$43,3,FALSE))</f>
        <v/>
      </c>
      <c r="Q1593" s="90" t="str">
        <f>IF(VLOOKUP(UncLookup[[#This Row],[Item]],Items!$A$1:$F$43,4,FALSE)=0,"",VLOOKUP(UncLookup[[#This Row],[Item]],Items!$A$1:$F$43,4,FALSE))</f>
        <v/>
      </c>
    </row>
    <row r="1594" spans="1:17" x14ac:dyDescent="0.25">
      <c r="A1594" s="75" t="s">
        <v>55</v>
      </c>
      <c r="B1594" s="75" t="s">
        <v>14</v>
      </c>
      <c r="C1594" s="75">
        <v>1.1E-5</v>
      </c>
      <c r="D1594" s="75">
        <v>3.3000999999999998E-5</v>
      </c>
      <c r="E1594" s="75">
        <v>1E-8</v>
      </c>
      <c r="F1594" s="75" t="s">
        <v>142</v>
      </c>
      <c r="G1594" s="75" t="s">
        <v>15</v>
      </c>
      <c r="H1594" s="75">
        <v>0</v>
      </c>
      <c r="I1594" s="75">
        <v>0</v>
      </c>
      <c r="J1594" s="75"/>
      <c r="K1594" s="75">
        <v>36</v>
      </c>
      <c r="L1594" s="75">
        <v>4600000</v>
      </c>
      <c r="M1594" s="75">
        <v>34.893999999999998</v>
      </c>
      <c r="N1594" s="75">
        <v>4613900</v>
      </c>
      <c r="O1594" s="90" t="str">
        <f>IF(VLOOKUP(UncLookup[[#This Row],[Item]],Items!$A$1:$F$43,2,FALSE)=0,"",VLOOKUP(UncLookup[[#This Row],[Item]],Items!$A$1:$F$43,2,FALSE))</f>
        <v/>
      </c>
      <c r="P1594" s="90" t="str">
        <f>IF(VLOOKUP(UncLookup[[#This Row],[Item]],Items!$A$1:$F$43,3,FALSE)=0,"",VLOOKUP(UncLookup[[#This Row],[Item]],Items!$A$1:$F$43,3,FALSE))</f>
        <v/>
      </c>
      <c r="Q1594" s="90" t="str">
        <f>IF(VLOOKUP(UncLookup[[#This Row],[Item]],Items!$A$1:$F$43,4,FALSE)=0,"",VLOOKUP(UncLookup[[#This Row],[Item]],Items!$A$1:$F$43,4,FALSE))</f>
        <v/>
      </c>
    </row>
    <row r="1595" spans="1:17" x14ac:dyDescent="0.25">
      <c r="A1595" s="76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90" t="str">
        <f>IF(VLOOKUP(UncLookup[[#This Row],[Item]],Items!$A$1:$F$43,2,FALSE)=0,"",VLOOKUP(UncLookup[[#This Row],[Item]],Items!$A$1:$F$43,2,FALSE))</f>
        <v/>
      </c>
      <c r="P1595" s="90" t="str">
        <f>IF(VLOOKUP(UncLookup[[#This Row],[Item]],Items!$A$1:$F$43,3,FALSE)=0,"",VLOOKUP(UncLookup[[#This Row],[Item]],Items!$A$1:$F$43,3,FALSE))</f>
        <v/>
      </c>
      <c r="Q1595" s="90" t="str">
        <f>IF(VLOOKUP(UncLookup[[#This Row],[Item]],Items!$A$1:$F$43,4,FALSE)=0,"",VLOOKUP(UncLookup[[#This Row],[Item]],Items!$A$1:$F$43,4,FALSE))</f>
        <v/>
      </c>
    </row>
    <row r="1596" spans="1:17" x14ac:dyDescent="0.25">
      <c r="A1596" s="75" t="s">
        <v>55</v>
      </c>
      <c r="B1596" s="75" t="s">
        <v>14</v>
      </c>
      <c r="C1596" s="75">
        <v>1.1E-5</v>
      </c>
      <c r="D1596" s="75">
        <v>3.3000999999999998E-5</v>
      </c>
      <c r="E1596" s="75">
        <v>9.9999999999999995E-7</v>
      </c>
      <c r="F1596" s="75" t="s">
        <v>142</v>
      </c>
      <c r="G1596" s="75" t="s">
        <v>15</v>
      </c>
      <c r="H1596" s="75">
        <v>0</v>
      </c>
      <c r="I1596" s="75">
        <v>0</v>
      </c>
      <c r="J1596" s="75"/>
      <c r="K1596" s="75">
        <v>572.02</v>
      </c>
      <c r="L1596" s="75">
        <v>1057800</v>
      </c>
      <c r="M1596" s="75">
        <v>572.02</v>
      </c>
      <c r="N1596" s="75">
        <v>1057200</v>
      </c>
      <c r="O1596" s="90" t="str">
        <f>IF(VLOOKUP(UncLookup[[#This Row],[Item]],Items!$A$1:$F$43,2,FALSE)=0,"",VLOOKUP(UncLookup[[#This Row],[Item]],Items!$A$1:$F$43,2,FALSE))</f>
        <v/>
      </c>
      <c r="P1596" s="90" t="str">
        <f>IF(VLOOKUP(UncLookup[[#This Row],[Item]],Items!$A$1:$F$43,3,FALSE)=0,"",VLOOKUP(UncLookup[[#This Row],[Item]],Items!$A$1:$F$43,3,FALSE))</f>
        <v/>
      </c>
      <c r="Q1596" s="90" t="str">
        <f>IF(VLOOKUP(UncLookup[[#This Row],[Item]],Items!$A$1:$F$43,4,FALSE)=0,"",VLOOKUP(UncLookup[[#This Row],[Item]],Items!$A$1:$F$43,4,FALSE))</f>
        <v/>
      </c>
    </row>
    <row r="1597" spans="1:17" x14ac:dyDescent="0.25">
      <c r="A1597" s="76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90" t="str">
        <f>IF(VLOOKUP(UncLookup[[#This Row],[Item]],Items!$A$1:$F$43,2,FALSE)=0,"",VLOOKUP(UncLookup[[#This Row],[Item]],Items!$A$1:$F$43,2,FALSE))</f>
        <v/>
      </c>
      <c r="P1597" s="90" t="str">
        <f>IF(VLOOKUP(UncLookup[[#This Row],[Item]],Items!$A$1:$F$43,3,FALSE)=0,"",VLOOKUP(UncLookup[[#This Row],[Item]],Items!$A$1:$F$43,3,FALSE))</f>
        <v/>
      </c>
      <c r="Q1597" s="90" t="str">
        <f>IF(VLOOKUP(UncLookup[[#This Row],[Item]],Items!$A$1:$F$43,4,FALSE)=0,"",VLOOKUP(UncLookup[[#This Row],[Item]],Items!$A$1:$F$43,4,FALSE))</f>
        <v/>
      </c>
    </row>
    <row r="1598" spans="1:17" x14ac:dyDescent="0.25">
      <c r="A1598" s="75" t="s">
        <v>55</v>
      </c>
      <c r="B1598" s="75" t="s">
        <v>14</v>
      </c>
      <c r="C1598" s="75">
        <v>3.3000000000000003E-5</v>
      </c>
      <c r="D1598" s="75">
        <v>1.1001E-4</v>
      </c>
      <c r="E1598" s="75">
        <v>9.9999999999999995E-8</v>
      </c>
      <c r="F1598" s="75" t="s">
        <v>142</v>
      </c>
      <c r="G1598" s="75" t="s">
        <v>15</v>
      </c>
      <c r="H1598" s="75">
        <v>0</v>
      </c>
      <c r="I1598" s="75">
        <v>0</v>
      </c>
      <c r="J1598" s="75"/>
      <c r="K1598" s="75">
        <v>121.85</v>
      </c>
      <c r="L1598" s="75">
        <v>5183200</v>
      </c>
      <c r="M1598" s="75">
        <v>122.72</v>
      </c>
      <c r="N1598" s="75">
        <v>5152800</v>
      </c>
      <c r="O1598" s="90" t="str">
        <f>IF(VLOOKUP(UncLookup[[#This Row],[Item]],Items!$A$1:$F$43,2,FALSE)=0,"",VLOOKUP(UncLookup[[#This Row],[Item]],Items!$A$1:$F$43,2,FALSE))</f>
        <v/>
      </c>
      <c r="P1598" s="90" t="str">
        <f>IF(VLOOKUP(UncLookup[[#This Row],[Item]],Items!$A$1:$F$43,3,FALSE)=0,"",VLOOKUP(UncLookup[[#This Row],[Item]],Items!$A$1:$F$43,3,FALSE))</f>
        <v/>
      </c>
      <c r="Q1598" s="90" t="str">
        <f>IF(VLOOKUP(UncLookup[[#This Row],[Item]],Items!$A$1:$F$43,4,FALSE)=0,"",VLOOKUP(UncLookup[[#This Row],[Item]],Items!$A$1:$F$43,4,FALSE))</f>
        <v/>
      </c>
    </row>
    <row r="1599" spans="1:17" x14ac:dyDescent="0.25">
      <c r="A1599" s="76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90" t="str">
        <f>IF(VLOOKUP(UncLookup[[#This Row],[Item]],Items!$A$1:$F$43,2,FALSE)=0,"",VLOOKUP(UncLookup[[#This Row],[Item]],Items!$A$1:$F$43,2,FALSE))</f>
        <v/>
      </c>
      <c r="P1599" s="90" t="str">
        <f>IF(VLOOKUP(UncLookup[[#This Row],[Item]],Items!$A$1:$F$43,3,FALSE)=0,"",VLOOKUP(UncLookup[[#This Row],[Item]],Items!$A$1:$F$43,3,FALSE))</f>
        <v/>
      </c>
      <c r="Q1599" s="90" t="str">
        <f>IF(VLOOKUP(UncLookup[[#This Row],[Item]],Items!$A$1:$F$43,4,FALSE)=0,"",VLOOKUP(UncLookup[[#This Row],[Item]],Items!$A$1:$F$43,4,FALSE))</f>
        <v/>
      </c>
    </row>
    <row r="1600" spans="1:17" x14ac:dyDescent="0.25">
      <c r="A1600" s="75" t="s">
        <v>55</v>
      </c>
      <c r="B1600" s="75" t="s">
        <v>14</v>
      </c>
      <c r="C1600" s="75">
        <v>3.3000000000000003E-5</v>
      </c>
      <c r="D1600" s="75">
        <v>1.1001E-4</v>
      </c>
      <c r="E1600" s="75">
        <v>1.0000000000000001E-5</v>
      </c>
      <c r="F1600" s="75" t="s">
        <v>142</v>
      </c>
      <c r="G1600" s="75" t="s">
        <v>15</v>
      </c>
      <c r="H1600" s="75">
        <v>0</v>
      </c>
      <c r="I1600" s="75">
        <v>0</v>
      </c>
      <c r="J1600" s="75"/>
      <c r="K1600" s="75">
        <v>5766.3</v>
      </c>
      <c r="L1600" s="75">
        <v>438500</v>
      </c>
      <c r="M1600" s="75">
        <v>5766.3</v>
      </c>
      <c r="N1600" s="75">
        <v>436530</v>
      </c>
      <c r="O1600" s="90" t="str">
        <f>IF(VLOOKUP(UncLookup[[#This Row],[Item]],Items!$A$1:$F$43,2,FALSE)=0,"",VLOOKUP(UncLookup[[#This Row],[Item]],Items!$A$1:$F$43,2,FALSE))</f>
        <v/>
      </c>
      <c r="P1600" s="90" t="str">
        <f>IF(VLOOKUP(UncLookup[[#This Row],[Item]],Items!$A$1:$F$43,3,FALSE)=0,"",VLOOKUP(UncLookup[[#This Row],[Item]],Items!$A$1:$F$43,3,FALSE))</f>
        <v/>
      </c>
      <c r="Q1600" s="90" t="str">
        <f>IF(VLOOKUP(UncLookup[[#This Row],[Item]],Items!$A$1:$F$43,4,FALSE)=0,"",VLOOKUP(UncLookup[[#This Row],[Item]],Items!$A$1:$F$43,4,FALSE))</f>
        <v/>
      </c>
    </row>
    <row r="1601" spans="1:17" x14ac:dyDescent="0.25">
      <c r="A1601" s="76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90" t="str">
        <f>IF(VLOOKUP(UncLookup[[#This Row],[Item]],Items!$A$1:$F$43,2,FALSE)=0,"",VLOOKUP(UncLookup[[#This Row],[Item]],Items!$A$1:$F$43,2,FALSE))</f>
        <v/>
      </c>
      <c r="P1601" s="90" t="str">
        <f>IF(VLOOKUP(UncLookup[[#This Row],[Item]],Items!$A$1:$F$43,3,FALSE)=0,"",VLOOKUP(UncLookup[[#This Row],[Item]],Items!$A$1:$F$43,3,FALSE))</f>
        <v/>
      </c>
      <c r="Q1601" s="90" t="str">
        <f>IF(VLOOKUP(UncLookup[[#This Row],[Item]],Items!$A$1:$F$43,4,FALSE)=0,"",VLOOKUP(UncLookup[[#This Row],[Item]],Items!$A$1:$F$43,4,FALSE))</f>
        <v/>
      </c>
    </row>
    <row r="1602" spans="1:17" x14ac:dyDescent="0.25">
      <c r="A1602" s="75" t="s">
        <v>55</v>
      </c>
      <c r="B1602" s="75" t="s">
        <v>14</v>
      </c>
      <c r="C1602" s="75">
        <v>1.1E-4</v>
      </c>
      <c r="D1602" s="75">
        <v>3.3000999999999999E-4</v>
      </c>
      <c r="E1602" s="75">
        <v>9.9999999999999995E-8</v>
      </c>
      <c r="F1602" s="75" t="s">
        <v>142</v>
      </c>
      <c r="G1602" s="75" t="s">
        <v>16</v>
      </c>
      <c r="H1602" s="75">
        <v>0</v>
      </c>
      <c r="I1602" s="75">
        <v>0</v>
      </c>
      <c r="J1602" s="75"/>
      <c r="K1602" s="75">
        <v>0.35</v>
      </c>
      <c r="L1602" s="75">
        <v>5200</v>
      </c>
      <c r="M1602" s="75">
        <v>0.34836</v>
      </c>
      <c r="N1602" s="75">
        <v>5195.3</v>
      </c>
      <c r="O1602" s="90" t="str">
        <f>IF(VLOOKUP(UncLookup[[#This Row],[Item]],Items!$A$1:$F$43,2,FALSE)=0,"",VLOOKUP(UncLookup[[#This Row],[Item]],Items!$A$1:$F$43,2,FALSE))</f>
        <v/>
      </c>
      <c r="P1602" s="90" t="str">
        <f>IF(VLOOKUP(UncLookup[[#This Row],[Item]],Items!$A$1:$F$43,3,FALSE)=0,"",VLOOKUP(UncLookup[[#This Row],[Item]],Items!$A$1:$F$43,3,FALSE))</f>
        <v/>
      </c>
      <c r="Q1602" s="90" t="str">
        <f>IF(VLOOKUP(UncLookup[[#This Row],[Item]],Items!$A$1:$F$43,4,FALSE)=0,"",VLOOKUP(UncLookup[[#This Row],[Item]],Items!$A$1:$F$43,4,FALSE))</f>
        <v/>
      </c>
    </row>
    <row r="1603" spans="1:17" x14ac:dyDescent="0.25">
      <c r="A1603" s="76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90" t="str">
        <f>IF(VLOOKUP(UncLookup[[#This Row],[Item]],Items!$A$1:$F$43,2,FALSE)=0,"",VLOOKUP(UncLookup[[#This Row],[Item]],Items!$A$1:$F$43,2,FALSE))</f>
        <v/>
      </c>
      <c r="P1603" s="90" t="str">
        <f>IF(VLOOKUP(UncLookup[[#This Row],[Item]],Items!$A$1:$F$43,3,FALSE)=0,"",VLOOKUP(UncLookup[[#This Row],[Item]],Items!$A$1:$F$43,3,FALSE))</f>
        <v/>
      </c>
      <c r="Q1603" s="90" t="str">
        <f>IF(VLOOKUP(UncLookup[[#This Row],[Item]],Items!$A$1:$F$43,4,FALSE)=0,"",VLOOKUP(UncLookup[[#This Row],[Item]],Items!$A$1:$F$43,4,FALSE))</f>
        <v/>
      </c>
    </row>
    <row r="1604" spans="1:17" x14ac:dyDescent="0.25">
      <c r="A1604" s="75" t="s">
        <v>55</v>
      </c>
      <c r="B1604" s="75" t="s">
        <v>14</v>
      </c>
      <c r="C1604" s="75">
        <v>1.1E-4</v>
      </c>
      <c r="D1604" s="75">
        <v>3.3000999999999999E-4</v>
      </c>
      <c r="E1604" s="75">
        <v>1.0000000000000001E-5</v>
      </c>
      <c r="F1604" s="75" t="s">
        <v>142</v>
      </c>
      <c r="G1604" s="75" t="s">
        <v>16</v>
      </c>
      <c r="H1604" s="75">
        <v>0</v>
      </c>
      <c r="I1604" s="75">
        <v>0</v>
      </c>
      <c r="J1604" s="75"/>
      <c r="K1604" s="75">
        <v>5.7038000000000002</v>
      </c>
      <c r="L1604" s="75">
        <v>1294.4000000000001</v>
      </c>
      <c r="M1604" s="75">
        <v>5.7038000000000002</v>
      </c>
      <c r="N1604" s="75">
        <v>1293.8</v>
      </c>
      <c r="O1604" s="90" t="str">
        <f>IF(VLOOKUP(UncLookup[[#This Row],[Item]],Items!$A$1:$F$43,2,FALSE)=0,"",VLOOKUP(UncLookup[[#This Row],[Item]],Items!$A$1:$F$43,2,FALSE))</f>
        <v/>
      </c>
      <c r="P1604" s="90" t="str">
        <f>IF(VLOOKUP(UncLookup[[#This Row],[Item]],Items!$A$1:$F$43,3,FALSE)=0,"",VLOOKUP(UncLookup[[#This Row],[Item]],Items!$A$1:$F$43,3,FALSE))</f>
        <v/>
      </c>
      <c r="Q1604" s="90" t="str">
        <f>IF(VLOOKUP(UncLookup[[#This Row],[Item]],Items!$A$1:$F$43,4,FALSE)=0,"",VLOOKUP(UncLookup[[#This Row],[Item]],Items!$A$1:$F$43,4,FALSE))</f>
        <v/>
      </c>
    </row>
    <row r="1605" spans="1:17" x14ac:dyDescent="0.25">
      <c r="A1605" s="76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90" t="str">
        <f>IF(VLOOKUP(UncLookup[[#This Row],[Item]],Items!$A$1:$F$43,2,FALSE)=0,"",VLOOKUP(UncLookup[[#This Row],[Item]],Items!$A$1:$F$43,2,FALSE))</f>
        <v/>
      </c>
      <c r="P1605" s="90" t="str">
        <f>IF(VLOOKUP(UncLookup[[#This Row],[Item]],Items!$A$1:$F$43,3,FALSE)=0,"",VLOOKUP(UncLookup[[#This Row],[Item]],Items!$A$1:$F$43,3,FALSE))</f>
        <v/>
      </c>
      <c r="Q1605" s="90" t="str">
        <f>IF(VLOOKUP(UncLookup[[#This Row],[Item]],Items!$A$1:$F$43,4,FALSE)=0,"",VLOOKUP(UncLookup[[#This Row],[Item]],Items!$A$1:$F$43,4,FALSE))</f>
        <v/>
      </c>
    </row>
    <row r="1606" spans="1:17" x14ac:dyDescent="0.25">
      <c r="A1606" s="75" t="s">
        <v>55</v>
      </c>
      <c r="B1606" s="75" t="s">
        <v>14</v>
      </c>
      <c r="C1606" s="75">
        <v>3.3E-4</v>
      </c>
      <c r="D1606" s="75">
        <v>1.1000999999999999E-3</v>
      </c>
      <c r="E1606" s="75">
        <v>9.9999999999999995E-7</v>
      </c>
      <c r="F1606" s="75" t="s">
        <v>142</v>
      </c>
      <c r="G1606" s="75" t="s">
        <v>16</v>
      </c>
      <c r="H1606" s="75">
        <v>0</v>
      </c>
      <c r="I1606" s="75">
        <v>0</v>
      </c>
      <c r="J1606" s="75"/>
      <c r="K1606" s="75">
        <v>1.2193000000000001</v>
      </c>
      <c r="L1606" s="75">
        <v>5182.5</v>
      </c>
      <c r="M1606" s="75">
        <v>1.2267999999999999</v>
      </c>
      <c r="N1606" s="75">
        <v>5155.5</v>
      </c>
      <c r="O1606" s="90" t="str">
        <f>IF(VLOOKUP(UncLookup[[#This Row],[Item]],Items!$A$1:$F$43,2,FALSE)=0,"",VLOOKUP(UncLookup[[#This Row],[Item]],Items!$A$1:$F$43,2,FALSE))</f>
        <v/>
      </c>
      <c r="P1606" s="90" t="str">
        <f>IF(VLOOKUP(UncLookup[[#This Row],[Item]],Items!$A$1:$F$43,3,FALSE)=0,"",VLOOKUP(UncLookup[[#This Row],[Item]],Items!$A$1:$F$43,3,FALSE))</f>
        <v/>
      </c>
      <c r="Q1606" s="90" t="str">
        <f>IF(VLOOKUP(UncLookup[[#This Row],[Item]],Items!$A$1:$F$43,4,FALSE)=0,"",VLOOKUP(UncLookup[[#This Row],[Item]],Items!$A$1:$F$43,4,FALSE))</f>
        <v/>
      </c>
    </row>
    <row r="1607" spans="1:17" x14ac:dyDescent="0.25">
      <c r="A1607" s="76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90" t="str">
        <f>IF(VLOOKUP(UncLookup[[#This Row],[Item]],Items!$A$1:$F$43,2,FALSE)=0,"",VLOOKUP(UncLookup[[#This Row],[Item]],Items!$A$1:$F$43,2,FALSE))</f>
        <v/>
      </c>
      <c r="P1607" s="90" t="str">
        <f>IF(VLOOKUP(UncLookup[[#This Row],[Item]],Items!$A$1:$F$43,3,FALSE)=0,"",VLOOKUP(UncLookup[[#This Row],[Item]],Items!$A$1:$F$43,3,FALSE))</f>
        <v/>
      </c>
      <c r="Q1607" s="90" t="str">
        <f>IF(VLOOKUP(UncLookup[[#This Row],[Item]],Items!$A$1:$F$43,4,FALSE)=0,"",VLOOKUP(UncLookup[[#This Row],[Item]],Items!$A$1:$F$43,4,FALSE))</f>
        <v/>
      </c>
    </row>
    <row r="1608" spans="1:17" x14ac:dyDescent="0.25">
      <c r="A1608" s="75" t="s">
        <v>55</v>
      </c>
      <c r="B1608" s="75" t="s">
        <v>14</v>
      </c>
      <c r="C1608" s="75">
        <v>3.3E-4</v>
      </c>
      <c r="D1608" s="75">
        <v>1.1000999999999999E-3</v>
      </c>
      <c r="E1608" s="75">
        <v>1E-4</v>
      </c>
      <c r="F1608" s="75" t="s">
        <v>142</v>
      </c>
      <c r="G1608" s="75" t="s">
        <v>16</v>
      </c>
      <c r="H1608" s="75">
        <v>0</v>
      </c>
      <c r="I1608" s="75">
        <v>0</v>
      </c>
      <c r="J1608" s="75"/>
      <c r="K1608" s="75">
        <v>57.662999999999997</v>
      </c>
      <c r="L1608" s="75">
        <v>438.86</v>
      </c>
      <c r="M1608" s="75">
        <v>57.662999999999997</v>
      </c>
      <c r="N1608" s="75">
        <v>436.89</v>
      </c>
      <c r="O1608" s="90" t="str">
        <f>IF(VLOOKUP(UncLookup[[#This Row],[Item]],Items!$A$1:$F$43,2,FALSE)=0,"",VLOOKUP(UncLookup[[#This Row],[Item]],Items!$A$1:$F$43,2,FALSE))</f>
        <v/>
      </c>
      <c r="P1608" s="90" t="str">
        <f>IF(VLOOKUP(UncLookup[[#This Row],[Item]],Items!$A$1:$F$43,3,FALSE)=0,"",VLOOKUP(UncLookup[[#This Row],[Item]],Items!$A$1:$F$43,3,FALSE))</f>
        <v/>
      </c>
      <c r="Q1608" s="90" t="str">
        <f>IF(VLOOKUP(UncLookup[[#This Row],[Item]],Items!$A$1:$F$43,4,FALSE)=0,"",VLOOKUP(UncLookup[[#This Row],[Item]],Items!$A$1:$F$43,4,FALSE))</f>
        <v/>
      </c>
    </row>
    <row r="1609" spans="1:17" x14ac:dyDescent="0.25">
      <c r="A1609" s="76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90" t="str">
        <f>IF(VLOOKUP(UncLookup[[#This Row],[Item]],Items!$A$1:$F$43,2,FALSE)=0,"",VLOOKUP(UncLookup[[#This Row],[Item]],Items!$A$1:$F$43,2,FALSE))</f>
        <v/>
      </c>
      <c r="P1609" s="90" t="str">
        <f>IF(VLOOKUP(UncLookup[[#This Row],[Item]],Items!$A$1:$F$43,3,FALSE)=0,"",VLOOKUP(UncLookup[[#This Row],[Item]],Items!$A$1:$F$43,3,FALSE))</f>
        <v/>
      </c>
      <c r="Q1609" s="90" t="str">
        <f>IF(VLOOKUP(UncLookup[[#This Row],[Item]],Items!$A$1:$F$43,4,FALSE)=0,"",VLOOKUP(UncLookup[[#This Row],[Item]],Items!$A$1:$F$43,4,FALSE))</f>
        <v/>
      </c>
    </row>
    <row r="1610" spans="1:17" x14ac:dyDescent="0.25">
      <c r="A1610" s="75" t="s">
        <v>55</v>
      </c>
      <c r="B1610" s="75" t="s">
        <v>14</v>
      </c>
      <c r="C1610" s="75">
        <v>1.1000000000000001E-3</v>
      </c>
      <c r="D1610" s="75">
        <v>3.3000999999999998E-3</v>
      </c>
      <c r="E1610" s="75">
        <v>9.9999999999999995E-7</v>
      </c>
      <c r="F1610" s="75" t="s">
        <v>142</v>
      </c>
      <c r="G1610" s="75" t="s">
        <v>16</v>
      </c>
      <c r="H1610" s="75">
        <v>0</v>
      </c>
      <c r="I1610" s="75">
        <v>0</v>
      </c>
      <c r="J1610" s="75"/>
      <c r="K1610" s="75">
        <v>3.5</v>
      </c>
      <c r="L1610" s="75">
        <v>5200</v>
      </c>
      <c r="M1610" s="75">
        <v>3.4866000000000001</v>
      </c>
      <c r="N1610" s="75">
        <v>5194.3999999999996</v>
      </c>
      <c r="O1610" s="90" t="str">
        <f>IF(VLOOKUP(UncLookup[[#This Row],[Item]],Items!$A$1:$F$43,2,FALSE)=0,"",VLOOKUP(UncLookup[[#This Row],[Item]],Items!$A$1:$F$43,2,FALSE))</f>
        <v/>
      </c>
      <c r="P1610" s="90" t="str">
        <f>IF(VLOOKUP(UncLookup[[#This Row],[Item]],Items!$A$1:$F$43,3,FALSE)=0,"",VLOOKUP(UncLookup[[#This Row],[Item]],Items!$A$1:$F$43,3,FALSE))</f>
        <v/>
      </c>
      <c r="Q1610" s="90" t="str">
        <f>IF(VLOOKUP(UncLookup[[#This Row],[Item]],Items!$A$1:$F$43,4,FALSE)=0,"",VLOOKUP(UncLookup[[#This Row],[Item]],Items!$A$1:$F$43,4,FALSE))</f>
        <v/>
      </c>
    </row>
    <row r="1611" spans="1:17" x14ac:dyDescent="0.25">
      <c r="A1611" s="76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90" t="str">
        <f>IF(VLOOKUP(UncLookup[[#This Row],[Item]],Items!$A$1:$F$43,2,FALSE)=0,"",VLOOKUP(UncLookup[[#This Row],[Item]],Items!$A$1:$F$43,2,FALSE))</f>
        <v/>
      </c>
      <c r="P1611" s="90" t="str">
        <f>IF(VLOOKUP(UncLookup[[#This Row],[Item]],Items!$A$1:$F$43,3,FALSE)=0,"",VLOOKUP(UncLookup[[#This Row],[Item]],Items!$A$1:$F$43,3,FALSE))</f>
        <v/>
      </c>
      <c r="Q1611" s="90" t="str">
        <f>IF(VLOOKUP(UncLookup[[#This Row],[Item]],Items!$A$1:$F$43,4,FALSE)=0,"",VLOOKUP(UncLookup[[#This Row],[Item]],Items!$A$1:$F$43,4,FALSE))</f>
        <v/>
      </c>
    </row>
    <row r="1612" spans="1:17" x14ac:dyDescent="0.25">
      <c r="A1612" s="75" t="s">
        <v>55</v>
      </c>
      <c r="B1612" s="75" t="s">
        <v>14</v>
      </c>
      <c r="C1612" s="75">
        <v>1.1000000000000001E-3</v>
      </c>
      <c r="D1612" s="75">
        <v>3.3000999999999998E-3</v>
      </c>
      <c r="E1612" s="75">
        <v>1E-4</v>
      </c>
      <c r="F1612" s="75" t="s">
        <v>142</v>
      </c>
      <c r="G1612" s="75" t="s">
        <v>16</v>
      </c>
      <c r="H1612" s="75">
        <v>0</v>
      </c>
      <c r="I1612" s="75">
        <v>0</v>
      </c>
      <c r="J1612" s="75"/>
      <c r="K1612" s="75">
        <v>57.042999999999999</v>
      </c>
      <c r="L1612" s="75">
        <v>1299.0999999999999</v>
      </c>
      <c r="M1612" s="75">
        <v>57.037999999999997</v>
      </c>
      <c r="N1612" s="75">
        <v>1293.7</v>
      </c>
      <c r="O1612" s="90" t="str">
        <f>IF(VLOOKUP(UncLookup[[#This Row],[Item]],Items!$A$1:$F$43,2,FALSE)=0,"",VLOOKUP(UncLookup[[#This Row],[Item]],Items!$A$1:$F$43,2,FALSE))</f>
        <v/>
      </c>
      <c r="P1612" s="90" t="str">
        <f>IF(VLOOKUP(UncLookup[[#This Row],[Item]],Items!$A$1:$F$43,3,FALSE)=0,"",VLOOKUP(UncLookup[[#This Row],[Item]],Items!$A$1:$F$43,3,FALSE))</f>
        <v/>
      </c>
      <c r="Q1612" s="90" t="str">
        <f>IF(VLOOKUP(UncLookup[[#This Row],[Item]],Items!$A$1:$F$43,4,FALSE)=0,"",VLOOKUP(UncLookup[[#This Row],[Item]],Items!$A$1:$F$43,4,FALSE))</f>
        <v/>
      </c>
    </row>
    <row r="1613" spans="1:17" x14ac:dyDescent="0.25">
      <c r="A1613" s="76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90" t="str">
        <f>IF(VLOOKUP(UncLookup[[#This Row],[Item]],Items!$A$1:$F$43,2,FALSE)=0,"",VLOOKUP(UncLookup[[#This Row],[Item]],Items!$A$1:$F$43,2,FALSE))</f>
        <v/>
      </c>
      <c r="P1613" s="90" t="str">
        <f>IF(VLOOKUP(UncLookup[[#This Row],[Item]],Items!$A$1:$F$43,3,FALSE)=0,"",VLOOKUP(UncLookup[[#This Row],[Item]],Items!$A$1:$F$43,3,FALSE))</f>
        <v/>
      </c>
      <c r="Q1613" s="90" t="str">
        <f>IF(VLOOKUP(UncLookup[[#This Row],[Item]],Items!$A$1:$F$43,4,FALSE)=0,"",VLOOKUP(UncLookup[[#This Row],[Item]],Items!$A$1:$F$43,4,FALSE))</f>
        <v/>
      </c>
    </row>
    <row r="1614" spans="1:17" x14ac:dyDescent="0.25">
      <c r="A1614" s="75" t="s">
        <v>55</v>
      </c>
      <c r="B1614" s="75" t="s">
        <v>14</v>
      </c>
      <c r="C1614" s="75">
        <v>3.3E-3</v>
      </c>
      <c r="D1614" s="75">
        <v>1.1001E-2</v>
      </c>
      <c r="E1614" s="75">
        <v>1.0000000000000001E-5</v>
      </c>
      <c r="F1614" s="75" t="s">
        <v>142</v>
      </c>
      <c r="G1614" s="75" t="s">
        <v>16</v>
      </c>
      <c r="H1614" s="75">
        <v>0</v>
      </c>
      <c r="I1614" s="75">
        <v>0</v>
      </c>
      <c r="J1614" s="75"/>
      <c r="K1614" s="75">
        <v>13</v>
      </c>
      <c r="L1614" s="75">
        <v>5200</v>
      </c>
      <c r="M1614" s="75">
        <v>12.712999999999999</v>
      </c>
      <c r="N1614" s="75">
        <v>5155.6000000000004</v>
      </c>
      <c r="O1614" s="90" t="str">
        <f>IF(VLOOKUP(UncLookup[[#This Row],[Item]],Items!$A$1:$F$43,2,FALSE)=0,"",VLOOKUP(UncLookup[[#This Row],[Item]],Items!$A$1:$F$43,2,FALSE))</f>
        <v/>
      </c>
      <c r="P1614" s="90" t="str">
        <f>IF(VLOOKUP(UncLookup[[#This Row],[Item]],Items!$A$1:$F$43,3,FALSE)=0,"",VLOOKUP(UncLookup[[#This Row],[Item]],Items!$A$1:$F$43,3,FALSE))</f>
        <v/>
      </c>
      <c r="Q1614" s="90" t="str">
        <f>IF(VLOOKUP(UncLookup[[#This Row],[Item]],Items!$A$1:$F$43,4,FALSE)=0,"",VLOOKUP(UncLookup[[#This Row],[Item]],Items!$A$1:$F$43,4,FALSE))</f>
        <v/>
      </c>
    </row>
    <row r="1615" spans="1:17" x14ac:dyDescent="0.25">
      <c r="A1615" s="76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90" t="str">
        <f>IF(VLOOKUP(UncLookup[[#This Row],[Item]],Items!$A$1:$F$43,2,FALSE)=0,"",VLOOKUP(UncLookup[[#This Row],[Item]],Items!$A$1:$F$43,2,FALSE))</f>
        <v/>
      </c>
      <c r="P1615" s="90" t="str">
        <f>IF(VLOOKUP(UncLookup[[#This Row],[Item]],Items!$A$1:$F$43,3,FALSE)=0,"",VLOOKUP(UncLookup[[#This Row],[Item]],Items!$A$1:$F$43,3,FALSE))</f>
        <v/>
      </c>
      <c r="Q1615" s="90" t="str">
        <f>IF(VLOOKUP(UncLookup[[#This Row],[Item]],Items!$A$1:$F$43,4,FALSE)=0,"",VLOOKUP(UncLookup[[#This Row],[Item]],Items!$A$1:$F$43,4,FALSE))</f>
        <v/>
      </c>
    </row>
    <row r="1616" spans="1:17" x14ac:dyDescent="0.25">
      <c r="A1616" s="75" t="s">
        <v>55</v>
      </c>
      <c r="B1616" s="75" t="s">
        <v>14</v>
      </c>
      <c r="C1616" s="75">
        <v>3.3E-3</v>
      </c>
      <c r="D1616" s="75">
        <v>1.1001E-2</v>
      </c>
      <c r="E1616" s="75">
        <v>1E-3</v>
      </c>
      <c r="F1616" s="75" t="s">
        <v>142</v>
      </c>
      <c r="G1616" s="75" t="s">
        <v>16</v>
      </c>
      <c r="H1616" s="75">
        <v>0</v>
      </c>
      <c r="I1616" s="75">
        <v>0</v>
      </c>
      <c r="J1616" s="75"/>
      <c r="K1616" s="75">
        <v>576.63</v>
      </c>
      <c r="L1616" s="75">
        <v>439.99</v>
      </c>
      <c r="M1616" s="75">
        <v>576.63</v>
      </c>
      <c r="N1616" s="75">
        <v>436.9</v>
      </c>
      <c r="O1616" s="90" t="str">
        <f>IF(VLOOKUP(UncLookup[[#This Row],[Item]],Items!$A$1:$F$43,2,FALSE)=0,"",VLOOKUP(UncLookup[[#This Row],[Item]],Items!$A$1:$F$43,2,FALSE))</f>
        <v/>
      </c>
      <c r="P1616" s="90" t="str">
        <f>IF(VLOOKUP(UncLookup[[#This Row],[Item]],Items!$A$1:$F$43,3,FALSE)=0,"",VLOOKUP(UncLookup[[#This Row],[Item]],Items!$A$1:$F$43,3,FALSE))</f>
        <v/>
      </c>
      <c r="Q1616" s="90" t="str">
        <f>IF(VLOOKUP(UncLookup[[#This Row],[Item]],Items!$A$1:$F$43,4,FALSE)=0,"",VLOOKUP(UncLookup[[#This Row],[Item]],Items!$A$1:$F$43,4,FALSE))</f>
        <v/>
      </c>
    </row>
    <row r="1617" spans="1:17" x14ac:dyDescent="0.25">
      <c r="A1617" s="76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90" t="str">
        <f>IF(VLOOKUP(UncLookup[[#This Row],[Item]],Items!$A$1:$F$43,2,FALSE)=0,"",VLOOKUP(UncLookup[[#This Row],[Item]],Items!$A$1:$F$43,2,FALSE))</f>
        <v/>
      </c>
      <c r="P1617" s="90" t="str">
        <f>IF(VLOOKUP(UncLookup[[#This Row],[Item]],Items!$A$1:$F$43,3,FALSE)=0,"",VLOOKUP(UncLookup[[#This Row],[Item]],Items!$A$1:$F$43,3,FALSE))</f>
        <v/>
      </c>
      <c r="Q1617" s="90" t="str">
        <f>IF(VLOOKUP(UncLookup[[#This Row],[Item]],Items!$A$1:$F$43,4,FALSE)=0,"",VLOOKUP(UncLookup[[#This Row],[Item]],Items!$A$1:$F$43,4,FALSE))</f>
        <v/>
      </c>
    </row>
    <row r="1618" spans="1:17" x14ac:dyDescent="0.25">
      <c r="A1618" s="75" t="s">
        <v>55</v>
      </c>
      <c r="B1618" s="75" t="s">
        <v>14</v>
      </c>
      <c r="C1618" s="75">
        <v>1.0999999999999999E-2</v>
      </c>
      <c r="D1618" s="75">
        <v>3.3001000000000003E-2</v>
      </c>
      <c r="E1618" s="75">
        <v>1.0000000000000001E-5</v>
      </c>
      <c r="F1618" s="75" t="s">
        <v>142</v>
      </c>
      <c r="G1618" s="75" t="s">
        <v>16</v>
      </c>
      <c r="H1618" s="75">
        <v>0</v>
      </c>
      <c r="I1618" s="75">
        <v>0</v>
      </c>
      <c r="J1618" s="75"/>
      <c r="K1618" s="75">
        <v>35</v>
      </c>
      <c r="L1618" s="75">
        <v>8700</v>
      </c>
      <c r="M1618" s="75">
        <v>34.805999999999997</v>
      </c>
      <c r="N1618" s="75">
        <v>8658.5</v>
      </c>
      <c r="O1618" s="90" t="str">
        <f>IF(VLOOKUP(UncLookup[[#This Row],[Item]],Items!$A$1:$F$43,2,FALSE)=0,"",VLOOKUP(UncLookup[[#This Row],[Item]],Items!$A$1:$F$43,2,FALSE))</f>
        <v/>
      </c>
      <c r="P1618" s="90" t="str">
        <f>IF(VLOOKUP(UncLookup[[#This Row],[Item]],Items!$A$1:$F$43,3,FALSE)=0,"",VLOOKUP(UncLookup[[#This Row],[Item]],Items!$A$1:$F$43,3,FALSE))</f>
        <v/>
      </c>
      <c r="Q1618" s="90" t="str">
        <f>IF(VLOOKUP(UncLookup[[#This Row],[Item]],Items!$A$1:$F$43,4,FALSE)=0,"",VLOOKUP(UncLookup[[#This Row],[Item]],Items!$A$1:$F$43,4,FALSE))</f>
        <v/>
      </c>
    </row>
    <row r="1619" spans="1:17" x14ac:dyDescent="0.25">
      <c r="A1619" s="76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90" t="str">
        <f>IF(VLOOKUP(UncLookup[[#This Row],[Item]],Items!$A$1:$F$43,2,FALSE)=0,"",VLOOKUP(UncLookup[[#This Row],[Item]],Items!$A$1:$F$43,2,FALSE))</f>
        <v/>
      </c>
      <c r="P1619" s="90" t="str">
        <f>IF(VLOOKUP(UncLookup[[#This Row],[Item]],Items!$A$1:$F$43,3,FALSE)=0,"",VLOOKUP(UncLookup[[#This Row],[Item]],Items!$A$1:$F$43,3,FALSE))</f>
        <v/>
      </c>
      <c r="Q1619" s="90" t="str">
        <f>IF(VLOOKUP(UncLookup[[#This Row],[Item]],Items!$A$1:$F$43,4,FALSE)=0,"",VLOOKUP(UncLookup[[#This Row],[Item]],Items!$A$1:$F$43,4,FALSE))</f>
        <v/>
      </c>
    </row>
    <row r="1620" spans="1:17" x14ac:dyDescent="0.25">
      <c r="A1620" s="75" t="s">
        <v>55</v>
      </c>
      <c r="B1620" s="75" t="s">
        <v>14</v>
      </c>
      <c r="C1620" s="75">
        <v>1.0999999999999999E-2</v>
      </c>
      <c r="D1620" s="75">
        <v>3.3001000000000003E-2</v>
      </c>
      <c r="E1620" s="75">
        <v>1E-3</v>
      </c>
      <c r="F1620" s="75" t="s">
        <v>142</v>
      </c>
      <c r="G1620" s="75" t="s">
        <v>16</v>
      </c>
      <c r="H1620" s="75">
        <v>0</v>
      </c>
      <c r="I1620" s="75">
        <v>0</v>
      </c>
      <c r="J1620" s="75"/>
      <c r="K1620" s="75">
        <v>557.54999999999995</v>
      </c>
      <c r="L1620" s="75">
        <v>3119.3</v>
      </c>
      <c r="M1620" s="75">
        <v>557.52</v>
      </c>
      <c r="N1620" s="75">
        <v>3115.8</v>
      </c>
      <c r="O1620" s="90" t="str">
        <f>IF(VLOOKUP(UncLookup[[#This Row],[Item]],Items!$A$1:$F$43,2,FALSE)=0,"",VLOOKUP(UncLookup[[#This Row],[Item]],Items!$A$1:$F$43,2,FALSE))</f>
        <v/>
      </c>
      <c r="P1620" s="90" t="str">
        <f>IF(VLOOKUP(UncLookup[[#This Row],[Item]],Items!$A$1:$F$43,3,FALSE)=0,"",VLOOKUP(UncLookup[[#This Row],[Item]],Items!$A$1:$F$43,3,FALSE))</f>
        <v/>
      </c>
      <c r="Q1620" s="90" t="str">
        <f>IF(VLOOKUP(UncLookup[[#This Row],[Item]],Items!$A$1:$F$43,4,FALSE)=0,"",VLOOKUP(UncLookup[[#This Row],[Item]],Items!$A$1:$F$43,4,FALSE))</f>
        <v/>
      </c>
    </row>
    <row r="1621" spans="1:17" x14ac:dyDescent="0.25">
      <c r="A1621" s="76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90" t="str">
        <f>IF(VLOOKUP(UncLookup[[#This Row],[Item]],Items!$A$1:$F$43,2,FALSE)=0,"",VLOOKUP(UncLookup[[#This Row],[Item]],Items!$A$1:$F$43,2,FALSE))</f>
        <v/>
      </c>
      <c r="P1621" s="90" t="str">
        <f>IF(VLOOKUP(UncLookup[[#This Row],[Item]],Items!$A$1:$F$43,3,FALSE)=0,"",VLOOKUP(UncLookup[[#This Row],[Item]],Items!$A$1:$F$43,3,FALSE))</f>
        <v/>
      </c>
      <c r="Q1621" s="90" t="str">
        <f>IF(VLOOKUP(UncLookup[[#This Row],[Item]],Items!$A$1:$F$43,4,FALSE)=0,"",VLOOKUP(UncLookup[[#This Row],[Item]],Items!$A$1:$F$43,4,FALSE))</f>
        <v/>
      </c>
    </row>
    <row r="1622" spans="1:17" x14ac:dyDescent="0.25">
      <c r="A1622" s="75" t="s">
        <v>55</v>
      </c>
      <c r="B1622" s="75" t="s">
        <v>14</v>
      </c>
      <c r="C1622" s="75">
        <v>3.3000000000000002E-2</v>
      </c>
      <c r="D1622" s="75">
        <v>0.11001</v>
      </c>
      <c r="E1622" s="75">
        <v>1E-4</v>
      </c>
      <c r="F1622" s="75" t="s">
        <v>142</v>
      </c>
      <c r="G1622" s="75" t="s">
        <v>65</v>
      </c>
      <c r="H1622" s="75">
        <v>0</v>
      </c>
      <c r="I1622" s="75">
        <v>0</v>
      </c>
      <c r="J1622" s="75"/>
      <c r="K1622" s="75">
        <v>120</v>
      </c>
      <c r="L1622" s="75">
        <v>13000</v>
      </c>
      <c r="M1622" s="75">
        <v>119.5</v>
      </c>
      <c r="N1622" s="75">
        <v>12676</v>
      </c>
      <c r="O1622" s="90" t="str">
        <f>IF(VLOOKUP(UncLookup[[#This Row],[Item]],Items!$A$1:$F$43,2,FALSE)=0,"",VLOOKUP(UncLookup[[#This Row],[Item]],Items!$A$1:$F$43,2,FALSE))</f>
        <v/>
      </c>
      <c r="P1622" s="90" t="str">
        <f>IF(VLOOKUP(UncLookup[[#This Row],[Item]],Items!$A$1:$F$43,3,FALSE)=0,"",VLOOKUP(UncLookup[[#This Row],[Item]],Items!$A$1:$F$43,3,FALSE))</f>
        <v/>
      </c>
      <c r="Q1622" s="90" t="str">
        <f>IF(VLOOKUP(UncLookup[[#This Row],[Item]],Items!$A$1:$F$43,4,FALSE)=0,"",VLOOKUP(UncLookup[[#This Row],[Item]],Items!$A$1:$F$43,4,FALSE))</f>
        <v/>
      </c>
    </row>
    <row r="1623" spans="1:17" x14ac:dyDescent="0.25">
      <c r="A1623" s="76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90" t="str">
        <f>IF(VLOOKUP(UncLookup[[#This Row],[Item]],Items!$A$1:$F$43,2,FALSE)=0,"",VLOOKUP(UncLookup[[#This Row],[Item]],Items!$A$1:$F$43,2,FALSE))</f>
        <v/>
      </c>
      <c r="P1623" s="90" t="str">
        <f>IF(VLOOKUP(UncLookup[[#This Row],[Item]],Items!$A$1:$F$43,3,FALSE)=0,"",VLOOKUP(UncLookup[[#This Row],[Item]],Items!$A$1:$F$43,3,FALSE))</f>
        <v/>
      </c>
      <c r="Q1623" s="90" t="str">
        <f>IF(VLOOKUP(UncLookup[[#This Row],[Item]],Items!$A$1:$F$43,4,FALSE)=0,"",VLOOKUP(UncLookup[[#This Row],[Item]],Items!$A$1:$F$43,4,FALSE))</f>
        <v/>
      </c>
    </row>
    <row r="1624" spans="1:17" x14ac:dyDescent="0.25">
      <c r="A1624" s="75" t="s">
        <v>55</v>
      </c>
      <c r="B1624" s="75" t="s">
        <v>14</v>
      </c>
      <c r="C1624" s="75">
        <v>3.3000000000000002E-2</v>
      </c>
      <c r="D1624" s="75">
        <v>0.11001</v>
      </c>
      <c r="E1624" s="75">
        <v>0.01</v>
      </c>
      <c r="F1624" s="75" t="s">
        <v>142</v>
      </c>
      <c r="G1624" s="75" t="s">
        <v>65</v>
      </c>
      <c r="H1624" s="75">
        <v>0</v>
      </c>
      <c r="I1624" s="75">
        <v>0</v>
      </c>
      <c r="J1624" s="75"/>
      <c r="K1624" s="75">
        <v>5725.6</v>
      </c>
      <c r="L1624" s="75">
        <v>2215.6</v>
      </c>
      <c r="M1624" s="75">
        <v>5725.3</v>
      </c>
      <c r="N1624" s="75">
        <v>2210.1</v>
      </c>
      <c r="O1624" s="90" t="str">
        <f>IF(VLOOKUP(UncLookup[[#This Row],[Item]],Items!$A$1:$F$43,2,FALSE)=0,"",VLOOKUP(UncLookup[[#This Row],[Item]],Items!$A$1:$F$43,2,FALSE))</f>
        <v/>
      </c>
      <c r="P1624" s="90" t="str">
        <f>IF(VLOOKUP(UncLookup[[#This Row],[Item]],Items!$A$1:$F$43,3,FALSE)=0,"",VLOOKUP(UncLookup[[#This Row],[Item]],Items!$A$1:$F$43,3,FALSE))</f>
        <v/>
      </c>
      <c r="Q1624" s="90" t="str">
        <f>IF(VLOOKUP(UncLookup[[#This Row],[Item]],Items!$A$1:$F$43,4,FALSE)=0,"",VLOOKUP(UncLookup[[#This Row],[Item]],Items!$A$1:$F$43,4,FALSE))</f>
        <v/>
      </c>
    </row>
    <row r="1625" spans="1:17" x14ac:dyDescent="0.25">
      <c r="A1625" s="76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90" t="str">
        <f>IF(VLOOKUP(UncLookup[[#This Row],[Item]],Items!$A$1:$F$43,2,FALSE)=0,"",VLOOKUP(UncLookup[[#This Row],[Item]],Items!$A$1:$F$43,2,FALSE))</f>
        <v/>
      </c>
      <c r="P1625" s="90" t="str">
        <f>IF(VLOOKUP(UncLookup[[#This Row],[Item]],Items!$A$1:$F$43,3,FALSE)=0,"",VLOOKUP(UncLookup[[#This Row],[Item]],Items!$A$1:$F$43,3,FALSE))</f>
        <v/>
      </c>
      <c r="Q1625" s="90" t="str">
        <f>IF(VLOOKUP(UncLookup[[#This Row],[Item]],Items!$A$1:$F$43,4,FALSE)=0,"",VLOOKUP(UncLookup[[#This Row],[Item]],Items!$A$1:$F$43,4,FALSE))</f>
        <v/>
      </c>
    </row>
    <row r="1626" spans="1:17" x14ac:dyDescent="0.25">
      <c r="A1626" s="75" t="s">
        <v>55</v>
      </c>
      <c r="B1626" s="75" t="s">
        <v>14</v>
      </c>
      <c r="C1626" s="75">
        <v>0.11</v>
      </c>
      <c r="D1626" s="75">
        <v>0.1101</v>
      </c>
      <c r="E1626" s="75">
        <v>1E-4</v>
      </c>
      <c r="F1626" s="75" t="s">
        <v>142</v>
      </c>
      <c r="G1626" s="75" t="s">
        <v>16</v>
      </c>
      <c r="H1626" s="75">
        <v>0</v>
      </c>
      <c r="I1626" s="75">
        <v>0</v>
      </c>
      <c r="J1626" s="75"/>
      <c r="K1626" s="75">
        <v>120</v>
      </c>
      <c r="L1626" s="75">
        <v>13000</v>
      </c>
      <c r="M1626" s="75">
        <v>119.5</v>
      </c>
      <c r="N1626" s="75">
        <v>12676</v>
      </c>
      <c r="O1626" s="90" t="str">
        <f>IF(VLOOKUP(UncLookup[[#This Row],[Item]],Items!$A$1:$F$43,2,FALSE)=0,"",VLOOKUP(UncLookup[[#This Row],[Item]],Items!$A$1:$F$43,2,FALSE))</f>
        <v/>
      </c>
      <c r="P1626" s="90" t="str">
        <f>IF(VLOOKUP(UncLookup[[#This Row],[Item]],Items!$A$1:$F$43,3,FALSE)=0,"",VLOOKUP(UncLookup[[#This Row],[Item]],Items!$A$1:$F$43,3,FALSE))</f>
        <v/>
      </c>
      <c r="Q1626" s="90" t="str">
        <f>IF(VLOOKUP(UncLookup[[#This Row],[Item]],Items!$A$1:$F$43,4,FALSE)=0,"",VLOOKUP(UncLookup[[#This Row],[Item]],Items!$A$1:$F$43,4,FALSE))</f>
        <v/>
      </c>
    </row>
    <row r="1627" spans="1:17" x14ac:dyDescent="0.25">
      <c r="A1627" s="76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90" t="str">
        <f>IF(VLOOKUP(UncLookup[[#This Row],[Item]],Items!$A$1:$F$43,2,FALSE)=0,"",VLOOKUP(UncLookup[[#This Row],[Item]],Items!$A$1:$F$43,2,FALSE))</f>
        <v/>
      </c>
      <c r="P1627" s="90" t="str">
        <f>IF(VLOOKUP(UncLookup[[#This Row],[Item]],Items!$A$1:$F$43,3,FALSE)=0,"",VLOOKUP(UncLookup[[#This Row],[Item]],Items!$A$1:$F$43,3,FALSE))</f>
        <v/>
      </c>
      <c r="Q1627" s="90" t="str">
        <f>IF(VLOOKUP(UncLookup[[#This Row],[Item]],Items!$A$1:$F$43,4,FALSE)=0,"",VLOOKUP(UncLookup[[#This Row],[Item]],Items!$A$1:$F$43,4,FALSE))</f>
        <v/>
      </c>
    </row>
    <row r="1628" spans="1:17" x14ac:dyDescent="0.25">
      <c r="A1628" s="75" t="s">
        <v>55</v>
      </c>
      <c r="B1628" s="75" t="s">
        <v>14</v>
      </c>
      <c r="C1628" s="75">
        <v>0.11</v>
      </c>
      <c r="D1628" s="75">
        <v>0.1101</v>
      </c>
      <c r="E1628" s="75">
        <v>0.01</v>
      </c>
      <c r="F1628" s="75" t="s">
        <v>142</v>
      </c>
      <c r="G1628" s="75" t="s">
        <v>16</v>
      </c>
      <c r="H1628" s="75">
        <v>0</v>
      </c>
      <c r="I1628" s="75">
        <v>0</v>
      </c>
      <c r="J1628" s="75"/>
      <c r="K1628" s="75">
        <v>5725.6</v>
      </c>
      <c r="L1628" s="75">
        <v>2215.6</v>
      </c>
      <c r="M1628" s="75">
        <v>5725.3</v>
      </c>
      <c r="N1628" s="75">
        <v>2210.1</v>
      </c>
      <c r="O1628" s="90" t="str">
        <f>IF(VLOOKUP(UncLookup[[#This Row],[Item]],Items!$A$1:$F$43,2,FALSE)=0,"",VLOOKUP(UncLookup[[#This Row],[Item]],Items!$A$1:$F$43,2,FALSE))</f>
        <v/>
      </c>
      <c r="P1628" s="90" t="str">
        <f>IF(VLOOKUP(UncLookup[[#This Row],[Item]],Items!$A$1:$F$43,3,FALSE)=0,"",VLOOKUP(UncLookup[[#This Row],[Item]],Items!$A$1:$F$43,3,FALSE))</f>
        <v/>
      </c>
      <c r="Q1628" s="90" t="str">
        <f>IF(VLOOKUP(UncLookup[[#This Row],[Item]],Items!$A$1:$F$43,4,FALSE)=0,"",VLOOKUP(UncLookup[[#This Row],[Item]],Items!$A$1:$F$43,4,FALSE))</f>
        <v/>
      </c>
    </row>
    <row r="1629" spans="1:17" x14ac:dyDescent="0.25">
      <c r="A1629" s="76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90" t="str">
        <f>IF(VLOOKUP(UncLookup[[#This Row],[Item]],Items!$A$1:$F$43,2,FALSE)=0,"",VLOOKUP(UncLookup[[#This Row],[Item]],Items!$A$1:$F$43,2,FALSE))</f>
        <v/>
      </c>
      <c r="P1629" s="90" t="str">
        <f>IF(VLOOKUP(UncLookup[[#This Row],[Item]],Items!$A$1:$F$43,3,FALSE)=0,"",VLOOKUP(UncLookup[[#This Row],[Item]],Items!$A$1:$F$43,3,FALSE))</f>
        <v/>
      </c>
      <c r="Q1629" s="90" t="str">
        <f>IF(VLOOKUP(UncLookup[[#This Row],[Item]],Items!$A$1:$F$43,4,FALSE)=0,"",VLOOKUP(UncLookup[[#This Row],[Item]],Items!$A$1:$F$43,4,FALSE))</f>
        <v/>
      </c>
    </row>
    <row r="1630" spans="1:17" x14ac:dyDescent="0.25">
      <c r="A1630" s="75" t="s">
        <v>55</v>
      </c>
      <c r="B1630" s="75" t="s">
        <v>101</v>
      </c>
      <c r="C1630" s="75">
        <v>0</v>
      </c>
      <c r="D1630" s="75">
        <v>1.0900099999999999E-5</v>
      </c>
      <c r="E1630" s="75">
        <v>1.0000000000000001E-9</v>
      </c>
      <c r="F1630" s="75" t="s">
        <v>102</v>
      </c>
      <c r="G1630" s="75" t="s">
        <v>102</v>
      </c>
      <c r="H1630" s="75">
        <v>0</v>
      </c>
      <c r="I1630" s="75">
        <v>0</v>
      </c>
      <c r="J1630" s="75"/>
      <c r="K1630" s="75">
        <v>0</v>
      </c>
      <c r="L1630" s="75">
        <v>2.5177999999999999E-2</v>
      </c>
      <c r="M1630" s="75">
        <v>0</v>
      </c>
      <c r="N1630" s="75">
        <v>0</v>
      </c>
      <c r="O1630" s="90" t="str">
        <f>IF(VLOOKUP(UncLookup[[#This Row],[Item]],Items!$A$1:$F$43,2,FALSE)=0,"",VLOOKUP(UncLookup[[#This Row],[Item]],Items!$A$1:$F$43,2,FALSE))</f>
        <v/>
      </c>
      <c r="P1630" s="90" t="str">
        <f>IF(VLOOKUP(UncLookup[[#This Row],[Item]],Items!$A$1:$F$43,3,FALSE)=0,"",VLOOKUP(UncLookup[[#This Row],[Item]],Items!$A$1:$F$43,3,FALSE))</f>
        <v/>
      </c>
      <c r="Q1630" s="90" t="str">
        <f>IF(VLOOKUP(UncLookup[[#This Row],[Item]],Items!$A$1:$F$43,4,FALSE)=0,"",VLOOKUP(UncLookup[[#This Row],[Item]],Items!$A$1:$F$43,4,FALSE))</f>
        <v/>
      </c>
    </row>
    <row r="1631" spans="1:17" x14ac:dyDescent="0.25">
      <c r="A1631" s="76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90" t="str">
        <f>IF(VLOOKUP(UncLookup[[#This Row],[Item]],Items!$A$1:$F$43,2,FALSE)=0,"",VLOOKUP(UncLookup[[#This Row],[Item]],Items!$A$1:$F$43,2,FALSE))</f>
        <v/>
      </c>
      <c r="P1631" s="90" t="str">
        <f>IF(VLOOKUP(UncLookup[[#This Row],[Item]],Items!$A$1:$F$43,3,FALSE)=0,"",VLOOKUP(UncLookup[[#This Row],[Item]],Items!$A$1:$F$43,3,FALSE))</f>
        <v/>
      </c>
      <c r="Q1631" s="90" t="str">
        <f>IF(VLOOKUP(UncLookup[[#This Row],[Item]],Items!$A$1:$F$43,4,FALSE)=0,"",VLOOKUP(UncLookup[[#This Row],[Item]],Items!$A$1:$F$43,4,FALSE))</f>
        <v/>
      </c>
    </row>
    <row r="1632" spans="1:17" x14ac:dyDescent="0.25">
      <c r="A1632" s="75" t="s">
        <v>55</v>
      </c>
      <c r="B1632" s="75" t="s">
        <v>101</v>
      </c>
      <c r="C1632" s="75">
        <v>0</v>
      </c>
      <c r="D1632" s="75">
        <v>1.0900099999999999E-5</v>
      </c>
      <c r="E1632" s="75">
        <v>9.9999999999999995E-8</v>
      </c>
      <c r="F1632" s="75" t="s">
        <v>102</v>
      </c>
      <c r="G1632" s="75" t="s">
        <v>102</v>
      </c>
      <c r="H1632" s="75">
        <v>0</v>
      </c>
      <c r="I1632" s="75">
        <v>0</v>
      </c>
      <c r="J1632" s="75"/>
      <c r="K1632" s="75">
        <v>0</v>
      </c>
      <c r="L1632" s="75">
        <v>0.58052999999999999</v>
      </c>
      <c r="M1632" s="75">
        <v>0</v>
      </c>
      <c r="N1632" s="75">
        <v>0</v>
      </c>
      <c r="O1632" s="90" t="str">
        <f>IF(VLOOKUP(UncLookup[[#This Row],[Item]],Items!$A$1:$F$43,2,FALSE)=0,"",VLOOKUP(UncLookup[[#This Row],[Item]],Items!$A$1:$F$43,2,FALSE))</f>
        <v/>
      </c>
      <c r="P1632" s="90" t="str">
        <f>IF(VLOOKUP(UncLookup[[#This Row],[Item]],Items!$A$1:$F$43,3,FALSE)=0,"",VLOOKUP(UncLookup[[#This Row],[Item]],Items!$A$1:$F$43,3,FALSE))</f>
        <v/>
      </c>
      <c r="Q1632" s="90" t="str">
        <f>IF(VLOOKUP(UncLookup[[#This Row],[Item]],Items!$A$1:$F$43,4,FALSE)=0,"",VLOOKUP(UncLookup[[#This Row],[Item]],Items!$A$1:$F$43,4,FALSE))</f>
        <v/>
      </c>
    </row>
    <row r="1633" spans="1:17" x14ac:dyDescent="0.25">
      <c r="A1633" s="76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90" t="str">
        <f>IF(VLOOKUP(UncLookup[[#This Row],[Item]],Items!$A$1:$F$43,2,FALSE)=0,"",VLOOKUP(UncLookup[[#This Row],[Item]],Items!$A$1:$F$43,2,FALSE))</f>
        <v/>
      </c>
      <c r="P1633" s="90" t="str">
        <f>IF(VLOOKUP(UncLookup[[#This Row],[Item]],Items!$A$1:$F$43,3,FALSE)=0,"",VLOOKUP(UncLookup[[#This Row],[Item]],Items!$A$1:$F$43,3,FALSE))</f>
        <v/>
      </c>
      <c r="Q1633" s="90" t="str">
        <f>IF(VLOOKUP(UncLookup[[#This Row],[Item]],Items!$A$1:$F$43,4,FALSE)=0,"",VLOOKUP(UncLookup[[#This Row],[Item]],Items!$A$1:$F$43,4,FALSE))</f>
        <v/>
      </c>
    </row>
    <row r="1634" spans="1:17" x14ac:dyDescent="0.25">
      <c r="A1634" s="75" t="s">
        <v>55</v>
      </c>
      <c r="B1634" s="75" t="s">
        <v>101</v>
      </c>
      <c r="C1634" s="75">
        <v>1.0900000000000001E-5</v>
      </c>
      <c r="D1634" s="75">
        <v>1.0900000000000001E-4</v>
      </c>
      <c r="E1634" s="75">
        <v>1.0000000000000001E-9</v>
      </c>
      <c r="F1634" s="75" t="s">
        <v>102</v>
      </c>
      <c r="G1634" s="75" t="s">
        <v>102</v>
      </c>
      <c r="H1634" s="75">
        <v>0</v>
      </c>
      <c r="I1634" s="75">
        <v>0</v>
      </c>
      <c r="J1634" s="75"/>
      <c r="K1634" s="75">
        <v>0</v>
      </c>
      <c r="L1634" s="75">
        <v>2.5999999999999999E-3</v>
      </c>
      <c r="M1634" s="75">
        <v>0</v>
      </c>
      <c r="N1634" s="75">
        <v>0</v>
      </c>
      <c r="O1634" s="90" t="str">
        <f>IF(VLOOKUP(UncLookup[[#This Row],[Item]],Items!$A$1:$F$43,2,FALSE)=0,"",VLOOKUP(UncLookup[[#This Row],[Item]],Items!$A$1:$F$43,2,FALSE))</f>
        <v/>
      </c>
      <c r="P1634" s="90" t="str">
        <f>IF(VLOOKUP(UncLookup[[#This Row],[Item]],Items!$A$1:$F$43,3,FALSE)=0,"",VLOOKUP(UncLookup[[#This Row],[Item]],Items!$A$1:$F$43,3,FALSE))</f>
        <v/>
      </c>
      <c r="Q1634" s="90" t="str">
        <f>IF(VLOOKUP(UncLookup[[#This Row],[Item]],Items!$A$1:$F$43,4,FALSE)=0,"",VLOOKUP(UncLookup[[#This Row],[Item]],Items!$A$1:$F$43,4,FALSE))</f>
        <v/>
      </c>
    </row>
    <row r="1635" spans="1:17" x14ac:dyDescent="0.25">
      <c r="A1635" s="76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90" t="str">
        <f>IF(VLOOKUP(UncLookup[[#This Row],[Item]],Items!$A$1:$F$43,2,FALSE)=0,"",VLOOKUP(UncLookup[[#This Row],[Item]],Items!$A$1:$F$43,2,FALSE))</f>
        <v/>
      </c>
      <c r="P1635" s="90" t="str">
        <f>IF(VLOOKUP(UncLookup[[#This Row],[Item]],Items!$A$1:$F$43,3,FALSE)=0,"",VLOOKUP(UncLookup[[#This Row],[Item]],Items!$A$1:$F$43,3,FALSE))</f>
        <v/>
      </c>
      <c r="Q1635" s="90" t="str">
        <f>IF(VLOOKUP(UncLookup[[#This Row],[Item]],Items!$A$1:$F$43,4,FALSE)=0,"",VLOOKUP(UncLookup[[#This Row],[Item]],Items!$A$1:$F$43,4,FALSE))</f>
        <v/>
      </c>
    </row>
    <row r="1636" spans="1:17" x14ac:dyDescent="0.25">
      <c r="A1636" s="75" t="s">
        <v>55</v>
      </c>
      <c r="B1636" s="75" t="s">
        <v>101</v>
      </c>
      <c r="C1636" s="75">
        <v>1.0900000000000001E-5</v>
      </c>
      <c r="D1636" s="75">
        <v>1.0900000000000001E-4</v>
      </c>
      <c r="E1636" s="75">
        <v>9.9999999999999995E-8</v>
      </c>
      <c r="F1636" s="75" t="s">
        <v>102</v>
      </c>
      <c r="G1636" s="75" t="s">
        <v>102</v>
      </c>
      <c r="H1636" s="75">
        <v>0</v>
      </c>
      <c r="I1636" s="75">
        <v>0</v>
      </c>
      <c r="J1636" s="75"/>
      <c r="K1636" s="75">
        <v>0</v>
      </c>
      <c r="L1636" s="75">
        <v>5.8884000000000002E-3</v>
      </c>
      <c r="M1636" s="75">
        <v>0</v>
      </c>
      <c r="N1636" s="75">
        <v>0</v>
      </c>
      <c r="O1636" s="90" t="str">
        <f>IF(VLOOKUP(UncLookup[[#This Row],[Item]],Items!$A$1:$F$43,2,FALSE)=0,"",VLOOKUP(UncLookup[[#This Row],[Item]],Items!$A$1:$F$43,2,FALSE))</f>
        <v/>
      </c>
      <c r="P1636" s="90" t="str">
        <f>IF(VLOOKUP(UncLookup[[#This Row],[Item]],Items!$A$1:$F$43,3,FALSE)=0,"",VLOOKUP(UncLookup[[#This Row],[Item]],Items!$A$1:$F$43,3,FALSE))</f>
        <v/>
      </c>
      <c r="Q1636" s="90" t="str">
        <f>IF(VLOOKUP(UncLookup[[#This Row],[Item]],Items!$A$1:$F$43,4,FALSE)=0,"",VLOOKUP(UncLookup[[#This Row],[Item]],Items!$A$1:$F$43,4,FALSE))</f>
        <v/>
      </c>
    </row>
    <row r="1637" spans="1:17" x14ac:dyDescent="0.25">
      <c r="A1637" s="76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90" t="str">
        <f>IF(VLOOKUP(UncLookup[[#This Row],[Item]],Items!$A$1:$F$43,2,FALSE)=0,"",VLOOKUP(UncLookup[[#This Row],[Item]],Items!$A$1:$F$43,2,FALSE))</f>
        <v/>
      </c>
      <c r="P1637" s="90" t="str">
        <f>IF(VLOOKUP(UncLookup[[#This Row],[Item]],Items!$A$1:$F$43,3,FALSE)=0,"",VLOOKUP(UncLookup[[#This Row],[Item]],Items!$A$1:$F$43,3,FALSE))</f>
        <v/>
      </c>
      <c r="Q1637" s="90" t="str">
        <f>IF(VLOOKUP(UncLookup[[#This Row],[Item]],Items!$A$1:$F$43,4,FALSE)=0,"",VLOOKUP(UncLookup[[#This Row],[Item]],Items!$A$1:$F$43,4,FALSE))</f>
        <v/>
      </c>
    </row>
    <row r="1638" spans="1:17" x14ac:dyDescent="0.25">
      <c r="A1638" s="75" t="s">
        <v>55</v>
      </c>
      <c r="B1638" s="75" t="s">
        <v>101</v>
      </c>
      <c r="C1638" s="75">
        <v>1.0900000000000001E-5</v>
      </c>
      <c r="D1638" s="75">
        <v>1.0900000000000001E-4</v>
      </c>
      <c r="E1638" s="75">
        <v>1.0000000000000001E-5</v>
      </c>
      <c r="F1638" s="75" t="s">
        <v>102</v>
      </c>
      <c r="G1638" s="75" t="s">
        <v>102</v>
      </c>
      <c r="H1638" s="75">
        <v>0</v>
      </c>
      <c r="I1638" s="75">
        <v>0</v>
      </c>
      <c r="J1638" s="75"/>
      <c r="K1638" s="75">
        <v>0</v>
      </c>
      <c r="L1638" s="75">
        <v>0.53261000000000003</v>
      </c>
      <c r="M1638" s="75">
        <v>0</v>
      </c>
      <c r="N1638" s="75">
        <v>0</v>
      </c>
      <c r="O1638" s="90" t="str">
        <f>IF(VLOOKUP(UncLookup[[#This Row],[Item]],Items!$A$1:$F$43,2,FALSE)=0,"",VLOOKUP(UncLookup[[#This Row],[Item]],Items!$A$1:$F$43,2,FALSE))</f>
        <v/>
      </c>
      <c r="P1638" s="90" t="str">
        <f>IF(VLOOKUP(UncLookup[[#This Row],[Item]],Items!$A$1:$F$43,3,FALSE)=0,"",VLOOKUP(UncLookup[[#This Row],[Item]],Items!$A$1:$F$43,3,FALSE))</f>
        <v/>
      </c>
      <c r="Q1638" s="90" t="str">
        <f>IF(VLOOKUP(UncLookup[[#This Row],[Item]],Items!$A$1:$F$43,4,FALSE)=0,"",VLOOKUP(UncLookup[[#This Row],[Item]],Items!$A$1:$F$43,4,FALSE))</f>
        <v/>
      </c>
    </row>
    <row r="1639" spans="1:17" x14ac:dyDescent="0.25">
      <c r="A1639" s="76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90" t="str">
        <f>IF(VLOOKUP(UncLookup[[#This Row],[Item]],Items!$A$1:$F$43,2,FALSE)=0,"",VLOOKUP(UncLookup[[#This Row],[Item]],Items!$A$1:$F$43,2,FALSE))</f>
        <v/>
      </c>
      <c r="P1639" s="90" t="str">
        <f>IF(VLOOKUP(UncLookup[[#This Row],[Item]],Items!$A$1:$F$43,3,FALSE)=0,"",VLOOKUP(UncLookup[[#This Row],[Item]],Items!$A$1:$F$43,3,FALSE))</f>
        <v/>
      </c>
      <c r="Q1639" s="90" t="str">
        <f>IF(VLOOKUP(UncLookup[[#This Row],[Item]],Items!$A$1:$F$43,4,FALSE)=0,"",VLOOKUP(UncLookup[[#This Row],[Item]],Items!$A$1:$F$43,4,FALSE))</f>
        <v/>
      </c>
    </row>
    <row r="1640" spans="1:17" x14ac:dyDescent="0.25">
      <c r="A1640" s="75" t="s">
        <v>55</v>
      </c>
      <c r="B1640" s="75" t="s">
        <v>101</v>
      </c>
      <c r="C1640" s="75">
        <v>1.0900000000000001E-4</v>
      </c>
      <c r="D1640" s="75">
        <v>1.0901000000000001E-3</v>
      </c>
      <c r="E1640" s="75">
        <v>9.9999999999999995E-8</v>
      </c>
      <c r="F1640" s="75" t="s">
        <v>102</v>
      </c>
      <c r="G1640" s="75" t="s">
        <v>102</v>
      </c>
      <c r="H1640" s="75">
        <v>0</v>
      </c>
      <c r="I1640" s="75">
        <v>0</v>
      </c>
      <c r="J1640" s="75"/>
      <c r="K1640" s="75">
        <v>0</v>
      </c>
      <c r="L1640" s="75">
        <v>1.6999999999999999E-3</v>
      </c>
      <c r="M1640" s="75">
        <v>0</v>
      </c>
      <c r="N1640" s="75">
        <v>0</v>
      </c>
      <c r="O1640" s="90" t="str">
        <f>IF(VLOOKUP(UncLookup[[#This Row],[Item]],Items!$A$1:$F$43,2,FALSE)=0,"",VLOOKUP(UncLookup[[#This Row],[Item]],Items!$A$1:$F$43,2,FALSE))</f>
        <v/>
      </c>
      <c r="P1640" s="90" t="str">
        <f>IF(VLOOKUP(UncLookup[[#This Row],[Item]],Items!$A$1:$F$43,3,FALSE)=0,"",VLOOKUP(UncLookup[[#This Row],[Item]],Items!$A$1:$F$43,3,FALSE))</f>
        <v/>
      </c>
      <c r="Q1640" s="90" t="str">
        <f>IF(VLOOKUP(UncLookup[[#This Row],[Item]],Items!$A$1:$F$43,4,FALSE)=0,"",VLOOKUP(UncLookup[[#This Row],[Item]],Items!$A$1:$F$43,4,FALSE))</f>
        <v/>
      </c>
    </row>
    <row r="1641" spans="1:17" x14ac:dyDescent="0.25">
      <c r="A1641" s="76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90" t="str">
        <f>IF(VLOOKUP(UncLookup[[#This Row],[Item]],Items!$A$1:$F$43,2,FALSE)=0,"",VLOOKUP(UncLookup[[#This Row],[Item]],Items!$A$1:$F$43,2,FALSE))</f>
        <v/>
      </c>
      <c r="P1641" s="90" t="str">
        <f>IF(VLOOKUP(UncLookup[[#This Row],[Item]],Items!$A$1:$F$43,3,FALSE)=0,"",VLOOKUP(UncLookup[[#This Row],[Item]],Items!$A$1:$F$43,3,FALSE))</f>
        <v/>
      </c>
      <c r="Q1641" s="90" t="str">
        <f>IF(VLOOKUP(UncLookup[[#This Row],[Item]],Items!$A$1:$F$43,4,FALSE)=0,"",VLOOKUP(UncLookup[[#This Row],[Item]],Items!$A$1:$F$43,4,FALSE))</f>
        <v/>
      </c>
    </row>
    <row r="1642" spans="1:17" x14ac:dyDescent="0.25">
      <c r="A1642" s="75" t="s">
        <v>55</v>
      </c>
      <c r="B1642" s="75" t="s">
        <v>101</v>
      </c>
      <c r="C1642" s="75">
        <v>1.0900000000000001E-4</v>
      </c>
      <c r="D1642" s="75">
        <v>1.0901000000000001E-3</v>
      </c>
      <c r="E1642" s="75">
        <v>1.0000000000000001E-5</v>
      </c>
      <c r="F1642" s="75" t="s">
        <v>102</v>
      </c>
      <c r="G1642" s="75" t="s">
        <v>102</v>
      </c>
      <c r="H1642" s="75">
        <v>0</v>
      </c>
      <c r="I1642" s="75">
        <v>0</v>
      </c>
      <c r="J1642" s="75"/>
      <c r="K1642" s="75">
        <v>0</v>
      </c>
      <c r="L1642" s="75">
        <v>5.3284999999999999E-2</v>
      </c>
      <c r="M1642" s="75">
        <v>0</v>
      </c>
      <c r="N1642" s="75">
        <v>0</v>
      </c>
      <c r="O1642" s="90" t="str">
        <f>IF(VLOOKUP(UncLookup[[#This Row],[Item]],Items!$A$1:$F$43,2,FALSE)=0,"",VLOOKUP(UncLookup[[#This Row],[Item]],Items!$A$1:$F$43,2,FALSE))</f>
        <v/>
      </c>
      <c r="P1642" s="90" t="str">
        <f>IF(VLOOKUP(UncLookup[[#This Row],[Item]],Items!$A$1:$F$43,3,FALSE)=0,"",VLOOKUP(UncLookup[[#This Row],[Item]],Items!$A$1:$F$43,3,FALSE))</f>
        <v/>
      </c>
      <c r="Q1642" s="90" t="str">
        <f>IF(VLOOKUP(UncLookup[[#This Row],[Item]],Items!$A$1:$F$43,4,FALSE)=0,"",VLOOKUP(UncLookup[[#This Row],[Item]],Items!$A$1:$F$43,4,FALSE))</f>
        <v/>
      </c>
    </row>
    <row r="1643" spans="1:17" x14ac:dyDescent="0.25">
      <c r="A1643" s="76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90" t="str">
        <f>IF(VLOOKUP(UncLookup[[#This Row],[Item]],Items!$A$1:$F$43,2,FALSE)=0,"",VLOOKUP(UncLookup[[#This Row],[Item]],Items!$A$1:$F$43,2,FALSE))</f>
        <v/>
      </c>
      <c r="P1643" s="90" t="str">
        <f>IF(VLOOKUP(UncLookup[[#This Row],[Item]],Items!$A$1:$F$43,3,FALSE)=0,"",VLOOKUP(UncLookup[[#This Row],[Item]],Items!$A$1:$F$43,3,FALSE))</f>
        <v/>
      </c>
      <c r="Q1643" s="90" t="str">
        <f>IF(VLOOKUP(UncLookup[[#This Row],[Item]],Items!$A$1:$F$43,4,FALSE)=0,"",VLOOKUP(UncLookup[[#This Row],[Item]],Items!$A$1:$F$43,4,FALSE))</f>
        <v/>
      </c>
    </row>
    <row r="1644" spans="1:17" x14ac:dyDescent="0.25">
      <c r="A1644" s="75" t="s">
        <v>55</v>
      </c>
      <c r="B1644" s="75" t="s">
        <v>101</v>
      </c>
      <c r="C1644" s="75">
        <v>1.09E-3</v>
      </c>
      <c r="D1644" s="75">
        <v>1.0900099999999999E-2</v>
      </c>
      <c r="E1644" s="75">
        <v>9.9999999999999995E-8</v>
      </c>
      <c r="F1644" s="75" t="s">
        <v>102</v>
      </c>
      <c r="G1644" s="75" t="s">
        <v>102</v>
      </c>
      <c r="H1644" s="75">
        <v>0</v>
      </c>
      <c r="I1644" s="75">
        <v>0</v>
      </c>
      <c r="J1644" s="75"/>
      <c r="K1644" s="75">
        <v>0</v>
      </c>
      <c r="L1644" s="75">
        <v>1.2999999999999999E-3</v>
      </c>
      <c r="M1644" s="75">
        <v>0</v>
      </c>
      <c r="N1644" s="75">
        <v>0</v>
      </c>
      <c r="O1644" s="90" t="str">
        <f>IF(VLOOKUP(UncLookup[[#This Row],[Item]],Items!$A$1:$F$43,2,FALSE)=0,"",VLOOKUP(UncLookup[[#This Row],[Item]],Items!$A$1:$F$43,2,FALSE))</f>
        <v/>
      </c>
      <c r="P1644" s="90" t="str">
        <f>IF(VLOOKUP(UncLookup[[#This Row],[Item]],Items!$A$1:$F$43,3,FALSE)=0,"",VLOOKUP(UncLookup[[#This Row],[Item]],Items!$A$1:$F$43,3,FALSE))</f>
        <v/>
      </c>
      <c r="Q1644" s="90" t="str">
        <f>IF(VLOOKUP(UncLookup[[#This Row],[Item]],Items!$A$1:$F$43,4,FALSE)=0,"",VLOOKUP(UncLookup[[#This Row],[Item]],Items!$A$1:$F$43,4,FALSE))</f>
        <v/>
      </c>
    </row>
    <row r="1645" spans="1:17" x14ac:dyDescent="0.25">
      <c r="A1645" s="76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90" t="str">
        <f>IF(VLOOKUP(UncLookup[[#This Row],[Item]],Items!$A$1:$F$43,2,FALSE)=0,"",VLOOKUP(UncLookup[[#This Row],[Item]],Items!$A$1:$F$43,2,FALSE))</f>
        <v/>
      </c>
      <c r="P1645" s="90" t="str">
        <f>IF(VLOOKUP(UncLookup[[#This Row],[Item]],Items!$A$1:$F$43,3,FALSE)=0,"",VLOOKUP(UncLookup[[#This Row],[Item]],Items!$A$1:$F$43,3,FALSE))</f>
        <v/>
      </c>
      <c r="Q1645" s="90" t="str">
        <f>IF(VLOOKUP(UncLookup[[#This Row],[Item]],Items!$A$1:$F$43,4,FALSE)=0,"",VLOOKUP(UncLookup[[#This Row],[Item]],Items!$A$1:$F$43,4,FALSE))</f>
        <v/>
      </c>
    </row>
    <row r="1646" spans="1:17" x14ac:dyDescent="0.25">
      <c r="A1646" s="75" t="s">
        <v>55</v>
      </c>
      <c r="B1646" s="75" t="s">
        <v>101</v>
      </c>
      <c r="C1646" s="75">
        <v>1.09E-3</v>
      </c>
      <c r="D1646" s="75">
        <v>1.0900099999999999E-2</v>
      </c>
      <c r="E1646" s="75">
        <v>1.0000000000000001E-5</v>
      </c>
      <c r="F1646" s="75" t="s">
        <v>102</v>
      </c>
      <c r="G1646" s="75" t="s">
        <v>102</v>
      </c>
      <c r="H1646" s="75">
        <v>0</v>
      </c>
      <c r="I1646" s="75">
        <v>0</v>
      </c>
      <c r="J1646" s="75"/>
      <c r="K1646" s="75">
        <v>0</v>
      </c>
      <c r="L1646" s="75">
        <v>5.4701999999999997E-3</v>
      </c>
      <c r="M1646" s="75">
        <v>0</v>
      </c>
      <c r="N1646" s="75">
        <v>0</v>
      </c>
      <c r="O1646" s="90" t="str">
        <f>IF(VLOOKUP(UncLookup[[#This Row],[Item]],Items!$A$1:$F$43,2,FALSE)=0,"",VLOOKUP(UncLookup[[#This Row],[Item]],Items!$A$1:$F$43,2,FALSE))</f>
        <v/>
      </c>
      <c r="P1646" s="90" t="str">
        <f>IF(VLOOKUP(UncLookup[[#This Row],[Item]],Items!$A$1:$F$43,3,FALSE)=0,"",VLOOKUP(UncLookup[[#This Row],[Item]],Items!$A$1:$F$43,3,FALSE))</f>
        <v/>
      </c>
      <c r="Q1646" s="90" t="str">
        <f>IF(VLOOKUP(UncLookup[[#This Row],[Item]],Items!$A$1:$F$43,4,FALSE)=0,"",VLOOKUP(UncLookup[[#This Row],[Item]],Items!$A$1:$F$43,4,FALSE))</f>
        <v/>
      </c>
    </row>
    <row r="1647" spans="1:17" x14ac:dyDescent="0.25">
      <c r="A1647" s="76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90" t="str">
        <f>IF(VLOOKUP(UncLookup[[#This Row],[Item]],Items!$A$1:$F$43,2,FALSE)=0,"",VLOOKUP(UncLookup[[#This Row],[Item]],Items!$A$1:$F$43,2,FALSE))</f>
        <v/>
      </c>
      <c r="P1647" s="90" t="str">
        <f>IF(VLOOKUP(UncLookup[[#This Row],[Item]],Items!$A$1:$F$43,3,FALSE)=0,"",VLOOKUP(UncLookup[[#This Row],[Item]],Items!$A$1:$F$43,3,FALSE))</f>
        <v/>
      </c>
      <c r="Q1647" s="90" t="str">
        <f>IF(VLOOKUP(UncLookup[[#This Row],[Item]],Items!$A$1:$F$43,4,FALSE)=0,"",VLOOKUP(UncLookup[[#This Row],[Item]],Items!$A$1:$F$43,4,FALSE))</f>
        <v/>
      </c>
    </row>
    <row r="1648" spans="1:17" x14ac:dyDescent="0.25">
      <c r="A1648" s="75" t="s">
        <v>55</v>
      </c>
      <c r="B1648" s="75" t="s">
        <v>101</v>
      </c>
      <c r="C1648" s="75">
        <v>1.09E-3</v>
      </c>
      <c r="D1648" s="75">
        <v>1.0900099999999999E-2</v>
      </c>
      <c r="E1648" s="75">
        <v>1E-3</v>
      </c>
      <c r="F1648" s="75" t="s">
        <v>102</v>
      </c>
      <c r="G1648" s="75" t="s">
        <v>102</v>
      </c>
      <c r="H1648" s="75">
        <v>0</v>
      </c>
      <c r="I1648" s="75">
        <v>0</v>
      </c>
      <c r="J1648" s="75"/>
      <c r="K1648" s="75">
        <v>0</v>
      </c>
      <c r="L1648" s="75">
        <v>0.53259999999999996</v>
      </c>
      <c r="M1648" s="75">
        <v>0</v>
      </c>
      <c r="N1648" s="75">
        <v>0</v>
      </c>
      <c r="O1648" s="90" t="str">
        <f>IF(VLOOKUP(UncLookup[[#This Row],[Item]],Items!$A$1:$F$43,2,FALSE)=0,"",VLOOKUP(UncLookup[[#This Row],[Item]],Items!$A$1:$F$43,2,FALSE))</f>
        <v/>
      </c>
      <c r="P1648" s="90" t="str">
        <f>IF(VLOOKUP(UncLookup[[#This Row],[Item]],Items!$A$1:$F$43,3,FALSE)=0,"",VLOOKUP(UncLookup[[#This Row],[Item]],Items!$A$1:$F$43,3,FALSE))</f>
        <v/>
      </c>
      <c r="Q1648" s="90" t="str">
        <f>IF(VLOOKUP(UncLookup[[#This Row],[Item]],Items!$A$1:$F$43,4,FALSE)=0,"",VLOOKUP(UncLookup[[#This Row],[Item]],Items!$A$1:$F$43,4,FALSE))</f>
        <v/>
      </c>
    </row>
    <row r="1649" spans="1:17" x14ac:dyDescent="0.25">
      <c r="A1649" s="76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90" t="str">
        <f>IF(VLOOKUP(UncLookup[[#This Row],[Item]],Items!$A$1:$F$43,2,FALSE)=0,"",VLOOKUP(UncLookup[[#This Row],[Item]],Items!$A$1:$F$43,2,FALSE))</f>
        <v/>
      </c>
      <c r="P1649" s="90" t="str">
        <f>IF(VLOOKUP(UncLookup[[#This Row],[Item]],Items!$A$1:$F$43,3,FALSE)=0,"",VLOOKUP(UncLookup[[#This Row],[Item]],Items!$A$1:$F$43,3,FALSE))</f>
        <v/>
      </c>
      <c r="Q1649" s="90" t="str">
        <f>IF(VLOOKUP(UncLookup[[#This Row],[Item]],Items!$A$1:$F$43,4,FALSE)=0,"",VLOOKUP(UncLookup[[#This Row],[Item]],Items!$A$1:$F$43,4,FALSE))</f>
        <v/>
      </c>
    </row>
    <row r="1650" spans="1:17" x14ac:dyDescent="0.25">
      <c r="A1650" s="75" t="s">
        <v>55</v>
      </c>
      <c r="B1650" s="75" t="s">
        <v>101</v>
      </c>
      <c r="C1650" s="75">
        <v>1.09E-2</v>
      </c>
      <c r="D1650" s="75">
        <v>0.1090001</v>
      </c>
      <c r="E1650" s="75">
        <v>1.0000000000000001E-5</v>
      </c>
      <c r="F1650" s="75" t="s">
        <v>102</v>
      </c>
      <c r="G1650" s="75" t="s">
        <v>102</v>
      </c>
      <c r="H1650" s="75">
        <v>0</v>
      </c>
      <c r="I1650" s="75">
        <v>0</v>
      </c>
      <c r="J1650" s="75"/>
      <c r="K1650" s="75">
        <v>0</v>
      </c>
      <c r="L1650" s="75">
        <v>9.4315999999999996E-4</v>
      </c>
      <c r="M1650" s="75">
        <v>0</v>
      </c>
      <c r="N1650" s="75">
        <v>0</v>
      </c>
      <c r="O1650" s="90" t="str">
        <f>IF(VLOOKUP(UncLookup[[#This Row],[Item]],Items!$A$1:$F$43,2,FALSE)=0,"",VLOOKUP(UncLookup[[#This Row],[Item]],Items!$A$1:$F$43,2,FALSE))</f>
        <v/>
      </c>
      <c r="P1650" s="90" t="str">
        <f>IF(VLOOKUP(UncLookup[[#This Row],[Item]],Items!$A$1:$F$43,3,FALSE)=0,"",VLOOKUP(UncLookup[[#This Row],[Item]],Items!$A$1:$F$43,3,FALSE))</f>
        <v/>
      </c>
      <c r="Q1650" s="90" t="str">
        <f>IF(VLOOKUP(UncLookup[[#This Row],[Item]],Items!$A$1:$F$43,4,FALSE)=0,"",VLOOKUP(UncLookup[[#This Row],[Item]],Items!$A$1:$F$43,4,FALSE))</f>
        <v/>
      </c>
    </row>
    <row r="1651" spans="1:17" x14ac:dyDescent="0.25">
      <c r="A1651" s="76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90" t="str">
        <f>IF(VLOOKUP(UncLookup[[#This Row],[Item]],Items!$A$1:$F$43,2,FALSE)=0,"",VLOOKUP(UncLookup[[#This Row],[Item]],Items!$A$1:$F$43,2,FALSE))</f>
        <v/>
      </c>
      <c r="P1651" s="90" t="str">
        <f>IF(VLOOKUP(UncLookup[[#This Row],[Item]],Items!$A$1:$F$43,3,FALSE)=0,"",VLOOKUP(UncLookup[[#This Row],[Item]],Items!$A$1:$F$43,3,FALSE))</f>
        <v/>
      </c>
      <c r="Q1651" s="90" t="str">
        <f>IF(VLOOKUP(UncLookup[[#This Row],[Item]],Items!$A$1:$F$43,4,FALSE)=0,"",VLOOKUP(UncLookup[[#This Row],[Item]],Items!$A$1:$F$43,4,FALSE))</f>
        <v/>
      </c>
    </row>
    <row r="1652" spans="1:17" x14ac:dyDescent="0.25">
      <c r="A1652" s="75" t="s">
        <v>55</v>
      </c>
      <c r="B1652" s="75" t="s">
        <v>101</v>
      </c>
      <c r="C1652" s="75">
        <v>1.09E-2</v>
      </c>
      <c r="D1652" s="75">
        <v>0.1090001</v>
      </c>
      <c r="E1652" s="75">
        <v>1E-3</v>
      </c>
      <c r="F1652" s="75" t="s">
        <v>102</v>
      </c>
      <c r="G1652" s="75" t="s">
        <v>102</v>
      </c>
      <c r="H1652" s="75">
        <v>0</v>
      </c>
      <c r="I1652" s="75">
        <v>0</v>
      </c>
      <c r="J1652" s="75"/>
      <c r="K1652" s="75">
        <v>0</v>
      </c>
      <c r="L1652" s="75">
        <v>5.3267000000000002E-2</v>
      </c>
      <c r="M1652" s="75">
        <v>0</v>
      </c>
      <c r="N1652" s="75">
        <v>0</v>
      </c>
      <c r="O1652" s="90" t="str">
        <f>IF(VLOOKUP(UncLookup[[#This Row],[Item]],Items!$A$1:$F$43,2,FALSE)=0,"",VLOOKUP(UncLookup[[#This Row],[Item]],Items!$A$1:$F$43,2,FALSE))</f>
        <v/>
      </c>
      <c r="P1652" s="90" t="str">
        <f>IF(VLOOKUP(UncLookup[[#This Row],[Item]],Items!$A$1:$F$43,3,FALSE)=0,"",VLOOKUP(UncLookup[[#This Row],[Item]],Items!$A$1:$F$43,3,FALSE))</f>
        <v/>
      </c>
      <c r="Q1652" s="90" t="str">
        <f>IF(VLOOKUP(UncLookup[[#This Row],[Item]],Items!$A$1:$F$43,4,FALSE)=0,"",VLOOKUP(UncLookup[[#This Row],[Item]],Items!$A$1:$F$43,4,FALSE))</f>
        <v/>
      </c>
    </row>
    <row r="1653" spans="1:17" x14ac:dyDescent="0.25">
      <c r="A1653" s="76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90" t="str">
        <f>IF(VLOOKUP(UncLookup[[#This Row],[Item]],Items!$A$1:$F$43,2,FALSE)=0,"",VLOOKUP(UncLookup[[#This Row],[Item]],Items!$A$1:$F$43,2,FALSE))</f>
        <v/>
      </c>
      <c r="P1653" s="90" t="str">
        <f>IF(VLOOKUP(UncLookup[[#This Row],[Item]],Items!$A$1:$F$43,3,FALSE)=0,"",VLOOKUP(UncLookup[[#This Row],[Item]],Items!$A$1:$F$43,3,FALSE))</f>
        <v/>
      </c>
      <c r="Q1653" s="90" t="str">
        <f>IF(VLOOKUP(UncLookup[[#This Row],[Item]],Items!$A$1:$F$43,4,FALSE)=0,"",VLOOKUP(UncLookup[[#This Row],[Item]],Items!$A$1:$F$43,4,FALSE))</f>
        <v/>
      </c>
    </row>
    <row r="1654" spans="1:17" x14ac:dyDescent="0.25">
      <c r="A1654" s="75" t="s">
        <v>55</v>
      </c>
      <c r="B1654" s="75" t="s">
        <v>101</v>
      </c>
      <c r="C1654" s="75">
        <v>0.109</v>
      </c>
      <c r="D1654" s="75">
        <v>1.0901000000000001</v>
      </c>
      <c r="E1654" s="75">
        <v>1.0000000000000001E-5</v>
      </c>
      <c r="F1654" s="75" t="s">
        <v>102</v>
      </c>
      <c r="G1654" s="75" t="s">
        <v>102</v>
      </c>
      <c r="H1654" s="75">
        <v>0</v>
      </c>
      <c r="I1654" s="75">
        <v>0</v>
      </c>
      <c r="J1654" s="75"/>
      <c r="K1654" s="75">
        <v>0</v>
      </c>
      <c r="L1654" s="75">
        <v>7.7999999999999999E-4</v>
      </c>
      <c r="M1654" s="75">
        <v>0</v>
      </c>
      <c r="N1654" s="75">
        <v>0</v>
      </c>
      <c r="O1654" s="90" t="str">
        <f>IF(VLOOKUP(UncLookup[[#This Row],[Item]],Items!$A$1:$F$43,2,FALSE)=0,"",VLOOKUP(UncLookup[[#This Row],[Item]],Items!$A$1:$F$43,2,FALSE))</f>
        <v/>
      </c>
      <c r="P1654" s="90" t="str">
        <f>IF(VLOOKUP(UncLookup[[#This Row],[Item]],Items!$A$1:$F$43,3,FALSE)=0,"",VLOOKUP(UncLookup[[#This Row],[Item]],Items!$A$1:$F$43,3,FALSE))</f>
        <v/>
      </c>
      <c r="Q1654" s="90" t="str">
        <f>IF(VLOOKUP(UncLookup[[#This Row],[Item]],Items!$A$1:$F$43,4,FALSE)=0,"",VLOOKUP(UncLookup[[#This Row],[Item]],Items!$A$1:$F$43,4,FALSE))</f>
        <v/>
      </c>
    </row>
    <row r="1655" spans="1:17" x14ac:dyDescent="0.25">
      <c r="A1655" s="76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90" t="str">
        <f>IF(VLOOKUP(UncLookup[[#This Row],[Item]],Items!$A$1:$F$43,2,FALSE)=0,"",VLOOKUP(UncLookup[[#This Row],[Item]],Items!$A$1:$F$43,2,FALSE))</f>
        <v/>
      </c>
      <c r="P1655" s="90" t="str">
        <f>IF(VLOOKUP(UncLookup[[#This Row],[Item]],Items!$A$1:$F$43,3,FALSE)=0,"",VLOOKUP(UncLookup[[#This Row],[Item]],Items!$A$1:$F$43,3,FALSE))</f>
        <v/>
      </c>
      <c r="Q1655" s="90" t="str">
        <f>IF(VLOOKUP(UncLookup[[#This Row],[Item]],Items!$A$1:$F$43,4,FALSE)=0,"",VLOOKUP(UncLookup[[#This Row],[Item]],Items!$A$1:$F$43,4,FALSE))</f>
        <v/>
      </c>
    </row>
    <row r="1656" spans="1:17" x14ac:dyDescent="0.25">
      <c r="A1656" s="75" t="s">
        <v>55</v>
      </c>
      <c r="B1656" s="75" t="s">
        <v>101</v>
      </c>
      <c r="C1656" s="75">
        <v>0.109</v>
      </c>
      <c r="D1656" s="75">
        <v>1.0901000000000001</v>
      </c>
      <c r="E1656" s="75">
        <v>1E-3</v>
      </c>
      <c r="F1656" s="75" t="s">
        <v>102</v>
      </c>
      <c r="G1656" s="75" t="s">
        <v>102</v>
      </c>
      <c r="H1656" s="75">
        <v>0</v>
      </c>
      <c r="I1656" s="75">
        <v>0</v>
      </c>
      <c r="J1656" s="75"/>
      <c r="K1656" s="75">
        <v>0</v>
      </c>
      <c r="L1656" s="75">
        <v>5.3845999999999998E-3</v>
      </c>
      <c r="M1656" s="75">
        <v>0</v>
      </c>
      <c r="N1656" s="75">
        <v>0</v>
      </c>
      <c r="O1656" s="90" t="str">
        <f>IF(VLOOKUP(UncLookup[[#This Row],[Item]],Items!$A$1:$F$43,2,FALSE)=0,"",VLOOKUP(UncLookup[[#This Row],[Item]],Items!$A$1:$F$43,2,FALSE))</f>
        <v/>
      </c>
      <c r="P1656" s="90" t="str">
        <f>IF(VLOOKUP(UncLookup[[#This Row],[Item]],Items!$A$1:$F$43,3,FALSE)=0,"",VLOOKUP(UncLookup[[#This Row],[Item]],Items!$A$1:$F$43,3,FALSE))</f>
        <v/>
      </c>
      <c r="Q1656" s="90" t="str">
        <f>IF(VLOOKUP(UncLookup[[#This Row],[Item]],Items!$A$1:$F$43,4,FALSE)=0,"",VLOOKUP(UncLookup[[#This Row],[Item]],Items!$A$1:$F$43,4,FALSE))</f>
        <v/>
      </c>
    </row>
    <row r="1657" spans="1:17" x14ac:dyDescent="0.25">
      <c r="A1657" s="76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90" t="str">
        <f>IF(VLOOKUP(UncLookup[[#This Row],[Item]],Items!$A$1:$F$43,2,FALSE)=0,"",VLOOKUP(UncLookup[[#This Row],[Item]],Items!$A$1:$F$43,2,FALSE))</f>
        <v/>
      </c>
      <c r="P1657" s="90" t="str">
        <f>IF(VLOOKUP(UncLookup[[#This Row],[Item]],Items!$A$1:$F$43,3,FALSE)=0,"",VLOOKUP(UncLookup[[#This Row],[Item]],Items!$A$1:$F$43,3,FALSE))</f>
        <v/>
      </c>
      <c r="Q1657" s="90" t="str">
        <f>IF(VLOOKUP(UncLookup[[#This Row],[Item]],Items!$A$1:$F$43,4,FALSE)=0,"",VLOOKUP(UncLookup[[#This Row],[Item]],Items!$A$1:$F$43,4,FALSE))</f>
        <v/>
      </c>
    </row>
    <row r="1658" spans="1:17" x14ac:dyDescent="0.25">
      <c r="A1658" s="75" t="s">
        <v>55</v>
      </c>
      <c r="B1658" s="75" t="s">
        <v>101</v>
      </c>
      <c r="C1658" s="75">
        <v>0.109</v>
      </c>
      <c r="D1658" s="75">
        <v>1.0901000000000001</v>
      </c>
      <c r="E1658" s="75">
        <v>0.1</v>
      </c>
      <c r="F1658" s="75" t="s">
        <v>102</v>
      </c>
      <c r="G1658" s="75" t="s">
        <v>102</v>
      </c>
      <c r="H1658" s="75">
        <v>0</v>
      </c>
      <c r="I1658" s="75">
        <v>0</v>
      </c>
      <c r="J1658" s="75"/>
      <c r="K1658" s="75">
        <v>0</v>
      </c>
      <c r="L1658" s="75">
        <v>0.53259999999999996</v>
      </c>
      <c r="M1658" s="75">
        <v>0</v>
      </c>
      <c r="N1658" s="75">
        <v>0</v>
      </c>
      <c r="O1658" s="90" t="str">
        <f>IF(VLOOKUP(UncLookup[[#This Row],[Item]],Items!$A$1:$F$43,2,FALSE)=0,"",VLOOKUP(UncLookup[[#This Row],[Item]],Items!$A$1:$F$43,2,FALSE))</f>
        <v/>
      </c>
      <c r="P1658" s="90" t="str">
        <f>IF(VLOOKUP(UncLookup[[#This Row],[Item]],Items!$A$1:$F$43,3,FALSE)=0,"",VLOOKUP(UncLookup[[#This Row],[Item]],Items!$A$1:$F$43,3,FALSE))</f>
        <v/>
      </c>
      <c r="Q1658" s="90" t="str">
        <f>IF(VLOOKUP(UncLookup[[#This Row],[Item]],Items!$A$1:$F$43,4,FALSE)=0,"",VLOOKUP(UncLookup[[#This Row],[Item]],Items!$A$1:$F$43,4,FALSE))</f>
        <v/>
      </c>
    </row>
    <row r="1659" spans="1:17" x14ac:dyDescent="0.25">
      <c r="A1659" s="76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90" t="str">
        <f>IF(VLOOKUP(UncLookup[[#This Row],[Item]],Items!$A$1:$F$43,2,FALSE)=0,"",VLOOKUP(UncLookup[[#This Row],[Item]],Items!$A$1:$F$43,2,FALSE))</f>
        <v/>
      </c>
      <c r="P1659" s="90" t="str">
        <f>IF(VLOOKUP(UncLookup[[#This Row],[Item]],Items!$A$1:$F$43,3,FALSE)=0,"",VLOOKUP(UncLookup[[#This Row],[Item]],Items!$A$1:$F$43,3,FALSE))</f>
        <v/>
      </c>
      <c r="Q1659" s="90" t="str">
        <f>IF(VLOOKUP(UncLookup[[#This Row],[Item]],Items!$A$1:$F$43,4,FALSE)=0,"",VLOOKUP(UncLookup[[#This Row],[Item]],Items!$A$1:$F$43,4,FALSE))</f>
        <v/>
      </c>
    </row>
    <row r="1660" spans="1:17" x14ac:dyDescent="0.25">
      <c r="A1660" s="75" t="s">
        <v>55</v>
      </c>
      <c r="B1660" s="75" t="s">
        <v>101</v>
      </c>
      <c r="C1660" s="75">
        <v>1.0900000000000001</v>
      </c>
      <c r="D1660" s="75">
        <v>10.9001</v>
      </c>
      <c r="E1660" s="75">
        <v>1E-3</v>
      </c>
      <c r="F1660" s="75" t="s">
        <v>102</v>
      </c>
      <c r="G1660" s="75" t="s">
        <v>102</v>
      </c>
      <c r="H1660" s="75">
        <v>0</v>
      </c>
      <c r="I1660" s="75">
        <v>0</v>
      </c>
      <c r="J1660" s="75"/>
      <c r="K1660" s="75">
        <v>0</v>
      </c>
      <c r="L1660" s="75">
        <v>1.3347000000000001E-3</v>
      </c>
      <c r="M1660" s="75">
        <v>0</v>
      </c>
      <c r="N1660" s="75">
        <v>0</v>
      </c>
      <c r="O1660" s="90" t="str">
        <f>IF(VLOOKUP(UncLookup[[#This Row],[Item]],Items!$A$1:$F$43,2,FALSE)=0,"",VLOOKUP(UncLookup[[#This Row],[Item]],Items!$A$1:$F$43,2,FALSE))</f>
        <v/>
      </c>
      <c r="P1660" s="90" t="str">
        <f>IF(VLOOKUP(UncLookup[[#This Row],[Item]],Items!$A$1:$F$43,3,FALSE)=0,"",VLOOKUP(UncLookup[[#This Row],[Item]],Items!$A$1:$F$43,3,FALSE))</f>
        <v/>
      </c>
      <c r="Q1660" s="90" t="str">
        <f>IF(VLOOKUP(UncLookup[[#This Row],[Item]],Items!$A$1:$F$43,4,FALSE)=0,"",VLOOKUP(UncLookup[[#This Row],[Item]],Items!$A$1:$F$43,4,FALSE))</f>
        <v/>
      </c>
    </row>
    <row r="1661" spans="1:17" x14ac:dyDescent="0.25">
      <c r="A1661" s="76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90" t="str">
        <f>IF(VLOOKUP(UncLookup[[#This Row],[Item]],Items!$A$1:$F$43,2,FALSE)=0,"",VLOOKUP(UncLookup[[#This Row],[Item]],Items!$A$1:$F$43,2,FALSE))</f>
        <v/>
      </c>
      <c r="P1661" s="90" t="str">
        <f>IF(VLOOKUP(UncLookup[[#This Row],[Item]],Items!$A$1:$F$43,3,FALSE)=0,"",VLOOKUP(UncLookup[[#This Row],[Item]],Items!$A$1:$F$43,3,FALSE))</f>
        <v/>
      </c>
      <c r="Q1661" s="90" t="str">
        <f>IF(VLOOKUP(UncLookup[[#This Row],[Item]],Items!$A$1:$F$43,4,FALSE)=0,"",VLOOKUP(UncLookup[[#This Row],[Item]],Items!$A$1:$F$43,4,FALSE))</f>
        <v/>
      </c>
    </row>
    <row r="1662" spans="1:17" x14ac:dyDescent="0.25">
      <c r="A1662" s="75" t="s">
        <v>55</v>
      </c>
      <c r="B1662" s="75" t="s">
        <v>101</v>
      </c>
      <c r="C1662" s="75">
        <v>1.0900000000000001</v>
      </c>
      <c r="D1662" s="75">
        <v>10.9001</v>
      </c>
      <c r="E1662" s="75">
        <v>0.1</v>
      </c>
      <c r="F1662" s="75" t="s">
        <v>102</v>
      </c>
      <c r="G1662" s="75" t="s">
        <v>102</v>
      </c>
      <c r="H1662" s="75">
        <v>0</v>
      </c>
      <c r="I1662" s="75">
        <v>0</v>
      </c>
      <c r="J1662" s="75"/>
      <c r="K1662" s="75">
        <v>0</v>
      </c>
      <c r="L1662" s="75">
        <v>5.3275000000000003E-2</v>
      </c>
      <c r="M1662" s="75">
        <v>0</v>
      </c>
      <c r="N1662" s="75">
        <v>0</v>
      </c>
      <c r="O1662" s="90" t="str">
        <f>IF(VLOOKUP(UncLookup[[#This Row],[Item]],Items!$A$1:$F$43,2,FALSE)=0,"",VLOOKUP(UncLookup[[#This Row],[Item]],Items!$A$1:$F$43,2,FALSE))</f>
        <v/>
      </c>
      <c r="P1662" s="90" t="str">
        <f>IF(VLOOKUP(UncLookup[[#This Row],[Item]],Items!$A$1:$F$43,3,FALSE)=0,"",VLOOKUP(UncLookup[[#This Row],[Item]],Items!$A$1:$F$43,3,FALSE))</f>
        <v/>
      </c>
      <c r="Q1662" s="90" t="str">
        <f>IF(VLOOKUP(UncLookup[[#This Row],[Item]],Items!$A$1:$F$43,4,FALSE)=0,"",VLOOKUP(UncLookup[[#This Row],[Item]],Items!$A$1:$F$43,4,FALSE))</f>
        <v/>
      </c>
    </row>
    <row r="1663" spans="1:17" x14ac:dyDescent="0.25">
      <c r="A1663" s="76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90" t="str">
        <f>IF(VLOOKUP(UncLookup[[#This Row],[Item]],Items!$A$1:$F$43,2,FALSE)=0,"",VLOOKUP(UncLookup[[#This Row],[Item]],Items!$A$1:$F$43,2,FALSE))</f>
        <v/>
      </c>
      <c r="P1663" s="90" t="str">
        <f>IF(VLOOKUP(UncLookup[[#This Row],[Item]],Items!$A$1:$F$43,3,FALSE)=0,"",VLOOKUP(UncLookup[[#This Row],[Item]],Items!$A$1:$F$43,3,FALSE))</f>
        <v/>
      </c>
      <c r="Q1663" s="90" t="str">
        <f>IF(VLOOKUP(UncLookup[[#This Row],[Item]],Items!$A$1:$F$43,4,FALSE)=0,"",VLOOKUP(UncLookup[[#This Row],[Item]],Items!$A$1:$F$43,4,FALSE))</f>
        <v/>
      </c>
    </row>
    <row r="1664" spans="1:17" x14ac:dyDescent="0.25">
      <c r="A1664" s="75" t="s">
        <v>55</v>
      </c>
      <c r="B1664" s="75" t="s">
        <v>101</v>
      </c>
      <c r="C1664" s="75">
        <v>10.9</v>
      </c>
      <c r="D1664" s="75">
        <v>109.0001</v>
      </c>
      <c r="E1664" s="75">
        <v>1E-3</v>
      </c>
      <c r="F1664" s="75" t="s">
        <v>102</v>
      </c>
      <c r="G1664" s="75" t="s">
        <v>102</v>
      </c>
      <c r="H1664" s="75">
        <v>0</v>
      </c>
      <c r="I1664" s="75">
        <v>0</v>
      </c>
      <c r="J1664" s="75"/>
      <c r="K1664" s="75">
        <v>0</v>
      </c>
      <c r="L1664" s="75">
        <v>8.8000000000000003E-4</v>
      </c>
      <c r="M1664" s="75">
        <v>0</v>
      </c>
      <c r="N1664" s="75">
        <v>0</v>
      </c>
      <c r="O1664" s="90" t="str">
        <f>IF(VLOOKUP(UncLookup[[#This Row],[Item]],Items!$A$1:$F$43,2,FALSE)=0,"",VLOOKUP(UncLookup[[#This Row],[Item]],Items!$A$1:$F$43,2,FALSE))</f>
        <v/>
      </c>
      <c r="P1664" s="90" t="str">
        <f>IF(VLOOKUP(UncLookup[[#This Row],[Item]],Items!$A$1:$F$43,3,FALSE)=0,"",VLOOKUP(UncLookup[[#This Row],[Item]],Items!$A$1:$F$43,3,FALSE))</f>
        <v/>
      </c>
      <c r="Q1664" s="90" t="str">
        <f>IF(VLOOKUP(UncLookup[[#This Row],[Item]],Items!$A$1:$F$43,4,FALSE)=0,"",VLOOKUP(UncLookup[[#This Row],[Item]],Items!$A$1:$F$43,4,FALSE))</f>
        <v/>
      </c>
    </row>
    <row r="1665" spans="1:17" x14ac:dyDescent="0.25">
      <c r="A1665" s="76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90" t="str">
        <f>IF(VLOOKUP(UncLookup[[#This Row],[Item]],Items!$A$1:$F$43,2,FALSE)=0,"",VLOOKUP(UncLookup[[#This Row],[Item]],Items!$A$1:$F$43,2,FALSE))</f>
        <v/>
      </c>
      <c r="P1665" s="90" t="str">
        <f>IF(VLOOKUP(UncLookup[[#This Row],[Item]],Items!$A$1:$F$43,3,FALSE)=0,"",VLOOKUP(UncLookup[[#This Row],[Item]],Items!$A$1:$F$43,3,FALSE))</f>
        <v/>
      </c>
      <c r="Q1665" s="90" t="str">
        <f>IF(VLOOKUP(UncLookup[[#This Row],[Item]],Items!$A$1:$F$43,4,FALSE)=0,"",VLOOKUP(UncLookup[[#This Row],[Item]],Items!$A$1:$F$43,4,FALSE))</f>
        <v/>
      </c>
    </row>
    <row r="1666" spans="1:17" x14ac:dyDescent="0.25">
      <c r="A1666" s="75" t="s">
        <v>55</v>
      </c>
      <c r="B1666" s="75" t="s">
        <v>101</v>
      </c>
      <c r="C1666" s="75">
        <v>10.9</v>
      </c>
      <c r="D1666" s="75">
        <v>109.0001</v>
      </c>
      <c r="E1666" s="75">
        <v>0.1</v>
      </c>
      <c r="F1666" s="75" t="s">
        <v>102</v>
      </c>
      <c r="G1666" s="75" t="s">
        <v>102</v>
      </c>
      <c r="H1666" s="75">
        <v>0</v>
      </c>
      <c r="I1666" s="75">
        <v>0</v>
      </c>
      <c r="J1666" s="75"/>
      <c r="K1666" s="75">
        <v>0</v>
      </c>
      <c r="L1666" s="75">
        <v>5.3997000000000003E-3</v>
      </c>
      <c r="M1666" s="75">
        <v>0</v>
      </c>
      <c r="N1666" s="75">
        <v>0</v>
      </c>
      <c r="O1666" s="90" t="str">
        <f>IF(VLOOKUP(UncLookup[[#This Row],[Item]],Items!$A$1:$F$43,2,FALSE)=0,"",VLOOKUP(UncLookup[[#This Row],[Item]],Items!$A$1:$F$43,2,FALSE))</f>
        <v/>
      </c>
      <c r="P1666" s="90" t="str">
        <f>IF(VLOOKUP(UncLookup[[#This Row],[Item]],Items!$A$1:$F$43,3,FALSE)=0,"",VLOOKUP(UncLookup[[#This Row],[Item]],Items!$A$1:$F$43,3,FALSE))</f>
        <v/>
      </c>
      <c r="Q1666" s="90" t="str">
        <f>IF(VLOOKUP(UncLookup[[#This Row],[Item]],Items!$A$1:$F$43,4,FALSE)=0,"",VLOOKUP(UncLookup[[#This Row],[Item]],Items!$A$1:$F$43,4,FALSE))</f>
        <v/>
      </c>
    </row>
    <row r="1667" spans="1:17" x14ac:dyDescent="0.25">
      <c r="A1667" s="76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90" t="str">
        <f>IF(VLOOKUP(UncLookup[[#This Row],[Item]],Items!$A$1:$F$43,2,FALSE)=0,"",VLOOKUP(UncLookup[[#This Row],[Item]],Items!$A$1:$F$43,2,FALSE))</f>
        <v/>
      </c>
      <c r="P1667" s="90" t="str">
        <f>IF(VLOOKUP(UncLookup[[#This Row],[Item]],Items!$A$1:$F$43,3,FALSE)=0,"",VLOOKUP(UncLookup[[#This Row],[Item]],Items!$A$1:$F$43,3,FALSE))</f>
        <v/>
      </c>
      <c r="Q1667" s="90" t="str">
        <f>IF(VLOOKUP(UncLookup[[#This Row],[Item]],Items!$A$1:$F$43,4,FALSE)=0,"",VLOOKUP(UncLookup[[#This Row],[Item]],Items!$A$1:$F$43,4,FALSE))</f>
        <v/>
      </c>
    </row>
    <row r="1668" spans="1:17" x14ac:dyDescent="0.25">
      <c r="A1668" s="75" t="s">
        <v>55</v>
      </c>
      <c r="B1668" s="75" t="s">
        <v>101</v>
      </c>
      <c r="C1668" s="75">
        <v>10.9</v>
      </c>
      <c r="D1668" s="75">
        <v>109.0001</v>
      </c>
      <c r="E1668" s="75">
        <v>10</v>
      </c>
      <c r="F1668" s="75" t="s">
        <v>102</v>
      </c>
      <c r="G1668" s="75" t="s">
        <v>102</v>
      </c>
      <c r="H1668" s="75">
        <v>0</v>
      </c>
      <c r="I1668" s="75">
        <v>0</v>
      </c>
      <c r="J1668" s="75"/>
      <c r="K1668" s="75">
        <v>0</v>
      </c>
      <c r="L1668" s="75">
        <v>0.53259999999999996</v>
      </c>
      <c r="M1668" s="75">
        <v>0</v>
      </c>
      <c r="N1668" s="75">
        <v>0</v>
      </c>
      <c r="O1668" s="90" t="str">
        <f>IF(VLOOKUP(UncLookup[[#This Row],[Item]],Items!$A$1:$F$43,2,FALSE)=0,"",VLOOKUP(UncLookup[[#This Row],[Item]],Items!$A$1:$F$43,2,FALSE))</f>
        <v/>
      </c>
      <c r="P1668" s="90" t="str">
        <f>IF(VLOOKUP(UncLookup[[#This Row],[Item]],Items!$A$1:$F$43,3,FALSE)=0,"",VLOOKUP(UncLookup[[#This Row],[Item]],Items!$A$1:$F$43,3,FALSE))</f>
        <v/>
      </c>
      <c r="Q1668" s="90" t="str">
        <f>IF(VLOOKUP(UncLookup[[#This Row],[Item]],Items!$A$1:$F$43,4,FALSE)=0,"",VLOOKUP(UncLookup[[#This Row],[Item]],Items!$A$1:$F$43,4,FALSE))</f>
        <v/>
      </c>
    </row>
    <row r="1669" spans="1:17" x14ac:dyDescent="0.25">
      <c r="A1669" s="76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90" t="str">
        <f>IF(VLOOKUP(UncLookup[[#This Row],[Item]],Items!$A$1:$F$43,2,FALSE)=0,"",VLOOKUP(UncLookup[[#This Row],[Item]],Items!$A$1:$F$43,2,FALSE))</f>
        <v/>
      </c>
      <c r="P1669" s="90" t="str">
        <f>IF(VLOOKUP(UncLookup[[#This Row],[Item]],Items!$A$1:$F$43,3,FALSE)=0,"",VLOOKUP(UncLookup[[#This Row],[Item]],Items!$A$1:$F$43,3,FALSE))</f>
        <v/>
      </c>
      <c r="Q1669" s="90" t="str">
        <f>IF(VLOOKUP(UncLookup[[#This Row],[Item]],Items!$A$1:$F$43,4,FALSE)=0,"",VLOOKUP(UncLookup[[#This Row],[Item]],Items!$A$1:$F$43,4,FALSE))</f>
        <v/>
      </c>
    </row>
    <row r="1670" spans="1:17" x14ac:dyDescent="0.25">
      <c r="A1670" s="75" t="s">
        <v>55</v>
      </c>
      <c r="B1670" s="75" t="s">
        <v>101</v>
      </c>
      <c r="C1670" s="75">
        <v>109</v>
      </c>
      <c r="D1670" s="75">
        <v>363.00009999999997</v>
      </c>
      <c r="E1670" s="75">
        <v>0.1</v>
      </c>
      <c r="F1670" s="75" t="s">
        <v>102</v>
      </c>
      <c r="G1670" s="75" t="s">
        <v>102</v>
      </c>
      <c r="H1670" s="75">
        <v>0</v>
      </c>
      <c r="I1670" s="75">
        <v>0</v>
      </c>
      <c r="J1670" s="75"/>
      <c r="K1670" s="75">
        <v>0</v>
      </c>
      <c r="L1670" s="75">
        <v>1.2283999999999999E-3</v>
      </c>
      <c r="M1670" s="75">
        <v>0</v>
      </c>
      <c r="N1670" s="75">
        <v>0</v>
      </c>
      <c r="O1670" s="90" t="str">
        <f>IF(VLOOKUP(UncLookup[[#This Row],[Item]],Items!$A$1:$F$43,2,FALSE)=0,"",VLOOKUP(UncLookup[[#This Row],[Item]],Items!$A$1:$F$43,2,FALSE))</f>
        <v/>
      </c>
      <c r="P1670" s="90" t="str">
        <f>IF(VLOOKUP(UncLookup[[#This Row],[Item]],Items!$A$1:$F$43,3,FALSE)=0,"",VLOOKUP(UncLookup[[#This Row],[Item]],Items!$A$1:$F$43,3,FALSE))</f>
        <v/>
      </c>
      <c r="Q1670" s="90" t="str">
        <f>IF(VLOOKUP(UncLookup[[#This Row],[Item]],Items!$A$1:$F$43,4,FALSE)=0,"",VLOOKUP(UncLookup[[#This Row],[Item]],Items!$A$1:$F$43,4,FALSE))</f>
        <v/>
      </c>
    </row>
    <row r="1671" spans="1:17" x14ac:dyDescent="0.25">
      <c r="A1671" s="76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90" t="str">
        <f>IF(VLOOKUP(UncLookup[[#This Row],[Item]],Items!$A$1:$F$43,2,FALSE)=0,"",VLOOKUP(UncLookup[[#This Row],[Item]],Items!$A$1:$F$43,2,FALSE))</f>
        <v/>
      </c>
      <c r="P1671" s="90" t="str">
        <f>IF(VLOOKUP(UncLookup[[#This Row],[Item]],Items!$A$1:$F$43,3,FALSE)=0,"",VLOOKUP(UncLookup[[#This Row],[Item]],Items!$A$1:$F$43,3,FALSE))</f>
        <v/>
      </c>
      <c r="Q1671" s="90" t="str">
        <f>IF(VLOOKUP(UncLookup[[#This Row],[Item]],Items!$A$1:$F$43,4,FALSE)=0,"",VLOOKUP(UncLookup[[#This Row],[Item]],Items!$A$1:$F$43,4,FALSE))</f>
        <v/>
      </c>
    </row>
    <row r="1672" spans="1:17" x14ac:dyDescent="0.25">
      <c r="A1672" s="75" t="s">
        <v>55</v>
      </c>
      <c r="B1672" s="75" t="s">
        <v>101</v>
      </c>
      <c r="C1672" s="75">
        <v>109</v>
      </c>
      <c r="D1672" s="75">
        <v>363.00009999999997</v>
      </c>
      <c r="E1672" s="75">
        <v>10</v>
      </c>
      <c r="F1672" s="75" t="s">
        <v>102</v>
      </c>
      <c r="G1672" s="75" t="s">
        <v>102</v>
      </c>
      <c r="H1672" s="75">
        <v>0</v>
      </c>
      <c r="I1672" s="75">
        <v>0</v>
      </c>
      <c r="J1672" s="75"/>
      <c r="K1672" s="75">
        <v>0</v>
      </c>
      <c r="L1672" s="75">
        <v>5.3273000000000001E-2</v>
      </c>
      <c r="M1672" s="75">
        <v>0</v>
      </c>
      <c r="N1672" s="75">
        <v>0</v>
      </c>
      <c r="O1672" s="90" t="str">
        <f>IF(VLOOKUP(UncLookup[[#This Row],[Item]],Items!$A$1:$F$43,2,FALSE)=0,"",VLOOKUP(UncLookup[[#This Row],[Item]],Items!$A$1:$F$43,2,FALSE))</f>
        <v/>
      </c>
      <c r="P1672" s="90" t="str">
        <f>IF(VLOOKUP(UncLookup[[#This Row],[Item]],Items!$A$1:$F$43,3,FALSE)=0,"",VLOOKUP(UncLookup[[#This Row],[Item]],Items!$A$1:$F$43,3,FALSE))</f>
        <v/>
      </c>
      <c r="Q1672" s="90" t="str">
        <f>IF(VLOOKUP(UncLookup[[#This Row],[Item]],Items!$A$1:$F$43,4,FALSE)=0,"",VLOOKUP(UncLookup[[#This Row],[Item]],Items!$A$1:$F$43,4,FALSE))</f>
        <v/>
      </c>
    </row>
    <row r="1673" spans="1:17" x14ac:dyDescent="0.25">
      <c r="A1673" s="76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90" t="str">
        <f>IF(VLOOKUP(UncLookup[[#This Row],[Item]],Items!$A$1:$F$43,2,FALSE)=0,"",VLOOKUP(UncLookup[[#This Row],[Item]],Items!$A$1:$F$43,2,FALSE))</f>
        <v/>
      </c>
      <c r="P1673" s="90" t="str">
        <f>IF(VLOOKUP(UncLookup[[#This Row],[Item]],Items!$A$1:$F$43,3,FALSE)=0,"",VLOOKUP(UncLookup[[#This Row],[Item]],Items!$A$1:$F$43,3,FALSE))</f>
        <v/>
      </c>
      <c r="Q1673" s="90" t="str">
        <f>IF(VLOOKUP(UncLookup[[#This Row],[Item]],Items!$A$1:$F$43,4,FALSE)=0,"",VLOOKUP(UncLookup[[#This Row],[Item]],Items!$A$1:$F$43,4,FALSE))</f>
        <v/>
      </c>
    </row>
    <row r="1674" spans="1:17" x14ac:dyDescent="0.25">
      <c r="A1674" s="75" t="s">
        <v>55</v>
      </c>
      <c r="B1674" s="75" t="s">
        <v>101</v>
      </c>
      <c r="C1674" s="75">
        <v>363</v>
      </c>
      <c r="D1674" s="75">
        <v>990.00009999999997</v>
      </c>
      <c r="E1674" s="75">
        <v>0.1</v>
      </c>
      <c r="F1674" s="75" t="s">
        <v>102</v>
      </c>
      <c r="G1674" s="75" t="s">
        <v>102</v>
      </c>
      <c r="H1674" s="75">
        <v>0</v>
      </c>
      <c r="I1674" s="75">
        <v>0</v>
      </c>
      <c r="J1674" s="75"/>
      <c r="K1674" s="75">
        <v>0</v>
      </c>
      <c r="L1674" s="75">
        <v>1.0070000000000001E-3</v>
      </c>
      <c r="M1674" s="75">
        <v>0</v>
      </c>
      <c r="N1674" s="75">
        <v>0</v>
      </c>
      <c r="O1674" s="90" t="str">
        <f>IF(VLOOKUP(UncLookup[[#This Row],[Item]],Items!$A$1:$F$43,2,FALSE)=0,"",VLOOKUP(UncLookup[[#This Row],[Item]],Items!$A$1:$F$43,2,FALSE))</f>
        <v/>
      </c>
      <c r="P1674" s="90" t="str">
        <f>IF(VLOOKUP(UncLookup[[#This Row],[Item]],Items!$A$1:$F$43,3,FALSE)=0,"",VLOOKUP(UncLookup[[#This Row],[Item]],Items!$A$1:$F$43,3,FALSE))</f>
        <v/>
      </c>
      <c r="Q1674" s="90" t="str">
        <f>IF(VLOOKUP(UncLookup[[#This Row],[Item]],Items!$A$1:$F$43,4,FALSE)=0,"",VLOOKUP(UncLookup[[#This Row],[Item]],Items!$A$1:$F$43,4,FALSE))</f>
        <v/>
      </c>
    </row>
    <row r="1675" spans="1:17" x14ac:dyDescent="0.25">
      <c r="A1675" s="76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90" t="str">
        <f>IF(VLOOKUP(UncLookup[[#This Row],[Item]],Items!$A$1:$F$43,2,FALSE)=0,"",VLOOKUP(UncLookup[[#This Row],[Item]],Items!$A$1:$F$43,2,FALSE))</f>
        <v/>
      </c>
      <c r="P1675" s="90" t="str">
        <f>IF(VLOOKUP(UncLookup[[#This Row],[Item]],Items!$A$1:$F$43,3,FALSE)=0,"",VLOOKUP(UncLookup[[#This Row],[Item]],Items!$A$1:$F$43,3,FALSE))</f>
        <v/>
      </c>
      <c r="Q1675" s="90" t="str">
        <f>IF(VLOOKUP(UncLookup[[#This Row],[Item]],Items!$A$1:$F$43,4,FALSE)=0,"",VLOOKUP(UncLookup[[#This Row],[Item]],Items!$A$1:$F$43,4,FALSE))</f>
        <v/>
      </c>
    </row>
    <row r="1676" spans="1:17" x14ac:dyDescent="0.25">
      <c r="A1676" s="75" t="s">
        <v>55</v>
      </c>
      <c r="B1676" s="75" t="s">
        <v>101</v>
      </c>
      <c r="C1676" s="75">
        <v>363</v>
      </c>
      <c r="D1676" s="75">
        <v>990.00009999999997</v>
      </c>
      <c r="E1676" s="75">
        <v>10</v>
      </c>
      <c r="F1676" s="75" t="s">
        <v>102</v>
      </c>
      <c r="G1676" s="75" t="s">
        <v>102</v>
      </c>
      <c r="H1676" s="75">
        <v>0</v>
      </c>
      <c r="I1676" s="75">
        <v>0</v>
      </c>
      <c r="J1676" s="75"/>
      <c r="K1676" s="75">
        <v>0</v>
      </c>
      <c r="L1676" s="75">
        <v>1.601E-2</v>
      </c>
      <c r="M1676" s="75">
        <v>0</v>
      </c>
      <c r="N1676" s="75">
        <v>0</v>
      </c>
      <c r="O1676" s="90" t="str">
        <f>IF(VLOOKUP(UncLookup[[#This Row],[Item]],Items!$A$1:$F$43,2,FALSE)=0,"",VLOOKUP(UncLookup[[#This Row],[Item]],Items!$A$1:$F$43,2,FALSE))</f>
        <v/>
      </c>
      <c r="P1676" s="90" t="str">
        <f>IF(VLOOKUP(UncLookup[[#This Row],[Item]],Items!$A$1:$F$43,3,FALSE)=0,"",VLOOKUP(UncLookup[[#This Row],[Item]],Items!$A$1:$F$43,3,FALSE))</f>
        <v/>
      </c>
      <c r="Q1676" s="90" t="str">
        <f>IF(VLOOKUP(UncLookup[[#This Row],[Item]],Items!$A$1:$F$43,4,FALSE)=0,"",VLOOKUP(UncLookup[[#This Row],[Item]],Items!$A$1:$F$43,4,FALSE))</f>
        <v/>
      </c>
    </row>
    <row r="1677" spans="1:17" x14ac:dyDescent="0.25">
      <c r="A1677" s="76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90" t="str">
        <f>IF(VLOOKUP(UncLookup[[#This Row],[Item]],Items!$A$1:$F$43,2,FALSE)=0,"",VLOOKUP(UncLookup[[#This Row],[Item]],Items!$A$1:$F$43,2,FALSE))</f>
        <v/>
      </c>
      <c r="P1677" s="90" t="str">
        <f>IF(VLOOKUP(UncLookup[[#This Row],[Item]],Items!$A$1:$F$43,3,FALSE)=0,"",VLOOKUP(UncLookup[[#This Row],[Item]],Items!$A$1:$F$43,3,FALSE))</f>
        <v/>
      </c>
      <c r="Q1677" s="90" t="str">
        <f>IF(VLOOKUP(UncLookup[[#This Row],[Item]],Items!$A$1:$F$43,4,FALSE)=0,"",VLOOKUP(UncLookup[[#This Row],[Item]],Items!$A$1:$F$43,4,FALSE))</f>
        <v/>
      </c>
    </row>
    <row r="1678" spans="1:17" x14ac:dyDescent="0.25">
      <c r="A1678" s="75" t="s">
        <v>55</v>
      </c>
      <c r="B1678" s="75" t="s">
        <v>101</v>
      </c>
      <c r="C1678" s="75">
        <v>990</v>
      </c>
      <c r="D1678" s="75">
        <v>3630.1</v>
      </c>
      <c r="E1678" s="75">
        <v>0.1</v>
      </c>
      <c r="F1678" s="75" t="s">
        <v>102</v>
      </c>
      <c r="G1678" s="75" t="s">
        <v>102</v>
      </c>
      <c r="H1678" s="75">
        <v>0</v>
      </c>
      <c r="I1678" s="75">
        <v>0</v>
      </c>
      <c r="J1678" s="75"/>
      <c r="K1678" s="75">
        <v>0</v>
      </c>
      <c r="L1678" s="75">
        <v>2.0999999999999999E-3</v>
      </c>
      <c r="M1678" s="75">
        <v>0</v>
      </c>
      <c r="N1678" s="75">
        <v>0</v>
      </c>
      <c r="O1678" s="90" t="str">
        <f>IF(VLOOKUP(UncLookup[[#This Row],[Item]],Items!$A$1:$F$43,2,FALSE)=0,"",VLOOKUP(UncLookup[[#This Row],[Item]],Items!$A$1:$F$43,2,FALSE))</f>
        <v/>
      </c>
      <c r="P1678" s="90" t="str">
        <f>IF(VLOOKUP(UncLookup[[#This Row],[Item]],Items!$A$1:$F$43,3,FALSE)=0,"",VLOOKUP(UncLookup[[#This Row],[Item]],Items!$A$1:$F$43,3,FALSE))</f>
        <v/>
      </c>
      <c r="Q1678" s="90" t="str">
        <f>IF(VLOOKUP(UncLookup[[#This Row],[Item]],Items!$A$1:$F$43,4,FALSE)=0,"",VLOOKUP(UncLookup[[#This Row],[Item]],Items!$A$1:$F$43,4,FALSE))</f>
        <v/>
      </c>
    </row>
    <row r="1679" spans="1:17" x14ac:dyDescent="0.25">
      <c r="A1679" s="76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90" t="str">
        <f>IF(VLOOKUP(UncLookup[[#This Row],[Item]],Items!$A$1:$F$43,2,FALSE)=0,"",VLOOKUP(UncLookup[[#This Row],[Item]],Items!$A$1:$F$43,2,FALSE))</f>
        <v/>
      </c>
      <c r="P1679" s="90" t="str">
        <f>IF(VLOOKUP(UncLookup[[#This Row],[Item]],Items!$A$1:$F$43,3,FALSE)=0,"",VLOOKUP(UncLookup[[#This Row],[Item]],Items!$A$1:$F$43,3,FALSE))</f>
        <v/>
      </c>
      <c r="Q1679" s="90" t="str">
        <f>IF(VLOOKUP(UncLookup[[#This Row],[Item]],Items!$A$1:$F$43,4,FALSE)=0,"",VLOOKUP(UncLookup[[#This Row],[Item]],Items!$A$1:$F$43,4,FALSE))</f>
        <v/>
      </c>
    </row>
    <row r="1680" spans="1:17" x14ac:dyDescent="0.25">
      <c r="A1680" s="75" t="s">
        <v>55</v>
      </c>
      <c r="B1680" s="75" t="s">
        <v>101</v>
      </c>
      <c r="C1680" s="75">
        <v>990</v>
      </c>
      <c r="D1680" s="75">
        <v>3630.1</v>
      </c>
      <c r="E1680" s="75">
        <v>10</v>
      </c>
      <c r="F1680" s="75" t="s">
        <v>102</v>
      </c>
      <c r="G1680" s="75" t="s">
        <v>102</v>
      </c>
      <c r="H1680" s="75">
        <v>0</v>
      </c>
      <c r="I1680" s="75">
        <v>0</v>
      </c>
      <c r="J1680" s="75"/>
      <c r="K1680" s="75">
        <v>0</v>
      </c>
      <c r="L1680" s="75">
        <v>6.1979000000000001E-3</v>
      </c>
      <c r="M1680" s="75">
        <v>0</v>
      </c>
      <c r="N1680" s="75">
        <v>0</v>
      </c>
      <c r="O1680" s="90" t="str">
        <f>IF(VLOOKUP(UncLookup[[#This Row],[Item]],Items!$A$1:$F$43,2,FALSE)=0,"",VLOOKUP(UncLookup[[#This Row],[Item]],Items!$A$1:$F$43,2,FALSE))</f>
        <v/>
      </c>
      <c r="P1680" s="90" t="str">
        <f>IF(VLOOKUP(UncLookup[[#This Row],[Item]],Items!$A$1:$F$43,3,FALSE)=0,"",VLOOKUP(UncLookup[[#This Row],[Item]],Items!$A$1:$F$43,3,FALSE))</f>
        <v/>
      </c>
      <c r="Q1680" s="90" t="str">
        <f>IF(VLOOKUP(UncLookup[[#This Row],[Item]],Items!$A$1:$F$43,4,FALSE)=0,"",VLOOKUP(UncLookup[[#This Row],[Item]],Items!$A$1:$F$43,4,FALSE))</f>
        <v/>
      </c>
    </row>
    <row r="1681" spans="1:17" x14ac:dyDescent="0.25">
      <c r="A1681" s="76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90" t="str">
        <f>IF(VLOOKUP(UncLookup[[#This Row],[Item]],Items!$A$1:$F$43,2,FALSE)=0,"",VLOOKUP(UncLookup[[#This Row],[Item]],Items!$A$1:$F$43,2,FALSE))</f>
        <v/>
      </c>
      <c r="P1681" s="90" t="str">
        <f>IF(VLOOKUP(UncLookup[[#This Row],[Item]],Items!$A$1:$F$43,3,FALSE)=0,"",VLOOKUP(UncLookup[[#This Row],[Item]],Items!$A$1:$F$43,3,FALSE))</f>
        <v/>
      </c>
      <c r="Q1681" s="90" t="str">
        <f>IF(VLOOKUP(UncLookup[[#This Row],[Item]],Items!$A$1:$F$43,4,FALSE)=0,"",VLOOKUP(UncLookup[[#This Row],[Item]],Items!$A$1:$F$43,4,FALSE))</f>
        <v/>
      </c>
    </row>
    <row r="1682" spans="1:17" x14ac:dyDescent="0.25">
      <c r="A1682" s="75" t="s">
        <v>55</v>
      </c>
      <c r="B1682" s="75" t="s">
        <v>101</v>
      </c>
      <c r="C1682" s="75">
        <v>990</v>
      </c>
      <c r="D1682" s="75">
        <v>3630.1</v>
      </c>
      <c r="E1682" s="75">
        <v>1000</v>
      </c>
      <c r="F1682" s="75" t="s">
        <v>102</v>
      </c>
      <c r="G1682" s="75" t="s">
        <v>102</v>
      </c>
      <c r="H1682" s="75">
        <v>0</v>
      </c>
      <c r="I1682" s="75">
        <v>0</v>
      </c>
      <c r="J1682" s="75"/>
      <c r="K1682" s="75">
        <v>0</v>
      </c>
      <c r="L1682" s="75">
        <v>0.58586000000000005</v>
      </c>
      <c r="M1682" s="75">
        <v>0</v>
      </c>
      <c r="N1682" s="75">
        <v>0</v>
      </c>
      <c r="O1682" s="90" t="str">
        <f>IF(VLOOKUP(UncLookup[[#This Row],[Item]],Items!$A$1:$F$43,2,FALSE)=0,"",VLOOKUP(UncLookup[[#This Row],[Item]],Items!$A$1:$F$43,2,FALSE))</f>
        <v/>
      </c>
      <c r="P1682" s="90" t="str">
        <f>IF(VLOOKUP(UncLookup[[#This Row],[Item]],Items!$A$1:$F$43,3,FALSE)=0,"",VLOOKUP(UncLookup[[#This Row],[Item]],Items!$A$1:$F$43,3,FALSE))</f>
        <v/>
      </c>
      <c r="Q1682" s="90" t="str">
        <f>IF(VLOOKUP(UncLookup[[#This Row],[Item]],Items!$A$1:$F$43,4,FALSE)=0,"",VLOOKUP(UncLookup[[#This Row],[Item]],Items!$A$1:$F$43,4,FALSE))</f>
        <v/>
      </c>
    </row>
    <row r="1683" spans="1:17" x14ac:dyDescent="0.25">
      <c r="A1683" s="76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90" t="str">
        <f>IF(VLOOKUP(UncLookup[[#This Row],[Item]],Items!$A$1:$F$43,2,FALSE)=0,"",VLOOKUP(UncLookup[[#This Row],[Item]],Items!$A$1:$F$43,2,FALSE))</f>
        <v/>
      </c>
      <c r="P1683" s="90" t="str">
        <f>IF(VLOOKUP(UncLookup[[#This Row],[Item]],Items!$A$1:$F$43,3,FALSE)=0,"",VLOOKUP(UncLookup[[#This Row],[Item]],Items!$A$1:$F$43,3,FALSE))</f>
        <v/>
      </c>
      <c r="Q1683" s="90" t="str">
        <f>IF(VLOOKUP(UncLookup[[#This Row],[Item]],Items!$A$1:$F$43,4,FALSE)=0,"",VLOOKUP(UncLookup[[#This Row],[Item]],Items!$A$1:$F$43,4,FALSE))</f>
        <v/>
      </c>
    </row>
    <row r="1684" spans="1:17" x14ac:dyDescent="0.25">
      <c r="A1684" s="75" t="s">
        <v>55</v>
      </c>
      <c r="B1684" s="75" t="s">
        <v>101</v>
      </c>
      <c r="C1684" s="75">
        <v>3630</v>
      </c>
      <c r="D1684" s="75">
        <v>11200.1</v>
      </c>
      <c r="E1684" s="75">
        <v>1</v>
      </c>
      <c r="F1684" s="75" t="s">
        <v>102</v>
      </c>
      <c r="G1684" s="75" t="s">
        <v>102</v>
      </c>
      <c r="H1684" s="75">
        <v>0</v>
      </c>
      <c r="I1684" s="75">
        <v>0</v>
      </c>
      <c r="J1684" s="75"/>
      <c r="K1684" s="75">
        <v>0</v>
      </c>
      <c r="L1684" s="75">
        <v>1.6000000000000001E-3</v>
      </c>
      <c r="M1684" s="75">
        <v>0</v>
      </c>
      <c r="N1684" s="75">
        <v>0</v>
      </c>
      <c r="O1684" s="90" t="str">
        <f>IF(VLOOKUP(UncLookup[[#This Row],[Item]],Items!$A$1:$F$43,2,FALSE)=0,"",VLOOKUP(UncLookup[[#This Row],[Item]],Items!$A$1:$F$43,2,FALSE))</f>
        <v/>
      </c>
      <c r="P1684" s="90" t="str">
        <f>IF(VLOOKUP(UncLookup[[#This Row],[Item]],Items!$A$1:$F$43,3,FALSE)=0,"",VLOOKUP(UncLookup[[#This Row],[Item]],Items!$A$1:$F$43,3,FALSE))</f>
        <v/>
      </c>
      <c r="Q1684" s="90" t="str">
        <f>IF(VLOOKUP(UncLookup[[#This Row],[Item]],Items!$A$1:$F$43,4,FALSE)=0,"",VLOOKUP(UncLookup[[#This Row],[Item]],Items!$A$1:$F$43,4,FALSE))</f>
        <v/>
      </c>
    </row>
    <row r="1685" spans="1:17" x14ac:dyDescent="0.25">
      <c r="A1685" s="76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90" t="str">
        <f>IF(VLOOKUP(UncLookup[[#This Row],[Item]],Items!$A$1:$F$43,2,FALSE)=0,"",VLOOKUP(UncLookup[[#This Row],[Item]],Items!$A$1:$F$43,2,FALSE))</f>
        <v/>
      </c>
      <c r="P1685" s="90" t="str">
        <f>IF(VLOOKUP(UncLookup[[#This Row],[Item]],Items!$A$1:$F$43,3,FALSE)=0,"",VLOOKUP(UncLookup[[#This Row],[Item]],Items!$A$1:$F$43,3,FALSE))</f>
        <v/>
      </c>
      <c r="Q1685" s="90" t="str">
        <f>IF(VLOOKUP(UncLookup[[#This Row],[Item]],Items!$A$1:$F$43,4,FALSE)=0,"",VLOOKUP(UncLookup[[#This Row],[Item]],Items!$A$1:$F$43,4,FALSE))</f>
        <v/>
      </c>
    </row>
    <row r="1686" spans="1:17" x14ac:dyDescent="0.25">
      <c r="A1686" s="75" t="s">
        <v>55</v>
      </c>
      <c r="B1686" s="75" t="s">
        <v>101</v>
      </c>
      <c r="C1686" s="75">
        <v>3630</v>
      </c>
      <c r="D1686" s="75">
        <v>11200.1</v>
      </c>
      <c r="E1686" s="75">
        <v>100</v>
      </c>
      <c r="F1686" s="75" t="s">
        <v>102</v>
      </c>
      <c r="G1686" s="75" t="s">
        <v>102</v>
      </c>
      <c r="H1686" s="75">
        <v>0</v>
      </c>
      <c r="I1686" s="75">
        <v>0</v>
      </c>
      <c r="J1686" s="75"/>
      <c r="K1686" s="75">
        <v>0</v>
      </c>
      <c r="L1686" s="75">
        <v>1.6050999999999999E-2</v>
      </c>
      <c r="M1686" s="75">
        <v>0</v>
      </c>
      <c r="N1686" s="75">
        <v>0</v>
      </c>
      <c r="O1686" s="90" t="str">
        <f>IF(VLOOKUP(UncLookup[[#This Row],[Item]],Items!$A$1:$F$43,2,FALSE)=0,"",VLOOKUP(UncLookup[[#This Row],[Item]],Items!$A$1:$F$43,2,FALSE))</f>
        <v/>
      </c>
      <c r="P1686" s="90" t="str">
        <f>IF(VLOOKUP(UncLookup[[#This Row],[Item]],Items!$A$1:$F$43,3,FALSE)=0,"",VLOOKUP(UncLookup[[#This Row],[Item]],Items!$A$1:$F$43,3,FALSE))</f>
        <v/>
      </c>
      <c r="Q1686" s="90" t="str">
        <f>IF(VLOOKUP(UncLookup[[#This Row],[Item]],Items!$A$1:$F$43,4,FALSE)=0,"",VLOOKUP(UncLookup[[#This Row],[Item]],Items!$A$1:$F$43,4,FALSE))</f>
        <v/>
      </c>
    </row>
    <row r="1687" spans="1:17" x14ac:dyDescent="0.25">
      <c r="A1687" s="76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90" t="str">
        <f>IF(VLOOKUP(UncLookup[[#This Row],[Item]],Items!$A$1:$F$43,2,FALSE)=0,"",VLOOKUP(UncLookup[[#This Row],[Item]],Items!$A$1:$F$43,2,FALSE))</f>
        <v/>
      </c>
      <c r="P1687" s="90" t="str">
        <f>IF(VLOOKUP(UncLookup[[#This Row],[Item]],Items!$A$1:$F$43,3,FALSE)=0,"",VLOOKUP(UncLookup[[#This Row],[Item]],Items!$A$1:$F$43,3,FALSE))</f>
        <v/>
      </c>
      <c r="Q1687" s="90" t="str">
        <f>IF(VLOOKUP(UncLookup[[#This Row],[Item]],Items!$A$1:$F$43,4,FALSE)=0,"",VLOOKUP(UncLookup[[#This Row],[Item]],Items!$A$1:$F$43,4,FALSE))</f>
        <v/>
      </c>
    </row>
    <row r="1688" spans="1:17" x14ac:dyDescent="0.25">
      <c r="A1688" s="75" t="s">
        <v>55</v>
      </c>
      <c r="B1688" s="75" t="s">
        <v>101</v>
      </c>
      <c r="C1688" s="75">
        <v>11200</v>
      </c>
      <c r="D1688" s="75">
        <v>20900</v>
      </c>
      <c r="E1688" s="75">
        <v>0.1</v>
      </c>
      <c r="F1688" s="75" t="s">
        <v>102</v>
      </c>
      <c r="G1688" s="75" t="s">
        <v>102</v>
      </c>
      <c r="H1688" s="75">
        <v>0</v>
      </c>
      <c r="I1688" s="75">
        <v>0</v>
      </c>
      <c r="J1688" s="75"/>
      <c r="K1688" s="75">
        <v>0</v>
      </c>
      <c r="L1688" s="75">
        <v>0.15978999999999999</v>
      </c>
      <c r="M1688" s="75">
        <v>0</v>
      </c>
      <c r="N1688" s="75">
        <v>0</v>
      </c>
      <c r="O1688" s="90" t="str">
        <f>IF(VLOOKUP(UncLookup[[#This Row],[Item]],Items!$A$1:$F$43,2,FALSE)=0,"",VLOOKUP(UncLookup[[#This Row],[Item]],Items!$A$1:$F$43,2,FALSE))</f>
        <v/>
      </c>
      <c r="P1688" s="90" t="str">
        <f>IF(VLOOKUP(UncLookup[[#This Row],[Item]],Items!$A$1:$F$43,3,FALSE)=0,"",VLOOKUP(UncLookup[[#This Row],[Item]],Items!$A$1:$F$43,3,FALSE))</f>
        <v/>
      </c>
      <c r="Q1688" s="90" t="str">
        <f>IF(VLOOKUP(UncLookup[[#This Row],[Item]],Items!$A$1:$F$43,4,FALSE)=0,"",VLOOKUP(UncLookup[[#This Row],[Item]],Items!$A$1:$F$43,4,FALSE))</f>
        <v/>
      </c>
    </row>
    <row r="1689" spans="1:17" x14ac:dyDescent="0.25">
      <c r="A1689" s="76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90" t="str">
        <f>IF(VLOOKUP(UncLookup[[#This Row],[Item]],Items!$A$1:$F$43,2,FALSE)=0,"",VLOOKUP(UncLookup[[#This Row],[Item]],Items!$A$1:$F$43,2,FALSE))</f>
        <v/>
      </c>
      <c r="P1689" s="90" t="str">
        <f>IF(VLOOKUP(UncLookup[[#This Row],[Item]],Items!$A$1:$F$43,3,FALSE)=0,"",VLOOKUP(UncLookup[[#This Row],[Item]],Items!$A$1:$F$43,3,FALSE))</f>
        <v/>
      </c>
      <c r="Q1689" s="90" t="str">
        <f>IF(VLOOKUP(UncLookup[[#This Row],[Item]],Items!$A$1:$F$43,4,FALSE)=0,"",VLOOKUP(UncLookup[[#This Row],[Item]],Items!$A$1:$F$43,4,FALSE))</f>
        <v/>
      </c>
    </row>
    <row r="1690" spans="1:17" x14ac:dyDescent="0.25">
      <c r="A1690" s="75" t="s">
        <v>55</v>
      </c>
      <c r="B1690" s="75" t="s">
        <v>101</v>
      </c>
      <c r="C1690" s="75">
        <v>11200</v>
      </c>
      <c r="D1690" s="75">
        <v>20900</v>
      </c>
      <c r="E1690" s="75">
        <v>10</v>
      </c>
      <c r="F1690" s="75" t="s">
        <v>102</v>
      </c>
      <c r="G1690" s="75" t="s">
        <v>102</v>
      </c>
      <c r="H1690" s="75">
        <v>0</v>
      </c>
      <c r="I1690" s="75">
        <v>0</v>
      </c>
      <c r="J1690" s="75"/>
      <c r="K1690" s="75">
        <v>0</v>
      </c>
      <c r="L1690" s="75">
        <v>2.0999999999999999E-3</v>
      </c>
      <c r="M1690" s="75">
        <v>0</v>
      </c>
      <c r="N1690" s="75">
        <v>0</v>
      </c>
      <c r="O1690" s="90" t="str">
        <f>IF(VLOOKUP(UncLookup[[#This Row],[Item]],Items!$A$1:$F$43,2,FALSE)=0,"",VLOOKUP(UncLookup[[#This Row],[Item]],Items!$A$1:$F$43,2,FALSE))</f>
        <v/>
      </c>
      <c r="P1690" s="90" t="str">
        <f>IF(VLOOKUP(UncLookup[[#This Row],[Item]],Items!$A$1:$F$43,3,FALSE)=0,"",VLOOKUP(UncLookup[[#This Row],[Item]],Items!$A$1:$F$43,3,FALSE))</f>
        <v/>
      </c>
      <c r="Q1690" s="90" t="str">
        <f>IF(VLOOKUP(UncLookup[[#This Row],[Item]],Items!$A$1:$F$43,4,FALSE)=0,"",VLOOKUP(UncLookup[[#This Row],[Item]],Items!$A$1:$F$43,4,FALSE))</f>
        <v/>
      </c>
    </row>
    <row r="1691" spans="1:17" x14ac:dyDescent="0.25">
      <c r="A1691" s="76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90" t="str">
        <f>IF(VLOOKUP(UncLookup[[#This Row],[Item]],Items!$A$1:$F$43,2,FALSE)=0,"",VLOOKUP(UncLookup[[#This Row],[Item]],Items!$A$1:$F$43,2,FALSE))</f>
        <v/>
      </c>
      <c r="P1691" s="90" t="str">
        <f>IF(VLOOKUP(UncLookup[[#This Row],[Item]],Items!$A$1:$F$43,3,FALSE)=0,"",VLOOKUP(UncLookup[[#This Row],[Item]],Items!$A$1:$F$43,3,FALSE))</f>
        <v/>
      </c>
      <c r="Q1691" s="90" t="str">
        <f>IF(VLOOKUP(UncLookup[[#This Row],[Item]],Items!$A$1:$F$43,4,FALSE)=0,"",VLOOKUP(UncLookup[[#This Row],[Item]],Items!$A$1:$F$43,4,FALSE))</f>
        <v/>
      </c>
    </row>
    <row r="1692" spans="1:17" x14ac:dyDescent="0.25">
      <c r="A1692" s="75" t="s">
        <v>55</v>
      </c>
      <c r="B1692" s="75" t="s">
        <v>101</v>
      </c>
      <c r="C1692" s="75">
        <v>11200</v>
      </c>
      <c r="D1692" s="75">
        <v>20900</v>
      </c>
      <c r="E1692" s="75">
        <v>1000</v>
      </c>
      <c r="F1692" s="75" t="s">
        <v>102</v>
      </c>
      <c r="G1692" s="75" t="s">
        <v>102</v>
      </c>
      <c r="H1692" s="75">
        <v>0</v>
      </c>
      <c r="I1692" s="75">
        <v>0</v>
      </c>
      <c r="J1692" s="75"/>
      <c r="K1692" s="75">
        <v>0</v>
      </c>
      <c r="L1692" s="75">
        <v>5.1733000000000001E-2</v>
      </c>
      <c r="M1692" s="75">
        <v>0</v>
      </c>
      <c r="N1692" s="75">
        <v>0</v>
      </c>
      <c r="O1692" s="90" t="str">
        <f>IF(VLOOKUP(UncLookup[[#This Row],[Item]],Items!$A$1:$F$43,2,FALSE)=0,"",VLOOKUP(UncLookup[[#This Row],[Item]],Items!$A$1:$F$43,2,FALSE))</f>
        <v/>
      </c>
      <c r="P1692" s="90" t="str">
        <f>IF(VLOOKUP(UncLookup[[#This Row],[Item]],Items!$A$1:$F$43,3,FALSE)=0,"",VLOOKUP(UncLookup[[#This Row],[Item]],Items!$A$1:$F$43,3,FALSE))</f>
        <v/>
      </c>
      <c r="Q1692" s="90" t="str">
        <f>IF(VLOOKUP(UncLookup[[#This Row],[Item]],Items!$A$1:$F$43,4,FALSE)=0,"",VLOOKUP(UncLookup[[#This Row],[Item]],Items!$A$1:$F$43,4,FALSE))</f>
        <v/>
      </c>
    </row>
    <row r="1693" spans="1:17" x14ac:dyDescent="0.25">
      <c r="A1693" s="76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90" t="str">
        <f>IF(VLOOKUP(UncLookup[[#This Row],[Item]],Items!$A$1:$F$43,2,FALSE)=0,"",VLOOKUP(UncLookup[[#This Row],[Item]],Items!$A$1:$F$43,2,FALSE))</f>
        <v/>
      </c>
      <c r="P1693" s="90" t="str">
        <f>IF(VLOOKUP(UncLookup[[#This Row],[Item]],Items!$A$1:$F$43,3,FALSE)=0,"",VLOOKUP(UncLookup[[#This Row],[Item]],Items!$A$1:$F$43,3,FALSE))</f>
        <v/>
      </c>
      <c r="Q1693" s="90" t="str">
        <f>IF(VLOOKUP(UncLookup[[#This Row],[Item]],Items!$A$1:$F$43,4,FALSE)=0,"",VLOOKUP(UncLookup[[#This Row],[Item]],Items!$A$1:$F$43,4,FALSE))</f>
        <v/>
      </c>
    </row>
    <row r="1694" spans="1:17" x14ac:dyDescent="0.25">
      <c r="A1694" s="75" t="s">
        <v>55</v>
      </c>
      <c r="B1694" s="75" t="s">
        <v>101</v>
      </c>
      <c r="C1694" s="75">
        <v>20900</v>
      </c>
      <c r="D1694" s="75">
        <v>20901</v>
      </c>
      <c r="E1694" s="75">
        <v>1</v>
      </c>
      <c r="F1694" s="75" t="s">
        <v>102</v>
      </c>
      <c r="G1694" s="75" t="s">
        <v>102</v>
      </c>
      <c r="H1694" s="75">
        <v>0</v>
      </c>
      <c r="I1694" s="75">
        <v>0</v>
      </c>
      <c r="J1694" s="75"/>
      <c r="K1694" s="75">
        <v>0</v>
      </c>
      <c r="L1694" s="75">
        <v>2.0999999999999999E-3</v>
      </c>
      <c r="M1694" s="75">
        <v>0</v>
      </c>
      <c r="N1694" s="75">
        <v>0</v>
      </c>
      <c r="O1694" s="90" t="str">
        <f>IF(VLOOKUP(UncLookup[[#This Row],[Item]],Items!$A$1:$F$43,2,FALSE)=0,"",VLOOKUP(UncLookup[[#This Row],[Item]],Items!$A$1:$F$43,2,FALSE))</f>
        <v/>
      </c>
      <c r="P1694" s="90" t="str">
        <f>IF(VLOOKUP(UncLookup[[#This Row],[Item]],Items!$A$1:$F$43,3,FALSE)=0,"",VLOOKUP(UncLookup[[#This Row],[Item]],Items!$A$1:$F$43,3,FALSE))</f>
        <v/>
      </c>
      <c r="Q1694" s="90" t="str">
        <f>IF(VLOOKUP(UncLookup[[#This Row],[Item]],Items!$A$1:$F$43,4,FALSE)=0,"",VLOOKUP(UncLookup[[#This Row],[Item]],Items!$A$1:$F$43,4,FALSE))</f>
        <v/>
      </c>
    </row>
    <row r="1695" spans="1:17" x14ac:dyDescent="0.25">
      <c r="A1695" s="76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90" t="str">
        <f>IF(VLOOKUP(UncLookup[[#This Row],[Item]],Items!$A$1:$F$43,2,FALSE)=0,"",VLOOKUP(UncLookup[[#This Row],[Item]],Items!$A$1:$F$43,2,FALSE))</f>
        <v/>
      </c>
      <c r="P1695" s="90" t="str">
        <f>IF(VLOOKUP(UncLookup[[#This Row],[Item]],Items!$A$1:$F$43,3,FALSE)=0,"",VLOOKUP(UncLookup[[#This Row],[Item]],Items!$A$1:$F$43,3,FALSE))</f>
        <v/>
      </c>
      <c r="Q1695" s="90" t="str">
        <f>IF(VLOOKUP(UncLookup[[#This Row],[Item]],Items!$A$1:$F$43,4,FALSE)=0,"",VLOOKUP(UncLookup[[#This Row],[Item]],Items!$A$1:$F$43,4,FALSE))</f>
        <v/>
      </c>
    </row>
    <row r="1696" spans="1:17" x14ac:dyDescent="0.25">
      <c r="A1696" s="75" t="s">
        <v>55</v>
      </c>
      <c r="B1696" s="75" t="s">
        <v>101</v>
      </c>
      <c r="C1696" s="75">
        <v>20900</v>
      </c>
      <c r="D1696" s="75">
        <v>20901</v>
      </c>
      <c r="E1696" s="75">
        <v>100</v>
      </c>
      <c r="F1696" s="75" t="s">
        <v>102</v>
      </c>
      <c r="G1696" s="75" t="s">
        <v>102</v>
      </c>
      <c r="H1696" s="75">
        <v>0</v>
      </c>
      <c r="I1696" s="75">
        <v>0</v>
      </c>
      <c r="J1696" s="75"/>
      <c r="K1696" s="75">
        <v>0</v>
      </c>
      <c r="L1696" s="75">
        <v>5.5465999999999996E-3</v>
      </c>
      <c r="M1696" s="75">
        <v>0</v>
      </c>
      <c r="N1696" s="75">
        <v>0</v>
      </c>
      <c r="O1696" s="90" t="str">
        <f>IF(VLOOKUP(UncLookup[[#This Row],[Item]],Items!$A$1:$F$43,2,FALSE)=0,"",VLOOKUP(UncLookup[[#This Row],[Item]],Items!$A$1:$F$43,2,FALSE))</f>
        <v/>
      </c>
      <c r="P1696" s="90" t="str">
        <f>IF(VLOOKUP(UncLookup[[#This Row],[Item]],Items!$A$1:$F$43,3,FALSE)=0,"",VLOOKUP(UncLookup[[#This Row],[Item]],Items!$A$1:$F$43,3,FALSE))</f>
        <v/>
      </c>
      <c r="Q1696" s="90" t="str">
        <f>IF(VLOOKUP(UncLookup[[#This Row],[Item]],Items!$A$1:$F$43,4,FALSE)=0,"",VLOOKUP(UncLookup[[#This Row],[Item]],Items!$A$1:$F$43,4,FALSE))</f>
        <v/>
      </c>
    </row>
    <row r="1697" spans="1:17" x14ac:dyDescent="0.25">
      <c r="A1697" s="76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90" t="str">
        <f>IF(VLOOKUP(UncLookup[[#This Row],[Item]],Items!$A$1:$F$43,2,FALSE)=0,"",VLOOKUP(UncLookup[[#This Row],[Item]],Items!$A$1:$F$43,2,FALSE))</f>
        <v/>
      </c>
      <c r="P1697" s="90" t="str">
        <f>IF(VLOOKUP(UncLookup[[#This Row],[Item]],Items!$A$1:$F$43,3,FALSE)=0,"",VLOOKUP(UncLookup[[#This Row],[Item]],Items!$A$1:$F$43,3,FALSE))</f>
        <v/>
      </c>
      <c r="Q1697" s="90" t="str">
        <f>IF(VLOOKUP(UncLookup[[#This Row],[Item]],Items!$A$1:$F$43,4,FALSE)=0,"",VLOOKUP(UncLookup[[#This Row],[Item]],Items!$A$1:$F$43,4,FALSE))</f>
        <v/>
      </c>
    </row>
    <row r="1698" spans="1:17" x14ac:dyDescent="0.25">
      <c r="A1698" s="75" t="s">
        <v>55</v>
      </c>
      <c r="B1698" s="75" t="s">
        <v>8</v>
      </c>
      <c r="C1698" s="75">
        <v>0</v>
      </c>
      <c r="D1698" s="75">
        <v>3.3009999999999998E-2</v>
      </c>
      <c r="E1698" s="75">
        <v>9.9999999999999995E-7</v>
      </c>
      <c r="F1698" s="75" t="s">
        <v>6</v>
      </c>
      <c r="G1698" s="75" t="s">
        <v>5</v>
      </c>
      <c r="H1698" s="75">
        <v>10</v>
      </c>
      <c r="I1698" s="75">
        <v>20.010000000000002</v>
      </c>
      <c r="J1698" s="75" t="s">
        <v>10</v>
      </c>
      <c r="K1698" s="75">
        <v>25</v>
      </c>
      <c r="L1698" s="75">
        <v>1700</v>
      </c>
      <c r="M1698" s="75">
        <v>23.181000000000001</v>
      </c>
      <c r="N1698" s="75">
        <v>1732</v>
      </c>
      <c r="O1698" s="90" t="str">
        <f>IF(VLOOKUP(UncLookup[[#This Row],[Item]],Items!$A$1:$F$43,2,FALSE)=0,"",VLOOKUP(UncLookup[[#This Row],[Item]],Items!$A$1:$F$43,2,FALSE))</f>
        <v/>
      </c>
      <c r="P1698" s="90" t="str">
        <f>IF(VLOOKUP(UncLookup[[#This Row],[Item]],Items!$A$1:$F$43,3,FALSE)=0,"",VLOOKUP(UncLookup[[#This Row],[Item]],Items!$A$1:$F$43,3,FALSE))</f>
        <v/>
      </c>
      <c r="Q1698" s="90" t="str">
        <f>IF(VLOOKUP(UncLookup[[#This Row],[Item]],Items!$A$1:$F$43,4,FALSE)=0,"",VLOOKUP(UncLookup[[#This Row],[Item]],Items!$A$1:$F$43,4,FALSE))</f>
        <v/>
      </c>
    </row>
    <row r="1699" spans="1:17" x14ac:dyDescent="0.25">
      <c r="A1699" s="76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90" t="str">
        <f>IF(VLOOKUP(UncLookup[[#This Row],[Item]],Items!$A$1:$F$43,2,FALSE)=0,"",VLOOKUP(UncLookup[[#This Row],[Item]],Items!$A$1:$F$43,2,FALSE))</f>
        <v/>
      </c>
      <c r="P1699" s="90" t="str">
        <f>IF(VLOOKUP(UncLookup[[#This Row],[Item]],Items!$A$1:$F$43,3,FALSE)=0,"",VLOOKUP(UncLookup[[#This Row],[Item]],Items!$A$1:$F$43,3,FALSE))</f>
        <v/>
      </c>
      <c r="Q1699" s="90" t="str">
        <f>IF(VLOOKUP(UncLookup[[#This Row],[Item]],Items!$A$1:$F$43,4,FALSE)=0,"",VLOOKUP(UncLookup[[#This Row],[Item]],Items!$A$1:$F$43,4,FALSE))</f>
        <v/>
      </c>
    </row>
    <row r="1700" spans="1:17" x14ac:dyDescent="0.25">
      <c r="A1700" s="75" t="s">
        <v>55</v>
      </c>
      <c r="B1700" s="75" t="s">
        <v>8</v>
      </c>
      <c r="C1700" s="75">
        <v>0</v>
      </c>
      <c r="D1700" s="75">
        <v>3.3009999999999998E-2</v>
      </c>
      <c r="E1700" s="75">
        <v>9.9999999999999995E-7</v>
      </c>
      <c r="F1700" s="75" t="s">
        <v>6</v>
      </c>
      <c r="G1700" s="75" t="s">
        <v>5</v>
      </c>
      <c r="H1700" s="75">
        <v>50</v>
      </c>
      <c r="I1700" s="75">
        <v>100</v>
      </c>
      <c r="J1700" s="75" t="s">
        <v>10</v>
      </c>
      <c r="K1700" s="75">
        <v>40</v>
      </c>
      <c r="L1700" s="75">
        <v>4000</v>
      </c>
      <c r="M1700" s="75">
        <v>38.936999999999998</v>
      </c>
      <c r="N1700" s="75">
        <v>4027</v>
      </c>
      <c r="O1700" s="90" t="str">
        <f>IF(VLOOKUP(UncLookup[[#This Row],[Item]],Items!$A$1:$F$43,2,FALSE)=0,"",VLOOKUP(UncLookup[[#This Row],[Item]],Items!$A$1:$F$43,2,FALSE))</f>
        <v/>
      </c>
      <c r="P1700" s="90" t="str">
        <f>IF(VLOOKUP(UncLookup[[#This Row],[Item]],Items!$A$1:$F$43,3,FALSE)=0,"",VLOOKUP(UncLookup[[#This Row],[Item]],Items!$A$1:$F$43,3,FALSE))</f>
        <v/>
      </c>
      <c r="Q1700" s="90" t="str">
        <f>IF(VLOOKUP(UncLookup[[#This Row],[Item]],Items!$A$1:$F$43,4,FALSE)=0,"",VLOOKUP(UncLookup[[#This Row],[Item]],Items!$A$1:$F$43,4,FALSE))</f>
        <v/>
      </c>
    </row>
    <row r="1701" spans="1:17" x14ac:dyDescent="0.25">
      <c r="A1701" s="76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90" t="str">
        <f>IF(VLOOKUP(UncLookup[[#This Row],[Item]],Items!$A$1:$F$43,2,FALSE)=0,"",VLOOKUP(UncLookup[[#This Row],[Item]],Items!$A$1:$F$43,2,FALSE))</f>
        <v/>
      </c>
      <c r="P1701" s="90" t="str">
        <f>IF(VLOOKUP(UncLookup[[#This Row],[Item]],Items!$A$1:$F$43,3,FALSE)=0,"",VLOOKUP(UncLookup[[#This Row],[Item]],Items!$A$1:$F$43,3,FALSE))</f>
        <v/>
      </c>
      <c r="Q1701" s="90" t="str">
        <f>IF(VLOOKUP(UncLookup[[#This Row],[Item]],Items!$A$1:$F$43,4,FALSE)=0,"",VLOOKUP(UncLookup[[#This Row],[Item]],Items!$A$1:$F$43,4,FALSE))</f>
        <v/>
      </c>
    </row>
    <row r="1702" spans="1:17" x14ac:dyDescent="0.25">
      <c r="A1702" s="75" t="s">
        <v>55</v>
      </c>
      <c r="B1702" s="75" t="s">
        <v>8</v>
      </c>
      <c r="C1702" s="75">
        <v>0</v>
      </c>
      <c r="D1702" s="75">
        <v>3.3009999999999998E-2</v>
      </c>
      <c r="E1702" s="75">
        <v>9.9999999999999995E-7</v>
      </c>
      <c r="F1702" s="75" t="s">
        <v>6</v>
      </c>
      <c r="G1702" s="75" t="s">
        <v>5</v>
      </c>
      <c r="H1702" s="75">
        <v>0.01</v>
      </c>
      <c r="I1702" s="75">
        <v>4.5010000000000001E-2</v>
      </c>
      <c r="J1702" s="75" t="s">
        <v>10</v>
      </c>
      <c r="K1702" s="75">
        <v>25</v>
      </c>
      <c r="L1702" s="75">
        <v>1700</v>
      </c>
      <c r="M1702" s="75">
        <v>23.181000000000001</v>
      </c>
      <c r="N1702" s="75">
        <v>1732</v>
      </c>
      <c r="O1702" s="90" t="str">
        <f>IF(VLOOKUP(UncLookup[[#This Row],[Item]],Items!$A$1:$F$43,2,FALSE)=0,"",VLOOKUP(UncLookup[[#This Row],[Item]],Items!$A$1:$F$43,2,FALSE))</f>
        <v/>
      </c>
      <c r="P1702" s="90" t="str">
        <f>IF(VLOOKUP(UncLookup[[#This Row],[Item]],Items!$A$1:$F$43,3,FALSE)=0,"",VLOOKUP(UncLookup[[#This Row],[Item]],Items!$A$1:$F$43,3,FALSE))</f>
        <v/>
      </c>
      <c r="Q1702" s="90" t="str">
        <f>IF(VLOOKUP(UncLookup[[#This Row],[Item]],Items!$A$1:$F$43,4,FALSE)=0,"",VLOOKUP(UncLookup[[#This Row],[Item]],Items!$A$1:$F$43,4,FALSE))</f>
        <v/>
      </c>
    </row>
    <row r="1703" spans="1:17" x14ac:dyDescent="0.25">
      <c r="A1703" s="76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90" t="str">
        <f>IF(VLOOKUP(UncLookup[[#This Row],[Item]],Items!$A$1:$F$43,2,FALSE)=0,"",VLOOKUP(UncLookup[[#This Row],[Item]],Items!$A$1:$F$43,2,FALSE))</f>
        <v/>
      </c>
      <c r="P1703" s="90" t="str">
        <f>IF(VLOOKUP(UncLookup[[#This Row],[Item]],Items!$A$1:$F$43,3,FALSE)=0,"",VLOOKUP(UncLookup[[#This Row],[Item]],Items!$A$1:$F$43,3,FALSE))</f>
        <v/>
      </c>
      <c r="Q1703" s="90" t="str">
        <f>IF(VLOOKUP(UncLookup[[#This Row],[Item]],Items!$A$1:$F$43,4,FALSE)=0,"",VLOOKUP(UncLookup[[#This Row],[Item]],Items!$A$1:$F$43,4,FALSE))</f>
        <v/>
      </c>
    </row>
    <row r="1704" spans="1:17" x14ac:dyDescent="0.25">
      <c r="A1704" s="75" t="s">
        <v>55</v>
      </c>
      <c r="B1704" s="75" t="s">
        <v>8</v>
      </c>
      <c r="C1704" s="75">
        <v>0</v>
      </c>
      <c r="D1704" s="75">
        <v>3.3009999999999998E-2</v>
      </c>
      <c r="E1704" s="75">
        <v>9.9999999999999995E-7</v>
      </c>
      <c r="F1704" s="75" t="s">
        <v>6</v>
      </c>
      <c r="G1704" s="75" t="s">
        <v>5</v>
      </c>
      <c r="H1704" s="75">
        <v>20</v>
      </c>
      <c r="I1704" s="75">
        <v>50.01</v>
      </c>
      <c r="J1704" s="75" t="s">
        <v>10</v>
      </c>
      <c r="K1704" s="75">
        <v>24</v>
      </c>
      <c r="L1704" s="75">
        <v>2300</v>
      </c>
      <c r="M1704" s="75">
        <v>23.565000000000001</v>
      </c>
      <c r="N1704" s="75">
        <v>2300.9</v>
      </c>
      <c r="O1704" s="90" t="str">
        <f>IF(VLOOKUP(UncLookup[[#This Row],[Item]],Items!$A$1:$F$43,2,FALSE)=0,"",VLOOKUP(UncLookup[[#This Row],[Item]],Items!$A$1:$F$43,2,FALSE))</f>
        <v/>
      </c>
      <c r="P1704" s="90" t="str">
        <f>IF(VLOOKUP(UncLookup[[#This Row],[Item]],Items!$A$1:$F$43,3,FALSE)=0,"",VLOOKUP(UncLookup[[#This Row],[Item]],Items!$A$1:$F$43,3,FALSE))</f>
        <v/>
      </c>
      <c r="Q1704" s="90" t="str">
        <f>IF(VLOOKUP(UncLookup[[#This Row],[Item]],Items!$A$1:$F$43,4,FALSE)=0,"",VLOOKUP(UncLookup[[#This Row],[Item]],Items!$A$1:$F$43,4,FALSE))</f>
        <v/>
      </c>
    </row>
    <row r="1705" spans="1:17" x14ac:dyDescent="0.25">
      <c r="A1705" s="76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90" t="str">
        <f>IF(VLOOKUP(UncLookup[[#This Row],[Item]],Items!$A$1:$F$43,2,FALSE)=0,"",VLOOKUP(UncLookup[[#This Row],[Item]],Items!$A$1:$F$43,2,FALSE))</f>
        <v/>
      </c>
      <c r="P1705" s="90" t="str">
        <f>IF(VLOOKUP(UncLookup[[#This Row],[Item]],Items!$A$1:$F$43,3,FALSE)=0,"",VLOOKUP(UncLookup[[#This Row],[Item]],Items!$A$1:$F$43,3,FALSE))</f>
        <v/>
      </c>
      <c r="Q1705" s="90" t="str">
        <f>IF(VLOOKUP(UncLookup[[#This Row],[Item]],Items!$A$1:$F$43,4,FALSE)=0,"",VLOOKUP(UncLookup[[#This Row],[Item]],Items!$A$1:$F$43,4,FALSE))</f>
        <v/>
      </c>
    </row>
    <row r="1706" spans="1:17" x14ac:dyDescent="0.25">
      <c r="A1706" s="75" t="s">
        <v>55</v>
      </c>
      <c r="B1706" s="75" t="s">
        <v>8</v>
      </c>
      <c r="C1706" s="75">
        <v>0</v>
      </c>
      <c r="D1706" s="75">
        <v>3.3009999999999998E-2</v>
      </c>
      <c r="E1706" s="75">
        <v>1.0000000000000001E-5</v>
      </c>
      <c r="F1706" s="75" t="s">
        <v>6</v>
      </c>
      <c r="G1706" s="75" t="s">
        <v>5</v>
      </c>
      <c r="H1706" s="75">
        <v>50</v>
      </c>
      <c r="I1706" s="75">
        <v>100.01</v>
      </c>
      <c r="J1706" s="75" t="s">
        <v>10</v>
      </c>
      <c r="K1706" s="75">
        <v>40</v>
      </c>
      <c r="L1706" s="75">
        <v>4017.5</v>
      </c>
      <c r="M1706" s="75">
        <v>39.332000000000001</v>
      </c>
      <c r="N1706" s="75">
        <v>4018</v>
      </c>
      <c r="O1706" s="90" t="str">
        <f>IF(VLOOKUP(UncLookup[[#This Row],[Item]],Items!$A$1:$F$43,2,FALSE)=0,"",VLOOKUP(UncLookup[[#This Row],[Item]],Items!$A$1:$F$43,2,FALSE))</f>
        <v/>
      </c>
      <c r="P1706" s="90" t="str">
        <f>IF(VLOOKUP(UncLookup[[#This Row],[Item]],Items!$A$1:$F$43,3,FALSE)=0,"",VLOOKUP(UncLookup[[#This Row],[Item]],Items!$A$1:$F$43,3,FALSE))</f>
        <v/>
      </c>
      <c r="Q1706" s="90" t="str">
        <f>IF(VLOOKUP(UncLookup[[#This Row],[Item]],Items!$A$1:$F$43,4,FALSE)=0,"",VLOOKUP(UncLookup[[#This Row],[Item]],Items!$A$1:$F$43,4,FALSE))</f>
        <v/>
      </c>
    </row>
    <row r="1707" spans="1:17" x14ac:dyDescent="0.25">
      <c r="A1707" s="76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90" t="str">
        <f>IF(VLOOKUP(UncLookup[[#This Row],[Item]],Items!$A$1:$F$43,2,FALSE)=0,"",VLOOKUP(UncLookup[[#This Row],[Item]],Items!$A$1:$F$43,2,FALSE))</f>
        <v/>
      </c>
      <c r="P1707" s="90" t="str">
        <f>IF(VLOOKUP(UncLookup[[#This Row],[Item]],Items!$A$1:$F$43,3,FALSE)=0,"",VLOOKUP(UncLookup[[#This Row],[Item]],Items!$A$1:$F$43,3,FALSE))</f>
        <v/>
      </c>
      <c r="Q1707" s="90" t="str">
        <f>IF(VLOOKUP(UncLookup[[#This Row],[Item]],Items!$A$1:$F$43,4,FALSE)=0,"",VLOOKUP(UncLookup[[#This Row],[Item]],Items!$A$1:$F$43,4,FALSE))</f>
        <v/>
      </c>
    </row>
    <row r="1708" spans="1:17" x14ac:dyDescent="0.25">
      <c r="A1708" s="75" t="s">
        <v>55</v>
      </c>
      <c r="B1708" s="75" t="s">
        <v>8</v>
      </c>
      <c r="C1708" s="75">
        <v>0</v>
      </c>
      <c r="D1708" s="75">
        <v>3.3009999999999998E-2</v>
      </c>
      <c r="E1708" s="75">
        <v>1.0000000000000001E-5</v>
      </c>
      <c r="F1708" s="75" t="s">
        <v>6</v>
      </c>
      <c r="G1708" s="75" t="s">
        <v>5</v>
      </c>
      <c r="H1708" s="75">
        <v>500</v>
      </c>
      <c r="I1708" s="75">
        <v>501</v>
      </c>
      <c r="J1708" s="75" t="s">
        <v>10</v>
      </c>
      <c r="K1708" s="75">
        <v>89</v>
      </c>
      <c r="L1708" s="75">
        <v>11468</v>
      </c>
      <c r="M1708" s="75">
        <v>73.063000000000002</v>
      </c>
      <c r="N1708" s="75">
        <v>11468</v>
      </c>
      <c r="O1708" s="90" t="str">
        <f>IF(VLOOKUP(UncLookup[[#This Row],[Item]],Items!$A$1:$F$43,2,FALSE)=0,"",VLOOKUP(UncLookup[[#This Row],[Item]],Items!$A$1:$F$43,2,FALSE))</f>
        <v/>
      </c>
      <c r="P1708" s="90" t="str">
        <f>IF(VLOOKUP(UncLookup[[#This Row],[Item]],Items!$A$1:$F$43,3,FALSE)=0,"",VLOOKUP(UncLookup[[#This Row],[Item]],Items!$A$1:$F$43,3,FALSE))</f>
        <v/>
      </c>
      <c r="Q1708" s="90" t="str">
        <f>IF(VLOOKUP(UncLookup[[#This Row],[Item]],Items!$A$1:$F$43,4,FALSE)=0,"",VLOOKUP(UncLookup[[#This Row],[Item]],Items!$A$1:$F$43,4,FALSE))</f>
        <v/>
      </c>
    </row>
    <row r="1709" spans="1:17" x14ac:dyDescent="0.25">
      <c r="A1709" s="76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90" t="str">
        <f>IF(VLOOKUP(UncLookup[[#This Row],[Item]],Items!$A$1:$F$43,2,FALSE)=0,"",VLOOKUP(UncLookup[[#This Row],[Item]],Items!$A$1:$F$43,2,FALSE))</f>
        <v/>
      </c>
      <c r="P1709" s="90" t="str">
        <f>IF(VLOOKUP(UncLookup[[#This Row],[Item]],Items!$A$1:$F$43,3,FALSE)=0,"",VLOOKUP(UncLookup[[#This Row],[Item]],Items!$A$1:$F$43,3,FALSE))</f>
        <v/>
      </c>
      <c r="Q1709" s="90" t="str">
        <f>IF(VLOOKUP(UncLookup[[#This Row],[Item]],Items!$A$1:$F$43,4,FALSE)=0,"",VLOOKUP(UncLookup[[#This Row],[Item]],Items!$A$1:$F$43,4,FALSE))</f>
        <v/>
      </c>
    </row>
    <row r="1710" spans="1:17" x14ac:dyDescent="0.25">
      <c r="A1710" s="75" t="s">
        <v>55</v>
      </c>
      <c r="B1710" s="75" t="s">
        <v>8</v>
      </c>
      <c r="C1710" s="75">
        <v>0</v>
      </c>
      <c r="D1710" s="75">
        <v>3.3009999999999998E-2</v>
      </c>
      <c r="E1710" s="75">
        <v>1.0000000000000001E-5</v>
      </c>
      <c r="F1710" s="75" t="s">
        <v>6</v>
      </c>
      <c r="G1710" s="75" t="s">
        <v>5</v>
      </c>
      <c r="H1710" s="75">
        <v>4.4999999999999998E-2</v>
      </c>
      <c r="I1710" s="75">
        <v>10.00001</v>
      </c>
      <c r="J1710" s="75" t="s">
        <v>10</v>
      </c>
      <c r="K1710" s="75">
        <v>24</v>
      </c>
      <c r="L1710" s="75">
        <v>1143.4000000000001</v>
      </c>
      <c r="M1710" s="75">
        <v>23.87</v>
      </c>
      <c r="N1710" s="75">
        <v>1142.8</v>
      </c>
      <c r="O1710" s="90" t="str">
        <f>IF(VLOOKUP(UncLookup[[#This Row],[Item]],Items!$A$1:$F$43,2,FALSE)=0,"",VLOOKUP(UncLookup[[#This Row],[Item]],Items!$A$1:$F$43,2,FALSE))</f>
        <v/>
      </c>
      <c r="P1710" s="90" t="str">
        <f>IF(VLOOKUP(UncLookup[[#This Row],[Item]],Items!$A$1:$F$43,3,FALSE)=0,"",VLOOKUP(UncLookup[[#This Row],[Item]],Items!$A$1:$F$43,3,FALSE))</f>
        <v/>
      </c>
      <c r="Q1710" s="90" t="str">
        <f>IF(VLOOKUP(UncLookup[[#This Row],[Item]],Items!$A$1:$F$43,4,FALSE)=0,"",VLOOKUP(UncLookup[[#This Row],[Item]],Items!$A$1:$F$43,4,FALSE))</f>
        <v/>
      </c>
    </row>
    <row r="1711" spans="1:17" x14ac:dyDescent="0.25">
      <c r="A1711" s="76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90" t="str">
        <f>IF(VLOOKUP(UncLookup[[#This Row],[Item]],Items!$A$1:$F$43,2,FALSE)=0,"",VLOOKUP(UncLookup[[#This Row],[Item]],Items!$A$1:$F$43,2,FALSE))</f>
        <v/>
      </c>
      <c r="P1711" s="90" t="str">
        <f>IF(VLOOKUP(UncLookup[[#This Row],[Item]],Items!$A$1:$F$43,3,FALSE)=0,"",VLOOKUP(UncLookup[[#This Row],[Item]],Items!$A$1:$F$43,3,FALSE))</f>
        <v/>
      </c>
      <c r="Q1711" s="90" t="str">
        <f>IF(VLOOKUP(UncLookup[[#This Row],[Item]],Items!$A$1:$F$43,4,FALSE)=0,"",VLOOKUP(UncLookup[[#This Row],[Item]],Items!$A$1:$F$43,4,FALSE))</f>
        <v/>
      </c>
    </row>
    <row r="1712" spans="1:17" x14ac:dyDescent="0.25">
      <c r="A1712" s="75" t="s">
        <v>55</v>
      </c>
      <c r="B1712" s="75" t="s">
        <v>8</v>
      </c>
      <c r="C1712" s="75">
        <v>0</v>
      </c>
      <c r="D1712" s="75">
        <v>3.3009999999999998E-2</v>
      </c>
      <c r="E1712" s="75">
        <v>1E-4</v>
      </c>
      <c r="F1712" s="75" t="s">
        <v>6</v>
      </c>
      <c r="G1712" s="75" t="s">
        <v>5</v>
      </c>
      <c r="H1712" s="75">
        <v>100</v>
      </c>
      <c r="I1712" s="75">
        <v>500</v>
      </c>
      <c r="J1712" s="75" t="s">
        <v>10</v>
      </c>
      <c r="K1712" s="75">
        <v>91.463999999999999</v>
      </c>
      <c r="L1712" s="75">
        <v>11024</v>
      </c>
      <c r="M1712" s="75">
        <v>91.322000000000003</v>
      </c>
      <c r="N1712" s="75">
        <v>11026</v>
      </c>
      <c r="O1712" s="90" t="str">
        <f>IF(VLOOKUP(UncLookup[[#This Row],[Item]],Items!$A$1:$F$43,2,FALSE)=0,"",VLOOKUP(UncLookup[[#This Row],[Item]],Items!$A$1:$F$43,2,FALSE))</f>
        <v/>
      </c>
      <c r="P1712" s="90" t="str">
        <f>IF(VLOOKUP(UncLookup[[#This Row],[Item]],Items!$A$1:$F$43,3,FALSE)=0,"",VLOOKUP(UncLookup[[#This Row],[Item]],Items!$A$1:$F$43,3,FALSE))</f>
        <v/>
      </c>
      <c r="Q1712" s="90" t="str">
        <f>IF(VLOOKUP(UncLookup[[#This Row],[Item]],Items!$A$1:$F$43,4,FALSE)=0,"",VLOOKUP(UncLookup[[#This Row],[Item]],Items!$A$1:$F$43,4,FALSE))</f>
        <v/>
      </c>
    </row>
    <row r="1713" spans="1:17" x14ac:dyDescent="0.25">
      <c r="A1713" s="76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90" t="str">
        <f>IF(VLOOKUP(UncLookup[[#This Row],[Item]],Items!$A$1:$F$43,2,FALSE)=0,"",VLOOKUP(UncLookup[[#This Row],[Item]],Items!$A$1:$F$43,2,FALSE))</f>
        <v/>
      </c>
      <c r="P1713" s="90" t="str">
        <f>IF(VLOOKUP(UncLookup[[#This Row],[Item]],Items!$A$1:$F$43,3,FALSE)=0,"",VLOOKUP(UncLookup[[#This Row],[Item]],Items!$A$1:$F$43,3,FALSE))</f>
        <v/>
      </c>
      <c r="Q1713" s="90" t="str">
        <f>IF(VLOOKUP(UncLookup[[#This Row],[Item]],Items!$A$1:$F$43,4,FALSE)=0,"",VLOOKUP(UncLookup[[#This Row],[Item]],Items!$A$1:$F$43,4,FALSE))</f>
        <v/>
      </c>
    </row>
    <row r="1714" spans="1:17" x14ac:dyDescent="0.25">
      <c r="A1714" s="75" t="s">
        <v>55</v>
      </c>
      <c r="B1714" s="75" t="s">
        <v>8</v>
      </c>
      <c r="C1714" s="75">
        <v>0</v>
      </c>
      <c r="D1714" s="75">
        <v>3.3009999999999998E-2</v>
      </c>
      <c r="E1714" s="75">
        <v>1E-4</v>
      </c>
      <c r="F1714" s="75" t="s">
        <v>6</v>
      </c>
      <c r="G1714" s="75" t="s">
        <v>5</v>
      </c>
      <c r="H1714" s="75">
        <v>500</v>
      </c>
      <c r="I1714" s="75">
        <v>501</v>
      </c>
      <c r="J1714" s="75" t="s">
        <v>10</v>
      </c>
      <c r="K1714" s="75">
        <v>91.463999999999999</v>
      </c>
      <c r="L1714" s="75">
        <v>11024</v>
      </c>
      <c r="M1714" s="75">
        <v>91.322000000000003</v>
      </c>
      <c r="N1714" s="75">
        <v>11026</v>
      </c>
      <c r="O1714" s="90" t="str">
        <f>IF(VLOOKUP(UncLookup[[#This Row],[Item]],Items!$A$1:$F$43,2,FALSE)=0,"",VLOOKUP(UncLookup[[#This Row],[Item]],Items!$A$1:$F$43,2,FALSE))</f>
        <v/>
      </c>
      <c r="P1714" s="90" t="str">
        <f>IF(VLOOKUP(UncLookup[[#This Row],[Item]],Items!$A$1:$F$43,3,FALSE)=0,"",VLOOKUP(UncLookup[[#This Row],[Item]],Items!$A$1:$F$43,3,FALSE))</f>
        <v/>
      </c>
      <c r="Q1714" s="90" t="str">
        <f>IF(VLOOKUP(UncLookup[[#This Row],[Item]],Items!$A$1:$F$43,4,FALSE)=0,"",VLOOKUP(UncLookup[[#This Row],[Item]],Items!$A$1:$F$43,4,FALSE))</f>
        <v/>
      </c>
    </row>
    <row r="1715" spans="1:17" x14ac:dyDescent="0.25">
      <c r="A1715" s="76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90" t="str">
        <f>IF(VLOOKUP(UncLookup[[#This Row],[Item]],Items!$A$1:$F$43,2,FALSE)=0,"",VLOOKUP(UncLookup[[#This Row],[Item]],Items!$A$1:$F$43,2,FALSE))</f>
        <v/>
      </c>
      <c r="P1715" s="90" t="str">
        <f>IF(VLOOKUP(UncLookup[[#This Row],[Item]],Items!$A$1:$F$43,3,FALSE)=0,"",VLOOKUP(UncLookup[[#This Row],[Item]],Items!$A$1:$F$43,3,FALSE))</f>
        <v/>
      </c>
      <c r="Q1715" s="90" t="str">
        <f>IF(VLOOKUP(UncLookup[[#This Row],[Item]],Items!$A$1:$F$43,4,FALSE)=0,"",VLOOKUP(UncLookup[[#This Row],[Item]],Items!$A$1:$F$43,4,FALSE))</f>
        <v/>
      </c>
    </row>
    <row r="1716" spans="1:17" x14ac:dyDescent="0.25">
      <c r="A1716" s="75" t="s">
        <v>55</v>
      </c>
      <c r="B1716" s="75" t="s">
        <v>8</v>
      </c>
      <c r="C1716" s="75">
        <v>0</v>
      </c>
      <c r="D1716" s="75">
        <v>3.3009999999999998E-2</v>
      </c>
      <c r="E1716" s="75">
        <v>1E-4</v>
      </c>
      <c r="F1716" s="75" t="s">
        <v>6</v>
      </c>
      <c r="G1716" s="75" t="s">
        <v>5</v>
      </c>
      <c r="H1716" s="75">
        <v>50</v>
      </c>
      <c r="I1716" s="75">
        <v>100.01</v>
      </c>
      <c r="J1716" s="75" t="s">
        <v>10</v>
      </c>
      <c r="K1716" s="75">
        <v>68.858000000000004</v>
      </c>
      <c r="L1716" s="75">
        <v>3411.4</v>
      </c>
      <c r="M1716" s="75">
        <v>68.766000000000005</v>
      </c>
      <c r="N1716" s="75">
        <v>3411.7</v>
      </c>
      <c r="O1716" s="90" t="str">
        <f>IF(VLOOKUP(UncLookup[[#This Row],[Item]],Items!$A$1:$F$43,2,FALSE)=0,"",VLOOKUP(UncLookup[[#This Row],[Item]],Items!$A$1:$F$43,2,FALSE))</f>
        <v/>
      </c>
      <c r="P1716" s="90" t="str">
        <f>IF(VLOOKUP(UncLookup[[#This Row],[Item]],Items!$A$1:$F$43,3,FALSE)=0,"",VLOOKUP(UncLookup[[#This Row],[Item]],Items!$A$1:$F$43,3,FALSE))</f>
        <v/>
      </c>
      <c r="Q1716" s="90" t="str">
        <f>IF(VLOOKUP(UncLookup[[#This Row],[Item]],Items!$A$1:$F$43,4,FALSE)=0,"",VLOOKUP(UncLookup[[#This Row],[Item]],Items!$A$1:$F$43,4,FALSE))</f>
        <v/>
      </c>
    </row>
    <row r="1717" spans="1:17" x14ac:dyDescent="0.25">
      <c r="A1717" s="76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90" t="str">
        <f>IF(VLOOKUP(UncLookup[[#This Row],[Item]],Items!$A$1:$F$43,2,FALSE)=0,"",VLOOKUP(UncLookup[[#This Row],[Item]],Items!$A$1:$F$43,2,FALSE))</f>
        <v/>
      </c>
      <c r="P1717" s="90" t="str">
        <f>IF(VLOOKUP(UncLookup[[#This Row],[Item]],Items!$A$1:$F$43,3,FALSE)=0,"",VLOOKUP(UncLookup[[#This Row],[Item]],Items!$A$1:$F$43,3,FALSE))</f>
        <v/>
      </c>
      <c r="Q1717" s="90" t="str">
        <f>IF(VLOOKUP(UncLookup[[#This Row],[Item]],Items!$A$1:$F$43,4,FALSE)=0,"",VLOOKUP(UncLookup[[#This Row],[Item]],Items!$A$1:$F$43,4,FALSE))</f>
        <v/>
      </c>
    </row>
    <row r="1718" spans="1:17" x14ac:dyDescent="0.25">
      <c r="A1718" s="75" t="s">
        <v>55</v>
      </c>
      <c r="B1718" s="75" t="s">
        <v>8</v>
      </c>
      <c r="C1718" s="75">
        <v>0</v>
      </c>
      <c r="D1718" s="75">
        <v>3.3009999999999998E-2</v>
      </c>
      <c r="E1718" s="75">
        <v>1E-4</v>
      </c>
      <c r="F1718" s="75" t="s">
        <v>6</v>
      </c>
      <c r="G1718" s="75" t="s">
        <v>5</v>
      </c>
      <c r="H1718" s="75">
        <v>0.01</v>
      </c>
      <c r="I1718" s="75">
        <v>4.5010000000000001E-2</v>
      </c>
      <c r="J1718" s="75" t="s">
        <v>10</v>
      </c>
      <c r="K1718" s="75">
        <v>62.01</v>
      </c>
      <c r="L1718" s="75">
        <v>1125.5</v>
      </c>
      <c r="M1718" s="75">
        <v>61.999000000000002</v>
      </c>
      <c r="N1718" s="75">
        <v>1123.8</v>
      </c>
      <c r="O1718" s="90" t="str">
        <f>IF(VLOOKUP(UncLookup[[#This Row],[Item]],Items!$A$1:$F$43,2,FALSE)=0,"",VLOOKUP(UncLookup[[#This Row],[Item]],Items!$A$1:$F$43,2,FALSE))</f>
        <v/>
      </c>
      <c r="P1718" s="90" t="str">
        <f>IF(VLOOKUP(UncLookup[[#This Row],[Item]],Items!$A$1:$F$43,3,FALSE)=0,"",VLOOKUP(UncLookup[[#This Row],[Item]],Items!$A$1:$F$43,3,FALSE))</f>
        <v/>
      </c>
      <c r="Q1718" s="90" t="str">
        <f>IF(VLOOKUP(UncLookup[[#This Row],[Item]],Items!$A$1:$F$43,4,FALSE)=0,"",VLOOKUP(UncLookup[[#This Row],[Item]],Items!$A$1:$F$43,4,FALSE))</f>
        <v/>
      </c>
    </row>
    <row r="1719" spans="1:17" x14ac:dyDescent="0.25">
      <c r="A1719" s="76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90" t="str">
        <f>IF(VLOOKUP(UncLookup[[#This Row],[Item]],Items!$A$1:$F$43,2,FALSE)=0,"",VLOOKUP(UncLookup[[#This Row],[Item]],Items!$A$1:$F$43,2,FALSE))</f>
        <v/>
      </c>
      <c r="P1719" s="90" t="str">
        <f>IF(VLOOKUP(UncLookup[[#This Row],[Item]],Items!$A$1:$F$43,3,FALSE)=0,"",VLOOKUP(UncLookup[[#This Row],[Item]],Items!$A$1:$F$43,3,FALSE))</f>
        <v/>
      </c>
      <c r="Q1719" s="90" t="str">
        <f>IF(VLOOKUP(UncLookup[[#This Row],[Item]],Items!$A$1:$F$43,4,FALSE)=0,"",VLOOKUP(UncLookup[[#This Row],[Item]],Items!$A$1:$F$43,4,FALSE))</f>
        <v/>
      </c>
    </row>
    <row r="1720" spans="1:17" x14ac:dyDescent="0.25">
      <c r="A1720" s="75" t="s">
        <v>55</v>
      </c>
      <c r="B1720" s="75" t="s">
        <v>8</v>
      </c>
      <c r="C1720" s="75">
        <v>0</v>
      </c>
      <c r="D1720" s="75">
        <v>3.3009999999999998E-2</v>
      </c>
      <c r="E1720" s="75">
        <v>1E-3</v>
      </c>
      <c r="F1720" s="75" t="s">
        <v>6</v>
      </c>
      <c r="G1720" s="75" t="s">
        <v>5</v>
      </c>
      <c r="H1720" s="75">
        <v>20</v>
      </c>
      <c r="I1720" s="75">
        <v>50.01</v>
      </c>
      <c r="J1720" s="75" t="s">
        <v>10</v>
      </c>
      <c r="K1720" s="75">
        <v>580.34</v>
      </c>
      <c r="L1720" s="75">
        <v>247.93</v>
      </c>
      <c r="M1720" s="75">
        <v>580.33000000000004</v>
      </c>
      <c r="N1720" s="75">
        <v>246.73</v>
      </c>
      <c r="O1720" s="90" t="str">
        <f>IF(VLOOKUP(UncLookup[[#This Row],[Item]],Items!$A$1:$F$43,2,FALSE)=0,"",VLOOKUP(UncLookup[[#This Row],[Item]],Items!$A$1:$F$43,2,FALSE))</f>
        <v/>
      </c>
      <c r="P1720" s="90" t="str">
        <f>IF(VLOOKUP(UncLookup[[#This Row],[Item]],Items!$A$1:$F$43,3,FALSE)=0,"",VLOOKUP(UncLookup[[#This Row],[Item]],Items!$A$1:$F$43,3,FALSE))</f>
        <v/>
      </c>
      <c r="Q1720" s="90" t="str">
        <f>IF(VLOOKUP(UncLookup[[#This Row],[Item]],Items!$A$1:$F$43,4,FALSE)=0,"",VLOOKUP(UncLookup[[#This Row],[Item]],Items!$A$1:$F$43,4,FALSE))</f>
        <v/>
      </c>
    </row>
    <row r="1721" spans="1:17" x14ac:dyDescent="0.25">
      <c r="A1721" s="76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90" t="str">
        <f>IF(VLOOKUP(UncLookup[[#This Row],[Item]],Items!$A$1:$F$43,2,FALSE)=0,"",VLOOKUP(UncLookup[[#This Row],[Item]],Items!$A$1:$F$43,2,FALSE))</f>
        <v/>
      </c>
      <c r="P1721" s="90" t="str">
        <f>IF(VLOOKUP(UncLookup[[#This Row],[Item]],Items!$A$1:$F$43,3,FALSE)=0,"",VLOOKUP(UncLookup[[#This Row],[Item]],Items!$A$1:$F$43,3,FALSE))</f>
        <v/>
      </c>
      <c r="Q1721" s="90" t="str">
        <f>IF(VLOOKUP(UncLookup[[#This Row],[Item]],Items!$A$1:$F$43,4,FALSE)=0,"",VLOOKUP(UncLookup[[#This Row],[Item]],Items!$A$1:$F$43,4,FALSE))</f>
        <v/>
      </c>
    </row>
    <row r="1722" spans="1:17" x14ac:dyDescent="0.25">
      <c r="A1722" s="75" t="s">
        <v>55</v>
      </c>
      <c r="B1722" s="75" t="s">
        <v>8</v>
      </c>
      <c r="C1722" s="75">
        <v>0</v>
      </c>
      <c r="D1722" s="75">
        <v>3.3009999999999998E-2</v>
      </c>
      <c r="E1722" s="75">
        <v>1E-3</v>
      </c>
      <c r="F1722" s="75" t="s">
        <v>6</v>
      </c>
      <c r="G1722" s="75" t="s">
        <v>5</v>
      </c>
      <c r="H1722" s="75">
        <v>4.4999999999999998E-2</v>
      </c>
      <c r="I1722" s="75">
        <v>10.00001</v>
      </c>
      <c r="J1722" s="75" t="s">
        <v>10</v>
      </c>
      <c r="K1722" s="75">
        <v>580.42999999999995</v>
      </c>
      <c r="L1722" s="75">
        <v>86.247</v>
      </c>
      <c r="M1722" s="75">
        <v>580.42999999999995</v>
      </c>
      <c r="N1722" s="75">
        <v>85.036000000000001</v>
      </c>
      <c r="O1722" s="90" t="str">
        <f>IF(VLOOKUP(UncLookup[[#This Row],[Item]],Items!$A$1:$F$43,2,FALSE)=0,"",VLOOKUP(UncLookup[[#This Row],[Item]],Items!$A$1:$F$43,2,FALSE))</f>
        <v/>
      </c>
      <c r="P1722" s="90" t="str">
        <f>IF(VLOOKUP(UncLookup[[#This Row],[Item]],Items!$A$1:$F$43,3,FALSE)=0,"",VLOOKUP(UncLookup[[#This Row],[Item]],Items!$A$1:$F$43,3,FALSE))</f>
        <v/>
      </c>
      <c r="Q1722" s="90" t="str">
        <f>IF(VLOOKUP(UncLookup[[#This Row],[Item]],Items!$A$1:$F$43,4,FALSE)=0,"",VLOOKUP(UncLookup[[#This Row],[Item]],Items!$A$1:$F$43,4,FALSE))</f>
        <v/>
      </c>
    </row>
    <row r="1723" spans="1:17" x14ac:dyDescent="0.25">
      <c r="A1723" s="76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90" t="str">
        <f>IF(VLOOKUP(UncLookup[[#This Row],[Item]],Items!$A$1:$F$43,2,FALSE)=0,"",VLOOKUP(UncLookup[[#This Row],[Item]],Items!$A$1:$F$43,2,FALSE))</f>
        <v/>
      </c>
      <c r="P1723" s="90" t="str">
        <f>IF(VLOOKUP(UncLookup[[#This Row],[Item]],Items!$A$1:$F$43,3,FALSE)=0,"",VLOOKUP(UncLookup[[#This Row],[Item]],Items!$A$1:$F$43,3,FALSE))</f>
        <v/>
      </c>
      <c r="Q1723" s="90" t="str">
        <f>IF(VLOOKUP(UncLookup[[#This Row],[Item]],Items!$A$1:$F$43,4,FALSE)=0,"",VLOOKUP(UncLookup[[#This Row],[Item]],Items!$A$1:$F$43,4,FALSE))</f>
        <v/>
      </c>
    </row>
    <row r="1724" spans="1:17" x14ac:dyDescent="0.25">
      <c r="A1724" s="75" t="s">
        <v>55</v>
      </c>
      <c r="B1724" s="75" t="s">
        <v>8</v>
      </c>
      <c r="C1724" s="75">
        <v>0</v>
      </c>
      <c r="D1724" s="75">
        <v>3.3009999999999998E-2</v>
      </c>
      <c r="E1724" s="75">
        <v>1E-3</v>
      </c>
      <c r="F1724" s="75" t="s">
        <v>6</v>
      </c>
      <c r="G1724" s="75" t="s">
        <v>5</v>
      </c>
      <c r="H1724" s="75">
        <v>10</v>
      </c>
      <c r="I1724" s="75">
        <v>20.010000000000002</v>
      </c>
      <c r="J1724" s="75" t="s">
        <v>10</v>
      </c>
      <c r="K1724" s="75">
        <v>580.38</v>
      </c>
      <c r="L1724" s="75">
        <v>157.54</v>
      </c>
      <c r="M1724" s="75">
        <v>580.38</v>
      </c>
      <c r="N1724" s="75">
        <v>156.33000000000001</v>
      </c>
      <c r="O1724" s="90" t="str">
        <f>IF(VLOOKUP(UncLookup[[#This Row],[Item]],Items!$A$1:$F$43,2,FALSE)=0,"",VLOOKUP(UncLookup[[#This Row],[Item]],Items!$A$1:$F$43,2,FALSE))</f>
        <v/>
      </c>
      <c r="P1724" s="90" t="str">
        <f>IF(VLOOKUP(UncLookup[[#This Row],[Item]],Items!$A$1:$F$43,3,FALSE)=0,"",VLOOKUP(UncLookup[[#This Row],[Item]],Items!$A$1:$F$43,3,FALSE))</f>
        <v/>
      </c>
      <c r="Q1724" s="90" t="str">
        <f>IF(VLOOKUP(UncLookup[[#This Row],[Item]],Items!$A$1:$F$43,4,FALSE)=0,"",VLOOKUP(UncLookup[[#This Row],[Item]],Items!$A$1:$F$43,4,FALSE))</f>
        <v/>
      </c>
    </row>
    <row r="1725" spans="1:17" x14ac:dyDescent="0.25">
      <c r="A1725" s="76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90" t="str">
        <f>IF(VLOOKUP(UncLookup[[#This Row],[Item]],Items!$A$1:$F$43,2,FALSE)=0,"",VLOOKUP(UncLookup[[#This Row],[Item]],Items!$A$1:$F$43,2,FALSE))</f>
        <v/>
      </c>
      <c r="P1725" s="90" t="str">
        <f>IF(VLOOKUP(UncLookup[[#This Row],[Item]],Items!$A$1:$F$43,3,FALSE)=0,"",VLOOKUP(UncLookup[[#This Row],[Item]],Items!$A$1:$F$43,3,FALSE))</f>
        <v/>
      </c>
      <c r="Q1725" s="90" t="str">
        <f>IF(VLOOKUP(UncLookup[[#This Row],[Item]],Items!$A$1:$F$43,4,FALSE)=0,"",VLOOKUP(UncLookup[[#This Row],[Item]],Items!$A$1:$F$43,4,FALSE))</f>
        <v/>
      </c>
    </row>
    <row r="1726" spans="1:17" x14ac:dyDescent="0.25">
      <c r="A1726" s="75" t="s">
        <v>55</v>
      </c>
      <c r="B1726" s="75" t="s">
        <v>8</v>
      </c>
      <c r="C1726" s="75">
        <v>0</v>
      </c>
      <c r="D1726" s="75">
        <v>3.3009999999999998E-2</v>
      </c>
      <c r="E1726" s="75">
        <v>0.01</v>
      </c>
      <c r="F1726" s="75" t="s">
        <v>6</v>
      </c>
      <c r="G1726" s="75" t="s">
        <v>5</v>
      </c>
      <c r="H1726" s="75">
        <v>500</v>
      </c>
      <c r="I1726" s="75">
        <v>501</v>
      </c>
      <c r="J1726" s="75" t="s">
        <v>10</v>
      </c>
      <c r="K1726" s="75">
        <v>5800.1</v>
      </c>
      <c r="L1726" s="75">
        <v>530.77</v>
      </c>
      <c r="M1726" s="75">
        <v>5800.1</v>
      </c>
      <c r="N1726" s="75">
        <v>529.12</v>
      </c>
      <c r="O1726" s="90" t="str">
        <f>IF(VLOOKUP(UncLookup[[#This Row],[Item]],Items!$A$1:$F$43,2,FALSE)=0,"",VLOOKUP(UncLookup[[#This Row],[Item]],Items!$A$1:$F$43,2,FALSE))</f>
        <v/>
      </c>
      <c r="P1726" s="90" t="str">
        <f>IF(VLOOKUP(UncLookup[[#This Row],[Item]],Items!$A$1:$F$43,3,FALSE)=0,"",VLOOKUP(UncLookup[[#This Row],[Item]],Items!$A$1:$F$43,3,FALSE))</f>
        <v/>
      </c>
      <c r="Q1726" s="90" t="str">
        <f>IF(VLOOKUP(UncLookup[[#This Row],[Item]],Items!$A$1:$F$43,4,FALSE)=0,"",VLOOKUP(UncLookup[[#This Row],[Item]],Items!$A$1:$F$43,4,FALSE))</f>
        <v/>
      </c>
    </row>
    <row r="1727" spans="1:17" x14ac:dyDescent="0.25">
      <c r="A1727" s="76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90" t="str">
        <f>IF(VLOOKUP(UncLookup[[#This Row],[Item]],Items!$A$1:$F$43,2,FALSE)=0,"",VLOOKUP(UncLookup[[#This Row],[Item]],Items!$A$1:$F$43,2,FALSE))</f>
        <v/>
      </c>
      <c r="P1727" s="90" t="str">
        <f>IF(VLOOKUP(UncLookup[[#This Row],[Item]],Items!$A$1:$F$43,3,FALSE)=0,"",VLOOKUP(UncLookup[[#This Row],[Item]],Items!$A$1:$F$43,3,FALSE))</f>
        <v/>
      </c>
      <c r="Q1727" s="90" t="str">
        <f>IF(VLOOKUP(UncLookup[[#This Row],[Item]],Items!$A$1:$F$43,4,FALSE)=0,"",VLOOKUP(UncLookup[[#This Row],[Item]],Items!$A$1:$F$43,4,FALSE))</f>
        <v/>
      </c>
    </row>
    <row r="1728" spans="1:17" x14ac:dyDescent="0.25">
      <c r="A1728" s="75" t="s">
        <v>55</v>
      </c>
      <c r="B1728" s="75" t="s">
        <v>8</v>
      </c>
      <c r="C1728" s="75">
        <v>0</v>
      </c>
      <c r="D1728" s="75">
        <v>3.3009999999999998E-2</v>
      </c>
      <c r="E1728" s="75">
        <v>0.01</v>
      </c>
      <c r="F1728" s="75" t="s">
        <v>6</v>
      </c>
      <c r="G1728" s="75" t="s">
        <v>5</v>
      </c>
      <c r="H1728" s="75">
        <v>0.01</v>
      </c>
      <c r="I1728" s="75">
        <v>4.5010000000000001E-2</v>
      </c>
      <c r="J1728" s="75" t="s">
        <v>10</v>
      </c>
      <c r="K1728" s="75">
        <v>5800</v>
      </c>
      <c r="L1728" s="75">
        <v>16.202000000000002</v>
      </c>
      <c r="M1728" s="75">
        <v>5800</v>
      </c>
      <c r="N1728" s="75">
        <v>15.714</v>
      </c>
      <c r="O1728" s="90" t="str">
        <f>IF(VLOOKUP(UncLookup[[#This Row],[Item]],Items!$A$1:$F$43,2,FALSE)=0,"",VLOOKUP(UncLookup[[#This Row],[Item]],Items!$A$1:$F$43,2,FALSE))</f>
        <v/>
      </c>
      <c r="P1728" s="90" t="str">
        <f>IF(VLOOKUP(UncLookup[[#This Row],[Item]],Items!$A$1:$F$43,3,FALSE)=0,"",VLOOKUP(UncLookup[[#This Row],[Item]],Items!$A$1:$F$43,3,FALSE))</f>
        <v/>
      </c>
      <c r="Q1728" s="90" t="str">
        <f>IF(VLOOKUP(UncLookup[[#This Row],[Item]],Items!$A$1:$F$43,4,FALSE)=0,"",VLOOKUP(UncLookup[[#This Row],[Item]],Items!$A$1:$F$43,4,FALSE))</f>
        <v/>
      </c>
    </row>
    <row r="1729" spans="1:17" x14ac:dyDescent="0.25">
      <c r="A1729" s="76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90" t="str">
        <f>IF(VLOOKUP(UncLookup[[#This Row],[Item]],Items!$A$1:$F$43,2,FALSE)=0,"",VLOOKUP(UncLookup[[#This Row],[Item]],Items!$A$1:$F$43,2,FALSE))</f>
        <v/>
      </c>
      <c r="P1729" s="90" t="str">
        <f>IF(VLOOKUP(UncLookup[[#This Row],[Item]],Items!$A$1:$F$43,3,FALSE)=0,"",VLOOKUP(UncLookup[[#This Row],[Item]],Items!$A$1:$F$43,3,FALSE))</f>
        <v/>
      </c>
      <c r="Q1729" s="90" t="str">
        <f>IF(VLOOKUP(UncLookup[[#This Row],[Item]],Items!$A$1:$F$43,4,FALSE)=0,"",VLOOKUP(UncLookup[[#This Row],[Item]],Items!$A$1:$F$43,4,FALSE))</f>
        <v/>
      </c>
    </row>
    <row r="1730" spans="1:17" x14ac:dyDescent="0.25">
      <c r="A1730" s="75" t="s">
        <v>55</v>
      </c>
      <c r="B1730" s="75" t="s">
        <v>8</v>
      </c>
      <c r="C1730" s="75">
        <v>0</v>
      </c>
      <c r="D1730" s="75">
        <v>3.3009999999999998E-2</v>
      </c>
      <c r="E1730" s="75">
        <v>0.01</v>
      </c>
      <c r="F1730" s="75" t="s">
        <v>6</v>
      </c>
      <c r="G1730" s="75" t="s">
        <v>5</v>
      </c>
      <c r="H1730" s="75">
        <v>20</v>
      </c>
      <c r="I1730" s="75">
        <v>50.01</v>
      </c>
      <c r="J1730" s="75" t="s">
        <v>10</v>
      </c>
      <c r="K1730" s="75">
        <v>5800</v>
      </c>
      <c r="L1730" s="75">
        <v>25.350999999999999</v>
      </c>
      <c r="M1730" s="75">
        <v>5800</v>
      </c>
      <c r="N1730" s="75">
        <v>24.864000000000001</v>
      </c>
      <c r="O1730" s="90" t="str">
        <f>IF(VLOOKUP(UncLookup[[#This Row],[Item]],Items!$A$1:$F$43,2,FALSE)=0,"",VLOOKUP(UncLookup[[#This Row],[Item]],Items!$A$1:$F$43,2,FALSE))</f>
        <v/>
      </c>
      <c r="P1730" s="90" t="str">
        <f>IF(VLOOKUP(UncLookup[[#This Row],[Item]],Items!$A$1:$F$43,3,FALSE)=0,"",VLOOKUP(UncLookup[[#This Row],[Item]],Items!$A$1:$F$43,3,FALSE))</f>
        <v/>
      </c>
      <c r="Q1730" s="90" t="str">
        <f>IF(VLOOKUP(UncLookup[[#This Row],[Item]],Items!$A$1:$F$43,4,FALSE)=0,"",VLOOKUP(UncLookup[[#This Row],[Item]],Items!$A$1:$F$43,4,FALSE))</f>
        <v/>
      </c>
    </row>
    <row r="1731" spans="1:17" x14ac:dyDescent="0.25">
      <c r="A1731" s="76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90" t="str">
        <f>IF(VLOOKUP(UncLookup[[#This Row],[Item]],Items!$A$1:$F$43,2,FALSE)=0,"",VLOOKUP(UncLookup[[#This Row],[Item]],Items!$A$1:$F$43,2,FALSE))</f>
        <v/>
      </c>
      <c r="P1731" s="90" t="str">
        <f>IF(VLOOKUP(UncLookup[[#This Row],[Item]],Items!$A$1:$F$43,3,FALSE)=0,"",VLOOKUP(UncLookup[[#This Row],[Item]],Items!$A$1:$F$43,3,FALSE))</f>
        <v/>
      </c>
      <c r="Q1731" s="90" t="str">
        <f>IF(VLOOKUP(UncLookup[[#This Row],[Item]],Items!$A$1:$F$43,4,FALSE)=0,"",VLOOKUP(UncLookup[[#This Row],[Item]],Items!$A$1:$F$43,4,FALSE))</f>
        <v/>
      </c>
    </row>
    <row r="1732" spans="1:17" x14ac:dyDescent="0.25">
      <c r="A1732" s="75" t="s">
        <v>55</v>
      </c>
      <c r="B1732" s="75" t="s">
        <v>8</v>
      </c>
      <c r="C1732" s="75">
        <v>0</v>
      </c>
      <c r="D1732" s="75">
        <v>3.3009999999999998E-2</v>
      </c>
      <c r="E1732" s="75">
        <v>0.01</v>
      </c>
      <c r="F1732" s="75" t="s">
        <v>6</v>
      </c>
      <c r="G1732" s="75" t="s">
        <v>5</v>
      </c>
      <c r="H1732" s="75">
        <v>100</v>
      </c>
      <c r="I1732" s="75">
        <v>500</v>
      </c>
      <c r="J1732" s="75" t="s">
        <v>10</v>
      </c>
      <c r="K1732" s="75">
        <v>5800.1</v>
      </c>
      <c r="L1732" s="75">
        <v>530.77</v>
      </c>
      <c r="M1732" s="75">
        <v>5800.1</v>
      </c>
      <c r="N1732" s="75">
        <v>529.12</v>
      </c>
      <c r="O1732" s="90" t="str">
        <f>IF(VLOOKUP(UncLookup[[#This Row],[Item]],Items!$A$1:$F$43,2,FALSE)=0,"",VLOOKUP(UncLookup[[#This Row],[Item]],Items!$A$1:$F$43,2,FALSE))</f>
        <v/>
      </c>
      <c r="P1732" s="90" t="str">
        <f>IF(VLOOKUP(UncLookup[[#This Row],[Item]],Items!$A$1:$F$43,3,FALSE)=0,"",VLOOKUP(UncLookup[[#This Row],[Item]],Items!$A$1:$F$43,3,FALSE))</f>
        <v/>
      </c>
      <c r="Q1732" s="90" t="str">
        <f>IF(VLOOKUP(UncLookup[[#This Row],[Item]],Items!$A$1:$F$43,4,FALSE)=0,"",VLOOKUP(UncLookup[[#This Row],[Item]],Items!$A$1:$F$43,4,FALSE))</f>
        <v/>
      </c>
    </row>
    <row r="1733" spans="1:17" x14ac:dyDescent="0.25">
      <c r="A1733" s="76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90" t="str">
        <f>IF(VLOOKUP(UncLookup[[#This Row],[Item]],Items!$A$1:$F$43,2,FALSE)=0,"",VLOOKUP(UncLookup[[#This Row],[Item]],Items!$A$1:$F$43,2,FALSE))</f>
        <v/>
      </c>
      <c r="P1733" s="90" t="str">
        <f>IF(VLOOKUP(UncLookup[[#This Row],[Item]],Items!$A$1:$F$43,3,FALSE)=0,"",VLOOKUP(UncLookup[[#This Row],[Item]],Items!$A$1:$F$43,3,FALSE))</f>
        <v/>
      </c>
      <c r="Q1733" s="90" t="str">
        <f>IF(VLOOKUP(UncLookup[[#This Row],[Item]],Items!$A$1:$F$43,4,FALSE)=0,"",VLOOKUP(UncLookup[[#This Row],[Item]],Items!$A$1:$F$43,4,FALSE))</f>
        <v/>
      </c>
    </row>
    <row r="1734" spans="1:17" x14ac:dyDescent="0.25">
      <c r="A1734" s="75" t="s">
        <v>55</v>
      </c>
      <c r="B1734" s="75" t="s">
        <v>8</v>
      </c>
      <c r="C1734" s="75">
        <v>0</v>
      </c>
      <c r="D1734" s="75">
        <v>3.3009999999999998E-2</v>
      </c>
      <c r="E1734" s="75">
        <v>0.1</v>
      </c>
      <c r="F1734" s="75" t="s">
        <v>6</v>
      </c>
      <c r="G1734" s="75" t="s">
        <v>5</v>
      </c>
      <c r="H1734" s="75">
        <v>0.01</v>
      </c>
      <c r="I1734" s="75">
        <v>4.5010000000000001E-2</v>
      </c>
      <c r="J1734" s="75" t="s">
        <v>10</v>
      </c>
      <c r="K1734" s="75">
        <v>58000</v>
      </c>
      <c r="L1734" s="75">
        <v>1.7665</v>
      </c>
      <c r="M1734" s="75">
        <v>58000</v>
      </c>
      <c r="N1734" s="75">
        <v>1.5714999999999999</v>
      </c>
      <c r="O1734" s="90" t="str">
        <f>IF(VLOOKUP(UncLookup[[#This Row],[Item]],Items!$A$1:$F$43,2,FALSE)=0,"",VLOOKUP(UncLookup[[#This Row],[Item]],Items!$A$1:$F$43,2,FALSE))</f>
        <v/>
      </c>
      <c r="P1734" s="90" t="str">
        <f>IF(VLOOKUP(UncLookup[[#This Row],[Item]],Items!$A$1:$F$43,3,FALSE)=0,"",VLOOKUP(UncLookup[[#This Row],[Item]],Items!$A$1:$F$43,3,FALSE))</f>
        <v/>
      </c>
      <c r="Q1734" s="90" t="str">
        <f>IF(VLOOKUP(UncLookup[[#This Row],[Item]],Items!$A$1:$F$43,4,FALSE)=0,"",VLOOKUP(UncLookup[[#This Row],[Item]],Items!$A$1:$F$43,4,FALSE))</f>
        <v/>
      </c>
    </row>
    <row r="1735" spans="1:17" x14ac:dyDescent="0.25">
      <c r="A1735" s="76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90" t="str">
        <f>IF(VLOOKUP(UncLookup[[#This Row],[Item]],Items!$A$1:$F$43,2,FALSE)=0,"",VLOOKUP(UncLookup[[#This Row],[Item]],Items!$A$1:$F$43,2,FALSE))</f>
        <v/>
      </c>
      <c r="P1735" s="90" t="str">
        <f>IF(VLOOKUP(UncLookup[[#This Row],[Item]],Items!$A$1:$F$43,3,FALSE)=0,"",VLOOKUP(UncLookup[[#This Row],[Item]],Items!$A$1:$F$43,3,FALSE))</f>
        <v/>
      </c>
      <c r="Q1735" s="90" t="str">
        <f>IF(VLOOKUP(UncLookup[[#This Row],[Item]],Items!$A$1:$F$43,4,FALSE)=0,"",VLOOKUP(UncLookup[[#This Row],[Item]],Items!$A$1:$F$43,4,FALSE))</f>
        <v/>
      </c>
    </row>
    <row r="1736" spans="1:17" x14ac:dyDescent="0.25">
      <c r="A1736" s="75" t="s">
        <v>55</v>
      </c>
      <c r="B1736" s="75" t="s">
        <v>8</v>
      </c>
      <c r="C1736" s="75">
        <v>0</v>
      </c>
      <c r="D1736" s="75">
        <v>3.3009999999999998E-2</v>
      </c>
      <c r="E1736" s="75">
        <v>0.1</v>
      </c>
      <c r="F1736" s="75" t="s">
        <v>6</v>
      </c>
      <c r="G1736" s="75" t="s">
        <v>5</v>
      </c>
      <c r="H1736" s="75">
        <v>500</v>
      </c>
      <c r="I1736" s="75">
        <v>501</v>
      </c>
      <c r="J1736" s="75" t="s">
        <v>10</v>
      </c>
      <c r="K1736" s="75">
        <v>58000</v>
      </c>
      <c r="L1736" s="75">
        <v>53.658999999999999</v>
      </c>
      <c r="M1736" s="75">
        <v>58000</v>
      </c>
      <c r="N1736" s="75">
        <v>52.994</v>
      </c>
      <c r="O1736" s="90" t="str">
        <f>IF(VLOOKUP(UncLookup[[#This Row],[Item]],Items!$A$1:$F$43,2,FALSE)=0,"",VLOOKUP(UncLookup[[#This Row],[Item]],Items!$A$1:$F$43,2,FALSE))</f>
        <v/>
      </c>
      <c r="P1736" s="90" t="str">
        <f>IF(VLOOKUP(UncLookup[[#This Row],[Item]],Items!$A$1:$F$43,3,FALSE)=0,"",VLOOKUP(UncLookup[[#This Row],[Item]],Items!$A$1:$F$43,3,FALSE))</f>
        <v/>
      </c>
      <c r="Q1736" s="90" t="str">
        <f>IF(VLOOKUP(UncLookup[[#This Row],[Item]],Items!$A$1:$F$43,4,FALSE)=0,"",VLOOKUP(UncLookup[[#This Row],[Item]],Items!$A$1:$F$43,4,FALSE))</f>
        <v/>
      </c>
    </row>
    <row r="1737" spans="1:17" x14ac:dyDescent="0.25">
      <c r="A1737" s="76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90" t="str">
        <f>IF(VLOOKUP(UncLookup[[#This Row],[Item]],Items!$A$1:$F$43,2,FALSE)=0,"",VLOOKUP(UncLookup[[#This Row],[Item]],Items!$A$1:$F$43,2,FALSE))</f>
        <v/>
      </c>
      <c r="P1737" s="90" t="str">
        <f>IF(VLOOKUP(UncLookup[[#This Row],[Item]],Items!$A$1:$F$43,3,FALSE)=0,"",VLOOKUP(UncLookup[[#This Row],[Item]],Items!$A$1:$F$43,3,FALSE))</f>
        <v/>
      </c>
      <c r="Q1737" s="90" t="str">
        <f>IF(VLOOKUP(UncLookup[[#This Row],[Item]],Items!$A$1:$F$43,4,FALSE)=0,"",VLOOKUP(UncLookup[[#This Row],[Item]],Items!$A$1:$F$43,4,FALSE))</f>
        <v/>
      </c>
    </row>
    <row r="1738" spans="1:17" x14ac:dyDescent="0.25">
      <c r="A1738" s="75" t="s">
        <v>55</v>
      </c>
      <c r="B1738" s="75" t="s">
        <v>8</v>
      </c>
      <c r="C1738" s="75">
        <v>0</v>
      </c>
      <c r="D1738" s="75">
        <v>3.3009999999999998E-2</v>
      </c>
      <c r="E1738" s="75">
        <v>0.1</v>
      </c>
      <c r="F1738" s="75" t="s">
        <v>6</v>
      </c>
      <c r="G1738" s="75" t="s">
        <v>5</v>
      </c>
      <c r="H1738" s="75">
        <v>4.4999999999999998E-2</v>
      </c>
      <c r="I1738" s="75">
        <v>10.00001</v>
      </c>
      <c r="J1738" s="75" t="s">
        <v>10</v>
      </c>
      <c r="K1738" s="75">
        <v>58000</v>
      </c>
      <c r="L1738" s="75">
        <v>1.0481</v>
      </c>
      <c r="M1738" s="75">
        <v>58000</v>
      </c>
      <c r="N1738" s="75">
        <v>0.85309999999999997</v>
      </c>
      <c r="O1738" s="90" t="str">
        <f>IF(VLOOKUP(UncLookup[[#This Row],[Item]],Items!$A$1:$F$43,2,FALSE)=0,"",VLOOKUP(UncLookup[[#This Row],[Item]],Items!$A$1:$F$43,2,FALSE))</f>
        <v/>
      </c>
      <c r="P1738" s="90" t="str">
        <f>IF(VLOOKUP(UncLookup[[#This Row],[Item]],Items!$A$1:$F$43,3,FALSE)=0,"",VLOOKUP(UncLookup[[#This Row],[Item]],Items!$A$1:$F$43,3,FALSE))</f>
        <v/>
      </c>
      <c r="Q1738" s="90" t="str">
        <f>IF(VLOOKUP(UncLookup[[#This Row],[Item]],Items!$A$1:$F$43,4,FALSE)=0,"",VLOOKUP(UncLookup[[#This Row],[Item]],Items!$A$1:$F$43,4,FALSE))</f>
        <v/>
      </c>
    </row>
    <row r="1739" spans="1:17" x14ac:dyDescent="0.25">
      <c r="A1739" s="76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90" t="str">
        <f>IF(VLOOKUP(UncLookup[[#This Row],[Item]],Items!$A$1:$F$43,2,FALSE)=0,"",VLOOKUP(UncLookup[[#This Row],[Item]],Items!$A$1:$F$43,2,FALSE))</f>
        <v/>
      </c>
      <c r="P1739" s="90" t="str">
        <f>IF(VLOOKUP(UncLookup[[#This Row],[Item]],Items!$A$1:$F$43,3,FALSE)=0,"",VLOOKUP(UncLookup[[#This Row],[Item]],Items!$A$1:$F$43,3,FALSE))</f>
        <v/>
      </c>
      <c r="Q1739" s="90" t="str">
        <f>IF(VLOOKUP(UncLookup[[#This Row],[Item]],Items!$A$1:$F$43,4,FALSE)=0,"",VLOOKUP(UncLookup[[#This Row],[Item]],Items!$A$1:$F$43,4,FALSE))</f>
        <v/>
      </c>
    </row>
    <row r="1740" spans="1:17" x14ac:dyDescent="0.25">
      <c r="A1740" s="75" t="s">
        <v>55</v>
      </c>
      <c r="B1740" s="75" t="s">
        <v>8</v>
      </c>
      <c r="C1740" s="75">
        <v>0</v>
      </c>
      <c r="D1740" s="75">
        <v>3.3009999999999998E-2</v>
      </c>
      <c r="E1740" s="75">
        <v>1</v>
      </c>
      <c r="F1740" s="75" t="s">
        <v>6</v>
      </c>
      <c r="G1740" s="75" t="s">
        <v>5</v>
      </c>
      <c r="H1740" s="75">
        <v>10</v>
      </c>
      <c r="I1740" s="75">
        <v>20.010000000000002</v>
      </c>
      <c r="J1740" s="75" t="s">
        <v>10</v>
      </c>
      <c r="K1740" s="75">
        <v>580000</v>
      </c>
      <c r="L1740" s="75">
        <v>0.23513999999999999</v>
      </c>
      <c r="M1740" s="75">
        <v>580000</v>
      </c>
      <c r="N1740" s="75">
        <v>0.15715000000000001</v>
      </c>
      <c r="O1740" s="90" t="str">
        <f>IF(VLOOKUP(UncLookup[[#This Row],[Item]],Items!$A$1:$F$43,2,FALSE)=0,"",VLOOKUP(UncLookup[[#This Row],[Item]],Items!$A$1:$F$43,2,FALSE))</f>
        <v/>
      </c>
      <c r="P1740" s="90" t="str">
        <f>IF(VLOOKUP(UncLookup[[#This Row],[Item]],Items!$A$1:$F$43,3,FALSE)=0,"",VLOOKUP(UncLookup[[#This Row],[Item]],Items!$A$1:$F$43,3,FALSE))</f>
        <v/>
      </c>
      <c r="Q1740" s="90" t="str">
        <f>IF(VLOOKUP(UncLookup[[#This Row],[Item]],Items!$A$1:$F$43,4,FALSE)=0,"",VLOOKUP(UncLookup[[#This Row],[Item]],Items!$A$1:$F$43,4,FALSE))</f>
        <v/>
      </c>
    </row>
    <row r="1741" spans="1:17" x14ac:dyDescent="0.25">
      <c r="A1741" s="76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90" t="str">
        <f>IF(VLOOKUP(UncLookup[[#This Row],[Item]],Items!$A$1:$F$43,2,FALSE)=0,"",VLOOKUP(UncLookup[[#This Row],[Item]],Items!$A$1:$F$43,2,FALSE))</f>
        <v/>
      </c>
      <c r="P1741" s="90" t="str">
        <f>IF(VLOOKUP(UncLookup[[#This Row],[Item]],Items!$A$1:$F$43,3,FALSE)=0,"",VLOOKUP(UncLookup[[#This Row],[Item]],Items!$A$1:$F$43,3,FALSE))</f>
        <v/>
      </c>
      <c r="Q1741" s="90" t="str">
        <f>IF(VLOOKUP(UncLookup[[#This Row],[Item]],Items!$A$1:$F$43,4,FALSE)=0,"",VLOOKUP(UncLookup[[#This Row],[Item]],Items!$A$1:$F$43,4,FALSE))</f>
        <v/>
      </c>
    </row>
    <row r="1742" spans="1:17" x14ac:dyDescent="0.25">
      <c r="A1742" s="75" t="s">
        <v>55</v>
      </c>
      <c r="B1742" s="75" t="s">
        <v>8</v>
      </c>
      <c r="C1742" s="75">
        <v>0</v>
      </c>
      <c r="D1742" s="75">
        <v>3.3009999999999998E-2</v>
      </c>
      <c r="E1742" s="75">
        <v>1</v>
      </c>
      <c r="F1742" s="75" t="s">
        <v>6</v>
      </c>
      <c r="G1742" s="75" t="s">
        <v>5</v>
      </c>
      <c r="H1742" s="75">
        <v>500</v>
      </c>
      <c r="I1742" s="75">
        <v>501</v>
      </c>
      <c r="J1742" s="75" t="s">
        <v>10</v>
      </c>
      <c r="K1742" s="75">
        <v>580000</v>
      </c>
      <c r="L1742" s="75">
        <v>5.5656999999999996</v>
      </c>
      <c r="M1742" s="75">
        <v>580000</v>
      </c>
      <c r="N1742" s="75">
        <v>5.2995000000000001</v>
      </c>
      <c r="O1742" s="90" t="str">
        <f>IF(VLOOKUP(UncLookup[[#This Row],[Item]],Items!$A$1:$F$43,2,FALSE)=0,"",VLOOKUP(UncLookup[[#This Row],[Item]],Items!$A$1:$F$43,2,FALSE))</f>
        <v/>
      </c>
      <c r="P1742" s="90" t="str">
        <f>IF(VLOOKUP(UncLookup[[#This Row],[Item]],Items!$A$1:$F$43,3,FALSE)=0,"",VLOOKUP(UncLookup[[#This Row],[Item]],Items!$A$1:$F$43,3,FALSE))</f>
        <v/>
      </c>
      <c r="Q1742" s="90" t="str">
        <f>IF(VLOOKUP(UncLookup[[#This Row],[Item]],Items!$A$1:$F$43,4,FALSE)=0,"",VLOOKUP(UncLookup[[#This Row],[Item]],Items!$A$1:$F$43,4,FALSE))</f>
        <v/>
      </c>
    </row>
    <row r="1743" spans="1:17" x14ac:dyDescent="0.25">
      <c r="A1743" s="76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90" t="str">
        <f>IF(VLOOKUP(UncLookup[[#This Row],[Item]],Items!$A$1:$F$43,2,FALSE)=0,"",VLOOKUP(UncLookup[[#This Row],[Item]],Items!$A$1:$F$43,2,FALSE))</f>
        <v/>
      </c>
      <c r="P1743" s="90" t="str">
        <f>IF(VLOOKUP(UncLookup[[#This Row],[Item]],Items!$A$1:$F$43,3,FALSE)=0,"",VLOOKUP(UncLookup[[#This Row],[Item]],Items!$A$1:$F$43,3,FALSE))</f>
        <v/>
      </c>
      <c r="Q1743" s="90" t="str">
        <f>IF(VLOOKUP(UncLookup[[#This Row],[Item]],Items!$A$1:$F$43,4,FALSE)=0,"",VLOOKUP(UncLookup[[#This Row],[Item]],Items!$A$1:$F$43,4,FALSE))</f>
        <v/>
      </c>
    </row>
    <row r="1744" spans="1:17" x14ac:dyDescent="0.25">
      <c r="A1744" s="75" t="s">
        <v>55</v>
      </c>
      <c r="B1744" s="75" t="s">
        <v>8</v>
      </c>
      <c r="C1744" s="75">
        <v>0</v>
      </c>
      <c r="D1744" s="75">
        <v>3.3009999999999998E-2</v>
      </c>
      <c r="E1744" s="75">
        <v>1</v>
      </c>
      <c r="F1744" s="75" t="s">
        <v>6</v>
      </c>
      <c r="G1744" s="75" t="s">
        <v>5</v>
      </c>
      <c r="H1744" s="75">
        <v>50</v>
      </c>
      <c r="I1744" s="75">
        <v>100.01</v>
      </c>
      <c r="J1744" s="75" t="s">
        <v>10</v>
      </c>
      <c r="K1744" s="75">
        <v>580000</v>
      </c>
      <c r="L1744" s="75">
        <v>0.86197000000000001</v>
      </c>
      <c r="M1744" s="75">
        <v>580000</v>
      </c>
      <c r="N1744" s="75">
        <v>0.74565999999999999</v>
      </c>
      <c r="O1744" s="90" t="str">
        <f>IF(VLOOKUP(UncLookup[[#This Row],[Item]],Items!$A$1:$F$43,2,FALSE)=0,"",VLOOKUP(UncLookup[[#This Row],[Item]],Items!$A$1:$F$43,2,FALSE))</f>
        <v/>
      </c>
      <c r="P1744" s="90" t="str">
        <f>IF(VLOOKUP(UncLookup[[#This Row],[Item]],Items!$A$1:$F$43,3,FALSE)=0,"",VLOOKUP(UncLookup[[#This Row],[Item]],Items!$A$1:$F$43,3,FALSE))</f>
        <v/>
      </c>
      <c r="Q1744" s="90" t="str">
        <f>IF(VLOOKUP(UncLookup[[#This Row],[Item]],Items!$A$1:$F$43,4,FALSE)=0,"",VLOOKUP(UncLookup[[#This Row],[Item]],Items!$A$1:$F$43,4,FALSE))</f>
        <v/>
      </c>
    </row>
    <row r="1745" spans="1:17" x14ac:dyDescent="0.25">
      <c r="A1745" s="76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90" t="str">
        <f>IF(VLOOKUP(UncLookup[[#This Row],[Item]],Items!$A$1:$F$43,2,FALSE)=0,"",VLOOKUP(UncLookup[[#This Row],[Item]],Items!$A$1:$F$43,2,FALSE))</f>
        <v/>
      </c>
      <c r="P1745" s="90" t="str">
        <f>IF(VLOOKUP(UncLookup[[#This Row],[Item]],Items!$A$1:$F$43,3,FALSE)=0,"",VLOOKUP(UncLookup[[#This Row],[Item]],Items!$A$1:$F$43,3,FALSE))</f>
        <v/>
      </c>
      <c r="Q1745" s="90" t="str">
        <f>IF(VLOOKUP(UncLookup[[#This Row],[Item]],Items!$A$1:$F$43,4,FALSE)=0,"",VLOOKUP(UncLookup[[#This Row],[Item]],Items!$A$1:$F$43,4,FALSE))</f>
        <v/>
      </c>
    </row>
    <row r="1746" spans="1:17" x14ac:dyDescent="0.25">
      <c r="A1746" s="75" t="s">
        <v>55</v>
      </c>
      <c r="B1746" s="75" t="s">
        <v>8</v>
      </c>
      <c r="C1746" s="75">
        <v>0</v>
      </c>
      <c r="D1746" s="75">
        <v>3.3009999999999998E-2</v>
      </c>
      <c r="E1746" s="75">
        <v>1</v>
      </c>
      <c r="F1746" s="75" t="s">
        <v>6</v>
      </c>
      <c r="G1746" s="75" t="s">
        <v>5</v>
      </c>
      <c r="H1746" s="75">
        <v>20</v>
      </c>
      <c r="I1746" s="75">
        <v>50.01</v>
      </c>
      <c r="J1746" s="75" t="s">
        <v>10</v>
      </c>
      <c r="K1746" s="75">
        <v>580000</v>
      </c>
      <c r="L1746" s="75">
        <v>0.32665</v>
      </c>
      <c r="M1746" s="75">
        <v>580000</v>
      </c>
      <c r="N1746" s="75">
        <v>0.24865999999999999</v>
      </c>
      <c r="O1746" s="90" t="str">
        <f>IF(VLOOKUP(UncLookup[[#This Row],[Item]],Items!$A$1:$F$43,2,FALSE)=0,"",VLOOKUP(UncLookup[[#This Row],[Item]],Items!$A$1:$F$43,2,FALSE))</f>
        <v/>
      </c>
      <c r="P1746" s="90" t="str">
        <f>IF(VLOOKUP(UncLookup[[#This Row],[Item]],Items!$A$1:$F$43,3,FALSE)=0,"",VLOOKUP(UncLookup[[#This Row],[Item]],Items!$A$1:$F$43,3,FALSE))</f>
        <v/>
      </c>
      <c r="Q1746" s="90" t="str">
        <f>IF(VLOOKUP(UncLookup[[#This Row],[Item]],Items!$A$1:$F$43,4,FALSE)=0,"",VLOOKUP(UncLookup[[#This Row],[Item]],Items!$A$1:$F$43,4,FALSE))</f>
        <v/>
      </c>
    </row>
    <row r="1747" spans="1:17" x14ac:dyDescent="0.25">
      <c r="A1747" s="76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90" t="str">
        <f>IF(VLOOKUP(UncLookup[[#This Row],[Item]],Items!$A$1:$F$43,2,FALSE)=0,"",VLOOKUP(UncLookup[[#This Row],[Item]],Items!$A$1:$F$43,2,FALSE))</f>
        <v/>
      </c>
      <c r="P1747" s="90" t="str">
        <f>IF(VLOOKUP(UncLookup[[#This Row],[Item]],Items!$A$1:$F$43,3,FALSE)=0,"",VLOOKUP(UncLookup[[#This Row],[Item]],Items!$A$1:$F$43,3,FALSE))</f>
        <v/>
      </c>
      <c r="Q1747" s="90" t="str">
        <f>IF(VLOOKUP(UncLookup[[#This Row],[Item]],Items!$A$1:$F$43,4,FALSE)=0,"",VLOOKUP(UncLookup[[#This Row],[Item]],Items!$A$1:$F$43,4,FALSE))</f>
        <v/>
      </c>
    </row>
    <row r="1748" spans="1:17" x14ac:dyDescent="0.25">
      <c r="A1748" s="75" t="s">
        <v>55</v>
      </c>
      <c r="B1748" s="75" t="s">
        <v>8</v>
      </c>
      <c r="C1748" s="75">
        <v>0</v>
      </c>
      <c r="D1748" s="75">
        <v>3.3009999999999998E-2</v>
      </c>
      <c r="E1748" s="75">
        <v>10</v>
      </c>
      <c r="F1748" s="75" t="s">
        <v>6</v>
      </c>
      <c r="G1748" s="75" t="s">
        <v>5</v>
      </c>
      <c r="H1748" s="75">
        <v>100</v>
      </c>
      <c r="I1748" s="75">
        <v>500.01</v>
      </c>
      <c r="J1748" s="75" t="s">
        <v>10</v>
      </c>
      <c r="K1748" s="75">
        <v>5800000</v>
      </c>
      <c r="L1748" s="75">
        <v>0.63641999999999999</v>
      </c>
      <c r="M1748" s="75">
        <v>5800000</v>
      </c>
      <c r="N1748" s="75">
        <v>0.52995000000000003</v>
      </c>
      <c r="O1748" s="90" t="str">
        <f>IF(VLOOKUP(UncLookup[[#This Row],[Item]],Items!$A$1:$F$43,2,FALSE)=0,"",VLOOKUP(UncLookup[[#This Row],[Item]],Items!$A$1:$F$43,2,FALSE))</f>
        <v/>
      </c>
      <c r="P1748" s="90" t="str">
        <f>IF(VLOOKUP(UncLookup[[#This Row],[Item]],Items!$A$1:$F$43,3,FALSE)=0,"",VLOOKUP(UncLookup[[#This Row],[Item]],Items!$A$1:$F$43,3,FALSE))</f>
        <v/>
      </c>
      <c r="Q1748" s="90" t="str">
        <f>IF(VLOOKUP(UncLookup[[#This Row],[Item]],Items!$A$1:$F$43,4,FALSE)=0,"",VLOOKUP(UncLookup[[#This Row],[Item]],Items!$A$1:$F$43,4,FALSE))</f>
        <v/>
      </c>
    </row>
    <row r="1749" spans="1:17" x14ac:dyDescent="0.25">
      <c r="A1749" s="76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90" t="str">
        <f>IF(VLOOKUP(UncLookup[[#This Row],[Item]],Items!$A$1:$F$43,2,FALSE)=0,"",VLOOKUP(UncLookup[[#This Row],[Item]],Items!$A$1:$F$43,2,FALSE))</f>
        <v/>
      </c>
      <c r="P1749" s="90" t="str">
        <f>IF(VLOOKUP(UncLookup[[#This Row],[Item]],Items!$A$1:$F$43,3,FALSE)=0,"",VLOOKUP(UncLookup[[#This Row],[Item]],Items!$A$1:$F$43,3,FALSE))</f>
        <v/>
      </c>
      <c r="Q1749" s="90" t="str">
        <f>IF(VLOOKUP(UncLookup[[#This Row],[Item]],Items!$A$1:$F$43,4,FALSE)=0,"",VLOOKUP(UncLookup[[#This Row],[Item]],Items!$A$1:$F$43,4,FALSE))</f>
        <v/>
      </c>
    </row>
    <row r="1750" spans="1:17" x14ac:dyDescent="0.25">
      <c r="A1750" s="75" t="s">
        <v>55</v>
      </c>
      <c r="B1750" s="75" t="s">
        <v>8</v>
      </c>
      <c r="C1750" s="75">
        <v>0</v>
      </c>
      <c r="D1750" s="75">
        <v>3.3009999999999998E-2</v>
      </c>
      <c r="E1750" s="75">
        <v>10</v>
      </c>
      <c r="F1750" s="75" t="s">
        <v>6</v>
      </c>
      <c r="G1750" s="75" t="s">
        <v>5</v>
      </c>
      <c r="H1750" s="75">
        <v>4.4999999999999998E-2</v>
      </c>
      <c r="I1750" s="75">
        <v>10.00001</v>
      </c>
      <c r="J1750" s="75" t="s">
        <v>10</v>
      </c>
      <c r="K1750" s="75">
        <v>5800000</v>
      </c>
      <c r="L1750" s="75">
        <v>3.9727999999999999E-2</v>
      </c>
      <c r="M1750" s="75">
        <v>5800000</v>
      </c>
      <c r="N1750" s="75">
        <v>8.5310000000000004E-3</v>
      </c>
      <c r="O1750" s="90" t="str">
        <f>IF(VLOOKUP(UncLookup[[#This Row],[Item]],Items!$A$1:$F$43,2,FALSE)=0,"",VLOOKUP(UncLookup[[#This Row],[Item]],Items!$A$1:$F$43,2,FALSE))</f>
        <v/>
      </c>
      <c r="P1750" s="90" t="str">
        <f>IF(VLOOKUP(UncLookup[[#This Row],[Item]],Items!$A$1:$F$43,3,FALSE)=0,"",VLOOKUP(UncLookup[[#This Row],[Item]],Items!$A$1:$F$43,3,FALSE))</f>
        <v/>
      </c>
      <c r="Q1750" s="90" t="str">
        <f>IF(VLOOKUP(UncLookup[[#This Row],[Item]],Items!$A$1:$F$43,4,FALSE)=0,"",VLOOKUP(UncLookup[[#This Row],[Item]],Items!$A$1:$F$43,4,FALSE))</f>
        <v/>
      </c>
    </row>
    <row r="1751" spans="1:17" x14ac:dyDescent="0.25">
      <c r="A1751" s="76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90" t="str">
        <f>IF(VLOOKUP(UncLookup[[#This Row],[Item]],Items!$A$1:$F$43,2,FALSE)=0,"",VLOOKUP(UncLookup[[#This Row],[Item]],Items!$A$1:$F$43,2,FALSE))</f>
        <v/>
      </c>
      <c r="P1751" s="90" t="str">
        <f>IF(VLOOKUP(UncLookup[[#This Row],[Item]],Items!$A$1:$F$43,3,FALSE)=0,"",VLOOKUP(UncLookup[[#This Row],[Item]],Items!$A$1:$F$43,3,FALSE))</f>
        <v/>
      </c>
      <c r="Q1751" s="90" t="str">
        <f>IF(VLOOKUP(UncLookup[[#This Row],[Item]],Items!$A$1:$F$43,4,FALSE)=0,"",VLOOKUP(UncLookup[[#This Row],[Item]],Items!$A$1:$F$43,4,FALSE))</f>
        <v/>
      </c>
    </row>
    <row r="1752" spans="1:17" x14ac:dyDescent="0.25">
      <c r="A1752" s="75" t="s">
        <v>55</v>
      </c>
      <c r="B1752" s="75" t="s">
        <v>8</v>
      </c>
      <c r="C1752" s="75">
        <v>0</v>
      </c>
      <c r="D1752" s="75">
        <v>3.3009999999999998E-2</v>
      </c>
      <c r="E1752" s="75">
        <v>10</v>
      </c>
      <c r="F1752" s="75" t="s">
        <v>6</v>
      </c>
      <c r="G1752" s="75" t="s">
        <v>5</v>
      </c>
      <c r="H1752" s="75">
        <v>0.01</v>
      </c>
      <c r="I1752" s="75">
        <v>4.5010000000000001E-2</v>
      </c>
      <c r="J1752" s="75" t="s">
        <v>10</v>
      </c>
      <c r="K1752" s="75">
        <v>5800000</v>
      </c>
      <c r="L1752" s="75">
        <v>4.6912000000000002E-2</v>
      </c>
      <c r="M1752" s="75">
        <v>5800000</v>
      </c>
      <c r="N1752" s="75">
        <v>1.5715E-2</v>
      </c>
      <c r="O1752" s="90" t="str">
        <f>IF(VLOOKUP(UncLookup[[#This Row],[Item]],Items!$A$1:$F$43,2,FALSE)=0,"",VLOOKUP(UncLookup[[#This Row],[Item]],Items!$A$1:$F$43,2,FALSE))</f>
        <v/>
      </c>
      <c r="P1752" s="90" t="str">
        <f>IF(VLOOKUP(UncLookup[[#This Row],[Item]],Items!$A$1:$F$43,3,FALSE)=0,"",VLOOKUP(UncLookup[[#This Row],[Item]],Items!$A$1:$F$43,3,FALSE))</f>
        <v/>
      </c>
      <c r="Q1752" s="90" t="str">
        <f>IF(VLOOKUP(UncLookup[[#This Row],[Item]],Items!$A$1:$F$43,4,FALSE)=0,"",VLOOKUP(UncLookup[[#This Row],[Item]],Items!$A$1:$F$43,4,FALSE))</f>
        <v/>
      </c>
    </row>
    <row r="1753" spans="1:17" x14ac:dyDescent="0.25">
      <c r="A1753" s="76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90" t="str">
        <f>IF(VLOOKUP(UncLookup[[#This Row],[Item]],Items!$A$1:$F$43,2,FALSE)=0,"",VLOOKUP(UncLookup[[#This Row],[Item]],Items!$A$1:$F$43,2,FALSE))</f>
        <v/>
      </c>
      <c r="P1753" s="90" t="str">
        <f>IF(VLOOKUP(UncLookup[[#This Row],[Item]],Items!$A$1:$F$43,3,FALSE)=0,"",VLOOKUP(UncLookup[[#This Row],[Item]],Items!$A$1:$F$43,3,FALSE))</f>
        <v/>
      </c>
      <c r="Q1753" s="90" t="str">
        <f>IF(VLOOKUP(UncLookup[[#This Row],[Item]],Items!$A$1:$F$43,4,FALSE)=0,"",VLOOKUP(UncLookup[[#This Row],[Item]],Items!$A$1:$F$43,4,FALSE))</f>
        <v/>
      </c>
    </row>
    <row r="1754" spans="1:17" x14ac:dyDescent="0.25">
      <c r="A1754" s="75" t="s">
        <v>55</v>
      </c>
      <c r="B1754" s="75" t="s">
        <v>8</v>
      </c>
      <c r="C1754" s="75">
        <v>3.3000000000000002E-2</v>
      </c>
      <c r="D1754" s="75">
        <v>0.33001000000000003</v>
      </c>
      <c r="E1754" s="75">
        <v>9.9999999999999995E-7</v>
      </c>
      <c r="F1754" s="75" t="s">
        <v>6</v>
      </c>
      <c r="G1754" s="75" t="s">
        <v>5</v>
      </c>
      <c r="H1754" s="75">
        <v>4.4999999999999998E-2</v>
      </c>
      <c r="I1754" s="75">
        <v>10.00001</v>
      </c>
      <c r="J1754" s="75" t="s">
        <v>10</v>
      </c>
      <c r="K1754" s="75">
        <v>24</v>
      </c>
      <c r="L1754" s="75">
        <v>350</v>
      </c>
      <c r="M1754" s="75">
        <v>23.254000000000001</v>
      </c>
      <c r="N1754" s="75">
        <v>347.52</v>
      </c>
      <c r="O1754" s="90" t="str">
        <f>IF(VLOOKUP(UncLookup[[#This Row],[Item]],Items!$A$1:$F$43,2,FALSE)=0,"",VLOOKUP(UncLookup[[#This Row],[Item]],Items!$A$1:$F$43,2,FALSE))</f>
        <v/>
      </c>
      <c r="P1754" s="90" t="str">
        <f>IF(VLOOKUP(UncLookup[[#This Row],[Item]],Items!$A$1:$F$43,3,FALSE)=0,"",VLOOKUP(UncLookup[[#This Row],[Item]],Items!$A$1:$F$43,3,FALSE))</f>
        <v/>
      </c>
      <c r="Q1754" s="90" t="str">
        <f>IF(VLOOKUP(UncLookup[[#This Row],[Item]],Items!$A$1:$F$43,4,FALSE)=0,"",VLOOKUP(UncLookup[[#This Row],[Item]],Items!$A$1:$F$43,4,FALSE))</f>
        <v/>
      </c>
    </row>
    <row r="1755" spans="1:17" x14ac:dyDescent="0.25">
      <c r="A1755" s="76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90" t="str">
        <f>IF(VLOOKUP(UncLookup[[#This Row],[Item]],Items!$A$1:$F$43,2,FALSE)=0,"",VLOOKUP(UncLookup[[#This Row],[Item]],Items!$A$1:$F$43,2,FALSE))</f>
        <v/>
      </c>
      <c r="P1755" s="90" t="str">
        <f>IF(VLOOKUP(UncLookup[[#This Row],[Item]],Items!$A$1:$F$43,3,FALSE)=0,"",VLOOKUP(UncLookup[[#This Row],[Item]],Items!$A$1:$F$43,3,FALSE))</f>
        <v/>
      </c>
      <c r="Q1755" s="90" t="str">
        <f>IF(VLOOKUP(UncLookup[[#This Row],[Item]],Items!$A$1:$F$43,4,FALSE)=0,"",VLOOKUP(UncLookup[[#This Row],[Item]],Items!$A$1:$F$43,4,FALSE))</f>
        <v/>
      </c>
    </row>
    <row r="1756" spans="1:17" x14ac:dyDescent="0.25">
      <c r="A1756" s="75" t="s">
        <v>55</v>
      </c>
      <c r="B1756" s="75" t="s">
        <v>8</v>
      </c>
      <c r="C1756" s="75">
        <v>3.3000000000000002E-2</v>
      </c>
      <c r="D1756" s="75">
        <v>0.33001000000000003</v>
      </c>
      <c r="E1756" s="75">
        <v>9.9999999999999995E-7</v>
      </c>
      <c r="F1756" s="75" t="s">
        <v>6</v>
      </c>
      <c r="G1756" s="75" t="s">
        <v>5</v>
      </c>
      <c r="H1756" s="75">
        <v>100</v>
      </c>
      <c r="I1756" s="75">
        <v>500</v>
      </c>
      <c r="J1756" s="75" t="s">
        <v>10</v>
      </c>
      <c r="K1756" s="75">
        <v>390</v>
      </c>
      <c r="L1756" s="75">
        <v>5800</v>
      </c>
      <c r="M1756" s="75">
        <v>381.75</v>
      </c>
      <c r="N1756" s="75">
        <v>5779.4</v>
      </c>
      <c r="O1756" s="90" t="str">
        <f>IF(VLOOKUP(UncLookup[[#This Row],[Item]],Items!$A$1:$F$43,2,FALSE)=0,"",VLOOKUP(UncLookup[[#This Row],[Item]],Items!$A$1:$F$43,2,FALSE))</f>
        <v/>
      </c>
      <c r="P1756" s="90" t="str">
        <f>IF(VLOOKUP(UncLookup[[#This Row],[Item]],Items!$A$1:$F$43,3,FALSE)=0,"",VLOOKUP(UncLookup[[#This Row],[Item]],Items!$A$1:$F$43,3,FALSE))</f>
        <v/>
      </c>
      <c r="Q1756" s="90" t="str">
        <f>IF(VLOOKUP(UncLookup[[#This Row],[Item]],Items!$A$1:$F$43,4,FALSE)=0,"",VLOOKUP(UncLookup[[#This Row],[Item]],Items!$A$1:$F$43,4,FALSE))</f>
        <v/>
      </c>
    </row>
    <row r="1757" spans="1:17" x14ac:dyDescent="0.25">
      <c r="A1757" s="76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90" t="str">
        <f>IF(VLOOKUP(UncLookup[[#This Row],[Item]],Items!$A$1:$F$43,2,FALSE)=0,"",VLOOKUP(UncLookup[[#This Row],[Item]],Items!$A$1:$F$43,2,FALSE))</f>
        <v/>
      </c>
      <c r="P1757" s="90" t="str">
        <f>IF(VLOOKUP(UncLookup[[#This Row],[Item]],Items!$A$1:$F$43,3,FALSE)=0,"",VLOOKUP(UncLookup[[#This Row],[Item]],Items!$A$1:$F$43,3,FALSE))</f>
        <v/>
      </c>
      <c r="Q1757" s="90" t="str">
        <f>IF(VLOOKUP(UncLookup[[#This Row],[Item]],Items!$A$1:$F$43,4,FALSE)=0,"",VLOOKUP(UncLookup[[#This Row],[Item]],Items!$A$1:$F$43,4,FALSE))</f>
        <v/>
      </c>
    </row>
    <row r="1758" spans="1:17" x14ac:dyDescent="0.25">
      <c r="A1758" s="75" t="s">
        <v>55</v>
      </c>
      <c r="B1758" s="75" t="s">
        <v>8</v>
      </c>
      <c r="C1758" s="75">
        <v>3.3000000000000002E-2</v>
      </c>
      <c r="D1758" s="75">
        <v>0.33001000000000003</v>
      </c>
      <c r="E1758" s="75">
        <v>9.9999999999999995E-7</v>
      </c>
      <c r="F1758" s="75" t="s">
        <v>6</v>
      </c>
      <c r="G1758" s="75" t="s">
        <v>5</v>
      </c>
      <c r="H1758" s="75">
        <v>20</v>
      </c>
      <c r="I1758" s="75">
        <v>50.01</v>
      </c>
      <c r="J1758" s="75" t="s">
        <v>10</v>
      </c>
      <c r="K1758" s="75">
        <v>47</v>
      </c>
      <c r="L1758" s="75">
        <v>1200</v>
      </c>
      <c r="M1758" s="75">
        <v>46.389000000000003</v>
      </c>
      <c r="N1758" s="75">
        <v>1155.4000000000001</v>
      </c>
      <c r="O1758" s="90" t="str">
        <f>IF(VLOOKUP(UncLookup[[#This Row],[Item]],Items!$A$1:$F$43,2,FALSE)=0,"",VLOOKUP(UncLookup[[#This Row],[Item]],Items!$A$1:$F$43,2,FALSE))</f>
        <v/>
      </c>
      <c r="P1758" s="90" t="str">
        <f>IF(VLOOKUP(UncLookup[[#This Row],[Item]],Items!$A$1:$F$43,3,FALSE)=0,"",VLOOKUP(UncLookup[[#This Row],[Item]],Items!$A$1:$F$43,3,FALSE))</f>
        <v/>
      </c>
      <c r="Q1758" s="90" t="str">
        <f>IF(VLOOKUP(UncLookup[[#This Row],[Item]],Items!$A$1:$F$43,4,FALSE)=0,"",VLOOKUP(UncLookup[[#This Row],[Item]],Items!$A$1:$F$43,4,FALSE))</f>
        <v/>
      </c>
    </row>
    <row r="1759" spans="1:17" x14ac:dyDescent="0.25">
      <c r="A1759" s="76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90" t="str">
        <f>IF(VLOOKUP(UncLookup[[#This Row],[Item]],Items!$A$1:$F$43,2,FALSE)=0,"",VLOOKUP(UncLookup[[#This Row],[Item]],Items!$A$1:$F$43,2,FALSE))</f>
        <v/>
      </c>
      <c r="P1759" s="90" t="str">
        <f>IF(VLOOKUP(UncLookup[[#This Row],[Item]],Items!$A$1:$F$43,3,FALSE)=0,"",VLOOKUP(UncLookup[[#This Row],[Item]],Items!$A$1:$F$43,3,FALSE))</f>
        <v/>
      </c>
      <c r="Q1759" s="90" t="str">
        <f>IF(VLOOKUP(UncLookup[[#This Row],[Item]],Items!$A$1:$F$43,4,FALSE)=0,"",VLOOKUP(UncLookup[[#This Row],[Item]],Items!$A$1:$F$43,4,FALSE))</f>
        <v/>
      </c>
    </row>
    <row r="1760" spans="1:17" x14ac:dyDescent="0.25">
      <c r="A1760" s="75" t="s">
        <v>55</v>
      </c>
      <c r="B1760" s="75" t="s">
        <v>8</v>
      </c>
      <c r="C1760" s="75">
        <v>3.3000000000000002E-2</v>
      </c>
      <c r="D1760" s="75">
        <v>0.33001000000000003</v>
      </c>
      <c r="E1760" s="75">
        <v>1.0000000000000001E-5</v>
      </c>
      <c r="F1760" s="75" t="s">
        <v>6</v>
      </c>
      <c r="G1760" s="75" t="s">
        <v>5</v>
      </c>
      <c r="H1760" s="75">
        <v>0.01</v>
      </c>
      <c r="I1760" s="75">
        <v>4.5010000000000001E-2</v>
      </c>
      <c r="J1760" s="75" t="s">
        <v>10</v>
      </c>
      <c r="K1760" s="75">
        <v>33</v>
      </c>
      <c r="L1760" s="75">
        <v>550.17999999999995</v>
      </c>
      <c r="M1760" s="75">
        <v>23.663</v>
      </c>
      <c r="N1760" s="75">
        <v>576.89</v>
      </c>
      <c r="O1760" s="90" t="str">
        <f>IF(VLOOKUP(UncLookup[[#This Row],[Item]],Items!$A$1:$F$43,2,FALSE)=0,"",VLOOKUP(UncLookup[[#This Row],[Item]],Items!$A$1:$F$43,2,FALSE))</f>
        <v/>
      </c>
      <c r="P1760" s="90" t="str">
        <f>IF(VLOOKUP(UncLookup[[#This Row],[Item]],Items!$A$1:$F$43,3,FALSE)=0,"",VLOOKUP(UncLookup[[#This Row],[Item]],Items!$A$1:$F$43,3,FALSE))</f>
        <v/>
      </c>
      <c r="Q1760" s="90" t="str">
        <f>IF(VLOOKUP(UncLookup[[#This Row],[Item]],Items!$A$1:$F$43,4,FALSE)=0,"",VLOOKUP(UncLookup[[#This Row],[Item]],Items!$A$1:$F$43,4,FALSE))</f>
        <v/>
      </c>
    </row>
    <row r="1761" spans="1:17" x14ac:dyDescent="0.25">
      <c r="A1761" s="76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90" t="str">
        <f>IF(VLOOKUP(UncLookup[[#This Row],[Item]],Items!$A$1:$F$43,2,FALSE)=0,"",VLOOKUP(UncLookup[[#This Row],[Item]],Items!$A$1:$F$43,2,FALSE))</f>
        <v/>
      </c>
      <c r="P1761" s="90" t="str">
        <f>IF(VLOOKUP(UncLookup[[#This Row],[Item]],Items!$A$1:$F$43,3,FALSE)=0,"",VLOOKUP(UncLookup[[#This Row],[Item]],Items!$A$1:$F$43,3,FALSE))</f>
        <v/>
      </c>
      <c r="Q1761" s="90" t="str">
        <f>IF(VLOOKUP(UncLookup[[#This Row],[Item]],Items!$A$1:$F$43,4,FALSE)=0,"",VLOOKUP(UncLookup[[#This Row],[Item]],Items!$A$1:$F$43,4,FALSE))</f>
        <v/>
      </c>
    </row>
    <row r="1762" spans="1:17" x14ac:dyDescent="0.25">
      <c r="A1762" s="75" t="s">
        <v>55</v>
      </c>
      <c r="B1762" s="75" t="s">
        <v>8</v>
      </c>
      <c r="C1762" s="75">
        <v>3.3000000000000002E-2</v>
      </c>
      <c r="D1762" s="75">
        <v>0.33001000000000003</v>
      </c>
      <c r="E1762" s="75">
        <v>1.0000000000000001E-5</v>
      </c>
      <c r="F1762" s="75" t="s">
        <v>6</v>
      </c>
      <c r="G1762" s="75" t="s">
        <v>5</v>
      </c>
      <c r="H1762" s="75">
        <v>500</v>
      </c>
      <c r="I1762" s="75">
        <v>501</v>
      </c>
      <c r="J1762" s="75" t="s">
        <v>10</v>
      </c>
      <c r="K1762" s="75">
        <v>390</v>
      </c>
      <c r="L1762" s="75">
        <v>5779.3</v>
      </c>
      <c r="M1762" s="75">
        <v>381.8</v>
      </c>
      <c r="N1762" s="75">
        <v>5779.3</v>
      </c>
      <c r="O1762" s="90" t="str">
        <f>IF(VLOOKUP(UncLookup[[#This Row],[Item]],Items!$A$1:$F$43,2,FALSE)=0,"",VLOOKUP(UncLookup[[#This Row],[Item]],Items!$A$1:$F$43,2,FALSE))</f>
        <v/>
      </c>
      <c r="P1762" s="90" t="str">
        <f>IF(VLOOKUP(UncLookup[[#This Row],[Item]],Items!$A$1:$F$43,3,FALSE)=0,"",VLOOKUP(UncLookup[[#This Row],[Item]],Items!$A$1:$F$43,3,FALSE))</f>
        <v/>
      </c>
      <c r="Q1762" s="90" t="str">
        <f>IF(VLOOKUP(UncLookup[[#This Row],[Item]],Items!$A$1:$F$43,4,FALSE)=0,"",VLOOKUP(UncLookup[[#This Row],[Item]],Items!$A$1:$F$43,4,FALSE))</f>
        <v/>
      </c>
    </row>
    <row r="1763" spans="1:17" x14ac:dyDescent="0.25">
      <c r="A1763" s="76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90" t="str">
        <f>IF(VLOOKUP(UncLookup[[#This Row],[Item]],Items!$A$1:$F$43,2,FALSE)=0,"",VLOOKUP(UncLookup[[#This Row],[Item]],Items!$A$1:$F$43,2,FALSE))</f>
        <v/>
      </c>
      <c r="P1763" s="90" t="str">
        <f>IF(VLOOKUP(UncLookup[[#This Row],[Item]],Items!$A$1:$F$43,3,FALSE)=0,"",VLOOKUP(UncLookup[[#This Row],[Item]],Items!$A$1:$F$43,3,FALSE))</f>
        <v/>
      </c>
      <c r="Q1763" s="90" t="str">
        <f>IF(VLOOKUP(UncLookup[[#This Row],[Item]],Items!$A$1:$F$43,4,FALSE)=0,"",VLOOKUP(UncLookup[[#This Row],[Item]],Items!$A$1:$F$43,4,FALSE))</f>
        <v/>
      </c>
    </row>
    <row r="1764" spans="1:17" x14ac:dyDescent="0.25">
      <c r="A1764" s="75" t="s">
        <v>55</v>
      </c>
      <c r="B1764" s="75" t="s">
        <v>8</v>
      </c>
      <c r="C1764" s="75">
        <v>3.3000000000000002E-2</v>
      </c>
      <c r="D1764" s="75">
        <v>0.33001000000000003</v>
      </c>
      <c r="E1764" s="75">
        <v>1.0000000000000001E-5</v>
      </c>
      <c r="F1764" s="75" t="s">
        <v>6</v>
      </c>
      <c r="G1764" s="75" t="s">
        <v>5</v>
      </c>
      <c r="H1764" s="75">
        <v>10</v>
      </c>
      <c r="I1764" s="75">
        <v>20.010000000000002</v>
      </c>
      <c r="J1764" s="75" t="s">
        <v>10</v>
      </c>
      <c r="K1764" s="75">
        <v>24</v>
      </c>
      <c r="L1764" s="75">
        <v>807.65</v>
      </c>
      <c r="M1764" s="75">
        <v>23.582999999999998</v>
      </c>
      <c r="N1764" s="75">
        <v>807.74</v>
      </c>
      <c r="O1764" s="90" t="str">
        <f>IF(VLOOKUP(UncLookup[[#This Row],[Item]],Items!$A$1:$F$43,2,FALSE)=0,"",VLOOKUP(UncLookup[[#This Row],[Item]],Items!$A$1:$F$43,2,FALSE))</f>
        <v/>
      </c>
      <c r="P1764" s="90" t="str">
        <f>IF(VLOOKUP(UncLookup[[#This Row],[Item]],Items!$A$1:$F$43,3,FALSE)=0,"",VLOOKUP(UncLookup[[#This Row],[Item]],Items!$A$1:$F$43,3,FALSE))</f>
        <v/>
      </c>
      <c r="Q1764" s="90" t="str">
        <f>IF(VLOOKUP(UncLookup[[#This Row],[Item]],Items!$A$1:$F$43,4,FALSE)=0,"",VLOOKUP(UncLookup[[#This Row],[Item]],Items!$A$1:$F$43,4,FALSE))</f>
        <v/>
      </c>
    </row>
    <row r="1765" spans="1:17" x14ac:dyDescent="0.25">
      <c r="A1765" s="76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90" t="str">
        <f>IF(VLOOKUP(UncLookup[[#This Row],[Item]],Items!$A$1:$F$43,2,FALSE)=0,"",VLOOKUP(UncLookup[[#This Row],[Item]],Items!$A$1:$F$43,2,FALSE))</f>
        <v/>
      </c>
      <c r="P1765" s="90" t="str">
        <f>IF(VLOOKUP(UncLookup[[#This Row],[Item]],Items!$A$1:$F$43,3,FALSE)=0,"",VLOOKUP(UncLookup[[#This Row],[Item]],Items!$A$1:$F$43,3,FALSE))</f>
        <v/>
      </c>
      <c r="Q1765" s="90" t="str">
        <f>IF(VLOOKUP(UncLookup[[#This Row],[Item]],Items!$A$1:$F$43,4,FALSE)=0,"",VLOOKUP(UncLookup[[#This Row],[Item]],Items!$A$1:$F$43,4,FALSE))</f>
        <v/>
      </c>
    </row>
    <row r="1766" spans="1:17" x14ac:dyDescent="0.25">
      <c r="A1766" s="75" t="s">
        <v>55</v>
      </c>
      <c r="B1766" s="75" t="s">
        <v>8</v>
      </c>
      <c r="C1766" s="75">
        <v>3.3000000000000002E-2</v>
      </c>
      <c r="D1766" s="75">
        <v>0.33001000000000003</v>
      </c>
      <c r="E1766" s="75">
        <v>1.0000000000000001E-5</v>
      </c>
      <c r="F1766" s="75" t="s">
        <v>6</v>
      </c>
      <c r="G1766" s="75" t="s">
        <v>5</v>
      </c>
      <c r="H1766" s="75">
        <v>100</v>
      </c>
      <c r="I1766" s="75">
        <v>500</v>
      </c>
      <c r="J1766" s="75" t="s">
        <v>10</v>
      </c>
      <c r="K1766" s="75">
        <v>390</v>
      </c>
      <c r="L1766" s="75">
        <v>5779.3</v>
      </c>
      <c r="M1766" s="75">
        <v>381.8</v>
      </c>
      <c r="N1766" s="75">
        <v>5779.3</v>
      </c>
      <c r="O1766" s="90" t="str">
        <f>IF(VLOOKUP(UncLookup[[#This Row],[Item]],Items!$A$1:$F$43,2,FALSE)=0,"",VLOOKUP(UncLookup[[#This Row],[Item]],Items!$A$1:$F$43,2,FALSE))</f>
        <v/>
      </c>
      <c r="P1766" s="90" t="str">
        <f>IF(VLOOKUP(UncLookup[[#This Row],[Item]],Items!$A$1:$F$43,3,FALSE)=0,"",VLOOKUP(UncLookup[[#This Row],[Item]],Items!$A$1:$F$43,3,FALSE))</f>
        <v/>
      </c>
      <c r="Q1766" s="90" t="str">
        <f>IF(VLOOKUP(UncLookup[[#This Row],[Item]],Items!$A$1:$F$43,4,FALSE)=0,"",VLOOKUP(UncLookup[[#This Row],[Item]],Items!$A$1:$F$43,4,FALSE))</f>
        <v/>
      </c>
    </row>
    <row r="1767" spans="1:17" x14ac:dyDescent="0.25">
      <c r="A1767" s="76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90" t="str">
        <f>IF(VLOOKUP(UncLookup[[#This Row],[Item]],Items!$A$1:$F$43,2,FALSE)=0,"",VLOOKUP(UncLookup[[#This Row],[Item]],Items!$A$1:$F$43,2,FALSE))</f>
        <v/>
      </c>
      <c r="P1767" s="90" t="str">
        <f>IF(VLOOKUP(UncLookup[[#This Row],[Item]],Items!$A$1:$F$43,3,FALSE)=0,"",VLOOKUP(UncLookup[[#This Row],[Item]],Items!$A$1:$F$43,3,FALSE))</f>
        <v/>
      </c>
      <c r="Q1767" s="90" t="str">
        <f>IF(VLOOKUP(UncLookup[[#This Row],[Item]],Items!$A$1:$F$43,4,FALSE)=0,"",VLOOKUP(UncLookup[[#This Row],[Item]],Items!$A$1:$F$43,4,FALSE))</f>
        <v/>
      </c>
    </row>
    <row r="1768" spans="1:17" x14ac:dyDescent="0.25">
      <c r="A1768" s="75" t="s">
        <v>55</v>
      </c>
      <c r="B1768" s="75" t="s">
        <v>8</v>
      </c>
      <c r="C1768" s="75">
        <v>3.3000000000000002E-2</v>
      </c>
      <c r="D1768" s="75">
        <v>0.33001000000000003</v>
      </c>
      <c r="E1768" s="75">
        <v>1E-4</v>
      </c>
      <c r="F1768" s="75" t="s">
        <v>6</v>
      </c>
      <c r="G1768" s="75" t="s">
        <v>5</v>
      </c>
      <c r="H1768" s="75">
        <v>500</v>
      </c>
      <c r="I1768" s="75">
        <v>501</v>
      </c>
      <c r="J1768" s="75" t="s">
        <v>10</v>
      </c>
      <c r="K1768" s="75">
        <v>390</v>
      </c>
      <c r="L1768" s="75">
        <v>5771.9</v>
      </c>
      <c r="M1768" s="75">
        <v>384.93</v>
      </c>
      <c r="N1768" s="75">
        <v>5772</v>
      </c>
      <c r="O1768" s="90" t="str">
        <f>IF(VLOOKUP(UncLookup[[#This Row],[Item]],Items!$A$1:$F$43,2,FALSE)=0,"",VLOOKUP(UncLookup[[#This Row],[Item]],Items!$A$1:$F$43,2,FALSE))</f>
        <v/>
      </c>
      <c r="P1768" s="90" t="str">
        <f>IF(VLOOKUP(UncLookup[[#This Row],[Item]],Items!$A$1:$F$43,3,FALSE)=0,"",VLOOKUP(UncLookup[[#This Row],[Item]],Items!$A$1:$F$43,3,FALSE))</f>
        <v/>
      </c>
      <c r="Q1768" s="90" t="str">
        <f>IF(VLOOKUP(UncLookup[[#This Row],[Item]],Items!$A$1:$F$43,4,FALSE)=0,"",VLOOKUP(UncLookup[[#This Row],[Item]],Items!$A$1:$F$43,4,FALSE))</f>
        <v/>
      </c>
    </row>
    <row r="1769" spans="1:17" x14ac:dyDescent="0.25">
      <c r="A1769" s="76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90" t="str">
        <f>IF(VLOOKUP(UncLookup[[#This Row],[Item]],Items!$A$1:$F$43,2,FALSE)=0,"",VLOOKUP(UncLookup[[#This Row],[Item]],Items!$A$1:$F$43,2,FALSE))</f>
        <v/>
      </c>
      <c r="P1769" s="90" t="str">
        <f>IF(VLOOKUP(UncLookup[[#This Row],[Item]],Items!$A$1:$F$43,3,FALSE)=0,"",VLOOKUP(UncLookup[[#This Row],[Item]],Items!$A$1:$F$43,3,FALSE))</f>
        <v/>
      </c>
      <c r="Q1769" s="90" t="str">
        <f>IF(VLOOKUP(UncLookup[[#This Row],[Item]],Items!$A$1:$F$43,4,FALSE)=0,"",VLOOKUP(UncLookup[[#This Row],[Item]],Items!$A$1:$F$43,4,FALSE))</f>
        <v/>
      </c>
    </row>
    <row r="1770" spans="1:17" x14ac:dyDescent="0.25">
      <c r="A1770" s="75" t="s">
        <v>55</v>
      </c>
      <c r="B1770" s="75" t="s">
        <v>8</v>
      </c>
      <c r="C1770" s="75">
        <v>3.3000000000000002E-2</v>
      </c>
      <c r="D1770" s="75">
        <v>0.33001000000000003</v>
      </c>
      <c r="E1770" s="75">
        <v>1E-4</v>
      </c>
      <c r="F1770" s="75" t="s">
        <v>6</v>
      </c>
      <c r="G1770" s="75" t="s">
        <v>5</v>
      </c>
      <c r="H1770" s="75">
        <v>20</v>
      </c>
      <c r="I1770" s="75">
        <v>50.01</v>
      </c>
      <c r="J1770" s="75" t="s">
        <v>10</v>
      </c>
      <c r="K1770" s="75">
        <v>66.007000000000005</v>
      </c>
      <c r="L1770" s="75">
        <v>1107.9000000000001</v>
      </c>
      <c r="M1770" s="75">
        <v>65.938999999999993</v>
      </c>
      <c r="N1770" s="75">
        <v>1108</v>
      </c>
      <c r="O1770" s="90" t="str">
        <f>IF(VLOOKUP(UncLookup[[#This Row],[Item]],Items!$A$1:$F$43,2,FALSE)=0,"",VLOOKUP(UncLookup[[#This Row],[Item]],Items!$A$1:$F$43,2,FALSE))</f>
        <v/>
      </c>
      <c r="P1770" s="90" t="str">
        <f>IF(VLOOKUP(UncLookup[[#This Row],[Item]],Items!$A$1:$F$43,3,FALSE)=0,"",VLOOKUP(UncLookup[[#This Row],[Item]],Items!$A$1:$F$43,3,FALSE))</f>
        <v/>
      </c>
      <c r="Q1770" s="90" t="str">
        <f>IF(VLOOKUP(UncLookup[[#This Row],[Item]],Items!$A$1:$F$43,4,FALSE)=0,"",VLOOKUP(UncLookup[[#This Row],[Item]],Items!$A$1:$F$43,4,FALSE))</f>
        <v/>
      </c>
    </row>
    <row r="1771" spans="1:17" x14ac:dyDescent="0.25">
      <c r="A1771" s="76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90" t="str">
        <f>IF(VLOOKUP(UncLookup[[#This Row],[Item]],Items!$A$1:$F$43,2,FALSE)=0,"",VLOOKUP(UncLookup[[#This Row],[Item]],Items!$A$1:$F$43,2,FALSE))</f>
        <v/>
      </c>
      <c r="P1771" s="90" t="str">
        <f>IF(VLOOKUP(UncLookup[[#This Row],[Item]],Items!$A$1:$F$43,3,FALSE)=0,"",VLOOKUP(UncLookup[[#This Row],[Item]],Items!$A$1:$F$43,3,FALSE))</f>
        <v/>
      </c>
      <c r="Q1771" s="90" t="str">
        <f>IF(VLOOKUP(UncLookup[[#This Row],[Item]],Items!$A$1:$F$43,4,FALSE)=0,"",VLOOKUP(UncLookup[[#This Row],[Item]],Items!$A$1:$F$43,4,FALSE))</f>
        <v/>
      </c>
    </row>
    <row r="1772" spans="1:17" x14ac:dyDescent="0.25">
      <c r="A1772" s="75" t="s">
        <v>55</v>
      </c>
      <c r="B1772" s="75" t="s">
        <v>8</v>
      </c>
      <c r="C1772" s="75">
        <v>3.3000000000000002E-2</v>
      </c>
      <c r="D1772" s="75">
        <v>0.33001000000000003</v>
      </c>
      <c r="E1772" s="75">
        <v>1E-4</v>
      </c>
      <c r="F1772" s="75" t="s">
        <v>6</v>
      </c>
      <c r="G1772" s="75" t="s">
        <v>5</v>
      </c>
      <c r="H1772" s="75">
        <v>100</v>
      </c>
      <c r="I1772" s="75">
        <v>500</v>
      </c>
      <c r="J1772" s="75" t="s">
        <v>10</v>
      </c>
      <c r="K1772" s="75">
        <v>390</v>
      </c>
      <c r="L1772" s="75">
        <v>5771.9</v>
      </c>
      <c r="M1772" s="75">
        <v>384.93</v>
      </c>
      <c r="N1772" s="75">
        <v>5772</v>
      </c>
      <c r="O1772" s="90" t="str">
        <f>IF(VLOOKUP(UncLookup[[#This Row],[Item]],Items!$A$1:$F$43,2,FALSE)=0,"",VLOOKUP(UncLookup[[#This Row],[Item]],Items!$A$1:$F$43,2,FALSE))</f>
        <v/>
      </c>
      <c r="P1772" s="90" t="str">
        <f>IF(VLOOKUP(UncLookup[[#This Row],[Item]],Items!$A$1:$F$43,3,FALSE)=0,"",VLOOKUP(UncLookup[[#This Row],[Item]],Items!$A$1:$F$43,3,FALSE))</f>
        <v/>
      </c>
      <c r="Q1772" s="90" t="str">
        <f>IF(VLOOKUP(UncLookup[[#This Row],[Item]],Items!$A$1:$F$43,4,FALSE)=0,"",VLOOKUP(UncLookup[[#This Row],[Item]],Items!$A$1:$F$43,4,FALSE))</f>
        <v/>
      </c>
    </row>
    <row r="1773" spans="1:17" x14ac:dyDescent="0.25">
      <c r="A1773" s="76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90" t="str">
        <f>IF(VLOOKUP(UncLookup[[#This Row],[Item]],Items!$A$1:$F$43,2,FALSE)=0,"",VLOOKUP(UncLookup[[#This Row],[Item]],Items!$A$1:$F$43,2,FALSE))</f>
        <v/>
      </c>
      <c r="P1773" s="90" t="str">
        <f>IF(VLOOKUP(UncLookup[[#This Row],[Item]],Items!$A$1:$F$43,3,FALSE)=0,"",VLOOKUP(UncLookup[[#This Row],[Item]],Items!$A$1:$F$43,3,FALSE))</f>
        <v/>
      </c>
      <c r="Q1773" s="90" t="str">
        <f>IF(VLOOKUP(UncLookup[[#This Row],[Item]],Items!$A$1:$F$43,4,FALSE)=0,"",VLOOKUP(UncLookup[[#This Row],[Item]],Items!$A$1:$F$43,4,FALSE))</f>
        <v/>
      </c>
    </row>
    <row r="1774" spans="1:17" x14ac:dyDescent="0.25">
      <c r="A1774" s="75" t="s">
        <v>55</v>
      </c>
      <c r="B1774" s="75" t="s">
        <v>8</v>
      </c>
      <c r="C1774" s="75">
        <v>3.3000000000000002E-2</v>
      </c>
      <c r="D1774" s="75">
        <v>0.33001000000000003</v>
      </c>
      <c r="E1774" s="75">
        <v>1E-3</v>
      </c>
      <c r="F1774" s="75" t="s">
        <v>6</v>
      </c>
      <c r="G1774" s="75" t="s">
        <v>5</v>
      </c>
      <c r="H1774" s="75">
        <v>0.01</v>
      </c>
      <c r="I1774" s="75">
        <v>4.5010000000000001E-2</v>
      </c>
      <c r="J1774" s="75" t="s">
        <v>10</v>
      </c>
      <c r="K1774" s="75">
        <v>577.51</v>
      </c>
      <c r="L1774" s="75">
        <v>123.44</v>
      </c>
      <c r="M1774" s="75">
        <v>577.47</v>
      </c>
      <c r="N1774" s="75">
        <v>123.45</v>
      </c>
      <c r="O1774" s="90" t="str">
        <f>IF(VLOOKUP(UncLookup[[#This Row],[Item]],Items!$A$1:$F$43,2,FALSE)=0,"",VLOOKUP(UncLookup[[#This Row],[Item]],Items!$A$1:$F$43,2,FALSE))</f>
        <v/>
      </c>
      <c r="P1774" s="90" t="str">
        <f>IF(VLOOKUP(UncLookup[[#This Row],[Item]],Items!$A$1:$F$43,3,FALSE)=0,"",VLOOKUP(UncLookup[[#This Row],[Item]],Items!$A$1:$F$43,3,FALSE))</f>
        <v/>
      </c>
      <c r="Q1774" s="90" t="str">
        <f>IF(VLOOKUP(UncLookup[[#This Row],[Item]],Items!$A$1:$F$43,4,FALSE)=0,"",VLOOKUP(UncLookup[[#This Row],[Item]],Items!$A$1:$F$43,4,FALSE))</f>
        <v/>
      </c>
    </row>
    <row r="1775" spans="1:17" x14ac:dyDescent="0.25">
      <c r="A1775" s="76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90" t="str">
        <f>IF(VLOOKUP(UncLookup[[#This Row],[Item]],Items!$A$1:$F$43,2,FALSE)=0,"",VLOOKUP(UncLookup[[#This Row],[Item]],Items!$A$1:$F$43,2,FALSE))</f>
        <v/>
      </c>
      <c r="P1775" s="90" t="str">
        <f>IF(VLOOKUP(UncLookup[[#This Row],[Item]],Items!$A$1:$F$43,3,FALSE)=0,"",VLOOKUP(UncLookup[[#This Row],[Item]],Items!$A$1:$F$43,3,FALSE))</f>
        <v/>
      </c>
      <c r="Q1775" s="90" t="str">
        <f>IF(VLOOKUP(UncLookup[[#This Row],[Item]],Items!$A$1:$F$43,4,FALSE)=0,"",VLOOKUP(UncLookup[[#This Row],[Item]],Items!$A$1:$F$43,4,FALSE))</f>
        <v/>
      </c>
    </row>
    <row r="1776" spans="1:17" x14ac:dyDescent="0.25">
      <c r="A1776" s="75" t="s">
        <v>55</v>
      </c>
      <c r="B1776" s="75" t="s">
        <v>8</v>
      </c>
      <c r="C1776" s="75">
        <v>3.3000000000000002E-2</v>
      </c>
      <c r="D1776" s="75">
        <v>0.33001000000000003</v>
      </c>
      <c r="E1776" s="75">
        <v>1E-3</v>
      </c>
      <c r="F1776" s="75" t="s">
        <v>6</v>
      </c>
      <c r="G1776" s="75" t="s">
        <v>5</v>
      </c>
      <c r="H1776" s="75">
        <v>100</v>
      </c>
      <c r="I1776" s="75">
        <v>500</v>
      </c>
      <c r="J1776" s="75" t="s">
        <v>10</v>
      </c>
      <c r="K1776" s="75">
        <v>643.30999999999995</v>
      </c>
      <c r="L1776" s="75">
        <v>5206.3999999999996</v>
      </c>
      <c r="M1776" s="75">
        <v>643.12</v>
      </c>
      <c r="N1776" s="75">
        <v>5206.6000000000004</v>
      </c>
      <c r="O1776" s="90" t="str">
        <f>IF(VLOOKUP(UncLookup[[#This Row],[Item]],Items!$A$1:$F$43,2,FALSE)=0,"",VLOOKUP(UncLookup[[#This Row],[Item]],Items!$A$1:$F$43,2,FALSE))</f>
        <v/>
      </c>
      <c r="P1776" s="90" t="str">
        <f>IF(VLOOKUP(UncLookup[[#This Row],[Item]],Items!$A$1:$F$43,3,FALSE)=0,"",VLOOKUP(UncLookup[[#This Row],[Item]],Items!$A$1:$F$43,3,FALSE))</f>
        <v/>
      </c>
      <c r="Q1776" s="90" t="str">
        <f>IF(VLOOKUP(UncLookup[[#This Row],[Item]],Items!$A$1:$F$43,4,FALSE)=0,"",VLOOKUP(UncLookup[[#This Row],[Item]],Items!$A$1:$F$43,4,FALSE))</f>
        <v/>
      </c>
    </row>
    <row r="1777" spans="1:17" x14ac:dyDescent="0.25">
      <c r="A1777" s="76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90" t="str">
        <f>IF(VLOOKUP(UncLookup[[#This Row],[Item]],Items!$A$1:$F$43,2,FALSE)=0,"",VLOOKUP(UncLookup[[#This Row],[Item]],Items!$A$1:$F$43,2,FALSE))</f>
        <v/>
      </c>
      <c r="P1777" s="90" t="str">
        <f>IF(VLOOKUP(UncLookup[[#This Row],[Item]],Items!$A$1:$F$43,3,FALSE)=0,"",VLOOKUP(UncLookup[[#This Row],[Item]],Items!$A$1:$F$43,3,FALSE))</f>
        <v/>
      </c>
      <c r="Q1777" s="90" t="str">
        <f>IF(VLOOKUP(UncLookup[[#This Row],[Item]],Items!$A$1:$F$43,4,FALSE)=0,"",VLOOKUP(UncLookup[[#This Row],[Item]],Items!$A$1:$F$43,4,FALSE))</f>
        <v/>
      </c>
    </row>
    <row r="1778" spans="1:17" x14ac:dyDescent="0.25">
      <c r="A1778" s="75" t="s">
        <v>55</v>
      </c>
      <c r="B1778" s="75" t="s">
        <v>8</v>
      </c>
      <c r="C1778" s="75">
        <v>3.3000000000000002E-2</v>
      </c>
      <c r="D1778" s="75">
        <v>0.33001000000000003</v>
      </c>
      <c r="E1778" s="75">
        <v>1E-3</v>
      </c>
      <c r="F1778" s="75" t="s">
        <v>6</v>
      </c>
      <c r="G1778" s="75" t="s">
        <v>5</v>
      </c>
      <c r="H1778" s="75">
        <v>500</v>
      </c>
      <c r="I1778" s="75">
        <v>501</v>
      </c>
      <c r="J1778" s="75" t="s">
        <v>10</v>
      </c>
      <c r="K1778" s="75">
        <v>643.30999999999995</v>
      </c>
      <c r="L1778" s="75">
        <v>5206.3999999999996</v>
      </c>
      <c r="M1778" s="75">
        <v>643.12</v>
      </c>
      <c r="N1778" s="75">
        <v>5206.6000000000004</v>
      </c>
      <c r="O1778" s="90" t="str">
        <f>IF(VLOOKUP(UncLookup[[#This Row],[Item]],Items!$A$1:$F$43,2,FALSE)=0,"",VLOOKUP(UncLookup[[#This Row],[Item]],Items!$A$1:$F$43,2,FALSE))</f>
        <v/>
      </c>
      <c r="P1778" s="90" t="str">
        <f>IF(VLOOKUP(UncLookup[[#This Row],[Item]],Items!$A$1:$F$43,3,FALSE)=0,"",VLOOKUP(UncLookup[[#This Row],[Item]],Items!$A$1:$F$43,3,FALSE))</f>
        <v/>
      </c>
      <c r="Q1778" s="90" t="str">
        <f>IF(VLOOKUP(UncLookup[[#This Row],[Item]],Items!$A$1:$F$43,4,FALSE)=0,"",VLOOKUP(UncLookup[[#This Row],[Item]],Items!$A$1:$F$43,4,FALSE))</f>
        <v/>
      </c>
    </row>
    <row r="1779" spans="1:17" x14ac:dyDescent="0.25">
      <c r="A1779" s="76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90" t="str">
        <f>IF(VLOOKUP(UncLookup[[#This Row],[Item]],Items!$A$1:$F$43,2,FALSE)=0,"",VLOOKUP(UncLookup[[#This Row],[Item]],Items!$A$1:$F$43,2,FALSE))</f>
        <v/>
      </c>
      <c r="P1779" s="90" t="str">
        <f>IF(VLOOKUP(UncLookup[[#This Row],[Item]],Items!$A$1:$F$43,3,FALSE)=0,"",VLOOKUP(UncLookup[[#This Row],[Item]],Items!$A$1:$F$43,3,FALSE))</f>
        <v/>
      </c>
      <c r="Q1779" s="90" t="str">
        <f>IF(VLOOKUP(UncLookup[[#This Row],[Item]],Items!$A$1:$F$43,4,FALSE)=0,"",VLOOKUP(UncLookup[[#This Row],[Item]],Items!$A$1:$F$43,4,FALSE))</f>
        <v/>
      </c>
    </row>
    <row r="1780" spans="1:17" x14ac:dyDescent="0.25">
      <c r="A1780" s="75" t="s">
        <v>55</v>
      </c>
      <c r="B1780" s="75" t="s">
        <v>8</v>
      </c>
      <c r="C1780" s="75">
        <v>3.3000000000000002E-2</v>
      </c>
      <c r="D1780" s="75">
        <v>0.33001000000000003</v>
      </c>
      <c r="E1780" s="75">
        <v>1E-3</v>
      </c>
      <c r="F1780" s="75" t="s">
        <v>6</v>
      </c>
      <c r="G1780" s="75" t="s">
        <v>5</v>
      </c>
      <c r="H1780" s="75">
        <v>20</v>
      </c>
      <c r="I1780" s="75">
        <v>50.01</v>
      </c>
      <c r="J1780" s="75" t="s">
        <v>10</v>
      </c>
      <c r="K1780" s="75">
        <v>571.22</v>
      </c>
      <c r="L1780" s="75">
        <v>452.98</v>
      </c>
      <c r="M1780" s="75">
        <v>571.17999999999995</v>
      </c>
      <c r="N1780" s="75">
        <v>452.85</v>
      </c>
      <c r="O1780" s="90" t="str">
        <f>IF(VLOOKUP(UncLookup[[#This Row],[Item]],Items!$A$1:$F$43,2,FALSE)=0,"",VLOOKUP(UncLookup[[#This Row],[Item]],Items!$A$1:$F$43,2,FALSE))</f>
        <v/>
      </c>
      <c r="P1780" s="90" t="str">
        <f>IF(VLOOKUP(UncLookup[[#This Row],[Item]],Items!$A$1:$F$43,3,FALSE)=0,"",VLOOKUP(UncLookup[[#This Row],[Item]],Items!$A$1:$F$43,3,FALSE))</f>
        <v/>
      </c>
      <c r="Q1780" s="90" t="str">
        <f>IF(VLOOKUP(UncLookup[[#This Row],[Item]],Items!$A$1:$F$43,4,FALSE)=0,"",VLOOKUP(UncLookup[[#This Row],[Item]],Items!$A$1:$F$43,4,FALSE))</f>
        <v/>
      </c>
    </row>
    <row r="1781" spans="1:17" x14ac:dyDescent="0.25">
      <c r="A1781" s="76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90" t="str">
        <f>IF(VLOOKUP(UncLookup[[#This Row],[Item]],Items!$A$1:$F$43,2,FALSE)=0,"",VLOOKUP(UncLookup[[#This Row],[Item]],Items!$A$1:$F$43,2,FALSE))</f>
        <v/>
      </c>
      <c r="P1781" s="90" t="str">
        <f>IF(VLOOKUP(UncLookup[[#This Row],[Item]],Items!$A$1:$F$43,3,FALSE)=0,"",VLOOKUP(UncLookup[[#This Row],[Item]],Items!$A$1:$F$43,3,FALSE))</f>
        <v/>
      </c>
      <c r="Q1781" s="90" t="str">
        <f>IF(VLOOKUP(UncLookup[[#This Row],[Item]],Items!$A$1:$F$43,4,FALSE)=0,"",VLOOKUP(UncLookup[[#This Row],[Item]],Items!$A$1:$F$43,4,FALSE))</f>
        <v/>
      </c>
    </row>
    <row r="1782" spans="1:17" x14ac:dyDescent="0.25">
      <c r="A1782" s="75" t="s">
        <v>55</v>
      </c>
      <c r="B1782" s="75" t="s">
        <v>8</v>
      </c>
      <c r="C1782" s="75">
        <v>3.3000000000000002E-2</v>
      </c>
      <c r="D1782" s="75">
        <v>0.33001000000000003</v>
      </c>
      <c r="E1782" s="75">
        <v>0.01</v>
      </c>
      <c r="F1782" s="75" t="s">
        <v>6</v>
      </c>
      <c r="G1782" s="75" t="s">
        <v>5</v>
      </c>
      <c r="H1782" s="75">
        <v>50</v>
      </c>
      <c r="I1782" s="75">
        <v>100.01</v>
      </c>
      <c r="J1782" s="75" t="s">
        <v>10</v>
      </c>
      <c r="K1782" s="75">
        <v>5796.8</v>
      </c>
      <c r="L1782" s="75">
        <v>308.19</v>
      </c>
      <c r="M1782" s="75">
        <v>5796.8</v>
      </c>
      <c r="N1782" s="75">
        <v>308.02</v>
      </c>
      <c r="O1782" s="90" t="str">
        <f>IF(VLOOKUP(UncLookup[[#This Row],[Item]],Items!$A$1:$F$43,2,FALSE)=0,"",VLOOKUP(UncLookup[[#This Row],[Item]],Items!$A$1:$F$43,2,FALSE))</f>
        <v/>
      </c>
      <c r="P1782" s="90" t="str">
        <f>IF(VLOOKUP(UncLookup[[#This Row],[Item]],Items!$A$1:$F$43,3,FALSE)=0,"",VLOOKUP(UncLookup[[#This Row],[Item]],Items!$A$1:$F$43,3,FALSE))</f>
        <v/>
      </c>
      <c r="Q1782" s="90" t="str">
        <f>IF(VLOOKUP(UncLookup[[#This Row],[Item]],Items!$A$1:$F$43,4,FALSE)=0,"",VLOOKUP(UncLookup[[#This Row],[Item]],Items!$A$1:$F$43,4,FALSE))</f>
        <v/>
      </c>
    </row>
    <row r="1783" spans="1:17" x14ac:dyDescent="0.25">
      <c r="A1783" s="76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90" t="str">
        <f>IF(VLOOKUP(UncLookup[[#This Row],[Item]],Items!$A$1:$F$43,2,FALSE)=0,"",VLOOKUP(UncLookup[[#This Row],[Item]],Items!$A$1:$F$43,2,FALSE))</f>
        <v/>
      </c>
      <c r="P1783" s="90" t="str">
        <f>IF(VLOOKUP(UncLookup[[#This Row],[Item]],Items!$A$1:$F$43,3,FALSE)=0,"",VLOOKUP(UncLookup[[#This Row],[Item]],Items!$A$1:$F$43,3,FALSE))</f>
        <v/>
      </c>
      <c r="Q1783" s="90" t="str">
        <f>IF(VLOOKUP(UncLookup[[#This Row],[Item]],Items!$A$1:$F$43,4,FALSE)=0,"",VLOOKUP(UncLookup[[#This Row],[Item]],Items!$A$1:$F$43,4,FALSE))</f>
        <v/>
      </c>
    </row>
    <row r="1784" spans="1:17" x14ac:dyDescent="0.25">
      <c r="A1784" s="75" t="s">
        <v>55</v>
      </c>
      <c r="B1784" s="75" t="s">
        <v>8</v>
      </c>
      <c r="C1784" s="75">
        <v>3.3000000000000002E-2</v>
      </c>
      <c r="D1784" s="75">
        <v>0.33001000000000003</v>
      </c>
      <c r="E1784" s="75">
        <v>0.01</v>
      </c>
      <c r="F1784" s="75" t="s">
        <v>6</v>
      </c>
      <c r="G1784" s="75" t="s">
        <v>5</v>
      </c>
      <c r="H1784" s="75">
        <v>4.4999999999999998E-2</v>
      </c>
      <c r="I1784" s="75">
        <v>10.00001</v>
      </c>
      <c r="J1784" s="75" t="s">
        <v>10</v>
      </c>
      <c r="K1784" s="75">
        <v>5800</v>
      </c>
      <c r="L1784" s="75">
        <v>5.1718000000000002</v>
      </c>
      <c r="M1784" s="75">
        <v>5799.9</v>
      </c>
      <c r="N1784" s="75">
        <v>5.1718000000000002</v>
      </c>
      <c r="O1784" s="90" t="str">
        <f>IF(VLOOKUP(UncLookup[[#This Row],[Item]],Items!$A$1:$F$43,2,FALSE)=0,"",VLOOKUP(UncLookup[[#This Row],[Item]],Items!$A$1:$F$43,2,FALSE))</f>
        <v/>
      </c>
      <c r="P1784" s="90" t="str">
        <f>IF(VLOOKUP(UncLookup[[#This Row],[Item]],Items!$A$1:$F$43,3,FALSE)=0,"",VLOOKUP(UncLookup[[#This Row],[Item]],Items!$A$1:$F$43,3,FALSE))</f>
        <v/>
      </c>
      <c r="Q1784" s="90" t="str">
        <f>IF(VLOOKUP(UncLookup[[#This Row],[Item]],Items!$A$1:$F$43,4,FALSE)=0,"",VLOOKUP(UncLookup[[#This Row],[Item]],Items!$A$1:$F$43,4,FALSE))</f>
        <v/>
      </c>
    </row>
    <row r="1785" spans="1:17" x14ac:dyDescent="0.25">
      <c r="A1785" s="76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90" t="str">
        <f>IF(VLOOKUP(UncLookup[[#This Row],[Item]],Items!$A$1:$F$43,2,FALSE)=0,"",VLOOKUP(UncLookup[[#This Row],[Item]],Items!$A$1:$F$43,2,FALSE))</f>
        <v/>
      </c>
      <c r="P1785" s="90" t="str">
        <f>IF(VLOOKUP(UncLookup[[#This Row],[Item]],Items!$A$1:$F$43,3,FALSE)=0,"",VLOOKUP(UncLookup[[#This Row],[Item]],Items!$A$1:$F$43,3,FALSE))</f>
        <v/>
      </c>
      <c r="Q1785" s="90" t="str">
        <f>IF(VLOOKUP(UncLookup[[#This Row],[Item]],Items!$A$1:$F$43,4,FALSE)=0,"",VLOOKUP(UncLookup[[#This Row],[Item]],Items!$A$1:$F$43,4,FALSE))</f>
        <v/>
      </c>
    </row>
    <row r="1786" spans="1:17" x14ac:dyDescent="0.25">
      <c r="A1786" s="75" t="s">
        <v>55</v>
      </c>
      <c r="B1786" s="75" t="s">
        <v>8</v>
      </c>
      <c r="C1786" s="75">
        <v>3.3000000000000002E-2</v>
      </c>
      <c r="D1786" s="75">
        <v>0.33001000000000003</v>
      </c>
      <c r="E1786" s="75">
        <v>0.01</v>
      </c>
      <c r="F1786" s="75" t="s">
        <v>6</v>
      </c>
      <c r="G1786" s="75" t="s">
        <v>5</v>
      </c>
      <c r="H1786" s="75">
        <v>10</v>
      </c>
      <c r="I1786" s="75">
        <v>20.010000000000002</v>
      </c>
      <c r="J1786" s="75" t="s">
        <v>10</v>
      </c>
      <c r="K1786" s="75">
        <v>5799.5</v>
      </c>
      <c r="L1786" s="75">
        <v>23.686</v>
      </c>
      <c r="M1786" s="75">
        <v>5799.4</v>
      </c>
      <c r="N1786" s="75">
        <v>23.686</v>
      </c>
      <c r="O1786" s="90" t="str">
        <f>IF(VLOOKUP(UncLookup[[#This Row],[Item]],Items!$A$1:$F$43,2,FALSE)=0,"",VLOOKUP(UncLookup[[#This Row],[Item]],Items!$A$1:$F$43,2,FALSE))</f>
        <v/>
      </c>
      <c r="P1786" s="90" t="str">
        <f>IF(VLOOKUP(UncLookup[[#This Row],[Item]],Items!$A$1:$F$43,3,FALSE)=0,"",VLOOKUP(UncLookup[[#This Row],[Item]],Items!$A$1:$F$43,3,FALSE))</f>
        <v/>
      </c>
      <c r="Q1786" s="90" t="str">
        <f>IF(VLOOKUP(UncLookup[[#This Row],[Item]],Items!$A$1:$F$43,4,FALSE)=0,"",VLOOKUP(UncLookup[[#This Row],[Item]],Items!$A$1:$F$43,4,FALSE))</f>
        <v/>
      </c>
    </row>
    <row r="1787" spans="1:17" x14ac:dyDescent="0.25">
      <c r="A1787" s="76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90" t="str">
        <f>IF(VLOOKUP(UncLookup[[#This Row],[Item]],Items!$A$1:$F$43,2,FALSE)=0,"",VLOOKUP(UncLookup[[#This Row],[Item]],Items!$A$1:$F$43,2,FALSE))</f>
        <v/>
      </c>
      <c r="P1787" s="90" t="str">
        <f>IF(VLOOKUP(UncLookup[[#This Row],[Item]],Items!$A$1:$F$43,3,FALSE)=0,"",VLOOKUP(UncLookup[[#This Row],[Item]],Items!$A$1:$F$43,3,FALSE))</f>
        <v/>
      </c>
      <c r="Q1787" s="90" t="str">
        <f>IF(VLOOKUP(UncLookup[[#This Row],[Item]],Items!$A$1:$F$43,4,FALSE)=0,"",VLOOKUP(UncLookup[[#This Row],[Item]],Items!$A$1:$F$43,4,FALSE))</f>
        <v/>
      </c>
    </row>
    <row r="1788" spans="1:17" x14ac:dyDescent="0.25">
      <c r="A1788" s="75" t="s">
        <v>55</v>
      </c>
      <c r="B1788" s="75" t="s">
        <v>8</v>
      </c>
      <c r="C1788" s="75">
        <v>0.33</v>
      </c>
      <c r="D1788" s="75">
        <v>3.3001</v>
      </c>
      <c r="E1788" s="75">
        <v>1.0000000000000001E-5</v>
      </c>
      <c r="F1788" s="75" t="s">
        <v>6</v>
      </c>
      <c r="G1788" s="75" t="s">
        <v>4</v>
      </c>
      <c r="H1788" s="75">
        <v>100</v>
      </c>
      <c r="I1788" s="75">
        <v>500</v>
      </c>
      <c r="J1788" s="75" t="s">
        <v>10</v>
      </c>
      <c r="K1788" s="75">
        <v>1.1000000000000001</v>
      </c>
      <c r="L1788" s="75">
        <v>5.8</v>
      </c>
      <c r="M1788" s="75">
        <v>1.0377000000000001</v>
      </c>
      <c r="N1788" s="75">
        <v>5.7942</v>
      </c>
      <c r="O1788" s="90" t="str">
        <f>IF(VLOOKUP(UncLookup[[#This Row],[Item]],Items!$A$1:$F$43,2,FALSE)=0,"",VLOOKUP(UncLookup[[#This Row],[Item]],Items!$A$1:$F$43,2,FALSE))</f>
        <v/>
      </c>
      <c r="P1788" s="90" t="str">
        <f>IF(VLOOKUP(UncLookup[[#This Row],[Item]],Items!$A$1:$F$43,3,FALSE)=0,"",VLOOKUP(UncLookup[[#This Row],[Item]],Items!$A$1:$F$43,3,FALSE))</f>
        <v/>
      </c>
      <c r="Q1788" s="90" t="str">
        <f>IF(VLOOKUP(UncLookup[[#This Row],[Item]],Items!$A$1:$F$43,4,FALSE)=0,"",VLOOKUP(UncLookup[[#This Row],[Item]],Items!$A$1:$F$43,4,FALSE))</f>
        <v/>
      </c>
    </row>
    <row r="1789" spans="1:17" x14ac:dyDescent="0.25">
      <c r="A1789" s="76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90" t="str">
        <f>IF(VLOOKUP(UncLookup[[#This Row],[Item]],Items!$A$1:$F$43,2,FALSE)=0,"",VLOOKUP(UncLookup[[#This Row],[Item]],Items!$A$1:$F$43,2,FALSE))</f>
        <v/>
      </c>
      <c r="P1789" s="90" t="str">
        <f>IF(VLOOKUP(UncLookup[[#This Row],[Item]],Items!$A$1:$F$43,3,FALSE)=0,"",VLOOKUP(UncLookup[[#This Row],[Item]],Items!$A$1:$F$43,3,FALSE))</f>
        <v/>
      </c>
      <c r="Q1789" s="90" t="str">
        <f>IF(VLOOKUP(UncLookup[[#This Row],[Item]],Items!$A$1:$F$43,4,FALSE)=0,"",VLOOKUP(UncLookup[[#This Row],[Item]],Items!$A$1:$F$43,4,FALSE))</f>
        <v/>
      </c>
    </row>
    <row r="1790" spans="1:17" x14ac:dyDescent="0.25">
      <c r="A1790" s="75" t="s">
        <v>55</v>
      </c>
      <c r="B1790" s="75" t="s">
        <v>8</v>
      </c>
      <c r="C1790" s="75">
        <v>0.33</v>
      </c>
      <c r="D1790" s="75">
        <v>3.3001</v>
      </c>
      <c r="E1790" s="75">
        <v>1.0000000000000001E-5</v>
      </c>
      <c r="F1790" s="75" t="s">
        <v>6</v>
      </c>
      <c r="G1790" s="75" t="s">
        <v>4</v>
      </c>
      <c r="H1790" s="75">
        <v>0.01</v>
      </c>
      <c r="I1790" s="75">
        <v>4.5010000000000001E-2</v>
      </c>
      <c r="J1790" s="75" t="s">
        <v>10</v>
      </c>
      <c r="K1790" s="75">
        <v>0.11</v>
      </c>
      <c r="L1790" s="75">
        <v>0.56000000000000005</v>
      </c>
      <c r="M1790" s="75">
        <v>0.10391</v>
      </c>
      <c r="N1790" s="75">
        <v>0.56220999999999999</v>
      </c>
      <c r="O1790" s="90" t="str">
        <f>IF(VLOOKUP(UncLookup[[#This Row],[Item]],Items!$A$1:$F$43,2,FALSE)=0,"",VLOOKUP(UncLookup[[#This Row],[Item]],Items!$A$1:$F$43,2,FALSE))</f>
        <v/>
      </c>
      <c r="P1790" s="90" t="str">
        <f>IF(VLOOKUP(UncLookup[[#This Row],[Item]],Items!$A$1:$F$43,3,FALSE)=0,"",VLOOKUP(UncLookup[[#This Row],[Item]],Items!$A$1:$F$43,3,FALSE))</f>
        <v/>
      </c>
      <c r="Q1790" s="90" t="str">
        <f>IF(VLOOKUP(UncLookup[[#This Row],[Item]],Items!$A$1:$F$43,4,FALSE)=0,"",VLOOKUP(UncLookup[[#This Row],[Item]],Items!$A$1:$F$43,4,FALSE))</f>
        <v/>
      </c>
    </row>
    <row r="1791" spans="1:17" x14ac:dyDescent="0.25">
      <c r="A1791" s="76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90" t="str">
        <f>IF(VLOOKUP(UncLookup[[#This Row],[Item]],Items!$A$1:$F$43,2,FALSE)=0,"",VLOOKUP(UncLookup[[#This Row],[Item]],Items!$A$1:$F$43,2,FALSE))</f>
        <v/>
      </c>
      <c r="P1791" s="90" t="str">
        <f>IF(VLOOKUP(UncLookup[[#This Row],[Item]],Items!$A$1:$F$43,3,FALSE)=0,"",VLOOKUP(UncLookup[[#This Row],[Item]],Items!$A$1:$F$43,3,FALSE))</f>
        <v/>
      </c>
      <c r="Q1791" s="90" t="str">
        <f>IF(VLOOKUP(UncLookup[[#This Row],[Item]],Items!$A$1:$F$43,4,FALSE)=0,"",VLOOKUP(UncLookup[[#This Row],[Item]],Items!$A$1:$F$43,4,FALSE))</f>
        <v/>
      </c>
    </row>
    <row r="1792" spans="1:17" x14ac:dyDescent="0.25">
      <c r="A1792" s="75" t="s">
        <v>55</v>
      </c>
      <c r="B1792" s="75" t="s">
        <v>8</v>
      </c>
      <c r="C1792" s="75">
        <v>0.33</v>
      </c>
      <c r="D1792" s="75">
        <v>3.3001</v>
      </c>
      <c r="E1792" s="75">
        <v>1.0000000000000001E-5</v>
      </c>
      <c r="F1792" s="75" t="s">
        <v>6</v>
      </c>
      <c r="G1792" s="75" t="s">
        <v>4</v>
      </c>
      <c r="H1792" s="75">
        <v>50</v>
      </c>
      <c r="I1792" s="75">
        <v>100.01</v>
      </c>
      <c r="J1792" s="75" t="s">
        <v>10</v>
      </c>
      <c r="K1792" s="75">
        <v>0.24</v>
      </c>
      <c r="L1792" s="75">
        <v>2.7</v>
      </c>
      <c r="M1792" s="75">
        <v>0.23108000000000001</v>
      </c>
      <c r="N1792" s="75">
        <v>2.6570999999999998</v>
      </c>
      <c r="O1792" s="90" t="str">
        <f>IF(VLOOKUP(UncLookup[[#This Row],[Item]],Items!$A$1:$F$43,2,FALSE)=0,"",VLOOKUP(UncLookup[[#This Row],[Item]],Items!$A$1:$F$43,2,FALSE))</f>
        <v/>
      </c>
      <c r="P1792" s="90" t="str">
        <f>IF(VLOOKUP(UncLookup[[#This Row],[Item]],Items!$A$1:$F$43,3,FALSE)=0,"",VLOOKUP(UncLookup[[#This Row],[Item]],Items!$A$1:$F$43,3,FALSE))</f>
        <v/>
      </c>
      <c r="Q1792" s="90" t="str">
        <f>IF(VLOOKUP(UncLookup[[#This Row],[Item]],Items!$A$1:$F$43,4,FALSE)=0,"",VLOOKUP(UncLookup[[#This Row],[Item]],Items!$A$1:$F$43,4,FALSE))</f>
        <v/>
      </c>
    </row>
    <row r="1793" spans="1:17" x14ac:dyDescent="0.25">
      <c r="A1793" s="76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90" t="str">
        <f>IF(VLOOKUP(UncLookup[[#This Row],[Item]],Items!$A$1:$F$43,2,FALSE)=0,"",VLOOKUP(UncLookup[[#This Row],[Item]],Items!$A$1:$F$43,2,FALSE))</f>
        <v/>
      </c>
      <c r="P1793" s="90" t="str">
        <f>IF(VLOOKUP(UncLookup[[#This Row],[Item]],Items!$A$1:$F$43,3,FALSE)=0,"",VLOOKUP(UncLookup[[#This Row],[Item]],Items!$A$1:$F$43,3,FALSE))</f>
        <v/>
      </c>
      <c r="Q1793" s="90" t="str">
        <f>IF(VLOOKUP(UncLookup[[#This Row],[Item]],Items!$A$1:$F$43,4,FALSE)=0,"",VLOOKUP(UncLookup[[#This Row],[Item]],Items!$A$1:$F$43,4,FALSE))</f>
        <v/>
      </c>
    </row>
    <row r="1794" spans="1:17" x14ac:dyDescent="0.25">
      <c r="A1794" s="75" t="s">
        <v>55</v>
      </c>
      <c r="B1794" s="75" t="s">
        <v>8</v>
      </c>
      <c r="C1794" s="75">
        <v>0.33</v>
      </c>
      <c r="D1794" s="75">
        <v>3.3001</v>
      </c>
      <c r="E1794" s="75">
        <v>1.0000000000000001E-5</v>
      </c>
      <c r="F1794" s="75" t="s">
        <v>6</v>
      </c>
      <c r="G1794" s="75" t="s">
        <v>4</v>
      </c>
      <c r="H1794" s="75">
        <v>10</v>
      </c>
      <c r="I1794" s="75">
        <v>20.010000000000002</v>
      </c>
      <c r="J1794" s="75" t="s">
        <v>10</v>
      </c>
      <c r="K1794" s="75">
        <v>7.0000000000000007E-2</v>
      </c>
      <c r="L1794" s="75">
        <v>0.81</v>
      </c>
      <c r="M1794" s="75">
        <v>6.9434999999999997E-2</v>
      </c>
      <c r="N1794" s="75">
        <v>0.80878000000000005</v>
      </c>
      <c r="O1794" s="90" t="str">
        <f>IF(VLOOKUP(UncLookup[[#This Row],[Item]],Items!$A$1:$F$43,2,FALSE)=0,"",VLOOKUP(UncLookup[[#This Row],[Item]],Items!$A$1:$F$43,2,FALSE))</f>
        <v/>
      </c>
      <c r="P1794" s="90" t="str">
        <f>IF(VLOOKUP(UncLookup[[#This Row],[Item]],Items!$A$1:$F$43,3,FALSE)=0,"",VLOOKUP(UncLookup[[#This Row],[Item]],Items!$A$1:$F$43,3,FALSE))</f>
        <v/>
      </c>
      <c r="Q1794" s="90" t="str">
        <f>IF(VLOOKUP(UncLookup[[#This Row],[Item]],Items!$A$1:$F$43,4,FALSE)=0,"",VLOOKUP(UncLookup[[#This Row],[Item]],Items!$A$1:$F$43,4,FALSE))</f>
        <v/>
      </c>
    </row>
    <row r="1795" spans="1:17" x14ac:dyDescent="0.25">
      <c r="A1795" s="76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90" t="str">
        <f>IF(VLOOKUP(UncLookup[[#This Row],[Item]],Items!$A$1:$F$43,2,FALSE)=0,"",VLOOKUP(UncLookup[[#This Row],[Item]],Items!$A$1:$F$43,2,FALSE))</f>
        <v/>
      </c>
      <c r="P1795" s="90" t="str">
        <f>IF(VLOOKUP(UncLookup[[#This Row],[Item]],Items!$A$1:$F$43,3,FALSE)=0,"",VLOOKUP(UncLookup[[#This Row],[Item]],Items!$A$1:$F$43,3,FALSE))</f>
        <v/>
      </c>
      <c r="Q1795" s="90" t="str">
        <f>IF(VLOOKUP(UncLookup[[#This Row],[Item]],Items!$A$1:$F$43,4,FALSE)=0,"",VLOOKUP(UncLookup[[#This Row],[Item]],Items!$A$1:$F$43,4,FALSE))</f>
        <v/>
      </c>
    </row>
    <row r="1796" spans="1:17" x14ac:dyDescent="0.25">
      <c r="A1796" s="75" t="s">
        <v>55</v>
      </c>
      <c r="B1796" s="75" t="s">
        <v>8</v>
      </c>
      <c r="C1796" s="75">
        <v>0.33</v>
      </c>
      <c r="D1796" s="75">
        <v>3.3001</v>
      </c>
      <c r="E1796" s="75">
        <v>1E-4</v>
      </c>
      <c r="F1796" s="75" t="s">
        <v>6</v>
      </c>
      <c r="G1796" s="75" t="s">
        <v>4</v>
      </c>
      <c r="H1796" s="75">
        <v>4.4999999999999998E-2</v>
      </c>
      <c r="I1796" s="75">
        <v>10.00001</v>
      </c>
      <c r="J1796" s="75" t="s">
        <v>10</v>
      </c>
      <c r="K1796" s="75">
        <v>7.9443E-2</v>
      </c>
      <c r="L1796" s="75">
        <v>0.34499000000000002</v>
      </c>
      <c r="M1796" s="75">
        <v>7.9135999999999998E-2</v>
      </c>
      <c r="N1796" s="75">
        <v>0.34505000000000002</v>
      </c>
      <c r="O1796" s="90" t="str">
        <f>IF(VLOOKUP(UncLookup[[#This Row],[Item]],Items!$A$1:$F$43,2,FALSE)=0,"",VLOOKUP(UncLookup[[#This Row],[Item]],Items!$A$1:$F$43,2,FALSE))</f>
        <v/>
      </c>
      <c r="P1796" s="90" t="str">
        <f>IF(VLOOKUP(UncLookup[[#This Row],[Item]],Items!$A$1:$F$43,3,FALSE)=0,"",VLOOKUP(UncLookup[[#This Row],[Item]],Items!$A$1:$F$43,3,FALSE))</f>
        <v/>
      </c>
      <c r="Q1796" s="90" t="str">
        <f>IF(VLOOKUP(UncLookup[[#This Row],[Item]],Items!$A$1:$F$43,4,FALSE)=0,"",VLOOKUP(UncLookup[[#This Row],[Item]],Items!$A$1:$F$43,4,FALSE))</f>
        <v/>
      </c>
    </row>
    <row r="1797" spans="1:17" x14ac:dyDescent="0.25">
      <c r="A1797" s="76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90" t="str">
        <f>IF(VLOOKUP(UncLookup[[#This Row],[Item]],Items!$A$1:$F$43,2,FALSE)=0,"",VLOOKUP(UncLookup[[#This Row],[Item]],Items!$A$1:$F$43,2,FALSE))</f>
        <v/>
      </c>
      <c r="P1797" s="90" t="str">
        <f>IF(VLOOKUP(UncLookup[[#This Row],[Item]],Items!$A$1:$F$43,3,FALSE)=0,"",VLOOKUP(UncLookup[[#This Row],[Item]],Items!$A$1:$F$43,3,FALSE))</f>
        <v/>
      </c>
      <c r="Q1797" s="90" t="str">
        <f>IF(VLOOKUP(UncLookup[[#This Row],[Item]],Items!$A$1:$F$43,4,FALSE)=0,"",VLOOKUP(UncLookup[[#This Row],[Item]],Items!$A$1:$F$43,4,FALSE))</f>
        <v/>
      </c>
    </row>
    <row r="1798" spans="1:17" x14ac:dyDescent="0.25">
      <c r="A1798" s="75" t="s">
        <v>55</v>
      </c>
      <c r="B1798" s="75" t="s">
        <v>8</v>
      </c>
      <c r="C1798" s="75">
        <v>0.33</v>
      </c>
      <c r="D1798" s="75">
        <v>3.3001</v>
      </c>
      <c r="E1798" s="75">
        <v>1E-4</v>
      </c>
      <c r="F1798" s="75" t="s">
        <v>6</v>
      </c>
      <c r="G1798" s="75" t="s">
        <v>4</v>
      </c>
      <c r="H1798" s="75">
        <v>0.01</v>
      </c>
      <c r="I1798" s="75">
        <v>4.5010000000000001E-2</v>
      </c>
      <c r="J1798" s="75" t="s">
        <v>10</v>
      </c>
      <c r="K1798" s="75">
        <v>0.11</v>
      </c>
      <c r="L1798" s="75">
        <v>0.56032999999999999</v>
      </c>
      <c r="M1798" s="75">
        <v>0.10921</v>
      </c>
      <c r="N1798" s="75">
        <v>0.56037000000000003</v>
      </c>
      <c r="O1798" s="90" t="str">
        <f>IF(VLOOKUP(UncLookup[[#This Row],[Item]],Items!$A$1:$F$43,2,FALSE)=0,"",VLOOKUP(UncLookup[[#This Row],[Item]],Items!$A$1:$F$43,2,FALSE))</f>
        <v/>
      </c>
      <c r="P1798" s="90" t="str">
        <f>IF(VLOOKUP(UncLookup[[#This Row],[Item]],Items!$A$1:$F$43,3,FALSE)=0,"",VLOOKUP(UncLookup[[#This Row],[Item]],Items!$A$1:$F$43,3,FALSE))</f>
        <v/>
      </c>
      <c r="Q1798" s="90" t="str">
        <f>IF(VLOOKUP(UncLookup[[#This Row],[Item]],Items!$A$1:$F$43,4,FALSE)=0,"",VLOOKUP(UncLookup[[#This Row],[Item]],Items!$A$1:$F$43,4,FALSE))</f>
        <v/>
      </c>
    </row>
    <row r="1799" spans="1:17" x14ac:dyDescent="0.25">
      <c r="A1799" s="76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90" t="str">
        <f>IF(VLOOKUP(UncLookup[[#This Row],[Item]],Items!$A$1:$F$43,2,FALSE)=0,"",VLOOKUP(UncLookup[[#This Row],[Item]],Items!$A$1:$F$43,2,FALSE))</f>
        <v/>
      </c>
      <c r="P1799" s="90" t="str">
        <f>IF(VLOOKUP(UncLookup[[#This Row],[Item]],Items!$A$1:$F$43,3,FALSE)=0,"",VLOOKUP(UncLookup[[#This Row],[Item]],Items!$A$1:$F$43,3,FALSE))</f>
        <v/>
      </c>
      <c r="Q1799" s="90" t="str">
        <f>IF(VLOOKUP(UncLookup[[#This Row],[Item]],Items!$A$1:$F$43,4,FALSE)=0,"",VLOOKUP(UncLookup[[#This Row],[Item]],Items!$A$1:$F$43,4,FALSE))</f>
        <v/>
      </c>
    </row>
    <row r="1800" spans="1:17" x14ac:dyDescent="0.25">
      <c r="A1800" s="75" t="s">
        <v>55</v>
      </c>
      <c r="B1800" s="75" t="s">
        <v>8</v>
      </c>
      <c r="C1800" s="75">
        <v>0.33</v>
      </c>
      <c r="D1800" s="75">
        <v>3.3001</v>
      </c>
      <c r="E1800" s="75">
        <v>1E-4</v>
      </c>
      <c r="F1800" s="75" t="s">
        <v>6</v>
      </c>
      <c r="G1800" s="75" t="s">
        <v>4</v>
      </c>
      <c r="H1800" s="75">
        <v>10</v>
      </c>
      <c r="I1800" s="75">
        <v>20.010000000000002</v>
      </c>
      <c r="J1800" s="75" t="s">
        <v>10</v>
      </c>
      <c r="K1800" s="75">
        <v>7.5008000000000005E-2</v>
      </c>
      <c r="L1800" s="75">
        <v>0.80728999999999995</v>
      </c>
      <c r="M1800" s="75">
        <v>7.4829000000000007E-2</v>
      </c>
      <c r="N1800" s="75">
        <v>0.80732999999999999</v>
      </c>
      <c r="O1800" s="90" t="str">
        <f>IF(VLOOKUP(UncLookup[[#This Row],[Item]],Items!$A$1:$F$43,2,FALSE)=0,"",VLOOKUP(UncLookup[[#This Row],[Item]],Items!$A$1:$F$43,2,FALSE))</f>
        <v/>
      </c>
      <c r="P1800" s="90" t="str">
        <f>IF(VLOOKUP(UncLookup[[#This Row],[Item]],Items!$A$1:$F$43,3,FALSE)=0,"",VLOOKUP(UncLookup[[#This Row],[Item]],Items!$A$1:$F$43,3,FALSE))</f>
        <v/>
      </c>
      <c r="Q1800" s="90" t="str">
        <f>IF(VLOOKUP(UncLookup[[#This Row],[Item]],Items!$A$1:$F$43,4,FALSE)=0,"",VLOOKUP(UncLookup[[#This Row],[Item]],Items!$A$1:$F$43,4,FALSE))</f>
        <v/>
      </c>
    </row>
    <row r="1801" spans="1:17" x14ac:dyDescent="0.25">
      <c r="A1801" s="76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90" t="str">
        <f>IF(VLOOKUP(UncLookup[[#This Row],[Item]],Items!$A$1:$F$43,2,FALSE)=0,"",VLOOKUP(UncLookup[[#This Row],[Item]],Items!$A$1:$F$43,2,FALSE))</f>
        <v/>
      </c>
      <c r="P1801" s="90" t="str">
        <f>IF(VLOOKUP(UncLookup[[#This Row],[Item]],Items!$A$1:$F$43,3,FALSE)=0,"",VLOOKUP(UncLookup[[#This Row],[Item]],Items!$A$1:$F$43,3,FALSE))</f>
        <v/>
      </c>
      <c r="Q1801" s="90" t="str">
        <f>IF(VLOOKUP(UncLookup[[#This Row],[Item]],Items!$A$1:$F$43,4,FALSE)=0,"",VLOOKUP(UncLookup[[#This Row],[Item]],Items!$A$1:$F$43,4,FALSE))</f>
        <v/>
      </c>
    </row>
    <row r="1802" spans="1:17" x14ac:dyDescent="0.25">
      <c r="A1802" s="75" t="s">
        <v>55</v>
      </c>
      <c r="B1802" s="75" t="s">
        <v>8</v>
      </c>
      <c r="C1802" s="75">
        <v>0.33</v>
      </c>
      <c r="D1802" s="75">
        <v>3.3001</v>
      </c>
      <c r="E1802" s="75">
        <v>1E-3</v>
      </c>
      <c r="F1802" s="75" t="s">
        <v>6</v>
      </c>
      <c r="G1802" s="75" t="s">
        <v>4</v>
      </c>
      <c r="H1802" s="75">
        <v>10</v>
      </c>
      <c r="I1802" s="75">
        <v>20.010000000000002</v>
      </c>
      <c r="J1802" s="75" t="s">
        <v>10</v>
      </c>
      <c r="K1802" s="75">
        <v>0.43426999999999999</v>
      </c>
      <c r="L1802" s="75">
        <v>0.71669000000000005</v>
      </c>
      <c r="M1802" s="75">
        <v>0.43391000000000002</v>
      </c>
      <c r="N1802" s="75">
        <v>0.71674000000000004</v>
      </c>
      <c r="O1802" s="90" t="str">
        <f>IF(VLOOKUP(UncLookup[[#This Row],[Item]],Items!$A$1:$F$43,2,FALSE)=0,"",VLOOKUP(UncLookup[[#This Row],[Item]],Items!$A$1:$F$43,2,FALSE))</f>
        <v/>
      </c>
      <c r="P1802" s="90" t="str">
        <f>IF(VLOOKUP(UncLookup[[#This Row],[Item]],Items!$A$1:$F$43,3,FALSE)=0,"",VLOOKUP(UncLookup[[#This Row],[Item]],Items!$A$1:$F$43,3,FALSE))</f>
        <v/>
      </c>
      <c r="Q1802" s="90" t="str">
        <f>IF(VLOOKUP(UncLookup[[#This Row],[Item]],Items!$A$1:$F$43,4,FALSE)=0,"",VLOOKUP(UncLookup[[#This Row],[Item]],Items!$A$1:$F$43,4,FALSE))</f>
        <v/>
      </c>
    </row>
    <row r="1803" spans="1:17" x14ac:dyDescent="0.25">
      <c r="A1803" s="76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90" t="str">
        <f>IF(VLOOKUP(UncLookup[[#This Row],[Item]],Items!$A$1:$F$43,2,FALSE)=0,"",VLOOKUP(UncLookup[[#This Row],[Item]],Items!$A$1:$F$43,2,FALSE))</f>
        <v/>
      </c>
      <c r="P1803" s="90" t="str">
        <f>IF(VLOOKUP(UncLookup[[#This Row],[Item]],Items!$A$1:$F$43,3,FALSE)=0,"",VLOOKUP(UncLookup[[#This Row],[Item]],Items!$A$1:$F$43,3,FALSE))</f>
        <v/>
      </c>
      <c r="Q1803" s="90" t="str">
        <f>IF(VLOOKUP(UncLookup[[#This Row],[Item]],Items!$A$1:$F$43,4,FALSE)=0,"",VLOOKUP(UncLookup[[#This Row],[Item]],Items!$A$1:$F$43,4,FALSE))</f>
        <v/>
      </c>
    </row>
    <row r="1804" spans="1:17" x14ac:dyDescent="0.25">
      <c r="A1804" s="75" t="s">
        <v>55</v>
      </c>
      <c r="B1804" s="75" t="s">
        <v>8</v>
      </c>
      <c r="C1804" s="75">
        <v>0.33</v>
      </c>
      <c r="D1804" s="75">
        <v>3.3001</v>
      </c>
      <c r="E1804" s="75">
        <v>1E-3</v>
      </c>
      <c r="F1804" s="75" t="s">
        <v>6</v>
      </c>
      <c r="G1804" s="75" t="s">
        <v>4</v>
      </c>
      <c r="H1804" s="75">
        <v>20</v>
      </c>
      <c r="I1804" s="75">
        <v>50.01</v>
      </c>
      <c r="J1804" s="75" t="s">
        <v>10</v>
      </c>
      <c r="K1804" s="75">
        <v>0.38064999999999999</v>
      </c>
      <c r="L1804" s="75">
        <v>1.0748</v>
      </c>
      <c r="M1804" s="75">
        <v>0.37986999999999999</v>
      </c>
      <c r="N1804" s="75">
        <v>1.0749</v>
      </c>
      <c r="O1804" s="90" t="str">
        <f>IF(VLOOKUP(UncLookup[[#This Row],[Item]],Items!$A$1:$F$43,2,FALSE)=0,"",VLOOKUP(UncLookup[[#This Row],[Item]],Items!$A$1:$F$43,2,FALSE))</f>
        <v/>
      </c>
      <c r="P1804" s="90" t="str">
        <f>IF(VLOOKUP(UncLookup[[#This Row],[Item]],Items!$A$1:$F$43,3,FALSE)=0,"",VLOOKUP(UncLookup[[#This Row],[Item]],Items!$A$1:$F$43,3,FALSE))</f>
        <v/>
      </c>
      <c r="Q1804" s="90" t="str">
        <f>IF(VLOOKUP(UncLookup[[#This Row],[Item]],Items!$A$1:$F$43,4,FALSE)=0,"",VLOOKUP(UncLookup[[#This Row],[Item]],Items!$A$1:$F$43,4,FALSE))</f>
        <v/>
      </c>
    </row>
    <row r="1805" spans="1:17" x14ac:dyDescent="0.25">
      <c r="A1805" s="76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90" t="str">
        <f>IF(VLOOKUP(UncLookup[[#This Row],[Item]],Items!$A$1:$F$43,2,FALSE)=0,"",VLOOKUP(UncLookup[[#This Row],[Item]],Items!$A$1:$F$43,2,FALSE))</f>
        <v/>
      </c>
      <c r="P1805" s="90" t="str">
        <f>IF(VLOOKUP(UncLookup[[#This Row],[Item]],Items!$A$1:$F$43,3,FALSE)=0,"",VLOOKUP(UncLookup[[#This Row],[Item]],Items!$A$1:$F$43,3,FALSE))</f>
        <v/>
      </c>
      <c r="Q1805" s="90" t="str">
        <f>IF(VLOOKUP(UncLookup[[#This Row],[Item]],Items!$A$1:$F$43,4,FALSE)=0,"",VLOOKUP(UncLookup[[#This Row],[Item]],Items!$A$1:$F$43,4,FALSE))</f>
        <v/>
      </c>
    </row>
    <row r="1806" spans="1:17" x14ac:dyDescent="0.25">
      <c r="A1806" s="75" t="s">
        <v>55</v>
      </c>
      <c r="B1806" s="75" t="s">
        <v>8</v>
      </c>
      <c r="C1806" s="75">
        <v>0.33</v>
      </c>
      <c r="D1806" s="75">
        <v>3.3001</v>
      </c>
      <c r="E1806" s="75">
        <v>1E-3</v>
      </c>
      <c r="F1806" s="75" t="s">
        <v>6</v>
      </c>
      <c r="G1806" s="75" t="s">
        <v>4</v>
      </c>
      <c r="H1806" s="75">
        <v>100</v>
      </c>
      <c r="I1806" s="75">
        <v>500</v>
      </c>
      <c r="J1806" s="75" t="s">
        <v>10</v>
      </c>
      <c r="K1806" s="75">
        <v>1.1000000000000001</v>
      </c>
      <c r="L1806" s="75">
        <v>5.7778</v>
      </c>
      <c r="M1806" s="75">
        <v>1.0964</v>
      </c>
      <c r="N1806" s="75">
        <v>5.7779999999999996</v>
      </c>
      <c r="O1806" s="90" t="str">
        <f>IF(VLOOKUP(UncLookup[[#This Row],[Item]],Items!$A$1:$F$43,2,FALSE)=0,"",VLOOKUP(UncLookup[[#This Row],[Item]],Items!$A$1:$F$43,2,FALSE))</f>
        <v/>
      </c>
      <c r="P1806" s="90" t="str">
        <f>IF(VLOOKUP(UncLookup[[#This Row],[Item]],Items!$A$1:$F$43,3,FALSE)=0,"",VLOOKUP(UncLookup[[#This Row],[Item]],Items!$A$1:$F$43,3,FALSE))</f>
        <v/>
      </c>
      <c r="Q1806" s="90" t="str">
        <f>IF(VLOOKUP(UncLookup[[#This Row],[Item]],Items!$A$1:$F$43,4,FALSE)=0,"",VLOOKUP(UncLookup[[#This Row],[Item]],Items!$A$1:$F$43,4,FALSE))</f>
        <v/>
      </c>
    </row>
    <row r="1807" spans="1:17" x14ac:dyDescent="0.25">
      <c r="A1807" s="76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90" t="str">
        <f>IF(VLOOKUP(UncLookup[[#This Row],[Item]],Items!$A$1:$F$43,2,FALSE)=0,"",VLOOKUP(UncLookup[[#This Row],[Item]],Items!$A$1:$F$43,2,FALSE))</f>
        <v/>
      </c>
      <c r="P1807" s="90" t="str">
        <f>IF(VLOOKUP(UncLookup[[#This Row],[Item]],Items!$A$1:$F$43,3,FALSE)=0,"",VLOOKUP(UncLookup[[#This Row],[Item]],Items!$A$1:$F$43,3,FALSE))</f>
        <v/>
      </c>
      <c r="Q1807" s="90" t="str">
        <f>IF(VLOOKUP(UncLookup[[#This Row],[Item]],Items!$A$1:$F$43,4,FALSE)=0,"",VLOOKUP(UncLookup[[#This Row],[Item]],Items!$A$1:$F$43,4,FALSE))</f>
        <v/>
      </c>
    </row>
    <row r="1808" spans="1:17" x14ac:dyDescent="0.25">
      <c r="A1808" s="75" t="s">
        <v>55</v>
      </c>
      <c r="B1808" s="75" t="s">
        <v>8</v>
      </c>
      <c r="C1808" s="75">
        <v>0.33</v>
      </c>
      <c r="D1808" s="75">
        <v>3.3001</v>
      </c>
      <c r="E1808" s="75">
        <v>1E-3</v>
      </c>
      <c r="F1808" s="75" t="s">
        <v>6</v>
      </c>
      <c r="G1808" s="75" t="s">
        <v>4</v>
      </c>
      <c r="H1808" s="75">
        <v>50</v>
      </c>
      <c r="I1808" s="75">
        <v>100.01</v>
      </c>
      <c r="J1808" s="75" t="s">
        <v>10</v>
      </c>
      <c r="K1808" s="75">
        <v>0.38846000000000003</v>
      </c>
      <c r="L1808" s="75">
        <v>2.6152000000000002</v>
      </c>
      <c r="M1808" s="75">
        <v>0.38733000000000001</v>
      </c>
      <c r="N1808" s="75">
        <v>2.6154000000000002</v>
      </c>
      <c r="O1808" s="90" t="str">
        <f>IF(VLOOKUP(UncLookup[[#This Row],[Item]],Items!$A$1:$F$43,2,FALSE)=0,"",VLOOKUP(UncLookup[[#This Row],[Item]],Items!$A$1:$F$43,2,FALSE))</f>
        <v/>
      </c>
      <c r="P1808" s="90" t="str">
        <f>IF(VLOOKUP(UncLookup[[#This Row],[Item]],Items!$A$1:$F$43,3,FALSE)=0,"",VLOOKUP(UncLookup[[#This Row],[Item]],Items!$A$1:$F$43,3,FALSE))</f>
        <v/>
      </c>
      <c r="Q1808" s="90" t="str">
        <f>IF(VLOOKUP(UncLookup[[#This Row],[Item]],Items!$A$1:$F$43,4,FALSE)=0,"",VLOOKUP(UncLookup[[#This Row],[Item]],Items!$A$1:$F$43,4,FALSE))</f>
        <v/>
      </c>
    </row>
    <row r="1809" spans="1:17" x14ac:dyDescent="0.25">
      <c r="A1809" s="76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90" t="str">
        <f>IF(VLOOKUP(UncLookup[[#This Row],[Item]],Items!$A$1:$F$43,2,FALSE)=0,"",VLOOKUP(UncLookup[[#This Row],[Item]],Items!$A$1:$F$43,2,FALSE))</f>
        <v/>
      </c>
      <c r="P1809" s="90" t="str">
        <f>IF(VLOOKUP(UncLookup[[#This Row],[Item]],Items!$A$1:$F$43,3,FALSE)=0,"",VLOOKUP(UncLookup[[#This Row],[Item]],Items!$A$1:$F$43,3,FALSE))</f>
        <v/>
      </c>
      <c r="Q1809" s="90" t="str">
        <f>IF(VLOOKUP(UncLookup[[#This Row],[Item]],Items!$A$1:$F$43,4,FALSE)=0,"",VLOOKUP(UncLookup[[#This Row],[Item]],Items!$A$1:$F$43,4,FALSE))</f>
        <v/>
      </c>
    </row>
    <row r="1810" spans="1:17" x14ac:dyDescent="0.25">
      <c r="A1810" s="75" t="s">
        <v>55</v>
      </c>
      <c r="B1810" s="75" t="s">
        <v>8</v>
      </c>
      <c r="C1810" s="75">
        <v>0.33</v>
      </c>
      <c r="D1810" s="75">
        <v>3.3001</v>
      </c>
      <c r="E1810" s="75">
        <v>0.01</v>
      </c>
      <c r="F1810" s="75" t="s">
        <v>6</v>
      </c>
      <c r="G1810" s="75" t="s">
        <v>4</v>
      </c>
      <c r="H1810" s="75">
        <v>500</v>
      </c>
      <c r="I1810" s="75">
        <v>501</v>
      </c>
      <c r="J1810" s="75" t="s">
        <v>10</v>
      </c>
      <c r="K1810" s="75">
        <v>4.9001000000000001</v>
      </c>
      <c r="L1810" s="75">
        <v>4.8711000000000002</v>
      </c>
      <c r="M1810" s="75">
        <v>4.8981000000000003</v>
      </c>
      <c r="N1810" s="75">
        <v>4.8712999999999997</v>
      </c>
      <c r="O1810" s="90" t="str">
        <f>IF(VLOOKUP(UncLookup[[#This Row],[Item]],Items!$A$1:$F$43,2,FALSE)=0,"",VLOOKUP(UncLookup[[#This Row],[Item]],Items!$A$1:$F$43,2,FALSE))</f>
        <v/>
      </c>
      <c r="P1810" s="90" t="str">
        <f>IF(VLOOKUP(UncLookup[[#This Row],[Item]],Items!$A$1:$F$43,3,FALSE)=0,"",VLOOKUP(UncLookup[[#This Row],[Item]],Items!$A$1:$F$43,3,FALSE))</f>
        <v/>
      </c>
      <c r="Q1810" s="90" t="str">
        <f>IF(VLOOKUP(UncLookup[[#This Row],[Item]],Items!$A$1:$F$43,4,FALSE)=0,"",VLOOKUP(UncLookup[[#This Row],[Item]],Items!$A$1:$F$43,4,FALSE))</f>
        <v/>
      </c>
    </row>
    <row r="1811" spans="1:17" x14ac:dyDescent="0.25">
      <c r="A1811" s="76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90" t="str">
        <f>IF(VLOOKUP(UncLookup[[#This Row],[Item]],Items!$A$1:$F$43,2,FALSE)=0,"",VLOOKUP(UncLookup[[#This Row],[Item]],Items!$A$1:$F$43,2,FALSE))</f>
        <v/>
      </c>
      <c r="P1811" s="90" t="str">
        <f>IF(VLOOKUP(UncLookup[[#This Row],[Item]],Items!$A$1:$F$43,3,FALSE)=0,"",VLOOKUP(UncLookup[[#This Row],[Item]],Items!$A$1:$F$43,3,FALSE))</f>
        <v/>
      </c>
      <c r="Q1811" s="90" t="str">
        <f>IF(VLOOKUP(UncLookup[[#This Row],[Item]],Items!$A$1:$F$43,4,FALSE)=0,"",VLOOKUP(UncLookup[[#This Row],[Item]],Items!$A$1:$F$43,4,FALSE))</f>
        <v/>
      </c>
    </row>
    <row r="1812" spans="1:17" x14ac:dyDescent="0.25">
      <c r="A1812" s="75" t="s">
        <v>55</v>
      </c>
      <c r="B1812" s="75" t="s">
        <v>8</v>
      </c>
      <c r="C1812" s="75">
        <v>0.33</v>
      </c>
      <c r="D1812" s="75">
        <v>3.3001</v>
      </c>
      <c r="E1812" s="75">
        <v>0.01</v>
      </c>
      <c r="F1812" s="75" t="s">
        <v>6</v>
      </c>
      <c r="G1812" s="75" t="s">
        <v>4</v>
      </c>
      <c r="H1812" s="75">
        <v>20</v>
      </c>
      <c r="I1812" s="75">
        <v>50.01</v>
      </c>
      <c r="J1812" s="75" t="s">
        <v>10</v>
      </c>
      <c r="K1812" s="75">
        <v>5.6886000000000001</v>
      </c>
      <c r="L1812" s="75">
        <v>0.39166000000000001</v>
      </c>
      <c r="M1812" s="75">
        <v>5.6882999999999999</v>
      </c>
      <c r="N1812" s="75">
        <v>0.39154</v>
      </c>
      <c r="O1812" s="90" t="str">
        <f>IF(VLOOKUP(UncLookup[[#This Row],[Item]],Items!$A$1:$F$43,2,FALSE)=0,"",VLOOKUP(UncLookup[[#This Row],[Item]],Items!$A$1:$F$43,2,FALSE))</f>
        <v/>
      </c>
      <c r="P1812" s="90" t="str">
        <f>IF(VLOOKUP(UncLookup[[#This Row],[Item]],Items!$A$1:$F$43,3,FALSE)=0,"",VLOOKUP(UncLookup[[#This Row],[Item]],Items!$A$1:$F$43,3,FALSE))</f>
        <v/>
      </c>
      <c r="Q1812" s="90" t="str">
        <f>IF(VLOOKUP(UncLookup[[#This Row],[Item]],Items!$A$1:$F$43,4,FALSE)=0,"",VLOOKUP(UncLookup[[#This Row],[Item]],Items!$A$1:$F$43,4,FALSE))</f>
        <v/>
      </c>
    </row>
    <row r="1813" spans="1:17" x14ac:dyDescent="0.25">
      <c r="A1813" s="76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90" t="str">
        <f>IF(VLOOKUP(UncLookup[[#This Row],[Item]],Items!$A$1:$F$43,2,FALSE)=0,"",VLOOKUP(UncLookup[[#This Row],[Item]],Items!$A$1:$F$43,2,FALSE))</f>
        <v/>
      </c>
      <c r="P1813" s="90" t="str">
        <f>IF(VLOOKUP(UncLookup[[#This Row],[Item]],Items!$A$1:$F$43,3,FALSE)=0,"",VLOOKUP(UncLookup[[#This Row],[Item]],Items!$A$1:$F$43,3,FALSE))</f>
        <v/>
      </c>
      <c r="Q1813" s="90" t="str">
        <f>IF(VLOOKUP(UncLookup[[#This Row],[Item]],Items!$A$1:$F$43,4,FALSE)=0,"",VLOOKUP(UncLookup[[#This Row],[Item]],Items!$A$1:$F$43,4,FALSE))</f>
        <v/>
      </c>
    </row>
    <row r="1814" spans="1:17" x14ac:dyDescent="0.25">
      <c r="A1814" s="75" t="s">
        <v>55</v>
      </c>
      <c r="B1814" s="75" t="s">
        <v>8</v>
      </c>
      <c r="C1814" s="75">
        <v>0.33</v>
      </c>
      <c r="D1814" s="75">
        <v>3.3001</v>
      </c>
      <c r="E1814" s="75">
        <v>0.01</v>
      </c>
      <c r="F1814" s="75" t="s">
        <v>6</v>
      </c>
      <c r="G1814" s="75" t="s">
        <v>4</v>
      </c>
      <c r="H1814" s="75">
        <v>50</v>
      </c>
      <c r="I1814" s="75">
        <v>100.01</v>
      </c>
      <c r="J1814" s="75" t="s">
        <v>10</v>
      </c>
      <c r="K1814" s="75">
        <v>5.3723000000000001</v>
      </c>
      <c r="L1814" s="75">
        <v>1.6168</v>
      </c>
      <c r="M1814" s="75">
        <v>5.3715000000000002</v>
      </c>
      <c r="N1814" s="75">
        <v>1.6167</v>
      </c>
      <c r="O1814" s="90" t="str">
        <f>IF(VLOOKUP(UncLookup[[#This Row],[Item]],Items!$A$1:$F$43,2,FALSE)=0,"",VLOOKUP(UncLookup[[#This Row],[Item]],Items!$A$1:$F$43,2,FALSE))</f>
        <v/>
      </c>
      <c r="P1814" s="90" t="str">
        <f>IF(VLOOKUP(UncLookup[[#This Row],[Item]],Items!$A$1:$F$43,3,FALSE)=0,"",VLOOKUP(UncLookup[[#This Row],[Item]],Items!$A$1:$F$43,3,FALSE))</f>
        <v/>
      </c>
      <c r="Q1814" s="90" t="str">
        <f>IF(VLOOKUP(UncLookup[[#This Row],[Item]],Items!$A$1:$F$43,4,FALSE)=0,"",VLOOKUP(UncLookup[[#This Row],[Item]],Items!$A$1:$F$43,4,FALSE))</f>
        <v/>
      </c>
    </row>
    <row r="1815" spans="1:17" x14ac:dyDescent="0.25">
      <c r="A1815" s="76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90" t="str">
        <f>IF(VLOOKUP(UncLookup[[#This Row],[Item]],Items!$A$1:$F$43,2,FALSE)=0,"",VLOOKUP(UncLookup[[#This Row],[Item]],Items!$A$1:$F$43,2,FALSE))</f>
        <v/>
      </c>
      <c r="P1815" s="90" t="str">
        <f>IF(VLOOKUP(UncLookup[[#This Row],[Item]],Items!$A$1:$F$43,3,FALSE)=0,"",VLOOKUP(UncLookup[[#This Row],[Item]],Items!$A$1:$F$43,3,FALSE))</f>
        <v/>
      </c>
      <c r="Q1815" s="90" t="str">
        <f>IF(VLOOKUP(UncLookup[[#This Row],[Item]],Items!$A$1:$F$43,4,FALSE)=0,"",VLOOKUP(UncLookup[[#This Row],[Item]],Items!$A$1:$F$43,4,FALSE))</f>
        <v/>
      </c>
    </row>
    <row r="1816" spans="1:17" x14ac:dyDescent="0.25">
      <c r="A1816" s="75" t="s">
        <v>55</v>
      </c>
      <c r="B1816" s="75" t="s">
        <v>8</v>
      </c>
      <c r="C1816" s="75">
        <v>0.33</v>
      </c>
      <c r="D1816" s="75">
        <v>3.3001</v>
      </c>
      <c r="E1816" s="75">
        <v>0.1</v>
      </c>
      <c r="F1816" s="75" t="s">
        <v>6</v>
      </c>
      <c r="G1816" s="75" t="s">
        <v>4</v>
      </c>
      <c r="H1816" s="75">
        <v>100</v>
      </c>
      <c r="I1816" s="75">
        <v>500</v>
      </c>
      <c r="J1816" s="75" t="s">
        <v>10</v>
      </c>
      <c r="K1816" s="75">
        <v>57.706000000000003</v>
      </c>
      <c r="L1816" s="75">
        <v>1.1207</v>
      </c>
      <c r="M1816" s="75">
        <v>57.704999999999998</v>
      </c>
      <c r="N1816" s="75">
        <v>1.1204000000000001</v>
      </c>
      <c r="O1816" s="90" t="str">
        <f>IF(VLOOKUP(UncLookup[[#This Row],[Item]],Items!$A$1:$F$43,2,FALSE)=0,"",VLOOKUP(UncLookup[[#This Row],[Item]],Items!$A$1:$F$43,2,FALSE))</f>
        <v/>
      </c>
      <c r="P1816" s="90" t="str">
        <f>IF(VLOOKUP(UncLookup[[#This Row],[Item]],Items!$A$1:$F$43,3,FALSE)=0,"",VLOOKUP(UncLookup[[#This Row],[Item]],Items!$A$1:$F$43,3,FALSE))</f>
        <v/>
      </c>
      <c r="Q1816" s="90" t="str">
        <f>IF(VLOOKUP(UncLookup[[#This Row],[Item]],Items!$A$1:$F$43,4,FALSE)=0,"",VLOOKUP(UncLookup[[#This Row],[Item]],Items!$A$1:$F$43,4,FALSE))</f>
        <v/>
      </c>
    </row>
    <row r="1817" spans="1:17" x14ac:dyDescent="0.25">
      <c r="A1817" s="76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90" t="str">
        <f>IF(VLOOKUP(UncLookup[[#This Row],[Item]],Items!$A$1:$F$43,2,FALSE)=0,"",VLOOKUP(UncLookup[[#This Row],[Item]],Items!$A$1:$F$43,2,FALSE))</f>
        <v/>
      </c>
      <c r="P1817" s="90" t="str">
        <f>IF(VLOOKUP(UncLookup[[#This Row],[Item]],Items!$A$1:$F$43,3,FALSE)=0,"",VLOOKUP(UncLookup[[#This Row],[Item]],Items!$A$1:$F$43,3,FALSE))</f>
        <v/>
      </c>
      <c r="Q1817" s="90" t="str">
        <f>IF(VLOOKUP(UncLookup[[#This Row],[Item]],Items!$A$1:$F$43,4,FALSE)=0,"",VLOOKUP(UncLookup[[#This Row],[Item]],Items!$A$1:$F$43,4,FALSE))</f>
        <v/>
      </c>
    </row>
    <row r="1818" spans="1:17" x14ac:dyDescent="0.25">
      <c r="A1818" s="75" t="s">
        <v>55</v>
      </c>
      <c r="B1818" s="75" t="s">
        <v>8</v>
      </c>
      <c r="C1818" s="75">
        <v>0.33</v>
      </c>
      <c r="D1818" s="75">
        <v>3.3001</v>
      </c>
      <c r="E1818" s="75">
        <v>0.1</v>
      </c>
      <c r="F1818" s="75" t="s">
        <v>6</v>
      </c>
      <c r="G1818" s="75" t="s">
        <v>4</v>
      </c>
      <c r="H1818" s="75">
        <v>20</v>
      </c>
      <c r="I1818" s="75">
        <v>50.01</v>
      </c>
      <c r="J1818" s="75" t="s">
        <v>10</v>
      </c>
      <c r="K1818" s="75">
        <v>57.988</v>
      </c>
      <c r="L1818" s="75">
        <v>4.3219E-2</v>
      </c>
      <c r="M1818" s="75">
        <v>57.988</v>
      </c>
      <c r="N1818" s="75">
        <v>4.3147999999999999E-2</v>
      </c>
      <c r="O1818" s="90" t="str">
        <f>IF(VLOOKUP(UncLookup[[#This Row],[Item]],Items!$A$1:$F$43,2,FALSE)=0,"",VLOOKUP(UncLookup[[#This Row],[Item]],Items!$A$1:$F$43,2,FALSE))</f>
        <v/>
      </c>
      <c r="P1818" s="90" t="str">
        <f>IF(VLOOKUP(UncLookup[[#This Row],[Item]],Items!$A$1:$F$43,3,FALSE)=0,"",VLOOKUP(UncLookup[[#This Row],[Item]],Items!$A$1:$F$43,3,FALSE))</f>
        <v/>
      </c>
      <c r="Q1818" s="90" t="str">
        <f>IF(VLOOKUP(UncLookup[[#This Row],[Item]],Items!$A$1:$F$43,4,FALSE)=0,"",VLOOKUP(UncLookup[[#This Row],[Item]],Items!$A$1:$F$43,4,FALSE))</f>
        <v/>
      </c>
    </row>
    <row r="1819" spans="1:17" x14ac:dyDescent="0.25">
      <c r="A1819" s="76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90" t="str">
        <f>IF(VLOOKUP(UncLookup[[#This Row],[Item]],Items!$A$1:$F$43,2,FALSE)=0,"",VLOOKUP(UncLookup[[#This Row],[Item]],Items!$A$1:$F$43,2,FALSE))</f>
        <v/>
      </c>
      <c r="P1819" s="90" t="str">
        <f>IF(VLOOKUP(UncLookup[[#This Row],[Item]],Items!$A$1:$F$43,3,FALSE)=0,"",VLOOKUP(UncLookup[[#This Row],[Item]],Items!$A$1:$F$43,3,FALSE))</f>
        <v/>
      </c>
      <c r="Q1819" s="90" t="str">
        <f>IF(VLOOKUP(UncLookup[[#This Row],[Item]],Items!$A$1:$F$43,4,FALSE)=0,"",VLOOKUP(UncLookup[[#This Row],[Item]],Items!$A$1:$F$43,4,FALSE))</f>
        <v/>
      </c>
    </row>
    <row r="1820" spans="1:17" x14ac:dyDescent="0.25">
      <c r="A1820" s="75" t="s">
        <v>55</v>
      </c>
      <c r="B1820" s="75" t="s">
        <v>8</v>
      </c>
      <c r="C1820" s="75">
        <v>0.33</v>
      </c>
      <c r="D1820" s="75">
        <v>3.3001</v>
      </c>
      <c r="E1820" s="75">
        <v>0.1</v>
      </c>
      <c r="F1820" s="75" t="s">
        <v>6</v>
      </c>
      <c r="G1820" s="75" t="s">
        <v>4</v>
      </c>
      <c r="H1820" s="75">
        <v>4.4999999999999998E-2</v>
      </c>
      <c r="I1820" s="75">
        <v>10.00001</v>
      </c>
      <c r="J1820" s="75" t="s">
        <v>10</v>
      </c>
      <c r="K1820" s="75">
        <v>57.999000000000002</v>
      </c>
      <c r="L1820" s="75">
        <v>4.2262999999999997E-3</v>
      </c>
      <c r="M1820" s="75">
        <v>57.999000000000002</v>
      </c>
      <c r="N1820" s="75">
        <v>4.1960000000000001E-3</v>
      </c>
      <c r="O1820" s="90" t="str">
        <f>IF(VLOOKUP(UncLookup[[#This Row],[Item]],Items!$A$1:$F$43,2,FALSE)=0,"",VLOOKUP(UncLookup[[#This Row],[Item]],Items!$A$1:$F$43,2,FALSE))</f>
        <v/>
      </c>
      <c r="P1820" s="90" t="str">
        <f>IF(VLOOKUP(UncLookup[[#This Row],[Item]],Items!$A$1:$F$43,3,FALSE)=0,"",VLOOKUP(UncLookup[[#This Row],[Item]],Items!$A$1:$F$43,3,FALSE))</f>
        <v/>
      </c>
      <c r="Q1820" s="90" t="str">
        <f>IF(VLOOKUP(UncLookup[[#This Row],[Item]],Items!$A$1:$F$43,4,FALSE)=0,"",VLOOKUP(UncLookup[[#This Row],[Item]],Items!$A$1:$F$43,4,FALSE))</f>
        <v/>
      </c>
    </row>
    <row r="1821" spans="1:17" x14ac:dyDescent="0.25">
      <c r="A1821" s="76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90" t="str">
        <f>IF(VLOOKUP(UncLookup[[#This Row],[Item]],Items!$A$1:$F$43,2,FALSE)=0,"",VLOOKUP(UncLookup[[#This Row],[Item]],Items!$A$1:$F$43,2,FALSE))</f>
        <v/>
      </c>
      <c r="P1821" s="90" t="str">
        <f>IF(VLOOKUP(UncLookup[[#This Row],[Item]],Items!$A$1:$F$43,3,FALSE)=0,"",VLOOKUP(UncLookup[[#This Row],[Item]],Items!$A$1:$F$43,3,FALSE))</f>
        <v/>
      </c>
      <c r="Q1821" s="90" t="str">
        <f>IF(VLOOKUP(UncLookup[[#This Row],[Item]],Items!$A$1:$F$43,4,FALSE)=0,"",VLOOKUP(UncLookup[[#This Row],[Item]],Items!$A$1:$F$43,4,FALSE))</f>
        <v/>
      </c>
    </row>
    <row r="1822" spans="1:17" x14ac:dyDescent="0.25">
      <c r="A1822" s="75" t="s">
        <v>55</v>
      </c>
      <c r="B1822" s="75" t="s">
        <v>8</v>
      </c>
      <c r="C1822" s="75">
        <v>0.33</v>
      </c>
      <c r="D1822" s="75">
        <v>3.3001</v>
      </c>
      <c r="E1822" s="75">
        <v>0.1</v>
      </c>
      <c r="F1822" s="75" t="s">
        <v>6</v>
      </c>
      <c r="G1822" s="75" t="s">
        <v>4</v>
      </c>
      <c r="H1822" s="75">
        <v>10</v>
      </c>
      <c r="I1822" s="75">
        <v>20.010000000000002</v>
      </c>
      <c r="J1822" s="75" t="s">
        <v>10</v>
      </c>
      <c r="K1822" s="75">
        <v>57.994</v>
      </c>
      <c r="L1822" s="75">
        <v>2.1455999999999999E-2</v>
      </c>
      <c r="M1822" s="75">
        <v>57.994</v>
      </c>
      <c r="N1822" s="75">
        <v>2.1426000000000001E-2</v>
      </c>
      <c r="O1822" s="90" t="str">
        <f>IF(VLOOKUP(UncLookup[[#This Row],[Item]],Items!$A$1:$F$43,2,FALSE)=0,"",VLOOKUP(UncLookup[[#This Row],[Item]],Items!$A$1:$F$43,2,FALSE))</f>
        <v/>
      </c>
      <c r="P1822" s="90" t="str">
        <f>IF(VLOOKUP(UncLookup[[#This Row],[Item]],Items!$A$1:$F$43,3,FALSE)=0,"",VLOOKUP(UncLookup[[#This Row],[Item]],Items!$A$1:$F$43,3,FALSE))</f>
        <v/>
      </c>
      <c r="Q1822" s="90" t="str">
        <f>IF(VLOOKUP(UncLookup[[#This Row],[Item]],Items!$A$1:$F$43,4,FALSE)=0,"",VLOOKUP(UncLookup[[#This Row],[Item]],Items!$A$1:$F$43,4,FALSE))</f>
        <v/>
      </c>
    </row>
    <row r="1823" spans="1:17" x14ac:dyDescent="0.25">
      <c r="A1823" s="76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90" t="str">
        <f>IF(VLOOKUP(UncLookup[[#This Row],[Item]],Items!$A$1:$F$43,2,FALSE)=0,"",VLOOKUP(UncLookup[[#This Row],[Item]],Items!$A$1:$F$43,2,FALSE))</f>
        <v/>
      </c>
      <c r="P1823" s="90" t="str">
        <f>IF(VLOOKUP(UncLookup[[#This Row],[Item]],Items!$A$1:$F$43,3,FALSE)=0,"",VLOOKUP(UncLookup[[#This Row],[Item]],Items!$A$1:$F$43,3,FALSE))</f>
        <v/>
      </c>
      <c r="Q1823" s="90" t="str">
        <f>IF(VLOOKUP(UncLookup[[#This Row],[Item]],Items!$A$1:$F$43,4,FALSE)=0,"",VLOOKUP(UncLookup[[#This Row],[Item]],Items!$A$1:$F$43,4,FALSE))</f>
        <v/>
      </c>
    </row>
    <row r="1824" spans="1:17" x14ac:dyDescent="0.25">
      <c r="A1824" s="75" t="s">
        <v>55</v>
      </c>
      <c r="B1824" s="75" t="s">
        <v>8</v>
      </c>
      <c r="C1824" s="75">
        <v>3.3</v>
      </c>
      <c r="D1824" s="75">
        <v>33.000999999999998</v>
      </c>
      <c r="E1824" s="75">
        <v>1E-4</v>
      </c>
      <c r="F1824" s="75" t="s">
        <v>6</v>
      </c>
      <c r="G1824" s="75" t="s">
        <v>4</v>
      </c>
      <c r="H1824" s="75">
        <v>500</v>
      </c>
      <c r="I1824" s="75">
        <v>501</v>
      </c>
      <c r="J1824" s="75" t="s">
        <v>10</v>
      </c>
      <c r="K1824" s="75">
        <v>13</v>
      </c>
      <c r="L1824" s="75">
        <v>4.5999999999999996</v>
      </c>
      <c r="M1824" s="75">
        <v>2.3363999999999998</v>
      </c>
      <c r="N1824" s="75">
        <v>2.6995</v>
      </c>
      <c r="O1824" s="90" t="str">
        <f>IF(VLOOKUP(UncLookup[[#This Row],[Item]],Items!$A$1:$F$43,2,FALSE)=0,"",VLOOKUP(UncLookup[[#This Row],[Item]],Items!$A$1:$F$43,2,FALSE))</f>
        <v/>
      </c>
      <c r="P1824" s="90" t="str">
        <f>IF(VLOOKUP(UncLookup[[#This Row],[Item]],Items!$A$1:$F$43,3,FALSE)=0,"",VLOOKUP(UncLookup[[#This Row],[Item]],Items!$A$1:$F$43,3,FALSE))</f>
        <v/>
      </c>
      <c r="Q1824" s="90" t="str">
        <f>IF(VLOOKUP(UncLookup[[#This Row],[Item]],Items!$A$1:$F$43,4,FALSE)=0,"",VLOOKUP(UncLookup[[#This Row],[Item]],Items!$A$1:$F$43,4,FALSE))</f>
        <v/>
      </c>
    </row>
    <row r="1825" spans="1:17" x14ac:dyDescent="0.25">
      <c r="A1825" s="76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90" t="str">
        <f>IF(VLOOKUP(UncLookup[[#This Row],[Item]],Items!$A$1:$F$43,2,FALSE)=0,"",VLOOKUP(UncLookup[[#This Row],[Item]],Items!$A$1:$F$43,2,FALSE))</f>
        <v/>
      </c>
      <c r="P1825" s="90" t="str">
        <f>IF(VLOOKUP(UncLookup[[#This Row],[Item]],Items!$A$1:$F$43,3,FALSE)=0,"",VLOOKUP(UncLookup[[#This Row],[Item]],Items!$A$1:$F$43,3,FALSE))</f>
        <v/>
      </c>
      <c r="Q1825" s="90" t="str">
        <f>IF(VLOOKUP(UncLookup[[#This Row],[Item]],Items!$A$1:$F$43,4,FALSE)=0,"",VLOOKUP(UncLookup[[#This Row],[Item]],Items!$A$1:$F$43,4,FALSE))</f>
        <v/>
      </c>
    </row>
    <row r="1826" spans="1:17" x14ac:dyDescent="0.25">
      <c r="A1826" s="75" t="s">
        <v>55</v>
      </c>
      <c r="B1826" s="75" t="s">
        <v>8</v>
      </c>
      <c r="C1826" s="75">
        <v>3.3</v>
      </c>
      <c r="D1826" s="75">
        <v>33.000999999999998</v>
      </c>
      <c r="E1826" s="75">
        <v>1E-4</v>
      </c>
      <c r="F1826" s="75" t="s">
        <v>6</v>
      </c>
      <c r="G1826" s="75" t="s">
        <v>4</v>
      </c>
      <c r="H1826" s="75">
        <v>20</v>
      </c>
      <c r="I1826" s="75">
        <v>50.01</v>
      </c>
      <c r="J1826" s="75" t="s">
        <v>10</v>
      </c>
      <c r="K1826" s="75">
        <v>0.7</v>
      </c>
      <c r="L1826" s="75">
        <v>1.2</v>
      </c>
      <c r="M1826" s="75">
        <v>0.69121999999999995</v>
      </c>
      <c r="N1826" s="75">
        <v>1.1565000000000001</v>
      </c>
      <c r="O1826" s="90" t="str">
        <f>IF(VLOOKUP(UncLookup[[#This Row],[Item]],Items!$A$1:$F$43,2,FALSE)=0,"",VLOOKUP(UncLookup[[#This Row],[Item]],Items!$A$1:$F$43,2,FALSE))</f>
        <v/>
      </c>
      <c r="P1826" s="90" t="str">
        <f>IF(VLOOKUP(UncLookup[[#This Row],[Item]],Items!$A$1:$F$43,3,FALSE)=0,"",VLOOKUP(UncLookup[[#This Row],[Item]],Items!$A$1:$F$43,3,FALSE))</f>
        <v/>
      </c>
      <c r="Q1826" s="90" t="str">
        <f>IF(VLOOKUP(UncLookup[[#This Row],[Item]],Items!$A$1:$F$43,4,FALSE)=0,"",VLOOKUP(UncLookup[[#This Row],[Item]],Items!$A$1:$F$43,4,FALSE))</f>
        <v/>
      </c>
    </row>
    <row r="1827" spans="1:17" x14ac:dyDescent="0.25">
      <c r="A1827" s="76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90" t="str">
        <f>IF(VLOOKUP(UncLookup[[#This Row],[Item]],Items!$A$1:$F$43,2,FALSE)=0,"",VLOOKUP(UncLookup[[#This Row],[Item]],Items!$A$1:$F$43,2,FALSE))</f>
        <v/>
      </c>
      <c r="P1827" s="90" t="str">
        <f>IF(VLOOKUP(UncLookup[[#This Row],[Item]],Items!$A$1:$F$43,3,FALSE)=0,"",VLOOKUP(UncLookup[[#This Row],[Item]],Items!$A$1:$F$43,3,FALSE))</f>
        <v/>
      </c>
      <c r="Q1827" s="90" t="str">
        <f>IF(VLOOKUP(UncLookup[[#This Row],[Item]],Items!$A$1:$F$43,4,FALSE)=0,"",VLOOKUP(UncLookup[[#This Row],[Item]],Items!$A$1:$F$43,4,FALSE))</f>
        <v/>
      </c>
    </row>
    <row r="1828" spans="1:17" x14ac:dyDescent="0.25">
      <c r="A1828" s="75" t="s">
        <v>55</v>
      </c>
      <c r="B1828" s="75" t="s">
        <v>8</v>
      </c>
      <c r="C1828" s="75">
        <v>3.3</v>
      </c>
      <c r="D1828" s="75">
        <v>33.000999999999998</v>
      </c>
      <c r="E1828" s="75">
        <v>1E-4</v>
      </c>
      <c r="F1828" s="75" t="s">
        <v>6</v>
      </c>
      <c r="G1828" s="75" t="s">
        <v>4</v>
      </c>
      <c r="H1828" s="75">
        <v>4.4999999999999998E-2</v>
      </c>
      <c r="I1828" s="75">
        <v>10.00001</v>
      </c>
      <c r="J1828" s="75" t="s">
        <v>10</v>
      </c>
      <c r="K1828" s="75">
        <v>0.7</v>
      </c>
      <c r="L1828" s="75">
        <v>0.35</v>
      </c>
      <c r="M1828" s="75">
        <v>0.69218000000000002</v>
      </c>
      <c r="N1828" s="75">
        <v>0.34794999999999998</v>
      </c>
      <c r="O1828" s="90" t="str">
        <f>IF(VLOOKUP(UncLookup[[#This Row],[Item]],Items!$A$1:$F$43,2,FALSE)=0,"",VLOOKUP(UncLookup[[#This Row],[Item]],Items!$A$1:$F$43,2,FALSE))</f>
        <v/>
      </c>
      <c r="P1828" s="90" t="str">
        <f>IF(VLOOKUP(UncLookup[[#This Row],[Item]],Items!$A$1:$F$43,3,FALSE)=0,"",VLOOKUP(UncLookup[[#This Row],[Item]],Items!$A$1:$F$43,3,FALSE))</f>
        <v/>
      </c>
      <c r="Q1828" s="90" t="str">
        <f>IF(VLOOKUP(UncLookup[[#This Row],[Item]],Items!$A$1:$F$43,4,FALSE)=0,"",VLOOKUP(UncLookup[[#This Row],[Item]],Items!$A$1:$F$43,4,FALSE))</f>
        <v/>
      </c>
    </row>
    <row r="1829" spans="1:17" x14ac:dyDescent="0.25">
      <c r="A1829" s="76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90" t="str">
        <f>IF(VLOOKUP(UncLookup[[#This Row],[Item]],Items!$A$1:$F$43,2,FALSE)=0,"",VLOOKUP(UncLookup[[#This Row],[Item]],Items!$A$1:$F$43,2,FALSE))</f>
        <v/>
      </c>
      <c r="P1829" s="90" t="str">
        <f>IF(VLOOKUP(UncLookup[[#This Row],[Item]],Items!$A$1:$F$43,3,FALSE)=0,"",VLOOKUP(UncLookup[[#This Row],[Item]],Items!$A$1:$F$43,3,FALSE))</f>
        <v/>
      </c>
      <c r="Q1829" s="90" t="str">
        <f>IF(VLOOKUP(UncLookup[[#This Row],[Item]],Items!$A$1:$F$43,4,FALSE)=0,"",VLOOKUP(UncLookup[[#This Row],[Item]],Items!$A$1:$F$43,4,FALSE))</f>
        <v/>
      </c>
    </row>
    <row r="1830" spans="1:17" x14ac:dyDescent="0.25">
      <c r="A1830" s="75" t="s">
        <v>55</v>
      </c>
      <c r="B1830" s="75" t="s">
        <v>8</v>
      </c>
      <c r="C1830" s="75">
        <v>3.3</v>
      </c>
      <c r="D1830" s="75">
        <v>33.000999999999998</v>
      </c>
      <c r="E1830" s="75">
        <v>1E-3</v>
      </c>
      <c r="F1830" s="75" t="s">
        <v>6</v>
      </c>
      <c r="G1830" s="75" t="s">
        <v>4</v>
      </c>
      <c r="H1830" s="75">
        <v>100</v>
      </c>
      <c r="I1830" s="75">
        <v>500</v>
      </c>
      <c r="J1830" s="75" t="s">
        <v>10</v>
      </c>
      <c r="K1830" s="75">
        <v>13</v>
      </c>
      <c r="L1830" s="75">
        <v>4.5999999999999996</v>
      </c>
      <c r="M1830" s="75">
        <v>2.3500999999999999</v>
      </c>
      <c r="N1830" s="75">
        <v>2.6989999999999998</v>
      </c>
      <c r="O1830" s="90" t="str">
        <f>IF(VLOOKUP(UncLookup[[#This Row],[Item]],Items!$A$1:$F$43,2,FALSE)=0,"",VLOOKUP(UncLookup[[#This Row],[Item]],Items!$A$1:$F$43,2,FALSE))</f>
        <v/>
      </c>
      <c r="P1830" s="90" t="str">
        <f>IF(VLOOKUP(UncLookup[[#This Row],[Item]],Items!$A$1:$F$43,3,FALSE)=0,"",VLOOKUP(UncLookup[[#This Row],[Item]],Items!$A$1:$F$43,3,FALSE))</f>
        <v/>
      </c>
      <c r="Q1830" s="90" t="str">
        <f>IF(VLOOKUP(UncLookup[[#This Row],[Item]],Items!$A$1:$F$43,4,FALSE)=0,"",VLOOKUP(UncLookup[[#This Row],[Item]],Items!$A$1:$F$43,4,FALSE))</f>
        <v/>
      </c>
    </row>
    <row r="1831" spans="1:17" x14ac:dyDescent="0.25">
      <c r="A1831" s="76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90" t="str">
        <f>IF(VLOOKUP(UncLookup[[#This Row],[Item]],Items!$A$1:$F$43,2,FALSE)=0,"",VLOOKUP(UncLookup[[#This Row],[Item]],Items!$A$1:$F$43,2,FALSE))</f>
        <v/>
      </c>
      <c r="P1831" s="90" t="str">
        <f>IF(VLOOKUP(UncLookup[[#This Row],[Item]],Items!$A$1:$F$43,3,FALSE)=0,"",VLOOKUP(UncLookup[[#This Row],[Item]],Items!$A$1:$F$43,3,FALSE))</f>
        <v/>
      </c>
      <c r="Q1831" s="90" t="str">
        <f>IF(VLOOKUP(UncLookup[[#This Row],[Item]],Items!$A$1:$F$43,4,FALSE)=0,"",VLOOKUP(UncLookup[[#This Row],[Item]],Items!$A$1:$F$43,4,FALSE))</f>
        <v/>
      </c>
    </row>
    <row r="1832" spans="1:17" x14ac:dyDescent="0.25">
      <c r="A1832" s="75" t="s">
        <v>55</v>
      </c>
      <c r="B1832" s="75" t="s">
        <v>8</v>
      </c>
      <c r="C1832" s="75">
        <v>3.3</v>
      </c>
      <c r="D1832" s="75">
        <v>33.000999999999998</v>
      </c>
      <c r="E1832" s="75">
        <v>1E-3</v>
      </c>
      <c r="F1832" s="75" t="s">
        <v>6</v>
      </c>
      <c r="G1832" s="75" t="s">
        <v>4</v>
      </c>
      <c r="H1832" s="75">
        <v>20</v>
      </c>
      <c r="I1832" s="75">
        <v>50.01</v>
      </c>
      <c r="J1832" s="75" t="s">
        <v>10</v>
      </c>
      <c r="K1832" s="75">
        <v>0.73465999999999998</v>
      </c>
      <c r="L1832" s="75">
        <v>1.1553</v>
      </c>
      <c r="M1832" s="75">
        <v>0.73165000000000002</v>
      </c>
      <c r="N1832" s="75">
        <v>1.1554</v>
      </c>
      <c r="O1832" s="90" t="str">
        <f>IF(VLOOKUP(UncLookup[[#This Row],[Item]],Items!$A$1:$F$43,2,FALSE)=0,"",VLOOKUP(UncLookup[[#This Row],[Item]],Items!$A$1:$F$43,2,FALSE))</f>
        <v/>
      </c>
      <c r="P1832" s="90" t="str">
        <f>IF(VLOOKUP(UncLookup[[#This Row],[Item]],Items!$A$1:$F$43,3,FALSE)=0,"",VLOOKUP(UncLookup[[#This Row],[Item]],Items!$A$1:$F$43,3,FALSE))</f>
        <v/>
      </c>
      <c r="Q1832" s="90" t="str">
        <f>IF(VLOOKUP(UncLookup[[#This Row],[Item]],Items!$A$1:$F$43,4,FALSE)=0,"",VLOOKUP(UncLookup[[#This Row],[Item]],Items!$A$1:$F$43,4,FALSE))</f>
        <v/>
      </c>
    </row>
    <row r="1833" spans="1:17" x14ac:dyDescent="0.25">
      <c r="A1833" s="76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90" t="str">
        <f>IF(VLOOKUP(UncLookup[[#This Row],[Item]],Items!$A$1:$F$43,2,FALSE)=0,"",VLOOKUP(UncLookup[[#This Row],[Item]],Items!$A$1:$F$43,2,FALSE))</f>
        <v/>
      </c>
      <c r="P1833" s="90" t="str">
        <f>IF(VLOOKUP(UncLookup[[#This Row],[Item]],Items!$A$1:$F$43,3,FALSE)=0,"",VLOOKUP(UncLookup[[#This Row],[Item]],Items!$A$1:$F$43,3,FALSE))</f>
        <v/>
      </c>
      <c r="Q1833" s="90" t="str">
        <f>IF(VLOOKUP(UncLookup[[#This Row],[Item]],Items!$A$1:$F$43,4,FALSE)=0,"",VLOOKUP(UncLookup[[#This Row],[Item]],Items!$A$1:$F$43,4,FALSE))</f>
        <v/>
      </c>
    </row>
    <row r="1834" spans="1:17" x14ac:dyDescent="0.25">
      <c r="A1834" s="75" t="s">
        <v>55</v>
      </c>
      <c r="B1834" s="75" t="s">
        <v>8</v>
      </c>
      <c r="C1834" s="75">
        <v>3.3</v>
      </c>
      <c r="D1834" s="75">
        <v>33.000999999999998</v>
      </c>
      <c r="E1834" s="75">
        <v>1E-3</v>
      </c>
      <c r="F1834" s="75" t="s">
        <v>6</v>
      </c>
      <c r="G1834" s="75" t="s">
        <v>4</v>
      </c>
      <c r="H1834" s="75">
        <v>10</v>
      </c>
      <c r="I1834" s="75">
        <v>20.010000000000002</v>
      </c>
      <c r="J1834" s="75" t="s">
        <v>10</v>
      </c>
      <c r="K1834" s="75">
        <v>0.74743999999999999</v>
      </c>
      <c r="L1834" s="75">
        <v>0.8075</v>
      </c>
      <c r="M1834" s="75">
        <v>0.74699000000000004</v>
      </c>
      <c r="N1834" s="75">
        <v>0.80750999999999995</v>
      </c>
      <c r="O1834" s="90" t="str">
        <f>IF(VLOOKUP(UncLookup[[#This Row],[Item]],Items!$A$1:$F$43,2,FALSE)=0,"",VLOOKUP(UncLookup[[#This Row],[Item]],Items!$A$1:$F$43,2,FALSE))</f>
        <v/>
      </c>
      <c r="P1834" s="90" t="str">
        <f>IF(VLOOKUP(UncLookup[[#This Row],[Item]],Items!$A$1:$F$43,3,FALSE)=0,"",VLOOKUP(UncLookup[[#This Row],[Item]],Items!$A$1:$F$43,3,FALSE))</f>
        <v/>
      </c>
      <c r="Q1834" s="90" t="str">
        <f>IF(VLOOKUP(UncLookup[[#This Row],[Item]],Items!$A$1:$F$43,4,FALSE)=0,"",VLOOKUP(UncLookup[[#This Row],[Item]],Items!$A$1:$F$43,4,FALSE))</f>
        <v/>
      </c>
    </row>
    <row r="1835" spans="1:17" x14ac:dyDescent="0.25">
      <c r="A1835" s="76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90" t="str">
        <f>IF(VLOOKUP(UncLookup[[#This Row],[Item]],Items!$A$1:$F$43,2,FALSE)=0,"",VLOOKUP(UncLookup[[#This Row],[Item]],Items!$A$1:$F$43,2,FALSE))</f>
        <v/>
      </c>
      <c r="P1835" s="90" t="str">
        <f>IF(VLOOKUP(UncLookup[[#This Row],[Item]],Items!$A$1:$F$43,3,FALSE)=0,"",VLOOKUP(UncLookup[[#This Row],[Item]],Items!$A$1:$F$43,3,FALSE))</f>
        <v/>
      </c>
      <c r="Q1835" s="90" t="str">
        <f>IF(VLOOKUP(UncLookup[[#This Row],[Item]],Items!$A$1:$F$43,4,FALSE)=0,"",VLOOKUP(UncLookup[[#This Row],[Item]],Items!$A$1:$F$43,4,FALSE))</f>
        <v/>
      </c>
    </row>
    <row r="1836" spans="1:17" x14ac:dyDescent="0.25">
      <c r="A1836" s="75" t="s">
        <v>55</v>
      </c>
      <c r="B1836" s="75" t="s">
        <v>8</v>
      </c>
      <c r="C1836" s="75">
        <v>3.3</v>
      </c>
      <c r="D1836" s="75">
        <v>33.000999999999998</v>
      </c>
      <c r="E1836" s="75">
        <v>1E-3</v>
      </c>
      <c r="F1836" s="75" t="s">
        <v>6</v>
      </c>
      <c r="G1836" s="75" t="s">
        <v>4</v>
      </c>
      <c r="H1836" s="75">
        <v>50</v>
      </c>
      <c r="I1836" s="75">
        <v>100.01</v>
      </c>
      <c r="J1836" s="75" t="s">
        <v>10</v>
      </c>
      <c r="K1836" s="75">
        <v>2.3264999999999998</v>
      </c>
      <c r="L1836" s="75">
        <v>2.6572</v>
      </c>
      <c r="M1836" s="75">
        <v>2.3233999999999999</v>
      </c>
      <c r="N1836" s="75">
        <v>2.6573000000000002</v>
      </c>
      <c r="O1836" s="90" t="str">
        <f>IF(VLOOKUP(UncLookup[[#This Row],[Item]],Items!$A$1:$F$43,2,FALSE)=0,"",VLOOKUP(UncLookup[[#This Row],[Item]],Items!$A$1:$F$43,2,FALSE))</f>
        <v/>
      </c>
      <c r="P1836" s="90" t="str">
        <f>IF(VLOOKUP(UncLookup[[#This Row],[Item]],Items!$A$1:$F$43,3,FALSE)=0,"",VLOOKUP(UncLookup[[#This Row],[Item]],Items!$A$1:$F$43,3,FALSE))</f>
        <v/>
      </c>
      <c r="Q1836" s="90" t="str">
        <f>IF(VLOOKUP(UncLookup[[#This Row],[Item]],Items!$A$1:$F$43,4,FALSE)=0,"",VLOOKUP(UncLookup[[#This Row],[Item]],Items!$A$1:$F$43,4,FALSE))</f>
        <v/>
      </c>
    </row>
    <row r="1837" spans="1:17" x14ac:dyDescent="0.25">
      <c r="A1837" s="76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90" t="str">
        <f>IF(VLOOKUP(UncLookup[[#This Row],[Item]],Items!$A$1:$F$43,2,FALSE)=0,"",VLOOKUP(UncLookup[[#This Row],[Item]],Items!$A$1:$F$43,2,FALSE))</f>
        <v/>
      </c>
      <c r="P1837" s="90" t="str">
        <f>IF(VLOOKUP(UncLookup[[#This Row],[Item]],Items!$A$1:$F$43,3,FALSE)=0,"",VLOOKUP(UncLookup[[#This Row],[Item]],Items!$A$1:$F$43,3,FALSE))</f>
        <v/>
      </c>
      <c r="Q1837" s="90" t="str">
        <f>IF(VLOOKUP(UncLookup[[#This Row],[Item]],Items!$A$1:$F$43,4,FALSE)=0,"",VLOOKUP(UncLookup[[#This Row],[Item]],Items!$A$1:$F$43,4,FALSE))</f>
        <v/>
      </c>
    </row>
    <row r="1838" spans="1:17" x14ac:dyDescent="0.25">
      <c r="A1838" s="75" t="s">
        <v>55</v>
      </c>
      <c r="B1838" s="75" t="s">
        <v>8</v>
      </c>
      <c r="C1838" s="75">
        <v>3.3</v>
      </c>
      <c r="D1838" s="75">
        <v>33.000999999999998</v>
      </c>
      <c r="E1838" s="75">
        <v>0.01</v>
      </c>
      <c r="F1838" s="75" t="s">
        <v>6</v>
      </c>
      <c r="G1838" s="75" t="s">
        <v>4</v>
      </c>
      <c r="H1838" s="75">
        <v>20</v>
      </c>
      <c r="I1838" s="75">
        <v>50.01</v>
      </c>
      <c r="J1838" s="75" t="s">
        <v>10</v>
      </c>
      <c r="K1838" s="75">
        <v>3.8001999999999998</v>
      </c>
      <c r="L1838" s="75">
        <v>1.0753999999999999</v>
      </c>
      <c r="M1838" s="75">
        <v>3.7970999999999999</v>
      </c>
      <c r="N1838" s="75">
        <v>1.0753999999999999</v>
      </c>
      <c r="O1838" s="90" t="str">
        <f>IF(VLOOKUP(UncLookup[[#This Row],[Item]],Items!$A$1:$F$43,2,FALSE)=0,"",VLOOKUP(UncLookup[[#This Row],[Item]],Items!$A$1:$F$43,2,FALSE))</f>
        <v/>
      </c>
      <c r="P1838" s="90" t="str">
        <f>IF(VLOOKUP(UncLookup[[#This Row],[Item]],Items!$A$1:$F$43,3,FALSE)=0,"",VLOOKUP(UncLookup[[#This Row],[Item]],Items!$A$1:$F$43,3,FALSE))</f>
        <v/>
      </c>
      <c r="Q1838" s="90" t="str">
        <f>IF(VLOOKUP(UncLookup[[#This Row],[Item]],Items!$A$1:$F$43,4,FALSE)=0,"",VLOOKUP(UncLookup[[#This Row],[Item]],Items!$A$1:$F$43,4,FALSE))</f>
        <v/>
      </c>
    </row>
    <row r="1839" spans="1:17" x14ac:dyDescent="0.25">
      <c r="A1839" s="76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90" t="str">
        <f>IF(VLOOKUP(UncLookup[[#This Row],[Item]],Items!$A$1:$F$43,2,FALSE)=0,"",VLOOKUP(UncLookup[[#This Row],[Item]],Items!$A$1:$F$43,2,FALSE))</f>
        <v/>
      </c>
      <c r="P1839" s="90" t="str">
        <f>IF(VLOOKUP(UncLookup[[#This Row],[Item]],Items!$A$1:$F$43,3,FALSE)=0,"",VLOOKUP(UncLookup[[#This Row],[Item]],Items!$A$1:$F$43,3,FALSE))</f>
        <v/>
      </c>
      <c r="Q1839" s="90" t="str">
        <f>IF(VLOOKUP(UncLookup[[#This Row],[Item]],Items!$A$1:$F$43,4,FALSE)=0,"",VLOOKUP(UncLookup[[#This Row],[Item]],Items!$A$1:$F$43,4,FALSE))</f>
        <v/>
      </c>
    </row>
    <row r="1840" spans="1:17" x14ac:dyDescent="0.25">
      <c r="A1840" s="75" t="s">
        <v>55</v>
      </c>
      <c r="B1840" s="75" t="s">
        <v>8</v>
      </c>
      <c r="C1840" s="75">
        <v>3.3</v>
      </c>
      <c r="D1840" s="75">
        <v>33.000999999999998</v>
      </c>
      <c r="E1840" s="75">
        <v>0.01</v>
      </c>
      <c r="F1840" s="75" t="s">
        <v>6</v>
      </c>
      <c r="G1840" s="75" t="s">
        <v>4</v>
      </c>
      <c r="H1840" s="75">
        <v>10</v>
      </c>
      <c r="I1840" s="75">
        <v>20.010000000000002</v>
      </c>
      <c r="J1840" s="75" t="s">
        <v>10</v>
      </c>
      <c r="K1840" s="75">
        <v>4.3391999999999999</v>
      </c>
      <c r="L1840" s="75">
        <v>0.71689999999999998</v>
      </c>
      <c r="M1840" s="75">
        <v>4.3383000000000003</v>
      </c>
      <c r="N1840" s="75">
        <v>0.71689999999999998</v>
      </c>
      <c r="O1840" s="90" t="str">
        <f>IF(VLOOKUP(UncLookup[[#This Row],[Item]],Items!$A$1:$F$43,2,FALSE)=0,"",VLOOKUP(UncLookup[[#This Row],[Item]],Items!$A$1:$F$43,2,FALSE))</f>
        <v/>
      </c>
      <c r="P1840" s="90" t="str">
        <f>IF(VLOOKUP(UncLookup[[#This Row],[Item]],Items!$A$1:$F$43,3,FALSE)=0,"",VLOOKUP(UncLookup[[#This Row],[Item]],Items!$A$1:$F$43,3,FALSE))</f>
        <v/>
      </c>
      <c r="Q1840" s="90" t="str">
        <f>IF(VLOOKUP(UncLookup[[#This Row],[Item]],Items!$A$1:$F$43,4,FALSE)=0,"",VLOOKUP(UncLookup[[#This Row],[Item]],Items!$A$1:$F$43,4,FALSE))</f>
        <v/>
      </c>
    </row>
    <row r="1841" spans="1:17" x14ac:dyDescent="0.25">
      <c r="A1841" s="76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90" t="str">
        <f>IF(VLOOKUP(UncLookup[[#This Row],[Item]],Items!$A$1:$F$43,2,FALSE)=0,"",VLOOKUP(UncLookup[[#This Row],[Item]],Items!$A$1:$F$43,2,FALSE))</f>
        <v/>
      </c>
      <c r="P1841" s="90" t="str">
        <f>IF(VLOOKUP(UncLookup[[#This Row],[Item]],Items!$A$1:$F$43,3,FALSE)=0,"",VLOOKUP(UncLookup[[#This Row],[Item]],Items!$A$1:$F$43,3,FALSE))</f>
        <v/>
      </c>
      <c r="Q1841" s="90" t="str">
        <f>IF(VLOOKUP(UncLookup[[#This Row],[Item]],Items!$A$1:$F$43,4,FALSE)=0,"",VLOOKUP(UncLookup[[#This Row],[Item]],Items!$A$1:$F$43,4,FALSE))</f>
        <v/>
      </c>
    </row>
    <row r="1842" spans="1:17" x14ac:dyDescent="0.25">
      <c r="A1842" s="75" t="s">
        <v>55</v>
      </c>
      <c r="B1842" s="75" t="s">
        <v>8</v>
      </c>
      <c r="C1842" s="75">
        <v>3.3</v>
      </c>
      <c r="D1842" s="75">
        <v>33.000999999999998</v>
      </c>
      <c r="E1842" s="75">
        <v>0.01</v>
      </c>
      <c r="F1842" s="75" t="s">
        <v>6</v>
      </c>
      <c r="G1842" s="75" t="s">
        <v>4</v>
      </c>
      <c r="H1842" s="75">
        <v>0.01</v>
      </c>
      <c r="I1842" s="75">
        <v>4.5010000000000001E-2</v>
      </c>
      <c r="J1842" s="75" t="s">
        <v>10</v>
      </c>
      <c r="K1842" s="75">
        <v>4.8574000000000002</v>
      </c>
      <c r="L1842" s="75">
        <v>0.48407</v>
      </c>
      <c r="M1842" s="75">
        <v>4.8564999999999996</v>
      </c>
      <c r="N1842" s="75">
        <v>0.48405999999999999</v>
      </c>
      <c r="O1842" s="90" t="str">
        <f>IF(VLOOKUP(UncLookup[[#This Row],[Item]],Items!$A$1:$F$43,2,FALSE)=0,"",VLOOKUP(UncLookup[[#This Row],[Item]],Items!$A$1:$F$43,2,FALSE))</f>
        <v/>
      </c>
      <c r="P1842" s="90" t="str">
        <f>IF(VLOOKUP(UncLookup[[#This Row],[Item]],Items!$A$1:$F$43,3,FALSE)=0,"",VLOOKUP(UncLookup[[#This Row],[Item]],Items!$A$1:$F$43,3,FALSE))</f>
        <v/>
      </c>
      <c r="Q1842" s="90" t="str">
        <f>IF(VLOOKUP(UncLookup[[#This Row],[Item]],Items!$A$1:$F$43,4,FALSE)=0,"",VLOOKUP(UncLookup[[#This Row],[Item]],Items!$A$1:$F$43,4,FALSE))</f>
        <v/>
      </c>
    </row>
    <row r="1843" spans="1:17" x14ac:dyDescent="0.25">
      <c r="A1843" s="76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90" t="str">
        <f>IF(VLOOKUP(UncLookup[[#This Row],[Item]],Items!$A$1:$F$43,2,FALSE)=0,"",VLOOKUP(UncLookup[[#This Row],[Item]],Items!$A$1:$F$43,2,FALSE))</f>
        <v/>
      </c>
      <c r="P1843" s="90" t="str">
        <f>IF(VLOOKUP(UncLookup[[#This Row],[Item]],Items!$A$1:$F$43,3,FALSE)=0,"",VLOOKUP(UncLookup[[#This Row],[Item]],Items!$A$1:$F$43,3,FALSE))</f>
        <v/>
      </c>
      <c r="Q1843" s="90" t="str">
        <f>IF(VLOOKUP(UncLookup[[#This Row],[Item]],Items!$A$1:$F$43,4,FALSE)=0,"",VLOOKUP(UncLookup[[#This Row],[Item]],Items!$A$1:$F$43,4,FALSE))</f>
        <v/>
      </c>
    </row>
    <row r="1844" spans="1:17" x14ac:dyDescent="0.25">
      <c r="A1844" s="75" t="s">
        <v>55</v>
      </c>
      <c r="B1844" s="75" t="s">
        <v>8</v>
      </c>
      <c r="C1844" s="75">
        <v>3.3</v>
      </c>
      <c r="D1844" s="75">
        <v>33.000999999999998</v>
      </c>
      <c r="E1844" s="75">
        <v>0.1</v>
      </c>
      <c r="F1844" s="75" t="s">
        <v>6</v>
      </c>
      <c r="G1844" s="75" t="s">
        <v>4</v>
      </c>
      <c r="H1844" s="75">
        <v>50</v>
      </c>
      <c r="I1844" s="75">
        <v>100.01</v>
      </c>
      <c r="J1844" s="75" t="s">
        <v>10</v>
      </c>
      <c r="K1844" s="75">
        <v>53.719000000000001</v>
      </c>
      <c r="L1844" s="75">
        <v>1.6172</v>
      </c>
      <c r="M1844" s="75">
        <v>53.713000000000001</v>
      </c>
      <c r="N1844" s="75">
        <v>1.6172</v>
      </c>
      <c r="O1844" s="90" t="str">
        <f>IF(VLOOKUP(UncLookup[[#This Row],[Item]],Items!$A$1:$F$43,2,FALSE)=0,"",VLOOKUP(UncLookup[[#This Row],[Item]],Items!$A$1:$F$43,2,FALSE))</f>
        <v/>
      </c>
      <c r="P1844" s="90" t="str">
        <f>IF(VLOOKUP(UncLookup[[#This Row],[Item]],Items!$A$1:$F$43,3,FALSE)=0,"",VLOOKUP(UncLookup[[#This Row],[Item]],Items!$A$1:$F$43,3,FALSE))</f>
        <v/>
      </c>
      <c r="Q1844" s="90" t="str">
        <f>IF(VLOOKUP(UncLookup[[#This Row],[Item]],Items!$A$1:$F$43,4,FALSE)=0,"",VLOOKUP(UncLookup[[#This Row],[Item]],Items!$A$1:$F$43,4,FALSE))</f>
        <v/>
      </c>
    </row>
    <row r="1845" spans="1:17" x14ac:dyDescent="0.25">
      <c r="A1845" s="76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90" t="str">
        <f>IF(VLOOKUP(UncLookup[[#This Row],[Item]],Items!$A$1:$F$43,2,FALSE)=0,"",VLOOKUP(UncLookup[[#This Row],[Item]],Items!$A$1:$F$43,2,FALSE))</f>
        <v/>
      </c>
      <c r="P1845" s="90" t="str">
        <f>IF(VLOOKUP(UncLookup[[#This Row],[Item]],Items!$A$1:$F$43,3,FALSE)=0,"",VLOOKUP(UncLookup[[#This Row],[Item]],Items!$A$1:$F$43,3,FALSE))</f>
        <v/>
      </c>
      <c r="Q1845" s="90" t="str">
        <f>IF(VLOOKUP(UncLookup[[#This Row],[Item]],Items!$A$1:$F$43,4,FALSE)=0,"",VLOOKUP(UncLookup[[#This Row],[Item]],Items!$A$1:$F$43,4,FALSE))</f>
        <v/>
      </c>
    </row>
    <row r="1846" spans="1:17" x14ac:dyDescent="0.25">
      <c r="A1846" s="75" t="s">
        <v>55</v>
      </c>
      <c r="B1846" s="75" t="s">
        <v>8</v>
      </c>
      <c r="C1846" s="75">
        <v>3.3</v>
      </c>
      <c r="D1846" s="75">
        <v>33.000999999999998</v>
      </c>
      <c r="E1846" s="75">
        <v>0.1</v>
      </c>
      <c r="F1846" s="75" t="s">
        <v>6</v>
      </c>
      <c r="G1846" s="75" t="s">
        <v>4</v>
      </c>
      <c r="H1846" s="75">
        <v>4.4999999999999998E-2</v>
      </c>
      <c r="I1846" s="75">
        <v>10.00001</v>
      </c>
      <c r="J1846" s="75" t="s">
        <v>10</v>
      </c>
      <c r="K1846" s="75">
        <v>57.892000000000003</v>
      </c>
      <c r="L1846" s="75">
        <v>4.1619999999999997E-2</v>
      </c>
      <c r="M1846" s="75">
        <v>57.892000000000003</v>
      </c>
      <c r="N1846" s="75">
        <v>4.1575000000000001E-2</v>
      </c>
      <c r="O1846" s="90" t="str">
        <f>IF(VLOOKUP(UncLookup[[#This Row],[Item]],Items!$A$1:$F$43,2,FALSE)=0,"",VLOOKUP(UncLookup[[#This Row],[Item]],Items!$A$1:$F$43,2,FALSE))</f>
        <v/>
      </c>
      <c r="P1846" s="90" t="str">
        <f>IF(VLOOKUP(UncLookup[[#This Row],[Item]],Items!$A$1:$F$43,3,FALSE)=0,"",VLOOKUP(UncLookup[[#This Row],[Item]],Items!$A$1:$F$43,3,FALSE))</f>
        <v/>
      </c>
      <c r="Q1846" s="90" t="str">
        <f>IF(VLOOKUP(UncLookup[[#This Row],[Item]],Items!$A$1:$F$43,4,FALSE)=0,"",VLOOKUP(UncLookup[[#This Row],[Item]],Items!$A$1:$F$43,4,FALSE))</f>
        <v/>
      </c>
    </row>
    <row r="1847" spans="1:17" x14ac:dyDescent="0.25">
      <c r="A1847" s="76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90" t="str">
        <f>IF(VLOOKUP(UncLookup[[#This Row],[Item]],Items!$A$1:$F$43,2,FALSE)=0,"",VLOOKUP(UncLookup[[#This Row],[Item]],Items!$A$1:$F$43,2,FALSE))</f>
        <v/>
      </c>
      <c r="P1847" s="90" t="str">
        <f>IF(VLOOKUP(UncLookup[[#This Row],[Item]],Items!$A$1:$F$43,3,FALSE)=0,"",VLOOKUP(UncLookup[[#This Row],[Item]],Items!$A$1:$F$43,3,FALSE))</f>
        <v/>
      </c>
      <c r="Q1847" s="90" t="str">
        <f>IF(VLOOKUP(UncLookup[[#This Row],[Item]],Items!$A$1:$F$43,4,FALSE)=0,"",VLOOKUP(UncLookup[[#This Row],[Item]],Items!$A$1:$F$43,4,FALSE))</f>
        <v/>
      </c>
    </row>
    <row r="1848" spans="1:17" x14ac:dyDescent="0.25">
      <c r="A1848" s="75" t="s">
        <v>55</v>
      </c>
      <c r="B1848" s="75" t="s">
        <v>8</v>
      </c>
      <c r="C1848" s="75">
        <v>3.3</v>
      </c>
      <c r="D1848" s="75">
        <v>33.000999999999998</v>
      </c>
      <c r="E1848" s="75">
        <v>0.1</v>
      </c>
      <c r="F1848" s="75" t="s">
        <v>6</v>
      </c>
      <c r="G1848" s="75" t="s">
        <v>4</v>
      </c>
      <c r="H1848" s="75">
        <v>100</v>
      </c>
      <c r="I1848" s="75">
        <v>500</v>
      </c>
      <c r="J1848" s="75" t="s">
        <v>10</v>
      </c>
      <c r="K1848" s="75">
        <v>47.329000000000001</v>
      </c>
      <c r="L1848" s="75">
        <v>3.5596999999999999</v>
      </c>
      <c r="M1848" s="75">
        <v>53.607999999999997</v>
      </c>
      <c r="N1848" s="75">
        <v>1.6549</v>
      </c>
      <c r="O1848" s="90" t="str">
        <f>IF(VLOOKUP(UncLookup[[#This Row],[Item]],Items!$A$1:$F$43,2,FALSE)=0,"",VLOOKUP(UncLookup[[#This Row],[Item]],Items!$A$1:$F$43,2,FALSE))</f>
        <v/>
      </c>
      <c r="P1848" s="90" t="str">
        <f>IF(VLOOKUP(UncLookup[[#This Row],[Item]],Items!$A$1:$F$43,3,FALSE)=0,"",VLOOKUP(UncLookup[[#This Row],[Item]],Items!$A$1:$F$43,3,FALSE))</f>
        <v/>
      </c>
      <c r="Q1848" s="90" t="str">
        <f>IF(VLOOKUP(UncLookup[[#This Row],[Item]],Items!$A$1:$F$43,4,FALSE)=0,"",VLOOKUP(UncLookup[[#This Row],[Item]],Items!$A$1:$F$43,4,FALSE))</f>
        <v/>
      </c>
    </row>
    <row r="1849" spans="1:17" x14ac:dyDescent="0.25">
      <c r="A1849" s="76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90" t="str">
        <f>IF(VLOOKUP(UncLookup[[#This Row],[Item]],Items!$A$1:$F$43,2,FALSE)=0,"",VLOOKUP(UncLookup[[#This Row],[Item]],Items!$A$1:$F$43,2,FALSE))</f>
        <v/>
      </c>
      <c r="P1849" s="90" t="str">
        <f>IF(VLOOKUP(UncLookup[[#This Row],[Item]],Items!$A$1:$F$43,3,FALSE)=0,"",VLOOKUP(UncLookup[[#This Row],[Item]],Items!$A$1:$F$43,3,FALSE))</f>
        <v/>
      </c>
      <c r="Q1849" s="90" t="str">
        <f>IF(VLOOKUP(UncLookup[[#This Row],[Item]],Items!$A$1:$F$43,4,FALSE)=0,"",VLOOKUP(UncLookup[[#This Row],[Item]],Items!$A$1:$F$43,4,FALSE))</f>
        <v/>
      </c>
    </row>
    <row r="1850" spans="1:17" x14ac:dyDescent="0.25">
      <c r="A1850" s="75" t="s">
        <v>55</v>
      </c>
      <c r="B1850" s="75" t="s">
        <v>8</v>
      </c>
      <c r="C1850" s="75">
        <v>3.3</v>
      </c>
      <c r="D1850" s="75">
        <v>33.000999999999998</v>
      </c>
      <c r="E1850" s="75">
        <v>0.1</v>
      </c>
      <c r="F1850" s="75" t="s">
        <v>6</v>
      </c>
      <c r="G1850" s="75" t="s">
        <v>4</v>
      </c>
      <c r="H1850" s="75">
        <v>20</v>
      </c>
      <c r="I1850" s="75">
        <v>50.01</v>
      </c>
      <c r="J1850" s="75" t="s">
        <v>10</v>
      </c>
      <c r="K1850" s="75">
        <v>56.883000000000003</v>
      </c>
      <c r="L1850" s="75">
        <v>0.39190000000000003</v>
      </c>
      <c r="M1850" s="75">
        <v>56.881999999999998</v>
      </c>
      <c r="N1850" s="75">
        <v>0.39182</v>
      </c>
      <c r="O1850" s="90" t="str">
        <f>IF(VLOOKUP(UncLookup[[#This Row],[Item]],Items!$A$1:$F$43,2,FALSE)=0,"",VLOOKUP(UncLookup[[#This Row],[Item]],Items!$A$1:$F$43,2,FALSE))</f>
        <v/>
      </c>
      <c r="P1850" s="90" t="str">
        <f>IF(VLOOKUP(UncLookup[[#This Row],[Item]],Items!$A$1:$F$43,3,FALSE)=0,"",VLOOKUP(UncLookup[[#This Row],[Item]],Items!$A$1:$F$43,3,FALSE))</f>
        <v/>
      </c>
      <c r="Q1850" s="90" t="str">
        <f>IF(VLOOKUP(UncLookup[[#This Row],[Item]],Items!$A$1:$F$43,4,FALSE)=0,"",VLOOKUP(UncLookup[[#This Row],[Item]],Items!$A$1:$F$43,4,FALSE))</f>
        <v/>
      </c>
    </row>
    <row r="1851" spans="1:17" x14ac:dyDescent="0.25">
      <c r="A1851" s="76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90" t="str">
        <f>IF(VLOOKUP(UncLookup[[#This Row],[Item]],Items!$A$1:$F$43,2,FALSE)=0,"",VLOOKUP(UncLookup[[#This Row],[Item]],Items!$A$1:$F$43,2,FALSE))</f>
        <v/>
      </c>
      <c r="P1851" s="90" t="str">
        <f>IF(VLOOKUP(UncLookup[[#This Row],[Item]],Items!$A$1:$F$43,3,FALSE)=0,"",VLOOKUP(UncLookup[[#This Row],[Item]],Items!$A$1:$F$43,3,FALSE))</f>
        <v/>
      </c>
      <c r="Q1851" s="90" t="str">
        <f>IF(VLOOKUP(UncLookup[[#This Row],[Item]],Items!$A$1:$F$43,4,FALSE)=0,"",VLOOKUP(UncLookup[[#This Row],[Item]],Items!$A$1:$F$43,4,FALSE))</f>
        <v/>
      </c>
    </row>
    <row r="1852" spans="1:17" x14ac:dyDescent="0.25">
      <c r="A1852" s="75" t="s">
        <v>55</v>
      </c>
      <c r="B1852" s="75" t="s">
        <v>8</v>
      </c>
      <c r="C1852" s="75">
        <v>3.3</v>
      </c>
      <c r="D1852" s="75">
        <v>33.000999999999998</v>
      </c>
      <c r="E1852" s="75">
        <v>1</v>
      </c>
      <c r="F1852" s="75" t="s">
        <v>6</v>
      </c>
      <c r="G1852" s="75" t="s">
        <v>4</v>
      </c>
      <c r="H1852" s="75">
        <v>100</v>
      </c>
      <c r="I1852" s="75">
        <v>500</v>
      </c>
      <c r="J1852" s="75" t="s">
        <v>10</v>
      </c>
      <c r="K1852" s="75">
        <v>579.33000000000004</v>
      </c>
      <c r="L1852" s="75">
        <v>0.23723</v>
      </c>
      <c r="M1852" s="75">
        <v>579.33000000000004</v>
      </c>
      <c r="N1852" s="75">
        <v>0.23716999999999999</v>
      </c>
      <c r="O1852" s="90" t="str">
        <f>IF(VLOOKUP(UncLookup[[#This Row],[Item]],Items!$A$1:$F$43,2,FALSE)=0,"",VLOOKUP(UncLookup[[#This Row],[Item]],Items!$A$1:$F$43,2,FALSE))</f>
        <v/>
      </c>
      <c r="P1852" s="90" t="str">
        <f>IF(VLOOKUP(UncLookup[[#This Row],[Item]],Items!$A$1:$F$43,3,FALSE)=0,"",VLOOKUP(UncLookup[[#This Row],[Item]],Items!$A$1:$F$43,3,FALSE))</f>
        <v/>
      </c>
      <c r="Q1852" s="90" t="str">
        <f>IF(VLOOKUP(UncLookup[[#This Row],[Item]],Items!$A$1:$F$43,4,FALSE)=0,"",VLOOKUP(UncLookup[[#This Row],[Item]],Items!$A$1:$F$43,4,FALSE))</f>
        <v/>
      </c>
    </row>
    <row r="1853" spans="1:17" x14ac:dyDescent="0.25">
      <c r="A1853" s="76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90" t="str">
        <f>IF(VLOOKUP(UncLookup[[#This Row],[Item]],Items!$A$1:$F$43,2,FALSE)=0,"",VLOOKUP(UncLookup[[#This Row],[Item]],Items!$A$1:$F$43,2,FALSE))</f>
        <v/>
      </c>
      <c r="P1853" s="90" t="str">
        <f>IF(VLOOKUP(UncLookup[[#This Row],[Item]],Items!$A$1:$F$43,3,FALSE)=0,"",VLOOKUP(UncLookup[[#This Row],[Item]],Items!$A$1:$F$43,3,FALSE))</f>
        <v/>
      </c>
      <c r="Q1853" s="90" t="str">
        <f>IF(VLOOKUP(UncLookup[[#This Row],[Item]],Items!$A$1:$F$43,4,FALSE)=0,"",VLOOKUP(UncLookup[[#This Row],[Item]],Items!$A$1:$F$43,4,FALSE))</f>
        <v/>
      </c>
    </row>
    <row r="1854" spans="1:17" x14ac:dyDescent="0.25">
      <c r="A1854" s="75" t="s">
        <v>55</v>
      </c>
      <c r="B1854" s="75" t="s">
        <v>8</v>
      </c>
      <c r="C1854" s="75">
        <v>3.3</v>
      </c>
      <c r="D1854" s="75">
        <v>33.000999999999998</v>
      </c>
      <c r="E1854" s="75">
        <v>1</v>
      </c>
      <c r="F1854" s="75" t="s">
        <v>6</v>
      </c>
      <c r="G1854" s="75" t="s">
        <v>4</v>
      </c>
      <c r="H1854" s="75">
        <v>20</v>
      </c>
      <c r="I1854" s="75">
        <v>50.01</v>
      </c>
      <c r="J1854" s="75" t="s">
        <v>10</v>
      </c>
      <c r="K1854" s="75">
        <v>579.88</v>
      </c>
      <c r="L1854" s="75">
        <v>4.3222999999999998E-2</v>
      </c>
      <c r="M1854" s="75">
        <v>579.88</v>
      </c>
      <c r="N1854" s="75">
        <v>4.3181999999999998E-2</v>
      </c>
      <c r="O1854" s="90" t="str">
        <f>IF(VLOOKUP(UncLookup[[#This Row],[Item]],Items!$A$1:$F$43,2,FALSE)=0,"",VLOOKUP(UncLookup[[#This Row],[Item]],Items!$A$1:$F$43,2,FALSE))</f>
        <v/>
      </c>
      <c r="P1854" s="90" t="str">
        <f>IF(VLOOKUP(UncLookup[[#This Row],[Item]],Items!$A$1:$F$43,3,FALSE)=0,"",VLOOKUP(UncLookup[[#This Row],[Item]],Items!$A$1:$F$43,3,FALSE))</f>
        <v/>
      </c>
      <c r="Q1854" s="90" t="str">
        <f>IF(VLOOKUP(UncLookup[[#This Row],[Item]],Items!$A$1:$F$43,4,FALSE)=0,"",VLOOKUP(UncLookup[[#This Row],[Item]],Items!$A$1:$F$43,4,FALSE))</f>
        <v/>
      </c>
    </row>
    <row r="1855" spans="1:17" x14ac:dyDescent="0.25">
      <c r="A1855" s="76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90" t="str">
        <f>IF(VLOOKUP(UncLookup[[#This Row],[Item]],Items!$A$1:$F$43,2,FALSE)=0,"",VLOOKUP(UncLookup[[#This Row],[Item]],Items!$A$1:$F$43,2,FALSE))</f>
        <v/>
      </c>
      <c r="P1855" s="90" t="str">
        <f>IF(VLOOKUP(UncLookup[[#This Row],[Item]],Items!$A$1:$F$43,3,FALSE)=0,"",VLOOKUP(UncLookup[[#This Row],[Item]],Items!$A$1:$F$43,3,FALSE))</f>
        <v/>
      </c>
      <c r="Q1855" s="90" t="str">
        <f>IF(VLOOKUP(UncLookup[[#This Row],[Item]],Items!$A$1:$F$43,4,FALSE)=0,"",VLOOKUP(UncLookup[[#This Row],[Item]],Items!$A$1:$F$43,4,FALSE))</f>
        <v/>
      </c>
    </row>
    <row r="1856" spans="1:17" x14ac:dyDescent="0.25">
      <c r="A1856" s="75" t="s">
        <v>55</v>
      </c>
      <c r="B1856" s="75" t="s">
        <v>8</v>
      </c>
      <c r="C1856" s="75">
        <v>3.3</v>
      </c>
      <c r="D1856" s="75">
        <v>33.000999999999998</v>
      </c>
      <c r="E1856" s="75">
        <v>1</v>
      </c>
      <c r="F1856" s="75" t="s">
        <v>6</v>
      </c>
      <c r="G1856" s="75" t="s">
        <v>4</v>
      </c>
      <c r="H1856" s="75">
        <v>500</v>
      </c>
      <c r="I1856" s="75">
        <v>501</v>
      </c>
      <c r="J1856" s="75" t="s">
        <v>10</v>
      </c>
      <c r="K1856" s="75">
        <v>579.33000000000004</v>
      </c>
      <c r="L1856" s="75">
        <v>0.23723</v>
      </c>
      <c r="M1856" s="75">
        <v>579.33000000000004</v>
      </c>
      <c r="N1856" s="75">
        <v>0.23716999999999999</v>
      </c>
      <c r="O1856" s="90" t="str">
        <f>IF(VLOOKUP(UncLookup[[#This Row],[Item]],Items!$A$1:$F$43,2,FALSE)=0,"",VLOOKUP(UncLookup[[#This Row],[Item]],Items!$A$1:$F$43,2,FALSE))</f>
        <v/>
      </c>
      <c r="P1856" s="90" t="str">
        <f>IF(VLOOKUP(UncLookup[[#This Row],[Item]],Items!$A$1:$F$43,3,FALSE)=0,"",VLOOKUP(UncLookup[[#This Row],[Item]],Items!$A$1:$F$43,3,FALSE))</f>
        <v/>
      </c>
      <c r="Q1856" s="90" t="str">
        <f>IF(VLOOKUP(UncLookup[[#This Row],[Item]],Items!$A$1:$F$43,4,FALSE)=0,"",VLOOKUP(UncLookup[[#This Row],[Item]],Items!$A$1:$F$43,4,FALSE))</f>
        <v/>
      </c>
    </row>
    <row r="1857" spans="1:17" x14ac:dyDescent="0.25">
      <c r="A1857" s="76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90" t="str">
        <f>IF(VLOOKUP(UncLookup[[#This Row],[Item]],Items!$A$1:$F$43,2,FALSE)=0,"",VLOOKUP(UncLookup[[#This Row],[Item]],Items!$A$1:$F$43,2,FALSE))</f>
        <v/>
      </c>
      <c r="P1857" s="90" t="str">
        <f>IF(VLOOKUP(UncLookup[[#This Row],[Item]],Items!$A$1:$F$43,3,FALSE)=0,"",VLOOKUP(UncLookup[[#This Row],[Item]],Items!$A$1:$F$43,3,FALSE))</f>
        <v/>
      </c>
      <c r="Q1857" s="90" t="str">
        <f>IF(VLOOKUP(UncLookup[[#This Row],[Item]],Items!$A$1:$F$43,4,FALSE)=0,"",VLOOKUP(UncLookup[[#This Row],[Item]],Items!$A$1:$F$43,4,FALSE))</f>
        <v/>
      </c>
    </row>
    <row r="1858" spans="1:17" x14ac:dyDescent="0.25">
      <c r="A1858" s="75" t="s">
        <v>55</v>
      </c>
      <c r="B1858" s="75" t="s">
        <v>8</v>
      </c>
      <c r="C1858" s="75">
        <v>33</v>
      </c>
      <c r="D1858" s="75">
        <v>330.01</v>
      </c>
      <c r="E1858" s="75">
        <v>1E-3</v>
      </c>
      <c r="F1858" s="75" t="s">
        <v>6</v>
      </c>
      <c r="G1858" s="75" t="s">
        <v>4</v>
      </c>
      <c r="H1858" s="75">
        <v>0.01</v>
      </c>
      <c r="I1858" s="75">
        <v>4.5010000000000001E-2</v>
      </c>
      <c r="J1858" s="75" t="s">
        <v>10</v>
      </c>
      <c r="K1858" s="75">
        <v>3.5</v>
      </c>
      <c r="L1858" s="75">
        <v>0.57999999999999996</v>
      </c>
      <c r="M1858" s="75">
        <v>3.4704999999999999</v>
      </c>
      <c r="N1858" s="75">
        <v>0.57867999999999997</v>
      </c>
      <c r="O1858" s="90" t="str">
        <f>IF(VLOOKUP(UncLookup[[#This Row],[Item]],Items!$A$1:$F$43,2,FALSE)=0,"",VLOOKUP(UncLookup[[#This Row],[Item]],Items!$A$1:$F$43,2,FALSE))</f>
        <v/>
      </c>
      <c r="P1858" s="90" t="str">
        <f>IF(VLOOKUP(UncLookup[[#This Row],[Item]],Items!$A$1:$F$43,3,FALSE)=0,"",VLOOKUP(UncLookup[[#This Row],[Item]],Items!$A$1:$F$43,3,FALSE))</f>
        <v/>
      </c>
      <c r="Q1858" s="90" t="str">
        <f>IF(VLOOKUP(UncLookup[[#This Row],[Item]],Items!$A$1:$F$43,4,FALSE)=0,"",VLOOKUP(UncLookup[[#This Row],[Item]],Items!$A$1:$F$43,4,FALSE))</f>
        <v/>
      </c>
    </row>
    <row r="1859" spans="1:17" x14ac:dyDescent="0.25">
      <c r="A1859" s="76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90" t="str">
        <f>IF(VLOOKUP(UncLookup[[#This Row],[Item]],Items!$A$1:$F$43,2,FALSE)=0,"",VLOOKUP(UncLookup[[#This Row],[Item]],Items!$A$1:$F$43,2,FALSE))</f>
        <v/>
      </c>
      <c r="P1859" s="90" t="str">
        <f>IF(VLOOKUP(UncLookup[[#This Row],[Item]],Items!$A$1:$F$43,3,FALSE)=0,"",VLOOKUP(UncLookup[[#This Row],[Item]],Items!$A$1:$F$43,3,FALSE))</f>
        <v/>
      </c>
      <c r="Q1859" s="90" t="str">
        <f>IF(VLOOKUP(UncLookup[[#This Row],[Item]],Items!$A$1:$F$43,4,FALSE)=0,"",VLOOKUP(UncLookup[[#This Row],[Item]],Items!$A$1:$F$43,4,FALSE))</f>
        <v/>
      </c>
    </row>
    <row r="1860" spans="1:17" x14ac:dyDescent="0.25">
      <c r="A1860" s="75" t="s">
        <v>55</v>
      </c>
      <c r="B1860" s="75" t="s">
        <v>8</v>
      </c>
      <c r="C1860" s="75">
        <v>33</v>
      </c>
      <c r="D1860" s="75">
        <v>330.01</v>
      </c>
      <c r="E1860" s="75">
        <v>1E-3</v>
      </c>
      <c r="F1860" s="75" t="s">
        <v>6</v>
      </c>
      <c r="G1860" s="75" t="s">
        <v>4</v>
      </c>
      <c r="H1860" s="75">
        <v>100</v>
      </c>
      <c r="I1860" s="75">
        <v>100.1</v>
      </c>
      <c r="J1860" s="75" t="s">
        <v>10</v>
      </c>
      <c r="K1860" s="75">
        <v>92</v>
      </c>
      <c r="L1860" s="75">
        <v>2.8</v>
      </c>
      <c r="M1860" s="75">
        <v>91.936999999999998</v>
      </c>
      <c r="N1860" s="75">
        <v>2.7856000000000001</v>
      </c>
      <c r="O1860" s="90" t="str">
        <f>IF(VLOOKUP(UncLookup[[#This Row],[Item]],Items!$A$1:$F$43,2,FALSE)=0,"",VLOOKUP(UncLookup[[#This Row],[Item]],Items!$A$1:$F$43,2,FALSE))</f>
        <v/>
      </c>
      <c r="P1860" s="90" t="str">
        <f>IF(VLOOKUP(UncLookup[[#This Row],[Item]],Items!$A$1:$F$43,3,FALSE)=0,"",VLOOKUP(UncLookup[[#This Row],[Item]],Items!$A$1:$F$43,3,FALSE))</f>
        <v/>
      </c>
      <c r="Q1860" s="90" t="str">
        <f>IF(VLOOKUP(UncLookup[[#This Row],[Item]],Items!$A$1:$F$43,4,FALSE)=0,"",VLOOKUP(UncLookup[[#This Row],[Item]],Items!$A$1:$F$43,4,FALSE))</f>
        <v/>
      </c>
    </row>
    <row r="1861" spans="1:17" x14ac:dyDescent="0.25">
      <c r="A1861" s="76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90" t="str">
        <f>IF(VLOOKUP(UncLookup[[#This Row],[Item]],Items!$A$1:$F$43,2,FALSE)=0,"",VLOOKUP(UncLookup[[#This Row],[Item]],Items!$A$1:$F$43,2,FALSE))</f>
        <v/>
      </c>
      <c r="P1861" s="90" t="str">
        <f>IF(VLOOKUP(UncLookup[[#This Row],[Item]],Items!$A$1:$F$43,3,FALSE)=0,"",VLOOKUP(UncLookup[[#This Row],[Item]],Items!$A$1:$F$43,3,FALSE))</f>
        <v/>
      </c>
      <c r="Q1861" s="90" t="str">
        <f>IF(VLOOKUP(UncLookup[[#This Row],[Item]],Items!$A$1:$F$43,4,FALSE)=0,"",VLOOKUP(UncLookup[[#This Row],[Item]],Items!$A$1:$F$43,4,FALSE))</f>
        <v/>
      </c>
    </row>
    <row r="1862" spans="1:17" x14ac:dyDescent="0.25">
      <c r="A1862" s="75" t="s">
        <v>55</v>
      </c>
      <c r="B1862" s="75" t="s">
        <v>8</v>
      </c>
      <c r="C1862" s="75">
        <v>33</v>
      </c>
      <c r="D1862" s="75">
        <v>330.01</v>
      </c>
      <c r="E1862" s="75">
        <v>1E-3</v>
      </c>
      <c r="F1862" s="75" t="s">
        <v>6</v>
      </c>
      <c r="G1862" s="75" t="s">
        <v>4</v>
      </c>
      <c r="H1862" s="75">
        <v>10</v>
      </c>
      <c r="I1862" s="75">
        <v>20.010000000000002</v>
      </c>
      <c r="J1862" s="75" t="s">
        <v>10</v>
      </c>
      <c r="K1862" s="75">
        <v>24</v>
      </c>
      <c r="L1862" s="75">
        <v>1</v>
      </c>
      <c r="M1862" s="75">
        <v>10.388</v>
      </c>
      <c r="N1862" s="75">
        <v>1.04</v>
      </c>
      <c r="O1862" s="90" t="str">
        <f>IF(VLOOKUP(UncLookup[[#This Row],[Item]],Items!$A$1:$F$43,2,FALSE)=0,"",VLOOKUP(UncLookup[[#This Row],[Item]],Items!$A$1:$F$43,2,FALSE))</f>
        <v/>
      </c>
      <c r="P1862" s="90" t="str">
        <f>IF(VLOOKUP(UncLookup[[#This Row],[Item]],Items!$A$1:$F$43,3,FALSE)=0,"",VLOOKUP(UncLookup[[#This Row],[Item]],Items!$A$1:$F$43,3,FALSE))</f>
        <v/>
      </c>
      <c r="Q1862" s="90" t="str">
        <f>IF(VLOOKUP(UncLookup[[#This Row],[Item]],Items!$A$1:$F$43,4,FALSE)=0,"",VLOOKUP(UncLookup[[#This Row],[Item]],Items!$A$1:$F$43,4,FALSE))</f>
        <v/>
      </c>
    </row>
    <row r="1863" spans="1:17" x14ac:dyDescent="0.25">
      <c r="A1863" s="76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90" t="str">
        <f>IF(VLOOKUP(UncLookup[[#This Row],[Item]],Items!$A$1:$F$43,2,FALSE)=0,"",VLOOKUP(UncLookup[[#This Row],[Item]],Items!$A$1:$F$43,2,FALSE))</f>
        <v/>
      </c>
      <c r="P1863" s="90" t="str">
        <f>IF(VLOOKUP(UncLookup[[#This Row],[Item]],Items!$A$1:$F$43,3,FALSE)=0,"",VLOOKUP(UncLookup[[#This Row],[Item]],Items!$A$1:$F$43,3,FALSE))</f>
        <v/>
      </c>
      <c r="Q1863" s="90" t="str">
        <f>IF(VLOOKUP(UncLookup[[#This Row],[Item]],Items!$A$1:$F$43,4,FALSE)=0,"",VLOOKUP(UncLookup[[#This Row],[Item]],Items!$A$1:$F$43,4,FALSE))</f>
        <v/>
      </c>
    </row>
    <row r="1864" spans="1:17" x14ac:dyDescent="0.25">
      <c r="A1864" s="75" t="s">
        <v>55</v>
      </c>
      <c r="B1864" s="75" t="s">
        <v>8</v>
      </c>
      <c r="C1864" s="75">
        <v>33</v>
      </c>
      <c r="D1864" s="75">
        <v>330.01</v>
      </c>
      <c r="E1864" s="75">
        <v>0.01</v>
      </c>
      <c r="F1864" s="75" t="s">
        <v>6</v>
      </c>
      <c r="G1864" s="75" t="s">
        <v>4</v>
      </c>
      <c r="H1864" s="75">
        <v>20</v>
      </c>
      <c r="I1864" s="75">
        <v>50.01</v>
      </c>
      <c r="J1864" s="75" t="s">
        <v>10</v>
      </c>
      <c r="K1864" s="75">
        <v>22</v>
      </c>
      <c r="L1864" s="75">
        <v>1.4</v>
      </c>
      <c r="M1864" s="75">
        <v>10.577</v>
      </c>
      <c r="N1864" s="75">
        <v>1.3904000000000001</v>
      </c>
      <c r="O1864" s="90" t="str">
        <f>IF(VLOOKUP(UncLookup[[#This Row],[Item]],Items!$A$1:$F$43,2,FALSE)=0,"",VLOOKUP(UncLookup[[#This Row],[Item]],Items!$A$1:$F$43,2,FALSE))</f>
        <v/>
      </c>
      <c r="P1864" s="90" t="str">
        <f>IF(VLOOKUP(UncLookup[[#This Row],[Item]],Items!$A$1:$F$43,3,FALSE)=0,"",VLOOKUP(UncLookup[[#This Row],[Item]],Items!$A$1:$F$43,3,FALSE))</f>
        <v/>
      </c>
      <c r="Q1864" s="90" t="str">
        <f>IF(VLOOKUP(UncLookup[[#This Row],[Item]],Items!$A$1:$F$43,4,FALSE)=0,"",VLOOKUP(UncLookup[[#This Row],[Item]],Items!$A$1:$F$43,4,FALSE))</f>
        <v/>
      </c>
    </row>
    <row r="1865" spans="1:17" x14ac:dyDescent="0.25">
      <c r="A1865" s="76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90" t="str">
        <f>IF(VLOOKUP(UncLookup[[#This Row],[Item]],Items!$A$1:$F$43,2,FALSE)=0,"",VLOOKUP(UncLookup[[#This Row],[Item]],Items!$A$1:$F$43,2,FALSE))</f>
        <v/>
      </c>
      <c r="P1865" s="90" t="str">
        <f>IF(VLOOKUP(UncLookup[[#This Row],[Item]],Items!$A$1:$F$43,3,FALSE)=0,"",VLOOKUP(UncLookup[[#This Row],[Item]],Items!$A$1:$F$43,3,FALSE))</f>
        <v/>
      </c>
      <c r="Q1865" s="90" t="str">
        <f>IF(VLOOKUP(UncLookup[[#This Row],[Item]],Items!$A$1:$F$43,4,FALSE)=0,"",VLOOKUP(UncLookup[[#This Row],[Item]],Items!$A$1:$F$43,4,FALSE))</f>
        <v/>
      </c>
    </row>
    <row r="1866" spans="1:17" x14ac:dyDescent="0.25">
      <c r="A1866" s="75" t="s">
        <v>55</v>
      </c>
      <c r="B1866" s="75" t="s">
        <v>8</v>
      </c>
      <c r="C1866" s="75">
        <v>33</v>
      </c>
      <c r="D1866" s="75">
        <v>330.01</v>
      </c>
      <c r="E1866" s="75">
        <v>0.01</v>
      </c>
      <c r="F1866" s="75" t="s">
        <v>6</v>
      </c>
      <c r="G1866" s="75" t="s">
        <v>4</v>
      </c>
      <c r="H1866" s="75">
        <v>50</v>
      </c>
      <c r="I1866" s="75">
        <v>100</v>
      </c>
      <c r="J1866" s="75" t="s">
        <v>10</v>
      </c>
      <c r="K1866" s="75">
        <v>92.063000000000002</v>
      </c>
      <c r="L1866" s="75">
        <v>2.7852999999999999</v>
      </c>
      <c r="M1866" s="75">
        <v>92.033000000000001</v>
      </c>
      <c r="N1866" s="75">
        <v>2.7854000000000001</v>
      </c>
      <c r="O1866" s="90" t="str">
        <f>IF(VLOOKUP(UncLookup[[#This Row],[Item]],Items!$A$1:$F$43,2,FALSE)=0,"",VLOOKUP(UncLookup[[#This Row],[Item]],Items!$A$1:$F$43,2,FALSE))</f>
        <v/>
      </c>
      <c r="P1866" s="90" t="str">
        <f>IF(VLOOKUP(UncLookup[[#This Row],[Item]],Items!$A$1:$F$43,3,FALSE)=0,"",VLOOKUP(UncLookup[[#This Row],[Item]],Items!$A$1:$F$43,3,FALSE))</f>
        <v/>
      </c>
      <c r="Q1866" s="90" t="str">
        <f>IF(VLOOKUP(UncLookup[[#This Row],[Item]],Items!$A$1:$F$43,4,FALSE)=0,"",VLOOKUP(UncLookup[[#This Row],[Item]],Items!$A$1:$F$43,4,FALSE))</f>
        <v/>
      </c>
    </row>
    <row r="1867" spans="1:17" x14ac:dyDescent="0.25">
      <c r="A1867" s="76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90" t="str">
        <f>IF(VLOOKUP(UncLookup[[#This Row],[Item]],Items!$A$1:$F$43,2,FALSE)=0,"",VLOOKUP(UncLookup[[#This Row],[Item]],Items!$A$1:$F$43,2,FALSE))</f>
        <v/>
      </c>
      <c r="P1867" s="90" t="str">
        <f>IF(VLOOKUP(UncLookup[[#This Row],[Item]],Items!$A$1:$F$43,3,FALSE)=0,"",VLOOKUP(UncLookup[[#This Row],[Item]],Items!$A$1:$F$43,3,FALSE))</f>
        <v/>
      </c>
      <c r="Q1867" s="90" t="str">
        <f>IF(VLOOKUP(UncLookup[[#This Row],[Item]],Items!$A$1:$F$43,4,FALSE)=0,"",VLOOKUP(UncLookup[[#This Row],[Item]],Items!$A$1:$F$43,4,FALSE))</f>
        <v/>
      </c>
    </row>
    <row r="1868" spans="1:17" x14ac:dyDescent="0.25">
      <c r="A1868" s="75" t="s">
        <v>55</v>
      </c>
      <c r="B1868" s="75" t="s">
        <v>8</v>
      </c>
      <c r="C1868" s="75">
        <v>33</v>
      </c>
      <c r="D1868" s="75">
        <v>330.01</v>
      </c>
      <c r="E1868" s="75">
        <v>0.01</v>
      </c>
      <c r="F1868" s="75" t="s">
        <v>6</v>
      </c>
      <c r="G1868" s="75" t="s">
        <v>4</v>
      </c>
      <c r="H1868" s="75">
        <v>10</v>
      </c>
      <c r="I1868" s="75">
        <v>20.010000000000002</v>
      </c>
      <c r="J1868" s="75" t="s">
        <v>10</v>
      </c>
      <c r="K1868" s="75">
        <v>24</v>
      </c>
      <c r="L1868" s="75">
        <v>1.0331999999999999</v>
      </c>
      <c r="M1868" s="75">
        <v>10.795999999999999</v>
      </c>
      <c r="N1868" s="75">
        <v>1.0388999999999999</v>
      </c>
      <c r="O1868" s="90" t="str">
        <f>IF(VLOOKUP(UncLookup[[#This Row],[Item]],Items!$A$1:$F$43,2,FALSE)=0,"",VLOOKUP(UncLookup[[#This Row],[Item]],Items!$A$1:$F$43,2,FALSE))</f>
        <v/>
      </c>
      <c r="P1868" s="90" t="str">
        <f>IF(VLOOKUP(UncLookup[[#This Row],[Item]],Items!$A$1:$F$43,3,FALSE)=0,"",VLOOKUP(UncLookup[[#This Row],[Item]],Items!$A$1:$F$43,3,FALSE))</f>
        <v/>
      </c>
      <c r="Q1868" s="90" t="str">
        <f>IF(VLOOKUP(UncLookup[[#This Row],[Item]],Items!$A$1:$F$43,4,FALSE)=0,"",VLOOKUP(UncLookup[[#This Row],[Item]],Items!$A$1:$F$43,4,FALSE))</f>
        <v/>
      </c>
    </row>
    <row r="1869" spans="1:17" x14ac:dyDescent="0.25">
      <c r="A1869" s="76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90" t="str">
        <f>IF(VLOOKUP(UncLookup[[#This Row],[Item]],Items!$A$1:$F$43,2,FALSE)=0,"",VLOOKUP(UncLookup[[#This Row],[Item]],Items!$A$1:$F$43,2,FALSE))</f>
        <v/>
      </c>
      <c r="P1869" s="90" t="str">
        <f>IF(VLOOKUP(UncLookup[[#This Row],[Item]],Items!$A$1:$F$43,3,FALSE)=0,"",VLOOKUP(UncLookup[[#This Row],[Item]],Items!$A$1:$F$43,3,FALSE))</f>
        <v/>
      </c>
      <c r="Q1869" s="90" t="str">
        <f>IF(VLOOKUP(UncLookup[[#This Row],[Item]],Items!$A$1:$F$43,4,FALSE)=0,"",VLOOKUP(UncLookup[[#This Row],[Item]],Items!$A$1:$F$43,4,FALSE))</f>
        <v/>
      </c>
    </row>
    <row r="1870" spans="1:17" x14ac:dyDescent="0.25">
      <c r="A1870" s="75" t="s">
        <v>55</v>
      </c>
      <c r="B1870" s="75" t="s">
        <v>8</v>
      </c>
      <c r="C1870" s="75">
        <v>33</v>
      </c>
      <c r="D1870" s="75">
        <v>330.01</v>
      </c>
      <c r="E1870" s="75">
        <v>0.1</v>
      </c>
      <c r="F1870" s="75" t="s">
        <v>6</v>
      </c>
      <c r="G1870" s="75" t="s">
        <v>4</v>
      </c>
      <c r="H1870" s="75">
        <v>10</v>
      </c>
      <c r="I1870" s="75">
        <v>20.010000000000002</v>
      </c>
      <c r="J1870" s="75" t="s">
        <v>10</v>
      </c>
      <c r="K1870" s="75">
        <v>41.651000000000003</v>
      </c>
      <c r="L1870" s="75">
        <v>0.95969000000000004</v>
      </c>
      <c r="M1870" s="75">
        <v>41.554000000000002</v>
      </c>
      <c r="N1870" s="75">
        <v>0.95984999999999998</v>
      </c>
      <c r="O1870" s="90" t="str">
        <f>IF(VLOOKUP(UncLookup[[#This Row],[Item]],Items!$A$1:$F$43,2,FALSE)=0,"",VLOOKUP(UncLookup[[#This Row],[Item]],Items!$A$1:$F$43,2,FALSE))</f>
        <v/>
      </c>
      <c r="P1870" s="90" t="str">
        <f>IF(VLOOKUP(UncLookup[[#This Row],[Item]],Items!$A$1:$F$43,3,FALSE)=0,"",VLOOKUP(UncLookup[[#This Row],[Item]],Items!$A$1:$F$43,3,FALSE))</f>
        <v/>
      </c>
      <c r="Q1870" s="90" t="str">
        <f>IF(VLOOKUP(UncLookup[[#This Row],[Item]],Items!$A$1:$F$43,4,FALSE)=0,"",VLOOKUP(UncLookup[[#This Row],[Item]],Items!$A$1:$F$43,4,FALSE))</f>
        <v/>
      </c>
    </row>
    <row r="1871" spans="1:17" x14ac:dyDescent="0.25">
      <c r="A1871" s="76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90" t="str">
        <f>IF(VLOOKUP(UncLookup[[#This Row],[Item]],Items!$A$1:$F$43,2,FALSE)=0,"",VLOOKUP(UncLookup[[#This Row],[Item]],Items!$A$1:$F$43,2,FALSE))</f>
        <v/>
      </c>
      <c r="P1871" s="90" t="str">
        <f>IF(VLOOKUP(UncLookup[[#This Row],[Item]],Items!$A$1:$F$43,3,FALSE)=0,"",VLOOKUP(UncLookup[[#This Row],[Item]],Items!$A$1:$F$43,3,FALSE))</f>
        <v/>
      </c>
      <c r="Q1871" s="90" t="str">
        <f>IF(VLOOKUP(UncLookup[[#This Row],[Item]],Items!$A$1:$F$43,4,FALSE)=0,"",VLOOKUP(UncLookup[[#This Row],[Item]],Items!$A$1:$F$43,4,FALSE))</f>
        <v/>
      </c>
    </row>
    <row r="1872" spans="1:17" x14ac:dyDescent="0.25">
      <c r="A1872" s="75" t="s">
        <v>55</v>
      </c>
      <c r="B1872" s="75" t="s">
        <v>8</v>
      </c>
      <c r="C1872" s="75">
        <v>33</v>
      </c>
      <c r="D1872" s="75">
        <v>330.01</v>
      </c>
      <c r="E1872" s="75">
        <v>0.1</v>
      </c>
      <c r="F1872" s="75" t="s">
        <v>6</v>
      </c>
      <c r="G1872" s="75" t="s">
        <v>4</v>
      </c>
      <c r="H1872" s="75">
        <v>50</v>
      </c>
      <c r="I1872" s="75">
        <v>100</v>
      </c>
      <c r="J1872" s="75" t="s">
        <v>10</v>
      </c>
      <c r="K1872" s="75">
        <v>101.77</v>
      </c>
      <c r="L1872" s="75">
        <v>2.7610000000000001</v>
      </c>
      <c r="M1872" s="75">
        <v>101.69</v>
      </c>
      <c r="N1872" s="75">
        <v>2.7610999999999999</v>
      </c>
      <c r="O1872" s="90" t="str">
        <f>IF(VLOOKUP(UncLookup[[#This Row],[Item]],Items!$A$1:$F$43,2,FALSE)=0,"",VLOOKUP(UncLookup[[#This Row],[Item]],Items!$A$1:$F$43,2,FALSE))</f>
        <v/>
      </c>
      <c r="P1872" s="90" t="str">
        <f>IF(VLOOKUP(UncLookup[[#This Row],[Item]],Items!$A$1:$F$43,3,FALSE)=0,"",VLOOKUP(UncLookup[[#This Row],[Item]],Items!$A$1:$F$43,3,FALSE))</f>
        <v/>
      </c>
      <c r="Q1872" s="90" t="str">
        <f>IF(VLOOKUP(UncLookup[[#This Row],[Item]],Items!$A$1:$F$43,4,FALSE)=0,"",VLOOKUP(UncLookup[[#This Row],[Item]],Items!$A$1:$F$43,4,FALSE))</f>
        <v/>
      </c>
    </row>
    <row r="1873" spans="1:17" x14ac:dyDescent="0.25">
      <c r="A1873" s="76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90" t="str">
        <f>IF(VLOOKUP(UncLookup[[#This Row],[Item]],Items!$A$1:$F$43,2,FALSE)=0,"",VLOOKUP(UncLookup[[#This Row],[Item]],Items!$A$1:$F$43,2,FALSE))</f>
        <v/>
      </c>
      <c r="P1873" s="90" t="str">
        <f>IF(VLOOKUP(UncLookup[[#This Row],[Item]],Items!$A$1:$F$43,3,FALSE)=0,"",VLOOKUP(UncLookup[[#This Row],[Item]],Items!$A$1:$F$43,3,FALSE))</f>
        <v/>
      </c>
      <c r="Q1873" s="90" t="str">
        <f>IF(VLOOKUP(UncLookup[[#This Row],[Item]],Items!$A$1:$F$43,4,FALSE)=0,"",VLOOKUP(UncLookup[[#This Row],[Item]],Items!$A$1:$F$43,4,FALSE))</f>
        <v/>
      </c>
    </row>
    <row r="1874" spans="1:17" x14ac:dyDescent="0.25">
      <c r="A1874" s="75" t="s">
        <v>55</v>
      </c>
      <c r="B1874" s="75" t="s">
        <v>8</v>
      </c>
      <c r="C1874" s="75">
        <v>33</v>
      </c>
      <c r="D1874" s="75">
        <v>330.01</v>
      </c>
      <c r="E1874" s="75">
        <v>0.1</v>
      </c>
      <c r="F1874" s="75" t="s">
        <v>6</v>
      </c>
      <c r="G1874" s="75" t="s">
        <v>4</v>
      </c>
      <c r="H1874" s="75">
        <v>20</v>
      </c>
      <c r="I1874" s="75">
        <v>50.01</v>
      </c>
      <c r="J1874" s="75" t="s">
        <v>10</v>
      </c>
      <c r="K1874" s="75">
        <v>36.020000000000003</v>
      </c>
      <c r="L1874" s="75">
        <v>1.3574999999999999</v>
      </c>
      <c r="M1874" s="75">
        <v>37.167000000000002</v>
      </c>
      <c r="N1874" s="75">
        <v>1.3205</v>
      </c>
      <c r="O1874" s="90" t="str">
        <f>IF(VLOOKUP(UncLookup[[#This Row],[Item]],Items!$A$1:$F$43,2,FALSE)=0,"",VLOOKUP(UncLookup[[#This Row],[Item]],Items!$A$1:$F$43,2,FALSE))</f>
        <v/>
      </c>
      <c r="P1874" s="90" t="str">
        <f>IF(VLOOKUP(UncLookup[[#This Row],[Item]],Items!$A$1:$F$43,3,FALSE)=0,"",VLOOKUP(UncLookup[[#This Row],[Item]],Items!$A$1:$F$43,3,FALSE))</f>
        <v/>
      </c>
      <c r="Q1874" s="90" t="str">
        <f>IF(VLOOKUP(UncLookup[[#This Row],[Item]],Items!$A$1:$F$43,4,FALSE)=0,"",VLOOKUP(UncLookup[[#This Row],[Item]],Items!$A$1:$F$43,4,FALSE))</f>
        <v/>
      </c>
    </row>
    <row r="1875" spans="1:17" x14ac:dyDescent="0.25">
      <c r="A1875" s="76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90" t="str">
        <f>IF(VLOOKUP(UncLookup[[#This Row],[Item]],Items!$A$1:$F$43,2,FALSE)=0,"",VLOOKUP(UncLookup[[#This Row],[Item]],Items!$A$1:$F$43,2,FALSE))</f>
        <v/>
      </c>
      <c r="P1875" s="90" t="str">
        <f>IF(VLOOKUP(UncLookup[[#This Row],[Item]],Items!$A$1:$F$43,3,FALSE)=0,"",VLOOKUP(UncLookup[[#This Row],[Item]],Items!$A$1:$F$43,3,FALSE))</f>
        <v/>
      </c>
      <c r="Q1875" s="90" t="str">
        <f>IF(VLOOKUP(UncLookup[[#This Row],[Item]],Items!$A$1:$F$43,4,FALSE)=0,"",VLOOKUP(UncLookup[[#This Row],[Item]],Items!$A$1:$F$43,4,FALSE))</f>
        <v/>
      </c>
    </row>
    <row r="1876" spans="1:17" x14ac:dyDescent="0.25">
      <c r="A1876" s="75" t="s">
        <v>55</v>
      </c>
      <c r="B1876" s="75" t="s">
        <v>8</v>
      </c>
      <c r="C1876" s="75">
        <v>33</v>
      </c>
      <c r="D1876" s="75">
        <v>330.01</v>
      </c>
      <c r="E1876" s="75">
        <v>1</v>
      </c>
      <c r="F1876" s="75" t="s">
        <v>6</v>
      </c>
      <c r="G1876" s="75" t="s">
        <v>4</v>
      </c>
      <c r="H1876" s="75">
        <v>0.01</v>
      </c>
      <c r="I1876" s="75">
        <v>4.5010000000000001E-2</v>
      </c>
      <c r="J1876" s="75" t="s">
        <v>10</v>
      </c>
      <c r="K1876" s="75">
        <v>576.98</v>
      </c>
      <c r="L1876" s="75">
        <v>0.10542</v>
      </c>
      <c r="M1876" s="75">
        <v>576.96</v>
      </c>
      <c r="N1876" s="75">
        <v>0.10532999999999999</v>
      </c>
      <c r="O1876" s="90" t="str">
        <f>IF(VLOOKUP(UncLookup[[#This Row],[Item]],Items!$A$1:$F$43,2,FALSE)=0,"",VLOOKUP(UncLookup[[#This Row],[Item]],Items!$A$1:$F$43,2,FALSE))</f>
        <v/>
      </c>
      <c r="P1876" s="90" t="str">
        <f>IF(VLOOKUP(UncLookup[[#This Row],[Item]],Items!$A$1:$F$43,3,FALSE)=0,"",VLOOKUP(UncLookup[[#This Row],[Item]],Items!$A$1:$F$43,3,FALSE))</f>
        <v/>
      </c>
      <c r="Q1876" s="90" t="str">
        <f>IF(VLOOKUP(UncLookup[[#This Row],[Item]],Items!$A$1:$F$43,4,FALSE)=0,"",VLOOKUP(UncLookup[[#This Row],[Item]],Items!$A$1:$F$43,4,FALSE))</f>
        <v/>
      </c>
    </row>
    <row r="1877" spans="1:17" x14ac:dyDescent="0.25">
      <c r="A1877" s="76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90" t="str">
        <f>IF(VLOOKUP(UncLookup[[#This Row],[Item]],Items!$A$1:$F$43,2,FALSE)=0,"",VLOOKUP(UncLookup[[#This Row],[Item]],Items!$A$1:$F$43,2,FALSE))</f>
        <v/>
      </c>
      <c r="P1877" s="90" t="str">
        <f>IF(VLOOKUP(UncLookup[[#This Row],[Item]],Items!$A$1:$F$43,3,FALSE)=0,"",VLOOKUP(UncLookup[[#This Row],[Item]],Items!$A$1:$F$43,3,FALSE))</f>
        <v/>
      </c>
      <c r="Q1877" s="90" t="str">
        <f>IF(VLOOKUP(UncLookup[[#This Row],[Item]],Items!$A$1:$F$43,4,FALSE)=0,"",VLOOKUP(UncLookup[[#This Row],[Item]],Items!$A$1:$F$43,4,FALSE))</f>
        <v/>
      </c>
    </row>
    <row r="1878" spans="1:17" x14ac:dyDescent="0.25">
      <c r="A1878" s="75" t="s">
        <v>55</v>
      </c>
      <c r="B1878" s="75" t="s">
        <v>8</v>
      </c>
      <c r="C1878" s="75">
        <v>33</v>
      </c>
      <c r="D1878" s="75">
        <v>330.01</v>
      </c>
      <c r="E1878" s="75">
        <v>1</v>
      </c>
      <c r="F1878" s="75" t="s">
        <v>6</v>
      </c>
      <c r="G1878" s="75" t="s">
        <v>4</v>
      </c>
      <c r="H1878" s="75">
        <v>50</v>
      </c>
      <c r="I1878" s="75">
        <v>100</v>
      </c>
      <c r="J1878" s="75" t="s">
        <v>10</v>
      </c>
      <c r="K1878" s="75">
        <v>546.63</v>
      </c>
      <c r="L1878" s="75">
        <v>1.8765000000000001</v>
      </c>
      <c r="M1878" s="75">
        <v>546.54</v>
      </c>
      <c r="N1878" s="75">
        <v>1.8763000000000001</v>
      </c>
      <c r="O1878" s="90" t="str">
        <f>IF(VLOOKUP(UncLookup[[#This Row],[Item]],Items!$A$1:$F$43,2,FALSE)=0,"",VLOOKUP(UncLookup[[#This Row],[Item]],Items!$A$1:$F$43,2,FALSE))</f>
        <v/>
      </c>
      <c r="P1878" s="90" t="str">
        <f>IF(VLOOKUP(UncLookup[[#This Row],[Item]],Items!$A$1:$F$43,3,FALSE)=0,"",VLOOKUP(UncLookup[[#This Row],[Item]],Items!$A$1:$F$43,3,FALSE))</f>
        <v/>
      </c>
      <c r="Q1878" s="90" t="str">
        <f>IF(VLOOKUP(UncLookup[[#This Row],[Item]],Items!$A$1:$F$43,4,FALSE)=0,"",VLOOKUP(UncLookup[[#This Row],[Item]],Items!$A$1:$F$43,4,FALSE))</f>
        <v/>
      </c>
    </row>
    <row r="1879" spans="1:17" x14ac:dyDescent="0.25">
      <c r="A1879" s="76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90" t="str">
        <f>IF(VLOOKUP(UncLookup[[#This Row],[Item]],Items!$A$1:$F$43,2,FALSE)=0,"",VLOOKUP(UncLookup[[#This Row],[Item]],Items!$A$1:$F$43,2,FALSE))</f>
        <v/>
      </c>
      <c r="P1879" s="90" t="str">
        <f>IF(VLOOKUP(UncLookup[[#This Row],[Item]],Items!$A$1:$F$43,3,FALSE)=0,"",VLOOKUP(UncLookup[[#This Row],[Item]],Items!$A$1:$F$43,3,FALSE))</f>
        <v/>
      </c>
      <c r="Q1879" s="90" t="str">
        <f>IF(VLOOKUP(UncLookup[[#This Row],[Item]],Items!$A$1:$F$43,4,FALSE)=0,"",VLOOKUP(UncLookup[[#This Row],[Item]],Items!$A$1:$F$43,4,FALSE))</f>
        <v/>
      </c>
    </row>
    <row r="1880" spans="1:17" x14ac:dyDescent="0.25">
      <c r="A1880" s="75" t="s">
        <v>55</v>
      </c>
      <c r="B1880" s="75" t="s">
        <v>8</v>
      </c>
      <c r="C1880" s="75">
        <v>33</v>
      </c>
      <c r="D1880" s="75">
        <v>330.01</v>
      </c>
      <c r="E1880" s="75">
        <v>1</v>
      </c>
      <c r="F1880" s="75" t="s">
        <v>6</v>
      </c>
      <c r="G1880" s="75" t="s">
        <v>4</v>
      </c>
      <c r="H1880" s="75">
        <v>10</v>
      </c>
      <c r="I1880" s="75">
        <v>20.010000000000002</v>
      </c>
      <c r="J1880" s="75" t="s">
        <v>10</v>
      </c>
      <c r="K1880" s="75">
        <v>570.91999999999996</v>
      </c>
      <c r="L1880" s="75">
        <v>0.32863999999999999</v>
      </c>
      <c r="M1880" s="75">
        <v>570.88</v>
      </c>
      <c r="N1880" s="75">
        <v>0.32847999999999999</v>
      </c>
      <c r="O1880" s="90" t="str">
        <f>IF(VLOOKUP(UncLookup[[#This Row],[Item]],Items!$A$1:$F$43,2,FALSE)=0,"",VLOOKUP(UncLookup[[#This Row],[Item]],Items!$A$1:$F$43,2,FALSE))</f>
        <v/>
      </c>
      <c r="P1880" s="90" t="str">
        <f>IF(VLOOKUP(UncLookup[[#This Row],[Item]],Items!$A$1:$F$43,3,FALSE)=0,"",VLOOKUP(UncLookup[[#This Row],[Item]],Items!$A$1:$F$43,3,FALSE))</f>
        <v/>
      </c>
      <c r="Q1880" s="90" t="str">
        <f>IF(VLOOKUP(UncLookup[[#This Row],[Item]],Items!$A$1:$F$43,4,FALSE)=0,"",VLOOKUP(UncLookup[[#This Row],[Item]],Items!$A$1:$F$43,4,FALSE))</f>
        <v/>
      </c>
    </row>
    <row r="1881" spans="1:17" x14ac:dyDescent="0.25">
      <c r="A1881" s="76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90" t="str">
        <f>IF(VLOOKUP(UncLookup[[#This Row],[Item]],Items!$A$1:$F$43,2,FALSE)=0,"",VLOOKUP(UncLookup[[#This Row],[Item]],Items!$A$1:$F$43,2,FALSE))</f>
        <v/>
      </c>
      <c r="P1881" s="90" t="str">
        <f>IF(VLOOKUP(UncLookup[[#This Row],[Item]],Items!$A$1:$F$43,3,FALSE)=0,"",VLOOKUP(UncLookup[[#This Row],[Item]],Items!$A$1:$F$43,3,FALSE))</f>
        <v/>
      </c>
      <c r="Q1881" s="90" t="str">
        <f>IF(VLOOKUP(UncLookup[[#This Row],[Item]],Items!$A$1:$F$43,4,FALSE)=0,"",VLOOKUP(UncLookup[[#This Row],[Item]],Items!$A$1:$F$43,4,FALSE))</f>
        <v/>
      </c>
    </row>
    <row r="1882" spans="1:17" x14ac:dyDescent="0.25">
      <c r="A1882" s="75" t="s">
        <v>55</v>
      </c>
      <c r="B1882" s="75" t="s">
        <v>8</v>
      </c>
      <c r="C1882" s="75">
        <v>33</v>
      </c>
      <c r="D1882" s="75">
        <v>330.01</v>
      </c>
      <c r="E1882" s="75">
        <v>10</v>
      </c>
      <c r="F1882" s="75" t="s">
        <v>6</v>
      </c>
      <c r="G1882" s="75" t="s">
        <v>4</v>
      </c>
      <c r="H1882" s="75">
        <v>0.01</v>
      </c>
      <c r="I1882" s="75">
        <v>4.5010000000000001E-2</v>
      </c>
      <c r="J1882" s="75" t="s">
        <v>10</v>
      </c>
      <c r="K1882" s="75">
        <v>5799.7</v>
      </c>
      <c r="L1882" s="75">
        <v>1.0862E-2</v>
      </c>
      <c r="M1882" s="75">
        <v>5799.7</v>
      </c>
      <c r="N1882" s="75">
        <v>1.0822E-2</v>
      </c>
      <c r="O1882" s="90" t="str">
        <f>IF(VLOOKUP(UncLookup[[#This Row],[Item]],Items!$A$1:$F$43,2,FALSE)=0,"",VLOOKUP(UncLookup[[#This Row],[Item]],Items!$A$1:$F$43,2,FALSE))</f>
        <v/>
      </c>
      <c r="P1882" s="90" t="str">
        <f>IF(VLOOKUP(UncLookup[[#This Row],[Item]],Items!$A$1:$F$43,3,FALSE)=0,"",VLOOKUP(UncLookup[[#This Row],[Item]],Items!$A$1:$F$43,3,FALSE))</f>
        <v/>
      </c>
      <c r="Q1882" s="90" t="str">
        <f>IF(VLOOKUP(UncLookup[[#This Row],[Item]],Items!$A$1:$F$43,4,FALSE)=0,"",VLOOKUP(UncLookup[[#This Row],[Item]],Items!$A$1:$F$43,4,FALSE))</f>
        <v/>
      </c>
    </row>
    <row r="1883" spans="1:17" x14ac:dyDescent="0.25">
      <c r="A1883" s="76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90" t="str">
        <f>IF(VLOOKUP(UncLookup[[#This Row],[Item]],Items!$A$1:$F$43,2,FALSE)=0,"",VLOOKUP(UncLookup[[#This Row],[Item]],Items!$A$1:$F$43,2,FALSE))</f>
        <v/>
      </c>
      <c r="P1883" s="90" t="str">
        <f>IF(VLOOKUP(UncLookup[[#This Row],[Item]],Items!$A$1:$F$43,3,FALSE)=0,"",VLOOKUP(UncLookup[[#This Row],[Item]],Items!$A$1:$F$43,3,FALSE))</f>
        <v/>
      </c>
      <c r="Q1883" s="90" t="str">
        <f>IF(VLOOKUP(UncLookup[[#This Row],[Item]],Items!$A$1:$F$43,4,FALSE)=0,"",VLOOKUP(UncLookup[[#This Row],[Item]],Items!$A$1:$F$43,4,FALSE))</f>
        <v/>
      </c>
    </row>
    <row r="1884" spans="1:17" x14ac:dyDescent="0.25">
      <c r="A1884" s="75" t="s">
        <v>55</v>
      </c>
      <c r="B1884" s="75" t="s">
        <v>8</v>
      </c>
      <c r="C1884" s="75">
        <v>33</v>
      </c>
      <c r="D1884" s="75">
        <v>330.01</v>
      </c>
      <c r="E1884" s="75">
        <v>10</v>
      </c>
      <c r="F1884" s="75" t="s">
        <v>6</v>
      </c>
      <c r="G1884" s="75" t="s">
        <v>4</v>
      </c>
      <c r="H1884" s="75">
        <v>100</v>
      </c>
      <c r="I1884" s="75">
        <v>100.1</v>
      </c>
      <c r="J1884" s="75" t="s">
        <v>10</v>
      </c>
      <c r="K1884" s="75">
        <v>5793.6</v>
      </c>
      <c r="L1884" s="75">
        <v>0.28499000000000002</v>
      </c>
      <c r="M1884" s="75">
        <v>5793.5</v>
      </c>
      <c r="N1884" s="75">
        <v>0.28476000000000001</v>
      </c>
      <c r="O1884" s="90" t="str">
        <f>IF(VLOOKUP(UncLookup[[#This Row],[Item]],Items!$A$1:$F$43,2,FALSE)=0,"",VLOOKUP(UncLookup[[#This Row],[Item]],Items!$A$1:$F$43,2,FALSE))</f>
        <v/>
      </c>
      <c r="P1884" s="90" t="str">
        <f>IF(VLOOKUP(UncLookup[[#This Row],[Item]],Items!$A$1:$F$43,3,FALSE)=0,"",VLOOKUP(UncLookup[[#This Row],[Item]],Items!$A$1:$F$43,3,FALSE))</f>
        <v/>
      </c>
      <c r="Q1884" s="90" t="str">
        <f>IF(VLOOKUP(UncLookup[[#This Row],[Item]],Items!$A$1:$F$43,4,FALSE)=0,"",VLOOKUP(UncLookup[[#This Row],[Item]],Items!$A$1:$F$43,4,FALSE))</f>
        <v/>
      </c>
    </row>
    <row r="1885" spans="1:17" x14ac:dyDescent="0.25">
      <c r="A1885" s="76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90" t="str">
        <f>IF(VLOOKUP(UncLookup[[#This Row],[Item]],Items!$A$1:$F$43,2,FALSE)=0,"",VLOOKUP(UncLookup[[#This Row],[Item]],Items!$A$1:$F$43,2,FALSE))</f>
        <v/>
      </c>
      <c r="P1885" s="90" t="str">
        <f>IF(VLOOKUP(UncLookup[[#This Row],[Item]],Items!$A$1:$F$43,3,FALSE)=0,"",VLOOKUP(UncLookup[[#This Row],[Item]],Items!$A$1:$F$43,3,FALSE))</f>
        <v/>
      </c>
      <c r="Q1885" s="90" t="str">
        <f>IF(VLOOKUP(UncLookup[[#This Row],[Item]],Items!$A$1:$F$43,4,FALSE)=0,"",VLOOKUP(UncLookup[[#This Row],[Item]],Items!$A$1:$F$43,4,FALSE))</f>
        <v/>
      </c>
    </row>
    <row r="1886" spans="1:17" x14ac:dyDescent="0.25">
      <c r="A1886" s="75" t="s">
        <v>55</v>
      </c>
      <c r="B1886" s="75" t="s">
        <v>8</v>
      </c>
      <c r="C1886" s="75">
        <v>33</v>
      </c>
      <c r="D1886" s="75">
        <v>330.01</v>
      </c>
      <c r="E1886" s="75">
        <v>10</v>
      </c>
      <c r="F1886" s="75" t="s">
        <v>6</v>
      </c>
      <c r="G1886" s="75" t="s">
        <v>4</v>
      </c>
      <c r="H1886" s="75">
        <v>20</v>
      </c>
      <c r="I1886" s="75">
        <v>50.01</v>
      </c>
      <c r="J1886" s="75" t="s">
        <v>10</v>
      </c>
      <c r="K1886" s="75">
        <v>5798.2</v>
      </c>
      <c r="L1886" s="75">
        <v>6.3011999999999999E-2</v>
      </c>
      <c r="M1886" s="75">
        <v>5798.2</v>
      </c>
      <c r="N1886" s="75">
        <v>6.2924999999999995E-2</v>
      </c>
      <c r="O1886" s="90" t="str">
        <f>IF(VLOOKUP(UncLookup[[#This Row],[Item]],Items!$A$1:$F$43,2,FALSE)=0,"",VLOOKUP(UncLookup[[#This Row],[Item]],Items!$A$1:$F$43,2,FALSE))</f>
        <v/>
      </c>
      <c r="P1886" s="90" t="str">
        <f>IF(VLOOKUP(UncLookup[[#This Row],[Item]],Items!$A$1:$F$43,3,FALSE)=0,"",VLOOKUP(UncLookup[[#This Row],[Item]],Items!$A$1:$F$43,3,FALSE))</f>
        <v/>
      </c>
      <c r="Q1886" s="90" t="str">
        <f>IF(VLOOKUP(UncLookup[[#This Row],[Item]],Items!$A$1:$F$43,4,FALSE)=0,"",VLOOKUP(UncLookup[[#This Row],[Item]],Items!$A$1:$F$43,4,FALSE))</f>
        <v/>
      </c>
    </row>
    <row r="1887" spans="1:17" x14ac:dyDescent="0.25">
      <c r="A1887" s="76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90" t="str">
        <f>IF(VLOOKUP(UncLookup[[#This Row],[Item]],Items!$A$1:$F$43,2,FALSE)=0,"",VLOOKUP(UncLookup[[#This Row],[Item]],Items!$A$1:$F$43,2,FALSE))</f>
        <v/>
      </c>
      <c r="P1887" s="90" t="str">
        <f>IF(VLOOKUP(UncLookup[[#This Row],[Item]],Items!$A$1:$F$43,3,FALSE)=0,"",VLOOKUP(UncLookup[[#This Row],[Item]],Items!$A$1:$F$43,3,FALSE))</f>
        <v/>
      </c>
      <c r="Q1887" s="90" t="str">
        <f>IF(VLOOKUP(UncLookup[[#This Row],[Item]],Items!$A$1:$F$43,4,FALSE)=0,"",VLOOKUP(UncLookup[[#This Row],[Item]],Items!$A$1:$F$43,4,FALSE))</f>
        <v/>
      </c>
    </row>
    <row r="1888" spans="1:17" x14ac:dyDescent="0.25">
      <c r="A1888" s="75" t="s">
        <v>55</v>
      </c>
      <c r="B1888" s="75" t="s">
        <v>8</v>
      </c>
      <c r="C1888" s="75">
        <v>330</v>
      </c>
      <c r="D1888" s="75">
        <v>1020.01</v>
      </c>
      <c r="E1888" s="75">
        <v>1E-3</v>
      </c>
      <c r="F1888" s="75" t="s">
        <v>6</v>
      </c>
      <c r="G1888" s="75" t="s">
        <v>4</v>
      </c>
      <c r="H1888" s="75">
        <v>4.4999999999999998E-2</v>
      </c>
      <c r="I1888" s="75">
        <v>1.0000100000000001</v>
      </c>
      <c r="J1888" s="75" t="s">
        <v>10</v>
      </c>
      <c r="K1888" s="75">
        <v>24</v>
      </c>
      <c r="L1888" s="75">
        <v>0.57999999999999996</v>
      </c>
      <c r="M1888" s="75">
        <v>23.335000000000001</v>
      </c>
      <c r="N1888" s="75">
        <v>0.57833999999999997</v>
      </c>
      <c r="O1888" s="90" t="str">
        <f>IF(VLOOKUP(UncLookup[[#This Row],[Item]],Items!$A$1:$F$43,2,FALSE)=0,"",VLOOKUP(UncLookup[[#This Row],[Item]],Items!$A$1:$F$43,2,FALSE))</f>
        <v/>
      </c>
      <c r="P1888" s="90" t="str">
        <f>IF(VLOOKUP(UncLookup[[#This Row],[Item]],Items!$A$1:$F$43,3,FALSE)=0,"",VLOOKUP(UncLookup[[#This Row],[Item]],Items!$A$1:$F$43,3,FALSE))</f>
        <v/>
      </c>
      <c r="Q1888" s="90" t="str">
        <f>IF(VLOOKUP(UncLookup[[#This Row],[Item]],Items!$A$1:$F$43,4,FALSE)=0,"",VLOOKUP(UncLookup[[#This Row],[Item]],Items!$A$1:$F$43,4,FALSE))</f>
        <v/>
      </c>
    </row>
    <row r="1889" spans="1:17" x14ac:dyDescent="0.25">
      <c r="A1889" s="76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90" t="str">
        <f>IF(VLOOKUP(UncLookup[[#This Row],[Item]],Items!$A$1:$F$43,2,FALSE)=0,"",VLOOKUP(UncLookup[[#This Row],[Item]],Items!$A$1:$F$43,2,FALSE))</f>
        <v/>
      </c>
      <c r="P1889" s="90" t="str">
        <f>IF(VLOOKUP(UncLookup[[#This Row],[Item]],Items!$A$1:$F$43,3,FALSE)=0,"",VLOOKUP(UncLookup[[#This Row],[Item]],Items!$A$1:$F$43,3,FALSE))</f>
        <v/>
      </c>
      <c r="Q1889" s="90" t="str">
        <f>IF(VLOOKUP(UncLookup[[#This Row],[Item]],Items!$A$1:$F$43,4,FALSE)=0,"",VLOOKUP(UncLookup[[#This Row],[Item]],Items!$A$1:$F$43,4,FALSE))</f>
        <v/>
      </c>
    </row>
    <row r="1890" spans="1:17" x14ac:dyDescent="0.25">
      <c r="A1890" s="75" t="s">
        <v>55</v>
      </c>
      <c r="B1890" s="75" t="s">
        <v>8</v>
      </c>
      <c r="C1890" s="75">
        <v>330</v>
      </c>
      <c r="D1890" s="75">
        <v>1020.01</v>
      </c>
      <c r="E1890" s="75">
        <v>1E-3</v>
      </c>
      <c r="F1890" s="75" t="s">
        <v>6</v>
      </c>
      <c r="G1890" s="75" t="s">
        <v>4</v>
      </c>
      <c r="H1890" s="75">
        <v>1</v>
      </c>
      <c r="I1890" s="75">
        <v>5.01</v>
      </c>
      <c r="J1890" s="75" t="s">
        <v>10</v>
      </c>
      <c r="K1890" s="75">
        <v>28</v>
      </c>
      <c r="L1890" s="75">
        <v>0.92</v>
      </c>
      <c r="M1890" s="75">
        <v>23.262</v>
      </c>
      <c r="N1890" s="75">
        <v>0.92437000000000002</v>
      </c>
      <c r="O1890" s="90" t="str">
        <f>IF(VLOOKUP(UncLookup[[#This Row],[Item]],Items!$A$1:$F$43,2,FALSE)=0,"",VLOOKUP(UncLookup[[#This Row],[Item]],Items!$A$1:$F$43,2,FALSE))</f>
        <v/>
      </c>
      <c r="P1890" s="90" t="str">
        <f>IF(VLOOKUP(UncLookup[[#This Row],[Item]],Items!$A$1:$F$43,3,FALSE)=0,"",VLOOKUP(UncLookup[[#This Row],[Item]],Items!$A$1:$F$43,3,FALSE))</f>
        <v/>
      </c>
      <c r="Q1890" s="90" t="str">
        <f>IF(VLOOKUP(UncLookup[[#This Row],[Item]],Items!$A$1:$F$43,4,FALSE)=0,"",VLOOKUP(UncLookup[[#This Row],[Item]],Items!$A$1:$F$43,4,FALSE))</f>
        <v/>
      </c>
    </row>
    <row r="1891" spans="1:17" x14ac:dyDescent="0.25">
      <c r="A1891" s="76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90" t="str">
        <f>IF(VLOOKUP(UncLookup[[#This Row],[Item]],Items!$A$1:$F$43,2,FALSE)=0,"",VLOOKUP(UncLookup[[#This Row],[Item]],Items!$A$1:$F$43,2,FALSE))</f>
        <v/>
      </c>
      <c r="P1891" s="90" t="str">
        <f>IF(VLOOKUP(UncLookup[[#This Row],[Item]],Items!$A$1:$F$43,3,FALSE)=0,"",VLOOKUP(UncLookup[[#This Row],[Item]],Items!$A$1:$F$43,3,FALSE))</f>
        <v/>
      </c>
      <c r="Q1891" s="90" t="str">
        <f>IF(VLOOKUP(UncLookup[[#This Row],[Item]],Items!$A$1:$F$43,4,FALSE)=0,"",VLOOKUP(UncLookup[[#This Row],[Item]],Items!$A$1:$F$43,4,FALSE))</f>
        <v/>
      </c>
    </row>
    <row r="1892" spans="1:17" x14ac:dyDescent="0.25">
      <c r="A1892" s="75" t="s">
        <v>55</v>
      </c>
      <c r="B1892" s="75" t="s">
        <v>8</v>
      </c>
      <c r="C1892" s="75">
        <v>330</v>
      </c>
      <c r="D1892" s="75">
        <v>1020.01</v>
      </c>
      <c r="E1892" s="75">
        <v>0.01</v>
      </c>
      <c r="F1892" s="75" t="s">
        <v>6</v>
      </c>
      <c r="G1892" s="75" t="s">
        <v>4</v>
      </c>
      <c r="H1892" s="75">
        <v>10</v>
      </c>
      <c r="I1892" s="75">
        <v>10.01</v>
      </c>
      <c r="J1892" s="75" t="s">
        <v>10</v>
      </c>
      <c r="K1892" s="75">
        <v>64</v>
      </c>
      <c r="L1892" s="75">
        <v>1.0355000000000001</v>
      </c>
      <c r="M1892" s="75">
        <v>29.164999999999999</v>
      </c>
      <c r="N1892" s="75">
        <v>1.0355000000000001</v>
      </c>
      <c r="O1892" s="90" t="str">
        <f>IF(VLOOKUP(UncLookup[[#This Row],[Item]],Items!$A$1:$F$43,2,FALSE)=0,"",VLOOKUP(UncLookup[[#This Row],[Item]],Items!$A$1:$F$43,2,FALSE))</f>
        <v/>
      </c>
      <c r="P1892" s="90" t="str">
        <f>IF(VLOOKUP(UncLookup[[#This Row],[Item]],Items!$A$1:$F$43,3,FALSE)=0,"",VLOOKUP(UncLookup[[#This Row],[Item]],Items!$A$1:$F$43,3,FALSE))</f>
        <v/>
      </c>
      <c r="Q1892" s="90" t="str">
        <f>IF(VLOOKUP(UncLookup[[#This Row],[Item]],Items!$A$1:$F$43,4,FALSE)=0,"",VLOOKUP(UncLookup[[#This Row],[Item]],Items!$A$1:$F$43,4,FALSE))</f>
        <v/>
      </c>
    </row>
    <row r="1893" spans="1:17" x14ac:dyDescent="0.25">
      <c r="A1893" s="76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90" t="str">
        <f>IF(VLOOKUP(UncLookup[[#This Row],[Item]],Items!$A$1:$F$43,2,FALSE)=0,"",VLOOKUP(UncLookup[[#This Row],[Item]],Items!$A$1:$F$43,2,FALSE))</f>
        <v/>
      </c>
      <c r="P1893" s="90" t="str">
        <f>IF(VLOOKUP(UncLookup[[#This Row],[Item]],Items!$A$1:$F$43,3,FALSE)=0,"",VLOOKUP(UncLookup[[#This Row],[Item]],Items!$A$1:$F$43,3,FALSE))</f>
        <v/>
      </c>
      <c r="Q1893" s="90" t="str">
        <f>IF(VLOOKUP(UncLookup[[#This Row],[Item]],Items!$A$1:$F$43,4,FALSE)=0,"",VLOOKUP(UncLookup[[#This Row],[Item]],Items!$A$1:$F$43,4,FALSE))</f>
        <v/>
      </c>
    </row>
    <row r="1894" spans="1:17" x14ac:dyDescent="0.25">
      <c r="A1894" s="75" t="s">
        <v>55</v>
      </c>
      <c r="B1894" s="75" t="s">
        <v>8</v>
      </c>
      <c r="C1894" s="75">
        <v>330</v>
      </c>
      <c r="D1894" s="75">
        <v>1020.01</v>
      </c>
      <c r="E1894" s="75">
        <v>0.01</v>
      </c>
      <c r="F1894" s="75" t="s">
        <v>6</v>
      </c>
      <c r="G1894" s="75" t="s">
        <v>4</v>
      </c>
      <c r="H1894" s="75">
        <v>1</v>
      </c>
      <c r="I1894" s="75">
        <v>5.01</v>
      </c>
      <c r="J1894" s="75" t="s">
        <v>10</v>
      </c>
      <c r="K1894" s="75">
        <v>29.895</v>
      </c>
      <c r="L1894" s="75">
        <v>0.91966999999999999</v>
      </c>
      <c r="M1894" s="75">
        <v>29.873000000000001</v>
      </c>
      <c r="N1894" s="75">
        <v>0.91957</v>
      </c>
      <c r="O1894" s="90" t="str">
        <f>IF(VLOOKUP(UncLookup[[#This Row],[Item]],Items!$A$1:$F$43,2,FALSE)=0,"",VLOOKUP(UncLookup[[#This Row],[Item]],Items!$A$1:$F$43,2,FALSE))</f>
        <v/>
      </c>
      <c r="P1894" s="90" t="str">
        <f>IF(VLOOKUP(UncLookup[[#This Row],[Item]],Items!$A$1:$F$43,3,FALSE)=0,"",VLOOKUP(UncLookup[[#This Row],[Item]],Items!$A$1:$F$43,3,FALSE))</f>
        <v/>
      </c>
      <c r="Q1894" s="90" t="str">
        <f>IF(VLOOKUP(UncLookup[[#This Row],[Item]],Items!$A$1:$F$43,4,FALSE)=0,"",VLOOKUP(UncLookup[[#This Row],[Item]],Items!$A$1:$F$43,4,FALSE))</f>
        <v/>
      </c>
    </row>
    <row r="1895" spans="1:17" x14ac:dyDescent="0.25">
      <c r="A1895" s="76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90" t="str">
        <f>IF(VLOOKUP(UncLookup[[#This Row],[Item]],Items!$A$1:$F$43,2,FALSE)=0,"",VLOOKUP(UncLookup[[#This Row],[Item]],Items!$A$1:$F$43,2,FALSE))</f>
        <v/>
      </c>
      <c r="P1895" s="90" t="str">
        <f>IF(VLOOKUP(UncLookup[[#This Row],[Item]],Items!$A$1:$F$43,3,FALSE)=0,"",VLOOKUP(UncLookup[[#This Row],[Item]],Items!$A$1:$F$43,3,FALSE))</f>
        <v/>
      </c>
      <c r="Q1895" s="90" t="str">
        <f>IF(VLOOKUP(UncLookup[[#This Row],[Item]],Items!$A$1:$F$43,4,FALSE)=0,"",VLOOKUP(UncLookup[[#This Row],[Item]],Items!$A$1:$F$43,4,FALSE))</f>
        <v/>
      </c>
    </row>
    <row r="1896" spans="1:17" x14ac:dyDescent="0.25">
      <c r="A1896" s="75" t="s">
        <v>55</v>
      </c>
      <c r="B1896" s="75" t="s">
        <v>8</v>
      </c>
      <c r="C1896" s="75">
        <v>330</v>
      </c>
      <c r="D1896" s="75">
        <v>1020.01</v>
      </c>
      <c r="E1896" s="75">
        <v>0.1</v>
      </c>
      <c r="F1896" s="75" t="s">
        <v>6</v>
      </c>
      <c r="G1896" s="75" t="s">
        <v>4</v>
      </c>
      <c r="H1896" s="75">
        <v>1</v>
      </c>
      <c r="I1896" s="75">
        <v>5.01</v>
      </c>
      <c r="J1896" s="75" t="s">
        <v>10</v>
      </c>
      <c r="K1896" s="75">
        <v>446.23</v>
      </c>
      <c r="L1896" s="75">
        <v>0.66766000000000003</v>
      </c>
      <c r="M1896" s="75">
        <v>446.26</v>
      </c>
      <c r="N1896" s="75">
        <v>0.66722999999999999</v>
      </c>
      <c r="O1896" s="90" t="str">
        <f>IF(VLOOKUP(UncLookup[[#This Row],[Item]],Items!$A$1:$F$43,2,FALSE)=0,"",VLOOKUP(UncLookup[[#This Row],[Item]],Items!$A$1:$F$43,2,FALSE))</f>
        <v/>
      </c>
      <c r="P1896" s="90" t="str">
        <f>IF(VLOOKUP(UncLookup[[#This Row],[Item]],Items!$A$1:$F$43,3,FALSE)=0,"",VLOOKUP(UncLookup[[#This Row],[Item]],Items!$A$1:$F$43,3,FALSE))</f>
        <v/>
      </c>
      <c r="Q1896" s="90" t="str">
        <f>IF(VLOOKUP(UncLookup[[#This Row],[Item]],Items!$A$1:$F$43,4,FALSE)=0,"",VLOOKUP(UncLookup[[#This Row],[Item]],Items!$A$1:$F$43,4,FALSE))</f>
        <v/>
      </c>
    </row>
    <row r="1897" spans="1:17" x14ac:dyDescent="0.25">
      <c r="A1897" s="76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90" t="str">
        <f>IF(VLOOKUP(UncLookup[[#This Row],[Item]],Items!$A$1:$F$43,2,FALSE)=0,"",VLOOKUP(UncLookup[[#This Row],[Item]],Items!$A$1:$F$43,2,FALSE))</f>
        <v/>
      </c>
      <c r="P1897" s="90" t="str">
        <f>IF(VLOOKUP(UncLookup[[#This Row],[Item]],Items!$A$1:$F$43,3,FALSE)=0,"",VLOOKUP(UncLookup[[#This Row],[Item]],Items!$A$1:$F$43,3,FALSE))</f>
        <v/>
      </c>
      <c r="Q1897" s="90" t="str">
        <f>IF(VLOOKUP(UncLookup[[#This Row],[Item]],Items!$A$1:$F$43,4,FALSE)=0,"",VLOOKUP(UncLookup[[#This Row],[Item]],Items!$A$1:$F$43,4,FALSE))</f>
        <v/>
      </c>
    </row>
    <row r="1898" spans="1:17" x14ac:dyDescent="0.25">
      <c r="A1898" s="75" t="s">
        <v>55</v>
      </c>
      <c r="B1898" s="75" t="s">
        <v>8</v>
      </c>
      <c r="C1898" s="75">
        <v>330</v>
      </c>
      <c r="D1898" s="75">
        <v>1020.01</v>
      </c>
      <c r="E1898" s="75">
        <v>0.1</v>
      </c>
      <c r="F1898" s="75" t="s">
        <v>6</v>
      </c>
      <c r="G1898" s="75" t="s">
        <v>4</v>
      </c>
      <c r="H1898" s="75">
        <v>5</v>
      </c>
      <c r="I1898" s="75">
        <v>10.01</v>
      </c>
      <c r="J1898" s="75" t="s">
        <v>10</v>
      </c>
      <c r="K1898" s="75">
        <v>426.17</v>
      </c>
      <c r="L1898" s="75">
        <v>0.78768000000000005</v>
      </c>
      <c r="M1898" s="75">
        <v>426.19</v>
      </c>
      <c r="N1898" s="75">
        <v>0.7873</v>
      </c>
      <c r="O1898" s="90" t="str">
        <f>IF(VLOOKUP(UncLookup[[#This Row],[Item]],Items!$A$1:$F$43,2,FALSE)=0,"",VLOOKUP(UncLookup[[#This Row],[Item]],Items!$A$1:$F$43,2,FALSE))</f>
        <v/>
      </c>
      <c r="P1898" s="90" t="str">
        <f>IF(VLOOKUP(UncLookup[[#This Row],[Item]],Items!$A$1:$F$43,3,FALSE)=0,"",VLOOKUP(UncLookup[[#This Row],[Item]],Items!$A$1:$F$43,3,FALSE))</f>
        <v/>
      </c>
      <c r="Q1898" s="90" t="str">
        <f>IF(VLOOKUP(UncLookup[[#This Row],[Item]],Items!$A$1:$F$43,4,FALSE)=0,"",VLOOKUP(UncLookup[[#This Row],[Item]],Items!$A$1:$F$43,4,FALSE))</f>
        <v/>
      </c>
    </row>
    <row r="1899" spans="1:17" x14ac:dyDescent="0.25">
      <c r="A1899" s="76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90" t="str">
        <f>IF(VLOOKUP(UncLookup[[#This Row],[Item]],Items!$A$1:$F$43,2,FALSE)=0,"",VLOOKUP(UncLookup[[#This Row],[Item]],Items!$A$1:$F$43,2,FALSE))</f>
        <v/>
      </c>
      <c r="P1899" s="90" t="str">
        <f>IF(VLOOKUP(UncLookup[[#This Row],[Item]],Items!$A$1:$F$43,3,FALSE)=0,"",VLOOKUP(UncLookup[[#This Row],[Item]],Items!$A$1:$F$43,3,FALSE))</f>
        <v/>
      </c>
      <c r="Q1899" s="90" t="str">
        <f>IF(VLOOKUP(UncLookup[[#This Row],[Item]],Items!$A$1:$F$43,4,FALSE)=0,"",VLOOKUP(UncLookup[[#This Row],[Item]],Items!$A$1:$F$43,4,FALSE))</f>
        <v/>
      </c>
    </row>
    <row r="1900" spans="1:17" x14ac:dyDescent="0.25">
      <c r="A1900" s="75" t="s">
        <v>55</v>
      </c>
      <c r="B1900" s="75" t="s">
        <v>8</v>
      </c>
      <c r="C1900" s="75">
        <v>330</v>
      </c>
      <c r="D1900" s="75">
        <v>1020.01</v>
      </c>
      <c r="E1900" s="75">
        <v>1</v>
      </c>
      <c r="F1900" s="75" t="s">
        <v>6</v>
      </c>
      <c r="G1900" s="75" t="s">
        <v>4</v>
      </c>
      <c r="H1900" s="75">
        <v>5</v>
      </c>
      <c r="I1900" s="75">
        <v>10.01</v>
      </c>
      <c r="J1900" s="75" t="s">
        <v>10</v>
      </c>
      <c r="K1900" s="75">
        <v>5769</v>
      </c>
      <c r="L1900" s="75">
        <v>0.12912000000000001</v>
      </c>
      <c r="M1900" s="75">
        <v>5769.1</v>
      </c>
      <c r="N1900" s="75">
        <v>0.12875</v>
      </c>
      <c r="O1900" s="90" t="str">
        <f>IF(VLOOKUP(UncLookup[[#This Row],[Item]],Items!$A$1:$F$43,2,FALSE)=0,"",VLOOKUP(UncLookup[[#This Row],[Item]],Items!$A$1:$F$43,2,FALSE))</f>
        <v/>
      </c>
      <c r="P1900" s="90" t="str">
        <f>IF(VLOOKUP(UncLookup[[#This Row],[Item]],Items!$A$1:$F$43,3,FALSE)=0,"",VLOOKUP(UncLookup[[#This Row],[Item]],Items!$A$1:$F$43,3,FALSE))</f>
        <v/>
      </c>
      <c r="Q1900" s="90" t="str">
        <f>IF(VLOOKUP(UncLookup[[#This Row],[Item]],Items!$A$1:$F$43,4,FALSE)=0,"",VLOOKUP(UncLookup[[#This Row],[Item]],Items!$A$1:$F$43,4,FALSE))</f>
        <v/>
      </c>
    </row>
    <row r="1901" spans="1:17" x14ac:dyDescent="0.25">
      <c r="A1901" s="76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90" t="str">
        <f>IF(VLOOKUP(UncLookup[[#This Row],[Item]],Items!$A$1:$F$43,2,FALSE)=0,"",VLOOKUP(UncLookup[[#This Row],[Item]],Items!$A$1:$F$43,2,FALSE))</f>
        <v/>
      </c>
      <c r="P1901" s="90" t="str">
        <f>IF(VLOOKUP(UncLookup[[#This Row],[Item]],Items!$A$1:$F$43,3,FALSE)=0,"",VLOOKUP(UncLookup[[#This Row],[Item]],Items!$A$1:$F$43,3,FALSE))</f>
        <v/>
      </c>
      <c r="Q1901" s="90" t="str">
        <f>IF(VLOOKUP(UncLookup[[#This Row],[Item]],Items!$A$1:$F$43,4,FALSE)=0,"",VLOOKUP(UncLookup[[#This Row],[Item]],Items!$A$1:$F$43,4,FALSE))</f>
        <v/>
      </c>
    </row>
    <row r="1902" spans="1:17" x14ac:dyDescent="0.25">
      <c r="A1902" s="75" t="s">
        <v>55</v>
      </c>
      <c r="B1902" s="75" t="s">
        <v>8</v>
      </c>
      <c r="C1902" s="75">
        <v>330</v>
      </c>
      <c r="D1902" s="75">
        <v>1020.01</v>
      </c>
      <c r="E1902" s="75">
        <v>1</v>
      </c>
      <c r="F1902" s="75" t="s">
        <v>6</v>
      </c>
      <c r="G1902" s="75" t="s">
        <v>4</v>
      </c>
      <c r="H1902" s="75">
        <v>4.4999999999999998E-2</v>
      </c>
      <c r="I1902" s="75">
        <v>1.0000100000000001</v>
      </c>
      <c r="J1902" s="75" t="s">
        <v>10</v>
      </c>
      <c r="K1902" s="75">
        <v>5790.3</v>
      </c>
      <c r="L1902" s="75">
        <v>4.1506000000000001E-2</v>
      </c>
      <c r="M1902" s="75">
        <v>5790.4</v>
      </c>
      <c r="N1902" s="75">
        <v>4.1123E-2</v>
      </c>
      <c r="O1902" s="90" t="str">
        <f>IF(VLOOKUP(UncLookup[[#This Row],[Item]],Items!$A$1:$F$43,2,FALSE)=0,"",VLOOKUP(UncLookup[[#This Row],[Item]],Items!$A$1:$F$43,2,FALSE))</f>
        <v/>
      </c>
      <c r="P1902" s="90" t="str">
        <f>IF(VLOOKUP(UncLookup[[#This Row],[Item]],Items!$A$1:$F$43,3,FALSE)=0,"",VLOOKUP(UncLookup[[#This Row],[Item]],Items!$A$1:$F$43,3,FALSE))</f>
        <v/>
      </c>
      <c r="Q1902" s="90" t="str">
        <f>IF(VLOOKUP(UncLookup[[#This Row],[Item]],Items!$A$1:$F$43,4,FALSE)=0,"",VLOOKUP(UncLookup[[#This Row],[Item]],Items!$A$1:$F$43,4,FALSE))</f>
        <v/>
      </c>
    </row>
    <row r="1903" spans="1:17" x14ac:dyDescent="0.25">
      <c r="A1903" s="76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90" t="str">
        <f>IF(VLOOKUP(UncLookup[[#This Row],[Item]],Items!$A$1:$F$43,2,FALSE)=0,"",VLOOKUP(UncLookup[[#This Row],[Item]],Items!$A$1:$F$43,2,FALSE))</f>
        <v/>
      </c>
      <c r="P1903" s="90" t="str">
        <f>IF(VLOOKUP(UncLookup[[#This Row],[Item]],Items!$A$1:$F$43,3,FALSE)=0,"",VLOOKUP(UncLookup[[#This Row],[Item]],Items!$A$1:$F$43,3,FALSE))</f>
        <v/>
      </c>
      <c r="Q1903" s="90" t="str">
        <f>IF(VLOOKUP(UncLookup[[#This Row],[Item]],Items!$A$1:$F$43,4,FALSE)=0,"",VLOOKUP(UncLookup[[#This Row],[Item]],Items!$A$1:$F$43,4,FALSE))</f>
        <v/>
      </c>
    </row>
    <row r="1904" spans="1:17" x14ac:dyDescent="0.25">
      <c r="A1904" s="75" t="s">
        <v>55</v>
      </c>
      <c r="B1904" s="75" t="s">
        <v>8</v>
      </c>
      <c r="C1904" s="75">
        <v>330</v>
      </c>
      <c r="D1904" s="75">
        <v>1020.01</v>
      </c>
      <c r="E1904" s="75">
        <v>10</v>
      </c>
      <c r="F1904" s="75" t="s">
        <v>6</v>
      </c>
      <c r="G1904" s="75" t="s">
        <v>4</v>
      </c>
      <c r="H1904" s="75">
        <v>5</v>
      </c>
      <c r="I1904" s="75">
        <v>10.01</v>
      </c>
      <c r="J1904" s="75" t="s">
        <v>10</v>
      </c>
      <c r="K1904" s="75">
        <v>57997</v>
      </c>
      <c r="L1904" s="75">
        <v>1.3152E-2</v>
      </c>
      <c r="M1904" s="75">
        <v>57997</v>
      </c>
      <c r="N1904" s="75">
        <v>1.2997999999999999E-2</v>
      </c>
      <c r="O1904" s="90" t="str">
        <f>IF(VLOOKUP(UncLookup[[#This Row],[Item]],Items!$A$1:$F$43,2,FALSE)=0,"",VLOOKUP(UncLookup[[#This Row],[Item]],Items!$A$1:$F$43,2,FALSE))</f>
        <v/>
      </c>
      <c r="P1904" s="90" t="str">
        <f>IF(VLOOKUP(UncLookup[[#This Row],[Item]],Items!$A$1:$F$43,3,FALSE)=0,"",VLOOKUP(UncLookup[[#This Row],[Item]],Items!$A$1:$F$43,3,FALSE))</f>
        <v/>
      </c>
      <c r="Q1904" s="90" t="str">
        <f>IF(VLOOKUP(UncLookup[[#This Row],[Item]],Items!$A$1:$F$43,4,FALSE)=0,"",VLOOKUP(UncLookup[[#This Row],[Item]],Items!$A$1:$F$43,4,FALSE))</f>
        <v/>
      </c>
    </row>
    <row r="1905" spans="1:17" x14ac:dyDescent="0.25">
      <c r="A1905" s="76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90" t="str">
        <f>IF(VLOOKUP(UncLookup[[#This Row],[Item]],Items!$A$1:$F$43,2,FALSE)=0,"",VLOOKUP(UncLookup[[#This Row],[Item]],Items!$A$1:$F$43,2,FALSE))</f>
        <v/>
      </c>
      <c r="P1905" s="90" t="str">
        <f>IF(VLOOKUP(UncLookup[[#This Row],[Item]],Items!$A$1:$F$43,3,FALSE)=0,"",VLOOKUP(UncLookup[[#This Row],[Item]],Items!$A$1:$F$43,3,FALSE))</f>
        <v/>
      </c>
      <c r="Q1905" s="90" t="str">
        <f>IF(VLOOKUP(UncLookup[[#This Row],[Item]],Items!$A$1:$F$43,4,FALSE)=0,"",VLOOKUP(UncLookup[[#This Row],[Item]],Items!$A$1:$F$43,4,FALSE))</f>
        <v/>
      </c>
    </row>
    <row r="1906" spans="1:17" x14ac:dyDescent="0.25">
      <c r="A1906" s="75" t="s">
        <v>55</v>
      </c>
      <c r="B1906" s="75" t="s">
        <v>8</v>
      </c>
      <c r="C1906" s="75">
        <v>330</v>
      </c>
      <c r="D1906" s="75">
        <v>1020.01</v>
      </c>
      <c r="E1906" s="75">
        <v>10</v>
      </c>
      <c r="F1906" s="75" t="s">
        <v>6</v>
      </c>
      <c r="G1906" s="75" t="s">
        <v>4</v>
      </c>
      <c r="H1906" s="75">
        <v>10</v>
      </c>
      <c r="I1906" s="75">
        <v>10.01</v>
      </c>
      <c r="J1906" s="75" t="s">
        <v>10</v>
      </c>
      <c r="K1906" s="75">
        <v>57997</v>
      </c>
      <c r="L1906" s="75">
        <v>1.3152E-2</v>
      </c>
      <c r="M1906" s="75">
        <v>57997</v>
      </c>
      <c r="N1906" s="75">
        <v>1.2997999999999999E-2</v>
      </c>
      <c r="O1906" s="90" t="str">
        <f>IF(VLOOKUP(UncLookup[[#This Row],[Item]],Items!$A$1:$F$43,2,FALSE)=0,"",VLOOKUP(UncLookup[[#This Row],[Item]],Items!$A$1:$F$43,2,FALSE))</f>
        <v/>
      </c>
      <c r="P1906" s="90" t="str">
        <f>IF(VLOOKUP(UncLookup[[#This Row],[Item]],Items!$A$1:$F$43,3,FALSE)=0,"",VLOOKUP(UncLookup[[#This Row],[Item]],Items!$A$1:$F$43,3,FALSE))</f>
        <v/>
      </c>
      <c r="Q1906" s="90" t="str">
        <f>IF(VLOOKUP(UncLookup[[#This Row],[Item]],Items!$A$1:$F$43,4,FALSE)=0,"",VLOOKUP(UncLookup[[#This Row],[Item]],Items!$A$1:$F$43,4,FALSE))</f>
        <v/>
      </c>
    </row>
    <row r="1907" spans="1:17" x14ac:dyDescent="0.25">
      <c r="A1907" s="76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90" t="str">
        <f>IF(VLOOKUP(UncLookup[[#This Row],[Item]],Items!$A$1:$F$43,2,FALSE)=0,"",VLOOKUP(UncLookup[[#This Row],[Item]],Items!$A$1:$F$43,2,FALSE))</f>
        <v/>
      </c>
      <c r="P1907" s="90" t="str">
        <f>IF(VLOOKUP(UncLookup[[#This Row],[Item]],Items!$A$1:$F$43,3,FALSE)=0,"",VLOOKUP(UncLookup[[#This Row],[Item]],Items!$A$1:$F$43,3,FALSE))</f>
        <v/>
      </c>
      <c r="Q1907" s="90" t="str">
        <f>IF(VLOOKUP(UncLookup[[#This Row],[Item]],Items!$A$1:$F$43,4,FALSE)=0,"",VLOOKUP(UncLookup[[#This Row],[Item]],Items!$A$1:$F$43,4,FALSE))</f>
        <v/>
      </c>
    </row>
    <row r="1908" spans="1:17" x14ac:dyDescent="0.25">
      <c r="A1908" s="75" t="s">
        <v>55</v>
      </c>
      <c r="B1908" s="75" t="s">
        <v>64</v>
      </c>
      <c r="C1908" s="75">
        <v>55</v>
      </c>
      <c r="D1908" s="75">
        <v>150.01</v>
      </c>
      <c r="E1908" s="75">
        <v>1E-3</v>
      </c>
      <c r="F1908" s="75" t="s">
        <v>13</v>
      </c>
      <c r="G1908" s="75" t="s">
        <v>12</v>
      </c>
      <c r="H1908" s="75">
        <v>5</v>
      </c>
      <c r="I1908" s="75">
        <v>10</v>
      </c>
      <c r="J1908" s="75" t="s">
        <v>10</v>
      </c>
      <c r="K1908" s="75">
        <v>290</v>
      </c>
      <c r="L1908" s="75">
        <v>29</v>
      </c>
      <c r="M1908" s="75">
        <v>288.13</v>
      </c>
      <c r="N1908" s="75">
        <v>28.936</v>
      </c>
      <c r="O1908" s="90" t="str">
        <f>IF(VLOOKUP(UncLookup[[#This Row],[Item]],Items!$A$1:$F$43,2,FALSE)=0,"",VLOOKUP(UncLookup[[#This Row],[Item]],Items!$A$1:$F$43,2,FALSE))</f>
        <v/>
      </c>
      <c r="P1908" s="90" t="str">
        <f>IF(VLOOKUP(UncLookup[[#This Row],[Item]],Items!$A$1:$F$43,3,FALSE)=0,"",VLOOKUP(UncLookup[[#This Row],[Item]],Items!$A$1:$F$43,3,FALSE))</f>
        <v>50 turn</v>
      </c>
      <c r="Q1908" s="90" t="str">
        <f>IF(VLOOKUP(UncLookup[[#This Row],[Item]],Items!$A$1:$F$43,4,FALSE)=0,"",VLOOKUP(UncLookup[[#This Row],[Item]],Items!$A$1:$F$43,4,FALSE))</f>
        <v/>
      </c>
    </row>
    <row r="1909" spans="1:17" x14ac:dyDescent="0.25">
      <c r="A1909" s="76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90" t="str">
        <f>IF(VLOOKUP(UncLookup[[#This Row],[Item]],Items!$A$1:$F$43,2,FALSE)=0,"",VLOOKUP(UncLookup[[#This Row],[Item]],Items!$A$1:$F$43,2,FALSE))</f>
        <v/>
      </c>
      <c r="P1909" s="90" t="str">
        <f>IF(VLOOKUP(UncLookup[[#This Row],[Item]],Items!$A$1:$F$43,3,FALSE)=0,"",VLOOKUP(UncLookup[[#This Row],[Item]],Items!$A$1:$F$43,3,FALSE))</f>
        <v>50 turn</v>
      </c>
      <c r="Q1909" s="90" t="str">
        <f>IF(VLOOKUP(UncLookup[[#This Row],[Item]],Items!$A$1:$F$43,4,FALSE)=0,"",VLOOKUP(UncLookup[[#This Row],[Item]],Items!$A$1:$F$43,4,FALSE))</f>
        <v/>
      </c>
    </row>
    <row r="1910" spans="1:17" x14ac:dyDescent="0.25">
      <c r="A1910" s="75" t="s">
        <v>55</v>
      </c>
      <c r="B1910" s="75" t="s">
        <v>64</v>
      </c>
      <c r="C1910" s="75">
        <v>55</v>
      </c>
      <c r="D1910" s="75">
        <v>150.01</v>
      </c>
      <c r="E1910" s="75">
        <v>1E-3</v>
      </c>
      <c r="F1910" s="75" t="s">
        <v>13</v>
      </c>
      <c r="G1910" s="75" t="s">
        <v>12</v>
      </c>
      <c r="H1910" s="75">
        <v>4.4999999999999998E-2</v>
      </c>
      <c r="I1910" s="75">
        <v>0.1</v>
      </c>
      <c r="J1910" s="75" t="s">
        <v>10</v>
      </c>
      <c r="K1910" s="75">
        <v>49</v>
      </c>
      <c r="L1910" s="75">
        <v>2.6</v>
      </c>
      <c r="M1910" s="75">
        <v>2.0611000000000002</v>
      </c>
      <c r="N1910" s="75">
        <v>2.1158000000000001</v>
      </c>
      <c r="O1910" s="90" t="str">
        <f>IF(VLOOKUP(UncLookup[[#This Row],[Item]],Items!$A$1:$F$43,2,FALSE)=0,"",VLOOKUP(UncLookup[[#This Row],[Item]],Items!$A$1:$F$43,2,FALSE))</f>
        <v/>
      </c>
      <c r="P1910" s="90" t="str">
        <f>IF(VLOOKUP(UncLookup[[#This Row],[Item]],Items!$A$1:$F$43,3,FALSE)=0,"",VLOOKUP(UncLookup[[#This Row],[Item]],Items!$A$1:$F$43,3,FALSE))</f>
        <v>50 turn</v>
      </c>
      <c r="Q1910" s="90" t="str">
        <f>IF(VLOOKUP(UncLookup[[#This Row],[Item]],Items!$A$1:$F$43,4,FALSE)=0,"",VLOOKUP(UncLookup[[#This Row],[Item]],Items!$A$1:$F$43,4,FALSE))</f>
        <v/>
      </c>
    </row>
    <row r="1911" spans="1:17" x14ac:dyDescent="0.25">
      <c r="A1911" s="76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90" t="str">
        <f>IF(VLOOKUP(UncLookup[[#This Row],[Item]],Items!$A$1:$F$43,2,FALSE)=0,"",VLOOKUP(UncLookup[[#This Row],[Item]],Items!$A$1:$F$43,2,FALSE))</f>
        <v/>
      </c>
      <c r="P1911" s="90" t="str">
        <f>IF(VLOOKUP(UncLookup[[#This Row],[Item]],Items!$A$1:$F$43,3,FALSE)=0,"",VLOOKUP(UncLookup[[#This Row],[Item]],Items!$A$1:$F$43,3,FALSE))</f>
        <v>50 turn</v>
      </c>
      <c r="Q1911" s="90" t="str">
        <f>IF(VLOOKUP(UncLookup[[#This Row],[Item]],Items!$A$1:$F$43,4,FALSE)=0,"",VLOOKUP(UncLookup[[#This Row],[Item]],Items!$A$1:$F$43,4,FALSE))</f>
        <v/>
      </c>
    </row>
    <row r="1912" spans="1:17" x14ac:dyDescent="0.25">
      <c r="A1912" s="75" t="s">
        <v>55</v>
      </c>
      <c r="B1912" s="75" t="s">
        <v>64</v>
      </c>
      <c r="C1912" s="75">
        <v>55</v>
      </c>
      <c r="D1912" s="75">
        <v>150.01</v>
      </c>
      <c r="E1912" s="75">
        <v>1E-3</v>
      </c>
      <c r="F1912" s="75" t="s">
        <v>13</v>
      </c>
      <c r="G1912" s="75" t="s">
        <v>12</v>
      </c>
      <c r="H1912" s="75">
        <v>1</v>
      </c>
      <c r="I1912" s="75">
        <v>5.01</v>
      </c>
      <c r="J1912" s="75" t="s">
        <v>10</v>
      </c>
      <c r="K1912" s="75">
        <v>58</v>
      </c>
      <c r="L1912" s="75">
        <v>7.2</v>
      </c>
      <c r="M1912" s="75">
        <v>55.853000000000002</v>
      </c>
      <c r="N1912" s="75">
        <v>7.2092999999999998</v>
      </c>
      <c r="O1912" s="90" t="str">
        <f>IF(VLOOKUP(UncLookup[[#This Row],[Item]],Items!$A$1:$F$43,2,FALSE)=0,"",VLOOKUP(UncLookup[[#This Row],[Item]],Items!$A$1:$F$43,2,FALSE))</f>
        <v/>
      </c>
      <c r="P1912" s="90" t="str">
        <f>IF(VLOOKUP(UncLookup[[#This Row],[Item]],Items!$A$1:$F$43,3,FALSE)=0,"",VLOOKUP(UncLookup[[#This Row],[Item]],Items!$A$1:$F$43,3,FALSE))</f>
        <v>50 turn</v>
      </c>
      <c r="Q1912" s="90" t="str">
        <f>IF(VLOOKUP(UncLookup[[#This Row],[Item]],Items!$A$1:$F$43,4,FALSE)=0,"",VLOOKUP(UncLookup[[#This Row],[Item]],Items!$A$1:$F$43,4,FALSE))</f>
        <v/>
      </c>
    </row>
    <row r="1913" spans="1:17" x14ac:dyDescent="0.25">
      <c r="A1913" s="76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90" t="str">
        <f>IF(VLOOKUP(UncLookup[[#This Row],[Item]],Items!$A$1:$F$43,2,FALSE)=0,"",VLOOKUP(UncLookup[[#This Row],[Item]],Items!$A$1:$F$43,2,FALSE))</f>
        <v/>
      </c>
      <c r="P1913" s="90" t="str">
        <f>IF(VLOOKUP(UncLookup[[#This Row],[Item]],Items!$A$1:$F$43,3,FALSE)=0,"",VLOOKUP(UncLookup[[#This Row],[Item]],Items!$A$1:$F$43,3,FALSE))</f>
        <v>50 turn</v>
      </c>
      <c r="Q1913" s="90" t="str">
        <f>IF(VLOOKUP(UncLookup[[#This Row],[Item]],Items!$A$1:$F$43,4,FALSE)=0,"",VLOOKUP(UncLookup[[#This Row],[Item]],Items!$A$1:$F$43,4,FALSE))</f>
        <v/>
      </c>
    </row>
    <row r="1914" spans="1:17" x14ac:dyDescent="0.25">
      <c r="A1914" s="75" t="s">
        <v>55</v>
      </c>
      <c r="B1914" s="75" t="s">
        <v>64</v>
      </c>
      <c r="C1914" s="75">
        <v>55</v>
      </c>
      <c r="D1914" s="75">
        <v>150.01</v>
      </c>
      <c r="E1914" s="75">
        <v>0.01</v>
      </c>
      <c r="F1914" s="75" t="s">
        <v>13</v>
      </c>
      <c r="G1914" s="75" t="s">
        <v>12</v>
      </c>
      <c r="H1914" s="75">
        <v>0.1</v>
      </c>
      <c r="I1914" s="75">
        <v>1</v>
      </c>
      <c r="J1914" s="75" t="s">
        <v>10</v>
      </c>
      <c r="K1914" s="75">
        <v>49</v>
      </c>
      <c r="L1914" s="75">
        <v>2.6</v>
      </c>
      <c r="M1914" s="75">
        <v>2.2593000000000001</v>
      </c>
      <c r="N1914" s="75">
        <v>2.1147999999999998</v>
      </c>
      <c r="O1914" s="90" t="str">
        <f>IF(VLOOKUP(UncLookup[[#This Row],[Item]],Items!$A$1:$F$43,2,FALSE)=0,"",VLOOKUP(UncLookup[[#This Row],[Item]],Items!$A$1:$F$43,2,FALSE))</f>
        <v/>
      </c>
      <c r="P1914" s="90" t="str">
        <f>IF(VLOOKUP(UncLookup[[#This Row],[Item]],Items!$A$1:$F$43,3,FALSE)=0,"",VLOOKUP(UncLookup[[#This Row],[Item]],Items!$A$1:$F$43,3,FALSE))</f>
        <v>50 turn</v>
      </c>
      <c r="Q1914" s="90" t="str">
        <f>IF(VLOOKUP(UncLookup[[#This Row],[Item]],Items!$A$1:$F$43,4,FALSE)=0,"",VLOOKUP(UncLookup[[#This Row],[Item]],Items!$A$1:$F$43,4,FALSE))</f>
        <v/>
      </c>
    </row>
    <row r="1915" spans="1:17" x14ac:dyDescent="0.25">
      <c r="A1915" s="76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90" t="str">
        <f>IF(VLOOKUP(UncLookup[[#This Row],[Item]],Items!$A$1:$F$43,2,FALSE)=0,"",VLOOKUP(UncLookup[[#This Row],[Item]],Items!$A$1:$F$43,2,FALSE))</f>
        <v/>
      </c>
      <c r="P1915" s="90" t="str">
        <f>IF(VLOOKUP(UncLookup[[#This Row],[Item]],Items!$A$1:$F$43,3,FALSE)=0,"",VLOOKUP(UncLookup[[#This Row],[Item]],Items!$A$1:$F$43,3,FALSE))</f>
        <v>50 turn</v>
      </c>
      <c r="Q1915" s="90" t="str">
        <f>IF(VLOOKUP(UncLookup[[#This Row],[Item]],Items!$A$1:$F$43,4,FALSE)=0,"",VLOOKUP(UncLookup[[#This Row],[Item]],Items!$A$1:$F$43,4,FALSE))</f>
        <v/>
      </c>
    </row>
    <row r="1916" spans="1:17" x14ac:dyDescent="0.25">
      <c r="A1916" s="75" t="s">
        <v>55</v>
      </c>
      <c r="B1916" s="75" t="s">
        <v>64</v>
      </c>
      <c r="C1916" s="75">
        <v>55</v>
      </c>
      <c r="D1916" s="75">
        <v>150.01</v>
      </c>
      <c r="E1916" s="75">
        <v>0.01</v>
      </c>
      <c r="F1916" s="75" t="s">
        <v>13</v>
      </c>
      <c r="G1916" s="75" t="s">
        <v>12</v>
      </c>
      <c r="H1916" s="75">
        <v>4.4999999999999998E-2</v>
      </c>
      <c r="I1916" s="75">
        <v>0.1</v>
      </c>
      <c r="J1916" s="75" t="s">
        <v>10</v>
      </c>
      <c r="K1916" s="75">
        <v>49</v>
      </c>
      <c r="L1916" s="75">
        <v>2.6</v>
      </c>
      <c r="M1916" s="75">
        <v>2.2593000000000001</v>
      </c>
      <c r="N1916" s="75">
        <v>2.1147999999999998</v>
      </c>
      <c r="O1916" s="90" t="str">
        <f>IF(VLOOKUP(UncLookup[[#This Row],[Item]],Items!$A$1:$F$43,2,FALSE)=0,"",VLOOKUP(UncLookup[[#This Row],[Item]],Items!$A$1:$F$43,2,FALSE))</f>
        <v/>
      </c>
      <c r="P1916" s="90" t="str">
        <f>IF(VLOOKUP(UncLookup[[#This Row],[Item]],Items!$A$1:$F$43,3,FALSE)=0,"",VLOOKUP(UncLookup[[#This Row],[Item]],Items!$A$1:$F$43,3,FALSE))</f>
        <v>50 turn</v>
      </c>
      <c r="Q1916" s="90" t="str">
        <f>IF(VLOOKUP(UncLookup[[#This Row],[Item]],Items!$A$1:$F$43,4,FALSE)=0,"",VLOOKUP(UncLookup[[#This Row],[Item]],Items!$A$1:$F$43,4,FALSE))</f>
        <v/>
      </c>
    </row>
    <row r="1917" spans="1:17" x14ac:dyDescent="0.25">
      <c r="A1917" s="76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90" t="str">
        <f>IF(VLOOKUP(UncLookup[[#This Row],[Item]],Items!$A$1:$F$43,2,FALSE)=0,"",VLOOKUP(UncLookup[[#This Row],[Item]],Items!$A$1:$F$43,2,FALSE))</f>
        <v/>
      </c>
      <c r="P1917" s="90" t="str">
        <f>IF(VLOOKUP(UncLookup[[#This Row],[Item]],Items!$A$1:$F$43,3,FALSE)=0,"",VLOOKUP(UncLookup[[#This Row],[Item]],Items!$A$1:$F$43,3,FALSE))</f>
        <v>50 turn</v>
      </c>
      <c r="Q1917" s="90" t="str">
        <f>IF(VLOOKUP(UncLookup[[#This Row],[Item]],Items!$A$1:$F$43,4,FALSE)=0,"",VLOOKUP(UncLookup[[#This Row],[Item]],Items!$A$1:$F$43,4,FALSE))</f>
        <v/>
      </c>
    </row>
    <row r="1918" spans="1:17" x14ac:dyDescent="0.25">
      <c r="A1918" s="75" t="s">
        <v>55</v>
      </c>
      <c r="B1918" s="75" t="s">
        <v>64</v>
      </c>
      <c r="C1918" s="75">
        <v>55</v>
      </c>
      <c r="D1918" s="75">
        <v>150.01</v>
      </c>
      <c r="E1918" s="75">
        <v>0.01</v>
      </c>
      <c r="F1918" s="75" t="s">
        <v>13</v>
      </c>
      <c r="G1918" s="75" t="s">
        <v>12</v>
      </c>
      <c r="H1918" s="75">
        <v>0.01</v>
      </c>
      <c r="I1918" s="75">
        <v>4.4999999999999998E-2</v>
      </c>
      <c r="J1918" s="75" t="s">
        <v>10</v>
      </c>
      <c r="K1918" s="75">
        <v>22</v>
      </c>
      <c r="L1918" s="75">
        <v>2.7673000000000001</v>
      </c>
      <c r="M1918" s="75">
        <v>4.3733000000000004</v>
      </c>
      <c r="N1918" s="75">
        <v>2.8834</v>
      </c>
      <c r="O1918" s="90" t="str">
        <f>IF(VLOOKUP(UncLookup[[#This Row],[Item]],Items!$A$1:$F$43,2,FALSE)=0,"",VLOOKUP(UncLookup[[#This Row],[Item]],Items!$A$1:$F$43,2,FALSE))</f>
        <v/>
      </c>
      <c r="P1918" s="90" t="str">
        <f>IF(VLOOKUP(UncLookup[[#This Row],[Item]],Items!$A$1:$F$43,3,FALSE)=0,"",VLOOKUP(UncLookup[[#This Row],[Item]],Items!$A$1:$F$43,3,FALSE))</f>
        <v>50 turn</v>
      </c>
      <c r="Q1918" s="90" t="str">
        <f>IF(VLOOKUP(UncLookup[[#This Row],[Item]],Items!$A$1:$F$43,4,FALSE)=0,"",VLOOKUP(UncLookup[[#This Row],[Item]],Items!$A$1:$F$43,4,FALSE))</f>
        <v/>
      </c>
    </row>
    <row r="1919" spans="1:17" x14ac:dyDescent="0.25">
      <c r="A1919" s="76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90" t="str">
        <f>IF(VLOOKUP(UncLookup[[#This Row],[Item]],Items!$A$1:$F$43,2,FALSE)=0,"",VLOOKUP(UncLookup[[#This Row],[Item]],Items!$A$1:$F$43,2,FALSE))</f>
        <v/>
      </c>
      <c r="P1919" s="90" t="str">
        <f>IF(VLOOKUP(UncLookup[[#This Row],[Item]],Items!$A$1:$F$43,3,FALSE)=0,"",VLOOKUP(UncLookup[[#This Row],[Item]],Items!$A$1:$F$43,3,FALSE))</f>
        <v>50 turn</v>
      </c>
      <c r="Q1919" s="90" t="str">
        <f>IF(VLOOKUP(UncLookup[[#This Row],[Item]],Items!$A$1:$F$43,4,FALSE)=0,"",VLOOKUP(UncLookup[[#This Row],[Item]],Items!$A$1:$F$43,4,FALSE))</f>
        <v/>
      </c>
    </row>
    <row r="1920" spans="1:17" x14ac:dyDescent="0.25">
      <c r="A1920" s="75" t="s">
        <v>55</v>
      </c>
      <c r="B1920" s="75" t="s">
        <v>64</v>
      </c>
      <c r="C1920" s="75">
        <v>55</v>
      </c>
      <c r="D1920" s="75">
        <v>150.01</v>
      </c>
      <c r="E1920" s="78">
        <v>0.1</v>
      </c>
      <c r="F1920" s="75" t="s">
        <v>13</v>
      </c>
      <c r="G1920" s="75" t="s">
        <v>12</v>
      </c>
      <c r="H1920" s="75">
        <v>1</v>
      </c>
      <c r="I1920" s="75">
        <v>5.01</v>
      </c>
      <c r="J1920" s="75" t="s">
        <v>10</v>
      </c>
      <c r="K1920" s="75">
        <v>60.896000000000001</v>
      </c>
      <c r="L1920" s="75">
        <v>7.1858000000000004</v>
      </c>
      <c r="M1920" s="75">
        <v>60.843000000000004</v>
      </c>
      <c r="N1920" s="75">
        <v>7.1859000000000002</v>
      </c>
      <c r="O1920" s="90" t="str">
        <f>IF(VLOOKUP(UncLookup[[#This Row],[Item]],Items!$A$1:$F$43,2,FALSE)=0,"",VLOOKUP(UncLookup[[#This Row],[Item]],Items!$A$1:$F$43,2,FALSE))</f>
        <v/>
      </c>
      <c r="P1920" s="90" t="str">
        <f>IF(VLOOKUP(UncLookup[[#This Row],[Item]],Items!$A$1:$F$43,3,FALSE)=0,"",VLOOKUP(UncLookup[[#This Row],[Item]],Items!$A$1:$F$43,3,FALSE))</f>
        <v>50 turn</v>
      </c>
      <c r="Q1920" s="90" t="str">
        <f>IF(VLOOKUP(UncLookup[[#This Row],[Item]],Items!$A$1:$F$43,4,FALSE)=0,"",VLOOKUP(UncLookup[[#This Row],[Item]],Items!$A$1:$F$43,4,FALSE))</f>
        <v/>
      </c>
    </row>
    <row r="1921" spans="1:17" x14ac:dyDescent="0.25">
      <c r="A1921" s="76" t="s">
        <v>55</v>
      </c>
      <c r="B1921" s="76" t="s">
        <v>64</v>
      </c>
      <c r="C1921" s="76">
        <v>55</v>
      </c>
      <c r="D1921" s="76">
        <v>150.01</v>
      </c>
      <c r="E1921" s="76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90" t="str">
        <f>IF(VLOOKUP(UncLookup[[#This Row],[Item]],Items!$A$1:$F$43,2,FALSE)=0,"",VLOOKUP(UncLookup[[#This Row],[Item]],Items!$A$1:$F$43,2,FALSE))</f>
        <v/>
      </c>
      <c r="P1921" s="90" t="str">
        <f>IF(VLOOKUP(UncLookup[[#This Row],[Item]],Items!$A$1:$F$43,3,FALSE)=0,"",VLOOKUP(UncLookup[[#This Row],[Item]],Items!$A$1:$F$43,3,FALSE))</f>
        <v>50 turn</v>
      </c>
      <c r="Q1921" s="90" t="str">
        <f>IF(VLOOKUP(UncLookup[[#This Row],[Item]],Items!$A$1:$F$43,4,FALSE)=0,"",VLOOKUP(UncLookup[[#This Row],[Item]],Items!$A$1:$F$43,4,FALSE))</f>
        <v/>
      </c>
    </row>
    <row r="1922" spans="1:17" x14ac:dyDescent="0.25">
      <c r="A1922" s="75" t="s">
        <v>55</v>
      </c>
      <c r="B1922" s="75" t="s">
        <v>64</v>
      </c>
      <c r="C1922" s="75">
        <v>55</v>
      </c>
      <c r="D1922" s="75">
        <v>150.01</v>
      </c>
      <c r="E1922" s="75">
        <v>0.1</v>
      </c>
      <c r="F1922" s="75" t="s">
        <v>13</v>
      </c>
      <c r="G1922" s="75" t="s">
        <v>12</v>
      </c>
      <c r="H1922" s="75">
        <v>0.1</v>
      </c>
      <c r="I1922" s="75">
        <v>1</v>
      </c>
      <c r="J1922" s="75" t="s">
        <v>10</v>
      </c>
      <c r="K1922" s="75">
        <v>49</v>
      </c>
      <c r="L1922" s="75">
        <v>2.6</v>
      </c>
      <c r="M1922" s="75">
        <v>20.257000000000001</v>
      </c>
      <c r="N1922" s="75">
        <v>2.0293000000000001</v>
      </c>
      <c r="O1922" s="90" t="str">
        <f>IF(VLOOKUP(UncLookup[[#This Row],[Item]],Items!$A$1:$F$43,2,FALSE)=0,"",VLOOKUP(UncLookup[[#This Row],[Item]],Items!$A$1:$F$43,2,FALSE))</f>
        <v/>
      </c>
      <c r="P1922" s="90" t="str">
        <f>IF(VLOOKUP(UncLookup[[#This Row],[Item]],Items!$A$1:$F$43,3,FALSE)=0,"",VLOOKUP(UncLookup[[#This Row],[Item]],Items!$A$1:$F$43,3,FALSE))</f>
        <v>50 turn</v>
      </c>
      <c r="Q1922" s="90" t="str">
        <f>IF(VLOOKUP(UncLookup[[#This Row],[Item]],Items!$A$1:$F$43,4,FALSE)=0,"",VLOOKUP(UncLookup[[#This Row],[Item]],Items!$A$1:$F$43,4,FALSE))</f>
        <v/>
      </c>
    </row>
    <row r="1923" spans="1:17" x14ac:dyDescent="0.25">
      <c r="A1923" s="76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90" t="str">
        <f>IF(VLOOKUP(UncLookup[[#This Row],[Item]],Items!$A$1:$F$43,2,FALSE)=0,"",VLOOKUP(UncLookup[[#This Row],[Item]],Items!$A$1:$F$43,2,FALSE))</f>
        <v/>
      </c>
      <c r="P1923" s="90" t="str">
        <f>IF(VLOOKUP(UncLookup[[#This Row],[Item]],Items!$A$1:$F$43,3,FALSE)=0,"",VLOOKUP(UncLookup[[#This Row],[Item]],Items!$A$1:$F$43,3,FALSE))</f>
        <v>50 turn</v>
      </c>
      <c r="Q1923" s="90" t="str">
        <f>IF(VLOOKUP(UncLookup[[#This Row],[Item]],Items!$A$1:$F$43,4,FALSE)=0,"",VLOOKUP(UncLookup[[#This Row],[Item]],Items!$A$1:$F$43,4,FALSE))</f>
        <v/>
      </c>
    </row>
    <row r="1924" spans="1:17" x14ac:dyDescent="0.25">
      <c r="A1924" s="75" t="s">
        <v>55</v>
      </c>
      <c r="B1924" s="75" t="s">
        <v>64</v>
      </c>
      <c r="C1924" s="75">
        <v>55</v>
      </c>
      <c r="D1924" s="75">
        <v>150.01</v>
      </c>
      <c r="E1924" s="75">
        <v>0.1</v>
      </c>
      <c r="F1924" s="75" t="s">
        <v>13</v>
      </c>
      <c r="G1924" s="75" t="s">
        <v>12</v>
      </c>
      <c r="H1924" s="75">
        <v>0.01</v>
      </c>
      <c r="I1924" s="75">
        <v>4.4999999999999998E-2</v>
      </c>
      <c r="J1924" s="75" t="s">
        <v>10</v>
      </c>
      <c r="K1924" s="75">
        <v>22</v>
      </c>
      <c r="L1924" s="75">
        <v>2.8075999999999999</v>
      </c>
      <c r="M1924" s="75">
        <v>17.829000000000001</v>
      </c>
      <c r="N1924" s="75">
        <v>2.819</v>
      </c>
      <c r="O1924" s="90" t="str">
        <f>IF(VLOOKUP(UncLookup[[#This Row],[Item]],Items!$A$1:$F$43,2,FALSE)=0,"",VLOOKUP(UncLookup[[#This Row],[Item]],Items!$A$1:$F$43,2,FALSE))</f>
        <v/>
      </c>
      <c r="P1924" s="90" t="str">
        <f>IF(VLOOKUP(UncLookup[[#This Row],[Item]],Items!$A$1:$F$43,3,FALSE)=0,"",VLOOKUP(UncLookup[[#This Row],[Item]],Items!$A$1:$F$43,3,FALSE))</f>
        <v>50 turn</v>
      </c>
      <c r="Q1924" s="90" t="str">
        <f>IF(VLOOKUP(UncLookup[[#This Row],[Item]],Items!$A$1:$F$43,4,FALSE)=0,"",VLOOKUP(UncLookup[[#This Row],[Item]],Items!$A$1:$F$43,4,FALSE))</f>
        <v/>
      </c>
    </row>
    <row r="1925" spans="1:17" x14ac:dyDescent="0.25">
      <c r="A1925" s="76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90" t="str">
        <f>IF(VLOOKUP(UncLookup[[#This Row],[Item]],Items!$A$1:$F$43,2,FALSE)=0,"",VLOOKUP(UncLookup[[#This Row],[Item]],Items!$A$1:$F$43,2,FALSE))</f>
        <v/>
      </c>
      <c r="P1925" s="90" t="str">
        <f>IF(VLOOKUP(UncLookup[[#This Row],[Item]],Items!$A$1:$F$43,3,FALSE)=0,"",VLOOKUP(UncLookup[[#This Row],[Item]],Items!$A$1:$F$43,3,FALSE))</f>
        <v>50 turn</v>
      </c>
      <c r="Q1925" s="90" t="str">
        <f>IF(VLOOKUP(UncLookup[[#This Row],[Item]],Items!$A$1:$F$43,4,FALSE)=0,"",VLOOKUP(UncLookup[[#This Row],[Item]],Items!$A$1:$F$43,4,FALSE))</f>
        <v/>
      </c>
    </row>
    <row r="1926" spans="1:17" x14ac:dyDescent="0.25">
      <c r="A1926" s="75" t="s">
        <v>55</v>
      </c>
      <c r="B1926" s="75" t="s">
        <v>64</v>
      </c>
      <c r="C1926" s="75">
        <v>55</v>
      </c>
      <c r="D1926" s="75">
        <v>150.01</v>
      </c>
      <c r="E1926" s="75">
        <v>1</v>
      </c>
      <c r="F1926" s="75" t="s">
        <v>13</v>
      </c>
      <c r="G1926" s="75" t="s">
        <v>12</v>
      </c>
      <c r="H1926" s="75">
        <v>10</v>
      </c>
      <c r="I1926" s="75">
        <v>10.01</v>
      </c>
      <c r="J1926" s="75" t="s">
        <v>10</v>
      </c>
      <c r="K1926" s="75">
        <v>405.34</v>
      </c>
      <c r="L1926" s="75">
        <v>28.398</v>
      </c>
      <c r="M1926" s="75">
        <v>405.23</v>
      </c>
      <c r="N1926" s="75">
        <v>28.396999999999998</v>
      </c>
      <c r="O1926" s="90" t="str">
        <f>IF(VLOOKUP(UncLookup[[#This Row],[Item]],Items!$A$1:$F$43,2,FALSE)=0,"",VLOOKUP(UncLookup[[#This Row],[Item]],Items!$A$1:$F$43,2,FALSE))</f>
        <v/>
      </c>
      <c r="P1926" s="90" t="str">
        <f>IF(VLOOKUP(UncLookup[[#This Row],[Item]],Items!$A$1:$F$43,3,FALSE)=0,"",VLOOKUP(UncLookup[[#This Row],[Item]],Items!$A$1:$F$43,3,FALSE))</f>
        <v>50 turn</v>
      </c>
      <c r="Q1926" s="90" t="str">
        <f>IF(VLOOKUP(UncLookup[[#This Row],[Item]],Items!$A$1:$F$43,4,FALSE)=0,"",VLOOKUP(UncLookup[[#This Row],[Item]],Items!$A$1:$F$43,4,FALSE))</f>
        <v/>
      </c>
    </row>
    <row r="1927" spans="1:17" x14ac:dyDescent="0.25">
      <c r="A1927" s="76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90" t="str">
        <f>IF(VLOOKUP(UncLookup[[#This Row],[Item]],Items!$A$1:$F$43,2,FALSE)=0,"",VLOOKUP(UncLookup[[#This Row],[Item]],Items!$A$1:$F$43,2,FALSE))</f>
        <v/>
      </c>
      <c r="P1927" s="90" t="str">
        <f>IF(VLOOKUP(UncLookup[[#This Row],[Item]],Items!$A$1:$F$43,3,FALSE)=0,"",VLOOKUP(UncLookup[[#This Row],[Item]],Items!$A$1:$F$43,3,FALSE))</f>
        <v>50 turn</v>
      </c>
      <c r="Q1927" s="90" t="str">
        <f>IF(VLOOKUP(UncLookup[[#This Row],[Item]],Items!$A$1:$F$43,4,FALSE)=0,"",VLOOKUP(UncLookup[[#This Row],[Item]],Items!$A$1:$F$43,4,FALSE))</f>
        <v/>
      </c>
    </row>
    <row r="1928" spans="1:17" x14ac:dyDescent="0.25">
      <c r="A1928" s="75" t="s">
        <v>55</v>
      </c>
      <c r="B1928" s="75" t="s">
        <v>64</v>
      </c>
      <c r="C1928" s="75">
        <v>55</v>
      </c>
      <c r="D1928" s="75">
        <v>150.01</v>
      </c>
      <c r="E1928" s="75">
        <v>1</v>
      </c>
      <c r="F1928" s="75" t="s">
        <v>13</v>
      </c>
      <c r="G1928" s="75" t="s">
        <v>12</v>
      </c>
      <c r="H1928" s="75">
        <v>5</v>
      </c>
      <c r="I1928" s="75">
        <v>10</v>
      </c>
      <c r="J1928" s="75" t="s">
        <v>10</v>
      </c>
      <c r="K1928" s="75">
        <v>405.34</v>
      </c>
      <c r="L1928" s="75">
        <v>28.398</v>
      </c>
      <c r="M1928" s="75">
        <v>405.23</v>
      </c>
      <c r="N1928" s="75">
        <v>28.396999999999998</v>
      </c>
      <c r="O1928" s="90" t="str">
        <f>IF(VLOOKUP(UncLookup[[#This Row],[Item]],Items!$A$1:$F$43,2,FALSE)=0,"",VLOOKUP(UncLookup[[#This Row],[Item]],Items!$A$1:$F$43,2,FALSE))</f>
        <v/>
      </c>
      <c r="P1928" s="90" t="str">
        <f>IF(VLOOKUP(UncLookup[[#This Row],[Item]],Items!$A$1:$F$43,3,FALSE)=0,"",VLOOKUP(UncLookup[[#This Row],[Item]],Items!$A$1:$F$43,3,FALSE))</f>
        <v>50 turn</v>
      </c>
      <c r="Q1928" s="90" t="str">
        <f>IF(VLOOKUP(UncLookup[[#This Row],[Item]],Items!$A$1:$F$43,4,FALSE)=0,"",VLOOKUP(UncLookup[[#This Row],[Item]],Items!$A$1:$F$43,4,FALSE))</f>
        <v/>
      </c>
    </row>
    <row r="1929" spans="1:17" x14ac:dyDescent="0.25">
      <c r="A1929" s="76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90" t="str">
        <f>IF(VLOOKUP(UncLookup[[#This Row],[Item]],Items!$A$1:$F$43,2,FALSE)=0,"",VLOOKUP(UncLookup[[#This Row],[Item]],Items!$A$1:$F$43,2,FALSE))</f>
        <v/>
      </c>
      <c r="P1929" s="90" t="str">
        <f>IF(VLOOKUP(UncLookup[[#This Row],[Item]],Items!$A$1:$F$43,3,FALSE)=0,"",VLOOKUP(UncLookup[[#This Row],[Item]],Items!$A$1:$F$43,3,FALSE))</f>
        <v>50 turn</v>
      </c>
      <c r="Q1929" s="90" t="str">
        <f>IF(VLOOKUP(UncLookup[[#This Row],[Item]],Items!$A$1:$F$43,4,FALSE)=0,"",VLOOKUP(UncLookup[[#This Row],[Item]],Items!$A$1:$F$43,4,FALSE))</f>
        <v/>
      </c>
    </row>
    <row r="1930" spans="1:17" x14ac:dyDescent="0.25">
      <c r="A1930" s="75" t="s">
        <v>55</v>
      </c>
      <c r="B1930" s="75" t="s">
        <v>64</v>
      </c>
      <c r="C1930" s="75">
        <v>55</v>
      </c>
      <c r="D1930" s="75">
        <v>150.01</v>
      </c>
      <c r="E1930" s="75">
        <v>1</v>
      </c>
      <c r="F1930" s="75" t="s">
        <v>13</v>
      </c>
      <c r="G1930" s="75" t="s">
        <v>12</v>
      </c>
      <c r="H1930" s="75">
        <v>4.4999999999999998E-2</v>
      </c>
      <c r="I1930" s="75">
        <v>0.1</v>
      </c>
      <c r="J1930" s="75" t="s">
        <v>10</v>
      </c>
      <c r="K1930" s="75">
        <v>551.36</v>
      </c>
      <c r="L1930" s="75">
        <v>0.73945000000000005</v>
      </c>
      <c r="M1930" s="75">
        <v>551.34</v>
      </c>
      <c r="N1930" s="75">
        <v>0.73870000000000002</v>
      </c>
      <c r="O1930" s="90" t="str">
        <f>IF(VLOOKUP(UncLookup[[#This Row],[Item]],Items!$A$1:$F$43,2,FALSE)=0,"",VLOOKUP(UncLookup[[#This Row],[Item]],Items!$A$1:$F$43,2,FALSE))</f>
        <v/>
      </c>
      <c r="P1930" s="90" t="str">
        <f>IF(VLOOKUP(UncLookup[[#This Row],[Item]],Items!$A$1:$F$43,3,FALSE)=0,"",VLOOKUP(UncLookup[[#This Row],[Item]],Items!$A$1:$F$43,3,FALSE))</f>
        <v>50 turn</v>
      </c>
      <c r="Q1930" s="90" t="str">
        <f>IF(VLOOKUP(UncLookup[[#This Row],[Item]],Items!$A$1:$F$43,4,FALSE)=0,"",VLOOKUP(UncLookup[[#This Row],[Item]],Items!$A$1:$F$43,4,FALSE))</f>
        <v/>
      </c>
    </row>
    <row r="1931" spans="1:17" x14ac:dyDescent="0.25">
      <c r="A1931" s="76" t="s">
        <v>55</v>
      </c>
      <c r="B1931" s="76" t="s">
        <v>64</v>
      </c>
      <c r="C1931" s="76">
        <v>55</v>
      </c>
      <c r="D1931" s="76">
        <v>150.01</v>
      </c>
      <c r="E1931" s="77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90" t="str">
        <f>IF(VLOOKUP(UncLookup[[#This Row],[Item]],Items!$A$1:$F$43,2,FALSE)=0,"",VLOOKUP(UncLookup[[#This Row],[Item]],Items!$A$1:$F$43,2,FALSE))</f>
        <v/>
      </c>
      <c r="P1931" s="90" t="str">
        <f>IF(VLOOKUP(UncLookup[[#This Row],[Item]],Items!$A$1:$F$43,3,FALSE)=0,"",VLOOKUP(UncLookup[[#This Row],[Item]],Items!$A$1:$F$43,3,FALSE))</f>
        <v>50 turn</v>
      </c>
      <c r="Q1931" s="90" t="str">
        <f>IF(VLOOKUP(UncLookup[[#This Row],[Item]],Items!$A$1:$F$43,4,FALSE)=0,"",VLOOKUP(UncLookup[[#This Row],[Item]],Items!$A$1:$F$43,4,FALSE))</f>
        <v/>
      </c>
    </row>
    <row r="1932" spans="1:17" x14ac:dyDescent="0.25">
      <c r="A1932" s="75" t="s">
        <v>55</v>
      </c>
      <c r="B1932" s="75" t="s">
        <v>64</v>
      </c>
      <c r="C1932" s="75">
        <v>55</v>
      </c>
      <c r="D1932" s="75">
        <v>150.01</v>
      </c>
      <c r="E1932" s="75">
        <v>10</v>
      </c>
      <c r="F1932" s="75" t="s">
        <v>13</v>
      </c>
      <c r="G1932" s="75" t="s">
        <v>12</v>
      </c>
      <c r="H1932" s="75">
        <v>4.4999999999999998E-2</v>
      </c>
      <c r="I1932" s="75">
        <v>0.1</v>
      </c>
      <c r="J1932" s="75" t="s">
        <v>10</v>
      </c>
      <c r="K1932" s="75">
        <v>5796.8</v>
      </c>
      <c r="L1932" s="75">
        <v>8.0168000000000003E-2</v>
      </c>
      <c r="M1932" s="75">
        <v>5796.8</v>
      </c>
      <c r="N1932" s="75">
        <v>7.9794000000000004E-2</v>
      </c>
      <c r="O1932" s="90" t="str">
        <f>IF(VLOOKUP(UncLookup[[#This Row],[Item]],Items!$A$1:$F$43,2,FALSE)=0,"",VLOOKUP(UncLookup[[#This Row],[Item]],Items!$A$1:$F$43,2,FALSE))</f>
        <v/>
      </c>
      <c r="P1932" s="90" t="str">
        <f>IF(VLOOKUP(UncLookup[[#This Row],[Item]],Items!$A$1:$F$43,3,FALSE)=0,"",VLOOKUP(UncLookup[[#This Row],[Item]],Items!$A$1:$F$43,3,FALSE))</f>
        <v>50 turn</v>
      </c>
      <c r="Q1932" s="90" t="str">
        <f>IF(VLOOKUP(UncLookup[[#This Row],[Item]],Items!$A$1:$F$43,4,FALSE)=0,"",VLOOKUP(UncLookup[[#This Row],[Item]],Items!$A$1:$F$43,4,FALSE))</f>
        <v/>
      </c>
    </row>
    <row r="1933" spans="1:17" x14ac:dyDescent="0.25">
      <c r="A1933" s="76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90" t="str">
        <f>IF(VLOOKUP(UncLookup[[#This Row],[Item]],Items!$A$1:$F$43,2,FALSE)=0,"",VLOOKUP(UncLookup[[#This Row],[Item]],Items!$A$1:$F$43,2,FALSE))</f>
        <v/>
      </c>
      <c r="P1933" s="90" t="str">
        <f>IF(VLOOKUP(UncLookup[[#This Row],[Item]],Items!$A$1:$F$43,3,FALSE)=0,"",VLOOKUP(UncLookup[[#This Row],[Item]],Items!$A$1:$F$43,3,FALSE))</f>
        <v>50 turn</v>
      </c>
      <c r="Q1933" s="90" t="str">
        <f>IF(VLOOKUP(UncLookup[[#This Row],[Item]],Items!$A$1:$F$43,4,FALSE)=0,"",VLOOKUP(UncLookup[[#This Row],[Item]],Items!$A$1:$F$43,4,FALSE))</f>
        <v/>
      </c>
    </row>
    <row r="1934" spans="1:17" x14ac:dyDescent="0.25">
      <c r="A1934" s="75" t="s">
        <v>55</v>
      </c>
      <c r="B1934" s="75" t="s">
        <v>64</v>
      </c>
      <c r="C1934" s="75">
        <v>55</v>
      </c>
      <c r="D1934" s="75">
        <v>150.01</v>
      </c>
      <c r="E1934" s="75">
        <v>10</v>
      </c>
      <c r="F1934" s="75" t="s">
        <v>13</v>
      </c>
      <c r="G1934" s="75" t="s">
        <v>12</v>
      </c>
      <c r="H1934" s="75">
        <v>5</v>
      </c>
      <c r="I1934" s="75">
        <v>10</v>
      </c>
      <c r="J1934" s="75" t="s">
        <v>10</v>
      </c>
      <c r="K1934" s="75">
        <v>5330.6</v>
      </c>
      <c r="L1934" s="75">
        <v>13.938000000000001</v>
      </c>
      <c r="M1934" s="75">
        <v>5330.7</v>
      </c>
      <c r="N1934" s="75">
        <v>13.932</v>
      </c>
      <c r="O1934" s="90" t="str">
        <f>IF(VLOOKUP(UncLookup[[#This Row],[Item]],Items!$A$1:$F$43,2,FALSE)=0,"",VLOOKUP(UncLookup[[#This Row],[Item]],Items!$A$1:$F$43,2,FALSE))</f>
        <v/>
      </c>
      <c r="P1934" s="90" t="str">
        <f>IF(VLOOKUP(UncLookup[[#This Row],[Item]],Items!$A$1:$F$43,3,FALSE)=0,"",VLOOKUP(UncLookup[[#This Row],[Item]],Items!$A$1:$F$43,3,FALSE))</f>
        <v>50 turn</v>
      </c>
      <c r="Q1934" s="90" t="str">
        <f>IF(VLOOKUP(UncLookup[[#This Row],[Item]],Items!$A$1:$F$43,4,FALSE)=0,"",VLOOKUP(UncLookup[[#This Row],[Item]],Items!$A$1:$F$43,4,FALSE))</f>
        <v/>
      </c>
    </row>
    <row r="1935" spans="1:17" x14ac:dyDescent="0.25">
      <c r="A1935" s="76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90" t="str">
        <f>IF(VLOOKUP(UncLookup[[#This Row],[Item]],Items!$A$1:$F$43,2,FALSE)=0,"",VLOOKUP(UncLookup[[#This Row],[Item]],Items!$A$1:$F$43,2,FALSE))</f>
        <v/>
      </c>
      <c r="P1935" s="90" t="str">
        <f>IF(VLOOKUP(UncLookup[[#This Row],[Item]],Items!$A$1:$F$43,3,FALSE)=0,"",VLOOKUP(UncLookup[[#This Row],[Item]],Items!$A$1:$F$43,3,FALSE))</f>
        <v>50 turn</v>
      </c>
      <c r="Q1935" s="90" t="str">
        <f>IF(VLOOKUP(UncLookup[[#This Row],[Item]],Items!$A$1:$F$43,4,FALSE)=0,"",VLOOKUP(UncLookup[[#This Row],[Item]],Items!$A$1:$F$43,4,FALSE))</f>
        <v/>
      </c>
    </row>
    <row r="1936" spans="1:17" x14ac:dyDescent="0.25">
      <c r="A1936" s="75" t="s">
        <v>55</v>
      </c>
      <c r="B1936" s="75" t="s">
        <v>64</v>
      </c>
      <c r="C1936" s="75">
        <v>55</v>
      </c>
      <c r="D1936" s="75">
        <v>150.01</v>
      </c>
      <c r="E1936" s="75">
        <v>10</v>
      </c>
      <c r="F1936" s="75" t="s">
        <v>13</v>
      </c>
      <c r="G1936" s="75" t="s">
        <v>12</v>
      </c>
      <c r="H1936" s="75">
        <v>0.01</v>
      </c>
      <c r="I1936" s="75">
        <v>4.4999999999999998E-2</v>
      </c>
      <c r="J1936" s="75" t="s">
        <v>10</v>
      </c>
      <c r="K1936" s="75">
        <v>5794.1</v>
      </c>
      <c r="L1936" s="75">
        <v>0.14924000000000001</v>
      </c>
      <c r="M1936" s="75">
        <v>5794.1</v>
      </c>
      <c r="N1936" s="75">
        <v>0.14885999999999999</v>
      </c>
      <c r="O1936" s="90" t="str">
        <f>IF(VLOOKUP(UncLookup[[#This Row],[Item]],Items!$A$1:$F$43,2,FALSE)=0,"",VLOOKUP(UncLookup[[#This Row],[Item]],Items!$A$1:$F$43,2,FALSE))</f>
        <v/>
      </c>
      <c r="P1936" s="90" t="str">
        <f>IF(VLOOKUP(UncLookup[[#This Row],[Item]],Items!$A$1:$F$43,3,FALSE)=0,"",VLOOKUP(UncLookup[[#This Row],[Item]],Items!$A$1:$F$43,3,FALSE))</f>
        <v>50 turn</v>
      </c>
      <c r="Q1936" s="90" t="str">
        <f>IF(VLOOKUP(UncLookup[[#This Row],[Item]],Items!$A$1:$F$43,4,FALSE)=0,"",VLOOKUP(UncLookup[[#This Row],[Item]],Items!$A$1:$F$43,4,FALSE))</f>
        <v/>
      </c>
    </row>
    <row r="1937" spans="1:17" x14ac:dyDescent="0.25">
      <c r="A1937" s="76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90" t="str">
        <f>IF(VLOOKUP(UncLookup[[#This Row],[Item]],Items!$A$1:$F$43,2,FALSE)=0,"",VLOOKUP(UncLookup[[#This Row],[Item]],Items!$A$1:$F$43,2,FALSE))</f>
        <v/>
      </c>
      <c r="P1937" s="90" t="str">
        <f>IF(VLOOKUP(UncLookup[[#This Row],[Item]],Items!$A$1:$F$43,3,FALSE)=0,"",VLOOKUP(UncLookup[[#This Row],[Item]],Items!$A$1:$F$43,3,FALSE))</f>
        <v>50 turn</v>
      </c>
      <c r="Q1937" s="90" t="str">
        <f>IF(VLOOKUP(UncLookup[[#This Row],[Item]],Items!$A$1:$F$43,4,FALSE)=0,"",VLOOKUP(UncLookup[[#This Row],[Item]],Items!$A$1:$F$43,4,FALSE))</f>
        <v/>
      </c>
    </row>
    <row r="1938" spans="1:17" x14ac:dyDescent="0.25">
      <c r="A1938" s="75" t="s">
        <v>55</v>
      </c>
      <c r="B1938" s="75" t="s">
        <v>64</v>
      </c>
      <c r="C1938" s="75">
        <v>55</v>
      </c>
      <c r="D1938" s="75">
        <v>150.01</v>
      </c>
      <c r="E1938" s="75">
        <v>100</v>
      </c>
      <c r="F1938" s="75" t="s">
        <v>13</v>
      </c>
      <c r="G1938" s="75" t="s">
        <v>12</v>
      </c>
      <c r="H1938" s="75">
        <v>4.4999999999999998E-2</v>
      </c>
      <c r="I1938" s="75">
        <v>0.1</v>
      </c>
      <c r="J1938" s="75" t="s">
        <v>10</v>
      </c>
      <c r="K1938" s="75">
        <v>58000</v>
      </c>
      <c r="L1938" s="75">
        <v>8.1364000000000002E-3</v>
      </c>
      <c r="M1938" s="75">
        <v>57996</v>
      </c>
      <c r="N1938" s="75">
        <v>7.9862000000000006E-3</v>
      </c>
      <c r="O1938" s="90" t="str">
        <f>IF(VLOOKUP(UncLookup[[#This Row],[Item]],Items!$A$1:$F$43,2,FALSE)=0,"",VLOOKUP(UncLookup[[#This Row],[Item]],Items!$A$1:$F$43,2,FALSE))</f>
        <v/>
      </c>
      <c r="P1938" s="90" t="str">
        <f>IF(VLOOKUP(UncLookup[[#This Row],[Item]],Items!$A$1:$F$43,3,FALSE)=0,"",VLOOKUP(UncLookup[[#This Row],[Item]],Items!$A$1:$F$43,3,FALSE))</f>
        <v>50 turn</v>
      </c>
      <c r="Q1938" s="90" t="str">
        <f>IF(VLOOKUP(UncLookup[[#This Row],[Item]],Items!$A$1:$F$43,4,FALSE)=0,"",VLOOKUP(UncLookup[[#This Row],[Item]],Items!$A$1:$F$43,4,FALSE))</f>
        <v/>
      </c>
    </row>
    <row r="1939" spans="1:17" x14ac:dyDescent="0.25">
      <c r="A1939" s="76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90" t="str">
        <f>IF(VLOOKUP(UncLookup[[#This Row],[Item]],Items!$A$1:$F$43,2,FALSE)=0,"",VLOOKUP(UncLookup[[#This Row],[Item]],Items!$A$1:$F$43,2,FALSE))</f>
        <v/>
      </c>
      <c r="P1939" s="90" t="str">
        <f>IF(VLOOKUP(UncLookup[[#This Row],[Item]],Items!$A$1:$F$43,3,FALSE)=0,"",VLOOKUP(UncLookup[[#This Row],[Item]],Items!$A$1:$F$43,3,FALSE))</f>
        <v>50 turn</v>
      </c>
      <c r="Q1939" s="90" t="str">
        <f>IF(VLOOKUP(UncLookup[[#This Row],[Item]],Items!$A$1:$F$43,4,FALSE)=0,"",VLOOKUP(UncLookup[[#This Row],[Item]],Items!$A$1:$F$43,4,FALSE))</f>
        <v/>
      </c>
    </row>
    <row r="1940" spans="1:17" x14ac:dyDescent="0.25">
      <c r="A1940" s="75" t="s">
        <v>55</v>
      </c>
      <c r="B1940" s="75" t="s">
        <v>64</v>
      </c>
      <c r="C1940" s="75">
        <v>55</v>
      </c>
      <c r="D1940" s="75">
        <v>150.01</v>
      </c>
      <c r="E1940" s="75">
        <v>100</v>
      </c>
      <c r="F1940" s="75" t="s">
        <v>13</v>
      </c>
      <c r="G1940" s="75" t="s">
        <v>12</v>
      </c>
      <c r="H1940" s="75">
        <v>0.1</v>
      </c>
      <c r="I1940" s="75">
        <v>1</v>
      </c>
      <c r="J1940" s="75" t="s">
        <v>10</v>
      </c>
      <c r="K1940" s="75">
        <v>58000</v>
      </c>
      <c r="L1940" s="75">
        <v>8.1364000000000002E-3</v>
      </c>
      <c r="M1940" s="75">
        <v>57996</v>
      </c>
      <c r="N1940" s="75">
        <v>7.9862000000000006E-3</v>
      </c>
      <c r="O1940" s="90" t="str">
        <f>IF(VLOOKUP(UncLookup[[#This Row],[Item]],Items!$A$1:$F$43,2,FALSE)=0,"",VLOOKUP(UncLookup[[#This Row],[Item]],Items!$A$1:$F$43,2,FALSE))</f>
        <v/>
      </c>
      <c r="P1940" s="90" t="str">
        <f>IF(VLOOKUP(UncLookup[[#This Row],[Item]],Items!$A$1:$F$43,3,FALSE)=0,"",VLOOKUP(UncLookup[[#This Row],[Item]],Items!$A$1:$F$43,3,FALSE))</f>
        <v>50 turn</v>
      </c>
      <c r="Q1940" s="90" t="str">
        <f>IF(VLOOKUP(UncLookup[[#This Row],[Item]],Items!$A$1:$F$43,4,FALSE)=0,"",VLOOKUP(UncLookup[[#This Row],[Item]],Items!$A$1:$F$43,4,FALSE))</f>
        <v/>
      </c>
    </row>
    <row r="1941" spans="1:17" x14ac:dyDescent="0.25">
      <c r="A1941" s="76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90" t="str">
        <f>IF(VLOOKUP(UncLookup[[#This Row],[Item]],Items!$A$1:$F$43,2,FALSE)=0,"",VLOOKUP(UncLookup[[#This Row],[Item]],Items!$A$1:$F$43,2,FALSE))</f>
        <v/>
      </c>
      <c r="P1941" s="90" t="str">
        <f>IF(VLOOKUP(UncLookup[[#This Row],[Item]],Items!$A$1:$F$43,3,FALSE)=0,"",VLOOKUP(UncLookup[[#This Row],[Item]],Items!$A$1:$F$43,3,FALSE))</f>
        <v>50 turn</v>
      </c>
      <c r="Q1941" s="90" t="str">
        <f>IF(VLOOKUP(UncLookup[[#This Row],[Item]],Items!$A$1:$F$43,4,FALSE)=0,"",VLOOKUP(UncLookup[[#This Row],[Item]],Items!$A$1:$F$43,4,FALSE))</f>
        <v/>
      </c>
    </row>
    <row r="1942" spans="1:17" x14ac:dyDescent="0.25">
      <c r="A1942" s="75" t="s">
        <v>55</v>
      </c>
      <c r="B1942" s="75" t="s">
        <v>64</v>
      </c>
      <c r="C1942" s="75">
        <v>55</v>
      </c>
      <c r="D1942" s="75">
        <v>150.01</v>
      </c>
      <c r="E1942" s="78">
        <v>100</v>
      </c>
      <c r="F1942" s="75" t="s">
        <v>13</v>
      </c>
      <c r="G1942" s="75" t="s">
        <v>12</v>
      </c>
      <c r="H1942" s="75">
        <v>0.01</v>
      </c>
      <c r="I1942" s="75">
        <v>4.4999999999999998E-2</v>
      </c>
      <c r="J1942" s="75" t="s">
        <v>10</v>
      </c>
      <c r="K1942" s="75">
        <v>58000</v>
      </c>
      <c r="L1942" s="75">
        <v>1.506E-2</v>
      </c>
      <c r="M1942" s="75">
        <v>57992</v>
      </c>
      <c r="N1942" s="75">
        <v>1.491E-2</v>
      </c>
      <c r="O1942" s="90" t="str">
        <f>IF(VLOOKUP(UncLookup[[#This Row],[Item]],Items!$A$1:$F$43,2,FALSE)=0,"",VLOOKUP(UncLookup[[#This Row],[Item]],Items!$A$1:$F$43,2,FALSE))</f>
        <v/>
      </c>
      <c r="P1942" s="90" t="str">
        <f>IF(VLOOKUP(UncLookup[[#This Row],[Item]],Items!$A$1:$F$43,3,FALSE)=0,"",VLOOKUP(UncLookup[[#This Row],[Item]],Items!$A$1:$F$43,3,FALSE))</f>
        <v>50 turn</v>
      </c>
      <c r="Q1942" s="90" t="str">
        <f>IF(VLOOKUP(UncLookup[[#This Row],[Item]],Items!$A$1:$F$43,4,FALSE)=0,"",VLOOKUP(UncLookup[[#This Row],[Item]],Items!$A$1:$F$43,4,FALSE))</f>
        <v/>
      </c>
    </row>
    <row r="1943" spans="1:17" x14ac:dyDescent="0.25">
      <c r="A1943" s="76" t="s">
        <v>55</v>
      </c>
      <c r="B1943" s="76" t="s">
        <v>64</v>
      </c>
      <c r="C1943" s="76">
        <v>55</v>
      </c>
      <c r="D1943" s="76">
        <v>150.01</v>
      </c>
      <c r="E1943" s="76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90" t="str">
        <f>IF(VLOOKUP(UncLookup[[#This Row],[Item]],Items!$A$1:$F$43,2,FALSE)=0,"",VLOOKUP(UncLookup[[#This Row],[Item]],Items!$A$1:$F$43,2,FALSE))</f>
        <v/>
      </c>
      <c r="P1943" s="90" t="str">
        <f>IF(VLOOKUP(UncLookup[[#This Row],[Item]],Items!$A$1:$F$43,3,FALSE)=0,"",VLOOKUP(UncLookup[[#This Row],[Item]],Items!$A$1:$F$43,3,FALSE))</f>
        <v>50 turn</v>
      </c>
      <c r="Q1943" s="90" t="str">
        <f>IF(VLOOKUP(UncLookup[[#This Row],[Item]],Items!$A$1:$F$43,4,FALSE)=0,"",VLOOKUP(UncLookup[[#This Row],[Item]],Items!$A$1:$F$43,4,FALSE))</f>
        <v/>
      </c>
    </row>
    <row r="1944" spans="1:17" x14ac:dyDescent="0.25">
      <c r="A1944" s="75" t="s">
        <v>55</v>
      </c>
      <c r="B1944" s="75" t="s">
        <v>64</v>
      </c>
      <c r="C1944" s="75">
        <v>150</v>
      </c>
      <c r="D1944" s="75">
        <v>550.01</v>
      </c>
      <c r="E1944" s="75">
        <v>0.01</v>
      </c>
      <c r="F1944" s="75" t="s">
        <v>13</v>
      </c>
      <c r="G1944" s="75" t="s">
        <v>12</v>
      </c>
      <c r="H1944" s="75">
        <v>0.1</v>
      </c>
      <c r="I1944" s="75">
        <v>1.0000100000000001</v>
      </c>
      <c r="J1944" s="75" t="s">
        <v>10</v>
      </c>
      <c r="K1944" s="75">
        <v>74</v>
      </c>
      <c r="L1944" s="75">
        <v>2.2999999999999998</v>
      </c>
      <c r="M1944" s="75">
        <v>73.171000000000006</v>
      </c>
      <c r="N1944" s="75">
        <v>2.2881999999999998</v>
      </c>
      <c r="O1944" s="90" t="str">
        <f>IF(VLOOKUP(UncLookup[[#This Row],[Item]],Items!$A$1:$F$43,2,FALSE)=0,"",VLOOKUP(UncLookup[[#This Row],[Item]],Items!$A$1:$F$43,2,FALSE))</f>
        <v/>
      </c>
      <c r="P1944" s="90" t="str">
        <f>IF(VLOOKUP(UncLookup[[#This Row],[Item]],Items!$A$1:$F$43,3,FALSE)=0,"",VLOOKUP(UncLookup[[#This Row],[Item]],Items!$A$1:$F$43,3,FALSE))</f>
        <v>50 turn</v>
      </c>
      <c r="Q1944" s="90" t="str">
        <f>IF(VLOOKUP(UncLookup[[#This Row],[Item]],Items!$A$1:$F$43,4,FALSE)=0,"",VLOOKUP(UncLookup[[#This Row],[Item]],Items!$A$1:$F$43,4,FALSE))</f>
        <v/>
      </c>
    </row>
    <row r="1945" spans="1:17" x14ac:dyDescent="0.25">
      <c r="A1945" s="76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90" t="str">
        <f>IF(VLOOKUP(UncLookup[[#This Row],[Item]],Items!$A$1:$F$43,2,FALSE)=0,"",VLOOKUP(UncLookup[[#This Row],[Item]],Items!$A$1:$F$43,2,FALSE))</f>
        <v/>
      </c>
      <c r="P1945" s="90" t="str">
        <f>IF(VLOOKUP(UncLookup[[#This Row],[Item]],Items!$A$1:$F$43,3,FALSE)=0,"",VLOOKUP(UncLookup[[#This Row],[Item]],Items!$A$1:$F$43,3,FALSE))</f>
        <v>50 turn</v>
      </c>
      <c r="Q1945" s="90" t="str">
        <f>IF(VLOOKUP(UncLookup[[#This Row],[Item]],Items!$A$1:$F$43,4,FALSE)=0,"",VLOOKUP(UncLookup[[#This Row],[Item]],Items!$A$1:$F$43,4,FALSE))</f>
        <v/>
      </c>
    </row>
    <row r="1946" spans="1:17" x14ac:dyDescent="0.25">
      <c r="A1946" s="75" t="s">
        <v>55</v>
      </c>
      <c r="B1946" s="75" t="s">
        <v>64</v>
      </c>
      <c r="C1946" s="75">
        <v>150</v>
      </c>
      <c r="D1946" s="75">
        <v>550.01</v>
      </c>
      <c r="E1946" s="75">
        <v>0.01</v>
      </c>
      <c r="F1946" s="75" t="s">
        <v>13</v>
      </c>
      <c r="G1946" s="75" t="s">
        <v>12</v>
      </c>
      <c r="H1946" s="75">
        <v>5</v>
      </c>
      <c r="I1946" s="75">
        <v>5.01</v>
      </c>
      <c r="J1946" s="75" t="s">
        <v>10</v>
      </c>
      <c r="K1946" s="75">
        <v>120</v>
      </c>
      <c r="L1946" s="75">
        <v>35</v>
      </c>
      <c r="M1946" s="75">
        <v>115.24</v>
      </c>
      <c r="N1946" s="75">
        <v>34.698999999999998</v>
      </c>
      <c r="O1946" s="90" t="str">
        <f>IF(VLOOKUP(UncLookup[[#This Row],[Item]],Items!$A$1:$F$43,2,FALSE)=0,"",VLOOKUP(UncLookup[[#This Row],[Item]],Items!$A$1:$F$43,2,FALSE))</f>
        <v/>
      </c>
      <c r="P1946" s="90" t="str">
        <f>IF(VLOOKUP(UncLookup[[#This Row],[Item]],Items!$A$1:$F$43,3,FALSE)=0,"",VLOOKUP(UncLookup[[#This Row],[Item]],Items!$A$1:$F$43,3,FALSE))</f>
        <v>50 turn</v>
      </c>
      <c r="Q1946" s="90" t="str">
        <f>IF(VLOOKUP(UncLookup[[#This Row],[Item]],Items!$A$1:$F$43,4,FALSE)=0,"",VLOOKUP(UncLookup[[#This Row],[Item]],Items!$A$1:$F$43,4,FALSE))</f>
        <v/>
      </c>
    </row>
    <row r="1947" spans="1:17" x14ac:dyDescent="0.25">
      <c r="A1947" s="76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90" t="str">
        <f>IF(VLOOKUP(UncLookup[[#This Row],[Item]],Items!$A$1:$F$43,2,FALSE)=0,"",VLOOKUP(UncLookup[[#This Row],[Item]],Items!$A$1:$F$43,2,FALSE))</f>
        <v/>
      </c>
      <c r="P1947" s="90" t="str">
        <f>IF(VLOOKUP(UncLookup[[#This Row],[Item]],Items!$A$1:$F$43,3,FALSE)=0,"",VLOOKUP(UncLookup[[#This Row],[Item]],Items!$A$1:$F$43,3,FALSE))</f>
        <v>50 turn</v>
      </c>
      <c r="Q1947" s="90" t="str">
        <f>IF(VLOOKUP(UncLookup[[#This Row],[Item]],Items!$A$1:$F$43,4,FALSE)=0,"",VLOOKUP(UncLookup[[#This Row],[Item]],Items!$A$1:$F$43,4,FALSE))</f>
        <v/>
      </c>
    </row>
    <row r="1948" spans="1:17" x14ac:dyDescent="0.25">
      <c r="A1948" s="75" t="s">
        <v>55</v>
      </c>
      <c r="B1948" s="75" t="s">
        <v>64</v>
      </c>
      <c r="C1948" s="75">
        <v>150</v>
      </c>
      <c r="D1948" s="75">
        <v>550.01</v>
      </c>
      <c r="E1948" s="75">
        <v>0.1</v>
      </c>
      <c r="F1948" s="75" t="s">
        <v>13</v>
      </c>
      <c r="G1948" s="75" t="s">
        <v>12</v>
      </c>
      <c r="H1948" s="75">
        <v>5</v>
      </c>
      <c r="I1948" s="75">
        <v>5.01</v>
      </c>
      <c r="J1948" s="75" t="s">
        <v>10</v>
      </c>
      <c r="K1948" s="75">
        <v>120</v>
      </c>
      <c r="L1948" s="75">
        <v>35</v>
      </c>
      <c r="M1948" s="75">
        <v>115.76</v>
      </c>
      <c r="N1948" s="75">
        <v>34.698</v>
      </c>
      <c r="O1948" s="90" t="str">
        <f>IF(VLOOKUP(UncLookup[[#This Row],[Item]],Items!$A$1:$F$43,2,FALSE)=0,"",VLOOKUP(UncLookup[[#This Row],[Item]],Items!$A$1:$F$43,2,FALSE))</f>
        <v/>
      </c>
      <c r="P1948" s="90" t="str">
        <f>IF(VLOOKUP(UncLookup[[#This Row],[Item]],Items!$A$1:$F$43,3,FALSE)=0,"",VLOOKUP(UncLookup[[#This Row],[Item]],Items!$A$1:$F$43,3,FALSE))</f>
        <v>50 turn</v>
      </c>
      <c r="Q1948" s="90" t="str">
        <f>IF(VLOOKUP(UncLookup[[#This Row],[Item]],Items!$A$1:$F$43,4,FALSE)=0,"",VLOOKUP(UncLookup[[#This Row],[Item]],Items!$A$1:$F$43,4,FALSE))</f>
        <v/>
      </c>
    </row>
    <row r="1949" spans="1:17" x14ac:dyDescent="0.25">
      <c r="A1949" s="76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90" t="str">
        <f>IF(VLOOKUP(UncLookup[[#This Row],[Item]],Items!$A$1:$F$43,2,FALSE)=0,"",VLOOKUP(UncLookup[[#This Row],[Item]],Items!$A$1:$F$43,2,FALSE))</f>
        <v/>
      </c>
      <c r="P1949" s="90" t="str">
        <f>IF(VLOOKUP(UncLookup[[#This Row],[Item]],Items!$A$1:$F$43,3,FALSE)=0,"",VLOOKUP(UncLookup[[#This Row],[Item]],Items!$A$1:$F$43,3,FALSE))</f>
        <v>50 turn</v>
      </c>
      <c r="Q1949" s="90" t="str">
        <f>IF(VLOOKUP(UncLookup[[#This Row],[Item]],Items!$A$1:$F$43,4,FALSE)=0,"",VLOOKUP(UncLookup[[#This Row],[Item]],Items!$A$1:$F$43,4,FALSE))</f>
        <v/>
      </c>
    </row>
    <row r="1950" spans="1:17" x14ac:dyDescent="0.25">
      <c r="A1950" s="75" t="s">
        <v>55</v>
      </c>
      <c r="B1950" s="75" t="s">
        <v>64</v>
      </c>
      <c r="C1950" s="75">
        <v>150</v>
      </c>
      <c r="D1950" s="75">
        <v>550.01</v>
      </c>
      <c r="E1950" s="75">
        <v>0.1</v>
      </c>
      <c r="F1950" s="75" t="s">
        <v>13</v>
      </c>
      <c r="G1950" s="75" t="s">
        <v>12</v>
      </c>
      <c r="H1950" s="75">
        <v>1</v>
      </c>
      <c r="I1950" s="75">
        <v>5</v>
      </c>
      <c r="J1950" s="75" t="s">
        <v>10</v>
      </c>
      <c r="K1950" s="75">
        <v>120</v>
      </c>
      <c r="L1950" s="75">
        <v>35</v>
      </c>
      <c r="M1950" s="75">
        <v>115.76</v>
      </c>
      <c r="N1950" s="75">
        <v>34.698</v>
      </c>
      <c r="O1950" s="90" t="str">
        <f>IF(VLOOKUP(UncLookup[[#This Row],[Item]],Items!$A$1:$F$43,2,FALSE)=0,"",VLOOKUP(UncLookup[[#This Row],[Item]],Items!$A$1:$F$43,2,FALSE))</f>
        <v/>
      </c>
      <c r="P1950" s="90" t="str">
        <f>IF(VLOOKUP(UncLookup[[#This Row],[Item]],Items!$A$1:$F$43,3,FALSE)=0,"",VLOOKUP(UncLookup[[#This Row],[Item]],Items!$A$1:$F$43,3,FALSE))</f>
        <v>50 turn</v>
      </c>
      <c r="Q1950" s="90" t="str">
        <f>IF(VLOOKUP(UncLookup[[#This Row],[Item]],Items!$A$1:$F$43,4,FALSE)=0,"",VLOOKUP(UncLookup[[#This Row],[Item]],Items!$A$1:$F$43,4,FALSE))</f>
        <v/>
      </c>
    </row>
    <row r="1951" spans="1:17" x14ac:dyDescent="0.25">
      <c r="A1951" s="76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90" t="str">
        <f>IF(VLOOKUP(UncLookup[[#This Row],[Item]],Items!$A$1:$F$43,2,FALSE)=0,"",VLOOKUP(UncLookup[[#This Row],[Item]],Items!$A$1:$F$43,2,FALSE))</f>
        <v/>
      </c>
      <c r="P1951" s="90" t="str">
        <f>IF(VLOOKUP(UncLookup[[#This Row],[Item]],Items!$A$1:$F$43,3,FALSE)=0,"",VLOOKUP(UncLookup[[#This Row],[Item]],Items!$A$1:$F$43,3,FALSE))</f>
        <v>50 turn</v>
      </c>
      <c r="Q1951" s="90" t="str">
        <f>IF(VLOOKUP(UncLookup[[#This Row],[Item]],Items!$A$1:$F$43,4,FALSE)=0,"",VLOOKUP(UncLookup[[#This Row],[Item]],Items!$A$1:$F$43,4,FALSE))</f>
        <v/>
      </c>
    </row>
    <row r="1952" spans="1:17" x14ac:dyDescent="0.25">
      <c r="A1952" s="75" t="s">
        <v>55</v>
      </c>
      <c r="B1952" s="75" t="s">
        <v>64</v>
      </c>
      <c r="C1952" s="75">
        <v>150</v>
      </c>
      <c r="D1952" s="75">
        <v>550.01</v>
      </c>
      <c r="E1952" s="75">
        <v>1</v>
      </c>
      <c r="F1952" s="75" t="s">
        <v>13</v>
      </c>
      <c r="G1952" s="75" t="s">
        <v>12</v>
      </c>
      <c r="H1952" s="75">
        <v>5</v>
      </c>
      <c r="I1952" s="75">
        <v>5.01</v>
      </c>
      <c r="J1952" s="75" t="s">
        <v>10</v>
      </c>
      <c r="K1952" s="75">
        <v>120</v>
      </c>
      <c r="L1952" s="75">
        <v>35</v>
      </c>
      <c r="M1952" s="75">
        <v>155.32</v>
      </c>
      <c r="N1952" s="75">
        <v>34.642000000000003</v>
      </c>
      <c r="O1952" s="90" t="str">
        <f>IF(VLOOKUP(UncLookup[[#This Row],[Item]],Items!$A$1:$F$43,2,FALSE)=0,"",VLOOKUP(UncLookup[[#This Row],[Item]],Items!$A$1:$F$43,2,FALSE))</f>
        <v/>
      </c>
      <c r="P1952" s="90" t="str">
        <f>IF(VLOOKUP(UncLookup[[#This Row],[Item]],Items!$A$1:$F$43,3,FALSE)=0,"",VLOOKUP(UncLookup[[#This Row],[Item]],Items!$A$1:$F$43,3,FALSE))</f>
        <v>50 turn</v>
      </c>
      <c r="Q1952" s="90" t="str">
        <f>IF(VLOOKUP(UncLookup[[#This Row],[Item]],Items!$A$1:$F$43,4,FALSE)=0,"",VLOOKUP(UncLookup[[#This Row],[Item]],Items!$A$1:$F$43,4,FALSE))</f>
        <v/>
      </c>
    </row>
    <row r="1953" spans="1:17" x14ac:dyDescent="0.25">
      <c r="A1953" s="76" t="s">
        <v>55</v>
      </c>
      <c r="B1953" s="76" t="s">
        <v>64</v>
      </c>
      <c r="C1953" s="76">
        <v>150</v>
      </c>
      <c r="D1953" s="76">
        <v>550.01</v>
      </c>
      <c r="E1953" s="77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90" t="str">
        <f>IF(VLOOKUP(UncLookup[[#This Row],[Item]],Items!$A$1:$F$43,2,FALSE)=0,"",VLOOKUP(UncLookup[[#This Row],[Item]],Items!$A$1:$F$43,2,FALSE))</f>
        <v/>
      </c>
      <c r="P1953" s="90" t="str">
        <f>IF(VLOOKUP(UncLookup[[#This Row],[Item]],Items!$A$1:$F$43,3,FALSE)=0,"",VLOOKUP(UncLookup[[#This Row],[Item]],Items!$A$1:$F$43,3,FALSE))</f>
        <v>50 turn</v>
      </c>
      <c r="Q1953" s="90" t="str">
        <f>IF(VLOOKUP(UncLookup[[#This Row],[Item]],Items!$A$1:$F$43,4,FALSE)=0,"",VLOOKUP(UncLookup[[#This Row],[Item]],Items!$A$1:$F$43,4,FALSE))</f>
        <v/>
      </c>
    </row>
    <row r="1954" spans="1:17" x14ac:dyDescent="0.25">
      <c r="A1954" s="75" t="s">
        <v>55</v>
      </c>
      <c r="B1954" s="75" t="s">
        <v>64</v>
      </c>
      <c r="C1954" s="75">
        <v>150</v>
      </c>
      <c r="D1954" s="75">
        <v>550.01</v>
      </c>
      <c r="E1954" s="75">
        <v>1</v>
      </c>
      <c r="F1954" s="75" t="s">
        <v>13</v>
      </c>
      <c r="G1954" s="75" t="s">
        <v>12</v>
      </c>
      <c r="H1954" s="75">
        <v>1</v>
      </c>
      <c r="I1954" s="75">
        <v>5</v>
      </c>
      <c r="J1954" s="75" t="s">
        <v>10</v>
      </c>
      <c r="K1954" s="75">
        <v>120</v>
      </c>
      <c r="L1954" s="75">
        <v>35</v>
      </c>
      <c r="M1954" s="75">
        <v>155.32</v>
      </c>
      <c r="N1954" s="75">
        <v>34.642000000000003</v>
      </c>
      <c r="O1954" s="90" t="str">
        <f>IF(VLOOKUP(UncLookup[[#This Row],[Item]],Items!$A$1:$F$43,2,FALSE)=0,"",VLOOKUP(UncLookup[[#This Row],[Item]],Items!$A$1:$F$43,2,FALSE))</f>
        <v/>
      </c>
      <c r="P1954" s="90" t="str">
        <f>IF(VLOOKUP(UncLookup[[#This Row],[Item]],Items!$A$1:$F$43,3,FALSE)=0,"",VLOOKUP(UncLookup[[#This Row],[Item]],Items!$A$1:$F$43,3,FALSE))</f>
        <v>50 turn</v>
      </c>
      <c r="Q1954" s="90" t="str">
        <f>IF(VLOOKUP(UncLookup[[#This Row],[Item]],Items!$A$1:$F$43,4,FALSE)=0,"",VLOOKUP(UncLookup[[#This Row],[Item]],Items!$A$1:$F$43,4,FALSE))</f>
        <v/>
      </c>
    </row>
    <row r="1955" spans="1:17" x14ac:dyDescent="0.25">
      <c r="A1955" s="76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90" t="str">
        <f>IF(VLOOKUP(UncLookup[[#This Row],[Item]],Items!$A$1:$F$43,2,FALSE)=0,"",VLOOKUP(UncLookup[[#This Row],[Item]],Items!$A$1:$F$43,2,FALSE))</f>
        <v/>
      </c>
      <c r="P1955" s="90" t="str">
        <f>IF(VLOOKUP(UncLookup[[#This Row],[Item]],Items!$A$1:$F$43,3,FALSE)=0,"",VLOOKUP(UncLookup[[#This Row],[Item]],Items!$A$1:$F$43,3,FALSE))</f>
        <v>50 turn</v>
      </c>
      <c r="Q1955" s="90" t="str">
        <f>IF(VLOOKUP(UncLookup[[#This Row],[Item]],Items!$A$1:$F$43,4,FALSE)=0,"",VLOOKUP(UncLookup[[#This Row],[Item]],Items!$A$1:$F$43,4,FALSE))</f>
        <v/>
      </c>
    </row>
    <row r="1956" spans="1:17" x14ac:dyDescent="0.25">
      <c r="A1956" s="75" t="s">
        <v>55</v>
      </c>
      <c r="B1956" s="75" t="s">
        <v>64</v>
      </c>
      <c r="C1956" s="75">
        <v>150</v>
      </c>
      <c r="D1956" s="75">
        <v>550.01</v>
      </c>
      <c r="E1956" s="75">
        <v>10</v>
      </c>
      <c r="F1956" s="75" t="s">
        <v>13</v>
      </c>
      <c r="G1956" s="75" t="s">
        <v>12</v>
      </c>
      <c r="H1956" s="75">
        <v>1</v>
      </c>
      <c r="I1956" s="75">
        <v>5</v>
      </c>
      <c r="J1956" s="75" t="s">
        <v>10</v>
      </c>
      <c r="K1956" s="75">
        <v>3301.1</v>
      </c>
      <c r="L1956" s="75">
        <v>30.465</v>
      </c>
      <c r="M1956" s="75">
        <v>3300.8</v>
      </c>
      <c r="N1956" s="75">
        <v>30.465</v>
      </c>
      <c r="O1956" s="90" t="str">
        <f>IF(VLOOKUP(UncLookup[[#This Row],[Item]],Items!$A$1:$F$43,2,FALSE)=0,"",VLOOKUP(UncLookup[[#This Row],[Item]],Items!$A$1:$F$43,2,FALSE))</f>
        <v/>
      </c>
      <c r="P1956" s="90" t="str">
        <f>IF(VLOOKUP(UncLookup[[#This Row],[Item]],Items!$A$1:$F$43,3,FALSE)=0,"",VLOOKUP(UncLookup[[#This Row],[Item]],Items!$A$1:$F$43,3,FALSE))</f>
        <v>50 turn</v>
      </c>
      <c r="Q1956" s="90" t="str">
        <f>IF(VLOOKUP(UncLookup[[#This Row],[Item]],Items!$A$1:$F$43,4,FALSE)=0,"",VLOOKUP(UncLookup[[#This Row],[Item]],Items!$A$1:$F$43,4,FALSE))</f>
        <v/>
      </c>
    </row>
    <row r="1957" spans="1:17" x14ac:dyDescent="0.25">
      <c r="A1957" s="76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90" t="str">
        <f>IF(VLOOKUP(UncLookup[[#This Row],[Item]],Items!$A$1:$F$43,2,FALSE)=0,"",VLOOKUP(UncLookup[[#This Row],[Item]],Items!$A$1:$F$43,2,FALSE))</f>
        <v/>
      </c>
      <c r="P1957" s="90" t="str">
        <f>IF(VLOOKUP(UncLookup[[#This Row],[Item]],Items!$A$1:$F$43,3,FALSE)=0,"",VLOOKUP(UncLookup[[#This Row],[Item]],Items!$A$1:$F$43,3,FALSE))</f>
        <v>50 turn</v>
      </c>
      <c r="Q1957" s="90" t="str">
        <f>IF(VLOOKUP(UncLookup[[#This Row],[Item]],Items!$A$1:$F$43,4,FALSE)=0,"",VLOOKUP(UncLookup[[#This Row],[Item]],Items!$A$1:$F$43,4,FALSE))</f>
        <v/>
      </c>
    </row>
    <row r="1958" spans="1:17" x14ac:dyDescent="0.25">
      <c r="A1958" s="75" t="s">
        <v>55</v>
      </c>
      <c r="B1958" s="75" t="s">
        <v>64</v>
      </c>
      <c r="C1958" s="75">
        <v>150</v>
      </c>
      <c r="D1958" s="75">
        <v>550.01</v>
      </c>
      <c r="E1958" s="78">
        <v>10</v>
      </c>
      <c r="F1958" s="75" t="s">
        <v>13</v>
      </c>
      <c r="G1958" s="75" t="s">
        <v>12</v>
      </c>
      <c r="H1958" s="75">
        <v>0.1</v>
      </c>
      <c r="I1958" s="75">
        <v>1.0000100000000001</v>
      </c>
      <c r="J1958" s="75" t="s">
        <v>10</v>
      </c>
      <c r="K1958" s="75">
        <v>5764</v>
      </c>
      <c r="L1958" s="75">
        <v>0.34064</v>
      </c>
      <c r="M1958" s="75">
        <v>5763.9</v>
      </c>
      <c r="N1958" s="75">
        <v>0.33996999999999999</v>
      </c>
      <c r="O1958" s="90" t="str">
        <f>IF(VLOOKUP(UncLookup[[#This Row],[Item]],Items!$A$1:$F$43,2,FALSE)=0,"",VLOOKUP(UncLookup[[#This Row],[Item]],Items!$A$1:$F$43,2,FALSE))</f>
        <v/>
      </c>
      <c r="P1958" s="90" t="str">
        <f>IF(VLOOKUP(UncLookup[[#This Row],[Item]],Items!$A$1:$F$43,3,FALSE)=0,"",VLOOKUP(UncLookup[[#This Row],[Item]],Items!$A$1:$F$43,3,FALSE))</f>
        <v>50 turn</v>
      </c>
      <c r="Q1958" s="90" t="str">
        <f>IF(VLOOKUP(UncLookup[[#This Row],[Item]],Items!$A$1:$F$43,4,FALSE)=0,"",VLOOKUP(UncLookup[[#This Row],[Item]],Items!$A$1:$F$43,4,FALSE))</f>
        <v/>
      </c>
    </row>
    <row r="1959" spans="1:17" x14ac:dyDescent="0.25">
      <c r="A1959" s="76" t="s">
        <v>55</v>
      </c>
      <c r="B1959" s="76" t="s">
        <v>64</v>
      </c>
      <c r="C1959" s="76">
        <v>150</v>
      </c>
      <c r="D1959" s="76">
        <v>550.01</v>
      </c>
      <c r="E1959" s="76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90" t="str">
        <f>IF(VLOOKUP(UncLookup[[#This Row],[Item]],Items!$A$1:$F$43,2,FALSE)=0,"",VLOOKUP(UncLookup[[#This Row],[Item]],Items!$A$1:$F$43,2,FALSE))</f>
        <v/>
      </c>
      <c r="P1959" s="90" t="str">
        <f>IF(VLOOKUP(UncLookup[[#This Row],[Item]],Items!$A$1:$F$43,3,FALSE)=0,"",VLOOKUP(UncLookup[[#This Row],[Item]],Items!$A$1:$F$43,3,FALSE))</f>
        <v>50 turn</v>
      </c>
      <c r="Q1959" s="90" t="str">
        <f>IF(VLOOKUP(UncLookup[[#This Row],[Item]],Items!$A$1:$F$43,4,FALSE)=0,"",VLOOKUP(UncLookup[[#This Row],[Item]],Items!$A$1:$F$43,4,FALSE))</f>
        <v/>
      </c>
    </row>
    <row r="1960" spans="1:17" x14ac:dyDescent="0.25">
      <c r="A1960" s="75" t="s">
        <v>55</v>
      </c>
      <c r="B1960" s="75" t="s">
        <v>64</v>
      </c>
      <c r="C1960" s="75">
        <v>150</v>
      </c>
      <c r="D1960" s="75">
        <v>550.01</v>
      </c>
      <c r="E1960" s="75">
        <v>100</v>
      </c>
      <c r="F1960" s="75" t="s">
        <v>13</v>
      </c>
      <c r="G1960" s="75" t="s">
        <v>12</v>
      </c>
      <c r="H1960" s="75">
        <v>0.1</v>
      </c>
      <c r="I1960" s="75">
        <v>1.0000100000000001</v>
      </c>
      <c r="J1960" s="75" t="s">
        <v>10</v>
      </c>
      <c r="K1960" s="75">
        <v>57996</v>
      </c>
      <c r="L1960" s="75">
        <v>3.4757999999999997E-2</v>
      </c>
      <c r="M1960" s="75">
        <v>57996</v>
      </c>
      <c r="N1960" s="75">
        <v>3.4478000000000002E-2</v>
      </c>
      <c r="O1960" s="90" t="str">
        <f>IF(VLOOKUP(UncLookup[[#This Row],[Item]],Items!$A$1:$F$43,2,FALSE)=0,"",VLOOKUP(UncLookup[[#This Row],[Item]],Items!$A$1:$F$43,2,FALSE))</f>
        <v/>
      </c>
      <c r="P1960" s="90" t="str">
        <f>IF(VLOOKUP(UncLookup[[#This Row],[Item]],Items!$A$1:$F$43,3,FALSE)=0,"",VLOOKUP(UncLookup[[#This Row],[Item]],Items!$A$1:$F$43,3,FALSE))</f>
        <v>50 turn</v>
      </c>
      <c r="Q1960" s="90" t="str">
        <f>IF(VLOOKUP(UncLookup[[#This Row],[Item]],Items!$A$1:$F$43,4,FALSE)=0,"",VLOOKUP(UncLookup[[#This Row],[Item]],Items!$A$1:$F$43,4,FALSE))</f>
        <v/>
      </c>
    </row>
    <row r="1961" spans="1:17" x14ac:dyDescent="0.25">
      <c r="A1961" s="76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90" t="str">
        <f>IF(VLOOKUP(UncLookup[[#This Row],[Item]],Items!$A$1:$F$43,2,FALSE)=0,"",VLOOKUP(UncLookup[[#This Row],[Item]],Items!$A$1:$F$43,2,FALSE))</f>
        <v/>
      </c>
      <c r="P1961" s="90" t="str">
        <f>IF(VLOOKUP(UncLookup[[#This Row],[Item]],Items!$A$1:$F$43,3,FALSE)=0,"",VLOOKUP(UncLookup[[#This Row],[Item]],Items!$A$1:$F$43,3,FALSE))</f>
        <v>50 turn</v>
      </c>
      <c r="Q1961" s="90" t="str">
        <f>IF(VLOOKUP(UncLookup[[#This Row],[Item]],Items!$A$1:$F$43,4,FALSE)=0,"",VLOOKUP(UncLookup[[#This Row],[Item]],Items!$A$1:$F$43,4,FALSE))</f>
        <v/>
      </c>
    </row>
    <row r="1962" spans="1:17" x14ac:dyDescent="0.25">
      <c r="A1962" s="75" t="s">
        <v>55</v>
      </c>
      <c r="B1962" s="75" t="s">
        <v>64</v>
      </c>
      <c r="C1962" s="75">
        <v>150</v>
      </c>
      <c r="D1962" s="75">
        <v>550.01</v>
      </c>
      <c r="E1962" s="75">
        <v>100</v>
      </c>
      <c r="F1962" s="75" t="s">
        <v>13</v>
      </c>
      <c r="G1962" s="75" t="s">
        <v>12</v>
      </c>
      <c r="H1962" s="75">
        <v>5</v>
      </c>
      <c r="I1962" s="75">
        <v>5.01</v>
      </c>
      <c r="J1962" s="75" t="s">
        <v>10</v>
      </c>
      <c r="K1962" s="75">
        <v>57174</v>
      </c>
      <c r="L1962" s="75">
        <v>7.1298000000000004</v>
      </c>
      <c r="M1962" s="75">
        <v>57174</v>
      </c>
      <c r="N1962" s="75">
        <v>7.1292999999999997</v>
      </c>
      <c r="O1962" s="90" t="str">
        <f>IF(VLOOKUP(UncLookup[[#This Row],[Item]],Items!$A$1:$F$43,2,FALSE)=0,"",VLOOKUP(UncLookup[[#This Row],[Item]],Items!$A$1:$F$43,2,FALSE))</f>
        <v/>
      </c>
      <c r="P1962" s="90" t="str">
        <f>IF(VLOOKUP(UncLookup[[#This Row],[Item]],Items!$A$1:$F$43,3,FALSE)=0,"",VLOOKUP(UncLookup[[#This Row],[Item]],Items!$A$1:$F$43,3,FALSE))</f>
        <v>50 turn</v>
      </c>
      <c r="Q1962" s="90" t="str">
        <f>IF(VLOOKUP(UncLookup[[#This Row],[Item]],Items!$A$1:$F$43,4,FALSE)=0,"",VLOOKUP(UncLookup[[#This Row],[Item]],Items!$A$1:$F$43,4,FALSE))</f>
        <v/>
      </c>
    </row>
    <row r="1963" spans="1:17" x14ac:dyDescent="0.25">
      <c r="A1963" s="76" t="s">
        <v>55</v>
      </c>
      <c r="B1963" s="76" t="s">
        <v>64</v>
      </c>
      <c r="C1963" s="76">
        <v>150</v>
      </c>
      <c r="D1963" s="76">
        <v>550.01</v>
      </c>
      <c r="E1963" s="77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90" t="str">
        <f>IF(VLOOKUP(UncLookup[[#This Row],[Item]],Items!$A$1:$F$43,2,FALSE)=0,"",VLOOKUP(UncLookup[[#This Row],[Item]],Items!$A$1:$F$43,2,FALSE))</f>
        <v/>
      </c>
      <c r="P1963" s="90" t="str">
        <f>IF(VLOOKUP(UncLookup[[#This Row],[Item]],Items!$A$1:$F$43,3,FALSE)=0,"",VLOOKUP(UncLookup[[#This Row],[Item]],Items!$A$1:$F$43,3,FALSE))</f>
        <v>50 turn</v>
      </c>
      <c r="Q1963" s="90" t="str">
        <f>IF(VLOOKUP(UncLookup[[#This Row],[Item]],Items!$A$1:$F$43,4,FALSE)=0,"",VLOOKUP(UncLookup[[#This Row],[Item]],Items!$A$1:$F$43,4,FALSE))</f>
        <v/>
      </c>
    </row>
    <row r="1964" spans="1:17" x14ac:dyDescent="0.25">
      <c r="A1964" s="75" t="s">
        <v>55</v>
      </c>
      <c r="B1964" s="75" t="s">
        <v>64</v>
      </c>
      <c r="C1964" s="75">
        <v>550</v>
      </c>
      <c r="D1964" s="75">
        <v>1030</v>
      </c>
      <c r="E1964" s="75">
        <v>0.01</v>
      </c>
      <c r="F1964" s="75" t="s">
        <v>13</v>
      </c>
      <c r="G1964" s="75" t="s">
        <v>12</v>
      </c>
      <c r="H1964" s="75">
        <v>1</v>
      </c>
      <c r="I1964" s="75">
        <v>1.0000100000000001</v>
      </c>
      <c r="J1964" s="75" t="s">
        <v>10</v>
      </c>
      <c r="K1964" s="75">
        <v>250</v>
      </c>
      <c r="L1964" s="75">
        <v>2.6</v>
      </c>
      <c r="M1964" s="75">
        <v>210.67</v>
      </c>
      <c r="N1964" s="75">
        <v>2.6326000000000001</v>
      </c>
      <c r="O1964" s="90" t="str">
        <f>IF(VLOOKUP(UncLookup[[#This Row],[Item]],Items!$A$1:$F$43,2,FALSE)=0,"",VLOOKUP(UncLookup[[#This Row],[Item]],Items!$A$1:$F$43,2,FALSE))</f>
        <v/>
      </c>
      <c r="P1964" s="90" t="str">
        <f>IF(VLOOKUP(UncLookup[[#This Row],[Item]],Items!$A$1:$F$43,3,FALSE)=0,"",VLOOKUP(UncLookup[[#This Row],[Item]],Items!$A$1:$F$43,3,FALSE))</f>
        <v>50 turn</v>
      </c>
      <c r="Q1964" s="90" t="str">
        <f>IF(VLOOKUP(UncLookup[[#This Row],[Item]],Items!$A$1:$F$43,4,FALSE)=0,"",VLOOKUP(UncLookup[[#This Row],[Item]],Items!$A$1:$F$43,4,FALSE))</f>
        <v/>
      </c>
    </row>
    <row r="1965" spans="1:17" x14ac:dyDescent="0.25">
      <c r="A1965" s="76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90" t="str">
        <f>IF(VLOOKUP(UncLookup[[#This Row],[Item]],Items!$A$1:$F$43,2,FALSE)=0,"",VLOOKUP(UncLookup[[#This Row],[Item]],Items!$A$1:$F$43,2,FALSE))</f>
        <v/>
      </c>
      <c r="P1965" s="90" t="str">
        <f>IF(VLOOKUP(UncLookup[[#This Row],[Item]],Items!$A$1:$F$43,3,FALSE)=0,"",VLOOKUP(UncLookup[[#This Row],[Item]],Items!$A$1:$F$43,3,FALSE))</f>
        <v>50 turn</v>
      </c>
      <c r="Q1965" s="90" t="str">
        <f>IF(VLOOKUP(UncLookup[[#This Row],[Item]],Items!$A$1:$F$43,4,FALSE)=0,"",VLOOKUP(UncLookup[[#This Row],[Item]],Items!$A$1:$F$43,4,FALSE))</f>
        <v/>
      </c>
    </row>
    <row r="1966" spans="1:17" x14ac:dyDescent="0.25">
      <c r="A1966" s="75" t="s">
        <v>55</v>
      </c>
      <c r="B1966" s="75" t="s">
        <v>64</v>
      </c>
      <c r="C1966" s="75">
        <v>550</v>
      </c>
      <c r="D1966" s="75">
        <v>1025.01</v>
      </c>
      <c r="E1966" s="75">
        <v>0.01</v>
      </c>
      <c r="F1966" s="75" t="s">
        <v>13</v>
      </c>
      <c r="G1966" s="75" t="s">
        <v>12</v>
      </c>
      <c r="H1966" s="75">
        <v>0.1</v>
      </c>
      <c r="I1966" s="75">
        <v>1</v>
      </c>
      <c r="J1966" s="75" t="s">
        <v>10</v>
      </c>
      <c r="K1966" s="75">
        <v>250</v>
      </c>
      <c r="L1966" s="75">
        <v>2.6</v>
      </c>
      <c r="M1966" s="75">
        <v>210.67</v>
      </c>
      <c r="N1966" s="75">
        <v>2.6326000000000001</v>
      </c>
      <c r="O1966" s="90" t="str">
        <f>IF(VLOOKUP(UncLookup[[#This Row],[Item]],Items!$A$1:$F$43,2,FALSE)=0,"",VLOOKUP(UncLookup[[#This Row],[Item]],Items!$A$1:$F$43,2,FALSE))</f>
        <v/>
      </c>
      <c r="P1966" s="90" t="str">
        <f>IF(VLOOKUP(UncLookup[[#This Row],[Item]],Items!$A$1:$F$43,3,FALSE)=0,"",VLOOKUP(UncLookup[[#This Row],[Item]],Items!$A$1:$F$43,3,FALSE))</f>
        <v>50 turn</v>
      </c>
      <c r="Q1966" s="90" t="str">
        <f>IF(VLOOKUP(UncLookup[[#This Row],[Item]],Items!$A$1:$F$43,4,FALSE)=0,"",VLOOKUP(UncLookup[[#This Row],[Item]],Items!$A$1:$F$43,4,FALSE))</f>
        <v/>
      </c>
    </row>
    <row r="1967" spans="1:17" x14ac:dyDescent="0.25">
      <c r="A1967" s="76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90" t="str">
        <f>IF(VLOOKUP(UncLookup[[#This Row],[Item]],Items!$A$1:$F$43,2,FALSE)=0,"",VLOOKUP(UncLookup[[#This Row],[Item]],Items!$A$1:$F$43,2,FALSE))</f>
        <v/>
      </c>
      <c r="P1967" s="90" t="str">
        <f>IF(VLOOKUP(UncLookup[[#This Row],[Item]],Items!$A$1:$F$43,3,FALSE)=0,"",VLOOKUP(UncLookup[[#This Row],[Item]],Items!$A$1:$F$43,3,FALSE))</f>
        <v>50 turn</v>
      </c>
      <c r="Q1967" s="90" t="str">
        <f>IF(VLOOKUP(UncLookup[[#This Row],[Item]],Items!$A$1:$F$43,4,FALSE)=0,"",VLOOKUP(UncLookup[[#This Row],[Item]],Items!$A$1:$F$43,4,FALSE))</f>
        <v/>
      </c>
    </row>
    <row r="1968" spans="1:17" x14ac:dyDescent="0.25">
      <c r="A1968" s="75" t="s">
        <v>55</v>
      </c>
      <c r="B1968" s="75" t="s">
        <v>64</v>
      </c>
      <c r="C1968" s="75">
        <v>550</v>
      </c>
      <c r="D1968" s="75">
        <v>1030</v>
      </c>
      <c r="E1968" s="78">
        <v>0.1</v>
      </c>
      <c r="F1968" s="75" t="s">
        <v>13</v>
      </c>
      <c r="G1968" s="75" t="s">
        <v>12</v>
      </c>
      <c r="H1968" s="75">
        <v>1</v>
      </c>
      <c r="I1968" s="75">
        <v>1.0000100000000001</v>
      </c>
      <c r="J1968" s="75" t="s">
        <v>10</v>
      </c>
      <c r="K1968" s="75">
        <v>250</v>
      </c>
      <c r="L1968" s="75">
        <v>2.6</v>
      </c>
      <c r="M1968" s="75">
        <v>212.17</v>
      </c>
      <c r="N1968" s="75">
        <v>2.6316999999999999</v>
      </c>
      <c r="O1968" s="90" t="str">
        <f>IF(VLOOKUP(UncLookup[[#This Row],[Item]],Items!$A$1:$F$43,2,FALSE)=0,"",VLOOKUP(UncLookup[[#This Row],[Item]],Items!$A$1:$F$43,2,FALSE))</f>
        <v/>
      </c>
      <c r="P1968" s="90" t="str">
        <f>IF(VLOOKUP(UncLookup[[#This Row],[Item]],Items!$A$1:$F$43,3,FALSE)=0,"",VLOOKUP(UncLookup[[#This Row],[Item]],Items!$A$1:$F$43,3,FALSE))</f>
        <v>50 turn</v>
      </c>
      <c r="Q1968" s="90" t="str">
        <f>IF(VLOOKUP(UncLookup[[#This Row],[Item]],Items!$A$1:$F$43,4,FALSE)=0,"",VLOOKUP(UncLookup[[#This Row],[Item]],Items!$A$1:$F$43,4,FALSE))</f>
        <v/>
      </c>
    </row>
    <row r="1969" spans="1:17" x14ac:dyDescent="0.25">
      <c r="A1969" s="76" t="s">
        <v>55</v>
      </c>
      <c r="B1969" s="76" t="s">
        <v>64</v>
      </c>
      <c r="C1969" s="76">
        <v>550</v>
      </c>
      <c r="D1969" s="76">
        <v>1025.01</v>
      </c>
      <c r="E1969" s="76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90" t="str">
        <f>IF(VLOOKUP(UncLookup[[#This Row],[Item]],Items!$A$1:$F$43,2,FALSE)=0,"",VLOOKUP(UncLookup[[#This Row],[Item]],Items!$A$1:$F$43,2,FALSE))</f>
        <v/>
      </c>
      <c r="P1969" s="90" t="str">
        <f>IF(VLOOKUP(UncLookup[[#This Row],[Item]],Items!$A$1:$F$43,3,FALSE)=0,"",VLOOKUP(UncLookup[[#This Row],[Item]],Items!$A$1:$F$43,3,FALSE))</f>
        <v>50 turn</v>
      </c>
      <c r="Q1969" s="90" t="str">
        <f>IF(VLOOKUP(UncLookup[[#This Row],[Item]],Items!$A$1:$F$43,4,FALSE)=0,"",VLOOKUP(UncLookup[[#This Row],[Item]],Items!$A$1:$F$43,4,FALSE))</f>
        <v/>
      </c>
    </row>
    <row r="1970" spans="1:17" x14ac:dyDescent="0.25">
      <c r="A1970" s="75" t="s">
        <v>55</v>
      </c>
      <c r="B1970" s="75" t="s">
        <v>64</v>
      </c>
      <c r="C1970" s="75">
        <v>550</v>
      </c>
      <c r="D1970" s="75">
        <v>1025.01</v>
      </c>
      <c r="E1970" s="75">
        <v>1</v>
      </c>
      <c r="F1970" s="75" t="s">
        <v>13</v>
      </c>
      <c r="G1970" s="75" t="s">
        <v>12</v>
      </c>
      <c r="H1970" s="75">
        <v>4.4999999999999998E-2</v>
      </c>
      <c r="I1970" s="75">
        <v>0.10001</v>
      </c>
      <c r="J1970" s="75" t="s">
        <v>10</v>
      </c>
      <c r="K1970" s="75">
        <v>350.89</v>
      </c>
      <c r="L1970" s="75">
        <v>2.3235999999999999</v>
      </c>
      <c r="M1970" s="75">
        <v>350.74</v>
      </c>
      <c r="N1970" s="75">
        <v>2.3224</v>
      </c>
      <c r="O1970" s="90" t="str">
        <f>IF(VLOOKUP(UncLookup[[#This Row],[Item]],Items!$A$1:$F$43,2,FALSE)=0,"",VLOOKUP(UncLookup[[#This Row],[Item]],Items!$A$1:$F$43,2,FALSE))</f>
        <v/>
      </c>
      <c r="P1970" s="90" t="str">
        <f>IF(VLOOKUP(UncLookup[[#This Row],[Item]],Items!$A$1:$F$43,3,FALSE)=0,"",VLOOKUP(UncLookup[[#This Row],[Item]],Items!$A$1:$F$43,3,FALSE))</f>
        <v>50 turn</v>
      </c>
      <c r="Q1970" s="90" t="str">
        <f>IF(VLOOKUP(UncLookup[[#This Row],[Item]],Items!$A$1:$F$43,4,FALSE)=0,"",VLOOKUP(UncLookup[[#This Row],[Item]],Items!$A$1:$F$43,4,FALSE))</f>
        <v/>
      </c>
    </row>
    <row r="1971" spans="1:17" x14ac:dyDescent="0.25">
      <c r="A1971" s="76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90" t="str">
        <f>IF(VLOOKUP(UncLookup[[#This Row],[Item]],Items!$A$1:$F$43,2,FALSE)=0,"",VLOOKUP(UncLookup[[#This Row],[Item]],Items!$A$1:$F$43,2,FALSE))</f>
        <v/>
      </c>
      <c r="P1971" s="90" t="str">
        <f>IF(VLOOKUP(UncLookup[[#This Row],[Item]],Items!$A$1:$F$43,3,FALSE)=0,"",VLOOKUP(UncLookup[[#This Row],[Item]],Items!$A$1:$F$43,3,FALSE))</f>
        <v>50 turn</v>
      </c>
      <c r="Q1971" s="90" t="str">
        <f>IF(VLOOKUP(UncLookup[[#This Row],[Item]],Items!$A$1:$F$43,4,FALSE)=0,"",VLOOKUP(UncLookup[[#This Row],[Item]],Items!$A$1:$F$43,4,FALSE))</f>
        <v/>
      </c>
    </row>
    <row r="1972" spans="1:17" x14ac:dyDescent="0.25">
      <c r="A1972" s="75" t="s">
        <v>55</v>
      </c>
      <c r="B1972" s="75" t="s">
        <v>64</v>
      </c>
      <c r="C1972" s="75">
        <v>550</v>
      </c>
      <c r="D1972" s="75">
        <v>1025.01</v>
      </c>
      <c r="E1972" s="75">
        <v>1</v>
      </c>
      <c r="F1972" s="75" t="s">
        <v>13</v>
      </c>
      <c r="G1972" s="75" t="s">
        <v>12</v>
      </c>
      <c r="H1972" s="75">
        <v>0.1</v>
      </c>
      <c r="I1972" s="75">
        <v>1</v>
      </c>
      <c r="J1972" s="75" t="s">
        <v>10</v>
      </c>
      <c r="K1972" s="75">
        <v>357.02</v>
      </c>
      <c r="L1972" s="75">
        <v>2.5468999999999999</v>
      </c>
      <c r="M1972" s="75">
        <v>356.89</v>
      </c>
      <c r="N1972" s="75">
        <v>2.5457999999999998</v>
      </c>
      <c r="O1972" s="90" t="str">
        <f>IF(VLOOKUP(UncLookup[[#This Row],[Item]],Items!$A$1:$F$43,2,FALSE)=0,"",VLOOKUP(UncLookup[[#This Row],[Item]],Items!$A$1:$F$43,2,FALSE))</f>
        <v/>
      </c>
      <c r="P1972" s="90" t="str">
        <f>IF(VLOOKUP(UncLookup[[#This Row],[Item]],Items!$A$1:$F$43,3,FALSE)=0,"",VLOOKUP(UncLookup[[#This Row],[Item]],Items!$A$1:$F$43,3,FALSE))</f>
        <v>50 turn</v>
      </c>
      <c r="Q1972" s="90" t="str">
        <f>IF(VLOOKUP(UncLookup[[#This Row],[Item]],Items!$A$1:$F$43,4,FALSE)=0,"",VLOOKUP(UncLookup[[#This Row],[Item]],Items!$A$1:$F$43,4,FALSE))</f>
        <v/>
      </c>
    </row>
    <row r="1973" spans="1:17" x14ac:dyDescent="0.25">
      <c r="A1973" s="76" t="s">
        <v>55</v>
      </c>
      <c r="B1973" s="76" t="s">
        <v>64</v>
      </c>
      <c r="C1973" s="76">
        <v>550</v>
      </c>
      <c r="D1973" s="76">
        <v>1030</v>
      </c>
      <c r="E1973" s="77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90" t="str">
        <f>IF(VLOOKUP(UncLookup[[#This Row],[Item]],Items!$A$1:$F$43,2,FALSE)=0,"",VLOOKUP(UncLookup[[#This Row],[Item]],Items!$A$1:$F$43,2,FALSE))</f>
        <v/>
      </c>
      <c r="P1973" s="90" t="str">
        <f>IF(VLOOKUP(UncLookup[[#This Row],[Item]],Items!$A$1:$F$43,3,FALSE)=0,"",VLOOKUP(UncLookup[[#This Row],[Item]],Items!$A$1:$F$43,3,FALSE))</f>
        <v>50 turn</v>
      </c>
      <c r="Q1973" s="90" t="str">
        <f>IF(VLOOKUP(UncLookup[[#This Row],[Item]],Items!$A$1:$F$43,4,FALSE)=0,"",VLOOKUP(UncLookup[[#This Row],[Item]],Items!$A$1:$F$43,4,FALSE))</f>
        <v/>
      </c>
    </row>
    <row r="1974" spans="1:17" x14ac:dyDescent="0.25">
      <c r="A1974" s="75" t="s">
        <v>55</v>
      </c>
      <c r="B1974" s="75" t="s">
        <v>64</v>
      </c>
      <c r="C1974" s="75">
        <v>550</v>
      </c>
      <c r="D1974" s="75">
        <v>1025.01</v>
      </c>
      <c r="E1974" s="75">
        <v>10</v>
      </c>
      <c r="F1974" s="75" t="s">
        <v>13</v>
      </c>
      <c r="G1974" s="75" t="s">
        <v>12</v>
      </c>
      <c r="H1974" s="75">
        <v>4.4999999999999998E-2</v>
      </c>
      <c r="I1974" s="75">
        <v>0.10001</v>
      </c>
      <c r="J1974" s="75" t="s">
        <v>10</v>
      </c>
      <c r="K1974" s="75">
        <v>5545.6</v>
      </c>
      <c r="L1974" s="75">
        <v>0.82077999999999995</v>
      </c>
      <c r="M1974" s="75">
        <v>5546.4</v>
      </c>
      <c r="N1974" s="75">
        <v>0.81772</v>
      </c>
      <c r="O1974" s="90" t="str">
        <f>IF(VLOOKUP(UncLookup[[#This Row],[Item]],Items!$A$1:$F$43,2,FALSE)=0,"",VLOOKUP(UncLookup[[#This Row],[Item]],Items!$A$1:$F$43,2,FALSE))</f>
        <v/>
      </c>
      <c r="P1974" s="90" t="str">
        <f>IF(VLOOKUP(UncLookup[[#This Row],[Item]],Items!$A$1:$F$43,3,FALSE)=0,"",VLOOKUP(UncLookup[[#This Row],[Item]],Items!$A$1:$F$43,3,FALSE))</f>
        <v>50 turn</v>
      </c>
      <c r="Q1974" s="90" t="str">
        <f>IF(VLOOKUP(UncLookup[[#This Row],[Item]],Items!$A$1:$F$43,4,FALSE)=0,"",VLOOKUP(UncLookup[[#This Row],[Item]],Items!$A$1:$F$43,4,FALSE))</f>
        <v/>
      </c>
    </row>
    <row r="1975" spans="1:17" x14ac:dyDescent="0.25">
      <c r="A1975" s="76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90" t="str">
        <f>IF(VLOOKUP(UncLookup[[#This Row],[Item]],Items!$A$1:$F$43,2,FALSE)=0,"",VLOOKUP(UncLookup[[#This Row],[Item]],Items!$A$1:$F$43,2,FALSE))</f>
        <v/>
      </c>
      <c r="P1975" s="90" t="str">
        <f>IF(VLOOKUP(UncLookup[[#This Row],[Item]],Items!$A$1:$F$43,3,FALSE)=0,"",VLOOKUP(UncLookup[[#This Row],[Item]],Items!$A$1:$F$43,3,FALSE))</f>
        <v>50 turn</v>
      </c>
      <c r="Q1975" s="90" t="str">
        <f>IF(VLOOKUP(UncLookup[[#This Row],[Item]],Items!$A$1:$F$43,4,FALSE)=0,"",VLOOKUP(UncLookup[[#This Row],[Item]],Items!$A$1:$F$43,4,FALSE))</f>
        <v/>
      </c>
    </row>
    <row r="1976" spans="1:17" x14ac:dyDescent="0.25">
      <c r="A1976" s="75" t="s">
        <v>55</v>
      </c>
      <c r="B1976" s="75" t="s">
        <v>64</v>
      </c>
      <c r="C1976" s="75">
        <v>550</v>
      </c>
      <c r="D1976" s="75">
        <v>1025.01</v>
      </c>
      <c r="E1976" s="75">
        <v>100</v>
      </c>
      <c r="F1976" s="75" t="s">
        <v>13</v>
      </c>
      <c r="G1976" s="75" t="s">
        <v>12</v>
      </c>
      <c r="H1976" s="75">
        <v>4.4999999999999998E-2</v>
      </c>
      <c r="I1976" s="75">
        <v>0.10001</v>
      </c>
      <c r="J1976" s="75" t="s">
        <v>10</v>
      </c>
      <c r="K1976" s="75">
        <v>57972</v>
      </c>
      <c r="L1976" s="75">
        <v>8.8607000000000005E-2</v>
      </c>
      <c r="M1976" s="75">
        <v>57972</v>
      </c>
      <c r="N1976" s="75">
        <v>8.7215000000000001E-2</v>
      </c>
      <c r="O1976" s="90" t="str">
        <f>IF(VLOOKUP(UncLookup[[#This Row],[Item]],Items!$A$1:$F$43,2,FALSE)=0,"",VLOOKUP(UncLookup[[#This Row],[Item]],Items!$A$1:$F$43,2,FALSE))</f>
        <v/>
      </c>
      <c r="P1976" s="90" t="str">
        <f>IF(VLOOKUP(UncLookup[[#This Row],[Item]],Items!$A$1:$F$43,3,FALSE)=0,"",VLOOKUP(UncLookup[[#This Row],[Item]],Items!$A$1:$F$43,3,FALSE))</f>
        <v>50 turn</v>
      </c>
      <c r="Q1976" s="90" t="str">
        <f>IF(VLOOKUP(UncLookup[[#This Row],[Item]],Items!$A$1:$F$43,4,FALSE)=0,"",VLOOKUP(UncLookup[[#This Row],[Item]],Items!$A$1:$F$43,4,FALSE))</f>
        <v/>
      </c>
    </row>
    <row r="1977" spans="1:17" x14ac:dyDescent="0.25">
      <c r="A1977" s="76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90" t="str">
        <f>IF(VLOOKUP(UncLookup[[#This Row],[Item]],Items!$A$1:$F$43,2,FALSE)=0,"",VLOOKUP(UncLookup[[#This Row],[Item]],Items!$A$1:$F$43,2,FALSE))</f>
        <v/>
      </c>
      <c r="P1977" s="90" t="str">
        <f>IF(VLOOKUP(UncLookup[[#This Row],[Item]],Items!$A$1:$F$43,3,FALSE)=0,"",VLOOKUP(UncLookup[[#This Row],[Item]],Items!$A$1:$F$43,3,FALSE))</f>
        <v>20 turn</v>
      </c>
      <c r="Q1977" s="90" t="str">
        <f>IF(VLOOKUP(UncLookup[[#This Row],[Item]],Items!$A$1:$F$43,4,FALSE)=0,"",VLOOKUP(UncLookup[[#This Row],[Item]],Items!$A$1:$F$43,4,FALSE))</f>
        <v/>
      </c>
    </row>
    <row r="1978" spans="1:17" x14ac:dyDescent="0.25">
      <c r="A1978" s="75" t="s">
        <v>55</v>
      </c>
      <c r="B1978" s="75" t="s">
        <v>63</v>
      </c>
      <c r="C1978" s="75">
        <v>22</v>
      </c>
      <c r="D1978" s="75">
        <v>60.000999999999998</v>
      </c>
      <c r="E1978" s="78">
        <v>1E-3</v>
      </c>
      <c r="F1978" s="75" t="s">
        <v>13</v>
      </c>
      <c r="G1978" s="75" t="s">
        <v>12</v>
      </c>
      <c r="H1978" s="75">
        <v>10</v>
      </c>
      <c r="I1978" s="75">
        <v>10.01</v>
      </c>
      <c r="J1978" s="75" t="s">
        <v>10</v>
      </c>
      <c r="K1978" s="75">
        <v>52</v>
      </c>
      <c r="L1978" s="75">
        <v>30</v>
      </c>
      <c r="M1978" s="75">
        <v>34.529000000000003</v>
      </c>
      <c r="N1978" s="75">
        <v>30.459</v>
      </c>
      <c r="O1978" s="90" t="str">
        <f>IF(VLOOKUP(UncLookup[[#This Row],[Item]],Items!$A$1:$F$43,2,FALSE)=0,"",VLOOKUP(UncLookup[[#This Row],[Item]],Items!$A$1:$F$43,2,FALSE))</f>
        <v/>
      </c>
      <c r="P1978" s="90" t="str">
        <f>IF(VLOOKUP(UncLookup[[#This Row],[Item]],Items!$A$1:$F$43,3,FALSE)=0,"",VLOOKUP(UncLookup[[#This Row],[Item]],Items!$A$1:$F$43,3,FALSE))</f>
        <v>20 turn</v>
      </c>
      <c r="Q1978" s="90" t="str">
        <f>IF(VLOOKUP(UncLookup[[#This Row],[Item]],Items!$A$1:$F$43,4,FALSE)=0,"",VLOOKUP(UncLookup[[#This Row],[Item]],Items!$A$1:$F$43,4,FALSE))</f>
        <v/>
      </c>
    </row>
    <row r="1979" spans="1:17" x14ac:dyDescent="0.25">
      <c r="A1979" s="76" t="s">
        <v>55</v>
      </c>
      <c r="B1979" s="76" t="s">
        <v>63</v>
      </c>
      <c r="C1979" s="76">
        <v>22</v>
      </c>
      <c r="D1979" s="76">
        <v>60.000999999999998</v>
      </c>
      <c r="E1979" s="76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90" t="str">
        <f>IF(VLOOKUP(UncLookup[[#This Row],[Item]],Items!$A$1:$F$43,2,FALSE)=0,"",VLOOKUP(UncLookup[[#This Row],[Item]],Items!$A$1:$F$43,2,FALSE))</f>
        <v/>
      </c>
      <c r="P1979" s="90" t="str">
        <f>IF(VLOOKUP(UncLookup[[#This Row],[Item]],Items!$A$1:$F$43,3,FALSE)=0,"",VLOOKUP(UncLookup[[#This Row],[Item]],Items!$A$1:$F$43,3,FALSE))</f>
        <v>20 turn</v>
      </c>
      <c r="Q1979" s="90" t="str">
        <f>IF(VLOOKUP(UncLookup[[#This Row],[Item]],Items!$A$1:$F$43,4,FALSE)=0,"",VLOOKUP(UncLookup[[#This Row],[Item]],Items!$A$1:$F$43,4,FALSE))</f>
        <v/>
      </c>
    </row>
    <row r="1980" spans="1:17" x14ac:dyDescent="0.25">
      <c r="A1980" s="75" t="s">
        <v>55</v>
      </c>
      <c r="B1980" s="75" t="s">
        <v>63</v>
      </c>
      <c r="C1980" s="75">
        <v>22</v>
      </c>
      <c r="D1980" s="75">
        <v>60.000999999999998</v>
      </c>
      <c r="E1980" s="75">
        <v>1E-3</v>
      </c>
      <c r="F1980" s="75" t="s">
        <v>13</v>
      </c>
      <c r="G1980" s="75" t="s">
        <v>12</v>
      </c>
      <c r="H1980" s="75">
        <v>0.01</v>
      </c>
      <c r="I1980" s="75">
        <v>4.5010000000000001E-2</v>
      </c>
      <c r="J1980" s="75" t="s">
        <v>10</v>
      </c>
      <c r="K1980" s="75">
        <v>-5.2</v>
      </c>
      <c r="L1980" s="75">
        <v>3</v>
      </c>
      <c r="M1980" s="75">
        <v>-6.3514999999999997</v>
      </c>
      <c r="N1980" s="75">
        <v>3.0358000000000001</v>
      </c>
      <c r="O1980" s="90" t="str">
        <f>IF(VLOOKUP(UncLookup[[#This Row],[Item]],Items!$A$1:$F$43,2,FALSE)=0,"",VLOOKUP(UncLookup[[#This Row],[Item]],Items!$A$1:$F$43,2,FALSE))</f>
        <v/>
      </c>
      <c r="P1980" s="90" t="str">
        <f>IF(VLOOKUP(UncLookup[[#This Row],[Item]],Items!$A$1:$F$43,3,FALSE)=0,"",VLOOKUP(UncLookup[[#This Row],[Item]],Items!$A$1:$F$43,3,FALSE))</f>
        <v>20 turn</v>
      </c>
      <c r="Q1980" s="90" t="str">
        <f>IF(VLOOKUP(UncLookup[[#This Row],[Item]],Items!$A$1:$F$43,4,FALSE)=0,"",VLOOKUP(UncLookup[[#This Row],[Item]],Items!$A$1:$F$43,4,FALSE))</f>
        <v/>
      </c>
    </row>
    <row r="1981" spans="1:17" x14ac:dyDescent="0.25">
      <c r="A1981" s="76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90" t="str">
        <f>IF(VLOOKUP(UncLookup[[#This Row],[Item]],Items!$A$1:$F$43,2,FALSE)=0,"",VLOOKUP(UncLookup[[#This Row],[Item]],Items!$A$1:$F$43,2,FALSE))</f>
        <v/>
      </c>
      <c r="P1981" s="90" t="str">
        <f>IF(VLOOKUP(UncLookup[[#This Row],[Item]],Items!$A$1:$F$43,3,FALSE)=0,"",VLOOKUP(UncLookup[[#This Row],[Item]],Items!$A$1:$F$43,3,FALSE))</f>
        <v>20 turn</v>
      </c>
      <c r="Q1981" s="90" t="str">
        <f>IF(VLOOKUP(UncLookup[[#This Row],[Item]],Items!$A$1:$F$43,4,FALSE)=0,"",VLOOKUP(UncLookup[[#This Row],[Item]],Items!$A$1:$F$43,4,FALSE))</f>
        <v/>
      </c>
    </row>
    <row r="1982" spans="1:17" x14ac:dyDescent="0.25">
      <c r="A1982" s="75" t="s">
        <v>55</v>
      </c>
      <c r="B1982" s="75" t="s">
        <v>63</v>
      </c>
      <c r="C1982" s="75">
        <v>22</v>
      </c>
      <c r="D1982" s="75">
        <v>60.000999999999998</v>
      </c>
      <c r="E1982" s="75">
        <v>0.01</v>
      </c>
      <c r="F1982" s="75" t="s">
        <v>13</v>
      </c>
      <c r="G1982" s="75" t="s">
        <v>12</v>
      </c>
      <c r="H1982" s="75">
        <v>1</v>
      </c>
      <c r="I1982" s="75">
        <v>5.01</v>
      </c>
      <c r="J1982" s="75" t="s">
        <v>10</v>
      </c>
      <c r="K1982" s="75">
        <v>2.3481999999999998</v>
      </c>
      <c r="L1982" s="75">
        <v>7.5869</v>
      </c>
      <c r="M1982" s="75">
        <v>2.3433000000000002</v>
      </c>
      <c r="N1982" s="75">
        <v>7.5869</v>
      </c>
      <c r="O1982" s="90" t="str">
        <f>IF(VLOOKUP(UncLookup[[#This Row],[Item]],Items!$A$1:$F$43,2,FALSE)=0,"",VLOOKUP(UncLookup[[#This Row],[Item]],Items!$A$1:$F$43,2,FALSE))</f>
        <v/>
      </c>
      <c r="P1982" s="90" t="str">
        <f>IF(VLOOKUP(UncLookup[[#This Row],[Item]],Items!$A$1:$F$43,3,FALSE)=0,"",VLOOKUP(UncLookup[[#This Row],[Item]],Items!$A$1:$F$43,3,FALSE))</f>
        <v>20 turn</v>
      </c>
      <c r="Q1982" s="90" t="str">
        <f>IF(VLOOKUP(UncLookup[[#This Row],[Item]],Items!$A$1:$F$43,4,FALSE)=0,"",VLOOKUP(UncLookup[[#This Row],[Item]],Items!$A$1:$F$43,4,FALSE))</f>
        <v/>
      </c>
    </row>
    <row r="1983" spans="1:17" x14ac:dyDescent="0.25">
      <c r="A1983" s="76" t="s">
        <v>55</v>
      </c>
      <c r="B1983" s="76" t="s">
        <v>63</v>
      </c>
      <c r="C1983" s="76">
        <v>22</v>
      </c>
      <c r="D1983" s="76">
        <v>60.000999999999998</v>
      </c>
      <c r="E1983" s="77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90" t="str">
        <f>IF(VLOOKUP(UncLookup[[#This Row],[Item]],Items!$A$1:$F$43,2,FALSE)=0,"",VLOOKUP(UncLookup[[#This Row],[Item]],Items!$A$1:$F$43,2,FALSE))</f>
        <v/>
      </c>
      <c r="P1983" s="90" t="str">
        <f>IF(VLOOKUP(UncLookup[[#This Row],[Item]],Items!$A$1:$F$43,3,FALSE)=0,"",VLOOKUP(UncLookup[[#This Row],[Item]],Items!$A$1:$F$43,3,FALSE))</f>
        <v>20 turn</v>
      </c>
      <c r="Q1983" s="90" t="str">
        <f>IF(VLOOKUP(UncLookup[[#This Row],[Item]],Items!$A$1:$F$43,4,FALSE)=0,"",VLOOKUP(UncLookup[[#This Row],[Item]],Items!$A$1:$F$43,4,FALSE))</f>
        <v/>
      </c>
    </row>
    <row r="1984" spans="1:17" x14ac:dyDescent="0.25">
      <c r="A1984" s="75" t="s">
        <v>55</v>
      </c>
      <c r="B1984" s="75" t="s">
        <v>63</v>
      </c>
      <c r="C1984" s="75">
        <v>22</v>
      </c>
      <c r="D1984" s="75">
        <v>60.000999999999998</v>
      </c>
      <c r="E1984" s="75">
        <v>0.01</v>
      </c>
      <c r="F1984" s="75" t="s">
        <v>13</v>
      </c>
      <c r="G1984" s="75" t="s">
        <v>12</v>
      </c>
      <c r="H1984" s="75">
        <v>10</v>
      </c>
      <c r="I1984" s="75">
        <v>10.01</v>
      </c>
      <c r="J1984" s="75" t="s">
        <v>10</v>
      </c>
      <c r="K1984" s="75">
        <v>52</v>
      </c>
      <c r="L1984" s="75">
        <v>30.457999999999998</v>
      </c>
      <c r="M1984" s="75">
        <v>34.545000000000002</v>
      </c>
      <c r="N1984" s="75">
        <v>30.459</v>
      </c>
      <c r="O1984" s="90" t="str">
        <f>IF(VLOOKUP(UncLookup[[#This Row],[Item]],Items!$A$1:$F$43,2,FALSE)=0,"",VLOOKUP(UncLookup[[#This Row],[Item]],Items!$A$1:$F$43,2,FALSE))</f>
        <v/>
      </c>
      <c r="P1984" s="90" t="str">
        <f>IF(VLOOKUP(UncLookup[[#This Row],[Item]],Items!$A$1:$F$43,3,FALSE)=0,"",VLOOKUP(UncLookup[[#This Row],[Item]],Items!$A$1:$F$43,3,FALSE))</f>
        <v>20 turn</v>
      </c>
      <c r="Q1984" s="90" t="str">
        <f>IF(VLOOKUP(UncLookup[[#This Row],[Item]],Items!$A$1:$F$43,4,FALSE)=0,"",VLOOKUP(UncLookup[[#This Row],[Item]],Items!$A$1:$F$43,4,FALSE))</f>
        <v/>
      </c>
    </row>
    <row r="1985" spans="1:17" x14ac:dyDescent="0.25">
      <c r="A1985" s="76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90" t="str">
        <f>IF(VLOOKUP(UncLookup[[#This Row],[Item]],Items!$A$1:$F$43,2,FALSE)=0,"",VLOOKUP(UncLookup[[#This Row],[Item]],Items!$A$1:$F$43,2,FALSE))</f>
        <v/>
      </c>
      <c r="P1985" s="90" t="str">
        <f>IF(VLOOKUP(UncLookup[[#This Row],[Item]],Items!$A$1:$F$43,3,FALSE)=0,"",VLOOKUP(UncLookup[[#This Row],[Item]],Items!$A$1:$F$43,3,FALSE))</f>
        <v>20 turn</v>
      </c>
      <c r="Q1985" s="90" t="str">
        <f>IF(VLOOKUP(UncLookup[[#This Row],[Item]],Items!$A$1:$F$43,4,FALSE)=0,"",VLOOKUP(UncLookup[[#This Row],[Item]],Items!$A$1:$F$43,4,FALSE))</f>
        <v/>
      </c>
    </row>
    <row r="1986" spans="1:17" x14ac:dyDescent="0.25">
      <c r="A1986" s="75" t="s">
        <v>55</v>
      </c>
      <c r="B1986" s="75" t="s">
        <v>63</v>
      </c>
      <c r="C1986" s="75">
        <v>22</v>
      </c>
      <c r="D1986" s="75">
        <v>60.000999999999998</v>
      </c>
      <c r="E1986" s="75">
        <v>0.01</v>
      </c>
      <c r="F1986" s="75" t="s">
        <v>13</v>
      </c>
      <c r="G1986" s="75" t="s">
        <v>12</v>
      </c>
      <c r="H1986" s="75">
        <v>4.4999999999999998E-2</v>
      </c>
      <c r="I1986" s="75">
        <v>1.0000100000000001</v>
      </c>
      <c r="J1986" s="75" t="s">
        <v>10</v>
      </c>
      <c r="K1986" s="75">
        <v>15</v>
      </c>
      <c r="L1986" s="75">
        <v>2.2999999999999998</v>
      </c>
      <c r="M1986" s="75">
        <v>-4.6150000000000002</v>
      </c>
      <c r="N1986" s="75">
        <v>2.2202999999999999</v>
      </c>
      <c r="O1986" s="90" t="str">
        <f>IF(VLOOKUP(UncLookup[[#This Row],[Item]],Items!$A$1:$F$43,2,FALSE)=0,"",VLOOKUP(UncLookup[[#This Row],[Item]],Items!$A$1:$F$43,2,FALSE))</f>
        <v/>
      </c>
      <c r="P1986" s="90" t="str">
        <f>IF(VLOOKUP(UncLookup[[#This Row],[Item]],Items!$A$1:$F$43,3,FALSE)=0,"",VLOOKUP(UncLookup[[#This Row],[Item]],Items!$A$1:$F$43,3,FALSE))</f>
        <v>20 turn</v>
      </c>
      <c r="Q1986" s="90" t="str">
        <f>IF(VLOOKUP(UncLookup[[#This Row],[Item]],Items!$A$1:$F$43,4,FALSE)=0,"",VLOOKUP(UncLookup[[#This Row],[Item]],Items!$A$1:$F$43,4,FALSE))</f>
        <v/>
      </c>
    </row>
    <row r="1987" spans="1:17" x14ac:dyDescent="0.25">
      <c r="A1987" s="76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90" t="str">
        <f>IF(VLOOKUP(UncLookup[[#This Row],[Item]],Items!$A$1:$F$43,2,FALSE)=0,"",VLOOKUP(UncLookup[[#This Row],[Item]],Items!$A$1:$F$43,2,FALSE))</f>
        <v/>
      </c>
      <c r="P1987" s="90" t="str">
        <f>IF(VLOOKUP(UncLookup[[#This Row],[Item]],Items!$A$1:$F$43,3,FALSE)=0,"",VLOOKUP(UncLookup[[#This Row],[Item]],Items!$A$1:$F$43,3,FALSE))</f>
        <v>20 turn</v>
      </c>
      <c r="Q1987" s="90" t="str">
        <f>IF(VLOOKUP(UncLookup[[#This Row],[Item]],Items!$A$1:$F$43,4,FALSE)=0,"",VLOOKUP(UncLookup[[#This Row],[Item]],Items!$A$1:$F$43,4,FALSE))</f>
        <v/>
      </c>
    </row>
    <row r="1988" spans="1:17" x14ac:dyDescent="0.25">
      <c r="A1988" s="75" t="s">
        <v>55</v>
      </c>
      <c r="B1988" s="75" t="s">
        <v>63</v>
      </c>
      <c r="C1988" s="75">
        <v>22</v>
      </c>
      <c r="D1988" s="75">
        <v>60.000999999999998</v>
      </c>
      <c r="E1988" s="75">
        <v>0.1</v>
      </c>
      <c r="F1988" s="75" t="s">
        <v>13</v>
      </c>
      <c r="G1988" s="75" t="s">
        <v>12</v>
      </c>
      <c r="H1988" s="75">
        <v>1</v>
      </c>
      <c r="I1988" s="75">
        <v>5.01</v>
      </c>
      <c r="J1988" s="75" t="s">
        <v>10</v>
      </c>
      <c r="K1988" s="75">
        <v>14.11</v>
      </c>
      <c r="L1988" s="75">
        <v>7.4272999999999998</v>
      </c>
      <c r="M1988" s="75">
        <v>14.090999999999999</v>
      </c>
      <c r="N1988" s="75">
        <v>7.4272999999999998</v>
      </c>
      <c r="O1988" s="90" t="str">
        <f>IF(VLOOKUP(UncLookup[[#This Row],[Item]],Items!$A$1:$F$43,2,FALSE)=0,"",VLOOKUP(UncLookup[[#This Row],[Item]],Items!$A$1:$F$43,2,FALSE))</f>
        <v/>
      </c>
      <c r="P1988" s="90" t="str">
        <f>IF(VLOOKUP(UncLookup[[#This Row],[Item]],Items!$A$1:$F$43,3,FALSE)=0,"",VLOOKUP(UncLookup[[#This Row],[Item]],Items!$A$1:$F$43,3,FALSE))</f>
        <v>20 turn</v>
      </c>
      <c r="Q1988" s="90" t="str">
        <f>IF(VLOOKUP(UncLookup[[#This Row],[Item]],Items!$A$1:$F$43,4,FALSE)=0,"",VLOOKUP(UncLookup[[#This Row],[Item]],Items!$A$1:$F$43,4,FALSE))</f>
        <v/>
      </c>
    </row>
    <row r="1989" spans="1:17" x14ac:dyDescent="0.25">
      <c r="A1989" s="76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90" t="str">
        <f>IF(VLOOKUP(UncLookup[[#This Row],[Item]],Items!$A$1:$F$43,2,FALSE)=0,"",VLOOKUP(UncLookup[[#This Row],[Item]],Items!$A$1:$F$43,2,FALSE))</f>
        <v/>
      </c>
      <c r="P1989" s="90" t="str">
        <f>IF(VLOOKUP(UncLookup[[#This Row],[Item]],Items!$A$1:$F$43,3,FALSE)=0,"",VLOOKUP(UncLookup[[#This Row],[Item]],Items!$A$1:$F$43,3,FALSE))</f>
        <v>20 turn</v>
      </c>
      <c r="Q1989" s="90" t="str">
        <f>IF(VLOOKUP(UncLookup[[#This Row],[Item]],Items!$A$1:$F$43,4,FALSE)=0,"",VLOOKUP(UncLookup[[#This Row],[Item]],Items!$A$1:$F$43,4,FALSE))</f>
        <v/>
      </c>
    </row>
    <row r="1990" spans="1:17" x14ac:dyDescent="0.25">
      <c r="A1990" s="75" t="s">
        <v>55</v>
      </c>
      <c r="B1990" s="75" t="s">
        <v>63</v>
      </c>
      <c r="C1990" s="75">
        <v>22</v>
      </c>
      <c r="D1990" s="75">
        <v>60.000999999999998</v>
      </c>
      <c r="E1990" s="75">
        <v>0.1</v>
      </c>
      <c r="F1990" s="75" t="s">
        <v>13</v>
      </c>
      <c r="G1990" s="75" t="s">
        <v>12</v>
      </c>
      <c r="H1990" s="75">
        <v>10</v>
      </c>
      <c r="I1990" s="75">
        <v>10.01</v>
      </c>
      <c r="J1990" s="75" t="s">
        <v>10</v>
      </c>
      <c r="K1990" s="75">
        <v>52</v>
      </c>
      <c r="L1990" s="75">
        <v>30.419</v>
      </c>
      <c r="M1990" s="75">
        <v>37.46</v>
      </c>
      <c r="N1990" s="75">
        <v>30.419</v>
      </c>
      <c r="O1990" s="90" t="str">
        <f>IF(VLOOKUP(UncLookup[[#This Row],[Item]],Items!$A$1:$F$43,2,FALSE)=0,"",VLOOKUP(UncLookup[[#This Row],[Item]],Items!$A$1:$F$43,2,FALSE))</f>
        <v/>
      </c>
      <c r="P1990" s="90" t="str">
        <f>IF(VLOOKUP(UncLookup[[#This Row],[Item]],Items!$A$1:$F$43,3,FALSE)=0,"",VLOOKUP(UncLookup[[#This Row],[Item]],Items!$A$1:$F$43,3,FALSE))</f>
        <v>20 turn</v>
      </c>
      <c r="Q1990" s="90" t="str">
        <f>IF(VLOOKUP(UncLookup[[#This Row],[Item]],Items!$A$1:$F$43,4,FALSE)=0,"",VLOOKUP(UncLookup[[#This Row],[Item]],Items!$A$1:$F$43,4,FALSE))</f>
        <v/>
      </c>
    </row>
    <row r="1991" spans="1:17" x14ac:dyDescent="0.25">
      <c r="A1991" s="76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90" t="str">
        <f>IF(VLOOKUP(UncLookup[[#This Row],[Item]],Items!$A$1:$F$43,2,FALSE)=0,"",VLOOKUP(UncLookup[[#This Row],[Item]],Items!$A$1:$F$43,2,FALSE))</f>
        <v/>
      </c>
      <c r="P1991" s="90" t="str">
        <f>IF(VLOOKUP(UncLookup[[#This Row],[Item]],Items!$A$1:$F$43,3,FALSE)=0,"",VLOOKUP(UncLookup[[#This Row],[Item]],Items!$A$1:$F$43,3,FALSE))</f>
        <v>20 turn</v>
      </c>
      <c r="Q1991" s="90" t="str">
        <f>IF(VLOOKUP(UncLookup[[#This Row],[Item]],Items!$A$1:$F$43,4,FALSE)=0,"",VLOOKUP(UncLookup[[#This Row],[Item]],Items!$A$1:$F$43,4,FALSE))</f>
        <v/>
      </c>
    </row>
    <row r="1992" spans="1:17" x14ac:dyDescent="0.25">
      <c r="A1992" s="75" t="s">
        <v>55</v>
      </c>
      <c r="B1992" s="75" t="s">
        <v>63</v>
      </c>
      <c r="C1992" s="75">
        <v>22</v>
      </c>
      <c r="D1992" s="75">
        <v>60.000999999999998</v>
      </c>
      <c r="E1992" s="75">
        <v>1</v>
      </c>
      <c r="F1992" s="75" t="s">
        <v>13</v>
      </c>
      <c r="G1992" s="75" t="s">
        <v>12</v>
      </c>
      <c r="H1992" s="75">
        <v>4.4999999999999998E-2</v>
      </c>
      <c r="I1992" s="75">
        <v>1.0000100000000001</v>
      </c>
      <c r="J1992" s="75" t="s">
        <v>10</v>
      </c>
      <c r="K1992" s="75">
        <v>574.48</v>
      </c>
      <c r="L1992" s="75">
        <v>0.32468000000000002</v>
      </c>
      <c r="M1992" s="75">
        <v>574.48</v>
      </c>
      <c r="N1992" s="75">
        <v>0.32379999999999998</v>
      </c>
      <c r="O1992" s="90" t="str">
        <f>IF(VLOOKUP(UncLookup[[#This Row],[Item]],Items!$A$1:$F$43,2,FALSE)=0,"",VLOOKUP(UncLookup[[#This Row],[Item]],Items!$A$1:$F$43,2,FALSE))</f>
        <v/>
      </c>
      <c r="P1992" s="90" t="str">
        <f>IF(VLOOKUP(UncLookup[[#This Row],[Item]],Items!$A$1:$F$43,3,FALSE)=0,"",VLOOKUP(UncLookup[[#This Row],[Item]],Items!$A$1:$F$43,3,FALSE))</f>
        <v>20 turn</v>
      </c>
      <c r="Q1992" s="90" t="str">
        <f>IF(VLOOKUP(UncLookup[[#This Row],[Item]],Items!$A$1:$F$43,4,FALSE)=0,"",VLOOKUP(UncLookup[[#This Row],[Item]],Items!$A$1:$F$43,4,FALSE))</f>
        <v/>
      </c>
    </row>
    <row r="1993" spans="1:17" x14ac:dyDescent="0.25">
      <c r="A1993" s="76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90" t="str">
        <f>IF(VLOOKUP(UncLookup[[#This Row],[Item]],Items!$A$1:$F$43,2,FALSE)=0,"",VLOOKUP(UncLookup[[#This Row],[Item]],Items!$A$1:$F$43,2,FALSE))</f>
        <v/>
      </c>
      <c r="P1993" s="90" t="str">
        <f>IF(VLOOKUP(UncLookup[[#This Row],[Item]],Items!$A$1:$F$43,3,FALSE)=0,"",VLOOKUP(UncLookup[[#This Row],[Item]],Items!$A$1:$F$43,3,FALSE))</f>
        <v>20 turn</v>
      </c>
      <c r="Q1993" s="90" t="str">
        <f>IF(VLOOKUP(UncLookup[[#This Row],[Item]],Items!$A$1:$F$43,4,FALSE)=0,"",VLOOKUP(UncLookup[[#This Row],[Item]],Items!$A$1:$F$43,4,FALSE))</f>
        <v/>
      </c>
    </row>
    <row r="1994" spans="1:17" x14ac:dyDescent="0.25">
      <c r="A1994" s="75" t="s">
        <v>55</v>
      </c>
      <c r="B1994" s="75" t="s">
        <v>63</v>
      </c>
      <c r="C1994" s="75">
        <v>22</v>
      </c>
      <c r="D1994" s="75">
        <v>60.000999999999998</v>
      </c>
      <c r="E1994" s="75">
        <v>1</v>
      </c>
      <c r="F1994" s="75" t="s">
        <v>13</v>
      </c>
      <c r="G1994" s="75" t="s">
        <v>12</v>
      </c>
      <c r="H1994" s="75">
        <v>1</v>
      </c>
      <c r="I1994" s="75">
        <v>5.01</v>
      </c>
      <c r="J1994" s="75" t="s">
        <v>10</v>
      </c>
      <c r="K1994" s="75">
        <v>526.04999999999995</v>
      </c>
      <c r="L1994" s="75">
        <v>3.5184000000000002</v>
      </c>
      <c r="M1994" s="75">
        <v>526.04999999999995</v>
      </c>
      <c r="N1994" s="75">
        <v>3.5177999999999998</v>
      </c>
      <c r="O1994" s="90" t="str">
        <f>IF(VLOOKUP(UncLookup[[#This Row],[Item]],Items!$A$1:$F$43,2,FALSE)=0,"",VLOOKUP(UncLookup[[#This Row],[Item]],Items!$A$1:$F$43,2,FALSE))</f>
        <v/>
      </c>
      <c r="P1994" s="90" t="str">
        <f>IF(VLOOKUP(UncLookup[[#This Row],[Item]],Items!$A$1:$F$43,3,FALSE)=0,"",VLOOKUP(UncLookup[[#This Row],[Item]],Items!$A$1:$F$43,3,FALSE))</f>
        <v>20 turn</v>
      </c>
      <c r="Q1994" s="90" t="str">
        <f>IF(VLOOKUP(UncLookup[[#This Row],[Item]],Items!$A$1:$F$43,4,FALSE)=0,"",VLOOKUP(UncLookup[[#This Row],[Item]],Items!$A$1:$F$43,4,FALSE))</f>
        <v/>
      </c>
    </row>
    <row r="1995" spans="1:17" x14ac:dyDescent="0.25">
      <c r="A1995" s="76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90" t="str">
        <f>IF(VLOOKUP(UncLookup[[#This Row],[Item]],Items!$A$1:$F$43,2,FALSE)=0,"",VLOOKUP(UncLookup[[#This Row],[Item]],Items!$A$1:$F$43,2,FALSE))</f>
        <v/>
      </c>
      <c r="P1995" s="90" t="str">
        <f>IF(VLOOKUP(UncLookup[[#This Row],[Item]],Items!$A$1:$F$43,3,FALSE)=0,"",VLOOKUP(UncLookup[[#This Row],[Item]],Items!$A$1:$F$43,3,FALSE))</f>
        <v>20 turn</v>
      </c>
      <c r="Q1995" s="90" t="str">
        <f>IF(VLOOKUP(UncLookup[[#This Row],[Item]],Items!$A$1:$F$43,4,FALSE)=0,"",VLOOKUP(UncLookup[[#This Row],[Item]],Items!$A$1:$F$43,4,FALSE))</f>
        <v/>
      </c>
    </row>
    <row r="1996" spans="1:17" x14ac:dyDescent="0.25">
      <c r="A1996" s="75" t="s">
        <v>55</v>
      </c>
      <c r="B1996" s="75" t="s">
        <v>63</v>
      </c>
      <c r="C1996" s="75">
        <v>22</v>
      </c>
      <c r="D1996" s="75">
        <v>60.000999999999998</v>
      </c>
      <c r="E1996" s="75">
        <v>1</v>
      </c>
      <c r="F1996" s="75" t="s">
        <v>13</v>
      </c>
      <c r="G1996" s="75" t="s">
        <v>12</v>
      </c>
      <c r="H1996" s="75">
        <v>10</v>
      </c>
      <c r="I1996" s="75">
        <v>10.01</v>
      </c>
      <c r="J1996" s="75" t="s">
        <v>10</v>
      </c>
      <c r="K1996" s="75">
        <v>304.91000000000003</v>
      </c>
      <c r="L1996" s="75">
        <v>27.254999999999999</v>
      </c>
      <c r="M1996" s="75">
        <v>304.83999999999997</v>
      </c>
      <c r="N1996" s="75">
        <v>27.254999999999999</v>
      </c>
      <c r="O1996" s="90" t="str">
        <f>IF(VLOOKUP(UncLookup[[#This Row],[Item]],Items!$A$1:$F$43,2,FALSE)=0,"",VLOOKUP(UncLookup[[#This Row],[Item]],Items!$A$1:$F$43,2,FALSE))</f>
        <v/>
      </c>
      <c r="P1996" s="90" t="str">
        <f>IF(VLOOKUP(UncLookup[[#This Row],[Item]],Items!$A$1:$F$43,3,FALSE)=0,"",VLOOKUP(UncLookup[[#This Row],[Item]],Items!$A$1:$F$43,3,FALSE))</f>
        <v>20 turn</v>
      </c>
      <c r="Q1996" s="90" t="str">
        <f>IF(VLOOKUP(UncLookup[[#This Row],[Item]],Items!$A$1:$F$43,4,FALSE)=0,"",VLOOKUP(UncLookup[[#This Row],[Item]],Items!$A$1:$F$43,4,FALSE))</f>
        <v/>
      </c>
    </row>
    <row r="1997" spans="1:17" x14ac:dyDescent="0.25">
      <c r="A1997" s="76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90" t="str">
        <f>IF(VLOOKUP(UncLookup[[#This Row],[Item]],Items!$A$1:$F$43,2,FALSE)=0,"",VLOOKUP(UncLookup[[#This Row],[Item]],Items!$A$1:$F$43,2,FALSE))</f>
        <v/>
      </c>
      <c r="P1997" s="90" t="str">
        <f>IF(VLOOKUP(UncLookup[[#This Row],[Item]],Items!$A$1:$F$43,3,FALSE)=0,"",VLOOKUP(UncLookup[[#This Row],[Item]],Items!$A$1:$F$43,3,FALSE))</f>
        <v>20 turn</v>
      </c>
      <c r="Q1997" s="90" t="str">
        <f>IF(VLOOKUP(UncLookup[[#This Row],[Item]],Items!$A$1:$F$43,4,FALSE)=0,"",VLOOKUP(UncLookup[[#This Row],[Item]],Items!$A$1:$F$43,4,FALSE))</f>
        <v/>
      </c>
    </row>
    <row r="1998" spans="1:17" x14ac:dyDescent="0.25">
      <c r="A1998" s="75" t="s">
        <v>55</v>
      </c>
      <c r="B1998" s="75" t="s">
        <v>63</v>
      </c>
      <c r="C1998" s="75">
        <v>22</v>
      </c>
      <c r="D1998" s="75">
        <v>60.000999999999998</v>
      </c>
      <c r="E1998" s="75">
        <v>10</v>
      </c>
      <c r="F1998" s="75" t="s">
        <v>13</v>
      </c>
      <c r="G1998" s="75" t="s">
        <v>12</v>
      </c>
      <c r="H1998" s="75">
        <v>5</v>
      </c>
      <c r="I1998" s="75">
        <v>10</v>
      </c>
      <c r="J1998" s="75" t="s">
        <v>10</v>
      </c>
      <c r="K1998" s="75">
        <v>5698.4</v>
      </c>
      <c r="L1998" s="75">
        <v>6.4999000000000002</v>
      </c>
      <c r="M1998" s="75">
        <v>5698.4</v>
      </c>
      <c r="N1998" s="75">
        <v>6.4988999999999999</v>
      </c>
      <c r="O1998" s="90" t="str">
        <f>IF(VLOOKUP(UncLookup[[#This Row],[Item]],Items!$A$1:$F$43,2,FALSE)=0,"",VLOOKUP(UncLookup[[#This Row],[Item]],Items!$A$1:$F$43,2,FALSE))</f>
        <v/>
      </c>
      <c r="P1998" s="90" t="str">
        <f>IF(VLOOKUP(UncLookup[[#This Row],[Item]],Items!$A$1:$F$43,3,FALSE)=0,"",VLOOKUP(UncLookup[[#This Row],[Item]],Items!$A$1:$F$43,3,FALSE))</f>
        <v>20 turn</v>
      </c>
      <c r="Q1998" s="90" t="str">
        <f>IF(VLOOKUP(UncLookup[[#This Row],[Item]],Items!$A$1:$F$43,4,FALSE)=0,"",VLOOKUP(UncLookup[[#This Row],[Item]],Items!$A$1:$F$43,4,FALSE))</f>
        <v/>
      </c>
    </row>
    <row r="1999" spans="1:17" x14ac:dyDescent="0.25">
      <c r="A1999" s="76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90" t="str">
        <f>IF(VLOOKUP(UncLookup[[#This Row],[Item]],Items!$A$1:$F$43,2,FALSE)=0,"",VLOOKUP(UncLookup[[#This Row],[Item]],Items!$A$1:$F$43,2,FALSE))</f>
        <v/>
      </c>
      <c r="P1999" s="90" t="str">
        <f>IF(VLOOKUP(UncLookup[[#This Row],[Item]],Items!$A$1:$F$43,3,FALSE)=0,"",VLOOKUP(UncLookup[[#This Row],[Item]],Items!$A$1:$F$43,3,FALSE))</f>
        <v>20 turn</v>
      </c>
      <c r="Q1999" s="90" t="str">
        <f>IF(VLOOKUP(UncLookup[[#This Row],[Item]],Items!$A$1:$F$43,4,FALSE)=0,"",VLOOKUP(UncLookup[[#This Row],[Item]],Items!$A$1:$F$43,4,FALSE))</f>
        <v/>
      </c>
    </row>
    <row r="2000" spans="1:17" x14ac:dyDescent="0.25">
      <c r="A2000" s="75" t="s">
        <v>55</v>
      </c>
      <c r="B2000" s="75" t="s">
        <v>63</v>
      </c>
      <c r="C2000" s="75">
        <v>22</v>
      </c>
      <c r="D2000" s="75">
        <v>60.000999999999998</v>
      </c>
      <c r="E2000" s="75">
        <v>10</v>
      </c>
      <c r="F2000" s="75" t="s">
        <v>13</v>
      </c>
      <c r="G2000" s="75" t="s">
        <v>12</v>
      </c>
      <c r="H2000" s="75">
        <v>10</v>
      </c>
      <c r="I2000" s="75">
        <v>10.01</v>
      </c>
      <c r="J2000" s="75" t="s">
        <v>10</v>
      </c>
      <c r="K2000" s="75">
        <v>5698.4</v>
      </c>
      <c r="L2000" s="75">
        <v>6.4999000000000002</v>
      </c>
      <c r="M2000" s="75">
        <v>5698.4</v>
      </c>
      <c r="N2000" s="75">
        <v>6.4988999999999999</v>
      </c>
      <c r="O2000" s="90" t="str">
        <f>IF(VLOOKUP(UncLookup[[#This Row],[Item]],Items!$A$1:$F$43,2,FALSE)=0,"",VLOOKUP(UncLookup[[#This Row],[Item]],Items!$A$1:$F$43,2,FALSE))</f>
        <v/>
      </c>
      <c r="P2000" s="90" t="str">
        <f>IF(VLOOKUP(UncLookup[[#This Row],[Item]],Items!$A$1:$F$43,3,FALSE)=0,"",VLOOKUP(UncLookup[[#This Row],[Item]],Items!$A$1:$F$43,3,FALSE))</f>
        <v>20 turn</v>
      </c>
      <c r="Q2000" s="90" t="str">
        <f>IF(VLOOKUP(UncLookup[[#This Row],[Item]],Items!$A$1:$F$43,4,FALSE)=0,"",VLOOKUP(UncLookup[[#This Row],[Item]],Items!$A$1:$F$43,4,FALSE))</f>
        <v/>
      </c>
    </row>
    <row r="2001" spans="1:17" x14ac:dyDescent="0.25">
      <c r="A2001" s="76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90" t="str">
        <f>IF(VLOOKUP(UncLookup[[#This Row],[Item]],Items!$A$1:$F$43,2,FALSE)=0,"",VLOOKUP(UncLookup[[#This Row],[Item]],Items!$A$1:$F$43,2,FALSE))</f>
        <v/>
      </c>
      <c r="P2001" s="90" t="str">
        <f>IF(VLOOKUP(UncLookup[[#This Row],[Item]],Items!$A$1:$F$43,3,FALSE)=0,"",VLOOKUP(UncLookup[[#This Row],[Item]],Items!$A$1:$F$43,3,FALSE))</f>
        <v>20 turn</v>
      </c>
      <c r="Q2001" s="90" t="str">
        <f>IF(VLOOKUP(UncLookup[[#This Row],[Item]],Items!$A$1:$F$43,4,FALSE)=0,"",VLOOKUP(UncLookup[[#This Row],[Item]],Items!$A$1:$F$43,4,FALSE))</f>
        <v/>
      </c>
    </row>
    <row r="2002" spans="1:17" x14ac:dyDescent="0.25">
      <c r="A2002" s="75" t="s">
        <v>55</v>
      </c>
      <c r="B2002" s="75" t="s">
        <v>63</v>
      </c>
      <c r="C2002" s="75">
        <v>60</v>
      </c>
      <c r="D2002" s="75">
        <v>220.01</v>
      </c>
      <c r="E2002" s="75">
        <v>0.01</v>
      </c>
      <c r="F2002" s="75" t="s">
        <v>13</v>
      </c>
      <c r="G2002" s="75" t="s">
        <v>12</v>
      </c>
      <c r="H2002" s="75">
        <v>4.4999999999999998E-2</v>
      </c>
      <c r="I2002" s="75">
        <v>0.10001</v>
      </c>
      <c r="J2002" s="75" t="s">
        <v>10</v>
      </c>
      <c r="K2002" s="75">
        <v>24</v>
      </c>
      <c r="L2002" s="75">
        <v>2.1</v>
      </c>
      <c r="M2002" s="75">
        <v>23.533999999999999</v>
      </c>
      <c r="N2002" s="75">
        <v>2.0874999999999999</v>
      </c>
      <c r="O2002" s="90" t="str">
        <f>IF(VLOOKUP(UncLookup[[#This Row],[Item]],Items!$A$1:$F$43,2,FALSE)=0,"",VLOOKUP(UncLookup[[#This Row],[Item]],Items!$A$1:$F$43,2,FALSE))</f>
        <v/>
      </c>
      <c r="P2002" s="90" t="str">
        <f>IF(VLOOKUP(UncLookup[[#This Row],[Item]],Items!$A$1:$F$43,3,FALSE)=0,"",VLOOKUP(UncLookup[[#This Row],[Item]],Items!$A$1:$F$43,3,FALSE))</f>
        <v>20 turn</v>
      </c>
      <c r="Q2002" s="90" t="str">
        <f>IF(VLOOKUP(UncLookup[[#This Row],[Item]],Items!$A$1:$F$43,4,FALSE)=0,"",VLOOKUP(UncLookup[[#This Row],[Item]],Items!$A$1:$F$43,4,FALSE))</f>
        <v/>
      </c>
    </row>
    <row r="2003" spans="1:17" x14ac:dyDescent="0.25">
      <c r="A2003" s="76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90" t="str">
        <f>IF(VLOOKUP(UncLookup[[#This Row],[Item]],Items!$A$1:$F$43,2,FALSE)=0,"",VLOOKUP(UncLookup[[#This Row],[Item]],Items!$A$1:$F$43,2,FALSE))</f>
        <v/>
      </c>
      <c r="P2003" s="90" t="str">
        <f>IF(VLOOKUP(UncLookup[[#This Row],[Item]],Items!$A$1:$F$43,3,FALSE)=0,"",VLOOKUP(UncLookup[[#This Row],[Item]],Items!$A$1:$F$43,3,FALSE))</f>
        <v>20 turn</v>
      </c>
      <c r="Q2003" s="90" t="str">
        <f>IF(VLOOKUP(UncLookup[[#This Row],[Item]],Items!$A$1:$F$43,4,FALSE)=0,"",VLOOKUP(UncLookup[[#This Row],[Item]],Items!$A$1:$F$43,4,FALSE))</f>
        <v/>
      </c>
    </row>
    <row r="2004" spans="1:17" x14ac:dyDescent="0.25">
      <c r="A2004" s="75" t="s">
        <v>55</v>
      </c>
      <c r="B2004" s="75" t="s">
        <v>63</v>
      </c>
      <c r="C2004" s="75">
        <v>60</v>
      </c>
      <c r="D2004" s="75">
        <v>220.01</v>
      </c>
      <c r="E2004" s="75">
        <v>0.01</v>
      </c>
      <c r="F2004" s="75" t="s">
        <v>13</v>
      </c>
      <c r="G2004" s="75" t="s">
        <v>12</v>
      </c>
      <c r="H2004" s="75">
        <v>0.1</v>
      </c>
      <c r="I2004" s="75">
        <v>1.0000100000000001</v>
      </c>
      <c r="J2004" s="75" t="s">
        <v>10</v>
      </c>
      <c r="K2004" s="75">
        <v>30</v>
      </c>
      <c r="L2004" s="75">
        <v>2.2999999999999998</v>
      </c>
      <c r="M2004" s="75">
        <v>29.364000000000001</v>
      </c>
      <c r="N2004" s="75">
        <v>2.2879</v>
      </c>
      <c r="O2004" s="90" t="str">
        <f>IF(VLOOKUP(UncLookup[[#This Row],[Item]],Items!$A$1:$F$43,2,FALSE)=0,"",VLOOKUP(UncLookup[[#This Row],[Item]],Items!$A$1:$F$43,2,FALSE))</f>
        <v/>
      </c>
      <c r="P2004" s="90" t="str">
        <f>IF(VLOOKUP(UncLookup[[#This Row],[Item]],Items!$A$1:$F$43,3,FALSE)=0,"",VLOOKUP(UncLookup[[#This Row],[Item]],Items!$A$1:$F$43,3,FALSE))</f>
        <v>20 turn</v>
      </c>
      <c r="Q2004" s="90" t="str">
        <f>IF(VLOOKUP(UncLookup[[#This Row],[Item]],Items!$A$1:$F$43,4,FALSE)=0,"",VLOOKUP(UncLookup[[#This Row],[Item]],Items!$A$1:$F$43,4,FALSE))</f>
        <v/>
      </c>
    </row>
    <row r="2005" spans="1:17" x14ac:dyDescent="0.25">
      <c r="A2005" s="76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90" t="str">
        <f>IF(VLOOKUP(UncLookup[[#This Row],[Item]],Items!$A$1:$F$43,2,FALSE)=0,"",VLOOKUP(UncLookup[[#This Row],[Item]],Items!$A$1:$F$43,2,FALSE))</f>
        <v/>
      </c>
      <c r="P2005" s="90" t="str">
        <f>IF(VLOOKUP(UncLookup[[#This Row],[Item]],Items!$A$1:$F$43,3,FALSE)=0,"",VLOOKUP(UncLookup[[#This Row],[Item]],Items!$A$1:$F$43,3,FALSE))</f>
        <v>20 turn</v>
      </c>
      <c r="Q2005" s="90" t="str">
        <f>IF(VLOOKUP(UncLookup[[#This Row],[Item]],Items!$A$1:$F$43,4,FALSE)=0,"",VLOOKUP(UncLookup[[#This Row],[Item]],Items!$A$1:$F$43,4,FALSE))</f>
        <v/>
      </c>
    </row>
    <row r="2006" spans="1:17" x14ac:dyDescent="0.25">
      <c r="A2006" s="75" t="s">
        <v>55</v>
      </c>
      <c r="B2006" s="75" t="s">
        <v>63</v>
      </c>
      <c r="C2006" s="75">
        <v>60</v>
      </c>
      <c r="D2006" s="75">
        <v>220.01</v>
      </c>
      <c r="E2006" s="75">
        <v>0.1</v>
      </c>
      <c r="F2006" s="75" t="s">
        <v>13</v>
      </c>
      <c r="G2006" s="75" t="s">
        <v>12</v>
      </c>
      <c r="H2006" s="75">
        <v>0.1</v>
      </c>
      <c r="I2006" s="75">
        <v>1.0000100000000001</v>
      </c>
      <c r="J2006" s="75" t="s">
        <v>10</v>
      </c>
      <c r="K2006" s="75">
        <v>41.543999999999997</v>
      </c>
      <c r="L2006" s="75">
        <v>2.2475000000000001</v>
      </c>
      <c r="M2006" s="75">
        <v>41.546999999999997</v>
      </c>
      <c r="N2006" s="75">
        <v>2.2467000000000001</v>
      </c>
      <c r="O2006" s="90" t="str">
        <f>IF(VLOOKUP(UncLookup[[#This Row],[Item]],Items!$A$1:$F$43,2,FALSE)=0,"",VLOOKUP(UncLookup[[#This Row],[Item]],Items!$A$1:$F$43,2,FALSE))</f>
        <v/>
      </c>
      <c r="P2006" s="90" t="str">
        <f>IF(VLOOKUP(UncLookup[[#This Row],[Item]],Items!$A$1:$F$43,3,FALSE)=0,"",VLOOKUP(UncLookup[[#This Row],[Item]],Items!$A$1:$F$43,3,FALSE))</f>
        <v>20 turn</v>
      </c>
      <c r="Q2006" s="90" t="str">
        <f>IF(VLOOKUP(UncLookup[[#This Row],[Item]],Items!$A$1:$F$43,4,FALSE)=0,"",VLOOKUP(UncLookup[[#This Row],[Item]],Items!$A$1:$F$43,4,FALSE))</f>
        <v/>
      </c>
    </row>
    <row r="2007" spans="1:17" x14ac:dyDescent="0.25">
      <c r="A2007" s="76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90" t="str">
        <f>IF(VLOOKUP(UncLookup[[#This Row],[Item]],Items!$A$1:$F$43,2,FALSE)=0,"",VLOOKUP(UncLookup[[#This Row],[Item]],Items!$A$1:$F$43,2,FALSE))</f>
        <v/>
      </c>
      <c r="P2007" s="90" t="str">
        <f>IF(VLOOKUP(UncLookup[[#This Row],[Item]],Items!$A$1:$F$43,3,FALSE)=0,"",VLOOKUP(UncLookup[[#This Row],[Item]],Items!$A$1:$F$43,3,FALSE))</f>
        <v>20 turn</v>
      </c>
      <c r="Q2007" s="90" t="str">
        <f>IF(VLOOKUP(UncLookup[[#This Row],[Item]],Items!$A$1:$F$43,4,FALSE)=0,"",VLOOKUP(UncLookup[[#This Row],[Item]],Items!$A$1:$F$43,4,FALSE))</f>
        <v/>
      </c>
    </row>
    <row r="2008" spans="1:17" x14ac:dyDescent="0.25">
      <c r="A2008" s="75" t="s">
        <v>55</v>
      </c>
      <c r="B2008" s="75" t="s">
        <v>63</v>
      </c>
      <c r="C2008" s="75">
        <v>60</v>
      </c>
      <c r="D2008" s="75">
        <v>220.01</v>
      </c>
      <c r="E2008" s="75">
        <v>0.1</v>
      </c>
      <c r="F2008" s="75" t="s">
        <v>13</v>
      </c>
      <c r="G2008" s="75" t="s">
        <v>12</v>
      </c>
      <c r="H2008" s="75">
        <v>5</v>
      </c>
      <c r="I2008" s="75">
        <v>5.01</v>
      </c>
      <c r="J2008" s="75" t="s">
        <v>10</v>
      </c>
      <c r="K2008" s="75">
        <v>47</v>
      </c>
      <c r="L2008" s="75">
        <v>35</v>
      </c>
      <c r="M2008" s="75">
        <v>47.146000000000001</v>
      </c>
      <c r="N2008" s="75">
        <v>34.695</v>
      </c>
      <c r="O2008" s="90" t="str">
        <f>IF(VLOOKUP(UncLookup[[#This Row],[Item]],Items!$A$1:$F$43,2,FALSE)=0,"",VLOOKUP(UncLookup[[#This Row],[Item]],Items!$A$1:$F$43,2,FALSE))</f>
        <v/>
      </c>
      <c r="P2008" s="90" t="str">
        <f>IF(VLOOKUP(UncLookup[[#This Row],[Item]],Items!$A$1:$F$43,3,FALSE)=0,"",VLOOKUP(UncLookup[[#This Row],[Item]],Items!$A$1:$F$43,3,FALSE))</f>
        <v>20 turn</v>
      </c>
      <c r="Q2008" s="90" t="str">
        <f>IF(VLOOKUP(UncLookup[[#This Row],[Item]],Items!$A$1:$F$43,4,FALSE)=0,"",VLOOKUP(UncLookup[[#This Row],[Item]],Items!$A$1:$F$43,4,FALSE))</f>
        <v/>
      </c>
    </row>
    <row r="2009" spans="1:17" x14ac:dyDescent="0.25">
      <c r="A2009" s="76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90" t="str">
        <f>IF(VLOOKUP(UncLookup[[#This Row],[Item]],Items!$A$1:$F$43,2,FALSE)=0,"",VLOOKUP(UncLookup[[#This Row],[Item]],Items!$A$1:$F$43,2,FALSE))</f>
        <v/>
      </c>
      <c r="P2009" s="90" t="str">
        <f>IF(VLOOKUP(UncLookup[[#This Row],[Item]],Items!$A$1:$F$43,3,FALSE)=0,"",VLOOKUP(UncLookup[[#This Row],[Item]],Items!$A$1:$F$43,3,FALSE))</f>
        <v>20 turn</v>
      </c>
      <c r="Q2009" s="90" t="str">
        <f>IF(VLOOKUP(UncLookup[[#This Row],[Item]],Items!$A$1:$F$43,4,FALSE)=0,"",VLOOKUP(UncLookup[[#This Row],[Item]],Items!$A$1:$F$43,4,FALSE))</f>
        <v/>
      </c>
    </row>
    <row r="2010" spans="1:17" x14ac:dyDescent="0.25">
      <c r="A2010" s="75" t="s">
        <v>55</v>
      </c>
      <c r="B2010" s="75" t="s">
        <v>63</v>
      </c>
      <c r="C2010" s="75">
        <v>60</v>
      </c>
      <c r="D2010" s="75">
        <v>220.01</v>
      </c>
      <c r="E2010" s="75">
        <v>1</v>
      </c>
      <c r="F2010" s="75" t="s">
        <v>13</v>
      </c>
      <c r="G2010" s="75" t="s">
        <v>12</v>
      </c>
      <c r="H2010" s="75">
        <v>1</v>
      </c>
      <c r="I2010" s="75">
        <v>5</v>
      </c>
      <c r="J2010" s="75" t="s">
        <v>10</v>
      </c>
      <c r="K2010" s="75">
        <v>127.73</v>
      </c>
      <c r="L2010" s="75">
        <v>34.633000000000003</v>
      </c>
      <c r="M2010" s="75">
        <v>144.69999999999999</v>
      </c>
      <c r="N2010" s="75">
        <v>34.35</v>
      </c>
      <c r="O2010" s="90" t="str">
        <f>IF(VLOOKUP(UncLookup[[#This Row],[Item]],Items!$A$1:$F$43,2,FALSE)=0,"",VLOOKUP(UncLookup[[#This Row],[Item]],Items!$A$1:$F$43,2,FALSE))</f>
        <v/>
      </c>
      <c r="P2010" s="90" t="str">
        <f>IF(VLOOKUP(UncLookup[[#This Row],[Item]],Items!$A$1:$F$43,3,FALSE)=0,"",VLOOKUP(UncLookup[[#This Row],[Item]],Items!$A$1:$F$43,3,FALSE))</f>
        <v>20 turn</v>
      </c>
      <c r="Q2010" s="90" t="str">
        <f>IF(VLOOKUP(UncLookup[[#This Row],[Item]],Items!$A$1:$F$43,4,FALSE)=0,"",VLOOKUP(UncLookup[[#This Row],[Item]],Items!$A$1:$F$43,4,FALSE))</f>
        <v/>
      </c>
    </row>
    <row r="2011" spans="1:17" x14ac:dyDescent="0.25">
      <c r="A2011" s="76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90" t="str">
        <f>IF(VLOOKUP(UncLookup[[#This Row],[Item]],Items!$A$1:$F$43,2,FALSE)=0,"",VLOOKUP(UncLookup[[#This Row],[Item]],Items!$A$1:$F$43,2,FALSE))</f>
        <v/>
      </c>
      <c r="P2011" s="90" t="str">
        <f>IF(VLOOKUP(UncLookup[[#This Row],[Item]],Items!$A$1:$F$43,3,FALSE)=0,"",VLOOKUP(UncLookup[[#This Row],[Item]],Items!$A$1:$F$43,3,FALSE))</f>
        <v>20 turn</v>
      </c>
      <c r="Q2011" s="90" t="str">
        <f>IF(VLOOKUP(UncLookup[[#This Row],[Item]],Items!$A$1:$F$43,4,FALSE)=0,"",VLOOKUP(UncLookup[[#This Row],[Item]],Items!$A$1:$F$43,4,FALSE))</f>
        <v/>
      </c>
    </row>
    <row r="2012" spans="1:17" x14ac:dyDescent="0.25">
      <c r="A2012" s="75" t="s">
        <v>55</v>
      </c>
      <c r="B2012" s="75" t="s">
        <v>63</v>
      </c>
      <c r="C2012" s="75">
        <v>60</v>
      </c>
      <c r="D2012" s="75">
        <v>220.01</v>
      </c>
      <c r="E2012" s="75">
        <v>1</v>
      </c>
      <c r="F2012" s="75" t="s">
        <v>13</v>
      </c>
      <c r="G2012" s="75" t="s">
        <v>12</v>
      </c>
      <c r="H2012" s="75">
        <v>4.4999999999999998E-2</v>
      </c>
      <c r="I2012" s="75">
        <v>0.10001</v>
      </c>
      <c r="J2012" s="75" t="s">
        <v>10</v>
      </c>
      <c r="K2012" s="75">
        <v>540.32000000000005</v>
      </c>
      <c r="L2012" s="75">
        <v>0.97470999999999997</v>
      </c>
      <c r="M2012" s="75">
        <v>540.29999999999995</v>
      </c>
      <c r="N2012" s="75">
        <v>0.97416999999999998</v>
      </c>
      <c r="O2012" s="90" t="str">
        <f>IF(VLOOKUP(UncLookup[[#This Row],[Item]],Items!$A$1:$F$43,2,FALSE)=0,"",VLOOKUP(UncLookup[[#This Row],[Item]],Items!$A$1:$F$43,2,FALSE))</f>
        <v/>
      </c>
      <c r="P2012" s="90" t="str">
        <f>IF(VLOOKUP(UncLookup[[#This Row],[Item]],Items!$A$1:$F$43,3,FALSE)=0,"",VLOOKUP(UncLookup[[#This Row],[Item]],Items!$A$1:$F$43,3,FALSE))</f>
        <v>20 turn</v>
      </c>
      <c r="Q2012" s="90" t="str">
        <f>IF(VLOOKUP(UncLookup[[#This Row],[Item]],Items!$A$1:$F$43,4,FALSE)=0,"",VLOOKUP(UncLookup[[#This Row],[Item]],Items!$A$1:$F$43,4,FALSE))</f>
        <v/>
      </c>
    </row>
    <row r="2013" spans="1:17" x14ac:dyDescent="0.25">
      <c r="A2013" s="76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90" t="str">
        <f>IF(VLOOKUP(UncLookup[[#This Row],[Item]],Items!$A$1:$F$43,2,FALSE)=0,"",VLOOKUP(UncLookup[[#This Row],[Item]],Items!$A$1:$F$43,2,FALSE))</f>
        <v/>
      </c>
      <c r="P2013" s="90" t="str">
        <f>IF(VLOOKUP(UncLookup[[#This Row],[Item]],Items!$A$1:$F$43,3,FALSE)=0,"",VLOOKUP(UncLookup[[#This Row],[Item]],Items!$A$1:$F$43,3,FALSE))</f>
        <v>20 turn</v>
      </c>
      <c r="Q2013" s="90" t="str">
        <f>IF(VLOOKUP(UncLookup[[#This Row],[Item]],Items!$A$1:$F$43,4,FALSE)=0,"",VLOOKUP(UncLookup[[#This Row],[Item]],Items!$A$1:$F$43,4,FALSE))</f>
        <v/>
      </c>
    </row>
    <row r="2014" spans="1:17" x14ac:dyDescent="0.25">
      <c r="A2014" s="75" t="s">
        <v>55</v>
      </c>
      <c r="B2014" s="75" t="s">
        <v>63</v>
      </c>
      <c r="C2014" s="75">
        <v>60</v>
      </c>
      <c r="D2014" s="75">
        <v>220.01</v>
      </c>
      <c r="E2014" s="75">
        <v>10</v>
      </c>
      <c r="F2014" s="75" t="s">
        <v>13</v>
      </c>
      <c r="G2014" s="75" t="s">
        <v>12</v>
      </c>
      <c r="H2014" s="75">
        <v>0.1</v>
      </c>
      <c r="I2014" s="75">
        <v>1.0000100000000001</v>
      </c>
      <c r="J2014" s="75" t="s">
        <v>10</v>
      </c>
      <c r="K2014" s="75">
        <v>5794.1</v>
      </c>
      <c r="L2014" s="75">
        <v>0.13793</v>
      </c>
      <c r="M2014" s="75">
        <v>5794.1</v>
      </c>
      <c r="N2014" s="75">
        <v>0.13761000000000001</v>
      </c>
      <c r="O2014" s="90" t="str">
        <f>IF(VLOOKUP(UncLookup[[#This Row],[Item]],Items!$A$1:$F$43,2,FALSE)=0,"",VLOOKUP(UncLookup[[#This Row],[Item]],Items!$A$1:$F$43,2,FALSE))</f>
        <v/>
      </c>
      <c r="P2014" s="90" t="str">
        <f>IF(VLOOKUP(UncLookup[[#This Row],[Item]],Items!$A$1:$F$43,3,FALSE)=0,"",VLOOKUP(UncLookup[[#This Row],[Item]],Items!$A$1:$F$43,3,FALSE))</f>
        <v>20 turn</v>
      </c>
      <c r="Q2014" s="90" t="str">
        <f>IF(VLOOKUP(UncLookup[[#This Row],[Item]],Items!$A$1:$F$43,4,FALSE)=0,"",VLOOKUP(UncLookup[[#This Row],[Item]],Items!$A$1:$F$43,4,FALSE))</f>
        <v/>
      </c>
    </row>
    <row r="2015" spans="1:17" x14ac:dyDescent="0.25">
      <c r="A2015" s="76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90" t="str">
        <f>IF(VLOOKUP(UncLookup[[#This Row],[Item]],Items!$A$1:$F$43,2,FALSE)=0,"",VLOOKUP(UncLookup[[#This Row],[Item]],Items!$A$1:$F$43,2,FALSE))</f>
        <v/>
      </c>
      <c r="P2015" s="90" t="str">
        <f>IF(VLOOKUP(UncLookup[[#This Row],[Item]],Items!$A$1:$F$43,3,FALSE)=0,"",VLOOKUP(UncLookup[[#This Row],[Item]],Items!$A$1:$F$43,3,FALSE))</f>
        <v>20 turn</v>
      </c>
      <c r="Q2015" s="90" t="str">
        <f>IF(VLOOKUP(UncLookup[[#This Row],[Item]],Items!$A$1:$F$43,4,FALSE)=0,"",VLOOKUP(UncLookup[[#This Row],[Item]],Items!$A$1:$F$43,4,FALSE))</f>
        <v/>
      </c>
    </row>
    <row r="2016" spans="1:17" x14ac:dyDescent="0.25">
      <c r="A2016" s="75" t="s">
        <v>55</v>
      </c>
      <c r="B2016" s="75" t="s">
        <v>63</v>
      </c>
      <c r="C2016" s="75">
        <v>60</v>
      </c>
      <c r="D2016" s="75">
        <v>220.01</v>
      </c>
      <c r="E2016" s="75">
        <v>10</v>
      </c>
      <c r="F2016" s="75" t="s">
        <v>13</v>
      </c>
      <c r="G2016" s="75" t="s">
        <v>12</v>
      </c>
      <c r="H2016" s="75">
        <v>5</v>
      </c>
      <c r="I2016" s="75">
        <v>5.01</v>
      </c>
      <c r="J2016" s="75" t="s">
        <v>10</v>
      </c>
      <c r="K2016" s="75">
        <v>4885.8999999999996</v>
      </c>
      <c r="L2016" s="75">
        <v>21.536999999999999</v>
      </c>
      <c r="M2016" s="75">
        <v>4885.8999999999996</v>
      </c>
      <c r="N2016" s="75">
        <v>21.536999999999999</v>
      </c>
      <c r="O2016" s="90" t="str">
        <f>IF(VLOOKUP(UncLookup[[#This Row],[Item]],Items!$A$1:$F$43,2,FALSE)=0,"",VLOOKUP(UncLookup[[#This Row],[Item]],Items!$A$1:$F$43,2,FALSE))</f>
        <v/>
      </c>
      <c r="P2016" s="90" t="str">
        <f>IF(VLOOKUP(UncLookup[[#This Row],[Item]],Items!$A$1:$F$43,3,FALSE)=0,"",VLOOKUP(UncLookup[[#This Row],[Item]],Items!$A$1:$F$43,3,FALSE))</f>
        <v>20 turn</v>
      </c>
      <c r="Q2016" s="90" t="str">
        <f>IF(VLOOKUP(UncLookup[[#This Row],[Item]],Items!$A$1:$F$43,4,FALSE)=0,"",VLOOKUP(UncLookup[[#This Row],[Item]],Items!$A$1:$F$43,4,FALSE))</f>
        <v/>
      </c>
    </row>
    <row r="2017" spans="1:17" x14ac:dyDescent="0.25">
      <c r="A2017" s="76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90" t="str">
        <f>IF(VLOOKUP(UncLookup[[#This Row],[Item]],Items!$A$1:$F$43,2,FALSE)=0,"",VLOOKUP(UncLookup[[#This Row],[Item]],Items!$A$1:$F$43,2,FALSE))</f>
        <v/>
      </c>
      <c r="P2017" s="90" t="str">
        <f>IF(VLOOKUP(UncLookup[[#This Row],[Item]],Items!$A$1:$F$43,3,FALSE)=0,"",VLOOKUP(UncLookup[[#This Row],[Item]],Items!$A$1:$F$43,3,FALSE))</f>
        <v>20 turn</v>
      </c>
      <c r="Q2017" s="90" t="str">
        <f>IF(VLOOKUP(UncLookup[[#This Row],[Item]],Items!$A$1:$F$43,4,FALSE)=0,"",VLOOKUP(UncLookup[[#This Row],[Item]],Items!$A$1:$F$43,4,FALSE))</f>
        <v/>
      </c>
    </row>
    <row r="2018" spans="1:17" x14ac:dyDescent="0.25">
      <c r="A2018" s="75" t="s">
        <v>55</v>
      </c>
      <c r="B2018" s="75" t="s">
        <v>63</v>
      </c>
      <c r="C2018" s="75">
        <v>60</v>
      </c>
      <c r="D2018" s="75">
        <v>220.01</v>
      </c>
      <c r="E2018" s="75">
        <v>100</v>
      </c>
      <c r="F2018" s="75" t="s">
        <v>13</v>
      </c>
      <c r="G2018" s="75" t="s">
        <v>12</v>
      </c>
      <c r="H2018" s="75">
        <v>5</v>
      </c>
      <c r="I2018" s="75">
        <v>5.01</v>
      </c>
      <c r="J2018" s="75" t="s">
        <v>10</v>
      </c>
      <c r="K2018" s="75">
        <v>57864</v>
      </c>
      <c r="L2018" s="75">
        <v>2.9205000000000001</v>
      </c>
      <c r="M2018" s="75">
        <v>57864</v>
      </c>
      <c r="N2018" s="75">
        <v>2.9201000000000001</v>
      </c>
      <c r="O2018" s="90" t="str">
        <f>IF(VLOOKUP(UncLookup[[#This Row],[Item]],Items!$A$1:$F$43,2,FALSE)=0,"",VLOOKUP(UncLookup[[#This Row],[Item]],Items!$A$1:$F$43,2,FALSE))</f>
        <v/>
      </c>
      <c r="P2018" s="90" t="str">
        <f>IF(VLOOKUP(UncLookup[[#This Row],[Item]],Items!$A$1:$F$43,3,FALSE)=0,"",VLOOKUP(UncLookup[[#This Row],[Item]],Items!$A$1:$F$43,3,FALSE))</f>
        <v>20 turn</v>
      </c>
      <c r="Q2018" s="90" t="str">
        <f>IF(VLOOKUP(UncLookup[[#This Row],[Item]],Items!$A$1:$F$43,4,FALSE)=0,"",VLOOKUP(UncLookup[[#This Row],[Item]],Items!$A$1:$F$43,4,FALSE))</f>
        <v/>
      </c>
    </row>
    <row r="2019" spans="1:17" x14ac:dyDescent="0.25">
      <c r="A2019" s="76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90" t="str">
        <f>IF(VLOOKUP(UncLookup[[#This Row],[Item]],Items!$A$1:$F$43,2,FALSE)=0,"",VLOOKUP(UncLookup[[#This Row],[Item]],Items!$A$1:$F$43,2,FALSE))</f>
        <v/>
      </c>
      <c r="P2019" s="90" t="str">
        <f>IF(VLOOKUP(UncLookup[[#This Row],[Item]],Items!$A$1:$F$43,3,FALSE)=0,"",VLOOKUP(UncLookup[[#This Row],[Item]],Items!$A$1:$F$43,3,FALSE))</f>
        <v>20 turn</v>
      </c>
      <c r="Q2019" s="90" t="str">
        <f>IF(VLOOKUP(UncLookup[[#This Row],[Item]],Items!$A$1:$F$43,4,FALSE)=0,"",VLOOKUP(UncLookup[[#This Row],[Item]],Items!$A$1:$F$43,4,FALSE))</f>
        <v/>
      </c>
    </row>
    <row r="2020" spans="1:17" x14ac:dyDescent="0.25">
      <c r="A2020" s="75" t="s">
        <v>55</v>
      </c>
      <c r="B2020" s="75" t="s">
        <v>63</v>
      </c>
      <c r="C2020" s="75">
        <v>60</v>
      </c>
      <c r="D2020" s="75">
        <v>220.01</v>
      </c>
      <c r="E2020" s="75">
        <v>100</v>
      </c>
      <c r="F2020" s="75" t="s">
        <v>13</v>
      </c>
      <c r="G2020" s="75" t="s">
        <v>12</v>
      </c>
      <c r="H2020" s="75">
        <v>1</v>
      </c>
      <c r="I2020" s="75">
        <v>5</v>
      </c>
      <c r="J2020" s="75" t="s">
        <v>10</v>
      </c>
      <c r="K2020" s="75">
        <v>57864</v>
      </c>
      <c r="L2020" s="75">
        <v>2.9205000000000001</v>
      </c>
      <c r="M2020" s="75">
        <v>57864</v>
      </c>
      <c r="N2020" s="75">
        <v>2.9201000000000001</v>
      </c>
      <c r="O2020" s="90" t="str">
        <f>IF(VLOOKUP(UncLookup[[#This Row],[Item]],Items!$A$1:$F$43,2,FALSE)=0,"",VLOOKUP(UncLookup[[#This Row],[Item]],Items!$A$1:$F$43,2,FALSE))</f>
        <v/>
      </c>
      <c r="P2020" s="90" t="str">
        <f>IF(VLOOKUP(UncLookup[[#This Row],[Item]],Items!$A$1:$F$43,3,FALSE)=0,"",VLOOKUP(UncLookup[[#This Row],[Item]],Items!$A$1:$F$43,3,FALSE))</f>
        <v>20 turn</v>
      </c>
      <c r="Q2020" s="90" t="str">
        <f>IF(VLOOKUP(UncLookup[[#This Row],[Item]],Items!$A$1:$F$43,4,FALSE)=0,"",VLOOKUP(UncLookup[[#This Row],[Item]],Items!$A$1:$F$43,4,FALSE))</f>
        <v/>
      </c>
    </row>
    <row r="2021" spans="1:17" x14ac:dyDescent="0.25">
      <c r="A2021" s="76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90" t="str">
        <f>IF(VLOOKUP(UncLookup[[#This Row],[Item]],Items!$A$1:$F$43,2,FALSE)=0,"",VLOOKUP(UncLookup[[#This Row],[Item]],Items!$A$1:$F$43,2,FALSE))</f>
        <v/>
      </c>
      <c r="P2021" s="90" t="str">
        <f>IF(VLOOKUP(UncLookup[[#This Row],[Item]],Items!$A$1:$F$43,3,FALSE)=0,"",VLOOKUP(UncLookup[[#This Row],[Item]],Items!$A$1:$F$43,3,FALSE))</f>
        <v>20 turn</v>
      </c>
      <c r="Q2021" s="90" t="str">
        <f>IF(VLOOKUP(UncLookup[[#This Row],[Item]],Items!$A$1:$F$43,4,FALSE)=0,"",VLOOKUP(UncLookup[[#This Row],[Item]],Items!$A$1:$F$43,4,FALSE))</f>
        <v/>
      </c>
    </row>
    <row r="2022" spans="1:17" x14ac:dyDescent="0.25">
      <c r="A2022" s="75" t="s">
        <v>55</v>
      </c>
      <c r="B2022" s="75" t="s">
        <v>63</v>
      </c>
      <c r="C2022" s="75">
        <v>220</v>
      </c>
      <c r="D2022" s="75">
        <v>410.01</v>
      </c>
      <c r="E2022" s="75">
        <v>0.01</v>
      </c>
      <c r="F2022" s="75" t="s">
        <v>13</v>
      </c>
      <c r="G2022" s="75" t="s">
        <v>12</v>
      </c>
      <c r="H2022" s="75">
        <v>0.1</v>
      </c>
      <c r="I2022" s="75">
        <v>1.0000100000000001</v>
      </c>
      <c r="J2022" s="75" t="s">
        <v>10</v>
      </c>
      <c r="K2022" s="75">
        <v>98</v>
      </c>
      <c r="L2022" s="75">
        <v>2.6</v>
      </c>
      <c r="M2022" s="75">
        <v>84.28</v>
      </c>
      <c r="N2022" s="75">
        <v>2.6326000000000001</v>
      </c>
      <c r="O2022" s="90" t="str">
        <f>IF(VLOOKUP(UncLookup[[#This Row],[Item]],Items!$A$1:$F$43,2,FALSE)=0,"",VLOOKUP(UncLookup[[#This Row],[Item]],Items!$A$1:$F$43,2,FALSE))</f>
        <v/>
      </c>
      <c r="P2022" s="90" t="str">
        <f>IF(VLOOKUP(UncLookup[[#This Row],[Item]],Items!$A$1:$F$43,3,FALSE)=0,"",VLOOKUP(UncLookup[[#This Row],[Item]],Items!$A$1:$F$43,3,FALSE))</f>
        <v>20 turn</v>
      </c>
      <c r="Q2022" s="90" t="str">
        <f>IF(VLOOKUP(UncLookup[[#This Row],[Item]],Items!$A$1:$F$43,4,FALSE)=0,"",VLOOKUP(UncLookup[[#This Row],[Item]],Items!$A$1:$F$43,4,FALSE))</f>
        <v/>
      </c>
    </row>
    <row r="2023" spans="1:17" x14ac:dyDescent="0.25">
      <c r="A2023" s="76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90" t="str">
        <f>IF(VLOOKUP(UncLookup[[#This Row],[Item]],Items!$A$1:$F$43,2,FALSE)=0,"",VLOOKUP(UncLookup[[#This Row],[Item]],Items!$A$1:$F$43,2,FALSE))</f>
        <v/>
      </c>
      <c r="P2023" s="90" t="str">
        <f>IF(VLOOKUP(UncLookup[[#This Row],[Item]],Items!$A$1:$F$43,3,FALSE)=0,"",VLOOKUP(UncLookup[[#This Row],[Item]],Items!$A$1:$F$43,3,FALSE))</f>
        <v>20 turn</v>
      </c>
      <c r="Q2023" s="90" t="str">
        <f>IF(VLOOKUP(UncLookup[[#This Row],[Item]],Items!$A$1:$F$43,4,FALSE)=0,"",VLOOKUP(UncLookup[[#This Row],[Item]],Items!$A$1:$F$43,4,FALSE))</f>
        <v/>
      </c>
    </row>
    <row r="2024" spans="1:17" x14ac:dyDescent="0.25">
      <c r="A2024" s="75" t="s">
        <v>55</v>
      </c>
      <c r="B2024" s="75" t="s">
        <v>63</v>
      </c>
      <c r="C2024" s="75">
        <v>220</v>
      </c>
      <c r="D2024" s="75">
        <v>410.01</v>
      </c>
      <c r="E2024" s="75">
        <v>0.01</v>
      </c>
      <c r="F2024" s="75" t="s">
        <v>13</v>
      </c>
      <c r="G2024" s="75" t="s">
        <v>12</v>
      </c>
      <c r="H2024" s="75">
        <v>1</v>
      </c>
      <c r="I2024" s="75">
        <v>5</v>
      </c>
      <c r="J2024" s="75" t="s">
        <v>10</v>
      </c>
      <c r="K2024" s="75">
        <v>120</v>
      </c>
      <c r="L2024" s="75">
        <v>35</v>
      </c>
      <c r="M2024" s="75">
        <v>115.22</v>
      </c>
      <c r="N2024" s="75">
        <v>34.698999999999998</v>
      </c>
      <c r="O2024" s="90" t="str">
        <f>IF(VLOOKUP(UncLookup[[#This Row],[Item]],Items!$A$1:$F$43,2,FALSE)=0,"",VLOOKUP(UncLookup[[#This Row],[Item]],Items!$A$1:$F$43,2,FALSE))</f>
        <v/>
      </c>
      <c r="P2024" s="90" t="str">
        <f>IF(VLOOKUP(UncLookup[[#This Row],[Item]],Items!$A$1:$F$43,3,FALSE)=0,"",VLOOKUP(UncLookup[[#This Row],[Item]],Items!$A$1:$F$43,3,FALSE))</f>
        <v>20 turn</v>
      </c>
      <c r="Q2024" s="90" t="str">
        <f>IF(VLOOKUP(UncLookup[[#This Row],[Item]],Items!$A$1:$F$43,4,FALSE)=0,"",VLOOKUP(UncLookup[[#This Row],[Item]],Items!$A$1:$F$43,4,FALSE))</f>
        <v/>
      </c>
    </row>
    <row r="2025" spans="1:17" x14ac:dyDescent="0.25">
      <c r="A2025" s="76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90" t="str">
        <f>IF(VLOOKUP(UncLookup[[#This Row],[Item]],Items!$A$1:$F$43,2,FALSE)=0,"",VLOOKUP(UncLookup[[#This Row],[Item]],Items!$A$1:$F$43,2,FALSE))</f>
        <v/>
      </c>
      <c r="P2025" s="90" t="str">
        <f>IF(VLOOKUP(UncLookup[[#This Row],[Item]],Items!$A$1:$F$43,3,FALSE)=0,"",VLOOKUP(UncLookup[[#This Row],[Item]],Items!$A$1:$F$43,3,FALSE))</f>
        <v>20 turn</v>
      </c>
      <c r="Q2025" s="90" t="str">
        <f>IF(VLOOKUP(UncLookup[[#This Row],[Item]],Items!$A$1:$F$43,4,FALSE)=0,"",VLOOKUP(UncLookup[[#This Row],[Item]],Items!$A$1:$F$43,4,FALSE))</f>
        <v/>
      </c>
    </row>
    <row r="2026" spans="1:17" x14ac:dyDescent="0.25">
      <c r="A2026" s="75" t="s">
        <v>55</v>
      </c>
      <c r="B2026" s="75" t="s">
        <v>63</v>
      </c>
      <c r="C2026" s="75">
        <v>220</v>
      </c>
      <c r="D2026" s="75">
        <v>410.01</v>
      </c>
      <c r="E2026" s="75">
        <v>0.1</v>
      </c>
      <c r="F2026" s="75" t="s">
        <v>13</v>
      </c>
      <c r="G2026" s="75" t="s">
        <v>12</v>
      </c>
      <c r="H2026" s="75">
        <v>5</v>
      </c>
      <c r="I2026" s="75">
        <v>5.01</v>
      </c>
      <c r="J2026" s="75" t="s">
        <v>10</v>
      </c>
      <c r="K2026" s="75">
        <v>120</v>
      </c>
      <c r="L2026" s="75">
        <v>35</v>
      </c>
      <c r="M2026" s="75">
        <v>115.69</v>
      </c>
      <c r="N2026" s="75">
        <v>34.698</v>
      </c>
      <c r="O2026" s="90" t="str">
        <f>IF(VLOOKUP(UncLookup[[#This Row],[Item]],Items!$A$1:$F$43,2,FALSE)=0,"",VLOOKUP(UncLookup[[#This Row],[Item]],Items!$A$1:$F$43,2,FALSE))</f>
        <v/>
      </c>
      <c r="P2026" s="90" t="str">
        <f>IF(VLOOKUP(UncLookup[[#This Row],[Item]],Items!$A$1:$F$43,3,FALSE)=0,"",VLOOKUP(UncLookup[[#This Row],[Item]],Items!$A$1:$F$43,3,FALSE))</f>
        <v>20 turn</v>
      </c>
      <c r="Q2026" s="90" t="str">
        <f>IF(VLOOKUP(UncLookup[[#This Row],[Item]],Items!$A$1:$F$43,4,FALSE)=0,"",VLOOKUP(UncLookup[[#This Row],[Item]],Items!$A$1:$F$43,4,FALSE))</f>
        <v/>
      </c>
    </row>
    <row r="2027" spans="1:17" x14ac:dyDescent="0.25">
      <c r="A2027" s="76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90" t="str">
        <f>IF(VLOOKUP(UncLookup[[#This Row],[Item]],Items!$A$1:$F$43,2,FALSE)=0,"",VLOOKUP(UncLookup[[#This Row],[Item]],Items!$A$1:$F$43,2,FALSE))</f>
        <v/>
      </c>
      <c r="P2027" s="90" t="str">
        <f>IF(VLOOKUP(UncLookup[[#This Row],[Item]],Items!$A$1:$F$43,3,FALSE)=0,"",VLOOKUP(UncLookup[[#This Row],[Item]],Items!$A$1:$F$43,3,FALSE))</f>
        <v>20 turn</v>
      </c>
      <c r="Q2027" s="90" t="str">
        <f>IF(VLOOKUP(UncLookup[[#This Row],[Item]],Items!$A$1:$F$43,4,FALSE)=0,"",VLOOKUP(UncLookup[[#This Row],[Item]],Items!$A$1:$F$43,4,FALSE))</f>
        <v/>
      </c>
    </row>
    <row r="2028" spans="1:17" x14ac:dyDescent="0.25">
      <c r="A2028" s="75" t="s">
        <v>55</v>
      </c>
      <c r="B2028" s="75" t="s">
        <v>63</v>
      </c>
      <c r="C2028" s="75">
        <v>220</v>
      </c>
      <c r="D2028" s="75">
        <v>410.01</v>
      </c>
      <c r="E2028" s="75">
        <v>0.1</v>
      </c>
      <c r="F2028" s="75" t="s">
        <v>13</v>
      </c>
      <c r="G2028" s="75" t="s">
        <v>12</v>
      </c>
      <c r="H2028" s="75">
        <v>1</v>
      </c>
      <c r="I2028" s="75">
        <v>5</v>
      </c>
      <c r="J2028" s="75" t="s">
        <v>10</v>
      </c>
      <c r="K2028" s="75">
        <v>120</v>
      </c>
      <c r="L2028" s="75">
        <v>35</v>
      </c>
      <c r="M2028" s="75">
        <v>115.69</v>
      </c>
      <c r="N2028" s="75">
        <v>34.698</v>
      </c>
      <c r="O2028" s="90" t="str">
        <f>IF(VLOOKUP(UncLookup[[#This Row],[Item]],Items!$A$1:$F$43,2,FALSE)=0,"",VLOOKUP(UncLookup[[#This Row],[Item]],Items!$A$1:$F$43,2,FALSE))</f>
        <v/>
      </c>
      <c r="P2028" s="90" t="str">
        <f>IF(VLOOKUP(UncLookup[[#This Row],[Item]],Items!$A$1:$F$43,3,FALSE)=0,"",VLOOKUP(UncLookup[[#This Row],[Item]],Items!$A$1:$F$43,3,FALSE))</f>
        <v>20 turn</v>
      </c>
      <c r="Q2028" s="90" t="str">
        <f>IF(VLOOKUP(UncLookup[[#This Row],[Item]],Items!$A$1:$F$43,4,FALSE)=0,"",VLOOKUP(UncLookup[[#This Row],[Item]],Items!$A$1:$F$43,4,FALSE))</f>
        <v/>
      </c>
    </row>
    <row r="2029" spans="1:17" x14ac:dyDescent="0.25">
      <c r="A2029" s="76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90" t="str">
        <f>IF(VLOOKUP(UncLookup[[#This Row],[Item]],Items!$A$1:$F$43,2,FALSE)=0,"",VLOOKUP(UncLookup[[#This Row],[Item]],Items!$A$1:$F$43,2,FALSE))</f>
        <v/>
      </c>
      <c r="P2029" s="90" t="str">
        <f>IF(VLOOKUP(UncLookup[[#This Row],[Item]],Items!$A$1:$F$43,3,FALSE)=0,"",VLOOKUP(UncLookup[[#This Row],[Item]],Items!$A$1:$F$43,3,FALSE))</f>
        <v>20 turn</v>
      </c>
      <c r="Q2029" s="90" t="str">
        <f>IF(VLOOKUP(UncLookup[[#This Row],[Item]],Items!$A$1:$F$43,4,FALSE)=0,"",VLOOKUP(UncLookup[[#This Row],[Item]],Items!$A$1:$F$43,4,FALSE))</f>
        <v/>
      </c>
    </row>
    <row r="2030" spans="1:17" x14ac:dyDescent="0.25">
      <c r="A2030" s="75" t="s">
        <v>55</v>
      </c>
      <c r="B2030" s="75" t="s">
        <v>63</v>
      </c>
      <c r="C2030" s="75">
        <v>220</v>
      </c>
      <c r="D2030" s="75">
        <v>410.01</v>
      </c>
      <c r="E2030" s="75">
        <v>1</v>
      </c>
      <c r="F2030" s="75" t="s">
        <v>13</v>
      </c>
      <c r="G2030" s="75" t="s">
        <v>12</v>
      </c>
      <c r="H2030" s="75">
        <v>4.4999999999999998E-2</v>
      </c>
      <c r="I2030" s="75">
        <v>0.10001</v>
      </c>
      <c r="J2030" s="75" t="s">
        <v>10</v>
      </c>
      <c r="K2030" s="75">
        <v>407.38</v>
      </c>
      <c r="L2030" s="75">
        <v>1.9712000000000001</v>
      </c>
      <c r="M2030" s="75">
        <v>407.21</v>
      </c>
      <c r="N2030" s="75">
        <v>1.9701</v>
      </c>
      <c r="O2030" s="90" t="str">
        <f>IF(VLOOKUP(UncLookup[[#This Row],[Item]],Items!$A$1:$F$43,2,FALSE)=0,"",VLOOKUP(UncLookup[[#This Row],[Item]],Items!$A$1:$F$43,2,FALSE))</f>
        <v/>
      </c>
      <c r="P2030" s="90" t="str">
        <f>IF(VLOOKUP(UncLookup[[#This Row],[Item]],Items!$A$1:$F$43,3,FALSE)=0,"",VLOOKUP(UncLookup[[#This Row],[Item]],Items!$A$1:$F$43,3,FALSE))</f>
        <v>20 turn</v>
      </c>
      <c r="Q2030" s="90" t="str">
        <f>IF(VLOOKUP(UncLookup[[#This Row],[Item]],Items!$A$1:$F$43,4,FALSE)=0,"",VLOOKUP(UncLookup[[#This Row],[Item]],Items!$A$1:$F$43,4,FALSE))</f>
        <v/>
      </c>
    </row>
    <row r="2031" spans="1:17" x14ac:dyDescent="0.25">
      <c r="A2031" s="76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90" t="str">
        <f>IF(VLOOKUP(UncLookup[[#This Row],[Item]],Items!$A$1:$F$43,2,FALSE)=0,"",VLOOKUP(UncLookup[[#This Row],[Item]],Items!$A$1:$F$43,2,FALSE))</f>
        <v/>
      </c>
      <c r="P2031" s="90" t="str">
        <f>IF(VLOOKUP(UncLookup[[#This Row],[Item]],Items!$A$1:$F$43,3,FALSE)=0,"",VLOOKUP(UncLookup[[#This Row],[Item]],Items!$A$1:$F$43,3,FALSE))</f>
        <v>20 turn</v>
      </c>
      <c r="Q2031" s="90" t="str">
        <f>IF(VLOOKUP(UncLookup[[#This Row],[Item]],Items!$A$1:$F$43,4,FALSE)=0,"",VLOOKUP(UncLookup[[#This Row],[Item]],Items!$A$1:$F$43,4,FALSE))</f>
        <v/>
      </c>
    </row>
    <row r="2032" spans="1:17" x14ac:dyDescent="0.25">
      <c r="A2032" s="75" t="s">
        <v>55</v>
      </c>
      <c r="B2032" s="75" t="s">
        <v>63</v>
      </c>
      <c r="C2032" s="75">
        <v>220</v>
      </c>
      <c r="D2032" s="75">
        <v>410.01</v>
      </c>
      <c r="E2032" s="75">
        <v>1</v>
      </c>
      <c r="F2032" s="75" t="s">
        <v>13</v>
      </c>
      <c r="G2032" s="75" t="s">
        <v>12</v>
      </c>
      <c r="H2032" s="75">
        <v>1</v>
      </c>
      <c r="I2032" s="75">
        <v>5</v>
      </c>
      <c r="J2032" s="75" t="s">
        <v>10</v>
      </c>
      <c r="K2032" s="75">
        <v>120</v>
      </c>
      <c r="L2032" s="75">
        <v>35</v>
      </c>
      <c r="M2032" s="75">
        <v>148.62</v>
      </c>
      <c r="N2032" s="75">
        <v>34.646000000000001</v>
      </c>
      <c r="O2032" s="90" t="str">
        <f>IF(VLOOKUP(UncLookup[[#This Row],[Item]],Items!$A$1:$F$43,2,FALSE)=0,"",VLOOKUP(UncLookup[[#This Row],[Item]],Items!$A$1:$F$43,2,FALSE))</f>
        <v/>
      </c>
      <c r="P2032" s="90" t="str">
        <f>IF(VLOOKUP(UncLookup[[#This Row],[Item]],Items!$A$1:$F$43,3,FALSE)=0,"",VLOOKUP(UncLookup[[#This Row],[Item]],Items!$A$1:$F$43,3,FALSE))</f>
        <v>20 turn</v>
      </c>
      <c r="Q2032" s="90" t="str">
        <f>IF(VLOOKUP(UncLookup[[#This Row],[Item]],Items!$A$1:$F$43,4,FALSE)=0,"",VLOOKUP(UncLookup[[#This Row],[Item]],Items!$A$1:$F$43,4,FALSE))</f>
        <v/>
      </c>
    </row>
    <row r="2033" spans="1:17" x14ac:dyDescent="0.25">
      <c r="A2033" s="76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90" t="str">
        <f>IF(VLOOKUP(UncLookup[[#This Row],[Item]],Items!$A$1:$F$43,2,FALSE)=0,"",VLOOKUP(UncLookup[[#This Row],[Item]],Items!$A$1:$F$43,2,FALSE))</f>
        <v/>
      </c>
      <c r="P2033" s="90" t="str">
        <f>IF(VLOOKUP(UncLookup[[#This Row],[Item]],Items!$A$1:$F$43,3,FALSE)=0,"",VLOOKUP(UncLookup[[#This Row],[Item]],Items!$A$1:$F$43,3,FALSE))</f>
        <v>20 turn</v>
      </c>
      <c r="Q2033" s="90" t="str">
        <f>IF(VLOOKUP(UncLookup[[#This Row],[Item]],Items!$A$1:$F$43,4,FALSE)=0,"",VLOOKUP(UncLookup[[#This Row],[Item]],Items!$A$1:$F$43,4,FALSE))</f>
        <v/>
      </c>
    </row>
    <row r="2034" spans="1:17" x14ac:dyDescent="0.25">
      <c r="A2034" s="75" t="s">
        <v>55</v>
      </c>
      <c r="B2034" s="75" t="s">
        <v>63</v>
      </c>
      <c r="C2034" s="75">
        <v>220</v>
      </c>
      <c r="D2034" s="75">
        <v>410.01</v>
      </c>
      <c r="E2034" s="75">
        <v>10</v>
      </c>
      <c r="F2034" s="75" t="s">
        <v>13</v>
      </c>
      <c r="G2034" s="75" t="s">
        <v>12</v>
      </c>
      <c r="H2034" s="75">
        <v>1</v>
      </c>
      <c r="I2034" s="75">
        <v>5</v>
      </c>
      <c r="J2034" s="75" t="s">
        <v>10</v>
      </c>
      <c r="K2034" s="75">
        <v>2974.4</v>
      </c>
      <c r="L2034" s="75">
        <v>30.478999999999999</v>
      </c>
      <c r="M2034" s="75">
        <v>2973.8</v>
      </c>
      <c r="N2034" s="75">
        <v>30.478999999999999</v>
      </c>
      <c r="O2034" s="90" t="str">
        <f>IF(VLOOKUP(UncLookup[[#This Row],[Item]],Items!$A$1:$F$43,2,FALSE)=0,"",VLOOKUP(UncLookup[[#This Row],[Item]],Items!$A$1:$F$43,2,FALSE))</f>
        <v/>
      </c>
      <c r="P2034" s="90" t="str">
        <f>IF(VLOOKUP(UncLookup[[#This Row],[Item]],Items!$A$1:$F$43,3,FALSE)=0,"",VLOOKUP(UncLookup[[#This Row],[Item]],Items!$A$1:$F$43,3,FALSE))</f>
        <v>20 turn</v>
      </c>
      <c r="Q2034" s="90" t="str">
        <f>IF(VLOOKUP(UncLookup[[#This Row],[Item]],Items!$A$1:$F$43,4,FALSE)=0,"",VLOOKUP(UncLookup[[#This Row],[Item]],Items!$A$1:$F$43,4,FALSE))</f>
        <v/>
      </c>
    </row>
    <row r="2035" spans="1:17" x14ac:dyDescent="0.25">
      <c r="A2035" s="76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90" t="str">
        <f>IF(VLOOKUP(UncLookup[[#This Row],[Item]],Items!$A$1:$F$43,2,FALSE)=0,"",VLOOKUP(UncLookup[[#This Row],[Item]],Items!$A$1:$F$43,2,FALSE))</f>
        <v/>
      </c>
      <c r="P2035" s="90" t="str">
        <f>IF(VLOOKUP(UncLookup[[#This Row],[Item]],Items!$A$1:$F$43,3,FALSE)=0,"",VLOOKUP(UncLookup[[#This Row],[Item]],Items!$A$1:$F$43,3,FALSE))</f>
        <v>20 turn</v>
      </c>
      <c r="Q2035" s="90" t="str">
        <f>IF(VLOOKUP(UncLookup[[#This Row],[Item]],Items!$A$1:$F$43,4,FALSE)=0,"",VLOOKUP(UncLookup[[#This Row],[Item]],Items!$A$1:$F$43,4,FALSE))</f>
        <v/>
      </c>
    </row>
    <row r="2036" spans="1:17" x14ac:dyDescent="0.25">
      <c r="A2036" s="75" t="s">
        <v>55</v>
      </c>
      <c r="B2036" s="75" t="s">
        <v>63</v>
      </c>
      <c r="C2036" s="75">
        <v>220</v>
      </c>
      <c r="D2036" s="75">
        <v>410.01</v>
      </c>
      <c r="E2036" s="75">
        <v>10</v>
      </c>
      <c r="F2036" s="75" t="s">
        <v>13</v>
      </c>
      <c r="G2036" s="75" t="s">
        <v>12</v>
      </c>
      <c r="H2036" s="75">
        <v>0.1</v>
      </c>
      <c r="I2036" s="75">
        <v>1.0000100000000001</v>
      </c>
      <c r="J2036" s="75" t="s">
        <v>10</v>
      </c>
      <c r="K2036" s="75">
        <v>5747.7</v>
      </c>
      <c r="L2036" s="75">
        <v>0.41071000000000002</v>
      </c>
      <c r="M2036" s="75">
        <v>5747.8</v>
      </c>
      <c r="N2036" s="75">
        <v>0.40925</v>
      </c>
      <c r="O2036" s="90" t="str">
        <f>IF(VLOOKUP(UncLookup[[#This Row],[Item]],Items!$A$1:$F$43,2,FALSE)=0,"",VLOOKUP(UncLookup[[#This Row],[Item]],Items!$A$1:$F$43,2,FALSE))</f>
        <v/>
      </c>
      <c r="P2036" s="90" t="str">
        <f>IF(VLOOKUP(UncLookup[[#This Row],[Item]],Items!$A$1:$F$43,3,FALSE)=0,"",VLOOKUP(UncLookup[[#This Row],[Item]],Items!$A$1:$F$43,3,FALSE))</f>
        <v>20 turn</v>
      </c>
      <c r="Q2036" s="90" t="str">
        <f>IF(VLOOKUP(UncLookup[[#This Row],[Item]],Items!$A$1:$F$43,4,FALSE)=0,"",VLOOKUP(UncLookup[[#This Row],[Item]],Items!$A$1:$F$43,4,FALSE))</f>
        <v/>
      </c>
    </row>
    <row r="2037" spans="1:17" x14ac:dyDescent="0.25">
      <c r="A2037" s="76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90" t="str">
        <f>IF(VLOOKUP(UncLookup[[#This Row],[Item]],Items!$A$1:$F$43,2,FALSE)=0,"",VLOOKUP(UncLookup[[#This Row],[Item]],Items!$A$1:$F$43,2,FALSE))</f>
        <v/>
      </c>
      <c r="P2037" s="90" t="str">
        <f>IF(VLOOKUP(UncLookup[[#This Row],[Item]],Items!$A$1:$F$43,3,FALSE)=0,"",VLOOKUP(UncLookup[[#This Row],[Item]],Items!$A$1:$F$43,3,FALSE))</f>
        <v>20 turn</v>
      </c>
      <c r="Q2037" s="90" t="str">
        <f>IF(VLOOKUP(UncLookup[[#This Row],[Item]],Items!$A$1:$F$43,4,FALSE)=0,"",VLOOKUP(UncLookup[[#This Row],[Item]],Items!$A$1:$F$43,4,FALSE))</f>
        <v/>
      </c>
    </row>
    <row r="2038" spans="1:17" x14ac:dyDescent="0.25">
      <c r="A2038" s="75" t="s">
        <v>55</v>
      </c>
      <c r="B2038" s="75" t="s">
        <v>63</v>
      </c>
      <c r="C2038" s="75">
        <v>220</v>
      </c>
      <c r="D2038" s="75">
        <v>410.01</v>
      </c>
      <c r="E2038" s="75">
        <v>100</v>
      </c>
      <c r="F2038" s="75" t="s">
        <v>13</v>
      </c>
      <c r="G2038" s="75" t="s">
        <v>12</v>
      </c>
      <c r="H2038" s="75">
        <v>5</v>
      </c>
      <c r="I2038" s="75">
        <v>5.01</v>
      </c>
      <c r="J2038" s="75" t="s">
        <v>10</v>
      </c>
      <c r="K2038" s="75">
        <v>57090</v>
      </c>
      <c r="L2038" s="75">
        <v>6.4831000000000003</v>
      </c>
      <c r="M2038" s="75">
        <v>57090</v>
      </c>
      <c r="N2038" s="75">
        <v>6.4816000000000003</v>
      </c>
      <c r="O2038" s="90" t="str">
        <f>IF(VLOOKUP(UncLookup[[#This Row],[Item]],Items!$A$1:$F$43,2,FALSE)=0,"",VLOOKUP(UncLookup[[#This Row],[Item]],Items!$A$1:$F$43,2,FALSE))</f>
        <v/>
      </c>
      <c r="P2038" s="90" t="str">
        <f>IF(VLOOKUP(UncLookup[[#This Row],[Item]],Items!$A$1:$F$43,3,FALSE)=0,"",VLOOKUP(UncLookup[[#This Row],[Item]],Items!$A$1:$F$43,3,FALSE))</f>
        <v>20 turn</v>
      </c>
      <c r="Q2038" s="90" t="str">
        <f>IF(VLOOKUP(UncLookup[[#This Row],[Item]],Items!$A$1:$F$43,4,FALSE)=0,"",VLOOKUP(UncLookup[[#This Row],[Item]],Items!$A$1:$F$43,4,FALSE))</f>
        <v/>
      </c>
    </row>
    <row r="2039" spans="1:17" x14ac:dyDescent="0.25">
      <c r="A2039" s="76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90" t="str">
        <f>IF(VLOOKUP(UncLookup[[#This Row],[Item]],Items!$A$1:$F$43,2,FALSE)=0,"",VLOOKUP(UncLookup[[#This Row],[Item]],Items!$A$1:$F$43,2,FALSE))</f>
        <v/>
      </c>
      <c r="P2039" s="90" t="str">
        <f>IF(VLOOKUP(UncLookup[[#This Row],[Item]],Items!$A$1:$F$43,3,FALSE)=0,"",VLOOKUP(UncLookup[[#This Row],[Item]],Items!$A$1:$F$43,3,FALSE))</f>
        <v>20 turn</v>
      </c>
      <c r="Q2039" s="90" t="str">
        <f>IF(VLOOKUP(UncLookup[[#This Row],[Item]],Items!$A$1:$F$43,4,FALSE)=0,"",VLOOKUP(UncLookup[[#This Row],[Item]],Items!$A$1:$F$43,4,FALSE))</f>
        <v/>
      </c>
    </row>
    <row r="2040" spans="1:17" x14ac:dyDescent="0.25">
      <c r="A2040" s="75" t="s">
        <v>55</v>
      </c>
      <c r="B2040" s="75" t="s">
        <v>63</v>
      </c>
      <c r="C2040" s="75">
        <v>220</v>
      </c>
      <c r="D2040" s="75">
        <v>410.01</v>
      </c>
      <c r="E2040" s="75">
        <v>100</v>
      </c>
      <c r="F2040" s="75" t="s">
        <v>13</v>
      </c>
      <c r="G2040" s="75" t="s">
        <v>12</v>
      </c>
      <c r="H2040" s="75">
        <v>4.4999999999999998E-2</v>
      </c>
      <c r="I2040" s="75">
        <v>0.10001</v>
      </c>
      <c r="J2040" s="75" t="s">
        <v>10</v>
      </c>
      <c r="K2040" s="75">
        <v>57996</v>
      </c>
      <c r="L2040" s="75">
        <v>3.551E-2</v>
      </c>
      <c r="M2040" s="75">
        <v>57996</v>
      </c>
      <c r="N2040" s="75">
        <v>3.4907000000000001E-2</v>
      </c>
      <c r="O2040" s="90" t="str">
        <f>IF(VLOOKUP(UncLookup[[#This Row],[Item]],Items!$A$1:$F$43,2,FALSE)=0,"",VLOOKUP(UncLookup[[#This Row],[Item]],Items!$A$1:$F$43,2,FALSE))</f>
        <v/>
      </c>
      <c r="P2040" s="90" t="str">
        <f>IF(VLOOKUP(UncLookup[[#This Row],[Item]],Items!$A$1:$F$43,3,FALSE)=0,"",VLOOKUP(UncLookup[[#This Row],[Item]],Items!$A$1:$F$43,3,FALSE))</f>
        <v>20 turn</v>
      </c>
      <c r="Q2040" s="90" t="str">
        <f>IF(VLOOKUP(UncLookup[[#This Row],[Item]],Items!$A$1:$F$43,4,FALSE)=0,"",VLOOKUP(UncLookup[[#This Row],[Item]],Items!$A$1:$F$43,4,FALSE))</f>
        <v/>
      </c>
    </row>
    <row r="2041" spans="1:17" x14ac:dyDescent="0.25">
      <c r="A2041" s="76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90" t="str">
        <f>IF(VLOOKUP(UncLookup[[#This Row],[Item]],Items!$A$1:$F$43,2,FALSE)=0,"",VLOOKUP(UncLookup[[#This Row],[Item]],Items!$A$1:$F$43,2,FALSE))</f>
        <v/>
      </c>
      <c r="P2041" s="90" t="str">
        <f>IF(VLOOKUP(UncLookup[[#This Row],[Item]],Items!$A$1:$F$43,3,FALSE)=0,"",VLOOKUP(UncLookup[[#This Row],[Item]],Items!$A$1:$F$43,3,FALSE))</f>
        <v>20 turn</v>
      </c>
      <c r="Q2041" s="90" t="str">
        <f>IF(VLOOKUP(UncLookup[[#This Row],[Item]],Items!$A$1:$F$43,4,FALSE)=0,"",VLOOKUP(UncLookup[[#This Row],[Item]],Items!$A$1:$F$43,4,FALSE))</f>
        <v/>
      </c>
    </row>
    <row r="2042" spans="1:17" x14ac:dyDescent="0.25">
      <c r="A2042" s="75" t="s">
        <v>55</v>
      </c>
      <c r="B2042" s="75" t="s">
        <v>62</v>
      </c>
      <c r="C2042" s="75">
        <v>1</v>
      </c>
      <c r="D2042" s="75">
        <v>11.000999999999999</v>
      </c>
      <c r="E2042" s="75">
        <v>1E-4</v>
      </c>
      <c r="F2042" s="75" t="s">
        <v>13</v>
      </c>
      <c r="G2042" s="75" t="s">
        <v>12</v>
      </c>
      <c r="H2042" s="75">
        <v>0.01</v>
      </c>
      <c r="I2042" s="75">
        <v>4.5010000000000001E-2</v>
      </c>
      <c r="J2042" s="75" t="s">
        <v>10</v>
      </c>
      <c r="K2042" s="75">
        <v>3.3</v>
      </c>
      <c r="L2042" s="75">
        <v>2.7</v>
      </c>
      <c r="M2042" s="75">
        <v>0.97318000000000005</v>
      </c>
      <c r="N2042" s="75">
        <v>2.8730000000000002</v>
      </c>
      <c r="O2042" s="90" t="str">
        <f>IF(VLOOKUP(UncLookup[[#This Row],[Item]],Items!$A$1:$F$43,2,FALSE)=0,"",VLOOKUP(UncLookup[[#This Row],[Item]],Items!$A$1:$F$43,2,FALSE))</f>
        <v/>
      </c>
      <c r="P2042" s="90" t="str">
        <f>IF(VLOOKUP(UncLookup[[#This Row],[Item]],Items!$A$1:$F$43,3,FALSE)=0,"",VLOOKUP(UncLookup[[#This Row],[Item]],Items!$A$1:$F$43,3,FALSE))</f>
        <v>10 turn</v>
      </c>
      <c r="Q2042" s="90" t="str">
        <f>IF(VLOOKUP(UncLookup[[#This Row],[Item]],Items!$A$1:$F$43,4,FALSE)=0,"",VLOOKUP(UncLookup[[#This Row],[Item]],Items!$A$1:$F$43,4,FALSE))</f>
        <v/>
      </c>
    </row>
    <row r="2043" spans="1:17" x14ac:dyDescent="0.25">
      <c r="A2043" s="76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90" t="str">
        <f>IF(VLOOKUP(UncLookup[[#This Row],[Item]],Items!$A$1:$F$43,2,FALSE)=0,"",VLOOKUP(UncLookup[[#This Row],[Item]],Items!$A$1:$F$43,2,FALSE))</f>
        <v/>
      </c>
      <c r="P2043" s="90" t="str">
        <f>IF(VLOOKUP(UncLookup[[#This Row],[Item]],Items!$A$1:$F$43,3,FALSE)=0,"",VLOOKUP(UncLookup[[#This Row],[Item]],Items!$A$1:$F$43,3,FALSE))</f>
        <v>10 turn</v>
      </c>
      <c r="Q2043" s="90" t="str">
        <f>IF(VLOOKUP(UncLookup[[#This Row],[Item]],Items!$A$1:$F$43,4,FALSE)=0,"",VLOOKUP(UncLookup[[#This Row],[Item]],Items!$A$1:$F$43,4,FALSE))</f>
        <v/>
      </c>
    </row>
    <row r="2044" spans="1:17" x14ac:dyDescent="0.25">
      <c r="A2044" s="75" t="s">
        <v>55</v>
      </c>
      <c r="B2044" s="75" t="s">
        <v>62</v>
      </c>
      <c r="C2044" s="75">
        <v>1</v>
      </c>
      <c r="D2044" s="75">
        <v>11.000999999999999</v>
      </c>
      <c r="E2044" s="75">
        <v>1E-3</v>
      </c>
      <c r="F2044" s="75" t="s">
        <v>13</v>
      </c>
      <c r="G2044" s="75" t="s">
        <v>12</v>
      </c>
      <c r="H2044" s="75">
        <v>10</v>
      </c>
      <c r="I2044" s="75">
        <v>10.01</v>
      </c>
      <c r="J2044" s="75" t="s">
        <v>10</v>
      </c>
      <c r="K2044" s="75">
        <v>58</v>
      </c>
      <c r="L2044" s="75">
        <v>29</v>
      </c>
      <c r="M2044" s="75">
        <v>57.703000000000003</v>
      </c>
      <c r="N2044" s="75">
        <v>28.928999999999998</v>
      </c>
      <c r="O2044" s="90" t="str">
        <f>IF(VLOOKUP(UncLookup[[#This Row],[Item]],Items!$A$1:$F$43,2,FALSE)=0,"",VLOOKUP(UncLookup[[#This Row],[Item]],Items!$A$1:$F$43,2,FALSE))</f>
        <v/>
      </c>
      <c r="P2044" s="90" t="str">
        <f>IF(VLOOKUP(UncLookup[[#This Row],[Item]],Items!$A$1:$F$43,3,FALSE)=0,"",VLOOKUP(UncLookup[[#This Row],[Item]],Items!$A$1:$F$43,3,FALSE))</f>
        <v>10 turn</v>
      </c>
      <c r="Q2044" s="90" t="str">
        <f>IF(VLOOKUP(UncLookup[[#This Row],[Item]],Items!$A$1:$F$43,4,FALSE)=0,"",VLOOKUP(UncLookup[[#This Row],[Item]],Items!$A$1:$F$43,4,FALSE))</f>
        <v/>
      </c>
    </row>
    <row r="2045" spans="1:17" x14ac:dyDescent="0.25">
      <c r="A2045" s="76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90" t="str">
        <f>IF(VLOOKUP(UncLookup[[#This Row],[Item]],Items!$A$1:$F$43,2,FALSE)=0,"",VLOOKUP(UncLookup[[#This Row],[Item]],Items!$A$1:$F$43,2,FALSE))</f>
        <v/>
      </c>
      <c r="P2045" s="90" t="str">
        <f>IF(VLOOKUP(UncLookup[[#This Row],[Item]],Items!$A$1:$F$43,3,FALSE)=0,"",VLOOKUP(UncLookup[[#This Row],[Item]],Items!$A$1:$F$43,3,FALSE))</f>
        <v>10 turn</v>
      </c>
      <c r="Q2045" s="90" t="str">
        <f>IF(VLOOKUP(UncLookup[[#This Row],[Item]],Items!$A$1:$F$43,4,FALSE)=0,"",VLOOKUP(UncLookup[[#This Row],[Item]],Items!$A$1:$F$43,4,FALSE))</f>
        <v/>
      </c>
    </row>
    <row r="2046" spans="1:17" x14ac:dyDescent="0.25">
      <c r="A2046" s="75" t="s">
        <v>55</v>
      </c>
      <c r="B2046" s="75" t="s">
        <v>62</v>
      </c>
      <c r="C2046" s="75">
        <v>1</v>
      </c>
      <c r="D2046" s="75">
        <v>11.000999999999999</v>
      </c>
      <c r="E2046" s="75">
        <v>1E-3</v>
      </c>
      <c r="F2046" s="75" t="s">
        <v>13</v>
      </c>
      <c r="G2046" s="75" t="s">
        <v>12</v>
      </c>
      <c r="H2046" s="75">
        <v>1</v>
      </c>
      <c r="I2046" s="75">
        <v>5.01</v>
      </c>
      <c r="J2046" s="75" t="s">
        <v>10</v>
      </c>
      <c r="K2046" s="75">
        <v>12</v>
      </c>
      <c r="L2046" s="75">
        <v>7.2</v>
      </c>
      <c r="M2046" s="75">
        <v>11.404999999999999</v>
      </c>
      <c r="N2046" s="75">
        <v>7.1882000000000001</v>
      </c>
      <c r="O2046" s="90" t="str">
        <f>IF(VLOOKUP(UncLookup[[#This Row],[Item]],Items!$A$1:$F$43,2,FALSE)=0,"",VLOOKUP(UncLookup[[#This Row],[Item]],Items!$A$1:$F$43,2,FALSE))</f>
        <v/>
      </c>
      <c r="P2046" s="90" t="str">
        <f>IF(VLOOKUP(UncLookup[[#This Row],[Item]],Items!$A$1:$F$43,3,FALSE)=0,"",VLOOKUP(UncLookup[[#This Row],[Item]],Items!$A$1:$F$43,3,FALSE))</f>
        <v>10 turn</v>
      </c>
      <c r="Q2046" s="90" t="str">
        <f>IF(VLOOKUP(UncLookup[[#This Row],[Item]],Items!$A$1:$F$43,4,FALSE)=0,"",VLOOKUP(UncLookup[[#This Row],[Item]],Items!$A$1:$F$43,4,FALSE))</f>
        <v/>
      </c>
    </row>
    <row r="2047" spans="1:17" x14ac:dyDescent="0.25">
      <c r="A2047" s="76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90" t="str">
        <f>IF(VLOOKUP(UncLookup[[#This Row],[Item]],Items!$A$1:$F$43,2,FALSE)=0,"",VLOOKUP(UncLookup[[#This Row],[Item]],Items!$A$1:$F$43,2,FALSE))</f>
        <v/>
      </c>
      <c r="P2047" s="90" t="str">
        <f>IF(VLOOKUP(UncLookup[[#This Row],[Item]],Items!$A$1:$F$43,3,FALSE)=0,"",VLOOKUP(UncLookup[[#This Row],[Item]],Items!$A$1:$F$43,3,FALSE))</f>
        <v>10 turn</v>
      </c>
      <c r="Q2047" s="90" t="str">
        <f>IF(VLOOKUP(UncLookup[[#This Row],[Item]],Items!$A$1:$F$43,4,FALSE)=0,"",VLOOKUP(UncLookup[[#This Row],[Item]],Items!$A$1:$F$43,4,FALSE))</f>
        <v/>
      </c>
    </row>
    <row r="2048" spans="1:17" x14ac:dyDescent="0.25">
      <c r="A2048" s="75" t="s">
        <v>55</v>
      </c>
      <c r="B2048" s="75" t="s">
        <v>62</v>
      </c>
      <c r="C2048" s="75">
        <v>1</v>
      </c>
      <c r="D2048" s="75">
        <v>11.000999999999999</v>
      </c>
      <c r="E2048" s="75">
        <v>0.01</v>
      </c>
      <c r="F2048" s="75" t="s">
        <v>13</v>
      </c>
      <c r="G2048" s="75" t="s">
        <v>12</v>
      </c>
      <c r="H2048" s="75">
        <v>10</v>
      </c>
      <c r="I2048" s="75">
        <v>10.01</v>
      </c>
      <c r="J2048" s="75" t="s">
        <v>10</v>
      </c>
      <c r="K2048" s="75">
        <v>58</v>
      </c>
      <c r="L2048" s="75">
        <v>28.914000000000001</v>
      </c>
      <c r="M2048" s="75">
        <v>57.905000000000001</v>
      </c>
      <c r="N2048" s="75">
        <v>28.914999999999999</v>
      </c>
      <c r="O2048" s="90" t="str">
        <f>IF(VLOOKUP(UncLookup[[#This Row],[Item]],Items!$A$1:$F$43,2,FALSE)=0,"",VLOOKUP(UncLookup[[#This Row],[Item]],Items!$A$1:$F$43,2,FALSE))</f>
        <v/>
      </c>
      <c r="P2048" s="90" t="str">
        <f>IF(VLOOKUP(UncLookup[[#This Row],[Item]],Items!$A$1:$F$43,3,FALSE)=0,"",VLOOKUP(UncLookup[[#This Row],[Item]],Items!$A$1:$F$43,3,FALSE))</f>
        <v>10 turn</v>
      </c>
      <c r="Q2048" s="90" t="str">
        <f>IF(VLOOKUP(UncLookup[[#This Row],[Item]],Items!$A$1:$F$43,4,FALSE)=0,"",VLOOKUP(UncLookup[[#This Row],[Item]],Items!$A$1:$F$43,4,FALSE))</f>
        <v/>
      </c>
    </row>
    <row r="2049" spans="1:17" x14ac:dyDescent="0.25">
      <c r="A2049" s="76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90" t="str">
        <f>IF(VLOOKUP(UncLookup[[#This Row],[Item]],Items!$A$1:$F$43,2,FALSE)=0,"",VLOOKUP(UncLookup[[#This Row],[Item]],Items!$A$1:$F$43,2,FALSE))</f>
        <v/>
      </c>
      <c r="P2049" s="90" t="str">
        <f>IF(VLOOKUP(UncLookup[[#This Row],[Item]],Items!$A$1:$F$43,3,FALSE)=0,"",VLOOKUP(UncLookup[[#This Row],[Item]],Items!$A$1:$F$43,3,FALSE))</f>
        <v>10 turn</v>
      </c>
      <c r="Q2049" s="90" t="str">
        <f>IF(VLOOKUP(UncLookup[[#This Row],[Item]],Items!$A$1:$F$43,4,FALSE)=0,"",VLOOKUP(UncLookup[[#This Row],[Item]],Items!$A$1:$F$43,4,FALSE))</f>
        <v/>
      </c>
    </row>
    <row r="2050" spans="1:17" x14ac:dyDescent="0.25">
      <c r="A2050" s="75" t="s">
        <v>55</v>
      </c>
      <c r="B2050" s="75" t="s">
        <v>62</v>
      </c>
      <c r="C2050" s="75">
        <v>1</v>
      </c>
      <c r="D2050" s="75">
        <v>11.000999999999999</v>
      </c>
      <c r="E2050" s="75">
        <v>0.01</v>
      </c>
      <c r="F2050" s="75" t="s">
        <v>13</v>
      </c>
      <c r="G2050" s="75" t="s">
        <v>12</v>
      </c>
      <c r="H2050" s="75">
        <v>4.4999999999999998E-2</v>
      </c>
      <c r="I2050" s="75">
        <v>1.0000100000000001</v>
      </c>
      <c r="J2050" s="75" t="s">
        <v>10</v>
      </c>
      <c r="K2050" s="75">
        <v>4.6182999999999996</v>
      </c>
      <c r="L2050" s="75">
        <v>1.7586999999999999</v>
      </c>
      <c r="M2050" s="75">
        <v>4.6169000000000002</v>
      </c>
      <c r="N2050" s="75">
        <v>1.7583</v>
      </c>
      <c r="O2050" s="90" t="str">
        <f>IF(VLOOKUP(UncLookup[[#This Row],[Item]],Items!$A$1:$F$43,2,FALSE)=0,"",VLOOKUP(UncLookup[[#This Row],[Item]],Items!$A$1:$F$43,2,FALSE))</f>
        <v/>
      </c>
      <c r="P2050" s="90" t="str">
        <f>IF(VLOOKUP(UncLookup[[#This Row],[Item]],Items!$A$1:$F$43,3,FALSE)=0,"",VLOOKUP(UncLookup[[#This Row],[Item]],Items!$A$1:$F$43,3,FALSE))</f>
        <v>10 turn</v>
      </c>
      <c r="Q2050" s="90" t="str">
        <f>IF(VLOOKUP(UncLookup[[#This Row],[Item]],Items!$A$1:$F$43,4,FALSE)=0,"",VLOOKUP(UncLookup[[#This Row],[Item]],Items!$A$1:$F$43,4,FALSE))</f>
        <v/>
      </c>
    </row>
    <row r="2051" spans="1:17" x14ac:dyDescent="0.25">
      <c r="A2051" s="76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90" t="str">
        <f>IF(VLOOKUP(UncLookup[[#This Row],[Item]],Items!$A$1:$F$43,2,FALSE)=0,"",VLOOKUP(UncLookup[[#This Row],[Item]],Items!$A$1:$F$43,2,FALSE))</f>
        <v/>
      </c>
      <c r="P2051" s="90" t="str">
        <f>IF(VLOOKUP(UncLookup[[#This Row],[Item]],Items!$A$1:$F$43,3,FALSE)=0,"",VLOOKUP(UncLookup[[#This Row],[Item]],Items!$A$1:$F$43,3,FALSE))</f>
        <v>10 turn</v>
      </c>
      <c r="Q2051" s="90" t="str">
        <f>IF(VLOOKUP(UncLookup[[#This Row],[Item]],Items!$A$1:$F$43,4,FALSE)=0,"",VLOOKUP(UncLookup[[#This Row],[Item]],Items!$A$1:$F$43,4,FALSE))</f>
        <v/>
      </c>
    </row>
    <row r="2052" spans="1:17" x14ac:dyDescent="0.25">
      <c r="A2052" s="75" t="s">
        <v>55</v>
      </c>
      <c r="B2052" s="75" t="s">
        <v>62</v>
      </c>
      <c r="C2052" s="75">
        <v>1</v>
      </c>
      <c r="D2052" s="75">
        <v>11.000999999999999</v>
      </c>
      <c r="E2052" s="75">
        <v>0.01</v>
      </c>
      <c r="F2052" s="75" t="s">
        <v>13</v>
      </c>
      <c r="G2052" s="75" t="s">
        <v>12</v>
      </c>
      <c r="H2052" s="75">
        <v>0.01</v>
      </c>
      <c r="I2052" s="75">
        <v>4.5010000000000001E-2</v>
      </c>
      <c r="J2052" s="75" t="s">
        <v>10</v>
      </c>
      <c r="K2052" s="75">
        <v>57.286999999999999</v>
      </c>
      <c r="L2052" s="75">
        <v>0.84058999999999995</v>
      </c>
      <c r="M2052" s="75">
        <v>57.284999999999997</v>
      </c>
      <c r="N2052" s="75">
        <v>0.83952000000000004</v>
      </c>
      <c r="O2052" s="90" t="str">
        <f>IF(VLOOKUP(UncLookup[[#This Row],[Item]],Items!$A$1:$F$43,2,FALSE)=0,"",VLOOKUP(UncLookup[[#This Row],[Item]],Items!$A$1:$F$43,2,FALSE))</f>
        <v/>
      </c>
      <c r="P2052" s="90" t="str">
        <f>IF(VLOOKUP(UncLookup[[#This Row],[Item]],Items!$A$1:$F$43,3,FALSE)=0,"",VLOOKUP(UncLookup[[#This Row],[Item]],Items!$A$1:$F$43,3,FALSE))</f>
        <v>10 turn</v>
      </c>
      <c r="Q2052" s="90" t="str">
        <f>IF(VLOOKUP(UncLookup[[#This Row],[Item]],Items!$A$1:$F$43,4,FALSE)=0,"",VLOOKUP(UncLookup[[#This Row],[Item]],Items!$A$1:$F$43,4,FALSE))</f>
        <v/>
      </c>
    </row>
    <row r="2053" spans="1:17" x14ac:dyDescent="0.25">
      <c r="A2053" s="76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90" t="str">
        <f>IF(VLOOKUP(UncLookup[[#This Row],[Item]],Items!$A$1:$F$43,2,FALSE)=0,"",VLOOKUP(UncLookup[[#This Row],[Item]],Items!$A$1:$F$43,2,FALSE))</f>
        <v/>
      </c>
      <c r="P2053" s="90" t="str">
        <f>IF(VLOOKUP(UncLookup[[#This Row],[Item]],Items!$A$1:$F$43,3,FALSE)=0,"",VLOOKUP(UncLookup[[#This Row],[Item]],Items!$A$1:$F$43,3,FALSE))</f>
        <v>10 turn</v>
      </c>
      <c r="Q2053" s="90" t="str">
        <f>IF(VLOOKUP(UncLookup[[#This Row],[Item]],Items!$A$1:$F$43,4,FALSE)=0,"",VLOOKUP(UncLookup[[#This Row],[Item]],Items!$A$1:$F$43,4,FALSE))</f>
        <v/>
      </c>
    </row>
    <row r="2054" spans="1:17" x14ac:dyDescent="0.25">
      <c r="A2054" s="75" t="s">
        <v>55</v>
      </c>
      <c r="B2054" s="75" t="s">
        <v>62</v>
      </c>
      <c r="C2054" s="75">
        <v>1</v>
      </c>
      <c r="D2054" s="75">
        <v>11.000999999999999</v>
      </c>
      <c r="E2054" s="75">
        <v>0.1</v>
      </c>
      <c r="F2054" s="75" t="s">
        <v>13</v>
      </c>
      <c r="G2054" s="75" t="s">
        <v>12</v>
      </c>
      <c r="H2054" s="75">
        <v>1</v>
      </c>
      <c r="I2054" s="75">
        <v>5.01</v>
      </c>
      <c r="J2054" s="75" t="s">
        <v>10</v>
      </c>
      <c r="K2054" s="75">
        <v>56.262</v>
      </c>
      <c r="L2054" s="75">
        <v>4.6574</v>
      </c>
      <c r="M2054" s="75">
        <v>56.247999999999998</v>
      </c>
      <c r="N2054" s="75">
        <v>4.6563999999999997</v>
      </c>
      <c r="O2054" s="90" t="str">
        <f>IF(VLOOKUP(UncLookup[[#This Row],[Item]],Items!$A$1:$F$43,2,FALSE)=0,"",VLOOKUP(UncLookup[[#This Row],[Item]],Items!$A$1:$F$43,2,FALSE))</f>
        <v/>
      </c>
      <c r="P2054" s="90" t="str">
        <f>IF(VLOOKUP(UncLookup[[#This Row],[Item]],Items!$A$1:$F$43,3,FALSE)=0,"",VLOOKUP(UncLookup[[#This Row],[Item]],Items!$A$1:$F$43,3,FALSE))</f>
        <v>10 turn</v>
      </c>
      <c r="Q2054" s="90" t="str">
        <f>IF(VLOOKUP(UncLookup[[#This Row],[Item]],Items!$A$1:$F$43,4,FALSE)=0,"",VLOOKUP(UncLookup[[#This Row],[Item]],Items!$A$1:$F$43,4,FALSE))</f>
        <v/>
      </c>
    </row>
    <row r="2055" spans="1:17" x14ac:dyDescent="0.25">
      <c r="A2055" s="76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90" t="str">
        <f>IF(VLOOKUP(UncLookup[[#This Row],[Item]],Items!$A$1:$F$43,2,FALSE)=0,"",VLOOKUP(UncLookup[[#This Row],[Item]],Items!$A$1:$F$43,2,FALSE))</f>
        <v/>
      </c>
      <c r="P2055" s="90" t="str">
        <f>IF(VLOOKUP(UncLookup[[#This Row],[Item]],Items!$A$1:$F$43,3,FALSE)=0,"",VLOOKUP(UncLookup[[#This Row],[Item]],Items!$A$1:$F$43,3,FALSE))</f>
        <v>10 turn</v>
      </c>
      <c r="Q2055" s="90" t="str">
        <f>IF(VLOOKUP(UncLookup[[#This Row],[Item]],Items!$A$1:$F$43,4,FALSE)=0,"",VLOOKUP(UncLookup[[#This Row],[Item]],Items!$A$1:$F$43,4,FALSE))</f>
        <v/>
      </c>
    </row>
    <row r="2056" spans="1:17" x14ac:dyDescent="0.25">
      <c r="A2056" s="75" t="s">
        <v>55</v>
      </c>
      <c r="B2056" s="75" t="s">
        <v>62</v>
      </c>
      <c r="C2056" s="75">
        <v>1</v>
      </c>
      <c r="D2056" s="75">
        <v>11.000999999999999</v>
      </c>
      <c r="E2056" s="75">
        <v>0.1</v>
      </c>
      <c r="F2056" s="75" t="s">
        <v>13</v>
      </c>
      <c r="G2056" s="75" t="s">
        <v>12</v>
      </c>
      <c r="H2056" s="75">
        <v>10</v>
      </c>
      <c r="I2056" s="75">
        <v>10.01</v>
      </c>
      <c r="J2056" s="75" t="s">
        <v>10</v>
      </c>
      <c r="K2056" s="75">
        <v>76.668000000000006</v>
      </c>
      <c r="L2056" s="75">
        <v>27.611000000000001</v>
      </c>
      <c r="M2056" s="75">
        <v>76.638000000000005</v>
      </c>
      <c r="N2056" s="75">
        <v>27.611999999999998</v>
      </c>
      <c r="O2056" s="90" t="str">
        <f>IF(VLOOKUP(UncLookup[[#This Row],[Item]],Items!$A$1:$F$43,2,FALSE)=0,"",VLOOKUP(UncLookup[[#This Row],[Item]],Items!$A$1:$F$43,2,FALSE))</f>
        <v/>
      </c>
      <c r="P2056" s="90" t="str">
        <f>IF(VLOOKUP(UncLookup[[#This Row],[Item]],Items!$A$1:$F$43,3,FALSE)=0,"",VLOOKUP(UncLookup[[#This Row],[Item]],Items!$A$1:$F$43,3,FALSE))</f>
        <v>10 turn</v>
      </c>
      <c r="Q2056" s="90" t="str">
        <f>IF(VLOOKUP(UncLookup[[#This Row],[Item]],Items!$A$1:$F$43,4,FALSE)=0,"",VLOOKUP(UncLookup[[#This Row],[Item]],Items!$A$1:$F$43,4,FALSE))</f>
        <v/>
      </c>
    </row>
    <row r="2057" spans="1:17" x14ac:dyDescent="0.25">
      <c r="A2057" s="76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90" t="str">
        <f>IF(VLOOKUP(UncLookup[[#This Row],[Item]],Items!$A$1:$F$43,2,FALSE)=0,"",VLOOKUP(UncLookup[[#This Row],[Item]],Items!$A$1:$F$43,2,FALSE))</f>
        <v/>
      </c>
      <c r="P2057" s="90" t="str">
        <f>IF(VLOOKUP(UncLookup[[#This Row],[Item]],Items!$A$1:$F$43,3,FALSE)=0,"",VLOOKUP(UncLookup[[#This Row],[Item]],Items!$A$1:$F$43,3,FALSE))</f>
        <v>10 turn</v>
      </c>
      <c r="Q2057" s="90" t="str">
        <f>IF(VLOOKUP(UncLookup[[#This Row],[Item]],Items!$A$1:$F$43,4,FALSE)=0,"",VLOOKUP(UncLookup[[#This Row],[Item]],Items!$A$1:$F$43,4,FALSE))</f>
        <v/>
      </c>
    </row>
    <row r="2058" spans="1:17" x14ac:dyDescent="0.25">
      <c r="A2058" s="75" t="s">
        <v>55</v>
      </c>
      <c r="B2058" s="75" t="s">
        <v>62</v>
      </c>
      <c r="C2058" s="75">
        <v>1</v>
      </c>
      <c r="D2058" s="75">
        <v>11.000999999999999</v>
      </c>
      <c r="E2058" s="75">
        <v>1</v>
      </c>
      <c r="F2058" s="75" t="s">
        <v>13</v>
      </c>
      <c r="G2058" s="75" t="s">
        <v>12</v>
      </c>
      <c r="H2058" s="75">
        <v>5</v>
      </c>
      <c r="I2058" s="75">
        <v>10</v>
      </c>
      <c r="J2058" s="75" t="s">
        <v>10</v>
      </c>
      <c r="K2058" s="75">
        <v>575.98</v>
      </c>
      <c r="L2058" s="75">
        <v>10.476000000000001</v>
      </c>
      <c r="M2058" s="75">
        <v>575.96</v>
      </c>
      <c r="N2058" s="75">
        <v>10.474</v>
      </c>
      <c r="O2058" s="90" t="str">
        <f>IF(VLOOKUP(UncLookup[[#This Row],[Item]],Items!$A$1:$F$43,2,FALSE)=0,"",VLOOKUP(UncLookup[[#This Row],[Item]],Items!$A$1:$F$43,2,FALSE))</f>
        <v/>
      </c>
      <c r="P2058" s="90" t="str">
        <f>IF(VLOOKUP(UncLookup[[#This Row],[Item]],Items!$A$1:$F$43,3,FALSE)=0,"",VLOOKUP(UncLookup[[#This Row],[Item]],Items!$A$1:$F$43,3,FALSE))</f>
        <v>10 turn</v>
      </c>
      <c r="Q2058" s="90" t="str">
        <f>IF(VLOOKUP(UncLookup[[#This Row],[Item]],Items!$A$1:$F$43,4,FALSE)=0,"",VLOOKUP(UncLookup[[#This Row],[Item]],Items!$A$1:$F$43,4,FALSE))</f>
        <v/>
      </c>
    </row>
    <row r="2059" spans="1:17" x14ac:dyDescent="0.25">
      <c r="A2059" s="76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90" t="str">
        <f>IF(VLOOKUP(UncLookup[[#This Row],[Item]],Items!$A$1:$F$43,2,FALSE)=0,"",VLOOKUP(UncLookup[[#This Row],[Item]],Items!$A$1:$F$43,2,FALSE))</f>
        <v/>
      </c>
      <c r="P2059" s="90" t="str">
        <f>IF(VLOOKUP(UncLookup[[#This Row],[Item]],Items!$A$1:$F$43,3,FALSE)=0,"",VLOOKUP(UncLookup[[#This Row],[Item]],Items!$A$1:$F$43,3,FALSE))</f>
        <v>10 turn</v>
      </c>
      <c r="Q2059" s="90" t="str">
        <f>IF(VLOOKUP(UncLookup[[#This Row],[Item]],Items!$A$1:$F$43,4,FALSE)=0,"",VLOOKUP(UncLookup[[#This Row],[Item]],Items!$A$1:$F$43,4,FALSE))</f>
        <v/>
      </c>
    </row>
    <row r="2060" spans="1:17" x14ac:dyDescent="0.25">
      <c r="A2060" s="75" t="s">
        <v>55</v>
      </c>
      <c r="B2060" s="75" t="s">
        <v>62</v>
      </c>
      <c r="C2060" s="75">
        <v>1</v>
      </c>
      <c r="D2060" s="75">
        <v>11.000999999999999</v>
      </c>
      <c r="E2060" s="75">
        <v>1</v>
      </c>
      <c r="F2060" s="75" t="s">
        <v>13</v>
      </c>
      <c r="G2060" s="75" t="s">
        <v>12</v>
      </c>
      <c r="H2060" s="75">
        <v>4.4999999999999998E-2</v>
      </c>
      <c r="I2060" s="75">
        <v>1.0000100000000001</v>
      </c>
      <c r="J2060" s="75" t="s">
        <v>10</v>
      </c>
      <c r="K2060" s="75">
        <v>579.96</v>
      </c>
      <c r="L2060" s="75">
        <v>4.6302000000000003E-2</v>
      </c>
      <c r="M2060" s="75">
        <v>579.96</v>
      </c>
      <c r="N2060" s="75">
        <v>4.5959E-2</v>
      </c>
      <c r="O2060" s="90" t="str">
        <f>IF(VLOOKUP(UncLookup[[#This Row],[Item]],Items!$A$1:$F$43,2,FALSE)=0,"",VLOOKUP(UncLookup[[#This Row],[Item]],Items!$A$1:$F$43,2,FALSE))</f>
        <v/>
      </c>
      <c r="P2060" s="90" t="str">
        <f>IF(VLOOKUP(UncLookup[[#This Row],[Item]],Items!$A$1:$F$43,3,FALSE)=0,"",VLOOKUP(UncLookup[[#This Row],[Item]],Items!$A$1:$F$43,3,FALSE))</f>
        <v>10 turn</v>
      </c>
      <c r="Q2060" s="90" t="str">
        <f>IF(VLOOKUP(UncLookup[[#This Row],[Item]],Items!$A$1:$F$43,4,FALSE)=0,"",VLOOKUP(UncLookup[[#This Row],[Item]],Items!$A$1:$F$43,4,FALSE))</f>
        <v/>
      </c>
    </row>
    <row r="2061" spans="1:17" x14ac:dyDescent="0.25">
      <c r="A2061" s="76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90" t="str">
        <f>IF(VLOOKUP(UncLookup[[#This Row],[Item]],Items!$A$1:$F$43,2,FALSE)=0,"",VLOOKUP(UncLookup[[#This Row],[Item]],Items!$A$1:$F$43,2,FALSE))</f>
        <v/>
      </c>
      <c r="P2061" s="90" t="str">
        <f>IF(VLOOKUP(UncLookup[[#This Row],[Item]],Items!$A$1:$F$43,3,FALSE)=0,"",VLOOKUP(UncLookup[[#This Row],[Item]],Items!$A$1:$F$43,3,FALSE))</f>
        <v>10 turn</v>
      </c>
      <c r="Q2061" s="90" t="str">
        <f>IF(VLOOKUP(UncLookup[[#This Row],[Item]],Items!$A$1:$F$43,4,FALSE)=0,"",VLOOKUP(UncLookup[[#This Row],[Item]],Items!$A$1:$F$43,4,FALSE))</f>
        <v/>
      </c>
    </row>
    <row r="2062" spans="1:17" x14ac:dyDescent="0.25">
      <c r="A2062" s="75" t="s">
        <v>55</v>
      </c>
      <c r="B2062" s="75" t="s">
        <v>62</v>
      </c>
      <c r="C2062" s="75">
        <v>1</v>
      </c>
      <c r="D2062" s="75">
        <v>11.000999999999999</v>
      </c>
      <c r="E2062" s="75">
        <v>1</v>
      </c>
      <c r="F2062" s="75" t="s">
        <v>13</v>
      </c>
      <c r="G2062" s="75" t="s">
        <v>12</v>
      </c>
      <c r="H2062" s="75">
        <v>1</v>
      </c>
      <c r="I2062" s="75">
        <v>5.01</v>
      </c>
      <c r="J2062" s="75" t="s">
        <v>10</v>
      </c>
      <c r="K2062" s="75">
        <v>579.63</v>
      </c>
      <c r="L2062" s="75">
        <v>0.67288000000000003</v>
      </c>
      <c r="M2062" s="75">
        <v>579.63</v>
      </c>
      <c r="N2062" s="75">
        <v>0.67162999999999995</v>
      </c>
      <c r="O2062" s="90" t="str">
        <f>IF(VLOOKUP(UncLookup[[#This Row],[Item]],Items!$A$1:$F$43,2,FALSE)=0,"",VLOOKUP(UncLookup[[#This Row],[Item]],Items!$A$1:$F$43,2,FALSE))</f>
        <v/>
      </c>
      <c r="P2062" s="90" t="str">
        <f>IF(VLOOKUP(UncLookup[[#This Row],[Item]],Items!$A$1:$F$43,3,FALSE)=0,"",VLOOKUP(UncLookup[[#This Row],[Item]],Items!$A$1:$F$43,3,FALSE))</f>
        <v>10 turn</v>
      </c>
      <c r="Q2062" s="90" t="str">
        <f>IF(VLOOKUP(UncLookup[[#This Row],[Item]],Items!$A$1:$F$43,4,FALSE)=0,"",VLOOKUP(UncLookup[[#This Row],[Item]],Items!$A$1:$F$43,4,FALSE))</f>
        <v/>
      </c>
    </row>
    <row r="2063" spans="1:17" x14ac:dyDescent="0.25">
      <c r="A2063" s="76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90" t="str">
        <f>IF(VLOOKUP(UncLookup[[#This Row],[Item]],Items!$A$1:$F$43,2,FALSE)=0,"",VLOOKUP(UncLookup[[#This Row],[Item]],Items!$A$1:$F$43,2,FALSE))</f>
        <v/>
      </c>
      <c r="P2063" s="90" t="str">
        <f>IF(VLOOKUP(UncLookup[[#This Row],[Item]],Items!$A$1:$F$43,3,FALSE)=0,"",VLOOKUP(UncLookup[[#This Row],[Item]],Items!$A$1:$F$43,3,FALSE))</f>
        <v>10 turn</v>
      </c>
      <c r="Q2063" s="90" t="str">
        <f>IF(VLOOKUP(UncLookup[[#This Row],[Item]],Items!$A$1:$F$43,4,FALSE)=0,"",VLOOKUP(UncLookup[[#This Row],[Item]],Items!$A$1:$F$43,4,FALSE))</f>
        <v/>
      </c>
    </row>
    <row r="2064" spans="1:17" x14ac:dyDescent="0.25">
      <c r="A2064" s="75" t="s">
        <v>55</v>
      </c>
      <c r="B2064" s="75" t="s">
        <v>62</v>
      </c>
      <c r="C2064" s="75">
        <v>1</v>
      </c>
      <c r="D2064" s="75">
        <v>11.000999999999999</v>
      </c>
      <c r="E2064" s="75">
        <v>10</v>
      </c>
      <c r="F2064" s="75" t="s">
        <v>13</v>
      </c>
      <c r="G2064" s="75" t="s">
        <v>12</v>
      </c>
      <c r="H2064" s="75">
        <v>0.01</v>
      </c>
      <c r="I2064" s="75">
        <v>4.5010000000000001E-2</v>
      </c>
      <c r="J2064" s="75" t="s">
        <v>10</v>
      </c>
      <c r="K2064" s="75">
        <v>58000</v>
      </c>
      <c r="L2064" s="75">
        <v>9.8346000000000002E-4</v>
      </c>
      <c r="M2064" s="75">
        <v>58000</v>
      </c>
      <c r="N2064" s="75">
        <v>9.0207999999999998E-4</v>
      </c>
      <c r="O2064" s="90" t="str">
        <f>IF(VLOOKUP(UncLookup[[#This Row],[Item]],Items!$A$1:$F$43,2,FALSE)=0,"",VLOOKUP(UncLookup[[#This Row],[Item]],Items!$A$1:$F$43,2,FALSE))</f>
        <v/>
      </c>
      <c r="P2064" s="90" t="str">
        <f>IF(VLOOKUP(UncLookup[[#This Row],[Item]],Items!$A$1:$F$43,3,FALSE)=0,"",VLOOKUP(UncLookup[[#This Row],[Item]],Items!$A$1:$F$43,3,FALSE))</f>
        <v>10 turn</v>
      </c>
      <c r="Q2064" s="90" t="str">
        <f>IF(VLOOKUP(UncLookup[[#This Row],[Item]],Items!$A$1:$F$43,4,FALSE)=0,"",VLOOKUP(UncLookup[[#This Row],[Item]],Items!$A$1:$F$43,4,FALSE))</f>
        <v/>
      </c>
    </row>
    <row r="2065" spans="1:17" x14ac:dyDescent="0.25">
      <c r="A2065" s="76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90" t="str">
        <f>IF(VLOOKUP(UncLookup[[#This Row],[Item]],Items!$A$1:$F$43,2,FALSE)=0,"",VLOOKUP(UncLookup[[#This Row],[Item]],Items!$A$1:$F$43,2,FALSE))</f>
        <v/>
      </c>
      <c r="P2065" s="90" t="str">
        <f>IF(VLOOKUP(UncLookup[[#This Row],[Item]],Items!$A$1:$F$43,3,FALSE)=0,"",VLOOKUP(UncLookup[[#This Row],[Item]],Items!$A$1:$F$43,3,FALSE))</f>
        <v>10 turn</v>
      </c>
      <c r="Q2065" s="90" t="str">
        <f>IF(VLOOKUP(UncLookup[[#This Row],[Item]],Items!$A$1:$F$43,4,FALSE)=0,"",VLOOKUP(UncLookup[[#This Row],[Item]],Items!$A$1:$F$43,4,FALSE))</f>
        <v/>
      </c>
    </row>
    <row r="2066" spans="1:17" x14ac:dyDescent="0.25">
      <c r="A2066" s="75" t="s">
        <v>55</v>
      </c>
      <c r="B2066" s="75" t="s">
        <v>62</v>
      </c>
      <c r="C2066" s="75">
        <v>1</v>
      </c>
      <c r="D2066" s="75">
        <v>11.000999999999999</v>
      </c>
      <c r="E2066" s="75">
        <v>10</v>
      </c>
      <c r="F2066" s="75" t="s">
        <v>13</v>
      </c>
      <c r="G2066" s="75" t="s">
        <v>12</v>
      </c>
      <c r="H2066" s="75">
        <v>5</v>
      </c>
      <c r="I2066" s="75">
        <v>10</v>
      </c>
      <c r="J2066" s="75" t="s">
        <v>10</v>
      </c>
      <c r="K2066" s="75">
        <v>5799.5</v>
      </c>
      <c r="L2066" s="75">
        <v>1.1535</v>
      </c>
      <c r="M2066" s="75">
        <v>5799.5</v>
      </c>
      <c r="N2066" s="75">
        <v>1.1523000000000001</v>
      </c>
      <c r="O2066" s="90" t="str">
        <f>IF(VLOOKUP(UncLookup[[#This Row],[Item]],Items!$A$1:$F$43,2,FALSE)=0,"",VLOOKUP(UncLookup[[#This Row],[Item]],Items!$A$1:$F$43,2,FALSE))</f>
        <v/>
      </c>
      <c r="P2066" s="90" t="str">
        <f>IF(VLOOKUP(UncLookup[[#This Row],[Item]],Items!$A$1:$F$43,3,FALSE)=0,"",VLOOKUP(UncLookup[[#This Row],[Item]],Items!$A$1:$F$43,3,FALSE))</f>
        <v>10 turn</v>
      </c>
      <c r="Q2066" s="90" t="str">
        <f>IF(VLOOKUP(UncLookup[[#This Row],[Item]],Items!$A$1:$F$43,4,FALSE)=0,"",VLOOKUP(UncLookup[[#This Row],[Item]],Items!$A$1:$F$43,4,FALSE))</f>
        <v/>
      </c>
    </row>
    <row r="2067" spans="1:17" x14ac:dyDescent="0.25">
      <c r="A2067" s="76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90" t="str">
        <f>IF(VLOOKUP(UncLookup[[#This Row],[Item]],Items!$A$1:$F$43,2,FALSE)=0,"",VLOOKUP(UncLookup[[#This Row],[Item]],Items!$A$1:$F$43,2,FALSE))</f>
        <v/>
      </c>
      <c r="P2067" s="90" t="str">
        <f>IF(VLOOKUP(UncLookup[[#This Row],[Item]],Items!$A$1:$F$43,3,FALSE)=0,"",VLOOKUP(UncLookup[[#This Row],[Item]],Items!$A$1:$F$43,3,FALSE))</f>
        <v>10 turn</v>
      </c>
      <c r="Q2067" s="90" t="str">
        <f>IF(VLOOKUP(UncLookup[[#This Row],[Item]],Items!$A$1:$F$43,4,FALSE)=0,"",VLOOKUP(UncLookup[[#This Row],[Item]],Items!$A$1:$F$43,4,FALSE))</f>
        <v/>
      </c>
    </row>
    <row r="2068" spans="1:17" x14ac:dyDescent="0.25">
      <c r="A2068" s="75" t="s">
        <v>55</v>
      </c>
      <c r="B2068" s="75" t="s">
        <v>62</v>
      </c>
      <c r="C2068" s="75">
        <v>11</v>
      </c>
      <c r="D2068" s="75">
        <v>30.001000000000001</v>
      </c>
      <c r="E2068" s="75">
        <v>1E-3</v>
      </c>
      <c r="F2068" s="75" t="s">
        <v>13</v>
      </c>
      <c r="G2068" s="75" t="s">
        <v>12</v>
      </c>
      <c r="H2068" s="75">
        <v>5</v>
      </c>
      <c r="I2068" s="75">
        <v>10</v>
      </c>
      <c r="J2068" s="75" t="s">
        <v>10</v>
      </c>
      <c r="K2068" s="75">
        <v>58</v>
      </c>
      <c r="L2068" s="75">
        <v>29</v>
      </c>
      <c r="M2068" s="75">
        <v>57.627000000000002</v>
      </c>
      <c r="N2068" s="75">
        <v>28.936</v>
      </c>
      <c r="O2068" s="90" t="str">
        <f>IF(VLOOKUP(UncLookup[[#This Row],[Item]],Items!$A$1:$F$43,2,FALSE)=0,"",VLOOKUP(UncLookup[[#This Row],[Item]],Items!$A$1:$F$43,2,FALSE))</f>
        <v/>
      </c>
      <c r="P2068" s="90" t="str">
        <f>IF(VLOOKUP(UncLookup[[#This Row],[Item]],Items!$A$1:$F$43,3,FALSE)=0,"",VLOOKUP(UncLookup[[#This Row],[Item]],Items!$A$1:$F$43,3,FALSE))</f>
        <v>10 turn</v>
      </c>
      <c r="Q2068" s="90" t="str">
        <f>IF(VLOOKUP(UncLookup[[#This Row],[Item]],Items!$A$1:$F$43,4,FALSE)=0,"",VLOOKUP(UncLookup[[#This Row],[Item]],Items!$A$1:$F$43,4,FALSE))</f>
        <v/>
      </c>
    </row>
    <row r="2069" spans="1:17" x14ac:dyDescent="0.25">
      <c r="A2069" s="76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90" t="str">
        <f>IF(VLOOKUP(UncLookup[[#This Row],[Item]],Items!$A$1:$F$43,2,FALSE)=0,"",VLOOKUP(UncLookup[[#This Row],[Item]],Items!$A$1:$F$43,2,FALSE))</f>
        <v/>
      </c>
      <c r="P2069" s="90" t="str">
        <f>IF(VLOOKUP(UncLookup[[#This Row],[Item]],Items!$A$1:$F$43,3,FALSE)=0,"",VLOOKUP(UncLookup[[#This Row],[Item]],Items!$A$1:$F$43,3,FALSE))</f>
        <v>10 turn</v>
      </c>
      <c r="Q2069" s="90" t="str">
        <f>IF(VLOOKUP(UncLookup[[#This Row],[Item]],Items!$A$1:$F$43,4,FALSE)=0,"",VLOOKUP(UncLookup[[#This Row],[Item]],Items!$A$1:$F$43,4,FALSE))</f>
        <v/>
      </c>
    </row>
    <row r="2070" spans="1:17" x14ac:dyDescent="0.25">
      <c r="A2070" s="75" t="s">
        <v>55</v>
      </c>
      <c r="B2070" s="75" t="s">
        <v>62</v>
      </c>
      <c r="C2070" s="75">
        <v>11</v>
      </c>
      <c r="D2070" s="75">
        <v>30.001000000000001</v>
      </c>
      <c r="E2070" s="75">
        <v>1E-3</v>
      </c>
      <c r="F2070" s="75" t="s">
        <v>13</v>
      </c>
      <c r="G2070" s="75" t="s">
        <v>12</v>
      </c>
      <c r="H2070" s="75">
        <v>0.01</v>
      </c>
      <c r="I2070" s="75">
        <v>4.5010000000000001E-2</v>
      </c>
      <c r="J2070" s="75" t="s">
        <v>10</v>
      </c>
      <c r="K2070" s="75">
        <v>0.87</v>
      </c>
      <c r="L2070" s="75">
        <v>2.9</v>
      </c>
      <c r="M2070" s="75">
        <v>0.85389000000000004</v>
      </c>
      <c r="N2070" s="75">
        <v>2.8839000000000001</v>
      </c>
      <c r="O2070" s="90" t="str">
        <f>IF(VLOOKUP(UncLookup[[#This Row],[Item]],Items!$A$1:$F$43,2,FALSE)=0,"",VLOOKUP(UncLookup[[#This Row],[Item]],Items!$A$1:$F$43,2,FALSE))</f>
        <v/>
      </c>
      <c r="P2070" s="90" t="str">
        <f>IF(VLOOKUP(UncLookup[[#This Row],[Item]],Items!$A$1:$F$43,3,FALSE)=0,"",VLOOKUP(UncLookup[[#This Row],[Item]],Items!$A$1:$F$43,3,FALSE))</f>
        <v>10 turn</v>
      </c>
      <c r="Q2070" s="90" t="str">
        <f>IF(VLOOKUP(UncLookup[[#This Row],[Item]],Items!$A$1:$F$43,4,FALSE)=0,"",VLOOKUP(UncLookup[[#This Row],[Item]],Items!$A$1:$F$43,4,FALSE))</f>
        <v/>
      </c>
    </row>
    <row r="2071" spans="1:17" x14ac:dyDescent="0.25">
      <c r="A2071" s="76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90" t="str">
        <f>IF(VLOOKUP(UncLookup[[#This Row],[Item]],Items!$A$1:$F$43,2,FALSE)=0,"",VLOOKUP(UncLookup[[#This Row],[Item]],Items!$A$1:$F$43,2,FALSE))</f>
        <v/>
      </c>
      <c r="P2071" s="90" t="str">
        <f>IF(VLOOKUP(UncLookup[[#This Row],[Item]],Items!$A$1:$F$43,3,FALSE)=0,"",VLOOKUP(UncLookup[[#This Row],[Item]],Items!$A$1:$F$43,3,FALSE))</f>
        <v>10 turn</v>
      </c>
      <c r="Q2071" s="90" t="str">
        <f>IF(VLOOKUP(UncLookup[[#This Row],[Item]],Items!$A$1:$F$43,4,FALSE)=0,"",VLOOKUP(UncLookup[[#This Row],[Item]],Items!$A$1:$F$43,4,FALSE))</f>
        <v/>
      </c>
    </row>
    <row r="2072" spans="1:17" x14ac:dyDescent="0.25">
      <c r="A2072" s="75" t="s">
        <v>55</v>
      </c>
      <c r="B2072" s="75" t="s">
        <v>62</v>
      </c>
      <c r="C2072" s="75">
        <v>11</v>
      </c>
      <c r="D2072" s="75">
        <v>30.001000000000001</v>
      </c>
      <c r="E2072" s="75">
        <v>1E-3</v>
      </c>
      <c r="F2072" s="75" t="s">
        <v>13</v>
      </c>
      <c r="G2072" s="75" t="s">
        <v>12</v>
      </c>
      <c r="H2072" s="75">
        <v>1</v>
      </c>
      <c r="I2072" s="75">
        <v>5.01</v>
      </c>
      <c r="J2072" s="75" t="s">
        <v>10</v>
      </c>
      <c r="K2072" s="75">
        <v>12</v>
      </c>
      <c r="L2072" s="75">
        <v>7.2</v>
      </c>
      <c r="M2072" s="75">
        <v>11.173999999999999</v>
      </c>
      <c r="N2072" s="75">
        <v>7.2092000000000001</v>
      </c>
      <c r="O2072" s="90" t="str">
        <f>IF(VLOOKUP(UncLookup[[#This Row],[Item]],Items!$A$1:$F$43,2,FALSE)=0,"",VLOOKUP(UncLookup[[#This Row],[Item]],Items!$A$1:$F$43,2,FALSE))</f>
        <v/>
      </c>
      <c r="P2072" s="90" t="str">
        <f>IF(VLOOKUP(UncLookup[[#This Row],[Item]],Items!$A$1:$F$43,3,FALSE)=0,"",VLOOKUP(UncLookup[[#This Row],[Item]],Items!$A$1:$F$43,3,FALSE))</f>
        <v>10 turn</v>
      </c>
      <c r="Q2072" s="90" t="str">
        <f>IF(VLOOKUP(UncLookup[[#This Row],[Item]],Items!$A$1:$F$43,4,FALSE)=0,"",VLOOKUP(UncLookup[[#This Row],[Item]],Items!$A$1:$F$43,4,FALSE))</f>
        <v/>
      </c>
    </row>
    <row r="2073" spans="1:17" x14ac:dyDescent="0.25">
      <c r="A2073" s="76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90" t="str">
        <f>IF(VLOOKUP(UncLookup[[#This Row],[Item]],Items!$A$1:$F$43,2,FALSE)=0,"",VLOOKUP(UncLookup[[#This Row],[Item]],Items!$A$1:$F$43,2,FALSE))</f>
        <v/>
      </c>
      <c r="P2073" s="90" t="str">
        <f>IF(VLOOKUP(UncLookup[[#This Row],[Item]],Items!$A$1:$F$43,3,FALSE)=0,"",VLOOKUP(UncLookup[[#This Row],[Item]],Items!$A$1:$F$43,3,FALSE))</f>
        <v>10 turn</v>
      </c>
      <c r="Q2073" s="90" t="str">
        <f>IF(VLOOKUP(UncLookup[[#This Row],[Item]],Items!$A$1:$F$43,4,FALSE)=0,"",VLOOKUP(UncLookup[[#This Row],[Item]],Items!$A$1:$F$43,4,FALSE))</f>
        <v/>
      </c>
    </row>
    <row r="2074" spans="1:17" x14ac:dyDescent="0.25">
      <c r="A2074" s="75" t="s">
        <v>55</v>
      </c>
      <c r="B2074" s="75" t="s">
        <v>62</v>
      </c>
      <c r="C2074" s="75">
        <v>11</v>
      </c>
      <c r="D2074" s="75">
        <v>30.001000000000001</v>
      </c>
      <c r="E2074" s="75">
        <v>0.01</v>
      </c>
      <c r="F2074" s="75" t="s">
        <v>13</v>
      </c>
      <c r="G2074" s="75" t="s">
        <v>12</v>
      </c>
      <c r="H2074" s="75">
        <v>0.01</v>
      </c>
      <c r="I2074" s="75">
        <v>4.5010000000000001E-2</v>
      </c>
      <c r="J2074" s="75" t="s">
        <v>10</v>
      </c>
      <c r="K2074" s="75">
        <v>1.4280999999999999</v>
      </c>
      <c r="L2074" s="75">
        <v>2.8814000000000002</v>
      </c>
      <c r="M2074" s="75">
        <v>1.5428999999999999</v>
      </c>
      <c r="N2074" s="75">
        <v>2.8673000000000002</v>
      </c>
      <c r="O2074" s="90" t="str">
        <f>IF(VLOOKUP(UncLookup[[#This Row],[Item]],Items!$A$1:$F$43,2,FALSE)=0,"",VLOOKUP(UncLookup[[#This Row],[Item]],Items!$A$1:$F$43,2,FALSE))</f>
        <v/>
      </c>
      <c r="P2074" s="90" t="str">
        <f>IF(VLOOKUP(UncLookup[[#This Row],[Item]],Items!$A$1:$F$43,3,FALSE)=0,"",VLOOKUP(UncLookup[[#This Row],[Item]],Items!$A$1:$F$43,3,FALSE))</f>
        <v>10 turn</v>
      </c>
      <c r="Q2074" s="90" t="str">
        <f>IF(VLOOKUP(UncLookup[[#This Row],[Item]],Items!$A$1:$F$43,4,FALSE)=0,"",VLOOKUP(UncLookup[[#This Row],[Item]],Items!$A$1:$F$43,4,FALSE))</f>
        <v/>
      </c>
    </row>
    <row r="2075" spans="1:17" x14ac:dyDescent="0.25">
      <c r="A2075" s="76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90" t="str">
        <f>IF(VLOOKUP(UncLookup[[#This Row],[Item]],Items!$A$1:$F$43,2,FALSE)=0,"",VLOOKUP(UncLookup[[#This Row],[Item]],Items!$A$1:$F$43,2,FALSE))</f>
        <v/>
      </c>
      <c r="P2075" s="90" t="str">
        <f>IF(VLOOKUP(UncLookup[[#This Row],[Item]],Items!$A$1:$F$43,3,FALSE)=0,"",VLOOKUP(UncLookup[[#This Row],[Item]],Items!$A$1:$F$43,3,FALSE))</f>
        <v>10 turn</v>
      </c>
      <c r="Q2075" s="90" t="str">
        <f>IF(VLOOKUP(UncLookup[[#This Row],[Item]],Items!$A$1:$F$43,4,FALSE)=0,"",VLOOKUP(UncLookup[[#This Row],[Item]],Items!$A$1:$F$43,4,FALSE))</f>
        <v/>
      </c>
    </row>
    <row r="2076" spans="1:17" x14ac:dyDescent="0.25">
      <c r="A2076" s="75" t="s">
        <v>55</v>
      </c>
      <c r="B2076" s="75" t="s">
        <v>62</v>
      </c>
      <c r="C2076" s="75">
        <v>11</v>
      </c>
      <c r="D2076" s="75">
        <v>30.001000000000001</v>
      </c>
      <c r="E2076" s="75">
        <v>0.01</v>
      </c>
      <c r="F2076" s="75" t="s">
        <v>13</v>
      </c>
      <c r="G2076" s="75" t="s">
        <v>12</v>
      </c>
      <c r="H2076" s="75">
        <v>1</v>
      </c>
      <c r="I2076" s="75">
        <v>5.01</v>
      </c>
      <c r="J2076" s="75" t="s">
        <v>10</v>
      </c>
      <c r="K2076" s="75">
        <v>12</v>
      </c>
      <c r="L2076" s="75">
        <v>7.2</v>
      </c>
      <c r="M2076" s="75">
        <v>11.422000000000001</v>
      </c>
      <c r="N2076" s="75">
        <v>7.2034000000000002</v>
      </c>
      <c r="O2076" s="90" t="str">
        <f>IF(VLOOKUP(UncLookup[[#This Row],[Item]],Items!$A$1:$F$43,2,FALSE)=0,"",VLOOKUP(UncLookup[[#This Row],[Item]],Items!$A$1:$F$43,2,FALSE))</f>
        <v/>
      </c>
      <c r="P2076" s="90" t="str">
        <f>IF(VLOOKUP(UncLookup[[#This Row],[Item]],Items!$A$1:$F$43,3,FALSE)=0,"",VLOOKUP(UncLookup[[#This Row],[Item]],Items!$A$1:$F$43,3,FALSE))</f>
        <v>10 turn</v>
      </c>
      <c r="Q2076" s="90" t="str">
        <f>IF(VLOOKUP(UncLookup[[#This Row],[Item]],Items!$A$1:$F$43,4,FALSE)=0,"",VLOOKUP(UncLookup[[#This Row],[Item]],Items!$A$1:$F$43,4,FALSE))</f>
        <v/>
      </c>
    </row>
    <row r="2077" spans="1:17" x14ac:dyDescent="0.25">
      <c r="A2077" s="76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90" t="str">
        <f>IF(VLOOKUP(UncLookup[[#This Row],[Item]],Items!$A$1:$F$43,2,FALSE)=0,"",VLOOKUP(UncLookup[[#This Row],[Item]],Items!$A$1:$F$43,2,FALSE))</f>
        <v/>
      </c>
      <c r="P2077" s="90" t="str">
        <f>IF(VLOOKUP(UncLookup[[#This Row],[Item]],Items!$A$1:$F$43,3,FALSE)=0,"",VLOOKUP(UncLookup[[#This Row],[Item]],Items!$A$1:$F$43,3,FALSE))</f>
        <v>10 turn</v>
      </c>
      <c r="Q2077" s="90" t="str">
        <f>IF(VLOOKUP(UncLookup[[#This Row],[Item]],Items!$A$1:$F$43,4,FALSE)=0,"",VLOOKUP(UncLookup[[#This Row],[Item]],Items!$A$1:$F$43,4,FALSE))</f>
        <v/>
      </c>
    </row>
    <row r="2078" spans="1:17" x14ac:dyDescent="0.25">
      <c r="A2078" s="75" t="s">
        <v>55</v>
      </c>
      <c r="B2078" s="75" t="s">
        <v>62</v>
      </c>
      <c r="C2078" s="75">
        <v>11</v>
      </c>
      <c r="D2078" s="75">
        <v>30.001000000000001</v>
      </c>
      <c r="E2078" s="75">
        <v>0.1</v>
      </c>
      <c r="F2078" s="75" t="s">
        <v>13</v>
      </c>
      <c r="G2078" s="75" t="s">
        <v>12</v>
      </c>
      <c r="H2078" s="75">
        <v>0.01</v>
      </c>
      <c r="I2078" s="75">
        <v>4.5010000000000001E-2</v>
      </c>
      <c r="J2078" s="75" t="s">
        <v>10</v>
      </c>
      <c r="K2078" s="75">
        <v>44.393999999999998</v>
      </c>
      <c r="L2078" s="75">
        <v>2.0188000000000001</v>
      </c>
      <c r="M2078" s="75">
        <v>44.317</v>
      </c>
      <c r="N2078" s="75">
        <v>2.0184000000000002</v>
      </c>
      <c r="O2078" s="90" t="str">
        <f>IF(VLOOKUP(UncLookup[[#This Row],[Item]],Items!$A$1:$F$43,2,FALSE)=0,"",VLOOKUP(UncLookup[[#This Row],[Item]],Items!$A$1:$F$43,2,FALSE))</f>
        <v/>
      </c>
      <c r="P2078" s="90" t="str">
        <f>IF(VLOOKUP(UncLookup[[#This Row],[Item]],Items!$A$1:$F$43,3,FALSE)=0,"",VLOOKUP(UncLookup[[#This Row],[Item]],Items!$A$1:$F$43,3,FALSE))</f>
        <v>10 turn</v>
      </c>
      <c r="Q2078" s="90" t="str">
        <f>IF(VLOOKUP(UncLookup[[#This Row],[Item]],Items!$A$1:$F$43,4,FALSE)=0,"",VLOOKUP(UncLookup[[#This Row],[Item]],Items!$A$1:$F$43,4,FALSE))</f>
        <v/>
      </c>
    </row>
    <row r="2079" spans="1:17" x14ac:dyDescent="0.25">
      <c r="A2079" s="76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90" t="str">
        <f>IF(VLOOKUP(UncLookup[[#This Row],[Item]],Items!$A$1:$F$43,2,FALSE)=0,"",VLOOKUP(UncLookup[[#This Row],[Item]],Items!$A$1:$F$43,2,FALSE))</f>
        <v/>
      </c>
      <c r="P2079" s="90" t="str">
        <f>IF(VLOOKUP(UncLookup[[#This Row],[Item]],Items!$A$1:$F$43,3,FALSE)=0,"",VLOOKUP(UncLookup[[#This Row],[Item]],Items!$A$1:$F$43,3,FALSE))</f>
        <v>10 turn</v>
      </c>
      <c r="Q2079" s="90" t="str">
        <f>IF(VLOOKUP(UncLookup[[#This Row],[Item]],Items!$A$1:$F$43,4,FALSE)=0,"",VLOOKUP(UncLookup[[#This Row],[Item]],Items!$A$1:$F$43,4,FALSE))</f>
        <v/>
      </c>
    </row>
    <row r="2080" spans="1:17" x14ac:dyDescent="0.25">
      <c r="A2080" s="75" t="s">
        <v>55</v>
      </c>
      <c r="B2080" s="75" t="s">
        <v>62</v>
      </c>
      <c r="C2080" s="75">
        <v>11</v>
      </c>
      <c r="D2080" s="75">
        <v>30.001000000000001</v>
      </c>
      <c r="E2080" s="75">
        <v>0.1</v>
      </c>
      <c r="F2080" s="75" t="s">
        <v>13</v>
      </c>
      <c r="G2080" s="75" t="s">
        <v>12</v>
      </c>
      <c r="H2080" s="75">
        <v>1</v>
      </c>
      <c r="I2080" s="75">
        <v>5.01</v>
      </c>
      <c r="J2080" s="75" t="s">
        <v>10</v>
      </c>
      <c r="K2080" s="75">
        <v>33.826999999999998</v>
      </c>
      <c r="L2080" s="75">
        <v>6.6978</v>
      </c>
      <c r="M2080" s="75">
        <v>33.792000000000002</v>
      </c>
      <c r="N2080" s="75">
        <v>6.6978999999999997</v>
      </c>
      <c r="O2080" s="90" t="str">
        <f>IF(VLOOKUP(UncLookup[[#This Row],[Item]],Items!$A$1:$F$43,2,FALSE)=0,"",VLOOKUP(UncLookup[[#This Row],[Item]],Items!$A$1:$F$43,2,FALSE))</f>
        <v/>
      </c>
      <c r="P2080" s="90" t="str">
        <f>IF(VLOOKUP(UncLookup[[#This Row],[Item]],Items!$A$1:$F$43,3,FALSE)=0,"",VLOOKUP(UncLookup[[#This Row],[Item]],Items!$A$1:$F$43,3,FALSE))</f>
        <v>10 turn</v>
      </c>
      <c r="Q2080" s="90" t="str">
        <f>IF(VLOOKUP(UncLookup[[#This Row],[Item]],Items!$A$1:$F$43,4,FALSE)=0,"",VLOOKUP(UncLookup[[#This Row],[Item]],Items!$A$1:$F$43,4,FALSE))</f>
        <v/>
      </c>
    </row>
    <row r="2081" spans="1:17" x14ac:dyDescent="0.25">
      <c r="A2081" s="76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90" t="str">
        <f>IF(VLOOKUP(UncLookup[[#This Row],[Item]],Items!$A$1:$F$43,2,FALSE)=0,"",VLOOKUP(UncLookup[[#This Row],[Item]],Items!$A$1:$F$43,2,FALSE))</f>
        <v/>
      </c>
      <c r="P2081" s="90" t="str">
        <f>IF(VLOOKUP(UncLookup[[#This Row],[Item]],Items!$A$1:$F$43,3,FALSE)=0,"",VLOOKUP(UncLookup[[#This Row],[Item]],Items!$A$1:$F$43,3,FALSE))</f>
        <v>10 turn</v>
      </c>
      <c r="Q2081" s="90" t="str">
        <f>IF(VLOOKUP(UncLookup[[#This Row],[Item]],Items!$A$1:$F$43,4,FALSE)=0,"",VLOOKUP(UncLookup[[#This Row],[Item]],Items!$A$1:$F$43,4,FALSE))</f>
        <v/>
      </c>
    </row>
    <row r="2082" spans="1:17" x14ac:dyDescent="0.25">
      <c r="A2082" s="75" t="s">
        <v>55</v>
      </c>
      <c r="B2082" s="75" t="s">
        <v>62</v>
      </c>
      <c r="C2082" s="75">
        <v>11</v>
      </c>
      <c r="D2082" s="75">
        <v>30.001000000000001</v>
      </c>
      <c r="E2082" s="75">
        <v>0.1</v>
      </c>
      <c r="F2082" s="75" t="s">
        <v>13</v>
      </c>
      <c r="G2082" s="75" t="s">
        <v>12</v>
      </c>
      <c r="H2082" s="75">
        <v>5</v>
      </c>
      <c r="I2082" s="75">
        <v>10</v>
      </c>
      <c r="J2082" s="75" t="s">
        <v>10</v>
      </c>
      <c r="K2082" s="75">
        <v>63.353000000000002</v>
      </c>
      <c r="L2082" s="75">
        <v>28.821999999999999</v>
      </c>
      <c r="M2082" s="75">
        <v>63.613</v>
      </c>
      <c r="N2082" s="75">
        <v>28.797000000000001</v>
      </c>
      <c r="O2082" s="90" t="str">
        <f>IF(VLOOKUP(UncLookup[[#This Row],[Item]],Items!$A$1:$F$43,2,FALSE)=0,"",VLOOKUP(UncLookup[[#This Row],[Item]],Items!$A$1:$F$43,2,FALSE))</f>
        <v/>
      </c>
      <c r="P2082" s="90" t="str">
        <f>IF(VLOOKUP(UncLookup[[#This Row],[Item]],Items!$A$1:$F$43,3,FALSE)=0,"",VLOOKUP(UncLookup[[#This Row],[Item]],Items!$A$1:$F$43,3,FALSE))</f>
        <v>10 turn</v>
      </c>
      <c r="Q2082" s="90" t="str">
        <f>IF(VLOOKUP(UncLookup[[#This Row],[Item]],Items!$A$1:$F$43,4,FALSE)=0,"",VLOOKUP(UncLookup[[#This Row],[Item]],Items!$A$1:$F$43,4,FALSE))</f>
        <v/>
      </c>
    </row>
    <row r="2083" spans="1:17" x14ac:dyDescent="0.25">
      <c r="A2083" s="76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90" t="str">
        <f>IF(VLOOKUP(UncLookup[[#This Row],[Item]],Items!$A$1:$F$43,2,FALSE)=0,"",VLOOKUP(UncLookup[[#This Row],[Item]],Items!$A$1:$F$43,2,FALSE))</f>
        <v/>
      </c>
      <c r="P2083" s="90" t="str">
        <f>IF(VLOOKUP(UncLookup[[#This Row],[Item]],Items!$A$1:$F$43,3,FALSE)=0,"",VLOOKUP(UncLookup[[#This Row],[Item]],Items!$A$1:$F$43,3,FALSE))</f>
        <v>10 turn</v>
      </c>
      <c r="Q2083" s="90" t="str">
        <f>IF(VLOOKUP(UncLookup[[#This Row],[Item]],Items!$A$1:$F$43,4,FALSE)=0,"",VLOOKUP(UncLookup[[#This Row],[Item]],Items!$A$1:$F$43,4,FALSE))</f>
        <v/>
      </c>
    </row>
    <row r="2084" spans="1:17" x14ac:dyDescent="0.25">
      <c r="A2084" s="75" t="s">
        <v>55</v>
      </c>
      <c r="B2084" s="75" t="s">
        <v>62</v>
      </c>
      <c r="C2084" s="75">
        <v>11</v>
      </c>
      <c r="D2084" s="75">
        <v>30.001000000000001</v>
      </c>
      <c r="E2084" s="75">
        <v>1</v>
      </c>
      <c r="F2084" s="75" t="s">
        <v>13</v>
      </c>
      <c r="G2084" s="75" t="s">
        <v>12</v>
      </c>
      <c r="H2084" s="75">
        <v>5</v>
      </c>
      <c r="I2084" s="75">
        <v>10</v>
      </c>
      <c r="J2084" s="75" t="s">
        <v>10</v>
      </c>
      <c r="K2084" s="75">
        <v>458.92</v>
      </c>
      <c r="L2084" s="75">
        <v>21.117999999999999</v>
      </c>
      <c r="M2084" s="75">
        <v>458.89</v>
      </c>
      <c r="N2084" s="75">
        <v>21.117000000000001</v>
      </c>
      <c r="O2084" s="90" t="str">
        <f>IF(VLOOKUP(UncLookup[[#This Row],[Item]],Items!$A$1:$F$43,2,FALSE)=0,"",VLOOKUP(UncLookup[[#This Row],[Item]],Items!$A$1:$F$43,2,FALSE))</f>
        <v/>
      </c>
      <c r="P2084" s="90" t="str">
        <f>IF(VLOOKUP(UncLookup[[#This Row],[Item]],Items!$A$1:$F$43,3,FALSE)=0,"",VLOOKUP(UncLookup[[#This Row],[Item]],Items!$A$1:$F$43,3,FALSE))</f>
        <v>10 turn</v>
      </c>
      <c r="Q2084" s="90" t="str">
        <f>IF(VLOOKUP(UncLookup[[#This Row],[Item]],Items!$A$1:$F$43,4,FALSE)=0,"",VLOOKUP(UncLookup[[#This Row],[Item]],Items!$A$1:$F$43,4,FALSE))</f>
        <v/>
      </c>
    </row>
    <row r="2085" spans="1:17" x14ac:dyDescent="0.25">
      <c r="A2085" s="76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90" t="str">
        <f>IF(VLOOKUP(UncLookup[[#This Row],[Item]],Items!$A$1:$F$43,2,FALSE)=0,"",VLOOKUP(UncLookup[[#This Row],[Item]],Items!$A$1:$F$43,2,FALSE))</f>
        <v/>
      </c>
      <c r="P2085" s="90" t="str">
        <f>IF(VLOOKUP(UncLookup[[#This Row],[Item]],Items!$A$1:$F$43,3,FALSE)=0,"",VLOOKUP(UncLookup[[#This Row],[Item]],Items!$A$1:$F$43,3,FALSE))</f>
        <v>10 turn</v>
      </c>
      <c r="Q2085" s="90" t="str">
        <f>IF(VLOOKUP(UncLookup[[#This Row],[Item]],Items!$A$1:$F$43,4,FALSE)=0,"",VLOOKUP(UncLookup[[#This Row],[Item]],Items!$A$1:$F$43,4,FALSE))</f>
        <v/>
      </c>
    </row>
    <row r="2086" spans="1:17" x14ac:dyDescent="0.25">
      <c r="A2086" s="75" t="s">
        <v>55</v>
      </c>
      <c r="B2086" s="75" t="s">
        <v>62</v>
      </c>
      <c r="C2086" s="75">
        <v>11</v>
      </c>
      <c r="D2086" s="75">
        <v>30.001000000000001</v>
      </c>
      <c r="E2086" s="75">
        <v>1</v>
      </c>
      <c r="F2086" s="75" t="s">
        <v>13</v>
      </c>
      <c r="G2086" s="75" t="s">
        <v>12</v>
      </c>
      <c r="H2086" s="75">
        <v>1</v>
      </c>
      <c r="I2086" s="75">
        <v>5.01</v>
      </c>
      <c r="J2086" s="75" t="s">
        <v>10</v>
      </c>
      <c r="K2086" s="75">
        <v>566.19000000000005</v>
      </c>
      <c r="L2086" s="75">
        <v>1.8955</v>
      </c>
      <c r="M2086" s="75">
        <v>566.17999999999995</v>
      </c>
      <c r="N2086" s="75">
        <v>1.8942000000000001</v>
      </c>
      <c r="O2086" s="90" t="str">
        <f>IF(VLOOKUP(UncLookup[[#This Row],[Item]],Items!$A$1:$F$43,2,FALSE)=0,"",VLOOKUP(UncLookup[[#This Row],[Item]],Items!$A$1:$F$43,2,FALSE))</f>
        <v/>
      </c>
      <c r="P2086" s="90" t="str">
        <f>IF(VLOOKUP(UncLookup[[#This Row],[Item]],Items!$A$1:$F$43,3,FALSE)=0,"",VLOOKUP(UncLookup[[#This Row],[Item]],Items!$A$1:$F$43,3,FALSE))</f>
        <v>10 turn</v>
      </c>
      <c r="Q2086" s="90" t="str">
        <f>IF(VLOOKUP(UncLookup[[#This Row],[Item]],Items!$A$1:$F$43,4,FALSE)=0,"",VLOOKUP(UncLookup[[#This Row],[Item]],Items!$A$1:$F$43,4,FALSE))</f>
        <v/>
      </c>
    </row>
    <row r="2087" spans="1:17" x14ac:dyDescent="0.25">
      <c r="A2087" s="76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90" t="str">
        <f>IF(VLOOKUP(UncLookup[[#This Row],[Item]],Items!$A$1:$F$43,2,FALSE)=0,"",VLOOKUP(UncLookup[[#This Row],[Item]],Items!$A$1:$F$43,2,FALSE))</f>
        <v/>
      </c>
      <c r="P2087" s="90" t="str">
        <f>IF(VLOOKUP(UncLookup[[#This Row],[Item]],Items!$A$1:$F$43,3,FALSE)=0,"",VLOOKUP(UncLookup[[#This Row],[Item]],Items!$A$1:$F$43,3,FALSE))</f>
        <v>10 turn</v>
      </c>
      <c r="Q2087" s="90" t="str">
        <f>IF(VLOOKUP(UncLookup[[#This Row],[Item]],Items!$A$1:$F$43,4,FALSE)=0,"",VLOOKUP(UncLookup[[#This Row],[Item]],Items!$A$1:$F$43,4,FALSE))</f>
        <v/>
      </c>
    </row>
    <row r="2088" spans="1:17" x14ac:dyDescent="0.25">
      <c r="A2088" s="75" t="s">
        <v>55</v>
      </c>
      <c r="B2088" s="75" t="s">
        <v>62</v>
      </c>
      <c r="C2088" s="75">
        <v>11</v>
      </c>
      <c r="D2088" s="75">
        <v>30.001000000000001</v>
      </c>
      <c r="E2088" s="75">
        <v>10</v>
      </c>
      <c r="F2088" s="75" t="s">
        <v>13</v>
      </c>
      <c r="G2088" s="75" t="s">
        <v>12</v>
      </c>
      <c r="H2088" s="75">
        <v>0.01</v>
      </c>
      <c r="I2088" s="75">
        <v>4.5010000000000001E-2</v>
      </c>
      <c r="J2088" s="75" t="s">
        <v>10</v>
      </c>
      <c r="K2088" s="75">
        <v>5799.8</v>
      </c>
      <c r="L2088" s="75">
        <v>3.0408000000000001E-2</v>
      </c>
      <c r="M2088" s="75">
        <v>5799.8</v>
      </c>
      <c r="N2088" s="75">
        <v>2.9818999999999998E-2</v>
      </c>
      <c r="O2088" s="90" t="str">
        <f>IF(VLOOKUP(UncLookup[[#This Row],[Item]],Items!$A$1:$F$43,2,FALSE)=0,"",VLOOKUP(UncLookup[[#This Row],[Item]],Items!$A$1:$F$43,2,FALSE))</f>
        <v/>
      </c>
      <c r="P2088" s="90" t="str">
        <f>IF(VLOOKUP(UncLookup[[#This Row],[Item]],Items!$A$1:$F$43,3,FALSE)=0,"",VLOOKUP(UncLookup[[#This Row],[Item]],Items!$A$1:$F$43,3,FALSE))</f>
        <v>10 turn</v>
      </c>
      <c r="Q2088" s="90" t="str">
        <f>IF(VLOOKUP(UncLookup[[#This Row],[Item]],Items!$A$1:$F$43,4,FALSE)=0,"",VLOOKUP(UncLookup[[#This Row],[Item]],Items!$A$1:$F$43,4,FALSE))</f>
        <v/>
      </c>
    </row>
    <row r="2089" spans="1:17" x14ac:dyDescent="0.25">
      <c r="A2089" s="76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90" t="str">
        <f>IF(VLOOKUP(UncLookup[[#This Row],[Item]],Items!$A$1:$F$43,2,FALSE)=0,"",VLOOKUP(UncLookup[[#This Row],[Item]],Items!$A$1:$F$43,2,FALSE))</f>
        <v/>
      </c>
      <c r="P2089" s="90" t="str">
        <f>IF(VLOOKUP(UncLookup[[#This Row],[Item]],Items!$A$1:$F$43,3,FALSE)=0,"",VLOOKUP(UncLookup[[#This Row],[Item]],Items!$A$1:$F$43,3,FALSE))</f>
        <v>10 turn</v>
      </c>
      <c r="Q2089" s="90" t="str">
        <f>IF(VLOOKUP(UncLookup[[#This Row],[Item]],Items!$A$1:$F$43,4,FALSE)=0,"",VLOOKUP(UncLookup[[#This Row],[Item]],Items!$A$1:$F$43,4,FALSE))</f>
        <v/>
      </c>
    </row>
    <row r="2090" spans="1:17" x14ac:dyDescent="0.25">
      <c r="A2090" s="75" t="s">
        <v>55</v>
      </c>
      <c r="B2090" s="75" t="s">
        <v>62</v>
      </c>
      <c r="C2090" s="75">
        <v>11</v>
      </c>
      <c r="D2090" s="75">
        <v>30.001000000000001</v>
      </c>
      <c r="E2090" s="75">
        <v>10</v>
      </c>
      <c r="F2090" s="75" t="s">
        <v>13</v>
      </c>
      <c r="G2090" s="75" t="s">
        <v>12</v>
      </c>
      <c r="H2090" s="75">
        <v>5</v>
      </c>
      <c r="I2090" s="75">
        <v>10</v>
      </c>
      <c r="J2090" s="75" t="s">
        <v>10</v>
      </c>
      <c r="K2090" s="75">
        <v>5776.7</v>
      </c>
      <c r="L2090" s="75">
        <v>3.2241</v>
      </c>
      <c r="M2090" s="75">
        <v>5776.7</v>
      </c>
      <c r="N2090" s="75">
        <v>3.2231000000000001</v>
      </c>
      <c r="O2090" s="90" t="str">
        <f>IF(VLOOKUP(UncLookup[[#This Row],[Item]],Items!$A$1:$F$43,2,FALSE)=0,"",VLOOKUP(UncLookup[[#This Row],[Item]],Items!$A$1:$F$43,2,FALSE))</f>
        <v/>
      </c>
      <c r="P2090" s="90" t="str">
        <f>IF(VLOOKUP(UncLookup[[#This Row],[Item]],Items!$A$1:$F$43,3,FALSE)=0,"",VLOOKUP(UncLookup[[#This Row],[Item]],Items!$A$1:$F$43,3,FALSE))</f>
        <v>10 turn</v>
      </c>
      <c r="Q2090" s="90" t="str">
        <f>IF(VLOOKUP(UncLookup[[#This Row],[Item]],Items!$A$1:$F$43,4,FALSE)=0,"",VLOOKUP(UncLookup[[#This Row],[Item]],Items!$A$1:$F$43,4,FALSE))</f>
        <v/>
      </c>
    </row>
    <row r="2091" spans="1:17" x14ac:dyDescent="0.25">
      <c r="A2091" s="76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90" t="str">
        <f>IF(VLOOKUP(UncLookup[[#This Row],[Item]],Items!$A$1:$F$43,2,FALSE)=0,"",VLOOKUP(UncLookup[[#This Row],[Item]],Items!$A$1:$F$43,2,FALSE))</f>
        <v/>
      </c>
      <c r="P2091" s="90" t="str">
        <f>IF(VLOOKUP(UncLookup[[#This Row],[Item]],Items!$A$1:$F$43,3,FALSE)=0,"",VLOOKUP(UncLookup[[#This Row],[Item]],Items!$A$1:$F$43,3,FALSE))</f>
        <v>10 turn</v>
      </c>
      <c r="Q2091" s="90" t="str">
        <f>IF(VLOOKUP(UncLookup[[#This Row],[Item]],Items!$A$1:$F$43,4,FALSE)=0,"",VLOOKUP(UncLookup[[#This Row],[Item]],Items!$A$1:$F$43,4,FALSE))</f>
        <v/>
      </c>
    </row>
    <row r="2092" spans="1:17" x14ac:dyDescent="0.25">
      <c r="A2092" s="75" t="s">
        <v>55</v>
      </c>
      <c r="B2092" s="75" t="s">
        <v>62</v>
      </c>
      <c r="C2092" s="75">
        <v>11</v>
      </c>
      <c r="D2092" s="75">
        <v>30.001000000000001</v>
      </c>
      <c r="E2092" s="75">
        <v>10</v>
      </c>
      <c r="F2092" s="75" t="s">
        <v>13</v>
      </c>
      <c r="G2092" s="75" t="s">
        <v>12</v>
      </c>
      <c r="H2092" s="75">
        <v>4.4999999999999998E-2</v>
      </c>
      <c r="I2092" s="75">
        <v>1.0000100000000001</v>
      </c>
      <c r="J2092" s="75" t="s">
        <v>10</v>
      </c>
      <c r="K2092" s="75">
        <v>5799.9</v>
      </c>
      <c r="L2092" s="75">
        <v>1.6507000000000001E-2</v>
      </c>
      <c r="M2092" s="75">
        <v>5799.9</v>
      </c>
      <c r="N2092" s="75">
        <v>1.5972E-2</v>
      </c>
      <c r="O2092" s="90" t="str">
        <f>IF(VLOOKUP(UncLookup[[#This Row],[Item]],Items!$A$1:$F$43,2,FALSE)=0,"",VLOOKUP(UncLookup[[#This Row],[Item]],Items!$A$1:$F$43,2,FALSE))</f>
        <v/>
      </c>
      <c r="P2092" s="90" t="str">
        <f>IF(VLOOKUP(UncLookup[[#This Row],[Item]],Items!$A$1:$F$43,3,FALSE)=0,"",VLOOKUP(UncLookup[[#This Row],[Item]],Items!$A$1:$F$43,3,FALSE))</f>
        <v>10 turn</v>
      </c>
      <c r="Q2092" s="90" t="str">
        <f>IF(VLOOKUP(UncLookup[[#This Row],[Item]],Items!$A$1:$F$43,4,FALSE)=0,"",VLOOKUP(UncLookup[[#This Row],[Item]],Items!$A$1:$F$43,4,FALSE))</f>
        <v/>
      </c>
    </row>
    <row r="2093" spans="1:17" x14ac:dyDescent="0.25">
      <c r="A2093" s="76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90" t="str">
        <f>IF(VLOOKUP(UncLookup[[#This Row],[Item]],Items!$A$1:$F$43,2,FALSE)=0,"",VLOOKUP(UncLookup[[#This Row],[Item]],Items!$A$1:$F$43,2,FALSE))</f>
        <v/>
      </c>
      <c r="P2093" s="90" t="str">
        <f>IF(VLOOKUP(UncLookup[[#This Row],[Item]],Items!$A$1:$F$43,3,FALSE)=0,"",VLOOKUP(UncLookup[[#This Row],[Item]],Items!$A$1:$F$43,3,FALSE))</f>
        <v>10 turn</v>
      </c>
      <c r="Q2093" s="90" t="str">
        <f>IF(VLOOKUP(UncLookup[[#This Row],[Item]],Items!$A$1:$F$43,4,FALSE)=0,"",VLOOKUP(UncLookup[[#This Row],[Item]],Items!$A$1:$F$43,4,FALSE))</f>
        <v/>
      </c>
    </row>
    <row r="2094" spans="1:17" x14ac:dyDescent="0.25">
      <c r="A2094" s="75" t="s">
        <v>55</v>
      </c>
      <c r="B2094" s="75" t="s">
        <v>62</v>
      </c>
      <c r="C2094" s="75">
        <v>30</v>
      </c>
      <c r="D2094" s="75">
        <v>110.01</v>
      </c>
      <c r="E2094" s="75">
        <v>0.01</v>
      </c>
      <c r="F2094" s="75" t="s">
        <v>13</v>
      </c>
      <c r="G2094" s="75" t="s">
        <v>12</v>
      </c>
      <c r="H2094" s="75">
        <v>4.4999999999999998E-2</v>
      </c>
      <c r="I2094" s="75">
        <v>0.10001</v>
      </c>
      <c r="J2094" s="75" t="s">
        <v>10</v>
      </c>
      <c r="K2094" s="75">
        <v>12</v>
      </c>
      <c r="L2094" s="75">
        <v>2.1</v>
      </c>
      <c r="M2094" s="75">
        <v>11.984</v>
      </c>
      <c r="N2094" s="75">
        <v>2.0859999999999999</v>
      </c>
      <c r="O2094" s="90" t="str">
        <f>IF(VLOOKUP(UncLookup[[#This Row],[Item]],Items!$A$1:$F$43,2,FALSE)=0,"",VLOOKUP(UncLookup[[#This Row],[Item]],Items!$A$1:$F$43,2,FALSE))</f>
        <v/>
      </c>
      <c r="P2094" s="90" t="str">
        <f>IF(VLOOKUP(UncLookup[[#This Row],[Item]],Items!$A$1:$F$43,3,FALSE)=0,"",VLOOKUP(UncLookup[[#This Row],[Item]],Items!$A$1:$F$43,3,FALSE))</f>
        <v>10 turn</v>
      </c>
      <c r="Q2094" s="90" t="str">
        <f>IF(VLOOKUP(UncLookup[[#This Row],[Item]],Items!$A$1:$F$43,4,FALSE)=0,"",VLOOKUP(UncLookup[[#This Row],[Item]],Items!$A$1:$F$43,4,FALSE))</f>
        <v/>
      </c>
    </row>
    <row r="2095" spans="1:17" x14ac:dyDescent="0.25">
      <c r="A2095" s="76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90" t="str">
        <f>IF(VLOOKUP(UncLookup[[#This Row],[Item]],Items!$A$1:$F$43,2,FALSE)=0,"",VLOOKUP(UncLookup[[#This Row],[Item]],Items!$A$1:$F$43,2,FALSE))</f>
        <v/>
      </c>
      <c r="P2095" s="90" t="str">
        <f>IF(VLOOKUP(UncLookup[[#This Row],[Item]],Items!$A$1:$F$43,3,FALSE)=0,"",VLOOKUP(UncLookup[[#This Row],[Item]],Items!$A$1:$F$43,3,FALSE))</f>
        <v>10 turn</v>
      </c>
      <c r="Q2095" s="90" t="str">
        <f>IF(VLOOKUP(UncLookup[[#This Row],[Item]],Items!$A$1:$F$43,4,FALSE)=0,"",VLOOKUP(UncLookup[[#This Row],[Item]],Items!$A$1:$F$43,4,FALSE))</f>
        <v/>
      </c>
    </row>
    <row r="2096" spans="1:17" x14ac:dyDescent="0.25">
      <c r="A2096" s="75" t="s">
        <v>55</v>
      </c>
      <c r="B2096" s="75" t="s">
        <v>62</v>
      </c>
      <c r="C2096" s="75">
        <v>30</v>
      </c>
      <c r="D2096" s="75">
        <v>110.01</v>
      </c>
      <c r="E2096" s="75">
        <v>0.01</v>
      </c>
      <c r="F2096" s="75" t="s">
        <v>13</v>
      </c>
      <c r="G2096" s="75" t="s">
        <v>12</v>
      </c>
      <c r="H2096" s="75">
        <v>5</v>
      </c>
      <c r="I2096" s="75">
        <v>5.01</v>
      </c>
      <c r="J2096" s="75" t="s">
        <v>10</v>
      </c>
      <c r="K2096" s="75">
        <v>24</v>
      </c>
      <c r="L2096" s="75">
        <v>35</v>
      </c>
      <c r="M2096" s="75">
        <v>23.064</v>
      </c>
      <c r="N2096" s="75">
        <v>34.698999999999998</v>
      </c>
      <c r="O2096" s="90" t="str">
        <f>IF(VLOOKUP(UncLookup[[#This Row],[Item]],Items!$A$1:$F$43,2,FALSE)=0,"",VLOOKUP(UncLookup[[#This Row],[Item]],Items!$A$1:$F$43,2,FALSE))</f>
        <v/>
      </c>
      <c r="P2096" s="90" t="str">
        <f>IF(VLOOKUP(UncLookup[[#This Row],[Item]],Items!$A$1:$F$43,3,FALSE)=0,"",VLOOKUP(UncLookup[[#This Row],[Item]],Items!$A$1:$F$43,3,FALSE))</f>
        <v>10 turn</v>
      </c>
      <c r="Q2096" s="90" t="str">
        <f>IF(VLOOKUP(UncLookup[[#This Row],[Item]],Items!$A$1:$F$43,4,FALSE)=0,"",VLOOKUP(UncLookup[[#This Row],[Item]],Items!$A$1:$F$43,4,FALSE))</f>
        <v/>
      </c>
    </row>
    <row r="2097" spans="1:17" x14ac:dyDescent="0.25">
      <c r="A2097" s="76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90" t="str">
        <f>IF(VLOOKUP(UncLookup[[#This Row],[Item]],Items!$A$1:$F$43,2,FALSE)=0,"",VLOOKUP(UncLookup[[#This Row],[Item]],Items!$A$1:$F$43,2,FALSE))</f>
        <v/>
      </c>
      <c r="P2097" s="90" t="str">
        <f>IF(VLOOKUP(UncLookup[[#This Row],[Item]],Items!$A$1:$F$43,3,FALSE)=0,"",VLOOKUP(UncLookup[[#This Row],[Item]],Items!$A$1:$F$43,3,FALSE))</f>
        <v>10 turn</v>
      </c>
      <c r="Q2097" s="90" t="str">
        <f>IF(VLOOKUP(UncLookup[[#This Row],[Item]],Items!$A$1:$F$43,4,FALSE)=0,"",VLOOKUP(UncLookup[[#This Row],[Item]],Items!$A$1:$F$43,4,FALSE))</f>
        <v/>
      </c>
    </row>
    <row r="2098" spans="1:17" x14ac:dyDescent="0.25">
      <c r="A2098" s="75" t="s">
        <v>55</v>
      </c>
      <c r="B2098" s="75" t="s">
        <v>62</v>
      </c>
      <c r="C2098" s="75">
        <v>30</v>
      </c>
      <c r="D2098" s="75">
        <v>110.01</v>
      </c>
      <c r="E2098" s="75">
        <v>0.1</v>
      </c>
      <c r="F2098" s="75" t="s">
        <v>13</v>
      </c>
      <c r="G2098" s="75" t="s">
        <v>12</v>
      </c>
      <c r="H2098" s="75">
        <v>0.1</v>
      </c>
      <c r="I2098" s="75">
        <v>1.0000100000000001</v>
      </c>
      <c r="J2098" s="75" t="s">
        <v>10</v>
      </c>
      <c r="K2098" s="75">
        <v>37.347999999999999</v>
      </c>
      <c r="L2098" s="75">
        <v>2.1392000000000002</v>
      </c>
      <c r="M2098" s="75">
        <v>37.319000000000003</v>
      </c>
      <c r="N2098" s="75">
        <v>2.1387</v>
      </c>
      <c r="O2098" s="90" t="str">
        <f>IF(VLOOKUP(UncLookup[[#This Row],[Item]],Items!$A$1:$F$43,2,FALSE)=0,"",VLOOKUP(UncLookup[[#This Row],[Item]],Items!$A$1:$F$43,2,FALSE))</f>
        <v/>
      </c>
      <c r="P2098" s="90" t="str">
        <f>IF(VLOOKUP(UncLookup[[#This Row],[Item]],Items!$A$1:$F$43,3,FALSE)=0,"",VLOOKUP(UncLookup[[#This Row],[Item]],Items!$A$1:$F$43,3,FALSE))</f>
        <v>10 turn</v>
      </c>
      <c r="Q2098" s="90" t="str">
        <f>IF(VLOOKUP(UncLookup[[#This Row],[Item]],Items!$A$1:$F$43,4,FALSE)=0,"",VLOOKUP(UncLookup[[#This Row],[Item]],Items!$A$1:$F$43,4,FALSE))</f>
        <v/>
      </c>
    </row>
    <row r="2099" spans="1:17" x14ac:dyDescent="0.25">
      <c r="A2099" s="76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90" t="str">
        <f>IF(VLOOKUP(UncLookup[[#This Row],[Item]],Items!$A$1:$F$43,2,FALSE)=0,"",VLOOKUP(UncLookup[[#This Row],[Item]],Items!$A$1:$F$43,2,FALSE))</f>
        <v/>
      </c>
      <c r="P2099" s="90" t="str">
        <f>IF(VLOOKUP(UncLookup[[#This Row],[Item]],Items!$A$1:$F$43,3,FALSE)=0,"",VLOOKUP(UncLookup[[#This Row],[Item]],Items!$A$1:$F$43,3,FALSE))</f>
        <v>10 turn</v>
      </c>
      <c r="Q2099" s="90" t="str">
        <f>IF(VLOOKUP(UncLookup[[#This Row],[Item]],Items!$A$1:$F$43,4,FALSE)=0,"",VLOOKUP(UncLookup[[#This Row],[Item]],Items!$A$1:$F$43,4,FALSE))</f>
        <v/>
      </c>
    </row>
    <row r="2100" spans="1:17" x14ac:dyDescent="0.25">
      <c r="A2100" s="75" t="s">
        <v>55</v>
      </c>
      <c r="B2100" s="75" t="s">
        <v>62</v>
      </c>
      <c r="C2100" s="75">
        <v>30</v>
      </c>
      <c r="D2100" s="75">
        <v>110.01</v>
      </c>
      <c r="E2100" s="75">
        <v>0.1</v>
      </c>
      <c r="F2100" s="75" t="s">
        <v>13</v>
      </c>
      <c r="G2100" s="75" t="s">
        <v>12</v>
      </c>
      <c r="H2100" s="75">
        <v>4.4999999999999998E-2</v>
      </c>
      <c r="I2100" s="75">
        <v>0.10001</v>
      </c>
      <c r="J2100" s="75" t="s">
        <v>10</v>
      </c>
      <c r="K2100" s="75">
        <v>36.579000000000001</v>
      </c>
      <c r="L2100" s="75">
        <v>1.9251</v>
      </c>
      <c r="M2100" s="75">
        <v>36.551000000000002</v>
      </c>
      <c r="N2100" s="75">
        <v>1.9245000000000001</v>
      </c>
      <c r="O2100" s="90" t="str">
        <f>IF(VLOOKUP(UncLookup[[#This Row],[Item]],Items!$A$1:$F$43,2,FALSE)=0,"",VLOOKUP(UncLookup[[#This Row],[Item]],Items!$A$1:$F$43,2,FALSE))</f>
        <v/>
      </c>
      <c r="P2100" s="90" t="str">
        <f>IF(VLOOKUP(UncLookup[[#This Row],[Item]],Items!$A$1:$F$43,3,FALSE)=0,"",VLOOKUP(UncLookup[[#This Row],[Item]],Items!$A$1:$F$43,3,FALSE))</f>
        <v>10 turn</v>
      </c>
      <c r="Q2100" s="90" t="str">
        <f>IF(VLOOKUP(UncLookup[[#This Row],[Item]],Items!$A$1:$F$43,4,FALSE)=0,"",VLOOKUP(UncLookup[[#This Row],[Item]],Items!$A$1:$F$43,4,FALSE))</f>
        <v/>
      </c>
    </row>
    <row r="2101" spans="1:17" x14ac:dyDescent="0.25">
      <c r="A2101" s="76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90" t="str">
        <f>IF(VLOOKUP(UncLookup[[#This Row],[Item]],Items!$A$1:$F$43,2,FALSE)=0,"",VLOOKUP(UncLookup[[#This Row],[Item]],Items!$A$1:$F$43,2,FALSE))</f>
        <v/>
      </c>
      <c r="P2101" s="90" t="str">
        <f>IF(VLOOKUP(UncLookup[[#This Row],[Item]],Items!$A$1:$F$43,3,FALSE)=0,"",VLOOKUP(UncLookup[[#This Row],[Item]],Items!$A$1:$F$43,3,FALSE))</f>
        <v>10 turn</v>
      </c>
      <c r="Q2101" s="90" t="str">
        <f>IF(VLOOKUP(UncLookup[[#This Row],[Item]],Items!$A$1:$F$43,4,FALSE)=0,"",VLOOKUP(UncLookup[[#This Row],[Item]],Items!$A$1:$F$43,4,FALSE))</f>
        <v/>
      </c>
    </row>
    <row r="2102" spans="1:17" x14ac:dyDescent="0.25">
      <c r="A2102" s="75" t="s">
        <v>55</v>
      </c>
      <c r="B2102" s="75" t="s">
        <v>62</v>
      </c>
      <c r="C2102" s="75">
        <v>30</v>
      </c>
      <c r="D2102" s="75">
        <v>110.01</v>
      </c>
      <c r="E2102" s="75">
        <v>1</v>
      </c>
      <c r="F2102" s="75" t="s">
        <v>13</v>
      </c>
      <c r="G2102" s="75" t="s">
        <v>12</v>
      </c>
      <c r="H2102" s="75">
        <v>4.4999999999999998E-2</v>
      </c>
      <c r="I2102" s="75">
        <v>0.10001</v>
      </c>
      <c r="J2102" s="75" t="s">
        <v>10</v>
      </c>
      <c r="K2102" s="75">
        <v>568.42999999999995</v>
      </c>
      <c r="L2102" s="75">
        <v>0.54491000000000001</v>
      </c>
      <c r="M2102" s="75">
        <v>568.44000000000005</v>
      </c>
      <c r="N2102" s="75">
        <v>0.54347000000000001</v>
      </c>
      <c r="O2102" s="90" t="str">
        <f>IF(VLOOKUP(UncLookup[[#This Row],[Item]],Items!$A$1:$F$43,2,FALSE)=0,"",VLOOKUP(UncLookup[[#This Row],[Item]],Items!$A$1:$F$43,2,FALSE))</f>
        <v/>
      </c>
      <c r="P2102" s="90" t="str">
        <f>IF(VLOOKUP(UncLookup[[#This Row],[Item]],Items!$A$1:$F$43,3,FALSE)=0,"",VLOOKUP(UncLookup[[#This Row],[Item]],Items!$A$1:$F$43,3,FALSE))</f>
        <v>10 turn</v>
      </c>
      <c r="Q2102" s="90" t="str">
        <f>IF(VLOOKUP(UncLookup[[#This Row],[Item]],Items!$A$1:$F$43,4,FALSE)=0,"",VLOOKUP(UncLookup[[#This Row],[Item]],Items!$A$1:$F$43,4,FALSE))</f>
        <v/>
      </c>
    </row>
    <row r="2103" spans="1:17" x14ac:dyDescent="0.25">
      <c r="A2103" s="76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90" t="str">
        <f>IF(VLOOKUP(UncLookup[[#This Row],[Item]],Items!$A$1:$F$43,2,FALSE)=0,"",VLOOKUP(UncLookup[[#This Row],[Item]],Items!$A$1:$F$43,2,FALSE))</f>
        <v/>
      </c>
      <c r="P2103" s="90" t="str">
        <f>IF(VLOOKUP(UncLookup[[#This Row],[Item]],Items!$A$1:$F$43,3,FALSE)=0,"",VLOOKUP(UncLookup[[#This Row],[Item]],Items!$A$1:$F$43,3,FALSE))</f>
        <v>10 turn</v>
      </c>
      <c r="Q2103" s="90" t="str">
        <f>IF(VLOOKUP(UncLookup[[#This Row],[Item]],Items!$A$1:$F$43,4,FALSE)=0,"",VLOOKUP(UncLookup[[#This Row],[Item]],Items!$A$1:$F$43,4,FALSE))</f>
        <v/>
      </c>
    </row>
    <row r="2104" spans="1:17" x14ac:dyDescent="0.25">
      <c r="A2104" s="75" t="s">
        <v>55</v>
      </c>
      <c r="B2104" s="75" t="s">
        <v>62</v>
      </c>
      <c r="C2104" s="75">
        <v>30</v>
      </c>
      <c r="D2104" s="75">
        <v>110.01</v>
      </c>
      <c r="E2104" s="75">
        <v>1</v>
      </c>
      <c r="F2104" s="75" t="s">
        <v>13</v>
      </c>
      <c r="G2104" s="75" t="s">
        <v>12</v>
      </c>
      <c r="H2104" s="75">
        <v>0.1</v>
      </c>
      <c r="I2104" s="75">
        <v>1.0000100000000001</v>
      </c>
      <c r="J2104" s="75" t="s">
        <v>10</v>
      </c>
      <c r="K2104" s="75">
        <v>566.33000000000004</v>
      </c>
      <c r="L2104" s="75">
        <v>0.65491999999999995</v>
      </c>
      <c r="M2104" s="75">
        <v>566.34</v>
      </c>
      <c r="N2104" s="75">
        <v>0.65351000000000004</v>
      </c>
      <c r="O2104" s="90" t="str">
        <f>IF(VLOOKUP(UncLookup[[#This Row],[Item]],Items!$A$1:$F$43,2,FALSE)=0,"",VLOOKUP(UncLookup[[#This Row],[Item]],Items!$A$1:$F$43,2,FALSE))</f>
        <v/>
      </c>
      <c r="P2104" s="90" t="str">
        <f>IF(VLOOKUP(UncLookup[[#This Row],[Item]],Items!$A$1:$F$43,3,FALSE)=0,"",VLOOKUP(UncLookup[[#This Row],[Item]],Items!$A$1:$F$43,3,FALSE))</f>
        <v>10 turn</v>
      </c>
      <c r="Q2104" s="90" t="str">
        <f>IF(VLOOKUP(UncLookup[[#This Row],[Item]],Items!$A$1:$F$43,4,FALSE)=0,"",VLOOKUP(UncLookup[[#This Row],[Item]],Items!$A$1:$F$43,4,FALSE))</f>
        <v/>
      </c>
    </row>
    <row r="2105" spans="1:17" x14ac:dyDescent="0.25">
      <c r="A2105" s="76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90" t="str">
        <f>IF(VLOOKUP(UncLookup[[#This Row],[Item]],Items!$A$1:$F$43,2,FALSE)=0,"",VLOOKUP(UncLookup[[#This Row],[Item]],Items!$A$1:$F$43,2,FALSE))</f>
        <v/>
      </c>
      <c r="P2105" s="90" t="str">
        <f>IF(VLOOKUP(UncLookup[[#This Row],[Item]],Items!$A$1:$F$43,3,FALSE)=0,"",VLOOKUP(UncLookup[[#This Row],[Item]],Items!$A$1:$F$43,3,FALSE))</f>
        <v>10 turn</v>
      </c>
      <c r="Q2105" s="90" t="str">
        <f>IF(VLOOKUP(UncLookup[[#This Row],[Item]],Items!$A$1:$F$43,4,FALSE)=0,"",VLOOKUP(UncLookup[[#This Row],[Item]],Items!$A$1:$F$43,4,FALSE))</f>
        <v/>
      </c>
    </row>
    <row r="2106" spans="1:17" x14ac:dyDescent="0.25">
      <c r="A2106" s="75" t="s">
        <v>55</v>
      </c>
      <c r="B2106" s="75" t="s">
        <v>62</v>
      </c>
      <c r="C2106" s="75">
        <v>30</v>
      </c>
      <c r="D2106" s="75">
        <v>110.01</v>
      </c>
      <c r="E2106" s="75">
        <v>10</v>
      </c>
      <c r="F2106" s="75" t="s">
        <v>13</v>
      </c>
      <c r="G2106" s="75" t="s">
        <v>12</v>
      </c>
      <c r="H2106" s="75">
        <v>4.4999999999999998E-2</v>
      </c>
      <c r="I2106" s="75">
        <v>0.10001</v>
      </c>
      <c r="J2106" s="75" t="s">
        <v>10</v>
      </c>
      <c r="K2106" s="75">
        <v>5798.8</v>
      </c>
      <c r="L2106" s="75">
        <v>5.7436000000000001E-2</v>
      </c>
      <c r="M2106" s="75">
        <v>5798.8</v>
      </c>
      <c r="N2106" s="75">
        <v>5.6800999999999997E-2</v>
      </c>
      <c r="O2106" s="90" t="str">
        <f>IF(VLOOKUP(UncLookup[[#This Row],[Item]],Items!$A$1:$F$43,2,FALSE)=0,"",VLOOKUP(UncLookup[[#This Row],[Item]],Items!$A$1:$F$43,2,FALSE))</f>
        <v/>
      </c>
      <c r="P2106" s="90" t="str">
        <f>IF(VLOOKUP(UncLookup[[#This Row],[Item]],Items!$A$1:$F$43,3,FALSE)=0,"",VLOOKUP(UncLookup[[#This Row],[Item]],Items!$A$1:$F$43,3,FALSE))</f>
        <v>10 turn</v>
      </c>
      <c r="Q2106" s="90" t="str">
        <f>IF(VLOOKUP(UncLookup[[#This Row],[Item]],Items!$A$1:$F$43,4,FALSE)=0,"",VLOOKUP(UncLookup[[#This Row],[Item]],Items!$A$1:$F$43,4,FALSE))</f>
        <v/>
      </c>
    </row>
    <row r="2107" spans="1:17" x14ac:dyDescent="0.25">
      <c r="A2107" s="76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90" t="str">
        <f>IF(VLOOKUP(UncLookup[[#This Row],[Item]],Items!$A$1:$F$43,2,FALSE)=0,"",VLOOKUP(UncLookup[[#This Row],[Item]],Items!$A$1:$F$43,2,FALSE))</f>
        <v/>
      </c>
      <c r="P2107" s="90" t="str">
        <f>IF(VLOOKUP(UncLookup[[#This Row],[Item]],Items!$A$1:$F$43,3,FALSE)=0,"",VLOOKUP(UncLookup[[#This Row],[Item]],Items!$A$1:$F$43,3,FALSE))</f>
        <v>10 turn</v>
      </c>
      <c r="Q2107" s="90" t="str">
        <f>IF(VLOOKUP(UncLookup[[#This Row],[Item]],Items!$A$1:$F$43,4,FALSE)=0,"",VLOOKUP(UncLookup[[#This Row],[Item]],Items!$A$1:$F$43,4,FALSE))</f>
        <v/>
      </c>
    </row>
    <row r="2108" spans="1:17" x14ac:dyDescent="0.25">
      <c r="A2108" s="75" t="s">
        <v>55</v>
      </c>
      <c r="B2108" s="75" t="s">
        <v>62</v>
      </c>
      <c r="C2108" s="75">
        <v>30</v>
      </c>
      <c r="D2108" s="75">
        <v>110.01</v>
      </c>
      <c r="E2108" s="75">
        <v>10</v>
      </c>
      <c r="F2108" s="75" t="s">
        <v>13</v>
      </c>
      <c r="G2108" s="75" t="s">
        <v>12</v>
      </c>
      <c r="H2108" s="75">
        <v>5</v>
      </c>
      <c r="I2108" s="75">
        <v>5.01</v>
      </c>
      <c r="J2108" s="75" t="s">
        <v>10</v>
      </c>
      <c r="K2108" s="75">
        <v>5499.6</v>
      </c>
      <c r="L2108" s="75">
        <v>13.241</v>
      </c>
      <c r="M2108" s="75">
        <v>5499.7</v>
      </c>
      <c r="N2108" s="75">
        <v>13.239000000000001</v>
      </c>
      <c r="O2108" s="90" t="str">
        <f>IF(VLOOKUP(UncLookup[[#This Row],[Item]],Items!$A$1:$F$43,2,FALSE)=0,"",VLOOKUP(UncLookup[[#This Row],[Item]],Items!$A$1:$F$43,2,FALSE))</f>
        <v/>
      </c>
      <c r="P2108" s="90" t="str">
        <f>IF(VLOOKUP(UncLookup[[#This Row],[Item]],Items!$A$1:$F$43,3,FALSE)=0,"",VLOOKUP(UncLookup[[#This Row],[Item]],Items!$A$1:$F$43,3,FALSE))</f>
        <v>10 turn</v>
      </c>
      <c r="Q2108" s="90" t="str">
        <f>IF(VLOOKUP(UncLookup[[#This Row],[Item]],Items!$A$1:$F$43,4,FALSE)=0,"",VLOOKUP(UncLookup[[#This Row],[Item]],Items!$A$1:$F$43,4,FALSE))</f>
        <v/>
      </c>
    </row>
    <row r="2109" spans="1:17" x14ac:dyDescent="0.25">
      <c r="A2109" s="76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90" t="str">
        <f>IF(VLOOKUP(UncLookup[[#This Row],[Item]],Items!$A$1:$F$43,2,FALSE)=0,"",VLOOKUP(UncLookup[[#This Row],[Item]],Items!$A$1:$F$43,2,FALSE))</f>
        <v/>
      </c>
      <c r="P2109" s="90" t="str">
        <f>IF(VLOOKUP(UncLookup[[#This Row],[Item]],Items!$A$1:$F$43,3,FALSE)=0,"",VLOOKUP(UncLookup[[#This Row],[Item]],Items!$A$1:$F$43,3,FALSE))</f>
        <v>10 turn</v>
      </c>
      <c r="Q2109" s="90" t="str">
        <f>IF(VLOOKUP(UncLookup[[#This Row],[Item]],Items!$A$1:$F$43,4,FALSE)=0,"",VLOOKUP(UncLookup[[#This Row],[Item]],Items!$A$1:$F$43,4,FALSE))</f>
        <v/>
      </c>
    </row>
    <row r="2110" spans="1:17" x14ac:dyDescent="0.25">
      <c r="A2110" s="75" t="s">
        <v>55</v>
      </c>
      <c r="B2110" s="75" t="s">
        <v>62</v>
      </c>
      <c r="C2110" s="75">
        <v>30</v>
      </c>
      <c r="D2110" s="75">
        <v>110.01</v>
      </c>
      <c r="E2110" s="75">
        <v>100</v>
      </c>
      <c r="F2110" s="75" t="s">
        <v>13</v>
      </c>
      <c r="G2110" s="75" t="s">
        <v>12</v>
      </c>
      <c r="H2110" s="75">
        <v>4.4999999999999998E-2</v>
      </c>
      <c r="I2110" s="75">
        <v>0.10001</v>
      </c>
      <c r="J2110" s="75" t="s">
        <v>10</v>
      </c>
      <c r="K2110" s="75">
        <v>58000</v>
      </c>
      <c r="L2110" s="75">
        <v>5.9370999999999998E-3</v>
      </c>
      <c r="M2110" s="75">
        <v>58000</v>
      </c>
      <c r="N2110" s="75">
        <v>5.6828E-3</v>
      </c>
      <c r="O2110" s="90" t="str">
        <f>IF(VLOOKUP(UncLookup[[#This Row],[Item]],Items!$A$1:$F$43,2,FALSE)=0,"",VLOOKUP(UncLookup[[#This Row],[Item]],Items!$A$1:$F$43,2,FALSE))</f>
        <v/>
      </c>
      <c r="P2110" s="90" t="str">
        <f>IF(VLOOKUP(UncLookup[[#This Row],[Item]],Items!$A$1:$F$43,3,FALSE)=0,"",VLOOKUP(UncLookup[[#This Row],[Item]],Items!$A$1:$F$43,3,FALSE))</f>
        <v>10 turn</v>
      </c>
      <c r="Q2110" s="90" t="str">
        <f>IF(VLOOKUP(UncLookup[[#This Row],[Item]],Items!$A$1:$F$43,4,FALSE)=0,"",VLOOKUP(UncLookup[[#This Row],[Item]],Items!$A$1:$F$43,4,FALSE))</f>
        <v/>
      </c>
    </row>
    <row r="2111" spans="1:17" x14ac:dyDescent="0.25">
      <c r="A2111" s="76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90" t="str">
        <f>IF(VLOOKUP(UncLookup[[#This Row],[Item]],Items!$A$1:$F$43,2,FALSE)=0,"",VLOOKUP(UncLookup[[#This Row],[Item]],Items!$A$1:$F$43,2,FALSE))</f>
        <v/>
      </c>
      <c r="P2111" s="90" t="str">
        <f>IF(VLOOKUP(UncLookup[[#This Row],[Item]],Items!$A$1:$F$43,3,FALSE)=0,"",VLOOKUP(UncLookup[[#This Row],[Item]],Items!$A$1:$F$43,3,FALSE))</f>
        <v>10 turn</v>
      </c>
      <c r="Q2111" s="90" t="str">
        <f>IF(VLOOKUP(UncLookup[[#This Row],[Item]],Items!$A$1:$F$43,4,FALSE)=0,"",VLOOKUP(UncLookup[[#This Row],[Item]],Items!$A$1:$F$43,4,FALSE))</f>
        <v/>
      </c>
    </row>
    <row r="2112" spans="1:17" x14ac:dyDescent="0.25">
      <c r="A2112" s="75" t="s">
        <v>55</v>
      </c>
      <c r="B2112" s="75" t="s">
        <v>62</v>
      </c>
      <c r="C2112" s="75">
        <v>30</v>
      </c>
      <c r="D2112" s="75">
        <v>110.01</v>
      </c>
      <c r="E2112" s="75">
        <v>100</v>
      </c>
      <c r="F2112" s="75" t="s">
        <v>13</v>
      </c>
      <c r="G2112" s="75" t="s">
        <v>12</v>
      </c>
      <c r="H2112" s="75">
        <v>0.1</v>
      </c>
      <c r="I2112" s="75">
        <v>1.0000100000000001</v>
      </c>
      <c r="J2112" s="75" t="s">
        <v>10</v>
      </c>
      <c r="K2112" s="75">
        <v>58000</v>
      </c>
      <c r="L2112" s="75">
        <v>7.1509E-3</v>
      </c>
      <c r="M2112" s="75">
        <v>58000</v>
      </c>
      <c r="N2112" s="75">
        <v>6.8966000000000001E-3</v>
      </c>
      <c r="O2112" s="90" t="str">
        <f>IF(VLOOKUP(UncLookup[[#This Row],[Item]],Items!$A$1:$F$43,2,FALSE)=0,"",VLOOKUP(UncLookup[[#This Row],[Item]],Items!$A$1:$F$43,2,FALSE))</f>
        <v/>
      </c>
      <c r="P2112" s="90" t="str">
        <f>IF(VLOOKUP(UncLookup[[#This Row],[Item]],Items!$A$1:$F$43,3,FALSE)=0,"",VLOOKUP(UncLookup[[#This Row],[Item]],Items!$A$1:$F$43,3,FALSE))</f>
        <v>10 turn</v>
      </c>
      <c r="Q2112" s="90" t="str">
        <f>IF(VLOOKUP(UncLookup[[#This Row],[Item]],Items!$A$1:$F$43,4,FALSE)=0,"",VLOOKUP(UncLookup[[#This Row],[Item]],Items!$A$1:$F$43,4,FALSE))</f>
        <v/>
      </c>
    </row>
    <row r="2113" spans="1:17" x14ac:dyDescent="0.25">
      <c r="A2113" s="76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90" t="str">
        <f>IF(VLOOKUP(UncLookup[[#This Row],[Item]],Items!$A$1:$F$43,2,FALSE)=0,"",VLOOKUP(UncLookup[[#This Row],[Item]],Items!$A$1:$F$43,2,FALSE))</f>
        <v/>
      </c>
      <c r="P2113" s="90" t="str">
        <f>IF(VLOOKUP(UncLookup[[#This Row],[Item]],Items!$A$1:$F$43,3,FALSE)=0,"",VLOOKUP(UncLookup[[#This Row],[Item]],Items!$A$1:$F$43,3,FALSE))</f>
        <v>10 turn</v>
      </c>
      <c r="Q2113" s="90" t="str">
        <f>IF(VLOOKUP(UncLookup[[#This Row],[Item]],Items!$A$1:$F$43,4,FALSE)=0,"",VLOOKUP(UncLookup[[#This Row],[Item]],Items!$A$1:$F$43,4,FALSE))</f>
        <v/>
      </c>
    </row>
    <row r="2114" spans="1:17" x14ac:dyDescent="0.25">
      <c r="A2114" s="75" t="s">
        <v>55</v>
      </c>
      <c r="B2114" s="75" t="s">
        <v>62</v>
      </c>
      <c r="C2114" s="75">
        <v>110</v>
      </c>
      <c r="D2114" s="75">
        <v>205.01</v>
      </c>
      <c r="E2114" s="75">
        <v>0.01</v>
      </c>
      <c r="F2114" s="75" t="s">
        <v>13</v>
      </c>
      <c r="G2114" s="75" t="s">
        <v>12</v>
      </c>
      <c r="H2114" s="75">
        <v>5</v>
      </c>
      <c r="I2114" s="75">
        <v>5.01</v>
      </c>
      <c r="J2114" s="75" t="s">
        <v>10</v>
      </c>
      <c r="K2114" s="75">
        <v>58</v>
      </c>
      <c r="L2114" s="75">
        <v>35</v>
      </c>
      <c r="M2114" s="75">
        <v>57.612000000000002</v>
      </c>
      <c r="N2114" s="75">
        <v>34.698999999999998</v>
      </c>
      <c r="O2114" s="90" t="str">
        <f>IF(VLOOKUP(UncLookup[[#This Row],[Item]],Items!$A$1:$F$43,2,FALSE)=0,"",VLOOKUP(UncLookup[[#This Row],[Item]],Items!$A$1:$F$43,2,FALSE))</f>
        <v/>
      </c>
      <c r="P2114" s="90" t="str">
        <f>IF(VLOOKUP(UncLookup[[#This Row],[Item]],Items!$A$1:$F$43,3,FALSE)=0,"",VLOOKUP(UncLookup[[#This Row],[Item]],Items!$A$1:$F$43,3,FALSE))</f>
        <v>10 turn</v>
      </c>
      <c r="Q2114" s="90" t="str">
        <f>IF(VLOOKUP(UncLookup[[#This Row],[Item]],Items!$A$1:$F$43,4,FALSE)=0,"",VLOOKUP(UncLookup[[#This Row],[Item]],Items!$A$1:$F$43,4,FALSE))</f>
        <v/>
      </c>
    </row>
    <row r="2115" spans="1:17" x14ac:dyDescent="0.25">
      <c r="A2115" s="76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90" t="str">
        <f>IF(VLOOKUP(UncLookup[[#This Row],[Item]],Items!$A$1:$F$43,2,FALSE)=0,"",VLOOKUP(UncLookup[[#This Row],[Item]],Items!$A$1:$F$43,2,FALSE))</f>
        <v/>
      </c>
      <c r="P2115" s="90" t="str">
        <f>IF(VLOOKUP(UncLookup[[#This Row],[Item]],Items!$A$1:$F$43,3,FALSE)=0,"",VLOOKUP(UncLookup[[#This Row],[Item]],Items!$A$1:$F$43,3,FALSE))</f>
        <v>10 turn</v>
      </c>
      <c r="Q2115" s="90" t="str">
        <f>IF(VLOOKUP(UncLookup[[#This Row],[Item]],Items!$A$1:$F$43,4,FALSE)=0,"",VLOOKUP(UncLookup[[#This Row],[Item]],Items!$A$1:$F$43,4,FALSE))</f>
        <v/>
      </c>
    </row>
    <row r="2116" spans="1:17" x14ac:dyDescent="0.25">
      <c r="A2116" s="75" t="s">
        <v>55</v>
      </c>
      <c r="B2116" s="75" t="s">
        <v>62</v>
      </c>
      <c r="C2116" s="75">
        <v>110</v>
      </c>
      <c r="D2116" s="75">
        <v>205.01</v>
      </c>
      <c r="E2116" s="75">
        <v>0.01</v>
      </c>
      <c r="F2116" s="75" t="s">
        <v>13</v>
      </c>
      <c r="G2116" s="75" t="s">
        <v>12</v>
      </c>
      <c r="H2116" s="75">
        <v>0.1</v>
      </c>
      <c r="I2116" s="75">
        <v>1.0000100000000001</v>
      </c>
      <c r="J2116" s="75" t="s">
        <v>10</v>
      </c>
      <c r="K2116" s="75">
        <v>49</v>
      </c>
      <c r="L2116" s="75">
        <v>2.6</v>
      </c>
      <c r="M2116" s="75">
        <v>42.201999999999998</v>
      </c>
      <c r="N2116" s="75">
        <v>2.6324000000000001</v>
      </c>
      <c r="O2116" s="90" t="str">
        <f>IF(VLOOKUP(UncLookup[[#This Row],[Item]],Items!$A$1:$F$43,2,FALSE)=0,"",VLOOKUP(UncLookup[[#This Row],[Item]],Items!$A$1:$F$43,2,FALSE))</f>
        <v/>
      </c>
      <c r="P2116" s="90" t="str">
        <f>IF(VLOOKUP(UncLookup[[#This Row],[Item]],Items!$A$1:$F$43,3,FALSE)=0,"",VLOOKUP(UncLookup[[#This Row],[Item]],Items!$A$1:$F$43,3,FALSE))</f>
        <v>10 turn</v>
      </c>
      <c r="Q2116" s="90" t="str">
        <f>IF(VLOOKUP(UncLookup[[#This Row],[Item]],Items!$A$1:$F$43,4,FALSE)=0,"",VLOOKUP(UncLookup[[#This Row],[Item]],Items!$A$1:$F$43,4,FALSE))</f>
        <v/>
      </c>
    </row>
    <row r="2117" spans="1:17" x14ac:dyDescent="0.25">
      <c r="A2117" s="76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90" t="str">
        <f>IF(VLOOKUP(UncLookup[[#This Row],[Item]],Items!$A$1:$F$43,2,FALSE)=0,"",VLOOKUP(UncLookup[[#This Row],[Item]],Items!$A$1:$F$43,2,FALSE))</f>
        <v/>
      </c>
      <c r="P2117" s="90" t="str">
        <f>IF(VLOOKUP(UncLookup[[#This Row],[Item]],Items!$A$1:$F$43,3,FALSE)=0,"",VLOOKUP(UncLookup[[#This Row],[Item]],Items!$A$1:$F$43,3,FALSE))</f>
        <v>10 turn</v>
      </c>
      <c r="Q2117" s="90" t="str">
        <f>IF(VLOOKUP(UncLookup[[#This Row],[Item]],Items!$A$1:$F$43,4,FALSE)=0,"",VLOOKUP(UncLookup[[#This Row],[Item]],Items!$A$1:$F$43,4,FALSE))</f>
        <v/>
      </c>
    </row>
    <row r="2118" spans="1:17" x14ac:dyDescent="0.25">
      <c r="A2118" s="75" t="s">
        <v>55</v>
      </c>
      <c r="B2118" s="75" t="s">
        <v>62</v>
      </c>
      <c r="C2118" s="75">
        <v>110</v>
      </c>
      <c r="D2118" s="75">
        <v>205.01</v>
      </c>
      <c r="E2118" s="75">
        <v>0.1</v>
      </c>
      <c r="F2118" s="75" t="s">
        <v>13</v>
      </c>
      <c r="G2118" s="75" t="s">
        <v>12</v>
      </c>
      <c r="H2118" s="75">
        <v>1</v>
      </c>
      <c r="I2118" s="75">
        <v>5</v>
      </c>
      <c r="J2118" s="75" t="s">
        <v>10</v>
      </c>
      <c r="K2118" s="75">
        <v>58</v>
      </c>
      <c r="L2118" s="75">
        <v>35</v>
      </c>
      <c r="M2118" s="78">
        <v>58.262</v>
      </c>
      <c r="N2118" s="78">
        <v>34.697000000000003</v>
      </c>
      <c r="O2118" s="90" t="str">
        <f>IF(VLOOKUP(UncLookup[[#This Row],[Item]],Items!$A$1:$F$43,2,FALSE)=0,"",VLOOKUP(UncLookup[[#This Row],[Item]],Items!$A$1:$F$43,2,FALSE))</f>
        <v/>
      </c>
      <c r="P2118" s="90" t="str">
        <f>IF(VLOOKUP(UncLookup[[#This Row],[Item]],Items!$A$1:$F$43,3,FALSE)=0,"",VLOOKUP(UncLookup[[#This Row],[Item]],Items!$A$1:$F$43,3,FALSE))</f>
        <v>10 turn</v>
      </c>
      <c r="Q2118" s="90" t="str">
        <f>IF(VLOOKUP(UncLookup[[#This Row],[Item]],Items!$A$1:$F$43,4,FALSE)=0,"",VLOOKUP(UncLookup[[#This Row],[Item]],Items!$A$1:$F$43,4,FALSE))</f>
        <v/>
      </c>
    </row>
    <row r="2119" spans="1:17" x14ac:dyDescent="0.25">
      <c r="A2119" s="76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77">
        <v>49.649000000000001</v>
      </c>
      <c r="N2119" s="77">
        <v>2.61</v>
      </c>
      <c r="O2119" s="90" t="str">
        <f>IF(VLOOKUP(UncLookup[[#This Row],[Item]],Items!$A$1:$F$43,2,FALSE)=0,"",VLOOKUP(UncLookup[[#This Row],[Item]],Items!$A$1:$F$43,2,FALSE))</f>
        <v/>
      </c>
      <c r="P2119" s="90" t="str">
        <f>IF(VLOOKUP(UncLookup[[#This Row],[Item]],Items!$A$1:$F$43,3,FALSE)=0,"",VLOOKUP(UncLookup[[#This Row],[Item]],Items!$A$1:$F$43,3,FALSE))</f>
        <v>10 turn</v>
      </c>
      <c r="Q2119" s="90" t="str">
        <f>IF(VLOOKUP(UncLookup[[#This Row],[Item]],Items!$A$1:$F$43,4,FALSE)=0,"",VLOOKUP(UncLookup[[#This Row],[Item]],Items!$A$1:$F$43,4,FALSE))</f>
        <v/>
      </c>
    </row>
    <row r="2120" spans="1:17" x14ac:dyDescent="0.25">
      <c r="A2120" s="75" t="s">
        <v>55</v>
      </c>
      <c r="B2120" s="75" t="s">
        <v>62</v>
      </c>
      <c r="C2120" s="75">
        <v>110</v>
      </c>
      <c r="D2120" s="75">
        <v>205.01</v>
      </c>
      <c r="E2120" s="75">
        <v>0.1</v>
      </c>
      <c r="F2120" s="75" t="s">
        <v>13</v>
      </c>
      <c r="G2120" s="75" t="s">
        <v>12</v>
      </c>
      <c r="H2120" s="75">
        <v>5</v>
      </c>
      <c r="I2120" s="75">
        <v>5.01</v>
      </c>
      <c r="J2120" s="75" t="s">
        <v>10</v>
      </c>
      <c r="K2120" s="75">
        <v>58</v>
      </c>
      <c r="L2120" s="75">
        <v>35</v>
      </c>
      <c r="M2120" s="78">
        <v>58.262</v>
      </c>
      <c r="N2120" s="78">
        <v>34.697000000000003</v>
      </c>
      <c r="O2120" s="90" t="str">
        <f>IF(VLOOKUP(UncLookup[[#This Row],[Item]],Items!$A$1:$F$43,2,FALSE)=0,"",VLOOKUP(UncLookup[[#This Row],[Item]],Items!$A$1:$F$43,2,FALSE))</f>
        <v/>
      </c>
      <c r="P2120" s="90" t="str">
        <f>IF(VLOOKUP(UncLookup[[#This Row],[Item]],Items!$A$1:$F$43,3,FALSE)=0,"",VLOOKUP(UncLookup[[#This Row],[Item]],Items!$A$1:$F$43,3,FALSE))</f>
        <v>10 turn</v>
      </c>
      <c r="Q2120" s="90" t="str">
        <f>IF(VLOOKUP(UncLookup[[#This Row],[Item]],Items!$A$1:$F$43,4,FALSE)=0,"",VLOOKUP(UncLookup[[#This Row],[Item]],Items!$A$1:$F$43,4,FALSE))</f>
        <v/>
      </c>
    </row>
    <row r="2121" spans="1:17" x14ac:dyDescent="0.25">
      <c r="A2121" s="76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77">
        <v>490.55</v>
      </c>
      <c r="L2121" s="77">
        <v>1.6184000000000001</v>
      </c>
      <c r="M2121" s="77">
        <v>490.58</v>
      </c>
      <c r="N2121" s="77">
        <v>1.6144000000000001</v>
      </c>
      <c r="O2121" s="90" t="str">
        <f>IF(VLOOKUP(UncLookup[[#This Row],[Item]],Items!$A$1:$F$43,2,FALSE)=0,"",VLOOKUP(UncLookup[[#This Row],[Item]],Items!$A$1:$F$43,2,FALSE))</f>
        <v/>
      </c>
      <c r="P2121" s="90" t="str">
        <f>IF(VLOOKUP(UncLookup[[#This Row],[Item]],Items!$A$1:$F$43,3,FALSE)=0,"",VLOOKUP(UncLookup[[#This Row],[Item]],Items!$A$1:$F$43,3,FALSE))</f>
        <v>10 turn</v>
      </c>
      <c r="Q2121" s="90" t="str">
        <f>IF(VLOOKUP(UncLookup[[#This Row],[Item]],Items!$A$1:$F$43,4,FALSE)=0,"",VLOOKUP(UncLookup[[#This Row],[Item]],Items!$A$1:$F$43,4,FALSE))</f>
        <v/>
      </c>
    </row>
    <row r="2122" spans="1:17" x14ac:dyDescent="0.25">
      <c r="A2122" s="75" t="s">
        <v>55</v>
      </c>
      <c r="B2122" s="75" t="s">
        <v>62</v>
      </c>
      <c r="C2122" s="75">
        <v>110</v>
      </c>
      <c r="D2122" s="75">
        <v>205.01</v>
      </c>
      <c r="E2122" s="75">
        <v>1</v>
      </c>
      <c r="F2122" s="75" t="s">
        <v>13</v>
      </c>
      <c r="G2122" s="75" t="s">
        <v>12</v>
      </c>
      <c r="H2122" s="75">
        <v>4.4999999999999998E-2</v>
      </c>
      <c r="I2122" s="75">
        <v>0.10001</v>
      </c>
      <c r="J2122" s="75" t="s">
        <v>10</v>
      </c>
      <c r="K2122" s="78">
        <v>500.59</v>
      </c>
      <c r="L2122" s="78">
        <v>1.4072</v>
      </c>
      <c r="M2122" s="78">
        <v>500.63</v>
      </c>
      <c r="N2122" s="78">
        <v>1.403</v>
      </c>
      <c r="O2122" s="90" t="str">
        <f>IF(VLOOKUP(UncLookup[[#This Row],[Item]],Items!$A$1:$F$43,2,FALSE)=0,"",VLOOKUP(UncLookup[[#This Row],[Item]],Items!$A$1:$F$43,2,FALSE))</f>
        <v/>
      </c>
      <c r="P2122" s="90" t="str">
        <f>IF(VLOOKUP(UncLookup[[#This Row],[Item]],Items!$A$1:$F$43,3,FALSE)=0,"",VLOOKUP(UncLookup[[#This Row],[Item]],Items!$A$1:$F$43,3,FALSE))</f>
        <v>10 turn</v>
      </c>
      <c r="Q2122" s="90" t="str">
        <f>IF(VLOOKUP(UncLookup[[#This Row],[Item]],Items!$A$1:$F$43,4,FALSE)=0,"",VLOOKUP(UncLookup[[#This Row],[Item]],Items!$A$1:$F$43,4,FALSE))</f>
        <v/>
      </c>
    </row>
    <row r="2123" spans="1:17" x14ac:dyDescent="0.25">
      <c r="A2123" s="76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76">
        <v>79.069999999999993</v>
      </c>
      <c r="L2123" s="77">
        <v>34.896999999999998</v>
      </c>
      <c r="M2123" s="76">
        <v>123.66</v>
      </c>
      <c r="N2123" s="77">
        <v>34.491</v>
      </c>
      <c r="O2123" s="90" t="str">
        <f>IF(VLOOKUP(UncLookup[[#This Row],[Item]],Items!$A$1:$F$43,2,FALSE)=0,"",VLOOKUP(UncLookup[[#This Row],[Item]],Items!$A$1:$F$43,2,FALSE))</f>
        <v/>
      </c>
      <c r="P2123" s="90" t="str">
        <f>IF(VLOOKUP(UncLookup[[#This Row],[Item]],Items!$A$1:$F$43,3,FALSE)=0,"",VLOOKUP(UncLookup[[#This Row],[Item]],Items!$A$1:$F$43,3,FALSE))</f>
        <v>10 turn</v>
      </c>
      <c r="Q2123" s="90" t="str">
        <f>IF(VLOOKUP(UncLookup[[#This Row],[Item]],Items!$A$1:$F$43,4,FALSE)=0,"",VLOOKUP(UncLookup[[#This Row],[Item]],Items!$A$1:$F$43,4,FALSE))</f>
        <v/>
      </c>
    </row>
    <row r="2124" spans="1:17" x14ac:dyDescent="0.25">
      <c r="A2124" s="75" t="s">
        <v>55</v>
      </c>
      <c r="B2124" s="75" t="s">
        <v>62</v>
      </c>
      <c r="C2124" s="75">
        <v>110</v>
      </c>
      <c r="D2124" s="75">
        <v>205.01</v>
      </c>
      <c r="E2124" s="75">
        <v>1</v>
      </c>
      <c r="F2124" s="75" t="s">
        <v>13</v>
      </c>
      <c r="G2124" s="75" t="s">
        <v>12</v>
      </c>
      <c r="H2124" s="75">
        <v>5</v>
      </c>
      <c r="I2124" s="75">
        <v>5.01</v>
      </c>
      <c r="J2124" s="75" t="s">
        <v>10</v>
      </c>
      <c r="K2124" s="75">
        <v>79.069999999999993</v>
      </c>
      <c r="L2124" s="78">
        <v>34.896999999999998</v>
      </c>
      <c r="M2124" s="75">
        <v>123.66</v>
      </c>
      <c r="N2124" s="78">
        <v>34.491</v>
      </c>
      <c r="O2124" s="90" t="str">
        <f>IF(VLOOKUP(UncLookup[[#This Row],[Item]],Items!$A$1:$F$43,2,FALSE)=0,"",VLOOKUP(UncLookup[[#This Row],[Item]],Items!$A$1:$F$43,2,FALSE))</f>
        <v/>
      </c>
      <c r="P2124" s="90" t="str">
        <f>IF(VLOOKUP(UncLookup[[#This Row],[Item]],Items!$A$1:$F$43,3,FALSE)=0,"",VLOOKUP(UncLookup[[#This Row],[Item]],Items!$A$1:$F$43,3,FALSE))</f>
        <v>10 turn</v>
      </c>
      <c r="Q2124" s="90" t="str">
        <f>IF(VLOOKUP(UncLookup[[#This Row],[Item]],Items!$A$1:$F$43,4,FALSE)=0,"",VLOOKUP(UncLookup[[#This Row],[Item]],Items!$A$1:$F$43,4,FALSE))</f>
        <v/>
      </c>
    </row>
    <row r="2125" spans="1:17" x14ac:dyDescent="0.25">
      <c r="A2125" s="76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77">
        <v>23.661999999999999</v>
      </c>
      <c r="M2125" s="76">
        <v>4372.3999999999996</v>
      </c>
      <c r="N2125" s="77">
        <v>23.661000000000001</v>
      </c>
      <c r="O2125" s="90" t="str">
        <f>IF(VLOOKUP(UncLookup[[#This Row],[Item]],Items!$A$1:$F$43,2,FALSE)=0,"",VLOOKUP(UncLookup[[#This Row],[Item]],Items!$A$1:$F$43,2,FALSE))</f>
        <v/>
      </c>
      <c r="P2125" s="90" t="str">
        <f>IF(VLOOKUP(UncLookup[[#This Row],[Item]],Items!$A$1:$F$43,3,FALSE)=0,"",VLOOKUP(UncLookup[[#This Row],[Item]],Items!$A$1:$F$43,3,FALSE))</f>
        <v>10 turn</v>
      </c>
      <c r="Q2125" s="90" t="str">
        <f>IF(VLOOKUP(UncLookup[[#This Row],[Item]],Items!$A$1:$F$43,4,FALSE)=0,"",VLOOKUP(UncLookup[[#This Row],[Item]],Items!$A$1:$F$43,4,FALSE))</f>
        <v/>
      </c>
    </row>
    <row r="2126" spans="1:17" x14ac:dyDescent="0.25">
      <c r="A2126" s="75" t="s">
        <v>55</v>
      </c>
      <c r="B2126" s="75" t="s">
        <v>62</v>
      </c>
      <c r="C2126" s="75">
        <v>110</v>
      </c>
      <c r="D2126" s="75">
        <v>205.01</v>
      </c>
      <c r="E2126" s="75">
        <v>10</v>
      </c>
      <c r="F2126" s="75" t="s">
        <v>13</v>
      </c>
      <c r="G2126" s="75" t="s">
        <v>12</v>
      </c>
      <c r="H2126" s="75">
        <v>4.4999999999999998E-2</v>
      </c>
      <c r="I2126" s="75">
        <v>0.10001</v>
      </c>
      <c r="J2126" s="75" t="s">
        <v>10</v>
      </c>
      <c r="K2126" s="75">
        <v>5788.7</v>
      </c>
      <c r="L2126" s="78">
        <v>0.17673</v>
      </c>
      <c r="M2126" s="75">
        <v>5788.8</v>
      </c>
      <c r="N2126" s="78">
        <v>0.17407</v>
      </c>
      <c r="O2126" s="90" t="str">
        <f>IF(VLOOKUP(UncLookup[[#This Row],[Item]],Items!$A$1:$F$43,2,FALSE)=0,"",VLOOKUP(UncLookup[[#This Row],[Item]],Items!$A$1:$F$43,2,FALSE))</f>
        <v/>
      </c>
      <c r="P2126" s="90" t="str">
        <f>IF(VLOOKUP(UncLookup[[#This Row],[Item]],Items!$A$1:$F$43,3,FALSE)=0,"",VLOOKUP(UncLookup[[#This Row],[Item]],Items!$A$1:$F$43,3,FALSE))</f>
        <v>10 turn</v>
      </c>
      <c r="Q2126" s="90" t="str">
        <f>IF(VLOOKUP(UncLookup[[#This Row],[Item]],Items!$A$1:$F$43,4,FALSE)=0,"",VLOOKUP(UncLookup[[#This Row],[Item]],Items!$A$1:$F$43,4,FALSE))</f>
        <v/>
      </c>
    </row>
    <row r="2127" spans="1:17" x14ac:dyDescent="0.25">
      <c r="A2127" s="76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77">
        <v>23.661999999999999</v>
      </c>
      <c r="M2127" s="76">
        <v>4372.3999999999996</v>
      </c>
      <c r="N2127" s="77">
        <v>23.661000000000001</v>
      </c>
      <c r="O2127" s="90" t="str">
        <f>IF(VLOOKUP(UncLookup[[#This Row],[Item]],Items!$A$1:$F$43,2,FALSE)=0,"",VLOOKUP(UncLookup[[#This Row],[Item]],Items!$A$1:$F$43,2,FALSE))</f>
        <v/>
      </c>
      <c r="P2127" s="90" t="str">
        <f>IF(VLOOKUP(UncLookup[[#This Row],[Item]],Items!$A$1:$F$43,3,FALSE)=0,"",VLOOKUP(UncLookup[[#This Row],[Item]],Items!$A$1:$F$43,3,FALSE))</f>
        <v>10 turn</v>
      </c>
      <c r="Q2127" s="90" t="str">
        <f>IF(VLOOKUP(UncLookup[[#This Row],[Item]],Items!$A$1:$F$43,4,FALSE)=0,"",VLOOKUP(UncLookup[[#This Row],[Item]],Items!$A$1:$F$43,4,FALSE))</f>
        <v/>
      </c>
    </row>
    <row r="2128" spans="1:17" x14ac:dyDescent="0.25">
      <c r="A2128" s="75" t="s">
        <v>55</v>
      </c>
      <c r="B2128" s="75" t="s">
        <v>62</v>
      </c>
      <c r="C2128" s="75">
        <v>110</v>
      </c>
      <c r="D2128" s="75">
        <v>205.01</v>
      </c>
      <c r="E2128" s="75">
        <v>10</v>
      </c>
      <c r="F2128" s="75" t="s">
        <v>13</v>
      </c>
      <c r="G2128" s="75" t="s">
        <v>12</v>
      </c>
      <c r="H2128" s="75">
        <v>0.1</v>
      </c>
      <c r="I2128" s="75">
        <v>1.0000100000000001</v>
      </c>
      <c r="J2128" s="75" t="s">
        <v>10</v>
      </c>
      <c r="K2128" s="75">
        <v>5786.7</v>
      </c>
      <c r="L2128" s="78">
        <v>0.20930000000000001</v>
      </c>
      <c r="M2128" s="75">
        <v>5786.8</v>
      </c>
      <c r="N2128" s="78">
        <v>0.20663999999999999</v>
      </c>
      <c r="O2128" s="90" t="str">
        <f>IF(VLOOKUP(UncLookup[[#This Row],[Item]],Items!$A$1:$F$43,2,FALSE)=0,"",VLOOKUP(UncLookup[[#This Row],[Item]],Items!$A$1:$F$43,2,FALSE))</f>
        <v/>
      </c>
      <c r="P2128" s="90" t="str">
        <f>IF(VLOOKUP(UncLookup[[#This Row],[Item]],Items!$A$1:$F$43,3,FALSE)=0,"",VLOOKUP(UncLookup[[#This Row],[Item]],Items!$A$1:$F$43,3,FALSE))</f>
        <v>10 turn</v>
      </c>
      <c r="Q2128" s="90" t="str">
        <f>IF(VLOOKUP(UncLookup[[#This Row],[Item]],Items!$A$1:$F$43,4,FALSE)=0,"",VLOOKUP(UncLookup[[#This Row],[Item]],Items!$A$1:$F$43,4,FALSE))</f>
        <v/>
      </c>
    </row>
    <row r="2129" spans="1:17" x14ac:dyDescent="0.25">
      <c r="A2129" s="76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76">
        <v>2.1802999999999999E-2</v>
      </c>
      <c r="M2129" s="77">
        <v>57999</v>
      </c>
      <c r="N2129" s="76">
        <v>2.0732E-2</v>
      </c>
      <c r="O2129" s="90" t="str">
        <f>IF(VLOOKUP(UncLookup[[#This Row],[Item]],Items!$A$1:$F$43,2,FALSE)=0,"",VLOOKUP(UncLookup[[#This Row],[Item]],Items!$A$1:$F$43,2,FALSE))</f>
        <v/>
      </c>
      <c r="P2129" s="90" t="str">
        <f>IF(VLOOKUP(UncLookup[[#This Row],[Item]],Items!$A$1:$F$43,3,FALSE)=0,"",VLOOKUP(UncLookup[[#This Row],[Item]],Items!$A$1:$F$43,3,FALSE))</f>
        <v>10 turn</v>
      </c>
      <c r="Q2129" s="90" t="str">
        <f>IF(VLOOKUP(UncLookup[[#This Row],[Item]],Items!$A$1:$F$43,4,FALSE)=0,"",VLOOKUP(UncLookup[[#This Row],[Item]],Items!$A$1:$F$43,4,FALSE))</f>
        <v/>
      </c>
    </row>
    <row r="2130" spans="1:17" x14ac:dyDescent="0.25">
      <c r="A2130" s="75" t="s">
        <v>55</v>
      </c>
      <c r="B2130" s="75" t="s">
        <v>62</v>
      </c>
      <c r="C2130" s="75">
        <v>110</v>
      </c>
      <c r="D2130" s="75">
        <v>205.01</v>
      </c>
      <c r="E2130" s="75">
        <v>100</v>
      </c>
      <c r="F2130" s="75" t="s">
        <v>13</v>
      </c>
      <c r="G2130" s="75" t="s">
        <v>12</v>
      </c>
      <c r="H2130" s="75">
        <v>1</v>
      </c>
      <c r="I2130" s="75">
        <v>5</v>
      </c>
      <c r="J2130" s="75" t="s">
        <v>10</v>
      </c>
      <c r="K2130" s="78">
        <v>57768</v>
      </c>
      <c r="L2130" s="75">
        <v>3.2888999999999999</v>
      </c>
      <c r="M2130" s="78">
        <v>57768</v>
      </c>
      <c r="N2130" s="75">
        <v>3.2877999999999998</v>
      </c>
      <c r="O2130" s="90" t="str">
        <f>IF(VLOOKUP(UncLookup[[#This Row],[Item]],Items!$A$1:$F$43,2,FALSE)=0,"",VLOOKUP(UncLookup[[#This Row],[Item]],Items!$A$1:$F$43,2,FALSE))</f>
        <v/>
      </c>
      <c r="P2130" s="90" t="str">
        <f>IF(VLOOKUP(UncLookup[[#This Row],[Item]],Items!$A$1:$F$43,3,FALSE)=0,"",VLOOKUP(UncLookup[[#This Row],[Item]],Items!$A$1:$F$43,3,FALSE))</f>
        <v>10 turn</v>
      </c>
      <c r="Q2130" s="90" t="str">
        <f>IF(VLOOKUP(UncLookup[[#This Row],[Item]],Items!$A$1:$F$43,4,FALSE)=0,"",VLOOKUP(UncLookup[[#This Row],[Item]],Items!$A$1:$F$43,4,FALSE))</f>
        <v/>
      </c>
    </row>
    <row r="2131" spans="1:17" x14ac:dyDescent="0.25">
      <c r="A2131" s="76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76">
        <v>57999</v>
      </c>
      <c r="L2131" s="76">
        <v>1.8526000000000001E-2</v>
      </c>
      <c r="M2131" s="76">
        <v>57999</v>
      </c>
      <c r="N2131" s="76">
        <v>1.7454999999999998E-2</v>
      </c>
      <c r="O2131" s="90" t="str">
        <f>IF(VLOOKUP(UncLookup[[#This Row],[Item]],Items!$A$1:$F$43,2,FALSE)=0,"",VLOOKUP(UncLookup[[#This Row],[Item]],Items!$A$1:$F$43,2,FALSE))</f>
        <v/>
      </c>
      <c r="P2131" s="90" t="str">
        <f>IF(VLOOKUP(UncLookup[[#This Row],[Item]],Items!$A$1:$F$43,3,FALSE)=0,"",VLOOKUP(UncLookup[[#This Row],[Item]],Items!$A$1:$F$43,3,FALSE))</f>
        <v>10 turn</v>
      </c>
      <c r="Q2131" s="90" t="str">
        <f>IF(VLOOKUP(UncLookup[[#This Row],[Item]],Items!$A$1:$F$43,4,FALSE)=0,"",VLOOKUP(UncLookup[[#This Row],[Item]],Items!$A$1:$F$43,4,FALSE))</f>
        <v/>
      </c>
    </row>
    <row r="2132" spans="1:17" x14ac:dyDescent="0.25">
      <c r="A2132" s="75" t="s">
        <v>55</v>
      </c>
      <c r="B2132" s="75" t="s">
        <v>62</v>
      </c>
      <c r="C2132" s="75">
        <v>110</v>
      </c>
      <c r="D2132" s="75">
        <v>205.01</v>
      </c>
      <c r="E2132" s="75">
        <v>100</v>
      </c>
      <c r="F2132" s="75" t="s">
        <v>13</v>
      </c>
      <c r="G2132" s="75" t="s">
        <v>12</v>
      </c>
      <c r="H2132" s="75">
        <v>5</v>
      </c>
      <c r="I2132" s="75">
        <v>5.01</v>
      </c>
      <c r="J2132" s="75" t="s">
        <v>10</v>
      </c>
      <c r="K2132" s="75">
        <v>57768</v>
      </c>
      <c r="L2132" s="75">
        <v>3.2888999999999999</v>
      </c>
      <c r="M2132" s="75">
        <v>57768</v>
      </c>
      <c r="N2132" s="75">
        <v>3.2877999999999998</v>
      </c>
      <c r="O2132" s="90" t="str">
        <f>IF(VLOOKUP(UncLookup[[#This Row],[Item]],Items!$A$1:$F$43,2,FALSE)=0,"",VLOOKUP(UncLookup[[#This Row],[Item]],Items!$A$1:$F$43,2,FALSE))</f>
        <v/>
      </c>
      <c r="P2132" s="90" t="str">
        <f>IF(VLOOKUP(UncLookup[[#This Row],[Item]],Items!$A$1:$F$43,3,FALSE)=0,"",VLOOKUP(UncLookup[[#This Row],[Item]],Items!$A$1:$F$43,3,FALSE))</f>
        <v>10 turn</v>
      </c>
      <c r="Q2132" s="90" t="str">
        <f>IF(VLOOKUP(UncLookup[[#This Row],[Item]],Items!$A$1:$F$43,4,FALSE)=0,"",VLOOKUP(UncLookup[[#This Row],[Item]],Items!$A$1:$F$43,4,FALSE))</f>
        <v/>
      </c>
    </row>
    <row r="2133" spans="1:17" x14ac:dyDescent="0.25">
      <c r="A2133" s="76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90" t="str">
        <f>IF(VLOOKUP(UncLookup[[#This Row],[Item]],Items!$A$1:$F$43,2,FALSE)=0,"",VLOOKUP(UncLookup[[#This Row],[Item]],Items!$A$1:$F$43,2,FALSE))</f>
        <v/>
      </c>
      <c r="P2133" s="90" t="str">
        <f>IF(VLOOKUP(UncLookup[[#This Row],[Item]],Items!$A$1:$F$43,3,FALSE)=0,"",VLOOKUP(UncLookup[[#This Row],[Item]],Items!$A$1:$F$43,3,FALSE))</f>
        <v/>
      </c>
      <c r="Q2133" s="90" t="str">
        <f>IF(VLOOKUP(UncLookup[[#This Row],[Item]],Items!$A$1:$F$43,4,FALSE)=0,"",VLOOKUP(UncLookup[[#This Row],[Item]],Items!$A$1:$F$43,4,FALSE))</f>
        <v/>
      </c>
    </row>
    <row r="2134" spans="1:17" x14ac:dyDescent="0.25">
      <c r="A2134" s="75" t="s">
        <v>55</v>
      </c>
      <c r="B2134" s="75" t="s">
        <v>47</v>
      </c>
      <c r="C2134" s="75">
        <v>0</v>
      </c>
      <c r="D2134" s="75">
        <v>3.3000999999999999E-4</v>
      </c>
      <c r="E2134" s="75">
        <v>1E-8</v>
      </c>
      <c r="F2134" s="75" t="s">
        <v>13</v>
      </c>
      <c r="G2134" s="75" t="s">
        <v>11</v>
      </c>
      <c r="H2134" s="75">
        <v>0.01</v>
      </c>
      <c r="I2134" s="75">
        <v>2.001E-2</v>
      </c>
      <c r="J2134" s="75" t="s">
        <v>10</v>
      </c>
      <c r="K2134" s="75">
        <v>0.13</v>
      </c>
      <c r="L2134" s="75">
        <v>2300</v>
      </c>
      <c r="M2134" s="75">
        <v>0.11565</v>
      </c>
      <c r="N2134" s="75">
        <v>2314.1999999999998</v>
      </c>
      <c r="O2134" s="90" t="str">
        <f>IF(VLOOKUP(UncLookup[[#This Row],[Item]],Items!$A$1:$F$43,2,FALSE)=0,"",VLOOKUP(UncLookup[[#This Row],[Item]],Items!$A$1:$F$43,2,FALSE))</f>
        <v/>
      </c>
      <c r="P2134" s="90" t="str">
        <f>IF(VLOOKUP(UncLookup[[#This Row],[Item]],Items!$A$1:$F$43,3,FALSE)=0,"",VLOOKUP(UncLookup[[#This Row],[Item]],Items!$A$1:$F$43,3,FALSE))</f>
        <v/>
      </c>
      <c r="Q2134" s="90" t="str">
        <f>IF(VLOOKUP(UncLookup[[#This Row],[Item]],Items!$A$1:$F$43,4,FALSE)=0,"",VLOOKUP(UncLookup[[#This Row],[Item]],Items!$A$1:$F$43,4,FALSE))</f>
        <v/>
      </c>
    </row>
    <row r="2135" spans="1:17" x14ac:dyDescent="0.25">
      <c r="A2135" s="76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77">
        <v>0.14000000000000001</v>
      </c>
      <c r="L2135" s="76">
        <v>1400</v>
      </c>
      <c r="M2135" s="77">
        <v>0.11584999999999999</v>
      </c>
      <c r="N2135" s="76">
        <v>1442.9</v>
      </c>
      <c r="O2135" s="90" t="str">
        <f>IF(VLOOKUP(UncLookup[[#This Row],[Item]],Items!$A$1:$F$43,2,FALSE)=0,"",VLOOKUP(UncLookup[[#This Row],[Item]],Items!$A$1:$F$43,2,FALSE))</f>
        <v/>
      </c>
      <c r="P2135" s="90" t="str">
        <f>IF(VLOOKUP(UncLookup[[#This Row],[Item]],Items!$A$1:$F$43,3,FALSE)=0,"",VLOOKUP(UncLookup[[#This Row],[Item]],Items!$A$1:$F$43,3,FALSE))</f>
        <v/>
      </c>
      <c r="Q2135" s="90" t="str">
        <f>IF(VLOOKUP(UncLookup[[#This Row],[Item]],Items!$A$1:$F$43,4,FALSE)=0,"",VLOOKUP(UncLookup[[#This Row],[Item]],Items!$A$1:$F$43,4,FALSE))</f>
        <v/>
      </c>
    </row>
    <row r="2136" spans="1:17" x14ac:dyDescent="0.25">
      <c r="A2136" s="75" t="s">
        <v>55</v>
      </c>
      <c r="B2136" s="75" t="s">
        <v>47</v>
      </c>
      <c r="C2136" s="75">
        <v>0</v>
      </c>
      <c r="D2136" s="75">
        <v>3.3000999999999999E-4</v>
      </c>
      <c r="E2136" s="75">
        <v>1E-8</v>
      </c>
      <c r="F2136" s="75" t="s">
        <v>13</v>
      </c>
      <c r="G2136" s="75" t="s">
        <v>11</v>
      </c>
      <c r="H2136" s="75">
        <v>10</v>
      </c>
      <c r="I2136" s="75">
        <v>30</v>
      </c>
      <c r="J2136" s="75" t="s">
        <v>10</v>
      </c>
      <c r="K2136" s="78">
        <v>0.62</v>
      </c>
      <c r="L2136" s="75">
        <v>18000</v>
      </c>
      <c r="M2136" s="78">
        <v>0.46198</v>
      </c>
      <c r="N2136" s="75">
        <v>18475</v>
      </c>
      <c r="O2136" s="90" t="str">
        <f>IF(VLOOKUP(UncLookup[[#This Row],[Item]],Items!$A$1:$F$43,2,FALSE)=0,"",VLOOKUP(UncLookup[[#This Row],[Item]],Items!$A$1:$F$43,2,FALSE))</f>
        <v/>
      </c>
      <c r="P2136" s="90" t="str">
        <f>IF(VLOOKUP(UncLookup[[#This Row],[Item]],Items!$A$1:$F$43,3,FALSE)=0,"",VLOOKUP(UncLookup[[#This Row],[Item]],Items!$A$1:$F$43,3,FALSE))</f>
        <v/>
      </c>
      <c r="Q2136" s="90" t="str">
        <f>IF(VLOOKUP(UncLookup[[#This Row],[Item]],Items!$A$1:$F$43,4,FALSE)=0,"",VLOOKUP(UncLookup[[#This Row],[Item]],Items!$A$1:$F$43,4,FALSE))</f>
        <v/>
      </c>
    </row>
    <row r="2137" spans="1:17" x14ac:dyDescent="0.25">
      <c r="A2137" s="76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76">
        <v>0.13</v>
      </c>
      <c r="L2137" s="76">
        <v>1700</v>
      </c>
      <c r="M2137" s="76">
        <v>0.11582000000000001</v>
      </c>
      <c r="N2137" s="76">
        <v>1731.6</v>
      </c>
      <c r="O2137" s="90" t="str">
        <f>IF(VLOOKUP(UncLookup[[#This Row],[Item]],Items!$A$1:$F$43,2,FALSE)=0,"",VLOOKUP(UncLookup[[#This Row],[Item]],Items!$A$1:$F$43,2,FALSE))</f>
        <v/>
      </c>
      <c r="P2137" s="90" t="str">
        <f>IF(VLOOKUP(UncLookup[[#This Row],[Item]],Items!$A$1:$F$43,3,FALSE)=0,"",VLOOKUP(UncLookup[[#This Row],[Item]],Items!$A$1:$F$43,3,FALSE))</f>
        <v/>
      </c>
      <c r="Q2137" s="90" t="str">
        <f>IF(VLOOKUP(UncLookup[[#This Row],[Item]],Items!$A$1:$F$43,4,FALSE)=0,"",VLOOKUP(UncLookup[[#This Row],[Item]],Items!$A$1:$F$43,4,FALSE))</f>
        <v/>
      </c>
    </row>
    <row r="2138" spans="1:17" x14ac:dyDescent="0.25">
      <c r="A2138" s="75" t="s">
        <v>55</v>
      </c>
      <c r="B2138" s="75" t="s">
        <v>47</v>
      </c>
      <c r="C2138" s="75">
        <v>0</v>
      </c>
      <c r="D2138" s="75">
        <v>3.3000999999999999E-4</v>
      </c>
      <c r="E2138" s="75">
        <v>1E-8</v>
      </c>
      <c r="F2138" s="75" t="s">
        <v>13</v>
      </c>
      <c r="G2138" s="75" t="s">
        <v>11</v>
      </c>
      <c r="H2138" s="75">
        <v>30</v>
      </c>
      <c r="I2138" s="75">
        <v>30.1</v>
      </c>
      <c r="J2138" s="75" t="s">
        <v>10</v>
      </c>
      <c r="K2138" s="75">
        <v>0.62</v>
      </c>
      <c r="L2138" s="75">
        <v>18000</v>
      </c>
      <c r="M2138" s="75">
        <v>0.46198</v>
      </c>
      <c r="N2138" s="75">
        <v>18475</v>
      </c>
      <c r="O2138" s="90" t="str">
        <f>IF(VLOOKUP(UncLookup[[#This Row],[Item]],Items!$A$1:$F$43,2,FALSE)=0,"",VLOOKUP(UncLookup[[#This Row],[Item]],Items!$A$1:$F$43,2,FALSE))</f>
        <v/>
      </c>
      <c r="P2138" s="90" t="str">
        <f>IF(VLOOKUP(UncLookup[[#This Row],[Item]],Items!$A$1:$F$43,3,FALSE)=0,"",VLOOKUP(UncLookup[[#This Row],[Item]],Items!$A$1:$F$43,3,FALSE))</f>
        <v/>
      </c>
      <c r="Q2138" s="90" t="str">
        <f>IF(VLOOKUP(UncLookup[[#This Row],[Item]],Items!$A$1:$F$43,4,FALSE)=0,"",VLOOKUP(UncLookup[[#This Row],[Item]],Items!$A$1:$F$43,4,FALSE))</f>
        <v/>
      </c>
    </row>
    <row r="2139" spans="1:17" x14ac:dyDescent="0.25">
      <c r="A2139" s="76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90" t="str">
        <f>IF(VLOOKUP(UncLookup[[#This Row],[Item]],Items!$A$1:$F$43,2,FALSE)=0,"",VLOOKUP(UncLookup[[#This Row],[Item]],Items!$A$1:$F$43,2,FALSE))</f>
        <v/>
      </c>
      <c r="P2139" s="90" t="str">
        <f>IF(VLOOKUP(UncLookup[[#This Row],[Item]],Items!$A$1:$F$43,3,FALSE)=0,"",VLOOKUP(UncLookup[[#This Row],[Item]],Items!$A$1:$F$43,3,FALSE))</f>
        <v/>
      </c>
      <c r="Q2139" s="90" t="str">
        <f>IF(VLOOKUP(UncLookup[[#This Row],[Item]],Items!$A$1:$F$43,4,FALSE)=0,"",VLOOKUP(UncLookup[[#This Row],[Item]],Items!$A$1:$F$43,4,FALSE))</f>
        <v/>
      </c>
    </row>
    <row r="2140" spans="1:17" x14ac:dyDescent="0.25">
      <c r="A2140" s="75" t="s">
        <v>55</v>
      </c>
      <c r="B2140" s="75" t="s">
        <v>47</v>
      </c>
      <c r="C2140" s="75">
        <v>0</v>
      </c>
      <c r="D2140" s="75">
        <v>3.3000999999999999E-4</v>
      </c>
      <c r="E2140" s="75">
        <v>9.9999999999999995E-8</v>
      </c>
      <c r="F2140" s="75" t="s">
        <v>13</v>
      </c>
      <c r="G2140" s="75" t="s">
        <v>11</v>
      </c>
      <c r="H2140" s="75">
        <v>30</v>
      </c>
      <c r="I2140" s="75">
        <v>30.1</v>
      </c>
      <c r="J2140" s="75" t="s">
        <v>10</v>
      </c>
      <c r="K2140" s="75">
        <v>0.62</v>
      </c>
      <c r="L2140" s="78">
        <v>18000</v>
      </c>
      <c r="M2140" s="75">
        <v>0.46389000000000002</v>
      </c>
      <c r="N2140" s="78">
        <v>18470</v>
      </c>
      <c r="O2140" s="90" t="str">
        <f>IF(VLOOKUP(UncLookup[[#This Row],[Item]],Items!$A$1:$F$43,2,FALSE)=0,"",VLOOKUP(UncLookup[[#This Row],[Item]],Items!$A$1:$F$43,2,FALSE))</f>
        <v/>
      </c>
      <c r="P2140" s="90" t="str">
        <f>IF(VLOOKUP(UncLookup[[#This Row],[Item]],Items!$A$1:$F$43,3,FALSE)=0,"",VLOOKUP(UncLookup[[#This Row],[Item]],Items!$A$1:$F$43,3,FALSE))</f>
        <v/>
      </c>
      <c r="Q2140" s="90" t="str">
        <f>IF(VLOOKUP(UncLookup[[#This Row],[Item]],Items!$A$1:$F$43,4,FALSE)=0,"",VLOOKUP(UncLookup[[#This Row],[Item]],Items!$A$1:$F$43,4,FALSE))</f>
        <v/>
      </c>
    </row>
    <row r="2141" spans="1:17" x14ac:dyDescent="0.25">
      <c r="A2141" s="76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77">
        <v>18000</v>
      </c>
      <c r="M2141" s="77">
        <v>0.46389000000000002</v>
      </c>
      <c r="N2141" s="76">
        <v>18470</v>
      </c>
      <c r="O2141" s="90" t="str">
        <f>IF(VLOOKUP(UncLookup[[#This Row],[Item]],Items!$A$1:$F$43,2,FALSE)=0,"",VLOOKUP(UncLookup[[#This Row],[Item]],Items!$A$1:$F$43,2,FALSE))</f>
        <v/>
      </c>
      <c r="P2141" s="90" t="str">
        <f>IF(VLOOKUP(UncLookup[[#This Row],[Item]],Items!$A$1:$F$43,3,FALSE)=0,"",VLOOKUP(UncLookup[[#This Row],[Item]],Items!$A$1:$F$43,3,FALSE))</f>
        <v/>
      </c>
      <c r="Q2141" s="90" t="str">
        <f>IF(VLOOKUP(UncLookup[[#This Row],[Item]],Items!$A$1:$F$43,4,FALSE)=0,"",VLOOKUP(UncLookup[[#This Row],[Item]],Items!$A$1:$F$43,4,FALSE))</f>
        <v/>
      </c>
    </row>
    <row r="2142" spans="1:17" x14ac:dyDescent="0.25">
      <c r="A2142" s="75" t="s">
        <v>55</v>
      </c>
      <c r="B2142" s="75" t="s">
        <v>47</v>
      </c>
      <c r="C2142" s="75">
        <v>0</v>
      </c>
      <c r="D2142" s="75">
        <v>3.3000999999999999E-4</v>
      </c>
      <c r="E2142" s="75">
        <v>9.9999999999999995E-8</v>
      </c>
      <c r="F2142" s="75" t="s">
        <v>13</v>
      </c>
      <c r="G2142" s="75" t="s">
        <v>11</v>
      </c>
      <c r="H2142" s="75">
        <v>5</v>
      </c>
      <c r="I2142" s="75">
        <v>10.01</v>
      </c>
      <c r="J2142" s="75" t="s">
        <v>10</v>
      </c>
      <c r="K2142" s="78">
        <v>0.25</v>
      </c>
      <c r="L2142" s="78">
        <v>9200</v>
      </c>
      <c r="M2142" s="78">
        <v>0.23463000000000001</v>
      </c>
      <c r="N2142" s="75">
        <v>9228.1</v>
      </c>
      <c r="O2142" s="90" t="str">
        <f>IF(VLOOKUP(UncLookup[[#This Row],[Item]],Items!$A$1:$F$43,2,FALSE)=0,"",VLOOKUP(UncLookup[[#This Row],[Item]],Items!$A$1:$F$43,2,FALSE))</f>
        <v/>
      </c>
      <c r="P2142" s="90" t="str">
        <f>IF(VLOOKUP(UncLookup[[#This Row],[Item]],Items!$A$1:$F$43,3,FALSE)=0,"",VLOOKUP(UncLookup[[#This Row],[Item]],Items!$A$1:$F$43,3,FALSE))</f>
        <v/>
      </c>
      <c r="Q2142" s="90" t="str">
        <f>IF(VLOOKUP(UncLookup[[#This Row],[Item]],Items!$A$1:$F$43,4,FALSE)=0,"",VLOOKUP(UncLookup[[#This Row],[Item]],Items!$A$1:$F$43,4,FALSE))</f>
        <v/>
      </c>
    </row>
    <row r="2143" spans="1:17" x14ac:dyDescent="0.25">
      <c r="A2143" s="76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76">
        <v>0.14000000000000001</v>
      </c>
      <c r="L2143" s="76">
        <v>1400</v>
      </c>
      <c r="M2143" s="76">
        <v>0.12669</v>
      </c>
      <c r="N2143" s="76">
        <v>1418.5</v>
      </c>
      <c r="O2143" s="90" t="str">
        <f>IF(VLOOKUP(UncLookup[[#This Row],[Item]],Items!$A$1:$F$43,2,FALSE)=0,"",VLOOKUP(UncLookup[[#This Row],[Item]],Items!$A$1:$F$43,2,FALSE))</f>
        <v/>
      </c>
      <c r="P2143" s="90" t="str">
        <f>IF(VLOOKUP(UncLookup[[#This Row],[Item]],Items!$A$1:$F$43,3,FALSE)=0,"",VLOOKUP(UncLookup[[#This Row],[Item]],Items!$A$1:$F$43,3,FALSE))</f>
        <v/>
      </c>
      <c r="Q2143" s="90" t="str">
        <f>IF(VLOOKUP(UncLookup[[#This Row],[Item]],Items!$A$1:$F$43,4,FALSE)=0,"",VLOOKUP(UncLookup[[#This Row],[Item]],Items!$A$1:$F$43,4,FALSE))</f>
        <v/>
      </c>
    </row>
    <row r="2144" spans="1:17" x14ac:dyDescent="0.25">
      <c r="A2144" s="75" t="s">
        <v>55</v>
      </c>
      <c r="B2144" s="75" t="s">
        <v>47</v>
      </c>
      <c r="C2144" s="75">
        <v>0</v>
      </c>
      <c r="D2144" s="75">
        <v>3.3000999999999999E-4</v>
      </c>
      <c r="E2144" s="75">
        <v>9.9999999999999995E-8</v>
      </c>
      <c r="F2144" s="75" t="s">
        <v>13</v>
      </c>
      <c r="G2144" s="75" t="s">
        <v>11</v>
      </c>
      <c r="H2144" s="75">
        <v>0.01</v>
      </c>
      <c r="I2144" s="75">
        <v>2.001E-2</v>
      </c>
      <c r="J2144" s="75" t="s">
        <v>10</v>
      </c>
      <c r="K2144" s="75">
        <v>0.13</v>
      </c>
      <c r="L2144" s="75">
        <v>2300</v>
      </c>
      <c r="M2144" s="75">
        <v>0.12522</v>
      </c>
      <c r="N2144" s="75">
        <v>2290.9</v>
      </c>
      <c r="O2144" s="90" t="str">
        <f>IF(VLOOKUP(UncLookup[[#This Row],[Item]],Items!$A$1:$F$43,2,FALSE)=0,"",VLOOKUP(UncLookup[[#This Row],[Item]],Items!$A$1:$F$43,2,FALSE))</f>
        <v/>
      </c>
      <c r="P2144" s="90" t="str">
        <f>IF(VLOOKUP(UncLookup[[#This Row],[Item]],Items!$A$1:$F$43,3,FALSE)=0,"",VLOOKUP(UncLookup[[#This Row],[Item]],Items!$A$1:$F$43,3,FALSE))</f>
        <v/>
      </c>
      <c r="Q2144" s="90" t="str">
        <f>IF(VLOOKUP(UncLookup[[#This Row],[Item]],Items!$A$1:$F$43,4,FALSE)=0,"",VLOOKUP(UncLookup[[#This Row],[Item]],Items!$A$1:$F$43,4,FALSE))</f>
        <v/>
      </c>
    </row>
    <row r="2145" spans="1:17" x14ac:dyDescent="0.25">
      <c r="A2145" s="76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90" t="str">
        <f>IF(VLOOKUP(UncLookup[[#This Row],[Item]],Items!$A$1:$F$43,2,FALSE)=0,"",VLOOKUP(UncLookup[[#This Row],[Item]],Items!$A$1:$F$43,2,FALSE))</f>
        <v/>
      </c>
      <c r="P2145" s="90" t="str">
        <f>IF(VLOOKUP(UncLookup[[#This Row],[Item]],Items!$A$1:$F$43,3,FALSE)=0,"",VLOOKUP(UncLookup[[#This Row],[Item]],Items!$A$1:$F$43,3,FALSE))</f>
        <v/>
      </c>
      <c r="Q2145" s="90" t="str">
        <f>IF(VLOOKUP(UncLookup[[#This Row],[Item]],Items!$A$1:$F$43,4,FALSE)=0,"",VLOOKUP(UncLookup[[#This Row],[Item]],Items!$A$1:$F$43,4,FALSE))</f>
        <v/>
      </c>
    </row>
    <row r="2146" spans="1:17" x14ac:dyDescent="0.25">
      <c r="A2146" s="75" t="s">
        <v>55</v>
      </c>
      <c r="B2146" s="75" t="s">
        <v>47</v>
      </c>
      <c r="C2146" s="75">
        <v>0</v>
      </c>
      <c r="D2146" s="75">
        <v>3.3000999999999999E-4</v>
      </c>
      <c r="E2146" s="75">
        <v>9.9999999999999995E-8</v>
      </c>
      <c r="F2146" s="75" t="s">
        <v>13</v>
      </c>
      <c r="G2146" s="75" t="s">
        <v>11</v>
      </c>
      <c r="H2146" s="75">
        <v>0.02</v>
      </c>
      <c r="I2146" s="75">
        <v>4.5010000000000001E-2</v>
      </c>
      <c r="J2146" s="75" t="s">
        <v>10</v>
      </c>
      <c r="K2146" s="75">
        <v>0.13</v>
      </c>
      <c r="L2146" s="75">
        <v>1700</v>
      </c>
      <c r="M2146" s="75">
        <v>0.12620000000000001</v>
      </c>
      <c r="N2146" s="78">
        <v>1707.4</v>
      </c>
      <c r="O2146" s="90" t="str">
        <f>IF(VLOOKUP(UncLookup[[#This Row],[Item]],Items!$A$1:$F$43,2,FALSE)=0,"",VLOOKUP(UncLookup[[#This Row],[Item]],Items!$A$1:$F$43,2,FALSE))</f>
        <v/>
      </c>
      <c r="P2146" s="90" t="str">
        <f>IF(VLOOKUP(UncLookup[[#This Row],[Item]],Items!$A$1:$F$43,3,FALSE)=0,"",VLOOKUP(UncLookup[[#This Row],[Item]],Items!$A$1:$F$43,3,FALSE))</f>
        <v/>
      </c>
      <c r="Q2146" s="90" t="str">
        <f>IF(VLOOKUP(UncLookup[[#This Row],[Item]],Items!$A$1:$F$43,4,FALSE)=0,"",VLOOKUP(UncLookup[[#This Row],[Item]],Items!$A$1:$F$43,4,FALSE))</f>
        <v/>
      </c>
    </row>
    <row r="2147" spans="1:17" x14ac:dyDescent="0.25">
      <c r="A2147" s="76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77">
        <v>1474.5</v>
      </c>
      <c r="O2147" s="90" t="str">
        <f>IF(VLOOKUP(UncLookup[[#This Row],[Item]],Items!$A$1:$F$43,2,FALSE)=0,"",VLOOKUP(UncLookup[[#This Row],[Item]],Items!$A$1:$F$43,2,FALSE))</f>
        <v/>
      </c>
      <c r="P2147" s="90" t="str">
        <f>IF(VLOOKUP(UncLookup[[#This Row],[Item]],Items!$A$1:$F$43,3,FALSE)=0,"",VLOOKUP(UncLookup[[#This Row],[Item]],Items!$A$1:$F$43,3,FALSE))</f>
        <v/>
      </c>
      <c r="Q2147" s="90" t="str">
        <f>IF(VLOOKUP(UncLookup[[#This Row],[Item]],Items!$A$1:$F$43,4,FALSE)=0,"",VLOOKUP(UncLookup[[#This Row],[Item]],Items!$A$1:$F$43,4,FALSE))</f>
        <v/>
      </c>
    </row>
    <row r="2148" spans="1:17" x14ac:dyDescent="0.25">
      <c r="A2148" s="75" t="s">
        <v>55</v>
      </c>
      <c r="B2148" s="75" t="s">
        <v>47</v>
      </c>
      <c r="C2148" s="75">
        <v>0</v>
      </c>
      <c r="D2148" s="75">
        <v>3.3000999999999999E-4</v>
      </c>
      <c r="E2148" s="75">
        <v>9.9999999999999995E-7</v>
      </c>
      <c r="F2148" s="75" t="s">
        <v>13</v>
      </c>
      <c r="G2148" s="75" t="s">
        <v>11</v>
      </c>
      <c r="H2148" s="75">
        <v>5</v>
      </c>
      <c r="I2148" s="75">
        <v>10.01</v>
      </c>
      <c r="J2148" s="75" t="s">
        <v>10</v>
      </c>
      <c r="K2148" s="75">
        <v>0.51629999999999998</v>
      </c>
      <c r="L2148" s="75">
        <v>8526.7000000000007</v>
      </c>
      <c r="M2148" s="78">
        <v>0.51576</v>
      </c>
      <c r="N2148" s="75">
        <v>8527.5</v>
      </c>
      <c r="O2148" s="90" t="str">
        <f>IF(VLOOKUP(UncLookup[[#This Row],[Item]],Items!$A$1:$F$43,2,FALSE)=0,"",VLOOKUP(UncLookup[[#This Row],[Item]],Items!$A$1:$F$43,2,FALSE))</f>
        <v/>
      </c>
      <c r="P2148" s="90" t="str">
        <f>IF(VLOOKUP(UncLookup[[#This Row],[Item]],Items!$A$1:$F$43,3,FALSE)=0,"",VLOOKUP(UncLookup[[#This Row],[Item]],Items!$A$1:$F$43,3,FALSE))</f>
        <v/>
      </c>
      <c r="Q2148" s="90" t="str">
        <f>IF(VLOOKUP(UncLookup[[#This Row],[Item]],Items!$A$1:$F$43,4,FALSE)=0,"",VLOOKUP(UncLookup[[#This Row],[Item]],Items!$A$1:$F$43,4,FALSE))</f>
        <v/>
      </c>
    </row>
    <row r="2149" spans="1:17" x14ac:dyDescent="0.25">
      <c r="A2149" s="76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76">
        <v>0.56206999999999996</v>
      </c>
      <c r="N2149" s="76">
        <v>2652.8</v>
      </c>
      <c r="O2149" s="90" t="str">
        <f>IF(VLOOKUP(UncLookup[[#This Row],[Item]],Items!$A$1:$F$43,2,FALSE)=0,"",VLOOKUP(UncLookup[[#This Row],[Item]],Items!$A$1:$F$43,2,FALSE))</f>
        <v/>
      </c>
      <c r="P2149" s="90" t="str">
        <f>IF(VLOOKUP(UncLookup[[#This Row],[Item]],Items!$A$1:$F$43,3,FALSE)=0,"",VLOOKUP(UncLookup[[#This Row],[Item]],Items!$A$1:$F$43,3,FALSE))</f>
        <v/>
      </c>
      <c r="Q2149" s="90" t="str">
        <f>IF(VLOOKUP(UncLookup[[#This Row],[Item]],Items!$A$1:$F$43,4,FALSE)=0,"",VLOOKUP(UncLookup[[#This Row],[Item]],Items!$A$1:$F$43,4,FALSE))</f>
        <v/>
      </c>
    </row>
    <row r="2150" spans="1:17" x14ac:dyDescent="0.25">
      <c r="A2150" s="75" t="s">
        <v>55</v>
      </c>
      <c r="B2150" s="75" t="s">
        <v>47</v>
      </c>
      <c r="C2150" s="75">
        <v>0</v>
      </c>
      <c r="D2150" s="75">
        <v>3.3000999999999999E-4</v>
      </c>
      <c r="E2150" s="75">
        <v>9.9999999999999995E-7</v>
      </c>
      <c r="F2150" s="75" t="s">
        <v>13</v>
      </c>
      <c r="G2150" s="75" t="s">
        <v>11</v>
      </c>
      <c r="H2150" s="75">
        <v>4.4999999999999998E-2</v>
      </c>
      <c r="I2150" s="75">
        <v>1.0000100000000001</v>
      </c>
      <c r="J2150" s="75" t="s">
        <v>10</v>
      </c>
      <c r="K2150" s="75">
        <v>0.57669999999999999</v>
      </c>
      <c r="L2150" s="75">
        <v>759.64</v>
      </c>
      <c r="M2150" s="75">
        <v>0.57647000000000004</v>
      </c>
      <c r="N2150" s="75">
        <v>758.92</v>
      </c>
      <c r="O2150" s="90" t="str">
        <f>IF(VLOOKUP(UncLookup[[#This Row],[Item]],Items!$A$1:$F$43,2,FALSE)=0,"",VLOOKUP(UncLookup[[#This Row],[Item]],Items!$A$1:$F$43,2,FALSE))</f>
        <v/>
      </c>
      <c r="P2150" s="90" t="str">
        <f>IF(VLOOKUP(UncLookup[[#This Row],[Item]],Items!$A$1:$F$43,3,FALSE)=0,"",VLOOKUP(UncLookup[[#This Row],[Item]],Items!$A$1:$F$43,3,FALSE))</f>
        <v/>
      </c>
      <c r="Q2150" s="90" t="str">
        <f>IF(VLOOKUP(UncLookup[[#This Row],[Item]],Items!$A$1:$F$43,4,FALSE)=0,"",VLOOKUP(UncLookup[[#This Row],[Item]],Items!$A$1:$F$43,4,FALSE))</f>
        <v/>
      </c>
    </row>
    <row r="2151" spans="1:17" x14ac:dyDescent="0.25">
      <c r="A2151" s="76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90" t="str">
        <f>IF(VLOOKUP(UncLookup[[#This Row],[Item]],Items!$A$1:$F$43,2,FALSE)=0,"",VLOOKUP(UncLookup[[#This Row],[Item]],Items!$A$1:$F$43,2,FALSE))</f>
        <v/>
      </c>
      <c r="P2151" s="90" t="str">
        <f>IF(VLOOKUP(UncLookup[[#This Row],[Item]],Items!$A$1:$F$43,3,FALSE)=0,"",VLOOKUP(UncLookup[[#This Row],[Item]],Items!$A$1:$F$43,3,FALSE))</f>
        <v/>
      </c>
      <c r="Q2151" s="90" t="str">
        <f>IF(VLOOKUP(UncLookup[[#This Row],[Item]],Items!$A$1:$F$43,4,FALSE)=0,"",VLOOKUP(UncLookup[[#This Row],[Item]],Items!$A$1:$F$43,4,FALSE))</f>
        <v/>
      </c>
    </row>
    <row r="2152" spans="1:17" x14ac:dyDescent="0.25">
      <c r="A2152" s="75" t="s">
        <v>55</v>
      </c>
      <c r="B2152" s="75" t="s">
        <v>47</v>
      </c>
      <c r="C2152" s="75">
        <v>0</v>
      </c>
      <c r="D2152" s="75">
        <v>3.3000999999999999E-4</v>
      </c>
      <c r="E2152" s="75">
        <v>9.9999999999999995E-7</v>
      </c>
      <c r="F2152" s="75" t="s">
        <v>13</v>
      </c>
      <c r="G2152" s="75" t="s">
        <v>11</v>
      </c>
      <c r="H2152" s="75">
        <v>30</v>
      </c>
      <c r="I2152" s="75">
        <v>30.1</v>
      </c>
      <c r="J2152" s="75" t="s">
        <v>10</v>
      </c>
      <c r="K2152" s="75">
        <v>0.62980000000000003</v>
      </c>
      <c r="L2152" s="75">
        <v>18044</v>
      </c>
      <c r="M2152" s="75">
        <v>0.62958000000000003</v>
      </c>
      <c r="N2152" s="75">
        <v>18044</v>
      </c>
      <c r="O2152" s="90" t="str">
        <f>IF(VLOOKUP(UncLookup[[#This Row],[Item]],Items!$A$1:$F$43,2,FALSE)=0,"",VLOOKUP(UncLookup[[#This Row],[Item]],Items!$A$1:$F$43,2,FALSE))</f>
        <v/>
      </c>
      <c r="P2152" s="90" t="str">
        <f>IF(VLOOKUP(UncLookup[[#This Row],[Item]],Items!$A$1:$F$43,3,FALSE)=0,"",VLOOKUP(UncLookup[[#This Row],[Item]],Items!$A$1:$F$43,3,FALSE))</f>
        <v/>
      </c>
      <c r="Q2152" s="90" t="str">
        <f>IF(VLOOKUP(UncLookup[[#This Row],[Item]],Items!$A$1:$F$43,4,FALSE)=0,"",VLOOKUP(UncLookup[[#This Row],[Item]],Items!$A$1:$F$43,4,FALSE))</f>
        <v/>
      </c>
    </row>
    <row r="2153" spans="1:17" x14ac:dyDescent="0.25">
      <c r="A2153" s="76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77">
        <v>986.73</v>
      </c>
      <c r="M2153" s="76">
        <v>0.57213000000000003</v>
      </c>
      <c r="N2153" s="77">
        <v>986.13</v>
      </c>
      <c r="O2153" s="90" t="str">
        <f>IF(VLOOKUP(UncLookup[[#This Row],[Item]],Items!$A$1:$F$43,2,FALSE)=0,"",VLOOKUP(UncLookup[[#This Row],[Item]],Items!$A$1:$F$43,2,FALSE))</f>
        <v/>
      </c>
      <c r="P2153" s="90" t="str">
        <f>IF(VLOOKUP(UncLookup[[#This Row],[Item]],Items!$A$1:$F$43,3,FALSE)=0,"",VLOOKUP(UncLookup[[#This Row],[Item]],Items!$A$1:$F$43,3,FALSE))</f>
        <v/>
      </c>
      <c r="Q2153" s="90" t="str">
        <f>IF(VLOOKUP(UncLookup[[#This Row],[Item]],Items!$A$1:$F$43,4,FALSE)=0,"",VLOOKUP(UncLookup[[#This Row],[Item]],Items!$A$1:$F$43,4,FALSE))</f>
        <v/>
      </c>
    </row>
    <row r="2154" spans="1:17" x14ac:dyDescent="0.25">
      <c r="A2154" s="75" t="s">
        <v>55</v>
      </c>
      <c r="B2154" s="75" t="s">
        <v>47</v>
      </c>
      <c r="C2154" s="75">
        <v>0</v>
      </c>
      <c r="D2154" s="75">
        <v>3.3000999999999999E-4</v>
      </c>
      <c r="E2154" s="75">
        <v>1.0000000000000001E-5</v>
      </c>
      <c r="F2154" s="75" t="s">
        <v>13</v>
      </c>
      <c r="G2154" s="75" t="s">
        <v>11</v>
      </c>
      <c r="H2154" s="75">
        <v>4.4999999999999998E-2</v>
      </c>
      <c r="I2154" s="75">
        <v>1.0000100000000001</v>
      </c>
      <c r="J2154" s="75" t="s">
        <v>10</v>
      </c>
      <c r="K2154" s="75">
        <v>5.7731000000000003</v>
      </c>
      <c r="L2154" s="75">
        <v>93.963999999999999</v>
      </c>
      <c r="M2154" s="78">
        <v>5.7729999999999997</v>
      </c>
      <c r="N2154" s="75">
        <v>93.42</v>
      </c>
      <c r="O2154" s="90" t="str">
        <f>IF(VLOOKUP(UncLookup[[#This Row],[Item]],Items!$A$1:$F$43,2,FALSE)=0,"",VLOOKUP(UncLookup[[#This Row],[Item]],Items!$A$1:$F$43,2,FALSE))</f>
        <v/>
      </c>
      <c r="P2154" s="90" t="str">
        <f>IF(VLOOKUP(UncLookup[[#This Row],[Item]],Items!$A$1:$F$43,3,FALSE)=0,"",VLOOKUP(UncLookup[[#This Row],[Item]],Items!$A$1:$F$43,3,FALSE))</f>
        <v/>
      </c>
      <c r="Q2154" s="90" t="str">
        <f>IF(VLOOKUP(UncLookup[[#This Row],[Item]],Items!$A$1:$F$43,4,FALSE)=0,"",VLOOKUP(UncLookup[[#This Row],[Item]],Items!$A$1:$F$43,4,FALSE))</f>
        <v/>
      </c>
    </row>
    <row r="2155" spans="1:17" x14ac:dyDescent="0.25">
      <c r="A2155" s="76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76">
        <v>5.5818000000000003</v>
      </c>
      <c r="N2155" s="76">
        <v>9564.1</v>
      </c>
      <c r="O2155" s="90" t="str">
        <f>IF(VLOOKUP(UncLookup[[#This Row],[Item]],Items!$A$1:$F$43,2,FALSE)=0,"",VLOOKUP(UncLookup[[#This Row],[Item]],Items!$A$1:$F$43,2,FALSE))</f>
        <v/>
      </c>
      <c r="P2155" s="90" t="str">
        <f>IF(VLOOKUP(UncLookup[[#This Row],[Item]],Items!$A$1:$F$43,3,FALSE)=0,"",VLOOKUP(UncLookup[[#This Row],[Item]],Items!$A$1:$F$43,3,FALSE))</f>
        <v/>
      </c>
      <c r="Q2155" s="90" t="str">
        <f>IF(VLOOKUP(UncLookup[[#This Row],[Item]],Items!$A$1:$F$43,4,FALSE)=0,"",VLOOKUP(UncLookup[[#This Row],[Item]],Items!$A$1:$F$43,4,FALSE))</f>
        <v/>
      </c>
    </row>
    <row r="2156" spans="1:17" x14ac:dyDescent="0.25">
      <c r="A2156" s="75" t="s">
        <v>55</v>
      </c>
      <c r="B2156" s="75" t="s">
        <v>47</v>
      </c>
      <c r="C2156" s="75">
        <v>0</v>
      </c>
      <c r="D2156" s="75">
        <v>3.3000999999999999E-4</v>
      </c>
      <c r="E2156" s="75">
        <v>1.0000000000000001E-5</v>
      </c>
      <c r="F2156" s="75" t="s">
        <v>13</v>
      </c>
      <c r="G2156" s="75" t="s">
        <v>11</v>
      </c>
      <c r="H2156" s="75">
        <v>5</v>
      </c>
      <c r="I2156" s="75">
        <v>10.01</v>
      </c>
      <c r="J2156" s="75" t="s">
        <v>10</v>
      </c>
      <c r="K2156" s="75">
        <v>5.7138999999999998</v>
      </c>
      <c r="L2156" s="75">
        <v>2807.7</v>
      </c>
      <c r="M2156" s="75">
        <v>5.7137000000000002</v>
      </c>
      <c r="N2156" s="75">
        <v>2806.8</v>
      </c>
      <c r="O2156" s="90" t="str">
        <f>IF(VLOOKUP(UncLookup[[#This Row],[Item]],Items!$A$1:$F$43,2,FALSE)=0,"",VLOOKUP(UncLookup[[#This Row],[Item]],Items!$A$1:$F$43,2,FALSE))</f>
        <v/>
      </c>
      <c r="P2156" s="90" t="str">
        <f>IF(VLOOKUP(UncLookup[[#This Row],[Item]],Items!$A$1:$F$43,3,FALSE)=0,"",VLOOKUP(UncLookup[[#This Row],[Item]],Items!$A$1:$F$43,3,FALSE))</f>
        <v/>
      </c>
      <c r="Q2156" s="90" t="str">
        <f>IF(VLOOKUP(UncLookup[[#This Row],[Item]],Items!$A$1:$F$43,4,FALSE)=0,"",VLOOKUP(UncLookup[[#This Row],[Item]],Items!$A$1:$F$43,4,FALSE))</f>
        <v/>
      </c>
    </row>
    <row r="2157" spans="1:17" x14ac:dyDescent="0.25">
      <c r="A2157" s="76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90" t="str">
        <f>IF(VLOOKUP(UncLookup[[#This Row],[Item]],Items!$A$1:$F$43,2,FALSE)=0,"",VLOOKUP(UncLookup[[#This Row],[Item]],Items!$A$1:$F$43,2,FALSE))</f>
        <v/>
      </c>
      <c r="P2157" s="90" t="str">
        <f>IF(VLOOKUP(UncLookup[[#This Row],[Item]],Items!$A$1:$F$43,3,FALSE)=0,"",VLOOKUP(UncLookup[[#This Row],[Item]],Items!$A$1:$F$43,3,FALSE))</f>
        <v/>
      </c>
      <c r="Q2157" s="90" t="str">
        <f>IF(VLOOKUP(UncLookup[[#This Row],[Item]],Items!$A$1:$F$43,4,FALSE)=0,"",VLOOKUP(UncLookup[[#This Row],[Item]],Items!$A$1:$F$43,4,FALSE))</f>
        <v/>
      </c>
    </row>
    <row r="2158" spans="1:17" x14ac:dyDescent="0.25">
      <c r="A2158" s="75" t="s">
        <v>55</v>
      </c>
      <c r="B2158" s="75" t="s">
        <v>47</v>
      </c>
      <c r="C2158" s="75">
        <v>0</v>
      </c>
      <c r="D2158" s="75">
        <v>3.3000999999999999E-4</v>
      </c>
      <c r="E2158" s="75">
        <v>1.0000000000000001E-5</v>
      </c>
      <c r="F2158" s="75" t="s">
        <v>13</v>
      </c>
      <c r="G2158" s="75" t="s">
        <v>11</v>
      </c>
      <c r="H2158" s="75">
        <v>1</v>
      </c>
      <c r="I2158" s="75">
        <v>5.01</v>
      </c>
      <c r="J2158" s="75" t="s">
        <v>10</v>
      </c>
      <c r="K2158" s="75">
        <v>5.7664999999999997</v>
      </c>
      <c r="L2158" s="75">
        <v>471.27</v>
      </c>
      <c r="M2158" s="75">
        <v>5.7664</v>
      </c>
      <c r="N2158" s="75">
        <v>470.74</v>
      </c>
      <c r="O2158" s="90" t="str">
        <f>IF(VLOOKUP(UncLookup[[#This Row],[Item]],Items!$A$1:$F$43,2,FALSE)=0,"",VLOOKUP(UncLookup[[#This Row],[Item]],Items!$A$1:$F$43,2,FALSE))</f>
        <v/>
      </c>
      <c r="P2158" s="90" t="str">
        <f>IF(VLOOKUP(UncLookup[[#This Row],[Item]],Items!$A$1:$F$43,3,FALSE)=0,"",VLOOKUP(UncLookup[[#This Row],[Item]],Items!$A$1:$F$43,3,FALSE))</f>
        <v/>
      </c>
      <c r="Q2158" s="90" t="str">
        <f>IF(VLOOKUP(UncLookup[[#This Row],[Item]],Items!$A$1:$F$43,4,FALSE)=0,"",VLOOKUP(UncLookup[[#This Row],[Item]],Items!$A$1:$F$43,4,FALSE))</f>
        <v/>
      </c>
    </row>
    <row r="2159" spans="1:17" x14ac:dyDescent="0.25">
      <c r="A2159" s="76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77">
        <v>9564.6</v>
      </c>
      <c r="M2159" s="76">
        <v>5.5818000000000003</v>
      </c>
      <c r="N2159" s="77">
        <v>9564.1</v>
      </c>
      <c r="O2159" s="90" t="str">
        <f>IF(VLOOKUP(UncLookup[[#This Row],[Item]],Items!$A$1:$F$43,2,FALSE)=0,"",VLOOKUP(UncLookup[[#This Row],[Item]],Items!$A$1:$F$43,2,FALSE))</f>
        <v/>
      </c>
      <c r="P2159" s="90" t="str">
        <f>IF(VLOOKUP(UncLookup[[#This Row],[Item]],Items!$A$1:$F$43,3,FALSE)=0,"",VLOOKUP(UncLookup[[#This Row],[Item]],Items!$A$1:$F$43,3,FALSE))</f>
        <v/>
      </c>
      <c r="Q2159" s="90" t="str">
        <f>IF(VLOOKUP(UncLookup[[#This Row],[Item]],Items!$A$1:$F$43,4,FALSE)=0,"",VLOOKUP(UncLookup[[#This Row],[Item]],Items!$A$1:$F$43,4,FALSE))</f>
        <v/>
      </c>
    </row>
    <row r="2160" spans="1:17" x14ac:dyDescent="0.25">
      <c r="A2160" s="75" t="s">
        <v>55</v>
      </c>
      <c r="B2160" s="75" t="s">
        <v>47</v>
      </c>
      <c r="C2160" s="75">
        <v>0</v>
      </c>
      <c r="D2160" s="75">
        <v>3.3000999999999999E-4</v>
      </c>
      <c r="E2160" s="75">
        <v>1.0000000000000001E-5</v>
      </c>
      <c r="F2160" s="75" t="s">
        <v>13</v>
      </c>
      <c r="G2160" s="75" t="s">
        <v>11</v>
      </c>
      <c r="H2160" s="75">
        <v>0.02</v>
      </c>
      <c r="I2160" s="75">
        <v>4.5010000000000001E-2</v>
      </c>
      <c r="J2160" s="75" t="s">
        <v>10</v>
      </c>
      <c r="K2160" s="75">
        <v>5.7723000000000004</v>
      </c>
      <c r="L2160" s="75">
        <v>128.02000000000001</v>
      </c>
      <c r="M2160" s="75">
        <v>5.7721999999999998</v>
      </c>
      <c r="N2160" s="75">
        <v>127.48</v>
      </c>
      <c r="O2160" s="90" t="str">
        <f>IF(VLOOKUP(UncLookup[[#This Row],[Item]],Items!$A$1:$F$43,2,FALSE)=0,"",VLOOKUP(UncLookup[[#This Row],[Item]],Items!$A$1:$F$43,2,FALSE))</f>
        <v/>
      </c>
      <c r="P2160" s="90" t="str">
        <f>IF(VLOOKUP(UncLookup[[#This Row],[Item]],Items!$A$1:$F$43,3,FALSE)=0,"",VLOOKUP(UncLookup[[#This Row],[Item]],Items!$A$1:$F$43,3,FALSE))</f>
        <v/>
      </c>
      <c r="Q2160" s="90" t="str">
        <f>IF(VLOOKUP(UncLookup[[#This Row],[Item]],Items!$A$1:$F$43,4,FALSE)=0,"",VLOOKUP(UncLookup[[#This Row],[Item]],Items!$A$1:$F$43,4,FALSE))</f>
        <v/>
      </c>
    </row>
    <row r="2161" spans="1:17" x14ac:dyDescent="0.25">
      <c r="A2161" s="76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90" t="str">
        <f>IF(VLOOKUP(UncLookup[[#This Row],[Item]],Items!$A$1:$F$43,2,FALSE)=0,"",VLOOKUP(UncLookup[[#This Row],[Item]],Items!$A$1:$F$43,2,FALSE))</f>
        <v/>
      </c>
      <c r="P2161" s="90" t="str">
        <f>IF(VLOOKUP(UncLookup[[#This Row],[Item]],Items!$A$1:$F$43,3,FALSE)=0,"",VLOOKUP(UncLookup[[#This Row],[Item]],Items!$A$1:$F$43,3,FALSE))</f>
        <v/>
      </c>
      <c r="Q2161" s="90" t="str">
        <f>IF(VLOOKUP(UncLookup[[#This Row],[Item]],Items!$A$1:$F$43,4,FALSE)=0,"",VLOOKUP(UncLookup[[#This Row],[Item]],Items!$A$1:$F$43,4,FALSE))</f>
        <v/>
      </c>
    </row>
    <row r="2162" spans="1:17" x14ac:dyDescent="0.25">
      <c r="A2162" s="75" t="s">
        <v>55</v>
      </c>
      <c r="B2162" s="75" t="s">
        <v>47</v>
      </c>
      <c r="C2162" s="75">
        <v>0</v>
      </c>
      <c r="D2162" s="75">
        <v>3.3000999999999999E-4</v>
      </c>
      <c r="E2162" s="75">
        <v>1E-4</v>
      </c>
      <c r="F2162" s="75" t="s">
        <v>13</v>
      </c>
      <c r="G2162" s="75" t="s">
        <v>11</v>
      </c>
      <c r="H2162" s="75">
        <v>0.01</v>
      </c>
      <c r="I2162" s="75">
        <v>2.001E-2</v>
      </c>
      <c r="J2162" s="75" t="s">
        <v>10</v>
      </c>
      <c r="K2162" s="75">
        <v>58.024999999999999</v>
      </c>
      <c r="L2162" s="75">
        <v>-857.45</v>
      </c>
      <c r="M2162" s="75">
        <v>58.024999999999999</v>
      </c>
      <c r="N2162" s="75">
        <v>-857.67</v>
      </c>
      <c r="O2162" s="90" t="str">
        <f>IF(VLOOKUP(UncLookup[[#This Row],[Item]],Items!$A$1:$F$43,2,FALSE)=0,"",VLOOKUP(UncLookup[[#This Row],[Item]],Items!$A$1:$F$43,2,FALSE))</f>
        <v/>
      </c>
      <c r="P2162" s="90" t="str">
        <f>IF(VLOOKUP(UncLookup[[#This Row],[Item]],Items!$A$1:$F$43,3,FALSE)=0,"",VLOOKUP(UncLookup[[#This Row],[Item]],Items!$A$1:$F$43,3,FALSE))</f>
        <v/>
      </c>
      <c r="Q2162" s="90" t="str">
        <f>IF(VLOOKUP(UncLookup[[#This Row],[Item]],Items!$A$1:$F$43,4,FALSE)=0,"",VLOOKUP(UncLookup[[#This Row],[Item]],Items!$A$1:$F$43,4,FALSE))</f>
        <v/>
      </c>
    </row>
    <row r="2163" spans="1:17" x14ac:dyDescent="0.25">
      <c r="A2163" s="76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90" t="str">
        <f>IF(VLOOKUP(UncLookup[[#This Row],[Item]],Items!$A$1:$F$43,2,FALSE)=0,"",VLOOKUP(UncLookup[[#This Row],[Item]],Items!$A$1:$F$43,2,FALSE))</f>
        <v/>
      </c>
      <c r="P2163" s="90" t="str">
        <f>IF(VLOOKUP(UncLookup[[#This Row],[Item]],Items!$A$1:$F$43,3,FALSE)=0,"",VLOOKUP(UncLookup[[#This Row],[Item]],Items!$A$1:$F$43,3,FALSE))</f>
        <v/>
      </c>
      <c r="Q2163" s="90" t="str">
        <f>IF(VLOOKUP(UncLookup[[#This Row],[Item]],Items!$A$1:$F$43,4,FALSE)=0,"",VLOOKUP(UncLookup[[#This Row],[Item]],Items!$A$1:$F$43,4,FALSE))</f>
        <v/>
      </c>
    </row>
    <row r="2164" spans="1:17" x14ac:dyDescent="0.25">
      <c r="A2164" s="75" t="s">
        <v>55</v>
      </c>
      <c r="B2164" s="75" t="s">
        <v>47</v>
      </c>
      <c r="C2164" s="75">
        <v>0</v>
      </c>
      <c r="D2164" s="75">
        <v>3.3000999999999999E-4</v>
      </c>
      <c r="E2164" s="75">
        <v>1E-4</v>
      </c>
      <c r="F2164" s="75" t="s">
        <v>13</v>
      </c>
      <c r="G2164" s="75" t="s">
        <v>11</v>
      </c>
      <c r="H2164" s="75">
        <v>5</v>
      </c>
      <c r="I2164" s="75">
        <v>10.01</v>
      </c>
      <c r="J2164" s="75" t="s">
        <v>10</v>
      </c>
      <c r="K2164" s="75">
        <v>57.728999999999999</v>
      </c>
      <c r="L2164" s="75">
        <v>302.48</v>
      </c>
      <c r="M2164" s="75">
        <v>57.728999999999999</v>
      </c>
      <c r="N2164" s="75">
        <v>302.01</v>
      </c>
      <c r="O2164" s="90" t="str">
        <f>IF(VLOOKUP(UncLookup[[#This Row],[Item]],Items!$A$1:$F$43,2,FALSE)=0,"",VLOOKUP(UncLookup[[#This Row],[Item]],Items!$A$1:$F$43,2,FALSE))</f>
        <v/>
      </c>
      <c r="P2164" s="90" t="str">
        <f>IF(VLOOKUP(UncLookup[[#This Row],[Item]],Items!$A$1:$F$43,3,FALSE)=0,"",VLOOKUP(UncLookup[[#This Row],[Item]],Items!$A$1:$F$43,3,FALSE))</f>
        <v/>
      </c>
      <c r="Q2164" s="90" t="str">
        <f>IF(VLOOKUP(UncLookup[[#This Row],[Item]],Items!$A$1:$F$43,4,FALSE)=0,"",VLOOKUP(UncLookup[[#This Row],[Item]],Items!$A$1:$F$43,4,FALSE))</f>
        <v/>
      </c>
    </row>
    <row r="2165" spans="1:17" x14ac:dyDescent="0.25">
      <c r="A2165" s="76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90" t="str">
        <f>IF(VLOOKUP(UncLookup[[#This Row],[Item]],Items!$A$1:$F$43,2,FALSE)=0,"",VLOOKUP(UncLookup[[#This Row],[Item]],Items!$A$1:$F$43,2,FALSE))</f>
        <v/>
      </c>
      <c r="P2165" s="90" t="str">
        <f>IF(VLOOKUP(UncLookup[[#This Row],[Item]],Items!$A$1:$F$43,3,FALSE)=0,"",VLOOKUP(UncLookup[[#This Row],[Item]],Items!$A$1:$F$43,3,FALSE))</f>
        <v/>
      </c>
      <c r="Q2165" s="90" t="str">
        <f>IF(VLOOKUP(UncLookup[[#This Row],[Item]],Items!$A$1:$F$43,4,FALSE)=0,"",VLOOKUP(UncLookup[[#This Row],[Item]],Items!$A$1:$F$43,4,FALSE))</f>
        <v/>
      </c>
    </row>
    <row r="2166" spans="1:17" x14ac:dyDescent="0.25">
      <c r="A2166" s="75" t="s">
        <v>55</v>
      </c>
      <c r="B2166" s="75" t="s">
        <v>47</v>
      </c>
      <c r="C2166" s="75">
        <v>0</v>
      </c>
      <c r="D2166" s="75">
        <v>3.3000999999999999E-4</v>
      </c>
      <c r="E2166" s="75">
        <v>1E-4</v>
      </c>
      <c r="F2166" s="75" t="s">
        <v>13</v>
      </c>
      <c r="G2166" s="75" t="s">
        <v>11</v>
      </c>
      <c r="H2166" s="75">
        <v>4.4999999999999998E-2</v>
      </c>
      <c r="I2166" s="75">
        <v>1.0000100000000001</v>
      </c>
      <c r="J2166" s="75" t="s">
        <v>10</v>
      </c>
      <c r="K2166" s="75">
        <v>57.735999999999997</v>
      </c>
      <c r="L2166" s="75">
        <v>9.5875000000000004</v>
      </c>
      <c r="M2166" s="75">
        <v>57.734999999999999</v>
      </c>
      <c r="N2166" s="75">
        <v>9.3679000000000006</v>
      </c>
      <c r="O2166" s="90" t="str">
        <f>IF(VLOOKUP(UncLookup[[#This Row],[Item]],Items!$A$1:$F$43,2,FALSE)=0,"",VLOOKUP(UncLookup[[#This Row],[Item]],Items!$A$1:$F$43,2,FALSE))</f>
        <v/>
      </c>
      <c r="P2166" s="90" t="str">
        <f>IF(VLOOKUP(UncLookup[[#This Row],[Item]],Items!$A$1:$F$43,3,FALSE)=0,"",VLOOKUP(UncLookup[[#This Row],[Item]],Items!$A$1:$F$43,3,FALSE))</f>
        <v/>
      </c>
      <c r="Q2166" s="90" t="str">
        <f>IF(VLOOKUP(UncLookup[[#This Row],[Item]],Items!$A$1:$F$43,4,FALSE)=0,"",VLOOKUP(UncLookup[[#This Row],[Item]],Items!$A$1:$F$43,4,FALSE))</f>
        <v/>
      </c>
    </row>
    <row r="2167" spans="1:17" x14ac:dyDescent="0.25">
      <c r="A2167" s="76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90" t="str">
        <f>IF(VLOOKUP(UncLookup[[#This Row],[Item]],Items!$A$1:$F$43,2,FALSE)=0,"",VLOOKUP(UncLookup[[#This Row],[Item]],Items!$A$1:$F$43,2,FALSE))</f>
        <v/>
      </c>
      <c r="P2167" s="90" t="str">
        <f>IF(VLOOKUP(UncLookup[[#This Row],[Item]],Items!$A$1:$F$43,3,FALSE)=0,"",VLOOKUP(UncLookup[[#This Row],[Item]],Items!$A$1:$F$43,3,FALSE))</f>
        <v/>
      </c>
      <c r="Q2167" s="90" t="str">
        <f>IF(VLOOKUP(UncLookup[[#This Row],[Item]],Items!$A$1:$F$43,4,FALSE)=0,"",VLOOKUP(UncLookup[[#This Row],[Item]],Items!$A$1:$F$43,4,FALSE))</f>
        <v/>
      </c>
    </row>
    <row r="2168" spans="1:17" x14ac:dyDescent="0.25">
      <c r="A2168" s="75" t="s">
        <v>55</v>
      </c>
      <c r="B2168" s="75" t="s">
        <v>47</v>
      </c>
      <c r="C2168" s="75">
        <v>0</v>
      </c>
      <c r="D2168" s="75">
        <v>3.3000999999999999E-4</v>
      </c>
      <c r="E2168" s="75">
        <v>1E-3</v>
      </c>
      <c r="F2168" s="75" t="s">
        <v>13</v>
      </c>
      <c r="G2168" s="75" t="s">
        <v>11</v>
      </c>
      <c r="H2168" s="75">
        <v>1</v>
      </c>
      <c r="I2168" s="75">
        <v>5.01</v>
      </c>
      <c r="J2168" s="75" t="s">
        <v>10</v>
      </c>
      <c r="K2168" s="75">
        <v>577.36</v>
      </c>
      <c r="L2168" s="75">
        <v>4.8582999999999998</v>
      </c>
      <c r="M2168" s="75">
        <v>577.35</v>
      </c>
      <c r="N2168" s="75">
        <v>4.7705000000000002</v>
      </c>
      <c r="O2168" s="90" t="str">
        <f>IF(VLOOKUP(UncLookup[[#This Row],[Item]],Items!$A$1:$F$43,2,FALSE)=0,"",VLOOKUP(UncLookup[[#This Row],[Item]],Items!$A$1:$F$43,2,FALSE))</f>
        <v/>
      </c>
      <c r="P2168" s="90" t="str">
        <f>IF(VLOOKUP(UncLookup[[#This Row],[Item]],Items!$A$1:$F$43,3,FALSE)=0,"",VLOOKUP(UncLookup[[#This Row],[Item]],Items!$A$1:$F$43,3,FALSE))</f>
        <v/>
      </c>
      <c r="Q2168" s="90" t="str">
        <f>IF(VLOOKUP(UncLookup[[#This Row],[Item]],Items!$A$1:$F$43,4,FALSE)=0,"",VLOOKUP(UncLookup[[#This Row],[Item]],Items!$A$1:$F$43,4,FALSE))</f>
        <v/>
      </c>
    </row>
    <row r="2169" spans="1:17" x14ac:dyDescent="0.25">
      <c r="A2169" s="76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90" t="str">
        <f>IF(VLOOKUP(UncLookup[[#This Row],[Item]],Items!$A$1:$F$43,2,FALSE)=0,"",VLOOKUP(UncLookup[[#This Row],[Item]],Items!$A$1:$F$43,2,FALSE))</f>
        <v/>
      </c>
      <c r="P2169" s="90" t="str">
        <f>IF(VLOOKUP(UncLookup[[#This Row],[Item]],Items!$A$1:$F$43,3,FALSE)=0,"",VLOOKUP(UncLookup[[#This Row],[Item]],Items!$A$1:$F$43,3,FALSE))</f>
        <v/>
      </c>
      <c r="Q2169" s="90" t="str">
        <f>IF(VLOOKUP(UncLookup[[#This Row],[Item]],Items!$A$1:$F$43,4,FALSE)=0,"",VLOOKUP(UncLookup[[#This Row],[Item]],Items!$A$1:$F$43,4,FALSE))</f>
        <v/>
      </c>
    </row>
    <row r="2170" spans="1:17" x14ac:dyDescent="0.25">
      <c r="A2170" s="75" t="s">
        <v>55</v>
      </c>
      <c r="B2170" s="75" t="s">
        <v>47</v>
      </c>
      <c r="C2170" s="75">
        <v>0</v>
      </c>
      <c r="D2170" s="75">
        <v>3.3000999999999999E-4</v>
      </c>
      <c r="E2170" s="75">
        <v>1E-3</v>
      </c>
      <c r="F2170" s="75" t="s">
        <v>13</v>
      </c>
      <c r="G2170" s="75" t="s">
        <v>11</v>
      </c>
      <c r="H2170" s="75">
        <v>0.01</v>
      </c>
      <c r="I2170" s="75">
        <v>2.001E-2</v>
      </c>
      <c r="J2170" s="75" t="s">
        <v>10</v>
      </c>
      <c r="K2170" s="75">
        <v>580.26</v>
      </c>
      <c r="L2170" s="75">
        <v>-8787.4</v>
      </c>
      <c r="M2170" s="75">
        <v>580.03</v>
      </c>
      <c r="N2170" s="75">
        <v>-8787.5</v>
      </c>
      <c r="O2170" s="90" t="str">
        <f>IF(VLOOKUP(UncLookup[[#This Row],[Item]],Items!$A$1:$F$43,2,FALSE)=0,"",VLOOKUP(UncLookup[[#This Row],[Item]],Items!$A$1:$F$43,2,FALSE))</f>
        <v/>
      </c>
      <c r="P2170" s="90" t="str">
        <f>IF(VLOOKUP(UncLookup[[#This Row],[Item]],Items!$A$1:$F$43,3,FALSE)=0,"",VLOOKUP(UncLookup[[#This Row],[Item]],Items!$A$1:$F$43,3,FALSE))</f>
        <v/>
      </c>
      <c r="Q2170" s="90" t="str">
        <f>IF(VLOOKUP(UncLookup[[#This Row],[Item]],Items!$A$1:$F$43,4,FALSE)=0,"",VLOOKUP(UncLookup[[#This Row],[Item]],Items!$A$1:$F$43,4,FALSE))</f>
        <v/>
      </c>
    </row>
    <row r="2171" spans="1:17" x14ac:dyDescent="0.25">
      <c r="A2171" s="76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90" t="str">
        <f>IF(VLOOKUP(UncLookup[[#This Row],[Item]],Items!$A$1:$F$43,2,FALSE)=0,"",VLOOKUP(UncLookup[[#This Row],[Item]],Items!$A$1:$F$43,2,FALSE))</f>
        <v/>
      </c>
      <c r="P2171" s="90" t="str">
        <f>IF(VLOOKUP(UncLookup[[#This Row],[Item]],Items!$A$1:$F$43,3,FALSE)=0,"",VLOOKUP(UncLookup[[#This Row],[Item]],Items!$A$1:$F$43,3,FALSE))</f>
        <v/>
      </c>
      <c r="Q2171" s="90" t="str">
        <f>IF(VLOOKUP(UncLookup[[#This Row],[Item]],Items!$A$1:$F$43,4,FALSE)=0,"",VLOOKUP(UncLookup[[#This Row],[Item]],Items!$A$1:$F$43,4,FALSE))</f>
        <v/>
      </c>
    </row>
    <row r="2172" spans="1:17" x14ac:dyDescent="0.25">
      <c r="A2172" s="75" t="s">
        <v>55</v>
      </c>
      <c r="B2172" s="75" t="s">
        <v>47</v>
      </c>
      <c r="C2172" s="75">
        <v>0</v>
      </c>
      <c r="D2172" s="75">
        <v>3.3000999999999999E-4</v>
      </c>
      <c r="E2172" s="75">
        <v>1E-3</v>
      </c>
      <c r="F2172" s="75" t="s">
        <v>13</v>
      </c>
      <c r="G2172" s="75" t="s">
        <v>11</v>
      </c>
      <c r="H2172" s="75">
        <v>10</v>
      </c>
      <c r="I2172" s="75">
        <v>30</v>
      </c>
      <c r="J2172" s="75" t="s">
        <v>10</v>
      </c>
      <c r="K2172" s="75">
        <v>577.35</v>
      </c>
      <c r="L2172" s="75">
        <v>121.09</v>
      </c>
      <c r="M2172" s="75">
        <v>577.32000000000005</v>
      </c>
      <c r="N2172" s="75">
        <v>120.9</v>
      </c>
      <c r="O2172" s="90" t="str">
        <f>IF(VLOOKUP(UncLookup[[#This Row],[Item]],Items!$A$1:$F$43,2,FALSE)=0,"",VLOOKUP(UncLookup[[#This Row],[Item]],Items!$A$1:$F$43,2,FALSE))</f>
        <v/>
      </c>
      <c r="P2172" s="90" t="str">
        <f>IF(VLOOKUP(UncLookup[[#This Row],[Item]],Items!$A$1:$F$43,3,FALSE)=0,"",VLOOKUP(UncLookup[[#This Row],[Item]],Items!$A$1:$F$43,3,FALSE))</f>
        <v/>
      </c>
      <c r="Q2172" s="90" t="str">
        <f>IF(VLOOKUP(UncLookup[[#This Row],[Item]],Items!$A$1:$F$43,4,FALSE)=0,"",VLOOKUP(UncLookup[[#This Row],[Item]],Items!$A$1:$F$43,4,FALSE))</f>
        <v/>
      </c>
    </row>
    <row r="2173" spans="1:17" x14ac:dyDescent="0.25">
      <c r="A2173" s="76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90" t="str">
        <f>IF(VLOOKUP(UncLookup[[#This Row],[Item]],Items!$A$1:$F$43,2,FALSE)=0,"",VLOOKUP(UncLookup[[#This Row],[Item]],Items!$A$1:$F$43,2,FALSE))</f>
        <v/>
      </c>
      <c r="P2173" s="90" t="str">
        <f>IF(VLOOKUP(UncLookup[[#This Row],[Item]],Items!$A$1:$F$43,3,FALSE)=0,"",VLOOKUP(UncLookup[[#This Row],[Item]],Items!$A$1:$F$43,3,FALSE))</f>
        <v/>
      </c>
      <c r="Q2173" s="90" t="str">
        <f>IF(VLOOKUP(UncLookup[[#This Row],[Item]],Items!$A$1:$F$43,4,FALSE)=0,"",VLOOKUP(UncLookup[[#This Row],[Item]],Items!$A$1:$F$43,4,FALSE))</f>
        <v/>
      </c>
    </row>
    <row r="2174" spans="1:17" x14ac:dyDescent="0.25">
      <c r="A2174" s="75" t="s">
        <v>55</v>
      </c>
      <c r="B2174" s="75" t="s">
        <v>47</v>
      </c>
      <c r="C2174" s="75">
        <v>0</v>
      </c>
      <c r="D2174" s="75">
        <v>3.3000999999999999E-4</v>
      </c>
      <c r="E2174" s="75">
        <v>1E-3</v>
      </c>
      <c r="F2174" s="75" t="s">
        <v>13</v>
      </c>
      <c r="G2174" s="75" t="s">
        <v>11</v>
      </c>
      <c r="H2174" s="75">
        <v>5</v>
      </c>
      <c r="I2174" s="75">
        <v>10.01</v>
      </c>
      <c r="J2174" s="75" t="s">
        <v>10</v>
      </c>
      <c r="K2174" s="75">
        <v>577.35</v>
      </c>
      <c r="L2174" s="75">
        <v>30.413</v>
      </c>
      <c r="M2174" s="75">
        <v>577.35</v>
      </c>
      <c r="N2174" s="75">
        <v>30.225999999999999</v>
      </c>
      <c r="O2174" s="90" t="str">
        <f>IF(VLOOKUP(UncLookup[[#This Row],[Item]],Items!$A$1:$F$43,2,FALSE)=0,"",VLOOKUP(UncLookup[[#This Row],[Item]],Items!$A$1:$F$43,2,FALSE))</f>
        <v/>
      </c>
      <c r="P2174" s="90" t="str">
        <f>IF(VLOOKUP(UncLookup[[#This Row],[Item]],Items!$A$1:$F$43,3,FALSE)=0,"",VLOOKUP(UncLookup[[#This Row],[Item]],Items!$A$1:$F$43,3,FALSE))</f>
        <v/>
      </c>
      <c r="Q2174" s="90" t="str">
        <f>IF(VLOOKUP(UncLookup[[#This Row],[Item]],Items!$A$1:$F$43,4,FALSE)=0,"",VLOOKUP(UncLookup[[#This Row],[Item]],Items!$A$1:$F$43,4,FALSE))</f>
        <v/>
      </c>
    </row>
    <row r="2175" spans="1:17" x14ac:dyDescent="0.25">
      <c r="A2175" s="76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90" t="str">
        <f>IF(VLOOKUP(UncLookup[[#This Row],[Item]],Items!$A$1:$F$43,2,FALSE)=0,"",VLOOKUP(UncLookup[[#This Row],[Item]],Items!$A$1:$F$43,2,FALSE))</f>
        <v/>
      </c>
      <c r="P2175" s="90" t="str">
        <f>IF(VLOOKUP(UncLookup[[#This Row],[Item]],Items!$A$1:$F$43,3,FALSE)=0,"",VLOOKUP(UncLookup[[#This Row],[Item]],Items!$A$1:$F$43,3,FALSE))</f>
        <v/>
      </c>
      <c r="Q2175" s="90" t="str">
        <f>IF(VLOOKUP(UncLookup[[#This Row],[Item]],Items!$A$1:$F$43,4,FALSE)=0,"",VLOOKUP(UncLookup[[#This Row],[Item]],Items!$A$1:$F$43,4,FALSE))</f>
        <v/>
      </c>
    </row>
    <row r="2176" spans="1:17" x14ac:dyDescent="0.25">
      <c r="A2176" s="75" t="s">
        <v>55</v>
      </c>
      <c r="B2176" s="75" t="s">
        <v>47</v>
      </c>
      <c r="C2176" s="75">
        <v>0</v>
      </c>
      <c r="D2176" s="75">
        <v>3.3000999999999999E-4</v>
      </c>
      <c r="E2176" s="75">
        <v>0.01</v>
      </c>
      <c r="F2176" s="75" t="s">
        <v>13</v>
      </c>
      <c r="G2176" s="75" t="s">
        <v>11</v>
      </c>
      <c r="H2176" s="75">
        <v>5</v>
      </c>
      <c r="I2176" s="75">
        <v>10.01</v>
      </c>
      <c r="J2176" s="75" t="s">
        <v>10</v>
      </c>
      <c r="K2176" s="75">
        <v>5773.6</v>
      </c>
      <c r="L2176" s="75">
        <v>3.0975999999999999</v>
      </c>
      <c r="M2176" s="75">
        <v>5773.5</v>
      </c>
      <c r="N2176" s="75">
        <v>3.0226000000000002</v>
      </c>
      <c r="O2176" s="90" t="str">
        <f>IF(VLOOKUP(UncLookup[[#This Row],[Item]],Items!$A$1:$F$43,2,FALSE)=0,"",VLOOKUP(UncLookup[[#This Row],[Item]],Items!$A$1:$F$43,2,FALSE))</f>
        <v/>
      </c>
      <c r="P2176" s="90" t="str">
        <f>IF(VLOOKUP(UncLookup[[#This Row],[Item]],Items!$A$1:$F$43,3,FALSE)=0,"",VLOOKUP(UncLookup[[#This Row],[Item]],Items!$A$1:$F$43,3,FALSE))</f>
        <v/>
      </c>
      <c r="Q2176" s="90" t="str">
        <f>IF(VLOOKUP(UncLookup[[#This Row],[Item]],Items!$A$1:$F$43,4,FALSE)=0,"",VLOOKUP(UncLookup[[#This Row],[Item]],Items!$A$1:$F$43,4,FALSE))</f>
        <v/>
      </c>
    </row>
    <row r="2177" spans="1:17" x14ac:dyDescent="0.25">
      <c r="A2177" s="76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90" t="str">
        <f>IF(VLOOKUP(UncLookup[[#This Row],[Item]],Items!$A$1:$F$43,2,FALSE)=0,"",VLOOKUP(UncLookup[[#This Row],[Item]],Items!$A$1:$F$43,2,FALSE))</f>
        <v/>
      </c>
      <c r="P2177" s="90" t="str">
        <f>IF(VLOOKUP(UncLookup[[#This Row],[Item]],Items!$A$1:$F$43,3,FALSE)=0,"",VLOOKUP(UncLookup[[#This Row],[Item]],Items!$A$1:$F$43,3,FALSE))</f>
        <v/>
      </c>
      <c r="Q2177" s="90" t="str">
        <f>IF(VLOOKUP(UncLookup[[#This Row],[Item]],Items!$A$1:$F$43,4,FALSE)=0,"",VLOOKUP(UncLookup[[#This Row],[Item]],Items!$A$1:$F$43,4,FALSE))</f>
        <v/>
      </c>
    </row>
    <row r="2178" spans="1:17" x14ac:dyDescent="0.25">
      <c r="A2178" s="75" t="s">
        <v>55</v>
      </c>
      <c r="B2178" s="75" t="s">
        <v>47</v>
      </c>
      <c r="C2178" s="75">
        <v>0</v>
      </c>
      <c r="D2178" s="75">
        <v>3.3000999999999999E-4</v>
      </c>
      <c r="E2178" s="75">
        <v>0.01</v>
      </c>
      <c r="F2178" s="75" t="s">
        <v>13</v>
      </c>
      <c r="G2178" s="75" t="s">
        <v>11</v>
      </c>
      <c r="H2178" s="75">
        <v>1</v>
      </c>
      <c r="I2178" s="75">
        <v>5.01</v>
      </c>
      <c r="J2178" s="75" t="s">
        <v>10</v>
      </c>
      <c r="K2178" s="75">
        <v>5773.6</v>
      </c>
      <c r="L2178" s="75">
        <v>0.51217999999999997</v>
      </c>
      <c r="M2178" s="75">
        <v>5773.6</v>
      </c>
      <c r="N2178" s="75">
        <v>0.47704999999999997</v>
      </c>
      <c r="O2178" s="90" t="str">
        <f>IF(VLOOKUP(UncLookup[[#This Row],[Item]],Items!$A$1:$F$43,2,FALSE)=0,"",VLOOKUP(UncLookup[[#This Row],[Item]],Items!$A$1:$F$43,2,FALSE))</f>
        <v/>
      </c>
      <c r="P2178" s="90" t="str">
        <f>IF(VLOOKUP(UncLookup[[#This Row],[Item]],Items!$A$1:$F$43,3,FALSE)=0,"",VLOOKUP(UncLookup[[#This Row],[Item]],Items!$A$1:$F$43,3,FALSE))</f>
        <v/>
      </c>
      <c r="Q2178" s="90" t="str">
        <f>IF(VLOOKUP(UncLookup[[#This Row],[Item]],Items!$A$1:$F$43,4,FALSE)=0,"",VLOOKUP(UncLookup[[#This Row],[Item]],Items!$A$1:$F$43,4,FALSE))</f>
        <v/>
      </c>
    </row>
    <row r="2179" spans="1:17" x14ac:dyDescent="0.25">
      <c r="A2179" s="76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90" t="str">
        <f>IF(VLOOKUP(UncLookup[[#This Row],[Item]],Items!$A$1:$F$43,2,FALSE)=0,"",VLOOKUP(UncLookup[[#This Row],[Item]],Items!$A$1:$F$43,2,FALSE))</f>
        <v/>
      </c>
      <c r="P2179" s="90" t="str">
        <f>IF(VLOOKUP(UncLookup[[#This Row],[Item]],Items!$A$1:$F$43,3,FALSE)=0,"",VLOOKUP(UncLookup[[#This Row],[Item]],Items!$A$1:$F$43,3,FALSE))</f>
        <v/>
      </c>
      <c r="Q2179" s="90" t="str">
        <f>IF(VLOOKUP(UncLookup[[#This Row],[Item]],Items!$A$1:$F$43,4,FALSE)=0,"",VLOOKUP(UncLookup[[#This Row],[Item]],Items!$A$1:$F$43,4,FALSE))</f>
        <v/>
      </c>
    </row>
    <row r="2180" spans="1:17" x14ac:dyDescent="0.25">
      <c r="A2180" s="75" t="s">
        <v>55</v>
      </c>
      <c r="B2180" s="75" t="s">
        <v>47</v>
      </c>
      <c r="C2180" s="75">
        <v>0</v>
      </c>
      <c r="D2180" s="75">
        <v>3.3000999999999999E-4</v>
      </c>
      <c r="E2180" s="75">
        <v>0.01</v>
      </c>
      <c r="F2180" s="75" t="s">
        <v>13</v>
      </c>
      <c r="G2180" s="75" t="s">
        <v>11</v>
      </c>
      <c r="H2180" s="75">
        <v>0.01</v>
      </c>
      <c r="I2180" s="75">
        <v>2.001E-2</v>
      </c>
      <c r="J2180" s="75" t="s">
        <v>10</v>
      </c>
      <c r="K2180" s="75">
        <v>5802.6</v>
      </c>
      <c r="L2180" s="75">
        <v>-87896</v>
      </c>
      <c r="M2180" s="75">
        <v>5800</v>
      </c>
      <c r="N2180" s="75">
        <v>-87896</v>
      </c>
      <c r="O2180" s="90" t="str">
        <f>IF(VLOOKUP(UncLookup[[#This Row],[Item]],Items!$A$1:$F$43,2,FALSE)=0,"",VLOOKUP(UncLookup[[#This Row],[Item]],Items!$A$1:$F$43,2,FALSE))</f>
        <v/>
      </c>
      <c r="P2180" s="90" t="str">
        <f>IF(VLOOKUP(UncLookup[[#This Row],[Item]],Items!$A$1:$F$43,3,FALSE)=0,"",VLOOKUP(UncLookup[[#This Row],[Item]],Items!$A$1:$F$43,3,FALSE))</f>
        <v/>
      </c>
      <c r="Q2180" s="90" t="str">
        <f>IF(VLOOKUP(UncLookup[[#This Row],[Item]],Items!$A$1:$F$43,4,FALSE)=0,"",VLOOKUP(UncLookup[[#This Row],[Item]],Items!$A$1:$F$43,4,FALSE))</f>
        <v/>
      </c>
    </row>
    <row r="2181" spans="1:17" x14ac:dyDescent="0.25">
      <c r="A2181" s="76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90" t="str">
        <f>IF(VLOOKUP(UncLookup[[#This Row],[Item]],Items!$A$1:$F$43,2,FALSE)=0,"",VLOOKUP(UncLookup[[#This Row],[Item]],Items!$A$1:$F$43,2,FALSE))</f>
        <v/>
      </c>
      <c r="P2181" s="90" t="str">
        <f>IF(VLOOKUP(UncLookup[[#This Row],[Item]],Items!$A$1:$F$43,3,FALSE)=0,"",VLOOKUP(UncLookup[[#This Row],[Item]],Items!$A$1:$F$43,3,FALSE))</f>
        <v/>
      </c>
      <c r="Q2181" s="90" t="str">
        <f>IF(VLOOKUP(UncLookup[[#This Row],[Item]],Items!$A$1:$F$43,4,FALSE)=0,"",VLOOKUP(UncLookup[[#This Row],[Item]],Items!$A$1:$F$43,4,FALSE))</f>
        <v/>
      </c>
    </row>
    <row r="2182" spans="1:17" x14ac:dyDescent="0.25">
      <c r="A2182" s="75" t="s">
        <v>55</v>
      </c>
      <c r="B2182" s="75" t="s">
        <v>47</v>
      </c>
      <c r="C2182" s="75">
        <v>0</v>
      </c>
      <c r="D2182" s="75">
        <v>3.3000999999999999E-4</v>
      </c>
      <c r="E2182" s="75">
        <v>0.1</v>
      </c>
      <c r="F2182" s="75" t="s">
        <v>13</v>
      </c>
      <c r="G2182" s="75" t="s">
        <v>11</v>
      </c>
      <c r="H2182" s="75">
        <v>30</v>
      </c>
      <c r="I2182" s="75">
        <v>30.1</v>
      </c>
      <c r="J2182" s="75" t="s">
        <v>10</v>
      </c>
      <c r="K2182" s="75">
        <v>57736</v>
      </c>
      <c r="L2182" s="75">
        <v>1.2390000000000001</v>
      </c>
      <c r="M2182" s="75">
        <v>57735</v>
      </c>
      <c r="N2182" s="75">
        <v>1.2090000000000001</v>
      </c>
      <c r="O2182" s="90" t="str">
        <f>IF(VLOOKUP(UncLookup[[#This Row],[Item]],Items!$A$1:$F$43,2,FALSE)=0,"",VLOOKUP(UncLookup[[#This Row],[Item]],Items!$A$1:$F$43,2,FALSE))</f>
        <v/>
      </c>
      <c r="P2182" s="90" t="str">
        <f>IF(VLOOKUP(UncLookup[[#This Row],[Item]],Items!$A$1:$F$43,3,FALSE)=0,"",VLOOKUP(UncLookup[[#This Row],[Item]],Items!$A$1:$F$43,3,FALSE))</f>
        <v/>
      </c>
      <c r="Q2182" s="90" t="str">
        <f>IF(VLOOKUP(UncLookup[[#This Row],[Item]],Items!$A$1:$F$43,4,FALSE)=0,"",VLOOKUP(UncLookup[[#This Row],[Item]],Items!$A$1:$F$43,4,FALSE))</f>
        <v/>
      </c>
    </row>
    <row r="2183" spans="1:17" x14ac:dyDescent="0.25">
      <c r="A2183" s="76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90" t="str">
        <f>IF(VLOOKUP(UncLookup[[#This Row],[Item]],Items!$A$1:$F$43,2,FALSE)=0,"",VLOOKUP(UncLookup[[#This Row],[Item]],Items!$A$1:$F$43,2,FALSE))</f>
        <v/>
      </c>
      <c r="P2183" s="90" t="str">
        <f>IF(VLOOKUP(UncLookup[[#This Row],[Item]],Items!$A$1:$F$43,3,FALSE)=0,"",VLOOKUP(UncLookup[[#This Row],[Item]],Items!$A$1:$F$43,3,FALSE))</f>
        <v/>
      </c>
      <c r="Q2183" s="90" t="str">
        <f>IF(VLOOKUP(UncLookup[[#This Row],[Item]],Items!$A$1:$F$43,4,FALSE)=0,"",VLOOKUP(UncLookup[[#This Row],[Item]],Items!$A$1:$F$43,4,FALSE))</f>
        <v/>
      </c>
    </row>
    <row r="2184" spans="1:17" x14ac:dyDescent="0.25">
      <c r="A2184" s="75" t="s">
        <v>55</v>
      </c>
      <c r="B2184" s="75" t="s">
        <v>47</v>
      </c>
      <c r="C2184" s="75">
        <v>0</v>
      </c>
      <c r="D2184" s="75">
        <v>3.3000999999999999E-4</v>
      </c>
      <c r="E2184" s="75">
        <v>0.1</v>
      </c>
      <c r="F2184" s="75" t="s">
        <v>13</v>
      </c>
      <c r="G2184" s="75" t="s">
        <v>11</v>
      </c>
      <c r="H2184" s="75">
        <v>5</v>
      </c>
      <c r="I2184" s="75">
        <v>10.01</v>
      </c>
      <c r="J2184" s="75" t="s">
        <v>10</v>
      </c>
      <c r="K2184" s="75">
        <v>57736</v>
      </c>
      <c r="L2184" s="75">
        <v>0.33223999999999998</v>
      </c>
      <c r="M2184" s="75">
        <v>57736</v>
      </c>
      <c r="N2184" s="75">
        <v>0.30225999999999997</v>
      </c>
      <c r="O2184" s="90" t="str">
        <f>IF(VLOOKUP(UncLookup[[#This Row],[Item]],Items!$A$1:$F$43,2,FALSE)=0,"",VLOOKUP(UncLookup[[#This Row],[Item]],Items!$A$1:$F$43,2,FALSE))</f>
        <v/>
      </c>
      <c r="P2184" s="90" t="str">
        <f>IF(VLOOKUP(UncLookup[[#This Row],[Item]],Items!$A$1:$F$43,3,FALSE)=0,"",VLOOKUP(UncLookup[[#This Row],[Item]],Items!$A$1:$F$43,3,FALSE))</f>
        <v/>
      </c>
      <c r="Q2184" s="90" t="str">
        <f>IF(VLOOKUP(UncLookup[[#This Row],[Item]],Items!$A$1:$F$43,4,FALSE)=0,"",VLOOKUP(UncLookup[[#This Row],[Item]],Items!$A$1:$F$43,4,FALSE))</f>
        <v/>
      </c>
    </row>
    <row r="2185" spans="1:17" x14ac:dyDescent="0.25">
      <c r="A2185" s="76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90" t="str">
        <f>IF(VLOOKUP(UncLookup[[#This Row],[Item]],Items!$A$1:$F$43,2,FALSE)=0,"",VLOOKUP(UncLookup[[#This Row],[Item]],Items!$A$1:$F$43,2,FALSE))</f>
        <v/>
      </c>
      <c r="P2185" s="90" t="str">
        <f>IF(VLOOKUP(UncLookup[[#This Row],[Item]],Items!$A$1:$F$43,3,FALSE)=0,"",VLOOKUP(UncLookup[[#This Row],[Item]],Items!$A$1:$F$43,3,FALSE))</f>
        <v/>
      </c>
      <c r="Q2185" s="90" t="str">
        <f>IF(VLOOKUP(UncLookup[[#This Row],[Item]],Items!$A$1:$F$43,4,FALSE)=0,"",VLOOKUP(UncLookup[[#This Row],[Item]],Items!$A$1:$F$43,4,FALSE))</f>
        <v/>
      </c>
    </row>
    <row r="2186" spans="1:17" x14ac:dyDescent="0.25">
      <c r="A2186" s="75" t="s">
        <v>55</v>
      </c>
      <c r="B2186" s="75" t="s">
        <v>47</v>
      </c>
      <c r="C2186" s="75">
        <v>0</v>
      </c>
      <c r="D2186" s="75">
        <v>3.3000999999999999E-4</v>
      </c>
      <c r="E2186" s="75">
        <v>0.1</v>
      </c>
      <c r="F2186" s="75" t="s">
        <v>13</v>
      </c>
      <c r="G2186" s="75" t="s">
        <v>11</v>
      </c>
      <c r="H2186" s="75">
        <v>10</v>
      </c>
      <c r="I2186" s="75">
        <v>30</v>
      </c>
      <c r="J2186" s="75" t="s">
        <v>10</v>
      </c>
      <c r="K2186" s="75">
        <v>57736</v>
      </c>
      <c r="L2186" s="75">
        <v>1.2390000000000001</v>
      </c>
      <c r="M2186" s="75">
        <v>57735</v>
      </c>
      <c r="N2186" s="75">
        <v>1.2090000000000001</v>
      </c>
      <c r="O2186" s="90" t="str">
        <f>IF(VLOOKUP(UncLookup[[#This Row],[Item]],Items!$A$1:$F$43,2,FALSE)=0,"",VLOOKUP(UncLookup[[#This Row],[Item]],Items!$A$1:$F$43,2,FALSE))</f>
        <v/>
      </c>
      <c r="P2186" s="90" t="str">
        <f>IF(VLOOKUP(UncLookup[[#This Row],[Item]],Items!$A$1:$F$43,3,FALSE)=0,"",VLOOKUP(UncLookup[[#This Row],[Item]],Items!$A$1:$F$43,3,FALSE))</f>
        <v/>
      </c>
      <c r="Q2186" s="90" t="str">
        <f>IF(VLOOKUP(UncLookup[[#This Row],[Item]],Items!$A$1:$F$43,4,FALSE)=0,"",VLOOKUP(UncLookup[[#This Row],[Item]],Items!$A$1:$F$43,4,FALSE))</f>
        <v/>
      </c>
    </row>
    <row r="2187" spans="1:17" x14ac:dyDescent="0.25">
      <c r="A2187" s="76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90" t="str">
        <f>IF(VLOOKUP(UncLookup[[#This Row],[Item]],Items!$A$1:$F$43,2,FALSE)=0,"",VLOOKUP(UncLookup[[#This Row],[Item]],Items!$A$1:$F$43,2,FALSE))</f>
        <v/>
      </c>
      <c r="P2187" s="90" t="str">
        <f>IF(VLOOKUP(UncLookup[[#This Row],[Item]],Items!$A$1:$F$43,3,FALSE)=0,"",VLOOKUP(UncLookup[[#This Row],[Item]],Items!$A$1:$F$43,3,FALSE))</f>
        <v/>
      </c>
      <c r="Q2187" s="90" t="str">
        <f>IF(VLOOKUP(UncLookup[[#This Row],[Item]],Items!$A$1:$F$43,4,FALSE)=0,"",VLOOKUP(UncLookup[[#This Row],[Item]],Items!$A$1:$F$43,4,FALSE))</f>
        <v/>
      </c>
    </row>
    <row r="2188" spans="1:17" x14ac:dyDescent="0.25">
      <c r="A2188" s="75" t="s">
        <v>55</v>
      </c>
      <c r="B2188" s="75" t="s">
        <v>47</v>
      </c>
      <c r="C2188" s="75">
        <v>0</v>
      </c>
      <c r="D2188" s="75">
        <v>3.3000999999999999E-4</v>
      </c>
      <c r="E2188" s="75">
        <v>0.1</v>
      </c>
      <c r="F2188" s="75" t="s">
        <v>13</v>
      </c>
      <c r="G2188" s="75" t="s">
        <v>11</v>
      </c>
      <c r="H2188" s="75">
        <v>1</v>
      </c>
      <c r="I2188" s="75">
        <v>5.01</v>
      </c>
      <c r="J2188" s="75" t="s">
        <v>10</v>
      </c>
      <c r="K2188" s="75">
        <v>57736</v>
      </c>
      <c r="L2188" s="75">
        <v>6.1755999999999998E-2</v>
      </c>
      <c r="M2188" s="75">
        <v>57736</v>
      </c>
      <c r="N2188" s="75">
        <v>4.7704999999999997E-2</v>
      </c>
      <c r="O2188" s="90" t="str">
        <f>IF(VLOOKUP(UncLookup[[#This Row],[Item]],Items!$A$1:$F$43,2,FALSE)=0,"",VLOOKUP(UncLookup[[#This Row],[Item]],Items!$A$1:$F$43,2,FALSE))</f>
        <v/>
      </c>
      <c r="P2188" s="90" t="str">
        <f>IF(VLOOKUP(UncLookup[[#This Row],[Item]],Items!$A$1:$F$43,3,FALSE)=0,"",VLOOKUP(UncLookup[[#This Row],[Item]],Items!$A$1:$F$43,3,FALSE))</f>
        <v/>
      </c>
      <c r="Q2188" s="90" t="str">
        <f>IF(VLOOKUP(UncLookup[[#This Row],[Item]],Items!$A$1:$F$43,4,FALSE)=0,"",VLOOKUP(UncLookup[[#This Row],[Item]],Items!$A$1:$F$43,4,FALSE))</f>
        <v/>
      </c>
    </row>
    <row r="2189" spans="1:17" x14ac:dyDescent="0.25">
      <c r="A2189" s="76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90" t="str">
        <f>IF(VLOOKUP(UncLookup[[#This Row],[Item]],Items!$A$1:$F$43,2,FALSE)=0,"",VLOOKUP(UncLookup[[#This Row],[Item]],Items!$A$1:$F$43,2,FALSE))</f>
        <v/>
      </c>
      <c r="P2189" s="90" t="str">
        <f>IF(VLOOKUP(UncLookup[[#This Row],[Item]],Items!$A$1:$F$43,3,FALSE)=0,"",VLOOKUP(UncLookup[[#This Row],[Item]],Items!$A$1:$F$43,3,FALSE))</f>
        <v/>
      </c>
      <c r="Q2189" s="90" t="str">
        <f>IF(VLOOKUP(UncLookup[[#This Row],[Item]],Items!$A$1:$F$43,4,FALSE)=0,"",VLOOKUP(UncLookup[[#This Row],[Item]],Items!$A$1:$F$43,4,FALSE))</f>
        <v/>
      </c>
    </row>
    <row r="2190" spans="1:17" x14ac:dyDescent="0.25">
      <c r="A2190" s="75" t="s">
        <v>55</v>
      </c>
      <c r="B2190" s="75" t="s">
        <v>47</v>
      </c>
      <c r="C2190" s="75">
        <v>0</v>
      </c>
      <c r="D2190" s="75">
        <v>3.3000999999999999E-4</v>
      </c>
      <c r="E2190" s="75">
        <v>1</v>
      </c>
      <c r="F2190" s="75" t="s">
        <v>13</v>
      </c>
      <c r="G2190" s="75" t="s">
        <v>11</v>
      </c>
      <c r="H2190" s="75">
        <v>30</v>
      </c>
      <c r="I2190" s="75">
        <v>30.1</v>
      </c>
      <c r="J2190" s="75" t="s">
        <v>10</v>
      </c>
      <c r="K2190" s="75">
        <v>577360</v>
      </c>
      <c r="L2190" s="75">
        <v>0.13289999999999999</v>
      </c>
      <c r="M2190" s="75">
        <v>577360</v>
      </c>
      <c r="N2190" s="75">
        <v>0.12089999999999999</v>
      </c>
      <c r="O2190" s="90" t="str">
        <f>IF(VLOOKUP(UncLookup[[#This Row],[Item]],Items!$A$1:$F$43,2,FALSE)=0,"",VLOOKUP(UncLookup[[#This Row],[Item]],Items!$A$1:$F$43,2,FALSE))</f>
        <v/>
      </c>
      <c r="P2190" s="90" t="str">
        <f>IF(VLOOKUP(UncLookup[[#This Row],[Item]],Items!$A$1:$F$43,3,FALSE)=0,"",VLOOKUP(UncLookup[[#This Row],[Item]],Items!$A$1:$F$43,3,FALSE))</f>
        <v/>
      </c>
      <c r="Q2190" s="90" t="str">
        <f>IF(VLOOKUP(UncLookup[[#This Row],[Item]],Items!$A$1:$F$43,4,FALSE)=0,"",VLOOKUP(UncLookup[[#This Row],[Item]],Items!$A$1:$F$43,4,FALSE))</f>
        <v/>
      </c>
    </row>
    <row r="2191" spans="1:17" x14ac:dyDescent="0.25">
      <c r="A2191" s="76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90" t="str">
        <f>IF(VLOOKUP(UncLookup[[#This Row],[Item]],Items!$A$1:$F$43,2,FALSE)=0,"",VLOOKUP(UncLookup[[#This Row],[Item]],Items!$A$1:$F$43,2,FALSE))</f>
        <v/>
      </c>
      <c r="P2191" s="90" t="str">
        <f>IF(VLOOKUP(UncLookup[[#This Row],[Item]],Items!$A$1:$F$43,3,FALSE)=0,"",VLOOKUP(UncLookup[[#This Row],[Item]],Items!$A$1:$F$43,3,FALSE))</f>
        <v/>
      </c>
      <c r="Q2191" s="90" t="str">
        <f>IF(VLOOKUP(UncLookup[[#This Row],[Item]],Items!$A$1:$F$43,4,FALSE)=0,"",VLOOKUP(UncLookup[[#This Row],[Item]],Items!$A$1:$F$43,4,FALSE))</f>
        <v/>
      </c>
    </row>
    <row r="2192" spans="1:17" x14ac:dyDescent="0.25">
      <c r="A2192" s="75" t="s">
        <v>55</v>
      </c>
      <c r="B2192" s="75" t="s">
        <v>47</v>
      </c>
      <c r="C2192" s="75">
        <v>0</v>
      </c>
      <c r="D2192" s="75">
        <v>3.3000999999999999E-4</v>
      </c>
      <c r="E2192" s="75">
        <v>1</v>
      </c>
      <c r="F2192" s="75" t="s">
        <v>13</v>
      </c>
      <c r="G2192" s="75" t="s">
        <v>11</v>
      </c>
      <c r="H2192" s="75">
        <v>5</v>
      </c>
      <c r="I2192" s="75">
        <v>10.01</v>
      </c>
      <c r="J2192" s="75" t="s">
        <v>10</v>
      </c>
      <c r="K2192" s="75">
        <v>577360</v>
      </c>
      <c r="L2192" s="75">
        <v>4.2220000000000001E-2</v>
      </c>
      <c r="M2192" s="75">
        <v>577360</v>
      </c>
      <c r="N2192" s="75">
        <v>3.0225999999999999E-2</v>
      </c>
      <c r="O2192" s="90" t="str">
        <f>IF(VLOOKUP(UncLookup[[#This Row],[Item]],Items!$A$1:$F$43,2,FALSE)=0,"",VLOOKUP(UncLookup[[#This Row],[Item]],Items!$A$1:$F$43,2,FALSE))</f>
        <v/>
      </c>
      <c r="P2192" s="90" t="str">
        <f>IF(VLOOKUP(UncLookup[[#This Row],[Item]],Items!$A$1:$F$43,3,FALSE)=0,"",VLOOKUP(UncLookup[[#This Row],[Item]],Items!$A$1:$F$43,3,FALSE))</f>
        <v/>
      </c>
      <c r="Q2192" s="90" t="str">
        <f>IF(VLOOKUP(UncLookup[[#This Row],[Item]],Items!$A$1:$F$43,4,FALSE)=0,"",VLOOKUP(UncLookup[[#This Row],[Item]],Items!$A$1:$F$43,4,FALSE))</f>
        <v/>
      </c>
    </row>
    <row r="2193" spans="1:17" x14ac:dyDescent="0.25">
      <c r="A2193" s="76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90" t="str">
        <f>IF(VLOOKUP(UncLookup[[#This Row],[Item]],Items!$A$1:$F$43,2,FALSE)=0,"",VLOOKUP(UncLookup[[#This Row],[Item]],Items!$A$1:$F$43,2,FALSE))</f>
        <v/>
      </c>
      <c r="P2193" s="90" t="str">
        <f>IF(VLOOKUP(UncLookup[[#This Row],[Item]],Items!$A$1:$F$43,3,FALSE)=0,"",VLOOKUP(UncLookup[[#This Row],[Item]],Items!$A$1:$F$43,3,FALSE))</f>
        <v/>
      </c>
      <c r="Q2193" s="90" t="str">
        <f>IF(VLOOKUP(UncLookup[[#This Row],[Item]],Items!$A$1:$F$43,4,FALSE)=0,"",VLOOKUP(UncLookup[[#This Row],[Item]],Items!$A$1:$F$43,4,FALSE))</f>
        <v/>
      </c>
    </row>
    <row r="2194" spans="1:17" x14ac:dyDescent="0.25">
      <c r="A2194" s="75" t="s">
        <v>55</v>
      </c>
      <c r="B2194" s="75" t="s">
        <v>47</v>
      </c>
      <c r="C2194" s="75">
        <v>0</v>
      </c>
      <c r="D2194" s="75">
        <v>3.3000999999999999E-4</v>
      </c>
      <c r="E2194" s="75">
        <v>1</v>
      </c>
      <c r="F2194" s="75" t="s">
        <v>13</v>
      </c>
      <c r="G2194" s="75" t="s">
        <v>11</v>
      </c>
      <c r="H2194" s="75">
        <v>10</v>
      </c>
      <c r="I2194" s="75">
        <v>30</v>
      </c>
      <c r="J2194" s="75" t="s">
        <v>10</v>
      </c>
      <c r="K2194" s="75">
        <v>577360</v>
      </c>
      <c r="L2194" s="75">
        <v>0.13289999999999999</v>
      </c>
      <c r="M2194" s="75">
        <v>577360</v>
      </c>
      <c r="N2194" s="75">
        <v>0.12089999999999999</v>
      </c>
      <c r="O2194" s="90" t="str">
        <f>IF(VLOOKUP(UncLookup[[#This Row],[Item]],Items!$A$1:$F$43,2,FALSE)=0,"",VLOOKUP(UncLookup[[#This Row],[Item]],Items!$A$1:$F$43,2,FALSE))</f>
        <v/>
      </c>
      <c r="P2194" s="90" t="str">
        <f>IF(VLOOKUP(UncLookup[[#This Row],[Item]],Items!$A$1:$F$43,3,FALSE)=0,"",VLOOKUP(UncLookup[[#This Row],[Item]],Items!$A$1:$F$43,3,FALSE))</f>
        <v/>
      </c>
      <c r="Q2194" s="90" t="str">
        <f>IF(VLOOKUP(UncLookup[[#This Row],[Item]],Items!$A$1:$F$43,4,FALSE)=0,"",VLOOKUP(UncLookup[[#This Row],[Item]],Items!$A$1:$F$43,4,FALSE))</f>
        <v/>
      </c>
    </row>
    <row r="2195" spans="1:17" x14ac:dyDescent="0.25">
      <c r="A2195" s="76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90" t="str">
        <f>IF(VLOOKUP(UncLookup[[#This Row],[Item]],Items!$A$1:$F$43,2,FALSE)=0,"",VLOOKUP(UncLookup[[#This Row],[Item]],Items!$A$1:$F$43,2,FALSE))</f>
        <v/>
      </c>
      <c r="P2195" s="90" t="str">
        <f>IF(VLOOKUP(UncLookup[[#This Row],[Item]],Items!$A$1:$F$43,3,FALSE)=0,"",VLOOKUP(UncLookup[[#This Row],[Item]],Items!$A$1:$F$43,3,FALSE))</f>
        <v/>
      </c>
      <c r="Q2195" s="90" t="str">
        <f>IF(VLOOKUP(UncLookup[[#This Row],[Item]],Items!$A$1:$F$43,4,FALSE)=0,"",VLOOKUP(UncLookup[[#This Row],[Item]],Items!$A$1:$F$43,4,FALSE))</f>
        <v/>
      </c>
    </row>
    <row r="2196" spans="1:17" x14ac:dyDescent="0.25">
      <c r="A2196" s="75" t="s">
        <v>55</v>
      </c>
      <c r="B2196" s="75" t="s">
        <v>47</v>
      </c>
      <c r="C2196" s="75">
        <v>0</v>
      </c>
      <c r="D2196" s="75">
        <v>3.3000999999999999E-4</v>
      </c>
      <c r="E2196" s="75">
        <v>10</v>
      </c>
      <c r="F2196" s="75" t="s">
        <v>13</v>
      </c>
      <c r="G2196" s="75" t="s">
        <v>11</v>
      </c>
      <c r="H2196" s="75">
        <v>5</v>
      </c>
      <c r="I2196" s="75">
        <v>10.01</v>
      </c>
      <c r="J2196" s="75" t="s">
        <v>10</v>
      </c>
      <c r="K2196" s="75">
        <v>5773600</v>
      </c>
      <c r="L2196" s="75">
        <v>7.8188000000000007E-3</v>
      </c>
      <c r="M2196" s="75">
        <v>5773600</v>
      </c>
      <c r="N2196" s="75">
        <v>3.0228999999999998E-3</v>
      </c>
      <c r="O2196" s="90" t="str">
        <f>IF(VLOOKUP(UncLookup[[#This Row],[Item]],Items!$A$1:$F$43,2,FALSE)=0,"",VLOOKUP(UncLookup[[#This Row],[Item]],Items!$A$1:$F$43,2,FALSE))</f>
        <v/>
      </c>
      <c r="P2196" s="90" t="str">
        <f>IF(VLOOKUP(UncLookup[[#This Row],[Item]],Items!$A$1:$F$43,3,FALSE)=0,"",VLOOKUP(UncLookup[[#This Row],[Item]],Items!$A$1:$F$43,3,FALSE))</f>
        <v/>
      </c>
      <c r="Q2196" s="90" t="str">
        <f>IF(VLOOKUP(UncLookup[[#This Row],[Item]],Items!$A$1:$F$43,4,FALSE)=0,"",VLOOKUP(UncLookup[[#This Row],[Item]],Items!$A$1:$F$43,4,FALSE))</f>
        <v/>
      </c>
    </row>
    <row r="2197" spans="1:17" x14ac:dyDescent="0.25">
      <c r="A2197" s="76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90" t="str">
        <f>IF(VLOOKUP(UncLookup[[#This Row],[Item]],Items!$A$1:$F$43,2,FALSE)=0,"",VLOOKUP(UncLookup[[#This Row],[Item]],Items!$A$1:$F$43,2,FALSE))</f>
        <v/>
      </c>
      <c r="P2197" s="90" t="str">
        <f>IF(VLOOKUP(UncLookup[[#This Row],[Item]],Items!$A$1:$F$43,3,FALSE)=0,"",VLOOKUP(UncLookup[[#This Row],[Item]],Items!$A$1:$F$43,3,FALSE))</f>
        <v/>
      </c>
      <c r="Q2197" s="90" t="str">
        <f>IF(VLOOKUP(UncLookup[[#This Row],[Item]],Items!$A$1:$F$43,4,FALSE)=0,"",VLOOKUP(UncLookup[[#This Row],[Item]],Items!$A$1:$F$43,4,FALSE))</f>
        <v/>
      </c>
    </row>
    <row r="2198" spans="1:17" x14ac:dyDescent="0.25">
      <c r="A2198" s="75" t="s">
        <v>55</v>
      </c>
      <c r="B2198" s="75" t="s">
        <v>47</v>
      </c>
      <c r="C2198" s="75">
        <v>0</v>
      </c>
      <c r="D2198" s="75">
        <v>3.3000999999999999E-4</v>
      </c>
      <c r="E2198" s="75">
        <v>10</v>
      </c>
      <c r="F2198" s="75" t="s">
        <v>13</v>
      </c>
      <c r="G2198" s="75" t="s">
        <v>11</v>
      </c>
      <c r="H2198" s="75">
        <v>0.01</v>
      </c>
      <c r="I2198" s="75">
        <v>2.001E-2</v>
      </c>
      <c r="J2198" s="75" t="s">
        <v>10</v>
      </c>
      <c r="K2198" s="75">
        <v>5802600</v>
      </c>
      <c r="L2198" s="75">
        <v>-87896000</v>
      </c>
      <c r="M2198" s="75">
        <v>5800000</v>
      </c>
      <c r="N2198" s="75">
        <v>-87896000</v>
      </c>
      <c r="O2198" s="90" t="str">
        <f>IF(VLOOKUP(UncLookup[[#This Row],[Item]],Items!$A$1:$F$43,2,FALSE)=0,"",VLOOKUP(UncLookup[[#This Row],[Item]],Items!$A$1:$F$43,2,FALSE))</f>
        <v/>
      </c>
      <c r="P2198" s="90" t="str">
        <f>IF(VLOOKUP(UncLookup[[#This Row],[Item]],Items!$A$1:$F$43,3,FALSE)=0,"",VLOOKUP(UncLookup[[#This Row],[Item]],Items!$A$1:$F$43,3,FALSE))</f>
        <v/>
      </c>
      <c r="Q2198" s="90" t="str">
        <f>IF(VLOOKUP(UncLookup[[#This Row],[Item]],Items!$A$1:$F$43,4,FALSE)=0,"",VLOOKUP(UncLookup[[#This Row],[Item]],Items!$A$1:$F$43,4,FALSE))</f>
        <v/>
      </c>
    </row>
    <row r="2199" spans="1:17" x14ac:dyDescent="0.25">
      <c r="A2199" s="76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90" t="str">
        <f>IF(VLOOKUP(UncLookup[[#This Row],[Item]],Items!$A$1:$F$43,2,FALSE)=0,"",VLOOKUP(UncLookup[[#This Row],[Item]],Items!$A$1:$F$43,2,FALSE))</f>
        <v/>
      </c>
      <c r="P2199" s="90" t="str">
        <f>IF(VLOOKUP(UncLookup[[#This Row],[Item]],Items!$A$1:$F$43,3,FALSE)=0,"",VLOOKUP(UncLookup[[#This Row],[Item]],Items!$A$1:$F$43,3,FALSE))</f>
        <v/>
      </c>
      <c r="Q2199" s="90" t="str">
        <f>IF(VLOOKUP(UncLookup[[#This Row],[Item]],Items!$A$1:$F$43,4,FALSE)=0,"",VLOOKUP(UncLookup[[#This Row],[Item]],Items!$A$1:$F$43,4,FALSE))</f>
        <v/>
      </c>
    </row>
    <row r="2200" spans="1:17" x14ac:dyDescent="0.25">
      <c r="A2200" s="75" t="s">
        <v>55</v>
      </c>
      <c r="B2200" s="75" t="s">
        <v>47</v>
      </c>
      <c r="C2200" s="75">
        <v>0</v>
      </c>
      <c r="D2200" s="75">
        <v>3.3000999999999999E-4</v>
      </c>
      <c r="E2200" s="75">
        <v>10</v>
      </c>
      <c r="F2200" s="75" t="s">
        <v>13</v>
      </c>
      <c r="G2200" s="75" t="s">
        <v>11</v>
      </c>
      <c r="H2200" s="75">
        <v>4.4999999999999998E-2</v>
      </c>
      <c r="I2200" s="75">
        <v>1.0000100000000001</v>
      </c>
      <c r="J2200" s="75" t="s">
        <v>10</v>
      </c>
      <c r="K2200" s="75">
        <v>5773600</v>
      </c>
      <c r="L2200" s="75">
        <v>2.3422E-3</v>
      </c>
      <c r="M2200" s="75">
        <v>5773600</v>
      </c>
      <c r="N2200" s="75">
        <v>9.5916999999999997E-5</v>
      </c>
      <c r="O2200" s="90" t="str">
        <f>IF(VLOOKUP(UncLookup[[#This Row],[Item]],Items!$A$1:$F$43,2,FALSE)=0,"",VLOOKUP(UncLookup[[#This Row],[Item]],Items!$A$1:$F$43,2,FALSE))</f>
        <v/>
      </c>
      <c r="P2200" s="90" t="str">
        <f>IF(VLOOKUP(UncLookup[[#This Row],[Item]],Items!$A$1:$F$43,3,FALSE)=0,"",VLOOKUP(UncLookup[[#This Row],[Item]],Items!$A$1:$F$43,3,FALSE))</f>
        <v/>
      </c>
      <c r="Q2200" s="90" t="str">
        <f>IF(VLOOKUP(UncLookup[[#This Row],[Item]],Items!$A$1:$F$43,4,FALSE)=0,"",VLOOKUP(UncLookup[[#This Row],[Item]],Items!$A$1:$F$43,4,FALSE))</f>
        <v/>
      </c>
    </row>
    <row r="2201" spans="1:17" x14ac:dyDescent="0.25">
      <c r="A2201" s="76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90" t="str">
        <f>IF(VLOOKUP(UncLookup[[#This Row],[Item]],Items!$A$1:$F$43,2,FALSE)=0,"",VLOOKUP(UncLookup[[#This Row],[Item]],Items!$A$1:$F$43,2,FALSE))</f>
        <v/>
      </c>
      <c r="P2201" s="90" t="str">
        <f>IF(VLOOKUP(UncLookup[[#This Row],[Item]],Items!$A$1:$F$43,3,FALSE)=0,"",VLOOKUP(UncLookup[[#This Row],[Item]],Items!$A$1:$F$43,3,FALSE))</f>
        <v/>
      </c>
      <c r="Q2201" s="90" t="str">
        <f>IF(VLOOKUP(UncLookup[[#This Row],[Item]],Items!$A$1:$F$43,4,FALSE)=0,"",VLOOKUP(UncLookup[[#This Row],[Item]],Items!$A$1:$F$43,4,FALSE))</f>
        <v/>
      </c>
    </row>
    <row r="2202" spans="1:17" x14ac:dyDescent="0.25">
      <c r="A2202" s="75" t="s">
        <v>55</v>
      </c>
      <c r="B2202" s="75" t="s">
        <v>47</v>
      </c>
      <c r="C2202" s="75">
        <v>0</v>
      </c>
      <c r="D2202" s="75">
        <v>3.3000999999999999E-4</v>
      </c>
      <c r="E2202" s="75">
        <v>10</v>
      </c>
      <c r="F2202" s="75" t="s">
        <v>13</v>
      </c>
      <c r="G2202" s="75" t="s">
        <v>11</v>
      </c>
      <c r="H2202" s="75">
        <v>0.02</v>
      </c>
      <c r="I2202" s="75">
        <v>4.5010000000000001E-2</v>
      </c>
      <c r="J2202" s="75" t="s">
        <v>10</v>
      </c>
      <c r="K2202" s="75">
        <v>5773600</v>
      </c>
      <c r="L2202" s="75">
        <v>2.3793999999999998E-3</v>
      </c>
      <c r="M2202" s="75">
        <v>5773600</v>
      </c>
      <c r="N2202" s="75">
        <v>1.2994999999999999E-4</v>
      </c>
      <c r="O2202" s="90" t="str">
        <f>IF(VLOOKUP(UncLookup[[#This Row],[Item]],Items!$A$1:$F$43,2,FALSE)=0,"",VLOOKUP(UncLookup[[#This Row],[Item]],Items!$A$1:$F$43,2,FALSE))</f>
        <v/>
      </c>
      <c r="P2202" s="90" t="str">
        <f>IF(VLOOKUP(UncLookup[[#This Row],[Item]],Items!$A$1:$F$43,3,FALSE)=0,"",VLOOKUP(UncLookup[[#This Row],[Item]],Items!$A$1:$F$43,3,FALSE))</f>
        <v/>
      </c>
      <c r="Q2202" s="90" t="str">
        <f>IF(VLOOKUP(UncLookup[[#This Row],[Item]],Items!$A$1:$F$43,4,FALSE)=0,"",VLOOKUP(UncLookup[[#This Row],[Item]],Items!$A$1:$F$43,4,FALSE))</f>
        <v/>
      </c>
    </row>
    <row r="2203" spans="1:17" x14ac:dyDescent="0.25">
      <c r="A2203" s="76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90" t="str">
        <f>IF(VLOOKUP(UncLookup[[#This Row],[Item]],Items!$A$1:$F$43,2,FALSE)=0,"",VLOOKUP(UncLookup[[#This Row],[Item]],Items!$A$1:$F$43,2,FALSE))</f>
        <v/>
      </c>
      <c r="P2203" s="90" t="str">
        <f>IF(VLOOKUP(UncLookup[[#This Row],[Item]],Items!$A$1:$F$43,3,FALSE)=0,"",VLOOKUP(UncLookup[[#This Row],[Item]],Items!$A$1:$F$43,3,FALSE))</f>
        <v/>
      </c>
      <c r="Q2203" s="90" t="str">
        <f>IF(VLOOKUP(UncLookup[[#This Row],[Item]],Items!$A$1:$F$43,4,FALSE)=0,"",VLOOKUP(UncLookup[[#This Row],[Item]],Items!$A$1:$F$43,4,FALSE))</f>
        <v/>
      </c>
    </row>
    <row r="2204" spans="1:17" x14ac:dyDescent="0.25">
      <c r="A2204" s="75" t="s">
        <v>55</v>
      </c>
      <c r="B2204" s="75" t="s">
        <v>47</v>
      </c>
      <c r="C2204" s="75">
        <v>3.3E-4</v>
      </c>
      <c r="D2204" s="75">
        <v>3.3000999999999998E-3</v>
      </c>
      <c r="E2204" s="75">
        <v>1E-8</v>
      </c>
      <c r="F2204" s="75" t="s">
        <v>13</v>
      </c>
      <c r="G2204" s="75" t="s">
        <v>11</v>
      </c>
      <c r="H2204" s="75">
        <v>1</v>
      </c>
      <c r="I2204" s="75">
        <v>5.01</v>
      </c>
      <c r="J2204" s="75" t="s">
        <v>10</v>
      </c>
      <c r="K2204" s="75">
        <v>0.27</v>
      </c>
      <c r="L2204" s="75">
        <v>2300</v>
      </c>
      <c r="M2204" s="75">
        <v>0.23111999999999999</v>
      </c>
      <c r="N2204" s="75">
        <v>2309.6999999999998</v>
      </c>
      <c r="O2204" s="90" t="str">
        <f>IF(VLOOKUP(UncLookup[[#This Row],[Item]],Items!$A$1:$F$43,2,FALSE)=0,"",VLOOKUP(UncLookup[[#This Row],[Item]],Items!$A$1:$F$43,2,FALSE))</f>
        <v/>
      </c>
      <c r="P2204" s="90" t="str">
        <f>IF(VLOOKUP(UncLookup[[#This Row],[Item]],Items!$A$1:$F$43,3,FALSE)=0,"",VLOOKUP(UncLookup[[#This Row],[Item]],Items!$A$1:$F$43,3,FALSE))</f>
        <v/>
      </c>
      <c r="Q2204" s="90" t="str">
        <f>IF(VLOOKUP(UncLookup[[#This Row],[Item]],Items!$A$1:$F$43,4,FALSE)=0,"",VLOOKUP(UncLookup[[#This Row],[Item]],Items!$A$1:$F$43,4,FALSE))</f>
        <v/>
      </c>
    </row>
    <row r="2205" spans="1:17" x14ac:dyDescent="0.25">
      <c r="A2205" s="76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90" t="str">
        <f>IF(VLOOKUP(UncLookup[[#This Row],[Item]],Items!$A$1:$F$43,2,FALSE)=0,"",VLOOKUP(UncLookup[[#This Row],[Item]],Items!$A$1:$F$43,2,FALSE))</f>
        <v/>
      </c>
      <c r="P2205" s="90" t="str">
        <f>IF(VLOOKUP(UncLookup[[#This Row],[Item]],Items!$A$1:$F$43,3,FALSE)=0,"",VLOOKUP(UncLookup[[#This Row],[Item]],Items!$A$1:$F$43,3,FALSE))</f>
        <v/>
      </c>
      <c r="Q2205" s="90" t="str">
        <f>IF(VLOOKUP(UncLookup[[#This Row],[Item]],Items!$A$1:$F$43,4,FALSE)=0,"",VLOOKUP(UncLookup[[#This Row],[Item]],Items!$A$1:$F$43,4,FALSE))</f>
        <v/>
      </c>
    </row>
    <row r="2206" spans="1:17" x14ac:dyDescent="0.25">
      <c r="A2206" s="75" t="s">
        <v>55</v>
      </c>
      <c r="B2206" s="75" t="s">
        <v>47</v>
      </c>
      <c r="C2206" s="75">
        <v>3.3E-4</v>
      </c>
      <c r="D2206" s="75">
        <v>3.3000999999999998E-3</v>
      </c>
      <c r="E2206" s="75">
        <v>1E-8</v>
      </c>
      <c r="F2206" s="75" t="s">
        <v>13</v>
      </c>
      <c r="G2206" s="75" t="s">
        <v>11</v>
      </c>
      <c r="H2206" s="75">
        <v>30</v>
      </c>
      <c r="I2206" s="75">
        <v>30.1</v>
      </c>
      <c r="J2206" s="75" t="s">
        <v>10</v>
      </c>
      <c r="K2206" s="75">
        <v>0.7</v>
      </c>
      <c r="L2206" s="75">
        <v>12000</v>
      </c>
      <c r="M2206" s="75">
        <v>0.69332000000000005</v>
      </c>
      <c r="N2206" s="75">
        <v>11547</v>
      </c>
      <c r="O2206" s="90" t="str">
        <f>IF(VLOOKUP(UncLookup[[#This Row],[Item]],Items!$A$1:$F$43,2,FALSE)=0,"",VLOOKUP(UncLookup[[#This Row],[Item]],Items!$A$1:$F$43,2,FALSE))</f>
        <v/>
      </c>
      <c r="P2206" s="90" t="str">
        <f>IF(VLOOKUP(UncLookup[[#This Row],[Item]],Items!$A$1:$F$43,3,FALSE)=0,"",VLOOKUP(UncLookup[[#This Row],[Item]],Items!$A$1:$F$43,3,FALSE))</f>
        <v/>
      </c>
      <c r="Q2206" s="90" t="str">
        <f>IF(VLOOKUP(UncLookup[[#This Row],[Item]],Items!$A$1:$F$43,4,FALSE)=0,"",VLOOKUP(UncLookup[[#This Row],[Item]],Items!$A$1:$F$43,4,FALSE))</f>
        <v/>
      </c>
    </row>
    <row r="2207" spans="1:17" x14ac:dyDescent="0.25">
      <c r="A2207" s="76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90" t="str">
        <f>IF(VLOOKUP(UncLookup[[#This Row],[Item]],Items!$A$1:$F$43,2,FALSE)=0,"",VLOOKUP(UncLookup[[#This Row],[Item]],Items!$A$1:$F$43,2,FALSE))</f>
        <v/>
      </c>
      <c r="P2207" s="90" t="str">
        <f>IF(VLOOKUP(UncLookup[[#This Row],[Item]],Items!$A$1:$F$43,3,FALSE)=0,"",VLOOKUP(UncLookup[[#This Row],[Item]],Items!$A$1:$F$43,3,FALSE))</f>
        <v/>
      </c>
      <c r="Q2207" s="90" t="str">
        <f>IF(VLOOKUP(UncLookup[[#This Row],[Item]],Items!$A$1:$F$43,4,FALSE)=0,"",VLOOKUP(UncLookup[[#This Row],[Item]],Items!$A$1:$F$43,4,FALSE))</f>
        <v/>
      </c>
    </row>
    <row r="2208" spans="1:17" x14ac:dyDescent="0.25">
      <c r="A2208" s="75" t="s">
        <v>55</v>
      </c>
      <c r="B2208" s="75" t="s">
        <v>47</v>
      </c>
      <c r="C2208" s="75">
        <v>3.3E-4</v>
      </c>
      <c r="D2208" s="75">
        <v>3.3000999999999998E-3</v>
      </c>
      <c r="E2208" s="75">
        <v>1E-8</v>
      </c>
      <c r="F2208" s="75" t="s">
        <v>13</v>
      </c>
      <c r="G2208" s="75" t="s">
        <v>11</v>
      </c>
      <c r="H2208" s="75">
        <v>0.02</v>
      </c>
      <c r="I2208" s="75">
        <v>4.5010000000000001E-2</v>
      </c>
      <c r="J2208" s="75" t="s">
        <v>10</v>
      </c>
      <c r="K2208" s="75">
        <v>0.32</v>
      </c>
      <c r="L2208" s="75">
        <v>1400</v>
      </c>
      <c r="M2208" s="75">
        <v>0.17327000000000001</v>
      </c>
      <c r="N2208" s="75">
        <v>1443.8</v>
      </c>
      <c r="O2208" s="90" t="str">
        <f>IF(VLOOKUP(UncLookup[[#This Row],[Item]],Items!$A$1:$F$43,2,FALSE)=0,"",VLOOKUP(UncLookup[[#This Row],[Item]],Items!$A$1:$F$43,2,FALSE))</f>
        <v/>
      </c>
      <c r="P2208" s="90" t="str">
        <f>IF(VLOOKUP(UncLookup[[#This Row],[Item]],Items!$A$1:$F$43,3,FALSE)=0,"",VLOOKUP(UncLookup[[#This Row],[Item]],Items!$A$1:$F$43,3,FALSE))</f>
        <v/>
      </c>
      <c r="Q2208" s="90" t="str">
        <f>IF(VLOOKUP(UncLookup[[#This Row],[Item]],Items!$A$1:$F$43,4,FALSE)=0,"",VLOOKUP(UncLookup[[#This Row],[Item]],Items!$A$1:$F$43,4,FALSE))</f>
        <v/>
      </c>
    </row>
    <row r="2209" spans="1:17" x14ac:dyDescent="0.25">
      <c r="A2209" s="76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90" t="str">
        <f>IF(VLOOKUP(UncLookup[[#This Row],[Item]],Items!$A$1:$F$43,2,FALSE)=0,"",VLOOKUP(UncLookup[[#This Row],[Item]],Items!$A$1:$F$43,2,FALSE))</f>
        <v/>
      </c>
      <c r="P2209" s="90" t="str">
        <f>IF(VLOOKUP(UncLookup[[#This Row],[Item]],Items!$A$1:$F$43,3,FALSE)=0,"",VLOOKUP(UncLookup[[#This Row],[Item]],Items!$A$1:$F$43,3,FALSE))</f>
        <v/>
      </c>
      <c r="Q2209" s="90" t="str">
        <f>IF(VLOOKUP(UncLookup[[#This Row],[Item]],Items!$A$1:$F$43,4,FALSE)=0,"",VLOOKUP(UncLookup[[#This Row],[Item]],Items!$A$1:$F$43,4,FALSE))</f>
        <v/>
      </c>
    </row>
    <row r="2210" spans="1:17" x14ac:dyDescent="0.25">
      <c r="A2210" s="75" t="s">
        <v>55</v>
      </c>
      <c r="B2210" s="75" t="s">
        <v>47</v>
      </c>
      <c r="C2210" s="75">
        <v>3.3E-4</v>
      </c>
      <c r="D2210" s="75">
        <v>3.3000999999999998E-3</v>
      </c>
      <c r="E2210" s="75">
        <v>9.9999999999999995E-8</v>
      </c>
      <c r="F2210" s="75" t="s">
        <v>13</v>
      </c>
      <c r="G2210" s="75" t="s">
        <v>11</v>
      </c>
      <c r="H2210" s="75">
        <v>0.01</v>
      </c>
      <c r="I2210" s="75">
        <v>2.001E-2</v>
      </c>
      <c r="J2210" s="75" t="s">
        <v>10</v>
      </c>
      <c r="K2210" s="75">
        <v>0.23</v>
      </c>
      <c r="L2210" s="75">
        <v>2300</v>
      </c>
      <c r="M2210" s="75">
        <v>0.17480999999999999</v>
      </c>
      <c r="N2210" s="75">
        <v>2314.9</v>
      </c>
      <c r="O2210" s="90" t="str">
        <f>IF(VLOOKUP(UncLookup[[#This Row],[Item]],Items!$A$1:$F$43,2,FALSE)=0,"",VLOOKUP(UncLookup[[#This Row],[Item]],Items!$A$1:$F$43,2,FALSE))</f>
        <v/>
      </c>
      <c r="P2210" s="90" t="str">
        <f>IF(VLOOKUP(UncLookup[[#This Row],[Item]],Items!$A$1:$F$43,3,FALSE)=0,"",VLOOKUP(UncLookup[[#This Row],[Item]],Items!$A$1:$F$43,3,FALSE))</f>
        <v/>
      </c>
      <c r="Q2210" s="90" t="str">
        <f>IF(VLOOKUP(UncLookup[[#This Row],[Item]],Items!$A$1:$F$43,4,FALSE)=0,"",VLOOKUP(UncLookup[[#This Row],[Item]],Items!$A$1:$F$43,4,FALSE))</f>
        <v/>
      </c>
    </row>
    <row r="2211" spans="1:17" x14ac:dyDescent="0.25">
      <c r="A2211" s="76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90" t="str">
        <f>IF(VLOOKUP(UncLookup[[#This Row],[Item]],Items!$A$1:$F$43,2,FALSE)=0,"",VLOOKUP(UncLookup[[#This Row],[Item]],Items!$A$1:$F$43,2,FALSE))</f>
        <v/>
      </c>
      <c r="P2211" s="90" t="str">
        <f>IF(VLOOKUP(UncLookup[[#This Row],[Item]],Items!$A$1:$F$43,3,FALSE)=0,"",VLOOKUP(UncLookup[[#This Row],[Item]],Items!$A$1:$F$43,3,FALSE))</f>
        <v/>
      </c>
      <c r="Q2211" s="90" t="str">
        <f>IF(VLOOKUP(UncLookup[[#This Row],[Item]],Items!$A$1:$F$43,4,FALSE)=0,"",VLOOKUP(UncLookup[[#This Row],[Item]],Items!$A$1:$F$43,4,FALSE))</f>
        <v/>
      </c>
    </row>
    <row r="2212" spans="1:17" x14ac:dyDescent="0.25">
      <c r="A2212" s="75" t="s">
        <v>55</v>
      </c>
      <c r="B2212" s="75" t="s">
        <v>47</v>
      </c>
      <c r="C2212" s="75">
        <v>3.3E-4</v>
      </c>
      <c r="D2212" s="75">
        <v>3.3000999999999998E-3</v>
      </c>
      <c r="E2212" s="75">
        <v>9.9999999999999995E-8</v>
      </c>
      <c r="F2212" s="75" t="s">
        <v>13</v>
      </c>
      <c r="G2212" s="75" t="s">
        <v>11</v>
      </c>
      <c r="H2212" s="75">
        <v>1</v>
      </c>
      <c r="I2212" s="75">
        <v>5.01</v>
      </c>
      <c r="J2212" s="75" t="s">
        <v>10</v>
      </c>
      <c r="K2212" s="75">
        <v>0.27</v>
      </c>
      <c r="L2212" s="75">
        <v>2300</v>
      </c>
      <c r="M2212" s="75">
        <v>0.23280000000000001</v>
      </c>
      <c r="N2212" s="75">
        <v>2309.1999999999998</v>
      </c>
      <c r="O2212" s="90" t="str">
        <f>IF(VLOOKUP(UncLookup[[#This Row],[Item]],Items!$A$1:$F$43,2,FALSE)=0,"",VLOOKUP(UncLookup[[#This Row],[Item]],Items!$A$1:$F$43,2,FALSE))</f>
        <v/>
      </c>
      <c r="P2212" s="90" t="str">
        <f>IF(VLOOKUP(UncLookup[[#This Row],[Item]],Items!$A$1:$F$43,3,FALSE)=0,"",VLOOKUP(UncLookup[[#This Row],[Item]],Items!$A$1:$F$43,3,FALSE))</f>
        <v/>
      </c>
      <c r="Q2212" s="90" t="str">
        <f>IF(VLOOKUP(UncLookup[[#This Row],[Item]],Items!$A$1:$F$43,4,FALSE)=0,"",VLOOKUP(UncLookup[[#This Row],[Item]],Items!$A$1:$F$43,4,FALSE))</f>
        <v/>
      </c>
    </row>
    <row r="2213" spans="1:17" x14ac:dyDescent="0.25">
      <c r="A2213" s="76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90" t="str">
        <f>IF(VLOOKUP(UncLookup[[#This Row],[Item]],Items!$A$1:$F$43,2,FALSE)=0,"",VLOOKUP(UncLookup[[#This Row],[Item]],Items!$A$1:$F$43,2,FALSE))</f>
        <v/>
      </c>
      <c r="P2213" s="90" t="str">
        <f>IF(VLOOKUP(UncLookup[[#This Row],[Item]],Items!$A$1:$F$43,3,FALSE)=0,"",VLOOKUP(UncLookup[[#This Row],[Item]],Items!$A$1:$F$43,3,FALSE))</f>
        <v/>
      </c>
      <c r="Q2213" s="90" t="str">
        <f>IF(VLOOKUP(UncLookup[[#This Row],[Item]],Items!$A$1:$F$43,4,FALSE)=0,"",VLOOKUP(UncLookup[[#This Row],[Item]],Items!$A$1:$F$43,4,FALSE))</f>
        <v/>
      </c>
    </row>
    <row r="2214" spans="1:17" x14ac:dyDescent="0.25">
      <c r="A2214" s="75" t="s">
        <v>55</v>
      </c>
      <c r="B2214" s="75" t="s">
        <v>47</v>
      </c>
      <c r="C2214" s="75">
        <v>3.3E-4</v>
      </c>
      <c r="D2214" s="75">
        <v>3.3000999999999998E-3</v>
      </c>
      <c r="E2214" s="75">
        <v>9.9999999999999995E-8</v>
      </c>
      <c r="F2214" s="75" t="s">
        <v>13</v>
      </c>
      <c r="G2214" s="75" t="s">
        <v>11</v>
      </c>
      <c r="H2214" s="75">
        <v>30</v>
      </c>
      <c r="I2214" s="75">
        <v>30.1</v>
      </c>
      <c r="J2214" s="75" t="s">
        <v>10</v>
      </c>
      <c r="K2214" s="75">
        <v>0.7</v>
      </c>
      <c r="L2214" s="75">
        <v>12000</v>
      </c>
      <c r="M2214" s="75">
        <v>0.69338999999999995</v>
      </c>
      <c r="N2214" s="75">
        <v>11547</v>
      </c>
      <c r="O2214" s="90" t="str">
        <f>IF(VLOOKUP(UncLookup[[#This Row],[Item]],Items!$A$1:$F$43,2,FALSE)=0,"",VLOOKUP(UncLookup[[#This Row],[Item]],Items!$A$1:$F$43,2,FALSE))</f>
        <v/>
      </c>
      <c r="P2214" s="90" t="str">
        <f>IF(VLOOKUP(UncLookup[[#This Row],[Item]],Items!$A$1:$F$43,3,FALSE)=0,"",VLOOKUP(UncLookup[[#This Row],[Item]],Items!$A$1:$F$43,3,FALSE))</f>
        <v/>
      </c>
      <c r="Q2214" s="90" t="str">
        <f>IF(VLOOKUP(UncLookup[[#This Row],[Item]],Items!$A$1:$F$43,4,FALSE)=0,"",VLOOKUP(UncLookup[[#This Row],[Item]],Items!$A$1:$F$43,4,FALSE))</f>
        <v/>
      </c>
    </row>
    <row r="2215" spans="1:17" x14ac:dyDescent="0.25">
      <c r="A2215" s="76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90" t="str">
        <f>IF(VLOOKUP(UncLookup[[#This Row],[Item]],Items!$A$1:$F$43,2,FALSE)=0,"",VLOOKUP(UncLookup[[#This Row],[Item]],Items!$A$1:$F$43,2,FALSE))</f>
        <v/>
      </c>
      <c r="P2215" s="90" t="str">
        <f>IF(VLOOKUP(UncLookup[[#This Row],[Item]],Items!$A$1:$F$43,3,FALSE)=0,"",VLOOKUP(UncLookup[[#This Row],[Item]],Items!$A$1:$F$43,3,FALSE))</f>
        <v/>
      </c>
      <c r="Q2215" s="90" t="str">
        <f>IF(VLOOKUP(UncLookup[[#This Row],[Item]],Items!$A$1:$F$43,4,FALSE)=0,"",VLOOKUP(UncLookup[[#This Row],[Item]],Items!$A$1:$F$43,4,FALSE))</f>
        <v/>
      </c>
    </row>
    <row r="2216" spans="1:17" x14ac:dyDescent="0.25">
      <c r="A2216" s="75" t="s">
        <v>55</v>
      </c>
      <c r="B2216" s="75" t="s">
        <v>47</v>
      </c>
      <c r="C2216" s="75">
        <v>3.3E-4</v>
      </c>
      <c r="D2216" s="75">
        <v>3.3000999999999998E-3</v>
      </c>
      <c r="E2216" s="75">
        <v>9.9999999999999995E-8</v>
      </c>
      <c r="F2216" s="75" t="s">
        <v>13</v>
      </c>
      <c r="G2216" s="75" t="s">
        <v>11</v>
      </c>
      <c r="H2216" s="75">
        <v>10</v>
      </c>
      <c r="I2216" s="75">
        <v>30</v>
      </c>
      <c r="J2216" s="75" t="s">
        <v>10</v>
      </c>
      <c r="K2216" s="75">
        <v>0.7</v>
      </c>
      <c r="L2216" s="75">
        <v>12000</v>
      </c>
      <c r="M2216" s="75">
        <v>0.69338999999999995</v>
      </c>
      <c r="N2216" s="75">
        <v>11547</v>
      </c>
      <c r="O2216" s="90" t="str">
        <f>IF(VLOOKUP(UncLookup[[#This Row],[Item]],Items!$A$1:$F$43,2,FALSE)=0,"",VLOOKUP(UncLookup[[#This Row],[Item]],Items!$A$1:$F$43,2,FALSE))</f>
        <v/>
      </c>
      <c r="P2216" s="90" t="str">
        <f>IF(VLOOKUP(UncLookup[[#This Row],[Item]],Items!$A$1:$F$43,3,FALSE)=0,"",VLOOKUP(UncLookup[[#This Row],[Item]],Items!$A$1:$F$43,3,FALSE))</f>
        <v/>
      </c>
      <c r="Q2216" s="90" t="str">
        <f>IF(VLOOKUP(UncLookup[[#This Row],[Item]],Items!$A$1:$F$43,4,FALSE)=0,"",VLOOKUP(UncLookup[[#This Row],[Item]],Items!$A$1:$F$43,4,FALSE))</f>
        <v/>
      </c>
    </row>
    <row r="2217" spans="1:17" x14ac:dyDescent="0.25">
      <c r="A2217" s="76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90" t="str">
        <f>IF(VLOOKUP(UncLookup[[#This Row],[Item]],Items!$A$1:$F$43,2,FALSE)=0,"",VLOOKUP(UncLookup[[#This Row],[Item]],Items!$A$1:$F$43,2,FALSE))</f>
        <v/>
      </c>
      <c r="P2217" s="90" t="str">
        <f>IF(VLOOKUP(UncLookup[[#This Row],[Item]],Items!$A$1:$F$43,3,FALSE)=0,"",VLOOKUP(UncLookup[[#This Row],[Item]],Items!$A$1:$F$43,3,FALSE))</f>
        <v/>
      </c>
      <c r="Q2217" s="90" t="str">
        <f>IF(VLOOKUP(UncLookup[[#This Row],[Item]],Items!$A$1:$F$43,4,FALSE)=0,"",VLOOKUP(UncLookup[[#This Row],[Item]],Items!$A$1:$F$43,4,FALSE))</f>
        <v/>
      </c>
    </row>
    <row r="2218" spans="1:17" x14ac:dyDescent="0.25">
      <c r="A2218" s="75" t="s">
        <v>55</v>
      </c>
      <c r="B2218" s="75" t="s">
        <v>47</v>
      </c>
      <c r="C2218" s="75">
        <v>3.3E-4</v>
      </c>
      <c r="D2218" s="75">
        <v>3.3000999999999998E-3</v>
      </c>
      <c r="E2218" s="75">
        <v>9.9999999999999995E-7</v>
      </c>
      <c r="F2218" s="75" t="s">
        <v>13</v>
      </c>
      <c r="G2218" s="75" t="s">
        <v>11</v>
      </c>
      <c r="H2218" s="75">
        <v>1</v>
      </c>
      <c r="I2218" s="75">
        <v>5.01</v>
      </c>
      <c r="J2218" s="75" t="s">
        <v>10</v>
      </c>
      <c r="K2218" s="75">
        <v>0.40200999999999998</v>
      </c>
      <c r="L2218" s="75">
        <v>2264.3000000000002</v>
      </c>
      <c r="M2218" s="75">
        <v>0.40155999999999997</v>
      </c>
      <c r="N2218" s="75">
        <v>2264.4</v>
      </c>
      <c r="O2218" s="90" t="str">
        <f>IF(VLOOKUP(UncLookup[[#This Row],[Item]],Items!$A$1:$F$43,2,FALSE)=0,"",VLOOKUP(UncLookup[[#This Row],[Item]],Items!$A$1:$F$43,2,FALSE))</f>
        <v/>
      </c>
      <c r="P2218" s="90" t="str">
        <f>IF(VLOOKUP(UncLookup[[#This Row],[Item]],Items!$A$1:$F$43,3,FALSE)=0,"",VLOOKUP(UncLookup[[#This Row],[Item]],Items!$A$1:$F$43,3,FALSE))</f>
        <v/>
      </c>
      <c r="Q2218" s="90" t="str">
        <f>IF(VLOOKUP(UncLookup[[#This Row],[Item]],Items!$A$1:$F$43,4,FALSE)=0,"",VLOOKUP(UncLookup[[#This Row],[Item]],Items!$A$1:$F$43,4,FALSE))</f>
        <v/>
      </c>
    </row>
    <row r="2219" spans="1:17" x14ac:dyDescent="0.25">
      <c r="A2219" s="76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90" t="str">
        <f>IF(VLOOKUP(UncLookup[[#This Row],[Item]],Items!$A$1:$F$43,2,FALSE)=0,"",VLOOKUP(UncLookup[[#This Row],[Item]],Items!$A$1:$F$43,2,FALSE))</f>
        <v/>
      </c>
      <c r="P2219" s="90" t="str">
        <f>IF(VLOOKUP(UncLookup[[#This Row],[Item]],Items!$A$1:$F$43,3,FALSE)=0,"",VLOOKUP(UncLookup[[#This Row],[Item]],Items!$A$1:$F$43,3,FALSE))</f>
        <v/>
      </c>
      <c r="Q2219" s="90" t="str">
        <f>IF(VLOOKUP(UncLookup[[#This Row],[Item]],Items!$A$1:$F$43,4,FALSE)=0,"",VLOOKUP(UncLookup[[#This Row],[Item]],Items!$A$1:$F$43,4,FALSE))</f>
        <v/>
      </c>
    </row>
    <row r="2220" spans="1:17" x14ac:dyDescent="0.25">
      <c r="A2220" s="75" t="s">
        <v>55</v>
      </c>
      <c r="B2220" s="75" t="s">
        <v>47</v>
      </c>
      <c r="C2220" s="75">
        <v>3.3E-4</v>
      </c>
      <c r="D2220" s="75">
        <v>3.3000999999999998E-3</v>
      </c>
      <c r="E2220" s="75">
        <v>9.9999999999999995E-7</v>
      </c>
      <c r="F2220" s="75" t="s">
        <v>13</v>
      </c>
      <c r="G2220" s="75" t="s">
        <v>11</v>
      </c>
      <c r="H2220" s="75">
        <v>30</v>
      </c>
      <c r="I2220" s="75">
        <v>30.1</v>
      </c>
      <c r="J2220" s="75" t="s">
        <v>10</v>
      </c>
      <c r="K2220" s="75">
        <v>0.7</v>
      </c>
      <c r="L2220" s="75">
        <v>12000</v>
      </c>
      <c r="M2220" s="75">
        <v>0.7339</v>
      </c>
      <c r="N2220" s="75">
        <v>11536</v>
      </c>
      <c r="O2220" s="90" t="str">
        <f>IF(VLOOKUP(UncLookup[[#This Row],[Item]],Items!$A$1:$F$43,2,FALSE)=0,"",VLOOKUP(UncLookup[[#This Row],[Item]],Items!$A$1:$F$43,2,FALSE))</f>
        <v/>
      </c>
      <c r="P2220" s="90" t="str">
        <f>IF(VLOOKUP(UncLookup[[#This Row],[Item]],Items!$A$1:$F$43,3,FALSE)=0,"",VLOOKUP(UncLookup[[#This Row],[Item]],Items!$A$1:$F$43,3,FALSE))</f>
        <v/>
      </c>
      <c r="Q2220" s="90" t="str">
        <f>IF(VLOOKUP(UncLookup[[#This Row],[Item]],Items!$A$1:$F$43,4,FALSE)=0,"",VLOOKUP(UncLookup[[#This Row],[Item]],Items!$A$1:$F$43,4,FALSE))</f>
        <v/>
      </c>
    </row>
    <row r="2221" spans="1:17" x14ac:dyDescent="0.25">
      <c r="A2221" s="76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90" t="str">
        <f>IF(VLOOKUP(UncLookup[[#This Row],[Item]],Items!$A$1:$F$43,2,FALSE)=0,"",VLOOKUP(UncLookup[[#This Row],[Item]],Items!$A$1:$F$43,2,FALSE))</f>
        <v/>
      </c>
      <c r="P2221" s="90" t="str">
        <f>IF(VLOOKUP(UncLookup[[#This Row],[Item]],Items!$A$1:$F$43,3,FALSE)=0,"",VLOOKUP(UncLookup[[#This Row],[Item]],Items!$A$1:$F$43,3,FALSE))</f>
        <v/>
      </c>
      <c r="Q2221" s="90" t="str">
        <f>IF(VLOOKUP(UncLookup[[#This Row],[Item]],Items!$A$1:$F$43,4,FALSE)=0,"",VLOOKUP(UncLookup[[#This Row],[Item]],Items!$A$1:$F$43,4,FALSE))</f>
        <v/>
      </c>
    </row>
    <row r="2222" spans="1:17" x14ac:dyDescent="0.25">
      <c r="A2222" s="75" t="s">
        <v>55</v>
      </c>
      <c r="B2222" s="75" t="s">
        <v>47</v>
      </c>
      <c r="C2222" s="75">
        <v>3.3E-4</v>
      </c>
      <c r="D2222" s="75">
        <v>3.3000999999999998E-3</v>
      </c>
      <c r="E2222" s="75">
        <v>9.9999999999999995E-7</v>
      </c>
      <c r="F2222" s="75" t="s">
        <v>13</v>
      </c>
      <c r="G2222" s="75" t="s">
        <v>11</v>
      </c>
      <c r="H2222" s="75">
        <v>0.01</v>
      </c>
      <c r="I2222" s="75">
        <v>2.001E-2</v>
      </c>
      <c r="J2222" s="75" t="s">
        <v>10</v>
      </c>
      <c r="K2222" s="75">
        <v>0.35293999999999998</v>
      </c>
      <c r="L2222" s="75">
        <v>2267.3000000000002</v>
      </c>
      <c r="M2222" s="75">
        <v>0.35227000000000003</v>
      </c>
      <c r="N2222" s="75">
        <v>2267.5</v>
      </c>
      <c r="O2222" s="90" t="str">
        <f>IF(VLOOKUP(UncLookup[[#This Row],[Item]],Items!$A$1:$F$43,2,FALSE)=0,"",VLOOKUP(UncLookup[[#This Row],[Item]],Items!$A$1:$F$43,2,FALSE))</f>
        <v/>
      </c>
      <c r="P2222" s="90" t="str">
        <f>IF(VLOOKUP(UncLookup[[#This Row],[Item]],Items!$A$1:$F$43,3,FALSE)=0,"",VLOOKUP(UncLookup[[#This Row],[Item]],Items!$A$1:$F$43,3,FALSE))</f>
        <v/>
      </c>
      <c r="Q2222" s="90" t="str">
        <f>IF(VLOOKUP(UncLookup[[#This Row],[Item]],Items!$A$1:$F$43,4,FALSE)=0,"",VLOOKUP(UncLookup[[#This Row],[Item]],Items!$A$1:$F$43,4,FALSE))</f>
        <v/>
      </c>
    </row>
    <row r="2223" spans="1:17" x14ac:dyDescent="0.25">
      <c r="A2223" s="76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90" t="str">
        <f>IF(VLOOKUP(UncLookup[[#This Row],[Item]],Items!$A$1:$F$43,2,FALSE)=0,"",VLOOKUP(UncLookup[[#This Row],[Item]],Items!$A$1:$F$43,2,FALSE))</f>
        <v/>
      </c>
      <c r="P2223" s="90" t="str">
        <f>IF(VLOOKUP(UncLookup[[#This Row],[Item]],Items!$A$1:$F$43,3,FALSE)=0,"",VLOOKUP(UncLookup[[#This Row],[Item]],Items!$A$1:$F$43,3,FALSE))</f>
        <v/>
      </c>
      <c r="Q2223" s="90" t="str">
        <f>IF(VLOOKUP(UncLookup[[#This Row],[Item]],Items!$A$1:$F$43,4,FALSE)=0,"",VLOOKUP(UncLookup[[#This Row],[Item]],Items!$A$1:$F$43,4,FALSE))</f>
        <v/>
      </c>
    </row>
    <row r="2224" spans="1:17" x14ac:dyDescent="0.25">
      <c r="A2224" s="75" t="s">
        <v>55</v>
      </c>
      <c r="B2224" s="75" t="s">
        <v>47</v>
      </c>
      <c r="C2224" s="75">
        <v>3.3E-4</v>
      </c>
      <c r="D2224" s="75">
        <v>3.3000999999999998E-3</v>
      </c>
      <c r="E2224" s="75">
        <v>1.0000000000000001E-5</v>
      </c>
      <c r="F2224" s="75" t="s">
        <v>13</v>
      </c>
      <c r="G2224" s="75" t="s">
        <v>11</v>
      </c>
      <c r="H2224" s="75">
        <v>5</v>
      </c>
      <c r="I2224" s="75">
        <v>10.01</v>
      </c>
      <c r="J2224" s="75" t="s">
        <v>10</v>
      </c>
      <c r="K2224" s="75">
        <v>4.6372999999999998</v>
      </c>
      <c r="L2224" s="75">
        <v>4728.3</v>
      </c>
      <c r="M2224" s="75">
        <v>4.6368999999999998</v>
      </c>
      <c r="N2224" s="75">
        <v>4728.3</v>
      </c>
      <c r="O2224" s="90" t="str">
        <f>IF(VLOOKUP(UncLookup[[#This Row],[Item]],Items!$A$1:$F$43,2,FALSE)=0,"",VLOOKUP(UncLookup[[#This Row],[Item]],Items!$A$1:$F$43,2,FALSE))</f>
        <v/>
      </c>
      <c r="P2224" s="90" t="str">
        <f>IF(VLOOKUP(UncLookup[[#This Row],[Item]],Items!$A$1:$F$43,3,FALSE)=0,"",VLOOKUP(UncLookup[[#This Row],[Item]],Items!$A$1:$F$43,3,FALSE))</f>
        <v/>
      </c>
      <c r="Q2224" s="90" t="str">
        <f>IF(VLOOKUP(UncLookup[[#This Row],[Item]],Items!$A$1:$F$43,4,FALSE)=0,"",VLOOKUP(UncLookup[[#This Row],[Item]],Items!$A$1:$F$43,4,FALSE))</f>
        <v/>
      </c>
    </row>
    <row r="2225" spans="1:17" x14ac:dyDescent="0.25">
      <c r="A2225" s="76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90" t="str">
        <f>IF(VLOOKUP(UncLookup[[#This Row],[Item]],Items!$A$1:$F$43,2,FALSE)=0,"",VLOOKUP(UncLookup[[#This Row],[Item]],Items!$A$1:$F$43,2,FALSE))</f>
        <v/>
      </c>
      <c r="P2225" s="90" t="str">
        <f>IF(VLOOKUP(UncLookup[[#This Row],[Item]],Items!$A$1:$F$43,3,FALSE)=0,"",VLOOKUP(UncLookup[[#This Row],[Item]],Items!$A$1:$F$43,3,FALSE))</f>
        <v/>
      </c>
      <c r="Q2225" s="90" t="str">
        <f>IF(VLOOKUP(UncLookup[[#This Row],[Item]],Items!$A$1:$F$43,4,FALSE)=0,"",VLOOKUP(UncLookup[[#This Row],[Item]],Items!$A$1:$F$43,4,FALSE))</f>
        <v/>
      </c>
    </row>
    <row r="2226" spans="1:17" x14ac:dyDescent="0.25">
      <c r="A2226" s="75" t="s">
        <v>55</v>
      </c>
      <c r="B2226" s="75" t="s">
        <v>47</v>
      </c>
      <c r="C2226" s="75">
        <v>3.3E-4</v>
      </c>
      <c r="D2226" s="75">
        <v>3.3000999999999998E-3</v>
      </c>
      <c r="E2226" s="75">
        <v>1.0000000000000001E-5</v>
      </c>
      <c r="F2226" s="75" t="s">
        <v>13</v>
      </c>
      <c r="G2226" s="75" t="s">
        <v>11</v>
      </c>
      <c r="H2226" s="75">
        <v>1</v>
      </c>
      <c r="I2226" s="75">
        <v>5.01</v>
      </c>
      <c r="J2226" s="75" t="s">
        <v>10</v>
      </c>
      <c r="K2226" s="75">
        <v>5.4265999999999996</v>
      </c>
      <c r="L2226" s="75">
        <v>1309.3</v>
      </c>
      <c r="M2226" s="75">
        <v>5.4263000000000003</v>
      </c>
      <c r="N2226" s="75">
        <v>1309.3</v>
      </c>
      <c r="O2226" s="90" t="str">
        <f>IF(VLOOKUP(UncLookup[[#This Row],[Item]],Items!$A$1:$F$43,2,FALSE)=0,"",VLOOKUP(UncLookup[[#This Row],[Item]],Items!$A$1:$F$43,2,FALSE))</f>
        <v/>
      </c>
      <c r="P2226" s="90" t="str">
        <f>IF(VLOOKUP(UncLookup[[#This Row],[Item]],Items!$A$1:$F$43,3,FALSE)=0,"",VLOOKUP(UncLookup[[#This Row],[Item]],Items!$A$1:$F$43,3,FALSE))</f>
        <v/>
      </c>
      <c r="Q2226" s="90" t="str">
        <f>IF(VLOOKUP(UncLookup[[#This Row],[Item]],Items!$A$1:$F$43,4,FALSE)=0,"",VLOOKUP(UncLookup[[#This Row],[Item]],Items!$A$1:$F$43,4,FALSE))</f>
        <v/>
      </c>
    </row>
    <row r="2227" spans="1:17" x14ac:dyDescent="0.25">
      <c r="A2227" s="76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90" t="str">
        <f>IF(VLOOKUP(UncLookup[[#This Row],[Item]],Items!$A$1:$F$43,2,FALSE)=0,"",VLOOKUP(UncLookup[[#This Row],[Item]],Items!$A$1:$F$43,2,FALSE))</f>
        <v/>
      </c>
      <c r="P2227" s="90" t="str">
        <f>IF(VLOOKUP(UncLookup[[#This Row],[Item]],Items!$A$1:$F$43,3,FALSE)=0,"",VLOOKUP(UncLookup[[#This Row],[Item]],Items!$A$1:$F$43,3,FALSE))</f>
        <v/>
      </c>
      <c r="Q2227" s="90" t="str">
        <f>IF(VLOOKUP(UncLookup[[#This Row],[Item]],Items!$A$1:$F$43,4,FALSE)=0,"",VLOOKUP(UncLookup[[#This Row],[Item]],Items!$A$1:$F$43,4,FALSE))</f>
        <v/>
      </c>
    </row>
    <row r="2228" spans="1:17" x14ac:dyDescent="0.25">
      <c r="A2228" s="75" t="s">
        <v>55</v>
      </c>
      <c r="B2228" s="75" t="s">
        <v>47</v>
      </c>
      <c r="C2228" s="75">
        <v>3.3E-4</v>
      </c>
      <c r="D2228" s="75">
        <v>3.3000999999999998E-3</v>
      </c>
      <c r="E2228" s="75">
        <v>1.0000000000000001E-5</v>
      </c>
      <c r="F2228" s="75" t="s">
        <v>13</v>
      </c>
      <c r="G2228" s="75" t="s">
        <v>11</v>
      </c>
      <c r="H2228" s="75">
        <v>4.4999999999999998E-2</v>
      </c>
      <c r="I2228" s="75">
        <v>1.0000100000000001</v>
      </c>
      <c r="J2228" s="75" t="s">
        <v>10</v>
      </c>
      <c r="K2228" s="75">
        <v>5.6654</v>
      </c>
      <c r="L2228" s="75">
        <v>409.29</v>
      </c>
      <c r="M2228" s="75">
        <v>5.6650999999999998</v>
      </c>
      <c r="N2228" s="75">
        <v>409.25</v>
      </c>
      <c r="O2228" s="90" t="str">
        <f>IF(VLOOKUP(UncLookup[[#This Row],[Item]],Items!$A$1:$F$43,2,FALSE)=0,"",VLOOKUP(UncLookup[[#This Row],[Item]],Items!$A$1:$F$43,2,FALSE))</f>
        <v/>
      </c>
      <c r="P2228" s="90" t="str">
        <f>IF(VLOOKUP(UncLookup[[#This Row],[Item]],Items!$A$1:$F$43,3,FALSE)=0,"",VLOOKUP(UncLookup[[#This Row],[Item]],Items!$A$1:$F$43,3,FALSE))</f>
        <v/>
      </c>
      <c r="Q2228" s="90" t="str">
        <f>IF(VLOOKUP(UncLookup[[#This Row],[Item]],Items!$A$1:$F$43,4,FALSE)=0,"",VLOOKUP(UncLookup[[#This Row],[Item]],Items!$A$1:$F$43,4,FALSE))</f>
        <v/>
      </c>
    </row>
    <row r="2229" spans="1:17" x14ac:dyDescent="0.25">
      <c r="A2229" s="76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90" t="str">
        <f>IF(VLOOKUP(UncLookup[[#This Row],[Item]],Items!$A$1:$F$43,2,FALSE)=0,"",VLOOKUP(UncLookup[[#This Row],[Item]],Items!$A$1:$F$43,2,FALSE))</f>
        <v/>
      </c>
      <c r="P2229" s="90" t="str">
        <f>IF(VLOOKUP(UncLookup[[#This Row],[Item]],Items!$A$1:$F$43,3,FALSE)=0,"",VLOOKUP(UncLookup[[#This Row],[Item]],Items!$A$1:$F$43,3,FALSE))</f>
        <v/>
      </c>
      <c r="Q2229" s="90" t="str">
        <f>IF(VLOOKUP(UncLookup[[#This Row],[Item]],Items!$A$1:$F$43,4,FALSE)=0,"",VLOOKUP(UncLookup[[#This Row],[Item]],Items!$A$1:$F$43,4,FALSE))</f>
        <v/>
      </c>
    </row>
    <row r="2230" spans="1:17" x14ac:dyDescent="0.25">
      <c r="A2230" s="75" t="s">
        <v>55</v>
      </c>
      <c r="B2230" s="75" t="s">
        <v>47</v>
      </c>
      <c r="C2230" s="75">
        <v>3.3E-4</v>
      </c>
      <c r="D2230" s="75">
        <v>3.3000999999999998E-3</v>
      </c>
      <c r="E2230" s="75">
        <v>1.0000000000000001E-5</v>
      </c>
      <c r="F2230" s="75" t="s">
        <v>13</v>
      </c>
      <c r="G2230" s="75" t="s">
        <v>11</v>
      </c>
      <c r="H2230" s="75">
        <v>0.01</v>
      </c>
      <c r="I2230" s="75">
        <v>2.001E-2</v>
      </c>
      <c r="J2230" s="75" t="s">
        <v>10</v>
      </c>
      <c r="K2230" s="75">
        <v>5.4199000000000002</v>
      </c>
      <c r="L2230" s="75">
        <v>1301.8</v>
      </c>
      <c r="M2230" s="75">
        <v>5.4195000000000002</v>
      </c>
      <c r="N2230" s="75">
        <v>1301.8</v>
      </c>
      <c r="O2230" s="90" t="str">
        <f>IF(VLOOKUP(UncLookup[[#This Row],[Item]],Items!$A$1:$F$43,2,FALSE)=0,"",VLOOKUP(UncLookup[[#This Row],[Item]],Items!$A$1:$F$43,2,FALSE))</f>
        <v/>
      </c>
      <c r="P2230" s="90" t="str">
        <f>IF(VLOOKUP(UncLookup[[#This Row],[Item]],Items!$A$1:$F$43,3,FALSE)=0,"",VLOOKUP(UncLookup[[#This Row],[Item]],Items!$A$1:$F$43,3,FALSE))</f>
        <v/>
      </c>
      <c r="Q2230" s="90" t="str">
        <f>IF(VLOOKUP(UncLookup[[#This Row],[Item]],Items!$A$1:$F$43,4,FALSE)=0,"",VLOOKUP(UncLookup[[#This Row],[Item]],Items!$A$1:$F$43,4,FALSE))</f>
        <v/>
      </c>
    </row>
    <row r="2231" spans="1:17" x14ac:dyDescent="0.25">
      <c r="A2231" s="76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90" t="str">
        <f>IF(VLOOKUP(UncLookup[[#This Row],[Item]],Items!$A$1:$F$43,2,FALSE)=0,"",VLOOKUP(UncLookup[[#This Row],[Item]],Items!$A$1:$F$43,2,FALSE))</f>
        <v/>
      </c>
      <c r="P2231" s="90" t="str">
        <f>IF(VLOOKUP(UncLookup[[#This Row],[Item]],Items!$A$1:$F$43,3,FALSE)=0,"",VLOOKUP(UncLookup[[#This Row],[Item]],Items!$A$1:$F$43,3,FALSE))</f>
        <v/>
      </c>
      <c r="Q2231" s="90" t="str">
        <f>IF(VLOOKUP(UncLookup[[#This Row],[Item]],Items!$A$1:$F$43,4,FALSE)=0,"",VLOOKUP(UncLookup[[#This Row],[Item]],Items!$A$1:$F$43,4,FALSE))</f>
        <v/>
      </c>
    </row>
    <row r="2232" spans="1:17" x14ac:dyDescent="0.25">
      <c r="A2232" s="75" t="s">
        <v>55</v>
      </c>
      <c r="B2232" s="75" t="s">
        <v>47</v>
      </c>
      <c r="C2232" s="75">
        <v>3.3E-4</v>
      </c>
      <c r="D2232" s="75">
        <v>3.3000999999999998E-3</v>
      </c>
      <c r="E2232" s="75">
        <v>1E-4</v>
      </c>
      <c r="F2232" s="75" t="s">
        <v>13</v>
      </c>
      <c r="G2232" s="75" t="s">
        <v>11</v>
      </c>
      <c r="H2232" s="75">
        <v>5</v>
      </c>
      <c r="I2232" s="75">
        <v>10.01</v>
      </c>
      <c r="J2232" s="75" t="s">
        <v>10</v>
      </c>
      <c r="K2232" s="75">
        <v>57.432000000000002</v>
      </c>
      <c r="L2232" s="75">
        <v>1053.3</v>
      </c>
      <c r="M2232" s="75">
        <v>57.432000000000002</v>
      </c>
      <c r="N2232" s="75">
        <v>1053.2</v>
      </c>
      <c r="O2232" s="90" t="str">
        <f>IF(VLOOKUP(UncLookup[[#This Row],[Item]],Items!$A$1:$F$43,2,FALSE)=0,"",VLOOKUP(UncLookup[[#This Row],[Item]],Items!$A$1:$F$43,2,FALSE))</f>
        <v/>
      </c>
      <c r="P2232" s="90" t="str">
        <f>IF(VLOOKUP(UncLookup[[#This Row],[Item]],Items!$A$1:$F$43,3,FALSE)=0,"",VLOOKUP(UncLookup[[#This Row],[Item]],Items!$A$1:$F$43,3,FALSE))</f>
        <v/>
      </c>
      <c r="Q2232" s="90" t="str">
        <f>IF(VLOOKUP(UncLookup[[#This Row],[Item]],Items!$A$1:$F$43,4,FALSE)=0,"",VLOOKUP(UncLookup[[#This Row],[Item]],Items!$A$1:$F$43,4,FALSE))</f>
        <v/>
      </c>
    </row>
    <row r="2233" spans="1:17" x14ac:dyDescent="0.25">
      <c r="A2233" s="76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90" t="str">
        <f>IF(VLOOKUP(UncLookup[[#This Row],[Item]],Items!$A$1:$F$43,2,FALSE)=0,"",VLOOKUP(UncLookup[[#This Row],[Item]],Items!$A$1:$F$43,2,FALSE))</f>
        <v/>
      </c>
      <c r="P2233" s="90" t="str">
        <f>IF(VLOOKUP(UncLookup[[#This Row],[Item]],Items!$A$1:$F$43,3,FALSE)=0,"",VLOOKUP(UncLookup[[#This Row],[Item]],Items!$A$1:$F$43,3,FALSE))</f>
        <v/>
      </c>
      <c r="Q2233" s="90" t="str">
        <f>IF(VLOOKUP(UncLookup[[#This Row],[Item]],Items!$A$1:$F$43,4,FALSE)=0,"",VLOOKUP(UncLookup[[#This Row],[Item]],Items!$A$1:$F$43,4,FALSE))</f>
        <v/>
      </c>
    </row>
    <row r="2234" spans="1:17" x14ac:dyDescent="0.25">
      <c r="A2234" s="75" t="s">
        <v>55</v>
      </c>
      <c r="B2234" s="75" t="s">
        <v>47</v>
      </c>
      <c r="C2234" s="75">
        <v>3.3E-4</v>
      </c>
      <c r="D2234" s="75">
        <v>3.3000999999999998E-3</v>
      </c>
      <c r="E2234" s="75">
        <v>1E-4</v>
      </c>
      <c r="F2234" s="75" t="s">
        <v>13</v>
      </c>
      <c r="G2234" s="75" t="s">
        <v>11</v>
      </c>
      <c r="H2234" s="75">
        <v>30</v>
      </c>
      <c r="I2234" s="75">
        <v>30.1</v>
      </c>
      <c r="J2234" s="75" t="s">
        <v>10</v>
      </c>
      <c r="K2234" s="75">
        <v>56.616999999999997</v>
      </c>
      <c r="L2234" s="75">
        <v>3922.7</v>
      </c>
      <c r="M2234" s="75">
        <v>56.616</v>
      </c>
      <c r="N2234" s="75">
        <v>3922.6</v>
      </c>
      <c r="O2234" s="90" t="str">
        <f>IF(VLOOKUP(UncLookup[[#This Row],[Item]],Items!$A$1:$F$43,2,FALSE)=0,"",VLOOKUP(UncLookup[[#This Row],[Item]],Items!$A$1:$F$43,2,FALSE))</f>
        <v/>
      </c>
      <c r="P2234" s="90" t="str">
        <f>IF(VLOOKUP(UncLookup[[#This Row],[Item]],Items!$A$1:$F$43,3,FALSE)=0,"",VLOOKUP(UncLookup[[#This Row],[Item]],Items!$A$1:$F$43,3,FALSE))</f>
        <v/>
      </c>
      <c r="Q2234" s="90" t="str">
        <f>IF(VLOOKUP(UncLookup[[#This Row],[Item]],Items!$A$1:$F$43,4,FALSE)=0,"",VLOOKUP(UncLookup[[#This Row],[Item]],Items!$A$1:$F$43,4,FALSE))</f>
        <v/>
      </c>
    </row>
    <row r="2235" spans="1:17" x14ac:dyDescent="0.25">
      <c r="A2235" s="76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90" t="str">
        <f>IF(VLOOKUP(UncLookup[[#This Row],[Item]],Items!$A$1:$F$43,2,FALSE)=0,"",VLOOKUP(UncLookup[[#This Row],[Item]],Items!$A$1:$F$43,2,FALSE))</f>
        <v/>
      </c>
      <c r="P2235" s="90" t="str">
        <f>IF(VLOOKUP(UncLookup[[#This Row],[Item]],Items!$A$1:$F$43,3,FALSE)=0,"",VLOOKUP(UncLookup[[#This Row],[Item]],Items!$A$1:$F$43,3,FALSE))</f>
        <v/>
      </c>
      <c r="Q2235" s="90" t="str">
        <f>IF(VLOOKUP(UncLookup[[#This Row],[Item]],Items!$A$1:$F$43,4,FALSE)=0,"",VLOOKUP(UncLookup[[#This Row],[Item]],Items!$A$1:$F$43,4,FALSE))</f>
        <v/>
      </c>
    </row>
    <row r="2236" spans="1:17" x14ac:dyDescent="0.25">
      <c r="A2236" s="75" t="s">
        <v>55</v>
      </c>
      <c r="B2236" s="75" t="s">
        <v>47</v>
      </c>
      <c r="C2236" s="75">
        <v>3.3E-4</v>
      </c>
      <c r="D2236" s="75">
        <v>3.3000999999999998E-3</v>
      </c>
      <c r="E2236" s="75">
        <v>1E-4</v>
      </c>
      <c r="F2236" s="75" t="s">
        <v>13</v>
      </c>
      <c r="G2236" s="75" t="s">
        <v>11</v>
      </c>
      <c r="H2236" s="75">
        <v>4.4999999999999998E-2</v>
      </c>
      <c r="I2236" s="75">
        <v>1.0000100000000001</v>
      </c>
      <c r="J2236" s="75" t="s">
        <v>10</v>
      </c>
      <c r="K2236" s="75">
        <v>57.722999999999999</v>
      </c>
      <c r="L2236" s="75">
        <v>45.396999999999998</v>
      </c>
      <c r="M2236" s="75">
        <v>57.722999999999999</v>
      </c>
      <c r="N2236" s="75">
        <v>45.366</v>
      </c>
      <c r="O2236" s="90" t="str">
        <f>IF(VLOOKUP(UncLookup[[#This Row],[Item]],Items!$A$1:$F$43,2,FALSE)=0,"",VLOOKUP(UncLookup[[#This Row],[Item]],Items!$A$1:$F$43,2,FALSE))</f>
        <v/>
      </c>
      <c r="P2236" s="90" t="str">
        <f>IF(VLOOKUP(UncLookup[[#This Row],[Item]],Items!$A$1:$F$43,3,FALSE)=0,"",VLOOKUP(UncLookup[[#This Row],[Item]],Items!$A$1:$F$43,3,FALSE))</f>
        <v/>
      </c>
      <c r="Q2236" s="90" t="str">
        <f>IF(VLOOKUP(UncLookup[[#This Row],[Item]],Items!$A$1:$F$43,4,FALSE)=0,"",VLOOKUP(UncLookup[[#This Row],[Item]],Items!$A$1:$F$43,4,FALSE))</f>
        <v/>
      </c>
    </row>
    <row r="2237" spans="1:17" x14ac:dyDescent="0.25">
      <c r="A2237" s="76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90" t="str">
        <f>IF(VLOOKUP(UncLookup[[#This Row],[Item]],Items!$A$1:$F$43,2,FALSE)=0,"",VLOOKUP(UncLookup[[#This Row],[Item]],Items!$A$1:$F$43,2,FALSE))</f>
        <v/>
      </c>
      <c r="P2237" s="90" t="str">
        <f>IF(VLOOKUP(UncLookup[[#This Row],[Item]],Items!$A$1:$F$43,3,FALSE)=0,"",VLOOKUP(UncLookup[[#This Row],[Item]],Items!$A$1:$F$43,3,FALSE))</f>
        <v/>
      </c>
      <c r="Q2237" s="90" t="str">
        <f>IF(VLOOKUP(UncLookup[[#This Row],[Item]],Items!$A$1:$F$43,4,FALSE)=0,"",VLOOKUP(UncLookup[[#This Row],[Item]],Items!$A$1:$F$43,4,FALSE))</f>
        <v/>
      </c>
    </row>
    <row r="2238" spans="1:17" x14ac:dyDescent="0.25">
      <c r="A2238" s="75" t="s">
        <v>55</v>
      </c>
      <c r="B2238" s="75" t="s">
        <v>47</v>
      </c>
      <c r="C2238" s="75">
        <v>3.3E-3</v>
      </c>
      <c r="D2238" s="75">
        <v>3.3001000000000003E-2</v>
      </c>
      <c r="E2238" s="75">
        <v>1E-8</v>
      </c>
      <c r="F2238" s="75" t="s">
        <v>13</v>
      </c>
      <c r="G2238" s="75" t="s">
        <v>11</v>
      </c>
      <c r="H2238" s="75">
        <v>0.02</v>
      </c>
      <c r="I2238" s="75">
        <v>4.5010000000000001E-2</v>
      </c>
      <c r="J2238" s="75" t="s">
        <v>10</v>
      </c>
      <c r="K2238" s="75">
        <v>3.8</v>
      </c>
      <c r="L2238" s="75">
        <v>1000</v>
      </c>
      <c r="M2238" s="75">
        <v>2.2968000000000002</v>
      </c>
      <c r="N2238" s="75">
        <v>1043.5999999999999</v>
      </c>
      <c r="O2238" s="90" t="str">
        <f>IF(VLOOKUP(UncLookup[[#This Row],[Item]],Items!$A$1:$F$43,2,FALSE)=0,"",VLOOKUP(UncLookup[[#This Row],[Item]],Items!$A$1:$F$43,2,FALSE))</f>
        <v/>
      </c>
      <c r="P2238" s="90" t="str">
        <f>IF(VLOOKUP(UncLookup[[#This Row],[Item]],Items!$A$1:$F$43,3,FALSE)=0,"",VLOOKUP(UncLookup[[#This Row],[Item]],Items!$A$1:$F$43,3,FALSE))</f>
        <v/>
      </c>
      <c r="Q2238" s="90" t="str">
        <f>IF(VLOOKUP(UncLookup[[#This Row],[Item]],Items!$A$1:$F$43,4,FALSE)=0,"",VLOOKUP(UncLookup[[#This Row],[Item]],Items!$A$1:$F$43,4,FALSE))</f>
        <v/>
      </c>
    </row>
    <row r="2239" spans="1:17" x14ac:dyDescent="0.25">
      <c r="A2239" s="76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90" t="str">
        <f>IF(VLOOKUP(UncLookup[[#This Row],[Item]],Items!$A$1:$F$43,2,FALSE)=0,"",VLOOKUP(UncLookup[[#This Row],[Item]],Items!$A$1:$F$43,2,FALSE))</f>
        <v/>
      </c>
      <c r="P2239" s="90" t="str">
        <f>IF(VLOOKUP(UncLookup[[#This Row],[Item]],Items!$A$1:$F$43,3,FALSE)=0,"",VLOOKUP(UncLookup[[#This Row],[Item]],Items!$A$1:$F$43,3,FALSE))</f>
        <v/>
      </c>
      <c r="Q2239" s="90" t="str">
        <f>IF(VLOOKUP(UncLookup[[#This Row],[Item]],Items!$A$1:$F$43,4,FALSE)=0,"",VLOOKUP(UncLookup[[#This Row],[Item]],Items!$A$1:$F$43,4,FALSE))</f>
        <v/>
      </c>
    </row>
    <row r="2240" spans="1:17" x14ac:dyDescent="0.25">
      <c r="A2240" s="75" t="s">
        <v>55</v>
      </c>
      <c r="B2240" s="75" t="s">
        <v>47</v>
      </c>
      <c r="C2240" s="75">
        <v>3.3E-3</v>
      </c>
      <c r="D2240" s="75">
        <v>3.3001000000000003E-2</v>
      </c>
      <c r="E2240" s="75">
        <v>1E-8</v>
      </c>
      <c r="F2240" s="75" t="s">
        <v>13</v>
      </c>
      <c r="G2240" s="75" t="s">
        <v>11</v>
      </c>
      <c r="H2240" s="75">
        <v>0.01</v>
      </c>
      <c r="I2240" s="75">
        <v>2.001E-2</v>
      </c>
      <c r="J2240" s="75" t="s">
        <v>10</v>
      </c>
      <c r="K2240" s="75">
        <v>2.4</v>
      </c>
      <c r="L2240" s="75">
        <v>2100</v>
      </c>
      <c r="M2240" s="75">
        <v>2.3005</v>
      </c>
      <c r="N2240" s="75">
        <v>2087.6</v>
      </c>
      <c r="O2240" s="90" t="str">
        <f>IF(VLOOKUP(UncLookup[[#This Row],[Item]],Items!$A$1:$F$43,2,FALSE)=0,"",VLOOKUP(UncLookup[[#This Row],[Item]],Items!$A$1:$F$43,2,FALSE))</f>
        <v/>
      </c>
      <c r="P2240" s="90" t="str">
        <f>IF(VLOOKUP(UncLookup[[#This Row],[Item]],Items!$A$1:$F$43,3,FALSE)=0,"",VLOOKUP(UncLookup[[#This Row],[Item]],Items!$A$1:$F$43,3,FALSE))</f>
        <v/>
      </c>
      <c r="Q2240" s="90" t="str">
        <f>IF(VLOOKUP(UncLookup[[#This Row],[Item]],Items!$A$1:$F$43,4,FALSE)=0,"",VLOOKUP(UncLookup[[#This Row],[Item]],Items!$A$1:$F$43,4,FALSE))</f>
        <v/>
      </c>
    </row>
    <row r="2241" spans="1:17" x14ac:dyDescent="0.25">
      <c r="A2241" s="76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90" t="str">
        <f>IF(VLOOKUP(UncLookup[[#This Row],[Item]],Items!$A$1:$F$43,2,FALSE)=0,"",VLOOKUP(UncLookup[[#This Row],[Item]],Items!$A$1:$F$43,2,FALSE))</f>
        <v/>
      </c>
      <c r="P2241" s="90" t="str">
        <f>IF(VLOOKUP(UncLookup[[#This Row],[Item]],Items!$A$1:$F$43,3,FALSE)=0,"",VLOOKUP(UncLookup[[#This Row],[Item]],Items!$A$1:$F$43,3,FALSE))</f>
        <v/>
      </c>
      <c r="Q2241" s="90" t="str">
        <f>IF(VLOOKUP(UncLookup[[#This Row],[Item]],Items!$A$1:$F$43,4,FALSE)=0,"",VLOOKUP(UncLookup[[#This Row],[Item]],Items!$A$1:$F$43,4,FALSE))</f>
        <v/>
      </c>
    </row>
    <row r="2242" spans="1:17" x14ac:dyDescent="0.25">
      <c r="A2242" s="75" t="s">
        <v>55</v>
      </c>
      <c r="B2242" s="75" t="s">
        <v>47</v>
      </c>
      <c r="C2242" s="75">
        <v>3.3E-3</v>
      </c>
      <c r="D2242" s="75">
        <v>3.3001000000000003E-2</v>
      </c>
      <c r="E2242" s="75">
        <v>1E-8</v>
      </c>
      <c r="F2242" s="75" t="s">
        <v>13</v>
      </c>
      <c r="G2242" s="75" t="s">
        <v>11</v>
      </c>
      <c r="H2242" s="75">
        <v>10</v>
      </c>
      <c r="I2242" s="75">
        <v>30</v>
      </c>
      <c r="J2242" s="75" t="s">
        <v>10</v>
      </c>
      <c r="K2242" s="75">
        <v>5.3</v>
      </c>
      <c r="L2242" s="75">
        <v>4600</v>
      </c>
      <c r="M2242" s="75">
        <v>4.6162999999999998</v>
      </c>
      <c r="N2242" s="75">
        <v>4619.8999999999996</v>
      </c>
      <c r="O2242" s="90" t="str">
        <f>IF(VLOOKUP(UncLookup[[#This Row],[Item]],Items!$A$1:$F$43,2,FALSE)=0,"",VLOOKUP(UncLookup[[#This Row],[Item]],Items!$A$1:$F$43,2,FALSE))</f>
        <v/>
      </c>
      <c r="P2242" s="90" t="str">
        <f>IF(VLOOKUP(UncLookup[[#This Row],[Item]],Items!$A$1:$F$43,3,FALSE)=0,"",VLOOKUP(UncLookup[[#This Row],[Item]],Items!$A$1:$F$43,3,FALSE))</f>
        <v/>
      </c>
      <c r="Q2242" s="90" t="str">
        <f>IF(VLOOKUP(UncLookup[[#This Row],[Item]],Items!$A$1:$F$43,4,FALSE)=0,"",VLOOKUP(UncLookup[[#This Row],[Item]],Items!$A$1:$F$43,4,FALSE))</f>
        <v/>
      </c>
    </row>
    <row r="2243" spans="1:17" x14ac:dyDescent="0.25">
      <c r="A2243" s="76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90" t="str">
        <f>IF(VLOOKUP(UncLookup[[#This Row],[Item]],Items!$A$1:$F$43,2,FALSE)=0,"",VLOOKUP(UncLookup[[#This Row],[Item]],Items!$A$1:$F$43,2,FALSE))</f>
        <v/>
      </c>
      <c r="P2243" s="90" t="str">
        <f>IF(VLOOKUP(UncLookup[[#This Row],[Item]],Items!$A$1:$F$43,3,FALSE)=0,"",VLOOKUP(UncLookup[[#This Row],[Item]],Items!$A$1:$F$43,3,FALSE))</f>
        <v/>
      </c>
      <c r="Q2243" s="90" t="str">
        <f>IF(VLOOKUP(UncLookup[[#This Row],[Item]],Items!$A$1:$F$43,4,FALSE)=0,"",VLOOKUP(UncLookup[[#This Row],[Item]],Items!$A$1:$F$43,4,FALSE))</f>
        <v/>
      </c>
    </row>
    <row r="2244" spans="1:17" x14ac:dyDescent="0.25">
      <c r="A2244" s="75" t="s">
        <v>55</v>
      </c>
      <c r="B2244" s="75" t="s">
        <v>47</v>
      </c>
      <c r="C2244" s="75">
        <v>3.3E-3</v>
      </c>
      <c r="D2244" s="75">
        <v>3.3001000000000003E-2</v>
      </c>
      <c r="E2244" s="75">
        <v>9.9999999999999995E-8</v>
      </c>
      <c r="F2244" s="75" t="s">
        <v>13</v>
      </c>
      <c r="G2244" s="75" t="s">
        <v>11</v>
      </c>
      <c r="H2244" s="75">
        <v>0.02</v>
      </c>
      <c r="I2244" s="75">
        <v>4.5010000000000001E-2</v>
      </c>
      <c r="J2244" s="75" t="s">
        <v>10</v>
      </c>
      <c r="K2244" s="75">
        <v>3.8</v>
      </c>
      <c r="L2244" s="75">
        <v>1000</v>
      </c>
      <c r="M2244" s="75">
        <v>2.3281999999999998</v>
      </c>
      <c r="N2244" s="75">
        <v>1042.8</v>
      </c>
      <c r="O2244" s="90" t="str">
        <f>IF(VLOOKUP(UncLookup[[#This Row],[Item]],Items!$A$1:$F$43,2,FALSE)=0,"",VLOOKUP(UncLookup[[#This Row],[Item]],Items!$A$1:$F$43,2,FALSE))</f>
        <v/>
      </c>
      <c r="P2244" s="90" t="str">
        <f>IF(VLOOKUP(UncLookup[[#This Row],[Item]],Items!$A$1:$F$43,3,FALSE)=0,"",VLOOKUP(UncLookup[[#This Row],[Item]],Items!$A$1:$F$43,3,FALSE))</f>
        <v/>
      </c>
      <c r="Q2244" s="90" t="str">
        <f>IF(VLOOKUP(UncLookup[[#This Row],[Item]],Items!$A$1:$F$43,4,FALSE)=0,"",VLOOKUP(UncLookup[[#This Row],[Item]],Items!$A$1:$F$43,4,FALSE))</f>
        <v/>
      </c>
    </row>
    <row r="2245" spans="1:17" x14ac:dyDescent="0.25">
      <c r="A2245" s="76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90" t="str">
        <f>IF(VLOOKUP(UncLookup[[#This Row],[Item]],Items!$A$1:$F$43,2,FALSE)=0,"",VLOOKUP(UncLookup[[#This Row],[Item]],Items!$A$1:$F$43,2,FALSE))</f>
        <v/>
      </c>
      <c r="P2245" s="90" t="str">
        <f>IF(VLOOKUP(UncLookup[[#This Row],[Item]],Items!$A$1:$F$43,3,FALSE)=0,"",VLOOKUP(UncLookup[[#This Row],[Item]],Items!$A$1:$F$43,3,FALSE))</f>
        <v/>
      </c>
      <c r="Q2245" s="90" t="str">
        <f>IF(VLOOKUP(UncLookup[[#This Row],[Item]],Items!$A$1:$F$43,4,FALSE)=0,"",VLOOKUP(UncLookup[[#This Row],[Item]],Items!$A$1:$F$43,4,FALSE))</f>
        <v/>
      </c>
    </row>
    <row r="2246" spans="1:17" x14ac:dyDescent="0.25">
      <c r="A2246" s="75" t="s">
        <v>55</v>
      </c>
      <c r="B2246" s="75" t="s">
        <v>47</v>
      </c>
      <c r="C2246" s="75">
        <v>3.3E-3</v>
      </c>
      <c r="D2246" s="75">
        <v>3.3001000000000003E-2</v>
      </c>
      <c r="E2246" s="75">
        <v>9.9999999999999995E-8</v>
      </c>
      <c r="F2246" s="75" t="s">
        <v>13</v>
      </c>
      <c r="G2246" s="75" t="s">
        <v>11</v>
      </c>
      <c r="H2246" s="75">
        <v>1</v>
      </c>
      <c r="I2246" s="75">
        <v>5.01</v>
      </c>
      <c r="J2246" s="75" t="s">
        <v>10</v>
      </c>
      <c r="K2246" s="75">
        <v>2.4</v>
      </c>
      <c r="L2246" s="75">
        <v>930</v>
      </c>
      <c r="M2246" s="75">
        <v>2.3386</v>
      </c>
      <c r="N2246" s="75">
        <v>924.88</v>
      </c>
      <c r="O2246" s="90" t="str">
        <f>IF(VLOOKUP(UncLookup[[#This Row],[Item]],Items!$A$1:$F$43,2,FALSE)=0,"",VLOOKUP(UncLookup[[#This Row],[Item]],Items!$A$1:$F$43,2,FALSE))</f>
        <v/>
      </c>
      <c r="P2246" s="90" t="str">
        <f>IF(VLOOKUP(UncLookup[[#This Row],[Item]],Items!$A$1:$F$43,3,FALSE)=0,"",VLOOKUP(UncLookup[[#This Row],[Item]],Items!$A$1:$F$43,3,FALSE))</f>
        <v/>
      </c>
      <c r="Q2246" s="90" t="str">
        <f>IF(VLOOKUP(UncLookup[[#This Row],[Item]],Items!$A$1:$F$43,4,FALSE)=0,"",VLOOKUP(UncLookup[[#This Row],[Item]],Items!$A$1:$F$43,4,FALSE))</f>
        <v/>
      </c>
    </row>
    <row r="2247" spans="1:17" x14ac:dyDescent="0.25">
      <c r="A2247" s="76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90" t="str">
        <f>IF(VLOOKUP(UncLookup[[#This Row],[Item]],Items!$A$1:$F$43,2,FALSE)=0,"",VLOOKUP(UncLookup[[#This Row],[Item]],Items!$A$1:$F$43,2,FALSE))</f>
        <v/>
      </c>
      <c r="P2247" s="90" t="str">
        <f>IF(VLOOKUP(UncLookup[[#This Row],[Item]],Items!$A$1:$F$43,3,FALSE)=0,"",VLOOKUP(UncLookup[[#This Row],[Item]],Items!$A$1:$F$43,3,FALSE))</f>
        <v/>
      </c>
      <c r="Q2247" s="90" t="str">
        <f>IF(VLOOKUP(UncLookup[[#This Row],[Item]],Items!$A$1:$F$43,4,FALSE)=0,"",VLOOKUP(UncLookup[[#This Row],[Item]],Items!$A$1:$F$43,4,FALSE))</f>
        <v/>
      </c>
    </row>
    <row r="2248" spans="1:17" x14ac:dyDescent="0.25">
      <c r="A2248" s="75" t="s">
        <v>55</v>
      </c>
      <c r="B2248" s="75" t="s">
        <v>47</v>
      </c>
      <c r="C2248" s="75">
        <v>3.3E-3</v>
      </c>
      <c r="D2248" s="75">
        <v>3.3001000000000003E-2</v>
      </c>
      <c r="E2248" s="75">
        <v>9.9999999999999995E-8</v>
      </c>
      <c r="F2248" s="75" t="s">
        <v>13</v>
      </c>
      <c r="G2248" s="75" t="s">
        <v>11</v>
      </c>
      <c r="H2248" s="75">
        <v>4.4999999999999998E-2</v>
      </c>
      <c r="I2248" s="75">
        <v>1.0000100000000001</v>
      </c>
      <c r="J2248" s="75" t="s">
        <v>10</v>
      </c>
      <c r="K2248" s="75">
        <v>2.4</v>
      </c>
      <c r="L2248" s="75">
        <v>470</v>
      </c>
      <c r="M2248" s="75">
        <v>2.3464</v>
      </c>
      <c r="N2248" s="75">
        <v>464.49</v>
      </c>
      <c r="O2248" s="90" t="str">
        <f>IF(VLOOKUP(UncLookup[[#This Row],[Item]],Items!$A$1:$F$43,2,FALSE)=0,"",VLOOKUP(UncLookup[[#This Row],[Item]],Items!$A$1:$F$43,2,FALSE))</f>
        <v/>
      </c>
      <c r="P2248" s="90" t="str">
        <f>IF(VLOOKUP(UncLookup[[#This Row],[Item]],Items!$A$1:$F$43,3,FALSE)=0,"",VLOOKUP(UncLookup[[#This Row],[Item]],Items!$A$1:$F$43,3,FALSE))</f>
        <v/>
      </c>
      <c r="Q2248" s="90" t="str">
        <f>IF(VLOOKUP(UncLookup[[#This Row],[Item]],Items!$A$1:$F$43,4,FALSE)=0,"",VLOOKUP(UncLookup[[#This Row],[Item]],Items!$A$1:$F$43,4,FALSE))</f>
        <v/>
      </c>
    </row>
    <row r="2249" spans="1:17" x14ac:dyDescent="0.25">
      <c r="A2249" s="76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90" t="str">
        <f>IF(VLOOKUP(UncLookup[[#This Row],[Item]],Items!$A$1:$F$43,2,FALSE)=0,"",VLOOKUP(UncLookup[[#This Row],[Item]],Items!$A$1:$F$43,2,FALSE))</f>
        <v/>
      </c>
      <c r="P2249" s="90" t="str">
        <f>IF(VLOOKUP(UncLookup[[#This Row],[Item]],Items!$A$1:$F$43,3,FALSE)=0,"",VLOOKUP(UncLookup[[#This Row],[Item]],Items!$A$1:$F$43,3,FALSE))</f>
        <v/>
      </c>
      <c r="Q2249" s="90" t="str">
        <f>IF(VLOOKUP(UncLookup[[#This Row],[Item]],Items!$A$1:$F$43,4,FALSE)=0,"",VLOOKUP(UncLookup[[#This Row],[Item]],Items!$A$1:$F$43,4,FALSE))</f>
        <v/>
      </c>
    </row>
    <row r="2250" spans="1:17" x14ac:dyDescent="0.25">
      <c r="A2250" s="75" t="s">
        <v>55</v>
      </c>
      <c r="B2250" s="75" t="s">
        <v>47</v>
      </c>
      <c r="C2250" s="75">
        <v>3.3E-3</v>
      </c>
      <c r="D2250" s="75">
        <v>3.3001000000000003E-2</v>
      </c>
      <c r="E2250" s="75">
        <v>9.9999999999999995E-7</v>
      </c>
      <c r="F2250" s="75" t="s">
        <v>13</v>
      </c>
      <c r="G2250" s="75" t="s">
        <v>11</v>
      </c>
      <c r="H2250" s="75">
        <v>4.4999999999999998E-2</v>
      </c>
      <c r="I2250" s="75">
        <v>1.0000100000000001</v>
      </c>
      <c r="J2250" s="75" t="s">
        <v>10</v>
      </c>
      <c r="K2250" s="75">
        <v>5.6395999999999997</v>
      </c>
      <c r="L2250" s="75">
        <v>392.41</v>
      </c>
      <c r="M2250" s="75">
        <v>5.6368999999999998</v>
      </c>
      <c r="N2250" s="75">
        <v>392.36</v>
      </c>
      <c r="O2250" s="90" t="str">
        <f>IF(VLOOKUP(UncLookup[[#This Row],[Item]],Items!$A$1:$F$43,2,FALSE)=0,"",VLOOKUP(UncLookup[[#This Row],[Item]],Items!$A$1:$F$43,2,FALSE))</f>
        <v/>
      </c>
      <c r="P2250" s="90" t="str">
        <f>IF(VLOOKUP(UncLookup[[#This Row],[Item]],Items!$A$1:$F$43,3,FALSE)=0,"",VLOOKUP(UncLookup[[#This Row],[Item]],Items!$A$1:$F$43,3,FALSE))</f>
        <v/>
      </c>
      <c r="Q2250" s="90" t="str">
        <f>IF(VLOOKUP(UncLookup[[#This Row],[Item]],Items!$A$1:$F$43,4,FALSE)=0,"",VLOOKUP(UncLookup[[#This Row],[Item]],Items!$A$1:$F$43,4,FALSE))</f>
        <v/>
      </c>
    </row>
    <row r="2251" spans="1:17" x14ac:dyDescent="0.25">
      <c r="A2251" s="76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90" t="str">
        <f>IF(VLOOKUP(UncLookup[[#This Row],[Item]],Items!$A$1:$F$43,2,FALSE)=0,"",VLOOKUP(UncLookup[[#This Row],[Item]],Items!$A$1:$F$43,2,FALSE))</f>
        <v/>
      </c>
      <c r="P2251" s="90" t="str">
        <f>IF(VLOOKUP(UncLookup[[#This Row],[Item]],Items!$A$1:$F$43,3,FALSE)=0,"",VLOOKUP(UncLookup[[#This Row],[Item]],Items!$A$1:$F$43,3,FALSE))</f>
        <v/>
      </c>
      <c r="Q2251" s="90" t="str">
        <f>IF(VLOOKUP(UncLookup[[#This Row],[Item]],Items!$A$1:$F$43,4,FALSE)=0,"",VLOOKUP(UncLookup[[#This Row],[Item]],Items!$A$1:$F$43,4,FALSE))</f>
        <v/>
      </c>
    </row>
    <row r="2252" spans="1:17" x14ac:dyDescent="0.25">
      <c r="A2252" s="75" t="s">
        <v>55</v>
      </c>
      <c r="B2252" s="75" t="s">
        <v>47</v>
      </c>
      <c r="C2252" s="75">
        <v>3.3E-3</v>
      </c>
      <c r="D2252" s="75">
        <v>3.3001000000000003E-2</v>
      </c>
      <c r="E2252" s="75">
        <v>9.9999999999999995E-7</v>
      </c>
      <c r="F2252" s="75" t="s">
        <v>13</v>
      </c>
      <c r="G2252" s="75" t="s">
        <v>11</v>
      </c>
      <c r="H2252" s="75">
        <v>0.02</v>
      </c>
      <c r="I2252" s="75">
        <v>4.5010000000000001E-2</v>
      </c>
      <c r="J2252" s="75" t="s">
        <v>10</v>
      </c>
      <c r="K2252" s="75">
        <v>4.9169999999999998</v>
      </c>
      <c r="L2252" s="75">
        <v>977.92</v>
      </c>
      <c r="M2252" s="75">
        <v>4.9145000000000003</v>
      </c>
      <c r="N2252" s="75">
        <v>977.93</v>
      </c>
      <c r="O2252" s="90" t="str">
        <f>IF(VLOOKUP(UncLookup[[#This Row],[Item]],Items!$A$1:$F$43,2,FALSE)=0,"",VLOOKUP(UncLookup[[#This Row],[Item]],Items!$A$1:$F$43,2,FALSE))</f>
        <v/>
      </c>
      <c r="P2252" s="90" t="str">
        <f>IF(VLOOKUP(UncLookup[[#This Row],[Item]],Items!$A$1:$F$43,3,FALSE)=0,"",VLOOKUP(UncLookup[[#This Row],[Item]],Items!$A$1:$F$43,3,FALSE))</f>
        <v/>
      </c>
      <c r="Q2252" s="90" t="str">
        <f>IF(VLOOKUP(UncLookup[[#This Row],[Item]],Items!$A$1:$F$43,4,FALSE)=0,"",VLOOKUP(UncLookup[[#This Row],[Item]],Items!$A$1:$F$43,4,FALSE))</f>
        <v/>
      </c>
    </row>
    <row r="2253" spans="1:17" x14ac:dyDescent="0.25">
      <c r="A2253" s="76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90" t="str">
        <f>IF(VLOOKUP(UncLookup[[#This Row],[Item]],Items!$A$1:$F$43,2,FALSE)=0,"",VLOOKUP(UncLookup[[#This Row],[Item]],Items!$A$1:$F$43,2,FALSE))</f>
        <v/>
      </c>
      <c r="P2253" s="90" t="str">
        <f>IF(VLOOKUP(UncLookup[[#This Row],[Item]],Items!$A$1:$F$43,3,FALSE)=0,"",VLOOKUP(UncLookup[[#This Row],[Item]],Items!$A$1:$F$43,3,FALSE))</f>
        <v/>
      </c>
      <c r="Q2253" s="90" t="str">
        <f>IF(VLOOKUP(UncLookup[[#This Row],[Item]],Items!$A$1:$F$43,4,FALSE)=0,"",VLOOKUP(UncLookup[[#This Row],[Item]],Items!$A$1:$F$43,4,FALSE))</f>
        <v/>
      </c>
    </row>
    <row r="2254" spans="1:17" x14ac:dyDescent="0.25">
      <c r="A2254" s="75" t="s">
        <v>55</v>
      </c>
      <c r="B2254" s="75" t="s">
        <v>47</v>
      </c>
      <c r="C2254" s="75">
        <v>3.3E-3</v>
      </c>
      <c r="D2254" s="75">
        <v>3.3001000000000003E-2</v>
      </c>
      <c r="E2254" s="75">
        <v>9.9999999999999995E-7</v>
      </c>
      <c r="F2254" s="75" t="s">
        <v>13</v>
      </c>
      <c r="G2254" s="75" t="s">
        <v>11</v>
      </c>
      <c r="H2254" s="75">
        <v>5</v>
      </c>
      <c r="I2254" s="75">
        <v>10.01</v>
      </c>
      <c r="J2254" s="75" t="s">
        <v>10</v>
      </c>
      <c r="K2254" s="75">
        <v>5.0186000000000002</v>
      </c>
      <c r="L2254" s="75">
        <v>2268.6999999999998</v>
      </c>
      <c r="M2254" s="75">
        <v>5.0129000000000001</v>
      </c>
      <c r="N2254" s="75">
        <v>2268.8000000000002</v>
      </c>
      <c r="O2254" s="90" t="str">
        <f>IF(VLOOKUP(UncLookup[[#This Row],[Item]],Items!$A$1:$F$43,2,FALSE)=0,"",VLOOKUP(UncLookup[[#This Row],[Item]],Items!$A$1:$F$43,2,FALSE))</f>
        <v/>
      </c>
      <c r="P2254" s="90" t="str">
        <f>IF(VLOOKUP(UncLookup[[#This Row],[Item]],Items!$A$1:$F$43,3,FALSE)=0,"",VLOOKUP(UncLookup[[#This Row],[Item]],Items!$A$1:$F$43,3,FALSE))</f>
        <v/>
      </c>
      <c r="Q2254" s="90" t="str">
        <f>IF(VLOOKUP(UncLookup[[#This Row],[Item]],Items!$A$1:$F$43,4,FALSE)=0,"",VLOOKUP(UncLookup[[#This Row],[Item]],Items!$A$1:$F$43,4,FALSE))</f>
        <v/>
      </c>
    </row>
    <row r="2255" spans="1:17" x14ac:dyDescent="0.25">
      <c r="A2255" s="76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90" t="str">
        <f>IF(VLOOKUP(UncLookup[[#This Row],[Item]],Items!$A$1:$F$43,2,FALSE)=0,"",VLOOKUP(UncLookup[[#This Row],[Item]],Items!$A$1:$F$43,2,FALSE))</f>
        <v/>
      </c>
      <c r="P2255" s="90" t="str">
        <f>IF(VLOOKUP(UncLookup[[#This Row],[Item]],Items!$A$1:$F$43,3,FALSE)=0,"",VLOOKUP(UncLookup[[#This Row],[Item]],Items!$A$1:$F$43,3,FALSE))</f>
        <v/>
      </c>
      <c r="Q2255" s="90" t="str">
        <f>IF(VLOOKUP(UncLookup[[#This Row],[Item]],Items!$A$1:$F$43,4,FALSE)=0,"",VLOOKUP(UncLookup[[#This Row],[Item]],Items!$A$1:$F$43,4,FALSE))</f>
        <v/>
      </c>
    </row>
    <row r="2256" spans="1:17" x14ac:dyDescent="0.25">
      <c r="A2256" s="75" t="s">
        <v>55</v>
      </c>
      <c r="B2256" s="75" t="s">
        <v>47</v>
      </c>
      <c r="C2256" s="75">
        <v>3.3E-3</v>
      </c>
      <c r="D2256" s="75">
        <v>3.3001000000000003E-2</v>
      </c>
      <c r="E2256" s="75">
        <v>1.0000000000000001E-5</v>
      </c>
      <c r="F2256" s="75" t="s">
        <v>13</v>
      </c>
      <c r="G2256" s="75" t="s">
        <v>11</v>
      </c>
      <c r="H2256" s="75">
        <v>10</v>
      </c>
      <c r="I2256" s="75">
        <v>30</v>
      </c>
      <c r="J2256" s="75" t="s">
        <v>10</v>
      </c>
      <c r="K2256" s="75">
        <v>49.259</v>
      </c>
      <c r="L2256" s="75">
        <v>3578.8</v>
      </c>
      <c r="M2256" s="75">
        <v>49.247</v>
      </c>
      <c r="N2256" s="75">
        <v>3578.8</v>
      </c>
      <c r="O2256" s="90" t="str">
        <f>IF(VLOOKUP(UncLookup[[#This Row],[Item]],Items!$A$1:$F$43,2,FALSE)=0,"",VLOOKUP(UncLookup[[#This Row],[Item]],Items!$A$1:$F$43,2,FALSE))</f>
        <v/>
      </c>
      <c r="P2256" s="90" t="str">
        <f>IF(VLOOKUP(UncLookup[[#This Row],[Item]],Items!$A$1:$F$43,3,FALSE)=0,"",VLOOKUP(UncLookup[[#This Row],[Item]],Items!$A$1:$F$43,3,FALSE))</f>
        <v/>
      </c>
      <c r="Q2256" s="90" t="str">
        <f>IF(VLOOKUP(UncLookup[[#This Row],[Item]],Items!$A$1:$F$43,4,FALSE)=0,"",VLOOKUP(UncLookup[[#This Row],[Item]],Items!$A$1:$F$43,4,FALSE))</f>
        <v/>
      </c>
    </row>
    <row r="2257" spans="1:17" x14ac:dyDescent="0.25">
      <c r="A2257" s="76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90" t="str">
        <f>IF(VLOOKUP(UncLookup[[#This Row],[Item]],Items!$A$1:$F$43,2,FALSE)=0,"",VLOOKUP(UncLookup[[#This Row],[Item]],Items!$A$1:$F$43,2,FALSE))</f>
        <v/>
      </c>
      <c r="P2257" s="90" t="str">
        <f>IF(VLOOKUP(UncLookup[[#This Row],[Item]],Items!$A$1:$F$43,3,FALSE)=0,"",VLOOKUP(UncLookup[[#This Row],[Item]],Items!$A$1:$F$43,3,FALSE))</f>
        <v/>
      </c>
      <c r="Q2257" s="90" t="str">
        <f>IF(VLOOKUP(UncLookup[[#This Row],[Item]],Items!$A$1:$F$43,4,FALSE)=0,"",VLOOKUP(UncLookup[[#This Row],[Item]],Items!$A$1:$F$43,4,FALSE))</f>
        <v/>
      </c>
    </row>
    <row r="2258" spans="1:17" x14ac:dyDescent="0.25">
      <c r="A2258" s="75" t="s">
        <v>55</v>
      </c>
      <c r="B2258" s="75" t="s">
        <v>47</v>
      </c>
      <c r="C2258" s="75">
        <v>3.3E-3</v>
      </c>
      <c r="D2258" s="75">
        <v>3.3001000000000003E-2</v>
      </c>
      <c r="E2258" s="75">
        <v>1.0000000000000001E-5</v>
      </c>
      <c r="F2258" s="75" t="s">
        <v>13</v>
      </c>
      <c r="G2258" s="75" t="s">
        <v>11</v>
      </c>
      <c r="H2258" s="75">
        <v>5</v>
      </c>
      <c r="I2258" s="75">
        <v>10.01</v>
      </c>
      <c r="J2258" s="75" t="s">
        <v>10</v>
      </c>
      <c r="K2258" s="75">
        <v>54.396999999999998</v>
      </c>
      <c r="L2258" s="75">
        <v>1333.5</v>
      </c>
      <c r="M2258" s="75">
        <v>54.39</v>
      </c>
      <c r="N2258" s="75">
        <v>1333.5</v>
      </c>
      <c r="O2258" s="90" t="str">
        <f>IF(VLOOKUP(UncLookup[[#This Row],[Item]],Items!$A$1:$F$43,2,FALSE)=0,"",VLOOKUP(UncLookup[[#This Row],[Item]],Items!$A$1:$F$43,2,FALSE))</f>
        <v/>
      </c>
      <c r="P2258" s="90" t="str">
        <f>IF(VLOOKUP(UncLookup[[#This Row],[Item]],Items!$A$1:$F$43,3,FALSE)=0,"",VLOOKUP(UncLookup[[#This Row],[Item]],Items!$A$1:$F$43,3,FALSE))</f>
        <v/>
      </c>
      <c r="Q2258" s="90" t="str">
        <f>IF(VLOOKUP(UncLookup[[#This Row],[Item]],Items!$A$1:$F$43,4,FALSE)=0,"",VLOOKUP(UncLookup[[#This Row],[Item]],Items!$A$1:$F$43,4,FALSE))</f>
        <v/>
      </c>
    </row>
    <row r="2259" spans="1:17" x14ac:dyDescent="0.25">
      <c r="A2259" s="76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90" t="str">
        <f>IF(VLOOKUP(UncLookup[[#This Row],[Item]],Items!$A$1:$F$43,2,FALSE)=0,"",VLOOKUP(UncLookup[[#This Row],[Item]],Items!$A$1:$F$43,2,FALSE))</f>
        <v/>
      </c>
      <c r="P2259" s="90" t="str">
        <f>IF(VLOOKUP(UncLookup[[#This Row],[Item]],Items!$A$1:$F$43,3,FALSE)=0,"",VLOOKUP(UncLookup[[#This Row],[Item]],Items!$A$1:$F$43,3,FALSE))</f>
        <v/>
      </c>
      <c r="Q2259" s="90" t="str">
        <f>IF(VLOOKUP(UncLookup[[#This Row],[Item]],Items!$A$1:$F$43,4,FALSE)=0,"",VLOOKUP(UncLookup[[#This Row],[Item]],Items!$A$1:$F$43,4,FALSE))</f>
        <v/>
      </c>
    </row>
    <row r="2260" spans="1:17" x14ac:dyDescent="0.25">
      <c r="A2260" s="75" t="s">
        <v>55</v>
      </c>
      <c r="B2260" s="75" t="s">
        <v>47</v>
      </c>
      <c r="C2260" s="75">
        <v>3.3E-3</v>
      </c>
      <c r="D2260" s="75">
        <v>3.3001000000000003E-2</v>
      </c>
      <c r="E2260" s="75">
        <v>1.0000000000000001E-5</v>
      </c>
      <c r="F2260" s="75" t="s">
        <v>13</v>
      </c>
      <c r="G2260" s="75" t="s">
        <v>11</v>
      </c>
      <c r="H2260" s="75">
        <v>0.01</v>
      </c>
      <c r="I2260" s="75">
        <v>2.001E-2</v>
      </c>
      <c r="J2260" s="75" t="s">
        <v>10</v>
      </c>
      <c r="K2260" s="75">
        <v>54.774000000000001</v>
      </c>
      <c r="L2260" s="75">
        <v>1117.8</v>
      </c>
      <c r="M2260" s="75">
        <v>54.773000000000003</v>
      </c>
      <c r="N2260" s="75">
        <v>1117.7</v>
      </c>
      <c r="O2260" s="90" t="str">
        <f>IF(VLOOKUP(UncLookup[[#This Row],[Item]],Items!$A$1:$F$43,2,FALSE)=0,"",VLOOKUP(UncLookup[[#This Row],[Item]],Items!$A$1:$F$43,2,FALSE))</f>
        <v/>
      </c>
      <c r="P2260" s="90" t="str">
        <f>IF(VLOOKUP(UncLookup[[#This Row],[Item]],Items!$A$1:$F$43,3,FALSE)=0,"",VLOOKUP(UncLookup[[#This Row],[Item]],Items!$A$1:$F$43,3,FALSE))</f>
        <v/>
      </c>
      <c r="Q2260" s="90" t="str">
        <f>IF(VLOOKUP(UncLookup[[#This Row],[Item]],Items!$A$1:$F$43,4,FALSE)=0,"",VLOOKUP(UncLookup[[#This Row],[Item]],Items!$A$1:$F$43,4,FALSE))</f>
        <v/>
      </c>
    </row>
    <row r="2261" spans="1:17" x14ac:dyDescent="0.25">
      <c r="A2261" s="76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90" t="str">
        <f>IF(VLOOKUP(UncLookup[[#This Row],[Item]],Items!$A$1:$F$43,2,FALSE)=0,"",VLOOKUP(UncLookup[[#This Row],[Item]],Items!$A$1:$F$43,2,FALSE))</f>
        <v/>
      </c>
      <c r="P2261" s="90" t="str">
        <f>IF(VLOOKUP(UncLookup[[#This Row],[Item]],Items!$A$1:$F$43,3,FALSE)=0,"",VLOOKUP(UncLookup[[#This Row],[Item]],Items!$A$1:$F$43,3,FALSE))</f>
        <v/>
      </c>
      <c r="Q2261" s="90" t="str">
        <f>IF(VLOOKUP(UncLookup[[#This Row],[Item]],Items!$A$1:$F$43,4,FALSE)=0,"",VLOOKUP(UncLookup[[#This Row],[Item]],Items!$A$1:$F$43,4,FALSE))</f>
        <v/>
      </c>
    </row>
    <row r="2262" spans="1:17" x14ac:dyDescent="0.25">
      <c r="A2262" s="75" t="s">
        <v>55</v>
      </c>
      <c r="B2262" s="75" t="s">
        <v>47</v>
      </c>
      <c r="C2262" s="75">
        <v>3.3E-3</v>
      </c>
      <c r="D2262" s="75">
        <v>3.3001000000000003E-2</v>
      </c>
      <c r="E2262" s="75">
        <v>1E-4</v>
      </c>
      <c r="F2262" s="75" t="s">
        <v>13</v>
      </c>
      <c r="G2262" s="75" t="s">
        <v>11</v>
      </c>
      <c r="H2262" s="75">
        <v>1</v>
      </c>
      <c r="I2262" s="75">
        <v>5.01</v>
      </c>
      <c r="J2262" s="75" t="s">
        <v>10</v>
      </c>
      <c r="K2262" s="75">
        <v>577.28</v>
      </c>
      <c r="L2262" s="75">
        <v>30.67</v>
      </c>
      <c r="M2262" s="75">
        <v>577.28</v>
      </c>
      <c r="N2262" s="75">
        <v>30.611999999999998</v>
      </c>
      <c r="O2262" s="90" t="str">
        <f>IF(VLOOKUP(UncLookup[[#This Row],[Item]],Items!$A$1:$F$43,2,FALSE)=0,"",VLOOKUP(UncLookup[[#This Row],[Item]],Items!$A$1:$F$43,2,FALSE))</f>
        <v/>
      </c>
      <c r="P2262" s="90" t="str">
        <f>IF(VLOOKUP(UncLookup[[#This Row],[Item]],Items!$A$1:$F$43,3,FALSE)=0,"",VLOOKUP(UncLookup[[#This Row],[Item]],Items!$A$1:$F$43,3,FALSE))</f>
        <v/>
      </c>
      <c r="Q2262" s="90" t="str">
        <f>IF(VLOOKUP(UncLookup[[#This Row],[Item]],Items!$A$1:$F$43,4,FALSE)=0,"",VLOOKUP(UncLookup[[#This Row],[Item]],Items!$A$1:$F$43,4,FALSE))</f>
        <v/>
      </c>
    </row>
    <row r="2263" spans="1:17" x14ac:dyDescent="0.25">
      <c r="A2263" s="76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90" t="str">
        <f>IF(VLOOKUP(UncLookup[[#This Row],[Item]],Items!$A$1:$F$43,2,FALSE)=0,"",VLOOKUP(UncLookup[[#This Row],[Item]],Items!$A$1:$F$43,2,FALSE))</f>
        <v/>
      </c>
      <c r="P2263" s="90" t="str">
        <f>IF(VLOOKUP(UncLookup[[#This Row],[Item]],Items!$A$1:$F$43,3,FALSE)=0,"",VLOOKUP(UncLookup[[#This Row],[Item]],Items!$A$1:$F$43,3,FALSE))</f>
        <v/>
      </c>
      <c r="Q2263" s="90" t="str">
        <f>IF(VLOOKUP(UncLookup[[#This Row],[Item]],Items!$A$1:$F$43,4,FALSE)=0,"",VLOOKUP(UncLookup[[#This Row],[Item]],Items!$A$1:$F$43,4,FALSE))</f>
        <v/>
      </c>
    </row>
    <row r="2264" spans="1:17" x14ac:dyDescent="0.25">
      <c r="A2264" s="75" t="s">
        <v>55</v>
      </c>
      <c r="B2264" s="75" t="s">
        <v>47</v>
      </c>
      <c r="C2264" s="75">
        <v>3.3E-3</v>
      </c>
      <c r="D2264" s="75">
        <v>3.3001000000000003E-2</v>
      </c>
      <c r="E2264" s="75">
        <v>1E-4</v>
      </c>
      <c r="F2264" s="75" t="s">
        <v>13</v>
      </c>
      <c r="G2264" s="75" t="s">
        <v>11</v>
      </c>
      <c r="H2264" s="75">
        <v>5</v>
      </c>
      <c r="I2264" s="75">
        <v>10.01</v>
      </c>
      <c r="J2264" s="75" t="s">
        <v>10</v>
      </c>
      <c r="K2264" s="75">
        <v>576.87</v>
      </c>
      <c r="L2264" s="75">
        <v>180.75</v>
      </c>
      <c r="M2264" s="75">
        <v>576.87</v>
      </c>
      <c r="N2264" s="75">
        <v>180.65</v>
      </c>
      <c r="O2264" s="90" t="str">
        <f>IF(VLOOKUP(UncLookup[[#This Row],[Item]],Items!$A$1:$F$43,2,FALSE)=0,"",VLOOKUP(UncLookup[[#This Row],[Item]],Items!$A$1:$F$43,2,FALSE))</f>
        <v/>
      </c>
      <c r="P2264" s="90" t="str">
        <f>IF(VLOOKUP(UncLookup[[#This Row],[Item]],Items!$A$1:$F$43,3,FALSE)=0,"",VLOOKUP(UncLookup[[#This Row],[Item]],Items!$A$1:$F$43,3,FALSE))</f>
        <v/>
      </c>
      <c r="Q2264" s="90" t="str">
        <f>IF(VLOOKUP(UncLookup[[#This Row],[Item]],Items!$A$1:$F$43,4,FALSE)=0,"",VLOOKUP(UncLookup[[#This Row],[Item]],Items!$A$1:$F$43,4,FALSE))</f>
        <v/>
      </c>
    </row>
    <row r="2265" spans="1:17" x14ac:dyDescent="0.25">
      <c r="A2265" s="76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90" t="str">
        <f>IF(VLOOKUP(UncLookup[[#This Row],[Item]],Items!$A$1:$F$43,2,FALSE)=0,"",VLOOKUP(UncLookup[[#This Row],[Item]],Items!$A$1:$F$43,2,FALSE))</f>
        <v/>
      </c>
      <c r="P2265" s="90" t="str">
        <f>IF(VLOOKUP(UncLookup[[#This Row],[Item]],Items!$A$1:$F$43,3,FALSE)=0,"",VLOOKUP(UncLookup[[#This Row],[Item]],Items!$A$1:$F$43,3,FALSE))</f>
        <v/>
      </c>
      <c r="Q2265" s="90" t="str">
        <f>IF(VLOOKUP(UncLookup[[#This Row],[Item]],Items!$A$1:$F$43,4,FALSE)=0,"",VLOOKUP(UncLookup[[#This Row],[Item]],Items!$A$1:$F$43,4,FALSE))</f>
        <v/>
      </c>
    </row>
    <row r="2266" spans="1:17" x14ac:dyDescent="0.25">
      <c r="A2266" s="75" t="s">
        <v>55</v>
      </c>
      <c r="B2266" s="75" t="s">
        <v>47</v>
      </c>
      <c r="C2266" s="75">
        <v>3.3E-3</v>
      </c>
      <c r="D2266" s="75">
        <v>3.3001000000000003E-2</v>
      </c>
      <c r="E2266" s="75">
        <v>1E-4</v>
      </c>
      <c r="F2266" s="75" t="s">
        <v>13</v>
      </c>
      <c r="G2266" s="75" t="s">
        <v>11</v>
      </c>
      <c r="H2266" s="75">
        <v>4.4999999999999998E-2</v>
      </c>
      <c r="I2266" s="75">
        <v>1.0000100000000001</v>
      </c>
      <c r="J2266" s="75" t="s">
        <v>10</v>
      </c>
      <c r="K2266" s="75">
        <v>577.34</v>
      </c>
      <c r="L2266" s="75">
        <v>8.7265999999999995</v>
      </c>
      <c r="M2266" s="75">
        <v>577.34</v>
      </c>
      <c r="N2266" s="75">
        <v>8.6681000000000008</v>
      </c>
      <c r="O2266" s="90" t="str">
        <f>IF(VLOOKUP(UncLookup[[#This Row],[Item]],Items!$A$1:$F$43,2,FALSE)=0,"",VLOOKUP(UncLookup[[#This Row],[Item]],Items!$A$1:$F$43,2,FALSE))</f>
        <v/>
      </c>
      <c r="P2266" s="90" t="str">
        <f>IF(VLOOKUP(UncLookup[[#This Row],[Item]],Items!$A$1:$F$43,3,FALSE)=0,"",VLOOKUP(UncLookup[[#This Row],[Item]],Items!$A$1:$F$43,3,FALSE))</f>
        <v/>
      </c>
      <c r="Q2266" s="90" t="str">
        <f>IF(VLOOKUP(UncLookup[[#This Row],[Item]],Items!$A$1:$F$43,4,FALSE)=0,"",VLOOKUP(UncLookup[[#This Row],[Item]],Items!$A$1:$F$43,4,FALSE))</f>
        <v/>
      </c>
    </row>
    <row r="2267" spans="1:17" x14ac:dyDescent="0.25">
      <c r="A2267" s="76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90" t="str">
        <f>IF(VLOOKUP(UncLookup[[#This Row],[Item]],Items!$A$1:$F$43,2,FALSE)=0,"",VLOOKUP(UncLookup[[#This Row],[Item]],Items!$A$1:$F$43,2,FALSE))</f>
        <v/>
      </c>
      <c r="P2267" s="90" t="str">
        <f>IF(VLOOKUP(UncLookup[[#This Row],[Item]],Items!$A$1:$F$43,3,FALSE)=0,"",VLOOKUP(UncLookup[[#This Row],[Item]],Items!$A$1:$F$43,3,FALSE))</f>
        <v/>
      </c>
      <c r="Q2267" s="90" t="str">
        <f>IF(VLOOKUP(UncLookup[[#This Row],[Item]],Items!$A$1:$F$43,4,FALSE)=0,"",VLOOKUP(UncLookup[[#This Row],[Item]],Items!$A$1:$F$43,4,FALSE))</f>
        <v/>
      </c>
    </row>
    <row r="2268" spans="1:17" x14ac:dyDescent="0.25">
      <c r="A2268" s="75" t="s">
        <v>55</v>
      </c>
      <c r="B2268" s="75" t="s">
        <v>47</v>
      </c>
      <c r="C2268" s="75">
        <v>3.3E-3</v>
      </c>
      <c r="D2268" s="75">
        <v>3.3001000000000003E-2</v>
      </c>
      <c r="E2268" s="75">
        <v>1E-4</v>
      </c>
      <c r="F2268" s="75" t="s">
        <v>13</v>
      </c>
      <c r="G2268" s="75" t="s">
        <v>11</v>
      </c>
      <c r="H2268" s="75">
        <v>0.01</v>
      </c>
      <c r="I2268" s="75">
        <v>2.001E-2</v>
      </c>
      <c r="J2268" s="75" t="s">
        <v>10</v>
      </c>
      <c r="K2268" s="75">
        <v>576.95000000000005</v>
      </c>
      <c r="L2268" s="75">
        <v>144.81</v>
      </c>
      <c r="M2268" s="75">
        <v>576.95000000000005</v>
      </c>
      <c r="N2268" s="75">
        <v>144.75</v>
      </c>
      <c r="O2268" s="90" t="str">
        <f>IF(VLOOKUP(UncLookup[[#This Row],[Item]],Items!$A$1:$F$43,2,FALSE)=0,"",VLOOKUP(UncLookup[[#This Row],[Item]],Items!$A$1:$F$43,2,FALSE))</f>
        <v/>
      </c>
      <c r="P2268" s="90" t="str">
        <f>IF(VLOOKUP(UncLookup[[#This Row],[Item]],Items!$A$1:$F$43,3,FALSE)=0,"",VLOOKUP(UncLookup[[#This Row],[Item]],Items!$A$1:$F$43,3,FALSE))</f>
        <v/>
      </c>
      <c r="Q2268" s="90" t="str">
        <f>IF(VLOOKUP(UncLookup[[#This Row],[Item]],Items!$A$1:$F$43,4,FALSE)=0,"",VLOOKUP(UncLookup[[#This Row],[Item]],Items!$A$1:$F$43,4,FALSE))</f>
        <v/>
      </c>
    </row>
    <row r="2269" spans="1:17" x14ac:dyDescent="0.25">
      <c r="A2269" s="76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90" t="str">
        <f>IF(VLOOKUP(UncLookup[[#This Row],[Item]],Items!$A$1:$F$43,2,FALSE)=0,"",VLOOKUP(UncLookup[[#This Row],[Item]],Items!$A$1:$F$43,2,FALSE))</f>
        <v/>
      </c>
      <c r="P2269" s="90" t="str">
        <f>IF(VLOOKUP(UncLookup[[#This Row],[Item]],Items!$A$1:$F$43,3,FALSE)=0,"",VLOOKUP(UncLookup[[#This Row],[Item]],Items!$A$1:$F$43,3,FALSE))</f>
        <v/>
      </c>
      <c r="Q2269" s="90" t="str">
        <f>IF(VLOOKUP(UncLookup[[#This Row],[Item]],Items!$A$1:$F$43,4,FALSE)=0,"",VLOOKUP(UncLookup[[#This Row],[Item]],Items!$A$1:$F$43,4,FALSE))</f>
        <v/>
      </c>
    </row>
    <row r="2270" spans="1:17" x14ac:dyDescent="0.25">
      <c r="A2270" s="75" t="s">
        <v>55</v>
      </c>
      <c r="B2270" s="75" t="s">
        <v>47</v>
      </c>
      <c r="C2270" s="75">
        <v>3.3000000000000002E-2</v>
      </c>
      <c r="D2270" s="75">
        <v>0.33001000000000003</v>
      </c>
      <c r="E2270" s="75">
        <v>9.9999999999999995E-7</v>
      </c>
      <c r="F2270" s="75" t="s">
        <v>13</v>
      </c>
      <c r="G2270" s="75" t="s">
        <v>12</v>
      </c>
      <c r="H2270" s="75">
        <v>5</v>
      </c>
      <c r="I2270" s="75">
        <v>10.01</v>
      </c>
      <c r="J2270" s="75" t="s">
        <v>10</v>
      </c>
      <c r="K2270" s="75">
        <v>0.12</v>
      </c>
      <c r="L2270" s="75">
        <v>2.2999999999999998</v>
      </c>
      <c r="M2270" s="75">
        <v>0.11543</v>
      </c>
      <c r="N2270" s="75">
        <v>2.3113999999999999</v>
      </c>
      <c r="O2270" s="90" t="str">
        <f>IF(VLOOKUP(UncLookup[[#This Row],[Item]],Items!$A$1:$F$43,2,FALSE)=0,"",VLOOKUP(UncLookup[[#This Row],[Item]],Items!$A$1:$F$43,2,FALSE))</f>
        <v/>
      </c>
      <c r="P2270" s="90" t="str">
        <f>IF(VLOOKUP(UncLookup[[#This Row],[Item]],Items!$A$1:$F$43,3,FALSE)=0,"",VLOOKUP(UncLookup[[#This Row],[Item]],Items!$A$1:$F$43,3,FALSE))</f>
        <v/>
      </c>
      <c r="Q2270" s="90" t="str">
        <f>IF(VLOOKUP(UncLookup[[#This Row],[Item]],Items!$A$1:$F$43,4,FALSE)=0,"",VLOOKUP(UncLookup[[#This Row],[Item]],Items!$A$1:$F$43,4,FALSE))</f>
        <v/>
      </c>
    </row>
    <row r="2271" spans="1:17" x14ac:dyDescent="0.25">
      <c r="A2271" s="76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90" t="str">
        <f>IF(VLOOKUP(UncLookup[[#This Row],[Item]],Items!$A$1:$F$43,2,FALSE)=0,"",VLOOKUP(UncLookup[[#This Row],[Item]],Items!$A$1:$F$43,2,FALSE))</f>
        <v/>
      </c>
      <c r="P2271" s="90" t="str">
        <f>IF(VLOOKUP(UncLookup[[#This Row],[Item]],Items!$A$1:$F$43,3,FALSE)=0,"",VLOOKUP(UncLookup[[#This Row],[Item]],Items!$A$1:$F$43,3,FALSE))</f>
        <v/>
      </c>
      <c r="Q2271" s="90" t="str">
        <f>IF(VLOOKUP(UncLookup[[#This Row],[Item]],Items!$A$1:$F$43,4,FALSE)=0,"",VLOOKUP(UncLookup[[#This Row],[Item]],Items!$A$1:$F$43,4,FALSE))</f>
        <v/>
      </c>
    </row>
    <row r="2272" spans="1:17" x14ac:dyDescent="0.25">
      <c r="A2272" s="75" t="s">
        <v>55</v>
      </c>
      <c r="B2272" s="75" t="s">
        <v>47</v>
      </c>
      <c r="C2272" s="75">
        <v>3.3000000000000002E-2</v>
      </c>
      <c r="D2272" s="75">
        <v>0.33001000000000003</v>
      </c>
      <c r="E2272" s="75">
        <v>9.9999999999999995E-7</v>
      </c>
      <c r="F2272" s="75" t="s">
        <v>13</v>
      </c>
      <c r="G2272" s="75" t="s">
        <v>12</v>
      </c>
      <c r="H2272" s="75">
        <v>4.4999999999999998E-2</v>
      </c>
      <c r="I2272" s="75">
        <v>1.0000100000000001</v>
      </c>
      <c r="J2272" s="75" t="s">
        <v>10</v>
      </c>
      <c r="K2272" s="75">
        <v>2.4E-2</v>
      </c>
      <c r="L2272" s="75">
        <v>0.47</v>
      </c>
      <c r="M2272" s="75">
        <v>2.282E-2</v>
      </c>
      <c r="N2272" s="75">
        <v>0.47204000000000002</v>
      </c>
      <c r="O2272" s="90" t="str">
        <f>IF(VLOOKUP(UncLookup[[#This Row],[Item]],Items!$A$1:$F$43,2,FALSE)=0,"",VLOOKUP(UncLookup[[#This Row],[Item]],Items!$A$1:$F$43,2,FALSE))</f>
        <v/>
      </c>
      <c r="P2272" s="90" t="str">
        <f>IF(VLOOKUP(UncLookup[[#This Row],[Item]],Items!$A$1:$F$43,3,FALSE)=0,"",VLOOKUP(UncLookup[[#This Row],[Item]],Items!$A$1:$F$43,3,FALSE))</f>
        <v/>
      </c>
      <c r="Q2272" s="90" t="str">
        <f>IF(VLOOKUP(UncLookup[[#This Row],[Item]],Items!$A$1:$F$43,4,FALSE)=0,"",VLOOKUP(UncLookup[[#This Row],[Item]],Items!$A$1:$F$43,4,FALSE))</f>
        <v/>
      </c>
    </row>
    <row r="2273" spans="1:17" x14ac:dyDescent="0.25">
      <c r="A2273" s="76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90" t="str">
        <f>IF(VLOOKUP(UncLookup[[#This Row],[Item]],Items!$A$1:$F$43,2,FALSE)=0,"",VLOOKUP(UncLookup[[#This Row],[Item]],Items!$A$1:$F$43,2,FALSE))</f>
        <v/>
      </c>
      <c r="P2273" s="90" t="str">
        <f>IF(VLOOKUP(UncLookup[[#This Row],[Item]],Items!$A$1:$F$43,3,FALSE)=0,"",VLOOKUP(UncLookup[[#This Row],[Item]],Items!$A$1:$F$43,3,FALSE))</f>
        <v/>
      </c>
      <c r="Q2273" s="90" t="str">
        <f>IF(VLOOKUP(UncLookup[[#This Row],[Item]],Items!$A$1:$F$43,4,FALSE)=0,"",VLOOKUP(UncLookup[[#This Row],[Item]],Items!$A$1:$F$43,4,FALSE))</f>
        <v/>
      </c>
    </row>
    <row r="2274" spans="1:17" x14ac:dyDescent="0.25">
      <c r="A2274" s="75" t="s">
        <v>55</v>
      </c>
      <c r="B2274" s="75" t="s">
        <v>47</v>
      </c>
      <c r="C2274" s="75">
        <v>3.3000000000000002E-2</v>
      </c>
      <c r="D2274" s="75">
        <v>0.33001000000000003</v>
      </c>
      <c r="E2274" s="75">
        <v>9.9999999999999995E-7</v>
      </c>
      <c r="F2274" s="75" t="s">
        <v>13</v>
      </c>
      <c r="G2274" s="75" t="s">
        <v>12</v>
      </c>
      <c r="H2274" s="75">
        <v>30</v>
      </c>
      <c r="I2274" s="75">
        <v>30.01</v>
      </c>
      <c r="J2274" s="75" t="s">
        <v>10</v>
      </c>
      <c r="K2274" s="75">
        <v>0.24</v>
      </c>
      <c r="L2274" s="75">
        <v>4.5999999999999996</v>
      </c>
      <c r="M2274" s="75">
        <v>0.23085</v>
      </c>
      <c r="N2274" s="75">
        <v>4.6219000000000001</v>
      </c>
      <c r="O2274" s="90" t="str">
        <f>IF(VLOOKUP(UncLookup[[#This Row],[Item]],Items!$A$1:$F$43,2,FALSE)=0,"",VLOOKUP(UncLookup[[#This Row],[Item]],Items!$A$1:$F$43,2,FALSE))</f>
        <v/>
      </c>
      <c r="P2274" s="90" t="str">
        <f>IF(VLOOKUP(UncLookup[[#This Row],[Item]],Items!$A$1:$F$43,3,FALSE)=0,"",VLOOKUP(UncLookup[[#This Row],[Item]],Items!$A$1:$F$43,3,FALSE))</f>
        <v/>
      </c>
      <c r="Q2274" s="90" t="str">
        <f>IF(VLOOKUP(UncLookup[[#This Row],[Item]],Items!$A$1:$F$43,4,FALSE)=0,"",VLOOKUP(UncLookup[[#This Row],[Item]],Items!$A$1:$F$43,4,FALSE))</f>
        <v/>
      </c>
    </row>
    <row r="2275" spans="1:17" x14ac:dyDescent="0.25">
      <c r="A2275" s="76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90" t="str">
        <f>IF(VLOOKUP(UncLookup[[#This Row],[Item]],Items!$A$1:$F$43,2,FALSE)=0,"",VLOOKUP(UncLookup[[#This Row],[Item]],Items!$A$1:$F$43,2,FALSE))</f>
        <v/>
      </c>
      <c r="P2275" s="90" t="str">
        <f>IF(VLOOKUP(UncLookup[[#This Row],[Item]],Items!$A$1:$F$43,3,FALSE)=0,"",VLOOKUP(UncLookup[[#This Row],[Item]],Items!$A$1:$F$43,3,FALSE))</f>
        <v/>
      </c>
      <c r="Q2275" s="90" t="str">
        <f>IF(VLOOKUP(UncLookup[[#This Row],[Item]],Items!$A$1:$F$43,4,FALSE)=0,"",VLOOKUP(UncLookup[[#This Row],[Item]],Items!$A$1:$F$43,4,FALSE))</f>
        <v/>
      </c>
    </row>
    <row r="2276" spans="1:17" x14ac:dyDescent="0.25">
      <c r="A2276" s="75" t="s">
        <v>55</v>
      </c>
      <c r="B2276" s="75" t="s">
        <v>47</v>
      </c>
      <c r="C2276" s="75">
        <v>3.3000000000000002E-2</v>
      </c>
      <c r="D2276" s="75">
        <v>0.33001000000000003</v>
      </c>
      <c r="E2276" s="75">
        <v>1.0000000000000001E-5</v>
      </c>
      <c r="F2276" s="75" t="s">
        <v>13</v>
      </c>
      <c r="G2276" s="75" t="s">
        <v>12</v>
      </c>
      <c r="H2276" s="75">
        <v>4.4999999999999998E-2</v>
      </c>
      <c r="I2276" s="75">
        <v>1.0000100000000001</v>
      </c>
      <c r="J2276" s="75" t="s">
        <v>10</v>
      </c>
      <c r="K2276" s="75">
        <v>2.4E-2</v>
      </c>
      <c r="L2276" s="75">
        <v>0.47</v>
      </c>
      <c r="M2276" s="75">
        <v>2.3285E-2</v>
      </c>
      <c r="N2276" s="75">
        <v>0.47091</v>
      </c>
      <c r="O2276" s="90" t="str">
        <f>IF(VLOOKUP(UncLookup[[#This Row],[Item]],Items!$A$1:$F$43,2,FALSE)=0,"",VLOOKUP(UncLookup[[#This Row],[Item]],Items!$A$1:$F$43,2,FALSE))</f>
        <v/>
      </c>
      <c r="P2276" s="90" t="str">
        <f>IF(VLOOKUP(UncLookup[[#This Row],[Item]],Items!$A$1:$F$43,3,FALSE)=0,"",VLOOKUP(UncLookup[[#This Row],[Item]],Items!$A$1:$F$43,3,FALSE))</f>
        <v/>
      </c>
      <c r="Q2276" s="90" t="str">
        <f>IF(VLOOKUP(UncLookup[[#This Row],[Item]],Items!$A$1:$F$43,4,FALSE)=0,"",VLOOKUP(UncLookup[[#This Row],[Item]],Items!$A$1:$F$43,4,FALSE))</f>
        <v/>
      </c>
    </row>
    <row r="2277" spans="1:17" x14ac:dyDescent="0.25">
      <c r="A2277" s="76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90" t="str">
        <f>IF(VLOOKUP(UncLookup[[#This Row],[Item]],Items!$A$1:$F$43,2,FALSE)=0,"",VLOOKUP(UncLookup[[#This Row],[Item]],Items!$A$1:$F$43,2,FALSE))</f>
        <v/>
      </c>
      <c r="P2277" s="90" t="str">
        <f>IF(VLOOKUP(UncLookup[[#This Row],[Item]],Items!$A$1:$F$43,3,FALSE)=0,"",VLOOKUP(UncLookup[[#This Row],[Item]],Items!$A$1:$F$43,3,FALSE))</f>
        <v/>
      </c>
      <c r="Q2277" s="90" t="str">
        <f>IF(VLOOKUP(UncLookup[[#This Row],[Item]],Items!$A$1:$F$43,4,FALSE)=0,"",VLOOKUP(UncLookup[[#This Row],[Item]],Items!$A$1:$F$43,4,FALSE))</f>
        <v/>
      </c>
    </row>
    <row r="2278" spans="1:17" x14ac:dyDescent="0.25">
      <c r="A2278" s="75" t="s">
        <v>55</v>
      </c>
      <c r="B2278" s="75" t="s">
        <v>47</v>
      </c>
      <c r="C2278" s="75">
        <v>3.3000000000000002E-2</v>
      </c>
      <c r="D2278" s="75">
        <v>0.33001000000000003</v>
      </c>
      <c r="E2278" s="75">
        <v>1.0000000000000001E-5</v>
      </c>
      <c r="F2278" s="75" t="s">
        <v>13</v>
      </c>
      <c r="G2278" s="75" t="s">
        <v>12</v>
      </c>
      <c r="H2278" s="75">
        <v>0.01</v>
      </c>
      <c r="I2278" s="75">
        <v>2.001E-2</v>
      </c>
      <c r="J2278" s="75" t="s">
        <v>10</v>
      </c>
      <c r="K2278" s="75">
        <v>2.3E-2</v>
      </c>
      <c r="L2278" s="75">
        <v>2.1</v>
      </c>
      <c r="M2278" s="75">
        <v>2.3129E-2</v>
      </c>
      <c r="N2278" s="75">
        <v>2.0901000000000001</v>
      </c>
      <c r="O2278" s="90" t="str">
        <f>IF(VLOOKUP(UncLookup[[#This Row],[Item]],Items!$A$1:$F$43,2,FALSE)=0,"",VLOOKUP(UncLookup[[#This Row],[Item]],Items!$A$1:$F$43,2,FALSE))</f>
        <v/>
      </c>
      <c r="P2278" s="90" t="str">
        <f>IF(VLOOKUP(UncLookup[[#This Row],[Item]],Items!$A$1:$F$43,3,FALSE)=0,"",VLOOKUP(UncLookup[[#This Row],[Item]],Items!$A$1:$F$43,3,FALSE))</f>
        <v/>
      </c>
      <c r="Q2278" s="90" t="str">
        <f>IF(VLOOKUP(UncLookup[[#This Row],[Item]],Items!$A$1:$F$43,4,FALSE)=0,"",VLOOKUP(UncLookup[[#This Row],[Item]],Items!$A$1:$F$43,4,FALSE))</f>
        <v/>
      </c>
    </row>
    <row r="2279" spans="1:17" x14ac:dyDescent="0.25">
      <c r="A2279" s="76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90" t="str">
        <f>IF(VLOOKUP(UncLookup[[#This Row],[Item]],Items!$A$1:$F$43,2,FALSE)=0,"",VLOOKUP(UncLookup[[#This Row],[Item]],Items!$A$1:$F$43,2,FALSE))</f>
        <v/>
      </c>
      <c r="P2279" s="90" t="str">
        <f>IF(VLOOKUP(UncLookup[[#This Row],[Item]],Items!$A$1:$F$43,3,FALSE)=0,"",VLOOKUP(UncLookup[[#This Row],[Item]],Items!$A$1:$F$43,3,FALSE))</f>
        <v/>
      </c>
      <c r="Q2279" s="90" t="str">
        <f>IF(VLOOKUP(UncLookup[[#This Row],[Item]],Items!$A$1:$F$43,4,FALSE)=0,"",VLOOKUP(UncLookup[[#This Row],[Item]],Items!$A$1:$F$43,4,FALSE))</f>
        <v/>
      </c>
    </row>
    <row r="2280" spans="1:17" x14ac:dyDescent="0.25">
      <c r="A2280" s="75" t="s">
        <v>55</v>
      </c>
      <c r="B2280" s="75" t="s">
        <v>47</v>
      </c>
      <c r="C2280" s="75">
        <v>3.3000000000000002E-2</v>
      </c>
      <c r="D2280" s="75">
        <v>0.33001000000000003</v>
      </c>
      <c r="E2280" s="75">
        <v>1.0000000000000001E-5</v>
      </c>
      <c r="F2280" s="75" t="s">
        <v>13</v>
      </c>
      <c r="G2280" s="75" t="s">
        <v>12</v>
      </c>
      <c r="H2280" s="75">
        <v>0.02</v>
      </c>
      <c r="I2280" s="75">
        <v>4.5010000000000001E-2</v>
      </c>
      <c r="J2280" s="75" t="s">
        <v>10</v>
      </c>
      <c r="K2280" s="75">
        <v>3.7999999999999999E-2</v>
      </c>
      <c r="L2280" s="75">
        <v>1</v>
      </c>
      <c r="M2280" s="75">
        <v>2.3358E-2</v>
      </c>
      <c r="N2280" s="75">
        <v>1.0427999999999999</v>
      </c>
      <c r="O2280" s="90" t="str">
        <f>IF(VLOOKUP(UncLookup[[#This Row],[Item]],Items!$A$1:$F$43,2,FALSE)=0,"",VLOOKUP(UncLookup[[#This Row],[Item]],Items!$A$1:$F$43,2,FALSE))</f>
        <v/>
      </c>
      <c r="P2280" s="90" t="str">
        <f>IF(VLOOKUP(UncLookup[[#This Row],[Item]],Items!$A$1:$F$43,3,FALSE)=0,"",VLOOKUP(UncLookup[[#This Row],[Item]],Items!$A$1:$F$43,3,FALSE))</f>
        <v/>
      </c>
      <c r="Q2280" s="90" t="str">
        <f>IF(VLOOKUP(UncLookup[[#This Row],[Item]],Items!$A$1:$F$43,4,FALSE)=0,"",VLOOKUP(UncLookup[[#This Row],[Item]],Items!$A$1:$F$43,4,FALSE))</f>
        <v/>
      </c>
    </row>
    <row r="2281" spans="1:17" x14ac:dyDescent="0.25">
      <c r="A2281" s="76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90" t="str">
        <f>IF(VLOOKUP(UncLookup[[#This Row],[Item]],Items!$A$1:$F$43,2,FALSE)=0,"",VLOOKUP(UncLookup[[#This Row],[Item]],Items!$A$1:$F$43,2,FALSE))</f>
        <v/>
      </c>
      <c r="P2281" s="90" t="str">
        <f>IF(VLOOKUP(UncLookup[[#This Row],[Item]],Items!$A$1:$F$43,3,FALSE)=0,"",VLOOKUP(UncLookup[[#This Row],[Item]],Items!$A$1:$F$43,3,FALSE))</f>
        <v/>
      </c>
      <c r="Q2281" s="90" t="str">
        <f>IF(VLOOKUP(UncLookup[[#This Row],[Item]],Items!$A$1:$F$43,4,FALSE)=0,"",VLOOKUP(UncLookup[[#This Row],[Item]],Items!$A$1:$F$43,4,FALSE))</f>
        <v/>
      </c>
    </row>
    <row r="2282" spans="1:17" x14ac:dyDescent="0.25">
      <c r="A2282" s="75" t="s">
        <v>55</v>
      </c>
      <c r="B2282" s="75" t="s">
        <v>47</v>
      </c>
      <c r="C2282" s="75">
        <v>3.3000000000000002E-2</v>
      </c>
      <c r="D2282" s="75">
        <v>0.33001000000000003</v>
      </c>
      <c r="E2282" s="75">
        <v>1.0000000000000001E-5</v>
      </c>
      <c r="F2282" s="75" t="s">
        <v>13</v>
      </c>
      <c r="G2282" s="75" t="s">
        <v>12</v>
      </c>
      <c r="H2282" s="75">
        <v>10</v>
      </c>
      <c r="I2282" s="75">
        <v>30</v>
      </c>
      <c r="J2282" s="75" t="s">
        <v>10</v>
      </c>
      <c r="K2282" s="75">
        <v>0.24</v>
      </c>
      <c r="L2282" s="75">
        <v>4.5999999999999996</v>
      </c>
      <c r="M2282" s="75">
        <v>0.23089999999999999</v>
      </c>
      <c r="N2282" s="75">
        <v>4.6218000000000004</v>
      </c>
      <c r="O2282" s="90" t="str">
        <f>IF(VLOOKUP(UncLookup[[#This Row],[Item]],Items!$A$1:$F$43,2,FALSE)=0,"",VLOOKUP(UncLookup[[#This Row],[Item]],Items!$A$1:$F$43,2,FALSE))</f>
        <v/>
      </c>
      <c r="P2282" s="90" t="str">
        <f>IF(VLOOKUP(UncLookup[[#This Row],[Item]],Items!$A$1:$F$43,3,FALSE)=0,"",VLOOKUP(UncLookup[[#This Row],[Item]],Items!$A$1:$F$43,3,FALSE))</f>
        <v/>
      </c>
      <c r="Q2282" s="90" t="str">
        <f>IF(VLOOKUP(UncLookup[[#This Row],[Item]],Items!$A$1:$F$43,4,FALSE)=0,"",VLOOKUP(UncLookup[[#This Row],[Item]],Items!$A$1:$F$43,4,FALSE))</f>
        <v/>
      </c>
    </row>
    <row r="2283" spans="1:17" x14ac:dyDescent="0.25">
      <c r="A2283" s="76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90" t="str">
        <f>IF(VLOOKUP(UncLookup[[#This Row],[Item]],Items!$A$1:$F$43,2,FALSE)=0,"",VLOOKUP(UncLookup[[#This Row],[Item]],Items!$A$1:$F$43,2,FALSE))</f>
        <v/>
      </c>
      <c r="P2283" s="90" t="str">
        <f>IF(VLOOKUP(UncLookup[[#This Row],[Item]],Items!$A$1:$F$43,3,FALSE)=0,"",VLOOKUP(UncLookup[[#This Row],[Item]],Items!$A$1:$F$43,3,FALSE))</f>
        <v/>
      </c>
      <c r="Q2283" s="90" t="str">
        <f>IF(VLOOKUP(UncLookup[[#This Row],[Item]],Items!$A$1:$F$43,4,FALSE)=0,"",VLOOKUP(UncLookup[[#This Row],[Item]],Items!$A$1:$F$43,4,FALSE))</f>
        <v/>
      </c>
    </row>
    <row r="2284" spans="1:17" x14ac:dyDescent="0.25">
      <c r="A2284" s="75" t="s">
        <v>55</v>
      </c>
      <c r="B2284" s="75" t="s">
        <v>47</v>
      </c>
      <c r="C2284" s="75">
        <v>3.3000000000000002E-2</v>
      </c>
      <c r="D2284" s="75">
        <v>0.33001000000000003</v>
      </c>
      <c r="E2284" s="75">
        <v>1E-4</v>
      </c>
      <c r="F2284" s="75" t="s">
        <v>13</v>
      </c>
      <c r="G2284" s="75" t="s">
        <v>12</v>
      </c>
      <c r="H2284" s="75">
        <v>0.02</v>
      </c>
      <c r="I2284" s="75">
        <v>4.5010000000000001E-2</v>
      </c>
      <c r="J2284" s="75" t="s">
        <v>10</v>
      </c>
      <c r="K2284" s="75">
        <v>4.9202999999999997E-2</v>
      </c>
      <c r="L2284" s="75">
        <v>0.97804000000000002</v>
      </c>
      <c r="M2284" s="75">
        <v>4.9192E-2</v>
      </c>
      <c r="N2284" s="75">
        <v>0.97804000000000002</v>
      </c>
      <c r="O2284" s="90" t="str">
        <f>IF(VLOOKUP(UncLookup[[#This Row],[Item]],Items!$A$1:$F$43,2,FALSE)=0,"",VLOOKUP(UncLookup[[#This Row],[Item]],Items!$A$1:$F$43,2,FALSE))</f>
        <v/>
      </c>
      <c r="P2284" s="90" t="str">
        <f>IF(VLOOKUP(UncLookup[[#This Row],[Item]],Items!$A$1:$F$43,3,FALSE)=0,"",VLOOKUP(UncLookup[[#This Row],[Item]],Items!$A$1:$F$43,3,FALSE))</f>
        <v/>
      </c>
      <c r="Q2284" s="90" t="str">
        <f>IF(VLOOKUP(UncLookup[[#This Row],[Item]],Items!$A$1:$F$43,4,FALSE)=0,"",VLOOKUP(UncLookup[[#This Row],[Item]],Items!$A$1:$F$43,4,FALSE))</f>
        <v/>
      </c>
    </row>
    <row r="2285" spans="1:17" x14ac:dyDescent="0.25">
      <c r="A2285" s="76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90" t="str">
        <f>IF(VLOOKUP(UncLookup[[#This Row],[Item]],Items!$A$1:$F$43,2,FALSE)=0,"",VLOOKUP(UncLookup[[#This Row],[Item]],Items!$A$1:$F$43,2,FALSE))</f>
        <v/>
      </c>
      <c r="P2285" s="90" t="str">
        <f>IF(VLOOKUP(UncLookup[[#This Row],[Item]],Items!$A$1:$F$43,3,FALSE)=0,"",VLOOKUP(UncLookup[[#This Row],[Item]],Items!$A$1:$F$43,3,FALSE))</f>
        <v/>
      </c>
      <c r="Q2285" s="90" t="str">
        <f>IF(VLOOKUP(UncLookup[[#This Row],[Item]],Items!$A$1:$F$43,4,FALSE)=0,"",VLOOKUP(UncLookup[[#This Row],[Item]],Items!$A$1:$F$43,4,FALSE))</f>
        <v/>
      </c>
    </row>
    <row r="2286" spans="1:17" x14ac:dyDescent="0.25">
      <c r="A2286" s="75" t="s">
        <v>55</v>
      </c>
      <c r="B2286" s="75" t="s">
        <v>47</v>
      </c>
      <c r="C2286" s="75">
        <v>3.3000000000000002E-2</v>
      </c>
      <c r="D2286" s="75">
        <v>0.33001000000000003</v>
      </c>
      <c r="E2286" s="75">
        <v>1E-4</v>
      </c>
      <c r="F2286" s="75" t="s">
        <v>13</v>
      </c>
      <c r="G2286" s="75" t="s">
        <v>12</v>
      </c>
      <c r="H2286" s="75">
        <v>10</v>
      </c>
      <c r="I2286" s="75">
        <v>30</v>
      </c>
      <c r="J2286" s="75" t="s">
        <v>10</v>
      </c>
      <c r="K2286" s="75">
        <v>0.24</v>
      </c>
      <c r="L2286" s="75">
        <v>4.5999999999999996</v>
      </c>
      <c r="M2286" s="75">
        <v>0.23555999999999999</v>
      </c>
      <c r="N2286" s="75">
        <v>4.6105</v>
      </c>
      <c r="O2286" s="90" t="str">
        <f>IF(VLOOKUP(UncLookup[[#This Row],[Item]],Items!$A$1:$F$43,2,FALSE)=0,"",VLOOKUP(UncLookup[[#This Row],[Item]],Items!$A$1:$F$43,2,FALSE))</f>
        <v/>
      </c>
      <c r="P2286" s="90" t="str">
        <f>IF(VLOOKUP(UncLookup[[#This Row],[Item]],Items!$A$1:$F$43,3,FALSE)=0,"",VLOOKUP(UncLookup[[#This Row],[Item]],Items!$A$1:$F$43,3,FALSE))</f>
        <v/>
      </c>
      <c r="Q2286" s="90" t="str">
        <f>IF(VLOOKUP(UncLookup[[#This Row],[Item]],Items!$A$1:$F$43,4,FALSE)=0,"",VLOOKUP(UncLookup[[#This Row],[Item]],Items!$A$1:$F$43,4,FALSE))</f>
        <v/>
      </c>
    </row>
    <row r="2287" spans="1:17" x14ac:dyDescent="0.25">
      <c r="A2287" s="76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90" t="str">
        <f>IF(VLOOKUP(UncLookup[[#This Row],[Item]],Items!$A$1:$F$43,2,FALSE)=0,"",VLOOKUP(UncLookup[[#This Row],[Item]],Items!$A$1:$F$43,2,FALSE))</f>
        <v/>
      </c>
      <c r="P2287" s="90" t="str">
        <f>IF(VLOOKUP(UncLookup[[#This Row],[Item]],Items!$A$1:$F$43,3,FALSE)=0,"",VLOOKUP(UncLookup[[#This Row],[Item]],Items!$A$1:$F$43,3,FALSE))</f>
        <v/>
      </c>
      <c r="Q2287" s="90" t="str">
        <f>IF(VLOOKUP(UncLookup[[#This Row],[Item]],Items!$A$1:$F$43,4,FALSE)=0,"",VLOOKUP(UncLookup[[#This Row],[Item]],Items!$A$1:$F$43,4,FALSE))</f>
        <v/>
      </c>
    </row>
    <row r="2288" spans="1:17" x14ac:dyDescent="0.25">
      <c r="A2288" s="75" t="s">
        <v>55</v>
      </c>
      <c r="B2288" s="75" t="s">
        <v>47</v>
      </c>
      <c r="C2288" s="75">
        <v>3.3000000000000002E-2</v>
      </c>
      <c r="D2288" s="75">
        <v>0.33001000000000003</v>
      </c>
      <c r="E2288" s="75">
        <v>1E-4</v>
      </c>
      <c r="F2288" s="75" t="s">
        <v>13</v>
      </c>
      <c r="G2288" s="75" t="s">
        <v>12</v>
      </c>
      <c r="H2288" s="75">
        <v>30</v>
      </c>
      <c r="I2288" s="75">
        <v>30.01</v>
      </c>
      <c r="J2288" s="75" t="s">
        <v>10</v>
      </c>
      <c r="K2288" s="75">
        <v>0.24</v>
      </c>
      <c r="L2288" s="75">
        <v>4.5999999999999996</v>
      </c>
      <c r="M2288" s="75">
        <v>0.23555999999999999</v>
      </c>
      <c r="N2288" s="75">
        <v>4.6105</v>
      </c>
      <c r="O2288" s="90" t="str">
        <f>IF(VLOOKUP(UncLookup[[#This Row],[Item]],Items!$A$1:$F$43,2,FALSE)=0,"",VLOOKUP(UncLookup[[#This Row],[Item]],Items!$A$1:$F$43,2,FALSE))</f>
        <v/>
      </c>
      <c r="P2288" s="90" t="str">
        <f>IF(VLOOKUP(UncLookup[[#This Row],[Item]],Items!$A$1:$F$43,3,FALSE)=0,"",VLOOKUP(UncLookup[[#This Row],[Item]],Items!$A$1:$F$43,3,FALSE))</f>
        <v/>
      </c>
      <c r="Q2288" s="90" t="str">
        <f>IF(VLOOKUP(UncLookup[[#This Row],[Item]],Items!$A$1:$F$43,4,FALSE)=0,"",VLOOKUP(UncLookup[[#This Row],[Item]],Items!$A$1:$F$43,4,FALSE))</f>
        <v/>
      </c>
    </row>
    <row r="2289" spans="1:17" x14ac:dyDescent="0.25">
      <c r="A2289" s="76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90" t="str">
        <f>IF(VLOOKUP(UncLookup[[#This Row],[Item]],Items!$A$1:$F$43,2,FALSE)=0,"",VLOOKUP(UncLookup[[#This Row],[Item]],Items!$A$1:$F$43,2,FALSE))</f>
        <v/>
      </c>
      <c r="P2289" s="90" t="str">
        <f>IF(VLOOKUP(UncLookup[[#This Row],[Item]],Items!$A$1:$F$43,3,FALSE)=0,"",VLOOKUP(UncLookup[[#This Row],[Item]],Items!$A$1:$F$43,3,FALSE))</f>
        <v/>
      </c>
      <c r="Q2289" s="90" t="str">
        <f>IF(VLOOKUP(UncLookup[[#This Row],[Item]],Items!$A$1:$F$43,4,FALSE)=0,"",VLOOKUP(UncLookup[[#This Row],[Item]],Items!$A$1:$F$43,4,FALSE))</f>
        <v/>
      </c>
    </row>
    <row r="2290" spans="1:17" x14ac:dyDescent="0.25">
      <c r="A2290" s="75" t="s">
        <v>55</v>
      </c>
      <c r="B2290" s="75" t="s">
        <v>47</v>
      </c>
      <c r="C2290" s="75">
        <v>3.3000000000000002E-2</v>
      </c>
      <c r="D2290" s="75">
        <v>0.33001000000000003</v>
      </c>
      <c r="E2290" s="75">
        <v>1E-3</v>
      </c>
      <c r="F2290" s="75" t="s">
        <v>13</v>
      </c>
      <c r="G2290" s="75" t="s">
        <v>12</v>
      </c>
      <c r="H2290" s="75">
        <v>0.02</v>
      </c>
      <c r="I2290" s="75">
        <v>4.5010000000000001E-2</v>
      </c>
      <c r="J2290" s="75" t="s">
        <v>10</v>
      </c>
      <c r="K2290" s="75">
        <v>0.56864000000000003</v>
      </c>
      <c r="L2290" s="75">
        <v>0.35072999999999999</v>
      </c>
      <c r="M2290" s="75">
        <v>0.56864000000000003</v>
      </c>
      <c r="N2290" s="75">
        <v>0.35067999999999999</v>
      </c>
      <c r="O2290" s="90" t="str">
        <f>IF(VLOOKUP(UncLookup[[#This Row],[Item]],Items!$A$1:$F$43,2,FALSE)=0,"",VLOOKUP(UncLookup[[#This Row],[Item]],Items!$A$1:$F$43,2,FALSE))</f>
        <v/>
      </c>
      <c r="P2290" s="90" t="str">
        <f>IF(VLOOKUP(UncLookup[[#This Row],[Item]],Items!$A$1:$F$43,3,FALSE)=0,"",VLOOKUP(UncLookup[[#This Row],[Item]],Items!$A$1:$F$43,3,FALSE))</f>
        <v/>
      </c>
      <c r="Q2290" s="90" t="str">
        <f>IF(VLOOKUP(UncLookup[[#This Row],[Item]],Items!$A$1:$F$43,4,FALSE)=0,"",VLOOKUP(UncLookup[[#This Row],[Item]],Items!$A$1:$F$43,4,FALSE))</f>
        <v/>
      </c>
    </row>
    <row r="2291" spans="1:17" x14ac:dyDescent="0.25">
      <c r="A2291" s="76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90" t="str">
        <f>IF(VLOOKUP(UncLookup[[#This Row],[Item]],Items!$A$1:$F$43,2,FALSE)=0,"",VLOOKUP(UncLookup[[#This Row],[Item]],Items!$A$1:$F$43,2,FALSE))</f>
        <v/>
      </c>
      <c r="P2291" s="90" t="str">
        <f>IF(VLOOKUP(UncLookup[[#This Row],[Item]],Items!$A$1:$F$43,3,FALSE)=0,"",VLOOKUP(UncLookup[[#This Row],[Item]],Items!$A$1:$F$43,3,FALSE))</f>
        <v/>
      </c>
      <c r="Q2291" s="90" t="str">
        <f>IF(VLOOKUP(UncLookup[[#This Row],[Item]],Items!$A$1:$F$43,4,FALSE)=0,"",VLOOKUP(UncLookup[[#This Row],[Item]],Items!$A$1:$F$43,4,FALSE))</f>
        <v/>
      </c>
    </row>
    <row r="2292" spans="1:17" x14ac:dyDescent="0.25">
      <c r="A2292" s="75" t="s">
        <v>55</v>
      </c>
      <c r="B2292" s="75" t="s">
        <v>47</v>
      </c>
      <c r="C2292" s="75">
        <v>3.3000000000000002E-2</v>
      </c>
      <c r="D2292" s="75">
        <v>0.33001000000000003</v>
      </c>
      <c r="E2292" s="75">
        <v>1E-3</v>
      </c>
      <c r="F2292" s="75" t="s">
        <v>13</v>
      </c>
      <c r="G2292" s="75" t="s">
        <v>12</v>
      </c>
      <c r="H2292" s="75">
        <v>5</v>
      </c>
      <c r="I2292" s="75">
        <v>10.01</v>
      </c>
      <c r="J2292" s="75" t="s">
        <v>10</v>
      </c>
      <c r="K2292" s="75">
        <v>0.55922000000000005</v>
      </c>
      <c r="L2292" s="75">
        <v>1.4903999999999999</v>
      </c>
      <c r="M2292" s="75">
        <v>0.55915999999999999</v>
      </c>
      <c r="N2292" s="75">
        <v>1.4903999999999999</v>
      </c>
      <c r="O2292" s="90" t="str">
        <f>IF(VLOOKUP(UncLookup[[#This Row],[Item]],Items!$A$1:$F$43,2,FALSE)=0,"",VLOOKUP(UncLookup[[#This Row],[Item]],Items!$A$1:$F$43,2,FALSE))</f>
        <v/>
      </c>
      <c r="P2292" s="90" t="str">
        <f>IF(VLOOKUP(UncLookup[[#This Row],[Item]],Items!$A$1:$F$43,3,FALSE)=0,"",VLOOKUP(UncLookup[[#This Row],[Item]],Items!$A$1:$F$43,3,FALSE))</f>
        <v/>
      </c>
      <c r="Q2292" s="90" t="str">
        <f>IF(VLOOKUP(UncLookup[[#This Row],[Item]],Items!$A$1:$F$43,4,FALSE)=0,"",VLOOKUP(UncLookup[[#This Row],[Item]],Items!$A$1:$F$43,4,FALSE))</f>
        <v/>
      </c>
    </row>
    <row r="2293" spans="1:17" x14ac:dyDescent="0.25">
      <c r="A2293" s="76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90" t="str">
        <f>IF(VLOOKUP(UncLookup[[#This Row],[Item]],Items!$A$1:$F$43,2,FALSE)=0,"",VLOOKUP(UncLookup[[#This Row],[Item]],Items!$A$1:$F$43,2,FALSE))</f>
        <v/>
      </c>
      <c r="P2293" s="90" t="str">
        <f>IF(VLOOKUP(UncLookup[[#This Row],[Item]],Items!$A$1:$F$43,3,FALSE)=0,"",VLOOKUP(UncLookup[[#This Row],[Item]],Items!$A$1:$F$43,3,FALSE))</f>
        <v/>
      </c>
      <c r="Q2293" s="90" t="str">
        <f>IF(VLOOKUP(UncLookup[[#This Row],[Item]],Items!$A$1:$F$43,4,FALSE)=0,"",VLOOKUP(UncLookup[[#This Row],[Item]],Items!$A$1:$F$43,4,FALSE))</f>
        <v/>
      </c>
    </row>
    <row r="2294" spans="1:17" x14ac:dyDescent="0.25">
      <c r="A2294" s="75" t="s">
        <v>55</v>
      </c>
      <c r="B2294" s="75" t="s">
        <v>47</v>
      </c>
      <c r="C2294" s="75">
        <v>3.3000000000000002E-2</v>
      </c>
      <c r="D2294" s="75">
        <v>0.33001000000000003</v>
      </c>
      <c r="E2294" s="75">
        <v>1E-3</v>
      </c>
      <c r="F2294" s="75" t="s">
        <v>13</v>
      </c>
      <c r="G2294" s="75" t="s">
        <v>12</v>
      </c>
      <c r="H2294" s="75">
        <v>4.4999999999999998E-2</v>
      </c>
      <c r="I2294" s="75">
        <v>1.0000100000000001</v>
      </c>
      <c r="J2294" s="75" t="s">
        <v>10</v>
      </c>
      <c r="K2294" s="75">
        <v>0.57577999999999996</v>
      </c>
      <c r="L2294" s="75">
        <v>8.6645E-2</v>
      </c>
      <c r="M2294" s="75">
        <v>0.57577</v>
      </c>
      <c r="N2294" s="75">
        <v>8.6583999999999994E-2</v>
      </c>
      <c r="O2294" s="90" t="str">
        <f>IF(VLOOKUP(UncLookup[[#This Row],[Item]],Items!$A$1:$F$43,2,FALSE)=0,"",VLOOKUP(UncLookup[[#This Row],[Item]],Items!$A$1:$F$43,2,FALSE))</f>
        <v/>
      </c>
      <c r="P2294" s="90" t="str">
        <f>IF(VLOOKUP(UncLookup[[#This Row],[Item]],Items!$A$1:$F$43,3,FALSE)=0,"",VLOOKUP(UncLookup[[#This Row],[Item]],Items!$A$1:$F$43,3,FALSE))</f>
        <v/>
      </c>
      <c r="Q2294" s="90" t="str">
        <f>IF(VLOOKUP(UncLookup[[#This Row],[Item]],Items!$A$1:$F$43,4,FALSE)=0,"",VLOOKUP(UncLookup[[#This Row],[Item]],Items!$A$1:$F$43,4,FALSE))</f>
        <v/>
      </c>
    </row>
    <row r="2295" spans="1:17" x14ac:dyDescent="0.25">
      <c r="A2295" s="76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90" t="str">
        <f>IF(VLOOKUP(UncLookup[[#This Row],[Item]],Items!$A$1:$F$43,2,FALSE)=0,"",VLOOKUP(UncLookup[[#This Row],[Item]],Items!$A$1:$F$43,2,FALSE))</f>
        <v/>
      </c>
      <c r="P2295" s="90" t="str">
        <f>IF(VLOOKUP(UncLookup[[#This Row],[Item]],Items!$A$1:$F$43,3,FALSE)=0,"",VLOOKUP(UncLookup[[#This Row],[Item]],Items!$A$1:$F$43,3,FALSE))</f>
        <v/>
      </c>
      <c r="Q2295" s="90" t="str">
        <f>IF(VLOOKUP(UncLookup[[#This Row],[Item]],Items!$A$1:$F$43,4,FALSE)=0,"",VLOOKUP(UncLookup[[#This Row],[Item]],Items!$A$1:$F$43,4,FALSE))</f>
        <v/>
      </c>
    </row>
    <row r="2296" spans="1:17" x14ac:dyDescent="0.25">
      <c r="A2296" s="75" t="s">
        <v>55</v>
      </c>
      <c r="B2296" s="75" t="s">
        <v>47</v>
      </c>
      <c r="C2296" s="75">
        <v>3.3000000000000002E-2</v>
      </c>
      <c r="D2296" s="75">
        <v>0.33001000000000003</v>
      </c>
      <c r="E2296" s="75">
        <v>1E-3</v>
      </c>
      <c r="F2296" s="75" t="s">
        <v>13</v>
      </c>
      <c r="G2296" s="75" t="s">
        <v>12</v>
      </c>
      <c r="H2296" s="75">
        <v>1</v>
      </c>
      <c r="I2296" s="75">
        <v>5.01</v>
      </c>
      <c r="J2296" s="75" t="s">
        <v>10</v>
      </c>
      <c r="K2296" s="75">
        <v>0.56964999999999999</v>
      </c>
      <c r="L2296" s="75">
        <v>0.47367999999999999</v>
      </c>
      <c r="M2296" s="75">
        <v>0.56962999999999997</v>
      </c>
      <c r="N2296" s="75">
        <v>0.47360999999999998</v>
      </c>
      <c r="O2296" s="90" t="str">
        <f>IF(VLOOKUP(UncLookup[[#This Row],[Item]],Items!$A$1:$F$43,2,FALSE)=0,"",VLOOKUP(UncLookup[[#This Row],[Item]],Items!$A$1:$F$43,2,FALSE))</f>
        <v/>
      </c>
      <c r="P2296" s="90" t="str">
        <f>IF(VLOOKUP(UncLookup[[#This Row],[Item]],Items!$A$1:$F$43,3,FALSE)=0,"",VLOOKUP(UncLookup[[#This Row],[Item]],Items!$A$1:$F$43,3,FALSE))</f>
        <v/>
      </c>
      <c r="Q2296" s="90" t="str">
        <f>IF(VLOOKUP(UncLookup[[#This Row],[Item]],Items!$A$1:$F$43,4,FALSE)=0,"",VLOOKUP(UncLookup[[#This Row],[Item]],Items!$A$1:$F$43,4,FALSE))</f>
        <v/>
      </c>
    </row>
    <row r="2297" spans="1:17" x14ac:dyDescent="0.25">
      <c r="A2297" s="76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90" t="str">
        <f>IF(VLOOKUP(UncLookup[[#This Row],[Item]],Items!$A$1:$F$43,2,FALSE)=0,"",VLOOKUP(UncLookup[[#This Row],[Item]],Items!$A$1:$F$43,2,FALSE))</f>
        <v/>
      </c>
      <c r="P2297" s="90" t="str">
        <f>IF(VLOOKUP(UncLookup[[#This Row],[Item]],Items!$A$1:$F$43,3,FALSE)=0,"",VLOOKUP(UncLookup[[#This Row],[Item]],Items!$A$1:$F$43,3,FALSE))</f>
        <v/>
      </c>
      <c r="Q2297" s="90" t="str">
        <f>IF(VLOOKUP(UncLookup[[#This Row],[Item]],Items!$A$1:$F$43,4,FALSE)=0,"",VLOOKUP(UncLookup[[#This Row],[Item]],Items!$A$1:$F$43,4,FALSE))</f>
        <v/>
      </c>
    </row>
    <row r="2298" spans="1:17" x14ac:dyDescent="0.25">
      <c r="A2298" s="75" t="s">
        <v>55</v>
      </c>
      <c r="B2298" s="75" t="s">
        <v>47</v>
      </c>
      <c r="C2298" s="75">
        <v>3.3000000000000002E-2</v>
      </c>
      <c r="D2298" s="75">
        <v>0.33001000000000003</v>
      </c>
      <c r="E2298" s="75">
        <v>0.01</v>
      </c>
      <c r="F2298" s="75" t="s">
        <v>13</v>
      </c>
      <c r="G2298" s="75" t="s">
        <v>12</v>
      </c>
      <c r="H2298" s="75">
        <v>0.01</v>
      </c>
      <c r="I2298" s="75">
        <v>2.001E-2</v>
      </c>
      <c r="J2298" s="75" t="s">
        <v>10</v>
      </c>
      <c r="K2298" s="75">
        <v>5.7694999999999999</v>
      </c>
      <c r="L2298" s="75">
        <v>0.14516999999999999</v>
      </c>
      <c r="M2298" s="75">
        <v>5.7694999999999999</v>
      </c>
      <c r="N2298" s="75">
        <v>0.14515</v>
      </c>
      <c r="O2298" s="90" t="str">
        <f>IF(VLOOKUP(UncLookup[[#This Row],[Item]],Items!$A$1:$F$43,2,FALSE)=0,"",VLOOKUP(UncLookup[[#This Row],[Item]],Items!$A$1:$F$43,2,FALSE))</f>
        <v/>
      </c>
      <c r="P2298" s="90" t="str">
        <f>IF(VLOOKUP(UncLookup[[#This Row],[Item]],Items!$A$1:$F$43,3,FALSE)=0,"",VLOOKUP(UncLookup[[#This Row],[Item]],Items!$A$1:$F$43,3,FALSE))</f>
        <v/>
      </c>
      <c r="Q2298" s="90" t="str">
        <f>IF(VLOOKUP(UncLookup[[#This Row],[Item]],Items!$A$1:$F$43,4,FALSE)=0,"",VLOOKUP(UncLookup[[#This Row],[Item]],Items!$A$1:$F$43,4,FALSE))</f>
        <v/>
      </c>
    </row>
    <row r="2299" spans="1:17" x14ac:dyDescent="0.25">
      <c r="A2299" s="76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90" t="str">
        <f>IF(VLOOKUP(UncLookup[[#This Row],[Item]],Items!$A$1:$F$43,2,FALSE)=0,"",VLOOKUP(UncLookup[[#This Row],[Item]],Items!$A$1:$F$43,2,FALSE))</f>
        <v/>
      </c>
      <c r="P2299" s="90" t="str">
        <f>IF(VLOOKUP(UncLookup[[#This Row],[Item]],Items!$A$1:$F$43,3,FALSE)=0,"",VLOOKUP(UncLookup[[#This Row],[Item]],Items!$A$1:$F$43,3,FALSE))</f>
        <v/>
      </c>
      <c r="Q2299" s="90" t="str">
        <f>IF(VLOOKUP(UncLookup[[#This Row],[Item]],Items!$A$1:$F$43,4,FALSE)=0,"",VLOOKUP(UncLookup[[#This Row],[Item]],Items!$A$1:$F$43,4,FALSE))</f>
        <v/>
      </c>
    </row>
    <row r="2300" spans="1:17" x14ac:dyDescent="0.25">
      <c r="A2300" s="75" t="s">
        <v>55</v>
      </c>
      <c r="B2300" s="75" t="s">
        <v>47</v>
      </c>
      <c r="C2300" s="75">
        <v>3.3000000000000002E-2</v>
      </c>
      <c r="D2300" s="75">
        <v>0.33001000000000003</v>
      </c>
      <c r="E2300" s="75">
        <v>0.01</v>
      </c>
      <c r="F2300" s="75" t="s">
        <v>13</v>
      </c>
      <c r="G2300" s="75" t="s">
        <v>12</v>
      </c>
      <c r="H2300" s="75">
        <v>0.02</v>
      </c>
      <c r="I2300" s="75">
        <v>4.5010000000000001E-2</v>
      </c>
      <c r="J2300" s="75" t="s">
        <v>10</v>
      </c>
      <c r="K2300" s="75">
        <v>5.7725999999999997</v>
      </c>
      <c r="L2300" s="75">
        <v>3.8390000000000001E-2</v>
      </c>
      <c r="M2300" s="75">
        <v>5.7725999999999997</v>
      </c>
      <c r="N2300" s="75">
        <v>3.8365000000000003E-2</v>
      </c>
      <c r="O2300" s="90" t="str">
        <f>IF(VLOOKUP(UncLookup[[#This Row],[Item]],Items!$A$1:$F$43,2,FALSE)=0,"",VLOOKUP(UncLookup[[#This Row],[Item]],Items!$A$1:$F$43,2,FALSE))</f>
        <v/>
      </c>
      <c r="P2300" s="90" t="str">
        <f>IF(VLOOKUP(UncLookup[[#This Row],[Item]],Items!$A$1:$F$43,3,FALSE)=0,"",VLOOKUP(UncLookup[[#This Row],[Item]],Items!$A$1:$F$43,3,FALSE))</f>
        <v/>
      </c>
      <c r="Q2300" s="90" t="str">
        <f>IF(VLOOKUP(UncLookup[[#This Row],[Item]],Items!$A$1:$F$43,4,FALSE)=0,"",VLOOKUP(UncLookup[[#This Row],[Item]],Items!$A$1:$F$43,4,FALSE))</f>
        <v/>
      </c>
    </row>
    <row r="2301" spans="1:17" x14ac:dyDescent="0.25">
      <c r="A2301" s="76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90" t="str">
        <f>IF(VLOOKUP(UncLookup[[#This Row],[Item]],Items!$A$1:$F$43,2,FALSE)=0,"",VLOOKUP(UncLookup[[#This Row],[Item]],Items!$A$1:$F$43,2,FALSE))</f>
        <v/>
      </c>
      <c r="P2301" s="90" t="str">
        <f>IF(VLOOKUP(UncLookup[[#This Row],[Item]],Items!$A$1:$F$43,3,FALSE)=0,"",VLOOKUP(UncLookup[[#This Row],[Item]],Items!$A$1:$F$43,3,FALSE))</f>
        <v/>
      </c>
      <c r="Q2301" s="90" t="str">
        <f>IF(VLOOKUP(UncLookup[[#This Row],[Item]],Items!$A$1:$F$43,4,FALSE)=0,"",VLOOKUP(UncLookup[[#This Row],[Item]],Items!$A$1:$F$43,4,FALSE))</f>
        <v/>
      </c>
    </row>
    <row r="2302" spans="1:17" x14ac:dyDescent="0.25">
      <c r="A2302" s="75" t="s">
        <v>55</v>
      </c>
      <c r="B2302" s="75" t="s">
        <v>47</v>
      </c>
      <c r="C2302" s="75">
        <v>3.3000000000000002E-2</v>
      </c>
      <c r="D2302" s="75">
        <v>0.33001000000000003</v>
      </c>
      <c r="E2302" s="75">
        <v>0.01</v>
      </c>
      <c r="F2302" s="75" t="s">
        <v>13</v>
      </c>
      <c r="G2302" s="75" t="s">
        <v>12</v>
      </c>
      <c r="H2302" s="75">
        <v>4.4999999999999998E-2</v>
      </c>
      <c r="I2302" s="75">
        <v>1.0000100000000001</v>
      </c>
      <c r="J2302" s="75" t="s">
        <v>10</v>
      </c>
      <c r="K2302" s="75">
        <v>5.7733999999999996</v>
      </c>
      <c r="L2302" s="75">
        <v>8.8941000000000003E-3</v>
      </c>
      <c r="M2302" s="75">
        <v>5.7733999999999996</v>
      </c>
      <c r="N2302" s="75">
        <v>8.8681999999999997E-3</v>
      </c>
      <c r="O2302" s="90" t="str">
        <f>IF(VLOOKUP(UncLookup[[#This Row],[Item]],Items!$A$1:$F$43,2,FALSE)=0,"",VLOOKUP(UncLookup[[#This Row],[Item]],Items!$A$1:$F$43,2,FALSE))</f>
        <v/>
      </c>
      <c r="P2302" s="90" t="str">
        <f>IF(VLOOKUP(UncLookup[[#This Row],[Item]],Items!$A$1:$F$43,3,FALSE)=0,"",VLOOKUP(UncLookup[[#This Row],[Item]],Items!$A$1:$F$43,3,FALSE))</f>
        <v/>
      </c>
      <c r="Q2302" s="90" t="str">
        <f>IF(VLOOKUP(UncLookup[[#This Row],[Item]],Items!$A$1:$F$43,4,FALSE)=0,"",VLOOKUP(UncLookup[[#This Row],[Item]],Items!$A$1:$F$43,4,FALSE))</f>
        <v/>
      </c>
    </row>
    <row r="2303" spans="1:17" x14ac:dyDescent="0.25">
      <c r="A2303" s="76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90" t="str">
        <f>IF(VLOOKUP(UncLookup[[#This Row],[Item]],Items!$A$1:$F$43,2,FALSE)=0,"",VLOOKUP(UncLookup[[#This Row],[Item]],Items!$A$1:$F$43,2,FALSE))</f>
        <v/>
      </c>
      <c r="P2303" s="90" t="str">
        <f>IF(VLOOKUP(UncLookup[[#This Row],[Item]],Items!$A$1:$F$43,3,FALSE)=0,"",VLOOKUP(UncLookup[[#This Row],[Item]],Items!$A$1:$F$43,3,FALSE))</f>
        <v/>
      </c>
      <c r="Q2303" s="90" t="str">
        <f>IF(VLOOKUP(UncLookup[[#This Row],[Item]],Items!$A$1:$F$43,4,FALSE)=0,"",VLOOKUP(UncLookup[[#This Row],[Item]],Items!$A$1:$F$43,4,FALSE))</f>
        <v/>
      </c>
    </row>
    <row r="2304" spans="1:17" x14ac:dyDescent="0.25">
      <c r="A2304" s="75" t="s">
        <v>55</v>
      </c>
      <c r="B2304" s="75" t="s">
        <v>47</v>
      </c>
      <c r="C2304" s="75">
        <v>0.33</v>
      </c>
      <c r="D2304" s="75">
        <v>1.1000099999999999</v>
      </c>
      <c r="E2304" s="75">
        <v>1.0000000000000001E-5</v>
      </c>
      <c r="F2304" s="75" t="s">
        <v>13</v>
      </c>
      <c r="G2304" s="75" t="s">
        <v>12</v>
      </c>
      <c r="H2304" s="75">
        <v>1</v>
      </c>
      <c r="I2304" s="75">
        <v>5.01</v>
      </c>
      <c r="J2304" s="75" t="s">
        <v>10</v>
      </c>
      <c r="K2304" s="75">
        <v>1.2</v>
      </c>
      <c r="L2304" s="75">
        <v>6.9</v>
      </c>
      <c r="M2304" s="75">
        <v>1.1549</v>
      </c>
      <c r="N2304" s="75">
        <v>6.9282000000000004</v>
      </c>
      <c r="O2304" s="90" t="str">
        <f>IF(VLOOKUP(UncLookup[[#This Row],[Item]],Items!$A$1:$F$43,2,FALSE)=0,"",VLOOKUP(UncLookup[[#This Row],[Item]],Items!$A$1:$F$43,2,FALSE))</f>
        <v/>
      </c>
      <c r="P2304" s="90" t="str">
        <f>IF(VLOOKUP(UncLookup[[#This Row],[Item]],Items!$A$1:$F$43,3,FALSE)=0,"",VLOOKUP(UncLookup[[#This Row],[Item]],Items!$A$1:$F$43,3,FALSE))</f>
        <v/>
      </c>
      <c r="Q2304" s="90" t="str">
        <f>IF(VLOOKUP(UncLookup[[#This Row],[Item]],Items!$A$1:$F$43,4,FALSE)=0,"",VLOOKUP(UncLookup[[#This Row],[Item]],Items!$A$1:$F$43,4,FALSE))</f>
        <v/>
      </c>
    </row>
    <row r="2305" spans="1:17" x14ac:dyDescent="0.25">
      <c r="A2305" s="76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90" t="str">
        <f>IF(VLOOKUP(UncLookup[[#This Row],[Item]],Items!$A$1:$F$43,2,FALSE)=0,"",VLOOKUP(UncLookup[[#This Row],[Item]],Items!$A$1:$F$43,2,FALSE))</f>
        <v/>
      </c>
      <c r="P2305" s="90" t="str">
        <f>IF(VLOOKUP(UncLookup[[#This Row],[Item]],Items!$A$1:$F$43,3,FALSE)=0,"",VLOOKUP(UncLookup[[#This Row],[Item]],Items!$A$1:$F$43,3,FALSE))</f>
        <v/>
      </c>
      <c r="Q2305" s="90" t="str">
        <f>IF(VLOOKUP(UncLookup[[#This Row],[Item]],Items!$A$1:$F$43,4,FALSE)=0,"",VLOOKUP(UncLookup[[#This Row],[Item]],Items!$A$1:$F$43,4,FALSE))</f>
        <v/>
      </c>
    </row>
    <row r="2306" spans="1:17" x14ac:dyDescent="0.25">
      <c r="A2306" s="75" t="s">
        <v>55</v>
      </c>
      <c r="B2306" s="75" t="s">
        <v>47</v>
      </c>
      <c r="C2306" s="75">
        <v>0.33</v>
      </c>
      <c r="D2306" s="75">
        <v>1.1000099999999999</v>
      </c>
      <c r="E2306" s="75">
        <v>1.0000000000000001E-5</v>
      </c>
      <c r="F2306" s="75" t="s">
        <v>13</v>
      </c>
      <c r="G2306" s="75" t="s">
        <v>12</v>
      </c>
      <c r="H2306" s="75">
        <v>10</v>
      </c>
      <c r="I2306" s="75">
        <v>10.01</v>
      </c>
      <c r="J2306" s="75" t="s">
        <v>10</v>
      </c>
      <c r="K2306" s="75">
        <v>5.8</v>
      </c>
      <c r="L2306" s="75">
        <v>29</v>
      </c>
      <c r="M2306" s="75">
        <v>5.7733999999999996</v>
      </c>
      <c r="N2306" s="75">
        <v>28.867999999999999</v>
      </c>
      <c r="O2306" s="90" t="str">
        <f>IF(VLOOKUP(UncLookup[[#This Row],[Item]],Items!$A$1:$F$43,2,FALSE)=0,"",VLOOKUP(UncLookup[[#This Row],[Item]],Items!$A$1:$F$43,2,FALSE))</f>
        <v/>
      </c>
      <c r="P2306" s="90" t="str">
        <f>IF(VLOOKUP(UncLookup[[#This Row],[Item]],Items!$A$1:$F$43,3,FALSE)=0,"",VLOOKUP(UncLookup[[#This Row],[Item]],Items!$A$1:$F$43,3,FALSE))</f>
        <v/>
      </c>
      <c r="Q2306" s="90" t="str">
        <f>IF(VLOOKUP(UncLookup[[#This Row],[Item]],Items!$A$1:$F$43,4,FALSE)=0,"",VLOOKUP(UncLookup[[#This Row],[Item]],Items!$A$1:$F$43,4,FALSE))</f>
        <v/>
      </c>
    </row>
    <row r="2307" spans="1:17" x14ac:dyDescent="0.25">
      <c r="A2307" s="76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90" t="str">
        <f>IF(VLOOKUP(UncLookup[[#This Row],[Item]],Items!$A$1:$F$43,2,FALSE)=0,"",VLOOKUP(UncLookup[[#This Row],[Item]],Items!$A$1:$F$43,2,FALSE))</f>
        <v/>
      </c>
      <c r="P2307" s="90" t="str">
        <f>IF(VLOOKUP(UncLookup[[#This Row],[Item]],Items!$A$1:$F$43,3,FALSE)=0,"",VLOOKUP(UncLookup[[#This Row],[Item]],Items!$A$1:$F$43,3,FALSE))</f>
        <v/>
      </c>
      <c r="Q2307" s="90" t="str">
        <f>IF(VLOOKUP(UncLookup[[#This Row],[Item]],Items!$A$1:$F$43,4,FALSE)=0,"",VLOOKUP(UncLookup[[#This Row],[Item]],Items!$A$1:$F$43,4,FALSE))</f>
        <v/>
      </c>
    </row>
    <row r="2308" spans="1:17" x14ac:dyDescent="0.25">
      <c r="A2308" s="75" t="s">
        <v>55</v>
      </c>
      <c r="B2308" s="75" t="s">
        <v>47</v>
      </c>
      <c r="C2308" s="75">
        <v>0.33</v>
      </c>
      <c r="D2308" s="75">
        <v>1.1000099999999999</v>
      </c>
      <c r="E2308" s="75">
        <v>1.0000000000000001E-5</v>
      </c>
      <c r="F2308" s="75" t="s">
        <v>13</v>
      </c>
      <c r="G2308" s="75" t="s">
        <v>12</v>
      </c>
      <c r="H2308" s="75">
        <v>5</v>
      </c>
      <c r="I2308" s="75">
        <v>10</v>
      </c>
      <c r="J2308" s="75" t="s">
        <v>10</v>
      </c>
      <c r="K2308" s="75">
        <v>5.8</v>
      </c>
      <c r="L2308" s="75">
        <v>29</v>
      </c>
      <c r="M2308" s="75">
        <v>5.7733999999999996</v>
      </c>
      <c r="N2308" s="75">
        <v>28.867999999999999</v>
      </c>
      <c r="O2308" s="90" t="str">
        <f>IF(VLOOKUP(UncLookup[[#This Row],[Item]],Items!$A$1:$F$43,2,FALSE)=0,"",VLOOKUP(UncLookup[[#This Row],[Item]],Items!$A$1:$F$43,2,FALSE))</f>
        <v/>
      </c>
      <c r="P2308" s="90" t="str">
        <f>IF(VLOOKUP(UncLookup[[#This Row],[Item]],Items!$A$1:$F$43,3,FALSE)=0,"",VLOOKUP(UncLookup[[#This Row],[Item]],Items!$A$1:$F$43,3,FALSE))</f>
        <v/>
      </c>
      <c r="Q2308" s="90" t="str">
        <f>IF(VLOOKUP(UncLookup[[#This Row],[Item]],Items!$A$1:$F$43,4,FALSE)=0,"",VLOOKUP(UncLookup[[#This Row],[Item]],Items!$A$1:$F$43,4,FALSE))</f>
        <v/>
      </c>
    </row>
    <row r="2309" spans="1:17" x14ac:dyDescent="0.25">
      <c r="A2309" s="76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90" t="str">
        <f>IF(VLOOKUP(UncLookup[[#This Row],[Item]],Items!$A$1:$F$43,2,FALSE)=0,"",VLOOKUP(UncLookup[[#This Row],[Item]],Items!$A$1:$F$43,2,FALSE))</f>
        <v/>
      </c>
      <c r="P2309" s="90" t="str">
        <f>IF(VLOOKUP(UncLookup[[#This Row],[Item]],Items!$A$1:$F$43,3,FALSE)=0,"",VLOOKUP(UncLookup[[#This Row],[Item]],Items!$A$1:$F$43,3,FALSE))</f>
        <v/>
      </c>
      <c r="Q2309" s="90" t="str">
        <f>IF(VLOOKUP(UncLookup[[#This Row],[Item]],Items!$A$1:$F$43,4,FALSE)=0,"",VLOOKUP(UncLookup[[#This Row],[Item]],Items!$A$1:$F$43,4,FALSE))</f>
        <v/>
      </c>
    </row>
    <row r="2310" spans="1:17" x14ac:dyDescent="0.25">
      <c r="A2310" s="75" t="s">
        <v>55</v>
      </c>
      <c r="B2310" s="75" t="s">
        <v>47</v>
      </c>
      <c r="C2310" s="75">
        <v>0.33</v>
      </c>
      <c r="D2310" s="75">
        <v>1.1000099999999999</v>
      </c>
      <c r="E2310" s="75">
        <v>1E-4</v>
      </c>
      <c r="F2310" s="75" t="s">
        <v>13</v>
      </c>
      <c r="G2310" s="75" t="s">
        <v>12</v>
      </c>
      <c r="H2310" s="75">
        <v>1</v>
      </c>
      <c r="I2310" s="75">
        <v>5.01</v>
      </c>
      <c r="J2310" s="75" t="s">
        <v>10</v>
      </c>
      <c r="K2310" s="75">
        <v>1.2</v>
      </c>
      <c r="L2310" s="75">
        <v>6.9</v>
      </c>
      <c r="M2310" s="75">
        <v>1.1555</v>
      </c>
      <c r="N2310" s="75">
        <v>6.9278000000000004</v>
      </c>
      <c r="O2310" s="90" t="str">
        <f>IF(VLOOKUP(UncLookup[[#This Row],[Item]],Items!$A$1:$F$43,2,FALSE)=0,"",VLOOKUP(UncLookup[[#This Row],[Item]],Items!$A$1:$F$43,2,FALSE))</f>
        <v/>
      </c>
      <c r="P2310" s="90" t="str">
        <f>IF(VLOOKUP(UncLookup[[#This Row],[Item]],Items!$A$1:$F$43,3,FALSE)=0,"",VLOOKUP(UncLookup[[#This Row],[Item]],Items!$A$1:$F$43,3,FALSE))</f>
        <v/>
      </c>
      <c r="Q2310" s="90" t="str">
        <f>IF(VLOOKUP(UncLookup[[#This Row],[Item]],Items!$A$1:$F$43,4,FALSE)=0,"",VLOOKUP(UncLookup[[#This Row],[Item]],Items!$A$1:$F$43,4,FALSE))</f>
        <v/>
      </c>
    </row>
    <row r="2311" spans="1:17" x14ac:dyDescent="0.25">
      <c r="A2311" s="76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90" t="str">
        <f>IF(VLOOKUP(UncLookup[[#This Row],[Item]],Items!$A$1:$F$43,2,FALSE)=0,"",VLOOKUP(UncLookup[[#This Row],[Item]],Items!$A$1:$F$43,2,FALSE))</f>
        <v/>
      </c>
      <c r="P2311" s="90" t="str">
        <f>IF(VLOOKUP(UncLookup[[#This Row],[Item]],Items!$A$1:$F$43,3,FALSE)=0,"",VLOOKUP(UncLookup[[#This Row],[Item]],Items!$A$1:$F$43,3,FALSE))</f>
        <v/>
      </c>
      <c r="Q2311" s="90" t="str">
        <f>IF(VLOOKUP(UncLookup[[#This Row],[Item]],Items!$A$1:$F$43,4,FALSE)=0,"",VLOOKUP(UncLookup[[#This Row],[Item]],Items!$A$1:$F$43,4,FALSE))</f>
        <v/>
      </c>
    </row>
    <row r="2312" spans="1:17" x14ac:dyDescent="0.25">
      <c r="A2312" s="75" t="s">
        <v>55</v>
      </c>
      <c r="B2312" s="75" t="s">
        <v>47</v>
      </c>
      <c r="C2312" s="75">
        <v>0.33</v>
      </c>
      <c r="D2312" s="75">
        <v>1.1000099999999999</v>
      </c>
      <c r="E2312" s="75">
        <v>1E-4</v>
      </c>
      <c r="F2312" s="75" t="s">
        <v>13</v>
      </c>
      <c r="G2312" s="75" t="s">
        <v>12</v>
      </c>
      <c r="H2312" s="75">
        <v>4.4999999999999998E-2</v>
      </c>
      <c r="I2312" s="75">
        <v>1.0000100000000001</v>
      </c>
      <c r="J2312" s="75" t="s">
        <v>10</v>
      </c>
      <c r="K2312" s="75">
        <v>0.12267</v>
      </c>
      <c r="L2312" s="75">
        <v>0.57757999999999998</v>
      </c>
      <c r="M2312" s="75">
        <v>0.124</v>
      </c>
      <c r="N2312" s="75">
        <v>0.57333000000000001</v>
      </c>
      <c r="O2312" s="90" t="str">
        <f>IF(VLOOKUP(UncLookup[[#This Row],[Item]],Items!$A$1:$F$43,2,FALSE)=0,"",VLOOKUP(UncLookup[[#This Row],[Item]],Items!$A$1:$F$43,2,FALSE))</f>
        <v/>
      </c>
      <c r="P2312" s="90" t="str">
        <f>IF(VLOOKUP(UncLookup[[#This Row],[Item]],Items!$A$1:$F$43,3,FALSE)=0,"",VLOOKUP(UncLookup[[#This Row],[Item]],Items!$A$1:$F$43,3,FALSE))</f>
        <v/>
      </c>
      <c r="Q2312" s="90" t="str">
        <f>IF(VLOOKUP(UncLookup[[#This Row],[Item]],Items!$A$1:$F$43,4,FALSE)=0,"",VLOOKUP(UncLookup[[#This Row],[Item]],Items!$A$1:$F$43,4,FALSE))</f>
        <v/>
      </c>
    </row>
    <row r="2313" spans="1:17" x14ac:dyDescent="0.25">
      <c r="A2313" s="76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90" t="str">
        <f>IF(VLOOKUP(UncLookup[[#This Row],[Item]],Items!$A$1:$F$43,2,FALSE)=0,"",VLOOKUP(UncLookup[[#This Row],[Item]],Items!$A$1:$F$43,2,FALSE))</f>
        <v/>
      </c>
      <c r="P2313" s="90" t="str">
        <f>IF(VLOOKUP(UncLookup[[#This Row],[Item]],Items!$A$1:$F$43,3,FALSE)=0,"",VLOOKUP(UncLookup[[#This Row],[Item]],Items!$A$1:$F$43,3,FALSE))</f>
        <v/>
      </c>
      <c r="Q2313" s="90" t="str">
        <f>IF(VLOOKUP(UncLookup[[#This Row],[Item]],Items!$A$1:$F$43,4,FALSE)=0,"",VLOOKUP(UncLookup[[#This Row],[Item]],Items!$A$1:$F$43,4,FALSE))</f>
        <v/>
      </c>
    </row>
    <row r="2314" spans="1:17" x14ac:dyDescent="0.25">
      <c r="A2314" s="75" t="s">
        <v>55</v>
      </c>
      <c r="B2314" s="75" t="s">
        <v>47</v>
      </c>
      <c r="C2314" s="75">
        <v>0.33</v>
      </c>
      <c r="D2314" s="75">
        <v>1.1000099999999999</v>
      </c>
      <c r="E2314" s="75">
        <v>1E-3</v>
      </c>
      <c r="F2314" s="75" t="s">
        <v>13</v>
      </c>
      <c r="G2314" s="75" t="s">
        <v>12</v>
      </c>
      <c r="H2314" s="75">
        <v>1</v>
      </c>
      <c r="I2314" s="75">
        <v>5.01</v>
      </c>
      <c r="J2314" s="75" t="s">
        <v>10</v>
      </c>
      <c r="K2314" s="75">
        <v>1.2163999999999999</v>
      </c>
      <c r="L2314" s="75">
        <v>6.8902999999999999</v>
      </c>
      <c r="M2314" s="75">
        <v>1.2155</v>
      </c>
      <c r="N2314" s="75">
        <v>6.8903999999999996</v>
      </c>
      <c r="O2314" s="90" t="str">
        <f>IF(VLOOKUP(UncLookup[[#This Row],[Item]],Items!$A$1:$F$43,2,FALSE)=0,"",VLOOKUP(UncLookup[[#This Row],[Item]],Items!$A$1:$F$43,2,FALSE))</f>
        <v/>
      </c>
      <c r="P2314" s="90" t="str">
        <f>IF(VLOOKUP(UncLookup[[#This Row],[Item]],Items!$A$1:$F$43,3,FALSE)=0,"",VLOOKUP(UncLookup[[#This Row],[Item]],Items!$A$1:$F$43,3,FALSE))</f>
        <v/>
      </c>
      <c r="Q2314" s="90" t="str">
        <f>IF(VLOOKUP(UncLookup[[#This Row],[Item]],Items!$A$1:$F$43,4,FALSE)=0,"",VLOOKUP(UncLookup[[#This Row],[Item]],Items!$A$1:$F$43,4,FALSE))</f>
        <v/>
      </c>
    </row>
    <row r="2315" spans="1:17" x14ac:dyDescent="0.25">
      <c r="A2315" s="76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90" t="str">
        <f>IF(VLOOKUP(UncLookup[[#This Row],[Item]],Items!$A$1:$F$43,2,FALSE)=0,"",VLOOKUP(UncLookup[[#This Row],[Item]],Items!$A$1:$F$43,2,FALSE))</f>
        <v/>
      </c>
      <c r="P2315" s="90" t="str">
        <f>IF(VLOOKUP(UncLookup[[#This Row],[Item]],Items!$A$1:$F$43,3,FALSE)=0,"",VLOOKUP(UncLookup[[#This Row],[Item]],Items!$A$1:$F$43,3,FALSE))</f>
        <v/>
      </c>
      <c r="Q2315" s="90" t="str">
        <f>IF(VLOOKUP(UncLookup[[#This Row],[Item]],Items!$A$1:$F$43,4,FALSE)=0,"",VLOOKUP(UncLookup[[#This Row],[Item]],Items!$A$1:$F$43,4,FALSE))</f>
        <v/>
      </c>
    </row>
    <row r="2316" spans="1:17" x14ac:dyDescent="0.25">
      <c r="A2316" s="75" t="s">
        <v>55</v>
      </c>
      <c r="B2316" s="75" t="s">
        <v>47</v>
      </c>
      <c r="C2316" s="75">
        <v>0.33</v>
      </c>
      <c r="D2316" s="75">
        <v>1.1000099999999999</v>
      </c>
      <c r="E2316" s="75">
        <v>1E-3</v>
      </c>
      <c r="F2316" s="75" t="s">
        <v>13</v>
      </c>
      <c r="G2316" s="75" t="s">
        <v>12</v>
      </c>
      <c r="H2316" s="75">
        <v>4.4999999999999998E-2</v>
      </c>
      <c r="I2316" s="75">
        <v>1.0000100000000001</v>
      </c>
      <c r="J2316" s="75" t="s">
        <v>10</v>
      </c>
      <c r="K2316" s="75">
        <v>0.52825</v>
      </c>
      <c r="L2316" s="75">
        <v>0.38235000000000002</v>
      </c>
      <c r="M2316" s="75">
        <v>0.52822999999999998</v>
      </c>
      <c r="N2316" s="75">
        <v>0.38200000000000001</v>
      </c>
      <c r="O2316" s="90" t="str">
        <f>IF(VLOOKUP(UncLookup[[#This Row],[Item]],Items!$A$1:$F$43,2,FALSE)=0,"",VLOOKUP(UncLookup[[#This Row],[Item]],Items!$A$1:$F$43,2,FALSE))</f>
        <v/>
      </c>
      <c r="P2316" s="90" t="str">
        <f>IF(VLOOKUP(UncLookup[[#This Row],[Item]],Items!$A$1:$F$43,3,FALSE)=0,"",VLOOKUP(UncLookup[[#This Row],[Item]],Items!$A$1:$F$43,3,FALSE))</f>
        <v/>
      </c>
      <c r="Q2316" s="90" t="str">
        <f>IF(VLOOKUP(UncLookup[[#This Row],[Item]],Items!$A$1:$F$43,4,FALSE)=0,"",VLOOKUP(UncLookup[[#This Row],[Item]],Items!$A$1:$F$43,4,FALSE))</f>
        <v/>
      </c>
    </row>
    <row r="2317" spans="1:17" x14ac:dyDescent="0.25">
      <c r="A2317" s="76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90" t="str">
        <f>IF(VLOOKUP(UncLookup[[#This Row],[Item]],Items!$A$1:$F$43,2,FALSE)=0,"",VLOOKUP(UncLookup[[#This Row],[Item]],Items!$A$1:$F$43,2,FALSE))</f>
        <v/>
      </c>
      <c r="P2317" s="90" t="str">
        <f>IF(VLOOKUP(UncLookup[[#This Row],[Item]],Items!$A$1:$F$43,3,FALSE)=0,"",VLOOKUP(UncLookup[[#This Row],[Item]],Items!$A$1:$F$43,3,FALSE))</f>
        <v/>
      </c>
      <c r="Q2317" s="90" t="str">
        <f>IF(VLOOKUP(UncLookup[[#This Row],[Item]],Items!$A$1:$F$43,4,FALSE)=0,"",VLOOKUP(UncLookup[[#This Row],[Item]],Items!$A$1:$F$43,4,FALSE))</f>
        <v/>
      </c>
    </row>
    <row r="2318" spans="1:17" x14ac:dyDescent="0.25">
      <c r="A2318" s="75" t="s">
        <v>55</v>
      </c>
      <c r="B2318" s="75" t="s">
        <v>47</v>
      </c>
      <c r="C2318" s="75">
        <v>0.33</v>
      </c>
      <c r="D2318" s="75">
        <v>1.1000099999999999</v>
      </c>
      <c r="E2318" s="75">
        <v>1E-3</v>
      </c>
      <c r="F2318" s="75" t="s">
        <v>13</v>
      </c>
      <c r="G2318" s="75" t="s">
        <v>12</v>
      </c>
      <c r="H2318" s="75">
        <v>10</v>
      </c>
      <c r="I2318" s="75">
        <v>10.01</v>
      </c>
      <c r="J2318" s="75" t="s">
        <v>10</v>
      </c>
      <c r="K2318" s="75">
        <v>5.8</v>
      </c>
      <c r="L2318" s="75">
        <v>29</v>
      </c>
      <c r="M2318" s="75">
        <v>5.7873999999999999</v>
      </c>
      <c r="N2318" s="75">
        <v>28.859000000000002</v>
      </c>
      <c r="O2318" s="90" t="str">
        <f>IF(VLOOKUP(UncLookup[[#This Row],[Item]],Items!$A$1:$F$43,2,FALSE)=0,"",VLOOKUP(UncLookup[[#This Row],[Item]],Items!$A$1:$F$43,2,FALSE))</f>
        <v/>
      </c>
      <c r="P2318" s="90" t="str">
        <f>IF(VLOOKUP(UncLookup[[#This Row],[Item]],Items!$A$1:$F$43,3,FALSE)=0,"",VLOOKUP(UncLookup[[#This Row],[Item]],Items!$A$1:$F$43,3,FALSE))</f>
        <v/>
      </c>
      <c r="Q2318" s="90" t="str">
        <f>IF(VLOOKUP(UncLookup[[#This Row],[Item]],Items!$A$1:$F$43,4,FALSE)=0,"",VLOOKUP(UncLookup[[#This Row],[Item]],Items!$A$1:$F$43,4,FALSE))</f>
        <v/>
      </c>
    </row>
    <row r="2319" spans="1:17" x14ac:dyDescent="0.25">
      <c r="A2319" s="76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90" t="str">
        <f>IF(VLOOKUP(UncLookup[[#This Row],[Item]],Items!$A$1:$F$43,2,FALSE)=0,"",VLOOKUP(UncLookup[[#This Row],[Item]],Items!$A$1:$F$43,2,FALSE))</f>
        <v/>
      </c>
      <c r="P2319" s="90" t="str">
        <f>IF(VLOOKUP(UncLookup[[#This Row],[Item]],Items!$A$1:$F$43,3,FALSE)=0,"",VLOOKUP(UncLookup[[#This Row],[Item]],Items!$A$1:$F$43,3,FALSE))</f>
        <v/>
      </c>
      <c r="Q2319" s="90" t="str">
        <f>IF(VLOOKUP(UncLookup[[#This Row],[Item]],Items!$A$1:$F$43,4,FALSE)=0,"",VLOOKUP(UncLookup[[#This Row],[Item]],Items!$A$1:$F$43,4,FALSE))</f>
        <v/>
      </c>
    </row>
    <row r="2320" spans="1:17" x14ac:dyDescent="0.25">
      <c r="A2320" s="75" t="s">
        <v>55</v>
      </c>
      <c r="B2320" s="75" t="s">
        <v>47</v>
      </c>
      <c r="C2320" s="75">
        <v>0.33</v>
      </c>
      <c r="D2320" s="75">
        <v>1.1000099999999999</v>
      </c>
      <c r="E2320" s="75">
        <v>0.01</v>
      </c>
      <c r="F2320" s="75" t="s">
        <v>13</v>
      </c>
      <c r="G2320" s="75" t="s">
        <v>12</v>
      </c>
      <c r="H2320" s="75">
        <v>1</v>
      </c>
      <c r="I2320" s="75">
        <v>5.01</v>
      </c>
      <c r="J2320" s="75" t="s">
        <v>10</v>
      </c>
      <c r="K2320" s="75">
        <v>5.1010999999999997</v>
      </c>
      <c r="L2320" s="75">
        <v>4.9149000000000003</v>
      </c>
      <c r="M2320" s="75">
        <v>5.0998000000000001</v>
      </c>
      <c r="N2320" s="75">
        <v>4.9135999999999997</v>
      </c>
      <c r="O2320" s="90" t="str">
        <f>IF(VLOOKUP(UncLookup[[#This Row],[Item]],Items!$A$1:$F$43,2,FALSE)=0,"",VLOOKUP(UncLookup[[#This Row],[Item]],Items!$A$1:$F$43,2,FALSE))</f>
        <v/>
      </c>
      <c r="P2320" s="90" t="str">
        <f>IF(VLOOKUP(UncLookup[[#This Row],[Item]],Items!$A$1:$F$43,3,FALSE)=0,"",VLOOKUP(UncLookup[[#This Row],[Item]],Items!$A$1:$F$43,3,FALSE))</f>
        <v/>
      </c>
      <c r="Q2320" s="90" t="str">
        <f>IF(VLOOKUP(UncLookup[[#This Row],[Item]],Items!$A$1:$F$43,4,FALSE)=0,"",VLOOKUP(UncLookup[[#This Row],[Item]],Items!$A$1:$F$43,4,FALSE))</f>
        <v/>
      </c>
    </row>
    <row r="2321" spans="1:17" x14ac:dyDescent="0.25">
      <c r="A2321" s="76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90" t="str">
        <f>IF(VLOOKUP(UncLookup[[#This Row],[Item]],Items!$A$1:$F$43,2,FALSE)=0,"",VLOOKUP(UncLookup[[#This Row],[Item]],Items!$A$1:$F$43,2,FALSE))</f>
        <v/>
      </c>
      <c r="P2321" s="90" t="str">
        <f>IF(VLOOKUP(UncLookup[[#This Row],[Item]],Items!$A$1:$F$43,3,FALSE)=0,"",VLOOKUP(UncLookup[[#This Row],[Item]],Items!$A$1:$F$43,3,FALSE))</f>
        <v/>
      </c>
      <c r="Q2321" s="90" t="str">
        <f>IF(VLOOKUP(UncLookup[[#This Row],[Item]],Items!$A$1:$F$43,4,FALSE)=0,"",VLOOKUP(UncLookup[[#This Row],[Item]],Items!$A$1:$F$43,4,FALSE))</f>
        <v/>
      </c>
    </row>
    <row r="2322" spans="1:17" x14ac:dyDescent="0.25">
      <c r="A2322" s="75" t="s">
        <v>55</v>
      </c>
      <c r="B2322" s="75" t="s">
        <v>47</v>
      </c>
      <c r="C2322" s="75">
        <v>0.33</v>
      </c>
      <c r="D2322" s="75">
        <v>1.1000099999999999</v>
      </c>
      <c r="E2322" s="75">
        <v>0.01</v>
      </c>
      <c r="F2322" s="75" t="s">
        <v>13</v>
      </c>
      <c r="G2322" s="75" t="s">
        <v>12</v>
      </c>
      <c r="H2322" s="75">
        <v>10</v>
      </c>
      <c r="I2322" s="75">
        <v>10.01</v>
      </c>
      <c r="J2322" s="75" t="s">
        <v>10</v>
      </c>
      <c r="K2322" s="75">
        <v>7.0907999999999998</v>
      </c>
      <c r="L2322" s="75">
        <v>28.073</v>
      </c>
      <c r="M2322" s="75">
        <v>7.0891000000000002</v>
      </c>
      <c r="N2322" s="75">
        <v>28.073</v>
      </c>
      <c r="O2322" s="90" t="str">
        <f>IF(VLOOKUP(UncLookup[[#This Row],[Item]],Items!$A$1:$F$43,2,FALSE)=0,"",VLOOKUP(UncLookup[[#This Row],[Item]],Items!$A$1:$F$43,2,FALSE))</f>
        <v/>
      </c>
      <c r="P2322" s="90" t="str">
        <f>IF(VLOOKUP(UncLookup[[#This Row],[Item]],Items!$A$1:$F$43,3,FALSE)=0,"",VLOOKUP(UncLookup[[#This Row],[Item]],Items!$A$1:$F$43,3,FALSE))</f>
        <v/>
      </c>
      <c r="Q2322" s="90" t="str">
        <f>IF(VLOOKUP(UncLookup[[#This Row],[Item]],Items!$A$1:$F$43,4,FALSE)=0,"",VLOOKUP(UncLookup[[#This Row],[Item]],Items!$A$1:$F$43,4,FALSE))</f>
        <v/>
      </c>
    </row>
    <row r="2323" spans="1:17" x14ac:dyDescent="0.25">
      <c r="A2323" s="76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90" t="str">
        <f>IF(VLOOKUP(UncLookup[[#This Row],[Item]],Items!$A$1:$F$43,2,FALSE)=0,"",VLOOKUP(UncLookup[[#This Row],[Item]],Items!$A$1:$F$43,2,FALSE))</f>
        <v/>
      </c>
      <c r="P2323" s="90" t="str">
        <f>IF(VLOOKUP(UncLookup[[#This Row],[Item]],Items!$A$1:$F$43,3,FALSE)=0,"",VLOOKUP(UncLookup[[#This Row],[Item]],Items!$A$1:$F$43,3,FALSE))</f>
        <v/>
      </c>
      <c r="Q2323" s="90" t="str">
        <f>IF(VLOOKUP(UncLookup[[#This Row],[Item]],Items!$A$1:$F$43,4,FALSE)=0,"",VLOOKUP(UncLookup[[#This Row],[Item]],Items!$A$1:$F$43,4,FALSE))</f>
        <v/>
      </c>
    </row>
    <row r="2324" spans="1:17" x14ac:dyDescent="0.25">
      <c r="A2324" s="75" t="s">
        <v>55</v>
      </c>
      <c r="B2324" s="75" t="s">
        <v>47</v>
      </c>
      <c r="C2324" s="75">
        <v>0.33</v>
      </c>
      <c r="D2324" s="75">
        <v>1.1000099999999999</v>
      </c>
      <c r="E2324" s="75">
        <v>0.1</v>
      </c>
      <c r="F2324" s="75" t="s">
        <v>13</v>
      </c>
      <c r="G2324" s="75" t="s">
        <v>12</v>
      </c>
      <c r="H2324" s="75">
        <v>0.01</v>
      </c>
      <c r="I2324" s="75">
        <v>4.5010000000000001E-2</v>
      </c>
      <c r="J2324" s="75" t="s">
        <v>10</v>
      </c>
      <c r="K2324" s="75">
        <v>57.722000000000001</v>
      </c>
      <c r="L2324" s="75">
        <v>5.7755000000000001E-2</v>
      </c>
      <c r="M2324" s="75">
        <v>57.722000000000001</v>
      </c>
      <c r="N2324" s="75">
        <v>5.7648999999999999E-2</v>
      </c>
      <c r="O2324" s="90" t="str">
        <f>IF(VLOOKUP(UncLookup[[#This Row],[Item]],Items!$A$1:$F$43,2,FALSE)=0,"",VLOOKUP(UncLookup[[#This Row],[Item]],Items!$A$1:$F$43,2,FALSE))</f>
        <v/>
      </c>
      <c r="P2324" s="90" t="str">
        <f>IF(VLOOKUP(UncLookup[[#This Row],[Item]],Items!$A$1:$F$43,3,FALSE)=0,"",VLOOKUP(UncLookup[[#This Row],[Item]],Items!$A$1:$F$43,3,FALSE))</f>
        <v/>
      </c>
      <c r="Q2324" s="90" t="str">
        <f>IF(VLOOKUP(UncLookup[[#This Row],[Item]],Items!$A$1:$F$43,4,FALSE)=0,"",VLOOKUP(UncLookup[[#This Row],[Item]],Items!$A$1:$F$43,4,FALSE))</f>
        <v/>
      </c>
    </row>
    <row r="2325" spans="1:17" x14ac:dyDescent="0.25">
      <c r="A2325" s="76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90" t="str">
        <f>IF(VLOOKUP(UncLookup[[#This Row],[Item]],Items!$A$1:$F$43,2,FALSE)=0,"",VLOOKUP(UncLookup[[#This Row],[Item]],Items!$A$1:$F$43,2,FALSE))</f>
        <v/>
      </c>
      <c r="P2325" s="90" t="str">
        <f>IF(VLOOKUP(UncLookup[[#This Row],[Item]],Items!$A$1:$F$43,3,FALSE)=0,"",VLOOKUP(UncLookup[[#This Row],[Item]],Items!$A$1:$F$43,3,FALSE))</f>
        <v/>
      </c>
      <c r="Q2325" s="90" t="str">
        <f>IF(VLOOKUP(UncLookup[[#This Row],[Item]],Items!$A$1:$F$43,4,FALSE)=0,"",VLOOKUP(UncLookup[[#This Row],[Item]],Items!$A$1:$F$43,4,FALSE))</f>
        <v/>
      </c>
    </row>
    <row r="2326" spans="1:17" x14ac:dyDescent="0.25">
      <c r="A2326" s="75" t="s">
        <v>55</v>
      </c>
      <c r="B2326" s="75" t="s">
        <v>47</v>
      </c>
      <c r="C2326" s="75">
        <v>0.33</v>
      </c>
      <c r="D2326" s="75">
        <v>1.1000099999999999</v>
      </c>
      <c r="E2326" s="75">
        <v>0.1</v>
      </c>
      <c r="F2326" s="75" t="s">
        <v>13</v>
      </c>
      <c r="G2326" s="75" t="s">
        <v>12</v>
      </c>
      <c r="H2326" s="75">
        <v>5</v>
      </c>
      <c r="I2326" s="75">
        <v>10</v>
      </c>
      <c r="J2326" s="75" t="s">
        <v>10</v>
      </c>
      <c r="K2326" s="75">
        <v>55.816000000000003</v>
      </c>
      <c r="L2326" s="75">
        <v>11.862</v>
      </c>
      <c r="M2326" s="75">
        <v>55.814999999999998</v>
      </c>
      <c r="N2326" s="75">
        <v>11.86</v>
      </c>
      <c r="O2326" s="90" t="str">
        <f>IF(VLOOKUP(UncLookup[[#This Row],[Item]],Items!$A$1:$F$43,2,FALSE)=0,"",VLOOKUP(UncLookup[[#This Row],[Item]],Items!$A$1:$F$43,2,FALSE))</f>
        <v/>
      </c>
      <c r="P2326" s="90" t="str">
        <f>IF(VLOOKUP(UncLookup[[#This Row],[Item]],Items!$A$1:$F$43,3,FALSE)=0,"",VLOOKUP(UncLookup[[#This Row],[Item]],Items!$A$1:$F$43,3,FALSE))</f>
        <v/>
      </c>
      <c r="Q2326" s="90" t="str">
        <f>IF(VLOOKUP(UncLookup[[#This Row],[Item]],Items!$A$1:$F$43,4,FALSE)=0,"",VLOOKUP(UncLookup[[#This Row],[Item]],Items!$A$1:$F$43,4,FALSE))</f>
        <v/>
      </c>
    </row>
    <row r="2327" spans="1:17" x14ac:dyDescent="0.25">
      <c r="A2327" s="76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90" t="str">
        <f>IF(VLOOKUP(UncLookup[[#This Row],[Item]],Items!$A$1:$F$43,2,FALSE)=0,"",VLOOKUP(UncLookup[[#This Row],[Item]],Items!$A$1:$F$43,2,FALSE))</f>
        <v/>
      </c>
      <c r="P2327" s="90" t="str">
        <f>IF(VLOOKUP(UncLookup[[#This Row],[Item]],Items!$A$1:$F$43,3,FALSE)=0,"",VLOOKUP(UncLookup[[#This Row],[Item]],Items!$A$1:$F$43,3,FALSE))</f>
        <v/>
      </c>
      <c r="Q2327" s="90" t="str">
        <f>IF(VLOOKUP(UncLookup[[#This Row],[Item]],Items!$A$1:$F$43,4,FALSE)=0,"",VLOOKUP(UncLookup[[#This Row],[Item]],Items!$A$1:$F$43,4,FALSE))</f>
        <v/>
      </c>
    </row>
    <row r="2328" spans="1:17" x14ac:dyDescent="0.25">
      <c r="A2328" s="75" t="s">
        <v>55</v>
      </c>
      <c r="B2328" s="75" t="s">
        <v>47</v>
      </c>
      <c r="C2328" s="75">
        <v>0.33</v>
      </c>
      <c r="D2328" s="75">
        <v>1.1000099999999999</v>
      </c>
      <c r="E2328" s="75">
        <v>0.1</v>
      </c>
      <c r="F2328" s="75" t="s">
        <v>13</v>
      </c>
      <c r="G2328" s="75" t="s">
        <v>12</v>
      </c>
      <c r="H2328" s="75">
        <v>4.4999999999999998E-2</v>
      </c>
      <c r="I2328" s="75">
        <v>1.0000100000000001</v>
      </c>
      <c r="J2328" s="75" t="s">
        <v>10</v>
      </c>
      <c r="K2328" s="75">
        <v>57.734999999999999</v>
      </c>
      <c r="L2328" s="75">
        <v>5.4079999999999996E-3</v>
      </c>
      <c r="M2328" s="75">
        <v>57.734999999999999</v>
      </c>
      <c r="N2328" s="75">
        <v>5.3017999999999997E-3</v>
      </c>
      <c r="O2328" s="90" t="str">
        <f>IF(VLOOKUP(UncLookup[[#This Row],[Item]],Items!$A$1:$F$43,2,FALSE)=0,"",VLOOKUP(UncLookup[[#This Row],[Item]],Items!$A$1:$F$43,2,FALSE))</f>
        <v/>
      </c>
      <c r="P2328" s="90" t="str">
        <f>IF(VLOOKUP(UncLookup[[#This Row],[Item]],Items!$A$1:$F$43,3,FALSE)=0,"",VLOOKUP(UncLookup[[#This Row],[Item]],Items!$A$1:$F$43,3,FALSE))</f>
        <v/>
      </c>
      <c r="Q2328" s="90" t="str">
        <f>IF(VLOOKUP(UncLookup[[#This Row],[Item]],Items!$A$1:$F$43,4,FALSE)=0,"",VLOOKUP(UncLookup[[#This Row],[Item]],Items!$A$1:$F$43,4,FALSE))</f>
        <v/>
      </c>
    </row>
    <row r="2329" spans="1:17" x14ac:dyDescent="0.25">
      <c r="A2329" s="76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90" t="str">
        <f>IF(VLOOKUP(UncLookup[[#This Row],[Item]],Items!$A$1:$F$43,2,FALSE)=0,"",VLOOKUP(UncLookup[[#This Row],[Item]],Items!$A$1:$F$43,2,FALSE))</f>
        <v/>
      </c>
      <c r="P2329" s="90" t="str">
        <f>IF(VLOOKUP(UncLookup[[#This Row],[Item]],Items!$A$1:$F$43,3,FALSE)=0,"",VLOOKUP(UncLookup[[#This Row],[Item]],Items!$A$1:$F$43,3,FALSE))</f>
        <v/>
      </c>
      <c r="Q2329" s="90" t="str">
        <f>IF(VLOOKUP(UncLookup[[#This Row],[Item]],Items!$A$1:$F$43,4,FALSE)=0,"",VLOOKUP(UncLookup[[#This Row],[Item]],Items!$A$1:$F$43,4,FALSE))</f>
        <v/>
      </c>
    </row>
    <row r="2330" spans="1:17" x14ac:dyDescent="0.25">
      <c r="A2330" s="75" t="s">
        <v>55</v>
      </c>
      <c r="B2330" s="75" t="s">
        <v>47</v>
      </c>
      <c r="C2330" s="75">
        <v>1.1000000000000001</v>
      </c>
      <c r="D2330" s="75">
        <v>3.0009999999999999</v>
      </c>
      <c r="E2330" s="75">
        <v>1.0000000000000001E-5</v>
      </c>
      <c r="F2330" s="75" t="s">
        <v>13</v>
      </c>
      <c r="G2330" s="75" t="s">
        <v>12</v>
      </c>
      <c r="H2330" s="75">
        <v>4.4999999999999998E-2</v>
      </c>
      <c r="I2330" s="75">
        <v>1.0000100000000001</v>
      </c>
      <c r="J2330" s="75" t="s">
        <v>10</v>
      </c>
      <c r="K2330" s="75">
        <v>0.13</v>
      </c>
      <c r="L2330" s="75">
        <v>0.69</v>
      </c>
      <c r="M2330" s="75">
        <v>0.11619</v>
      </c>
      <c r="N2330" s="75">
        <v>0.69369000000000003</v>
      </c>
      <c r="O2330" s="90" t="str">
        <f>IF(VLOOKUP(UncLookup[[#This Row],[Item]],Items!$A$1:$F$43,2,FALSE)=0,"",VLOOKUP(UncLookup[[#This Row],[Item]],Items!$A$1:$F$43,2,FALSE))</f>
        <v/>
      </c>
      <c r="P2330" s="90" t="str">
        <f>IF(VLOOKUP(UncLookup[[#This Row],[Item]],Items!$A$1:$F$43,3,FALSE)=0,"",VLOOKUP(UncLookup[[#This Row],[Item]],Items!$A$1:$F$43,3,FALSE))</f>
        <v/>
      </c>
      <c r="Q2330" s="90" t="str">
        <f>IF(VLOOKUP(UncLookup[[#This Row],[Item]],Items!$A$1:$F$43,4,FALSE)=0,"",VLOOKUP(UncLookup[[#This Row],[Item]],Items!$A$1:$F$43,4,FALSE))</f>
        <v/>
      </c>
    </row>
    <row r="2331" spans="1:17" x14ac:dyDescent="0.25">
      <c r="A2331" s="76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90" t="str">
        <f>IF(VLOOKUP(UncLookup[[#This Row],[Item]],Items!$A$1:$F$43,2,FALSE)=0,"",VLOOKUP(UncLookup[[#This Row],[Item]],Items!$A$1:$F$43,2,FALSE))</f>
        <v/>
      </c>
      <c r="P2331" s="90" t="str">
        <f>IF(VLOOKUP(UncLookup[[#This Row],[Item]],Items!$A$1:$F$43,3,FALSE)=0,"",VLOOKUP(UncLookup[[#This Row],[Item]],Items!$A$1:$F$43,3,FALSE))</f>
        <v/>
      </c>
      <c r="Q2331" s="90" t="str">
        <f>IF(VLOOKUP(UncLookup[[#This Row],[Item]],Items!$A$1:$F$43,4,FALSE)=0,"",VLOOKUP(UncLookup[[#This Row],[Item]],Items!$A$1:$F$43,4,FALSE))</f>
        <v/>
      </c>
    </row>
    <row r="2332" spans="1:17" x14ac:dyDescent="0.25">
      <c r="A2332" s="75" t="s">
        <v>55</v>
      </c>
      <c r="B2332" s="75" t="s">
        <v>47</v>
      </c>
      <c r="C2332" s="75">
        <v>1.1000000000000001</v>
      </c>
      <c r="D2332" s="75">
        <v>3.0009999999999999</v>
      </c>
      <c r="E2332" s="75">
        <v>1.0000000000000001E-5</v>
      </c>
      <c r="F2332" s="75" t="s">
        <v>13</v>
      </c>
      <c r="G2332" s="75" t="s">
        <v>12</v>
      </c>
      <c r="H2332" s="75">
        <v>1</v>
      </c>
      <c r="I2332" s="75">
        <v>5.01</v>
      </c>
      <c r="J2332" s="75" t="s">
        <v>10</v>
      </c>
      <c r="K2332" s="75">
        <v>1.3</v>
      </c>
      <c r="L2332" s="75">
        <v>6.9</v>
      </c>
      <c r="M2332" s="75">
        <v>1.1548</v>
      </c>
      <c r="N2332" s="75">
        <v>6.9283000000000001</v>
      </c>
      <c r="O2332" s="90" t="str">
        <f>IF(VLOOKUP(UncLookup[[#This Row],[Item]],Items!$A$1:$F$43,2,FALSE)=0,"",VLOOKUP(UncLookup[[#This Row],[Item]],Items!$A$1:$F$43,2,FALSE))</f>
        <v/>
      </c>
      <c r="P2332" s="90" t="str">
        <f>IF(VLOOKUP(UncLookup[[#This Row],[Item]],Items!$A$1:$F$43,3,FALSE)=0,"",VLOOKUP(UncLookup[[#This Row],[Item]],Items!$A$1:$F$43,3,FALSE))</f>
        <v/>
      </c>
      <c r="Q2332" s="90" t="str">
        <f>IF(VLOOKUP(UncLookup[[#This Row],[Item]],Items!$A$1:$F$43,4,FALSE)=0,"",VLOOKUP(UncLookup[[#This Row],[Item]],Items!$A$1:$F$43,4,FALSE))</f>
        <v/>
      </c>
    </row>
    <row r="2333" spans="1:17" x14ac:dyDescent="0.25">
      <c r="A2333" s="76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90" t="str">
        <f>IF(VLOOKUP(UncLookup[[#This Row],[Item]],Items!$A$1:$F$43,2,FALSE)=0,"",VLOOKUP(UncLookup[[#This Row],[Item]],Items!$A$1:$F$43,2,FALSE))</f>
        <v/>
      </c>
      <c r="P2333" s="90" t="str">
        <f>IF(VLOOKUP(UncLookup[[#This Row],[Item]],Items!$A$1:$F$43,3,FALSE)=0,"",VLOOKUP(UncLookup[[#This Row],[Item]],Items!$A$1:$F$43,3,FALSE))</f>
        <v/>
      </c>
      <c r="Q2333" s="90" t="str">
        <f>IF(VLOOKUP(UncLookup[[#This Row],[Item]],Items!$A$1:$F$43,4,FALSE)=0,"",VLOOKUP(UncLookup[[#This Row],[Item]],Items!$A$1:$F$43,4,FALSE))</f>
        <v/>
      </c>
    </row>
    <row r="2334" spans="1:17" x14ac:dyDescent="0.25">
      <c r="A2334" s="75" t="s">
        <v>55</v>
      </c>
      <c r="B2334" s="75" t="s">
        <v>47</v>
      </c>
      <c r="C2334" s="75">
        <v>1.1000000000000001</v>
      </c>
      <c r="D2334" s="75">
        <v>3.0009999999999999</v>
      </c>
      <c r="E2334" s="75">
        <v>1E-4</v>
      </c>
      <c r="F2334" s="75" t="s">
        <v>13</v>
      </c>
      <c r="G2334" s="75" t="s">
        <v>12</v>
      </c>
      <c r="H2334" s="75">
        <v>5</v>
      </c>
      <c r="I2334" s="75">
        <v>10</v>
      </c>
      <c r="J2334" s="75" t="s">
        <v>10</v>
      </c>
      <c r="K2334" s="75">
        <v>5.8</v>
      </c>
      <c r="L2334" s="75">
        <v>29</v>
      </c>
      <c r="M2334" s="75">
        <v>5.7731000000000003</v>
      </c>
      <c r="N2334" s="75">
        <v>28.867999999999999</v>
      </c>
      <c r="O2334" s="90" t="str">
        <f>IF(VLOOKUP(UncLookup[[#This Row],[Item]],Items!$A$1:$F$43,2,FALSE)=0,"",VLOOKUP(UncLookup[[#This Row],[Item]],Items!$A$1:$F$43,2,FALSE))</f>
        <v/>
      </c>
      <c r="P2334" s="90" t="str">
        <f>IF(VLOOKUP(UncLookup[[#This Row],[Item]],Items!$A$1:$F$43,3,FALSE)=0,"",VLOOKUP(UncLookup[[#This Row],[Item]],Items!$A$1:$F$43,3,FALSE))</f>
        <v/>
      </c>
      <c r="Q2334" s="90" t="str">
        <f>IF(VLOOKUP(UncLookup[[#This Row],[Item]],Items!$A$1:$F$43,4,FALSE)=0,"",VLOOKUP(UncLookup[[#This Row],[Item]],Items!$A$1:$F$43,4,FALSE))</f>
        <v/>
      </c>
    </row>
    <row r="2335" spans="1:17" x14ac:dyDescent="0.25">
      <c r="A2335" s="76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90" t="str">
        <f>IF(VLOOKUP(UncLookup[[#This Row],[Item]],Items!$A$1:$F$43,2,FALSE)=0,"",VLOOKUP(UncLookup[[#This Row],[Item]],Items!$A$1:$F$43,2,FALSE))</f>
        <v/>
      </c>
      <c r="P2335" s="90" t="str">
        <f>IF(VLOOKUP(UncLookup[[#This Row],[Item]],Items!$A$1:$F$43,3,FALSE)=0,"",VLOOKUP(UncLookup[[#This Row],[Item]],Items!$A$1:$F$43,3,FALSE))</f>
        <v/>
      </c>
      <c r="Q2335" s="90" t="str">
        <f>IF(VLOOKUP(UncLookup[[#This Row],[Item]],Items!$A$1:$F$43,4,FALSE)=0,"",VLOOKUP(UncLookup[[#This Row],[Item]],Items!$A$1:$F$43,4,FALSE))</f>
        <v/>
      </c>
    </row>
    <row r="2336" spans="1:17" x14ac:dyDescent="0.25">
      <c r="A2336" s="75" t="s">
        <v>55</v>
      </c>
      <c r="B2336" s="75" t="s">
        <v>47</v>
      </c>
      <c r="C2336" s="75">
        <v>1.1000000000000001</v>
      </c>
      <c r="D2336" s="75">
        <v>3.0009999999999999</v>
      </c>
      <c r="E2336" s="75">
        <v>1E-4</v>
      </c>
      <c r="F2336" s="75" t="s">
        <v>13</v>
      </c>
      <c r="G2336" s="75" t="s">
        <v>12</v>
      </c>
      <c r="H2336" s="75">
        <v>10</v>
      </c>
      <c r="I2336" s="75">
        <v>10.01</v>
      </c>
      <c r="J2336" s="75" t="s">
        <v>10</v>
      </c>
      <c r="K2336" s="75">
        <v>5.8</v>
      </c>
      <c r="L2336" s="75">
        <v>29</v>
      </c>
      <c r="M2336" s="75">
        <v>5.7731000000000003</v>
      </c>
      <c r="N2336" s="75">
        <v>28.867999999999999</v>
      </c>
      <c r="O2336" s="90" t="str">
        <f>IF(VLOOKUP(UncLookup[[#This Row],[Item]],Items!$A$1:$F$43,2,FALSE)=0,"",VLOOKUP(UncLookup[[#This Row],[Item]],Items!$A$1:$F$43,2,FALSE))</f>
        <v/>
      </c>
      <c r="P2336" s="90" t="str">
        <f>IF(VLOOKUP(UncLookup[[#This Row],[Item]],Items!$A$1:$F$43,3,FALSE)=0,"",VLOOKUP(UncLookup[[#This Row],[Item]],Items!$A$1:$F$43,3,FALSE))</f>
        <v/>
      </c>
      <c r="Q2336" s="90" t="str">
        <f>IF(VLOOKUP(UncLookup[[#This Row],[Item]],Items!$A$1:$F$43,4,FALSE)=0,"",VLOOKUP(UncLookup[[#This Row],[Item]],Items!$A$1:$F$43,4,FALSE))</f>
        <v/>
      </c>
    </row>
    <row r="2337" spans="1:17" x14ac:dyDescent="0.25">
      <c r="A2337" s="76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90" t="str">
        <f>IF(VLOOKUP(UncLookup[[#This Row],[Item]],Items!$A$1:$F$43,2,FALSE)=0,"",VLOOKUP(UncLookup[[#This Row],[Item]],Items!$A$1:$F$43,2,FALSE))</f>
        <v/>
      </c>
      <c r="P2337" s="90" t="str">
        <f>IF(VLOOKUP(UncLookup[[#This Row],[Item]],Items!$A$1:$F$43,3,FALSE)=0,"",VLOOKUP(UncLookup[[#This Row],[Item]],Items!$A$1:$F$43,3,FALSE))</f>
        <v/>
      </c>
      <c r="Q2337" s="90" t="str">
        <f>IF(VLOOKUP(UncLookup[[#This Row],[Item]],Items!$A$1:$F$43,4,FALSE)=0,"",VLOOKUP(UncLookup[[#This Row],[Item]],Items!$A$1:$F$43,4,FALSE))</f>
        <v/>
      </c>
    </row>
    <row r="2338" spans="1:17" x14ac:dyDescent="0.25">
      <c r="A2338" s="75" t="s">
        <v>55</v>
      </c>
      <c r="B2338" s="75" t="s">
        <v>47</v>
      </c>
      <c r="C2338" s="75">
        <v>1.1000000000000001</v>
      </c>
      <c r="D2338" s="75">
        <v>3.0009999999999999</v>
      </c>
      <c r="E2338" s="75">
        <v>1E-4</v>
      </c>
      <c r="F2338" s="75" t="s">
        <v>13</v>
      </c>
      <c r="G2338" s="75" t="s">
        <v>12</v>
      </c>
      <c r="H2338" s="75">
        <v>4.4999999999999998E-2</v>
      </c>
      <c r="I2338" s="75">
        <v>1.0000100000000001</v>
      </c>
      <c r="J2338" s="75" t="s">
        <v>10</v>
      </c>
      <c r="K2338" s="75">
        <v>0.13</v>
      </c>
      <c r="L2338" s="75">
        <v>0.69</v>
      </c>
      <c r="M2338" s="75">
        <v>0.11867999999999999</v>
      </c>
      <c r="N2338" s="75">
        <v>0.69310000000000005</v>
      </c>
      <c r="O2338" s="90" t="str">
        <f>IF(VLOOKUP(UncLookup[[#This Row],[Item]],Items!$A$1:$F$43,2,FALSE)=0,"",VLOOKUP(UncLookup[[#This Row],[Item]],Items!$A$1:$F$43,2,FALSE))</f>
        <v/>
      </c>
      <c r="P2338" s="90" t="str">
        <f>IF(VLOOKUP(UncLookup[[#This Row],[Item]],Items!$A$1:$F$43,3,FALSE)=0,"",VLOOKUP(UncLookup[[#This Row],[Item]],Items!$A$1:$F$43,3,FALSE))</f>
        <v/>
      </c>
      <c r="Q2338" s="90" t="str">
        <f>IF(VLOOKUP(UncLookup[[#This Row],[Item]],Items!$A$1:$F$43,4,FALSE)=0,"",VLOOKUP(UncLookup[[#This Row],[Item]],Items!$A$1:$F$43,4,FALSE))</f>
        <v/>
      </c>
    </row>
    <row r="2339" spans="1:17" x14ac:dyDescent="0.25">
      <c r="A2339" s="76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90" t="str">
        <f>IF(VLOOKUP(UncLookup[[#This Row],[Item]],Items!$A$1:$F$43,2,FALSE)=0,"",VLOOKUP(UncLookup[[#This Row],[Item]],Items!$A$1:$F$43,2,FALSE))</f>
        <v/>
      </c>
      <c r="P2339" s="90" t="str">
        <f>IF(VLOOKUP(UncLookup[[#This Row],[Item]],Items!$A$1:$F$43,3,FALSE)=0,"",VLOOKUP(UncLookup[[#This Row],[Item]],Items!$A$1:$F$43,3,FALSE))</f>
        <v/>
      </c>
      <c r="Q2339" s="90" t="str">
        <f>IF(VLOOKUP(UncLookup[[#This Row],[Item]],Items!$A$1:$F$43,4,FALSE)=0,"",VLOOKUP(UncLookup[[#This Row],[Item]],Items!$A$1:$F$43,4,FALSE))</f>
        <v/>
      </c>
    </row>
    <row r="2340" spans="1:17" x14ac:dyDescent="0.25">
      <c r="A2340" s="75" t="s">
        <v>55</v>
      </c>
      <c r="B2340" s="75" t="s">
        <v>47</v>
      </c>
      <c r="C2340" s="75">
        <v>1.1000000000000001</v>
      </c>
      <c r="D2340" s="75">
        <v>3.0009999999999999</v>
      </c>
      <c r="E2340" s="75">
        <v>1E-3</v>
      </c>
      <c r="F2340" s="75" t="s">
        <v>13</v>
      </c>
      <c r="G2340" s="75" t="s">
        <v>12</v>
      </c>
      <c r="H2340" s="75">
        <v>1</v>
      </c>
      <c r="I2340" s="75">
        <v>5.01</v>
      </c>
      <c r="J2340" s="75" t="s">
        <v>10</v>
      </c>
      <c r="K2340" s="75">
        <v>1.3</v>
      </c>
      <c r="L2340" s="75">
        <v>6.9</v>
      </c>
      <c r="M2340" s="75">
        <v>1.1803999999999999</v>
      </c>
      <c r="N2340" s="75">
        <v>6.9222999999999999</v>
      </c>
      <c r="O2340" s="90" t="str">
        <f>IF(VLOOKUP(UncLookup[[#This Row],[Item]],Items!$A$1:$F$43,2,FALSE)=0,"",VLOOKUP(UncLookup[[#This Row],[Item]],Items!$A$1:$F$43,2,FALSE))</f>
        <v/>
      </c>
      <c r="P2340" s="90" t="str">
        <f>IF(VLOOKUP(UncLookup[[#This Row],[Item]],Items!$A$1:$F$43,3,FALSE)=0,"",VLOOKUP(UncLookup[[#This Row],[Item]],Items!$A$1:$F$43,3,FALSE))</f>
        <v/>
      </c>
      <c r="Q2340" s="90" t="str">
        <f>IF(VLOOKUP(UncLookup[[#This Row],[Item]],Items!$A$1:$F$43,4,FALSE)=0,"",VLOOKUP(UncLookup[[#This Row],[Item]],Items!$A$1:$F$43,4,FALSE))</f>
        <v/>
      </c>
    </row>
    <row r="2341" spans="1:17" x14ac:dyDescent="0.25">
      <c r="A2341" s="76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90" t="str">
        <f>IF(VLOOKUP(UncLookup[[#This Row],[Item]],Items!$A$1:$F$43,2,FALSE)=0,"",VLOOKUP(UncLookup[[#This Row],[Item]],Items!$A$1:$F$43,2,FALSE))</f>
        <v/>
      </c>
      <c r="P2341" s="90" t="str">
        <f>IF(VLOOKUP(UncLookup[[#This Row],[Item]],Items!$A$1:$F$43,3,FALSE)=0,"",VLOOKUP(UncLookup[[#This Row],[Item]],Items!$A$1:$F$43,3,FALSE))</f>
        <v/>
      </c>
      <c r="Q2341" s="90" t="str">
        <f>IF(VLOOKUP(UncLookup[[#This Row],[Item]],Items!$A$1:$F$43,4,FALSE)=0,"",VLOOKUP(UncLookup[[#This Row],[Item]],Items!$A$1:$F$43,4,FALSE))</f>
        <v/>
      </c>
    </row>
    <row r="2342" spans="1:17" x14ac:dyDescent="0.25">
      <c r="A2342" s="75" t="s">
        <v>55</v>
      </c>
      <c r="B2342" s="75" t="s">
        <v>47</v>
      </c>
      <c r="C2342" s="75">
        <v>1.1000000000000001</v>
      </c>
      <c r="D2342" s="75">
        <v>3.0009999999999999</v>
      </c>
      <c r="E2342" s="75">
        <v>1E-3</v>
      </c>
      <c r="F2342" s="75" t="s">
        <v>13</v>
      </c>
      <c r="G2342" s="75" t="s">
        <v>12</v>
      </c>
      <c r="H2342" s="75">
        <v>5</v>
      </c>
      <c r="I2342" s="75">
        <v>10</v>
      </c>
      <c r="J2342" s="75" t="s">
        <v>10</v>
      </c>
      <c r="K2342" s="75">
        <v>5.8</v>
      </c>
      <c r="L2342" s="75">
        <v>29</v>
      </c>
      <c r="M2342" s="75">
        <v>5.78</v>
      </c>
      <c r="N2342" s="75">
        <v>28.866</v>
      </c>
      <c r="O2342" s="90" t="str">
        <f>IF(VLOOKUP(UncLookup[[#This Row],[Item]],Items!$A$1:$F$43,2,FALSE)=0,"",VLOOKUP(UncLookup[[#This Row],[Item]],Items!$A$1:$F$43,2,FALSE))</f>
        <v/>
      </c>
      <c r="P2342" s="90" t="str">
        <f>IF(VLOOKUP(UncLookup[[#This Row],[Item]],Items!$A$1:$F$43,3,FALSE)=0,"",VLOOKUP(UncLookup[[#This Row],[Item]],Items!$A$1:$F$43,3,FALSE))</f>
        <v/>
      </c>
      <c r="Q2342" s="90" t="str">
        <f>IF(VLOOKUP(UncLookup[[#This Row],[Item]],Items!$A$1:$F$43,4,FALSE)=0,"",VLOOKUP(UncLookup[[#This Row],[Item]],Items!$A$1:$F$43,4,FALSE))</f>
        <v/>
      </c>
    </row>
    <row r="2343" spans="1:17" x14ac:dyDescent="0.25">
      <c r="A2343" s="76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90" t="str">
        <f>IF(VLOOKUP(UncLookup[[#This Row],[Item]],Items!$A$1:$F$43,2,FALSE)=0,"",VLOOKUP(UncLookup[[#This Row],[Item]],Items!$A$1:$F$43,2,FALSE))</f>
        <v/>
      </c>
      <c r="P2343" s="90" t="str">
        <f>IF(VLOOKUP(UncLookup[[#This Row],[Item]],Items!$A$1:$F$43,3,FALSE)=0,"",VLOOKUP(UncLookup[[#This Row],[Item]],Items!$A$1:$F$43,3,FALSE))</f>
        <v/>
      </c>
      <c r="Q2343" s="90" t="str">
        <f>IF(VLOOKUP(UncLookup[[#This Row],[Item]],Items!$A$1:$F$43,4,FALSE)=0,"",VLOOKUP(UncLookup[[#This Row],[Item]],Items!$A$1:$F$43,4,FALSE))</f>
        <v/>
      </c>
    </row>
    <row r="2344" spans="1:17" x14ac:dyDescent="0.25">
      <c r="A2344" s="75" t="s">
        <v>55</v>
      </c>
      <c r="B2344" s="75" t="s">
        <v>47</v>
      </c>
      <c r="C2344" s="75">
        <v>1.1000000000000001</v>
      </c>
      <c r="D2344" s="75">
        <v>3.0009999999999999</v>
      </c>
      <c r="E2344" s="75">
        <v>0.01</v>
      </c>
      <c r="F2344" s="75" t="s">
        <v>13</v>
      </c>
      <c r="G2344" s="75" t="s">
        <v>12</v>
      </c>
      <c r="H2344" s="75">
        <v>4.4999999999999998E-2</v>
      </c>
      <c r="I2344" s="75">
        <v>1.0000100000000001</v>
      </c>
      <c r="J2344" s="75" t="s">
        <v>10</v>
      </c>
      <c r="K2344" s="75">
        <v>5.6463000000000001</v>
      </c>
      <c r="L2344" s="75">
        <v>0.18057000000000001</v>
      </c>
      <c r="M2344" s="75">
        <v>5.6448</v>
      </c>
      <c r="N2344" s="75">
        <v>0.17757999999999999</v>
      </c>
      <c r="O2344" s="90" t="str">
        <f>IF(VLOOKUP(UncLookup[[#This Row],[Item]],Items!$A$1:$F$43,2,FALSE)=0,"",VLOOKUP(UncLookup[[#This Row],[Item]],Items!$A$1:$F$43,2,FALSE))</f>
        <v/>
      </c>
      <c r="P2344" s="90" t="str">
        <f>IF(VLOOKUP(UncLookup[[#This Row],[Item]],Items!$A$1:$F$43,3,FALSE)=0,"",VLOOKUP(UncLookup[[#This Row],[Item]],Items!$A$1:$F$43,3,FALSE))</f>
        <v/>
      </c>
      <c r="Q2344" s="90" t="str">
        <f>IF(VLOOKUP(UncLookup[[#This Row],[Item]],Items!$A$1:$F$43,4,FALSE)=0,"",VLOOKUP(UncLookup[[#This Row],[Item]],Items!$A$1:$F$43,4,FALSE))</f>
        <v/>
      </c>
    </row>
    <row r="2345" spans="1:17" x14ac:dyDescent="0.25">
      <c r="A2345" s="76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90" t="str">
        <f>IF(VLOOKUP(UncLookup[[#This Row],[Item]],Items!$A$1:$F$43,2,FALSE)=0,"",VLOOKUP(UncLookup[[#This Row],[Item]],Items!$A$1:$F$43,2,FALSE))</f>
        <v/>
      </c>
      <c r="P2345" s="90" t="str">
        <f>IF(VLOOKUP(UncLookup[[#This Row],[Item]],Items!$A$1:$F$43,3,FALSE)=0,"",VLOOKUP(UncLookup[[#This Row],[Item]],Items!$A$1:$F$43,3,FALSE))</f>
        <v/>
      </c>
      <c r="Q2345" s="90" t="str">
        <f>IF(VLOOKUP(UncLookup[[#This Row],[Item]],Items!$A$1:$F$43,4,FALSE)=0,"",VLOOKUP(UncLookup[[#This Row],[Item]],Items!$A$1:$F$43,4,FALSE))</f>
        <v/>
      </c>
    </row>
    <row r="2346" spans="1:17" x14ac:dyDescent="0.25">
      <c r="A2346" s="75" t="s">
        <v>55</v>
      </c>
      <c r="B2346" s="75" t="s">
        <v>47</v>
      </c>
      <c r="C2346" s="75">
        <v>1.1000000000000001</v>
      </c>
      <c r="D2346" s="75">
        <v>3.0009999999999999</v>
      </c>
      <c r="E2346" s="75">
        <v>0.01</v>
      </c>
      <c r="F2346" s="75" t="s">
        <v>13</v>
      </c>
      <c r="G2346" s="75" t="s">
        <v>12</v>
      </c>
      <c r="H2346" s="75">
        <v>1</v>
      </c>
      <c r="I2346" s="75">
        <v>5.01</v>
      </c>
      <c r="J2346" s="75" t="s">
        <v>10</v>
      </c>
      <c r="K2346" s="75">
        <v>3.4546999999999999</v>
      </c>
      <c r="L2346" s="75">
        <v>6.4116</v>
      </c>
      <c r="M2346" s="75">
        <v>3.4521000000000002</v>
      </c>
      <c r="N2346" s="75">
        <v>6.4115000000000002</v>
      </c>
      <c r="O2346" s="90" t="str">
        <f>IF(VLOOKUP(UncLookup[[#This Row],[Item]],Items!$A$1:$F$43,2,FALSE)=0,"",VLOOKUP(UncLookup[[#This Row],[Item]],Items!$A$1:$F$43,2,FALSE))</f>
        <v/>
      </c>
      <c r="P2346" s="90" t="str">
        <f>IF(VLOOKUP(UncLookup[[#This Row],[Item]],Items!$A$1:$F$43,3,FALSE)=0,"",VLOOKUP(UncLookup[[#This Row],[Item]],Items!$A$1:$F$43,3,FALSE))</f>
        <v/>
      </c>
      <c r="Q2346" s="90" t="str">
        <f>IF(VLOOKUP(UncLookup[[#This Row],[Item]],Items!$A$1:$F$43,4,FALSE)=0,"",VLOOKUP(UncLookup[[#This Row],[Item]],Items!$A$1:$F$43,4,FALSE))</f>
        <v/>
      </c>
    </row>
    <row r="2347" spans="1:17" x14ac:dyDescent="0.25">
      <c r="A2347" s="76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90" t="str">
        <f>IF(VLOOKUP(UncLookup[[#This Row],[Item]],Items!$A$1:$F$43,2,FALSE)=0,"",VLOOKUP(UncLookup[[#This Row],[Item]],Items!$A$1:$F$43,2,FALSE))</f>
        <v/>
      </c>
      <c r="P2347" s="90" t="str">
        <f>IF(VLOOKUP(UncLookup[[#This Row],[Item]],Items!$A$1:$F$43,3,FALSE)=0,"",VLOOKUP(UncLookup[[#This Row],[Item]],Items!$A$1:$F$43,3,FALSE))</f>
        <v/>
      </c>
      <c r="Q2347" s="90" t="str">
        <f>IF(VLOOKUP(UncLookup[[#This Row],[Item]],Items!$A$1:$F$43,4,FALSE)=0,"",VLOOKUP(UncLookup[[#This Row],[Item]],Items!$A$1:$F$43,4,FALSE))</f>
        <v/>
      </c>
    </row>
    <row r="2348" spans="1:17" x14ac:dyDescent="0.25">
      <c r="A2348" s="75" t="s">
        <v>55</v>
      </c>
      <c r="B2348" s="75" t="s">
        <v>47</v>
      </c>
      <c r="C2348" s="75">
        <v>1.1000000000000001</v>
      </c>
      <c r="D2348" s="75">
        <v>3.0009999999999999</v>
      </c>
      <c r="E2348" s="75">
        <v>0.01</v>
      </c>
      <c r="F2348" s="75" t="s">
        <v>13</v>
      </c>
      <c r="G2348" s="75" t="s">
        <v>12</v>
      </c>
      <c r="H2348" s="75">
        <v>5</v>
      </c>
      <c r="I2348" s="75">
        <v>10</v>
      </c>
      <c r="J2348" s="75" t="s">
        <v>10</v>
      </c>
      <c r="K2348" s="75">
        <v>6.2283999999999997</v>
      </c>
      <c r="L2348" s="75">
        <v>28.856999999999999</v>
      </c>
      <c r="M2348" s="75">
        <v>6.3663999999999996</v>
      </c>
      <c r="N2348" s="75">
        <v>28.73</v>
      </c>
      <c r="O2348" s="90" t="str">
        <f>IF(VLOOKUP(UncLookup[[#This Row],[Item]],Items!$A$1:$F$43,2,FALSE)=0,"",VLOOKUP(UncLookup[[#This Row],[Item]],Items!$A$1:$F$43,2,FALSE))</f>
        <v/>
      </c>
      <c r="P2348" s="90" t="str">
        <f>IF(VLOOKUP(UncLookup[[#This Row],[Item]],Items!$A$1:$F$43,3,FALSE)=0,"",VLOOKUP(UncLookup[[#This Row],[Item]],Items!$A$1:$F$43,3,FALSE))</f>
        <v/>
      </c>
      <c r="Q2348" s="90" t="str">
        <f>IF(VLOOKUP(UncLookup[[#This Row],[Item]],Items!$A$1:$F$43,4,FALSE)=0,"",VLOOKUP(UncLookup[[#This Row],[Item]],Items!$A$1:$F$43,4,FALSE))</f>
        <v/>
      </c>
    </row>
    <row r="2349" spans="1:17" x14ac:dyDescent="0.25">
      <c r="A2349" s="76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90" t="str">
        <f>IF(VLOOKUP(UncLookup[[#This Row],[Item]],Items!$A$1:$F$43,2,FALSE)=0,"",VLOOKUP(UncLookup[[#This Row],[Item]],Items!$A$1:$F$43,2,FALSE))</f>
        <v/>
      </c>
      <c r="P2349" s="90" t="str">
        <f>IF(VLOOKUP(UncLookup[[#This Row],[Item]],Items!$A$1:$F$43,3,FALSE)=0,"",VLOOKUP(UncLookup[[#This Row],[Item]],Items!$A$1:$F$43,3,FALSE))</f>
        <v/>
      </c>
      <c r="Q2349" s="90" t="str">
        <f>IF(VLOOKUP(UncLookup[[#This Row],[Item]],Items!$A$1:$F$43,4,FALSE)=0,"",VLOOKUP(UncLookup[[#This Row],[Item]],Items!$A$1:$F$43,4,FALSE))</f>
        <v/>
      </c>
    </row>
    <row r="2350" spans="1:17" x14ac:dyDescent="0.25">
      <c r="A2350" s="75" t="s">
        <v>55</v>
      </c>
      <c r="B2350" s="75" t="s">
        <v>47</v>
      </c>
      <c r="C2350" s="75">
        <v>1.1000000000000001</v>
      </c>
      <c r="D2350" s="75">
        <v>3.0009999999999999</v>
      </c>
      <c r="E2350" s="75">
        <v>0.1</v>
      </c>
      <c r="F2350" s="75" t="s">
        <v>13</v>
      </c>
      <c r="G2350" s="75" t="s">
        <v>12</v>
      </c>
      <c r="H2350" s="75">
        <v>10</v>
      </c>
      <c r="I2350" s="75">
        <v>10.01</v>
      </c>
      <c r="J2350" s="75" t="s">
        <v>10</v>
      </c>
      <c r="K2350" s="75">
        <v>45.661999999999999</v>
      </c>
      <c r="L2350" s="75">
        <v>21.093</v>
      </c>
      <c r="M2350" s="75">
        <v>45.658999999999999</v>
      </c>
      <c r="N2350" s="75">
        <v>21.091999999999999</v>
      </c>
      <c r="O2350" s="90" t="str">
        <f>IF(VLOOKUP(UncLookup[[#This Row],[Item]],Items!$A$1:$F$43,2,FALSE)=0,"",VLOOKUP(UncLookup[[#This Row],[Item]],Items!$A$1:$F$43,2,FALSE))</f>
        <v/>
      </c>
      <c r="P2350" s="90" t="str">
        <f>IF(VLOOKUP(UncLookup[[#This Row],[Item]],Items!$A$1:$F$43,3,FALSE)=0,"",VLOOKUP(UncLookup[[#This Row],[Item]],Items!$A$1:$F$43,3,FALSE))</f>
        <v/>
      </c>
      <c r="Q2350" s="90" t="str">
        <f>IF(VLOOKUP(UncLookup[[#This Row],[Item]],Items!$A$1:$F$43,4,FALSE)=0,"",VLOOKUP(UncLookup[[#This Row],[Item]],Items!$A$1:$F$43,4,FALSE))</f>
        <v/>
      </c>
    </row>
    <row r="2351" spans="1:17" x14ac:dyDescent="0.25">
      <c r="A2351" s="76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90" t="str">
        <f>IF(VLOOKUP(UncLookup[[#This Row],[Item]],Items!$A$1:$F$43,2,FALSE)=0,"",VLOOKUP(UncLookup[[#This Row],[Item]],Items!$A$1:$F$43,2,FALSE))</f>
        <v/>
      </c>
      <c r="P2351" s="90" t="str">
        <f>IF(VLOOKUP(UncLookup[[#This Row],[Item]],Items!$A$1:$F$43,3,FALSE)=0,"",VLOOKUP(UncLookup[[#This Row],[Item]],Items!$A$1:$F$43,3,FALSE))</f>
        <v/>
      </c>
      <c r="Q2351" s="90" t="str">
        <f>IF(VLOOKUP(UncLookup[[#This Row],[Item]],Items!$A$1:$F$43,4,FALSE)=0,"",VLOOKUP(UncLookup[[#This Row],[Item]],Items!$A$1:$F$43,4,FALSE))</f>
        <v/>
      </c>
    </row>
    <row r="2352" spans="1:17" x14ac:dyDescent="0.25">
      <c r="A2352" s="75" t="s">
        <v>55</v>
      </c>
      <c r="B2352" s="75" t="s">
        <v>47</v>
      </c>
      <c r="C2352" s="75">
        <v>1.1000000000000001</v>
      </c>
      <c r="D2352" s="75">
        <v>3.0009999999999999</v>
      </c>
      <c r="E2352" s="75">
        <v>0.1</v>
      </c>
      <c r="F2352" s="75" t="s">
        <v>13</v>
      </c>
      <c r="G2352" s="75" t="s">
        <v>12</v>
      </c>
      <c r="H2352" s="75">
        <v>5</v>
      </c>
      <c r="I2352" s="75">
        <v>10</v>
      </c>
      <c r="J2352" s="75" t="s">
        <v>10</v>
      </c>
      <c r="K2352" s="75">
        <v>45.661999999999999</v>
      </c>
      <c r="L2352" s="75">
        <v>21.093</v>
      </c>
      <c r="M2352" s="75">
        <v>45.658999999999999</v>
      </c>
      <c r="N2352" s="75">
        <v>21.091999999999999</v>
      </c>
      <c r="O2352" s="90" t="str">
        <f>IF(VLOOKUP(UncLookup[[#This Row],[Item]],Items!$A$1:$F$43,2,FALSE)=0,"",VLOOKUP(UncLookup[[#This Row],[Item]],Items!$A$1:$F$43,2,FALSE))</f>
        <v/>
      </c>
      <c r="P2352" s="90" t="str">
        <f>IF(VLOOKUP(UncLookup[[#This Row],[Item]],Items!$A$1:$F$43,3,FALSE)=0,"",VLOOKUP(UncLookup[[#This Row],[Item]],Items!$A$1:$F$43,3,FALSE))</f>
        <v/>
      </c>
      <c r="Q2352" s="90" t="str">
        <f>IF(VLOOKUP(UncLookup[[#This Row],[Item]],Items!$A$1:$F$43,4,FALSE)=0,"",VLOOKUP(UncLookup[[#This Row],[Item]],Items!$A$1:$F$43,4,FALSE))</f>
        <v/>
      </c>
    </row>
    <row r="2353" spans="1:17" x14ac:dyDescent="0.25">
      <c r="A2353" s="76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90" t="str">
        <f>IF(VLOOKUP(UncLookup[[#This Row],[Item]],Items!$A$1:$F$43,2,FALSE)=0,"",VLOOKUP(UncLookup[[#This Row],[Item]],Items!$A$1:$F$43,2,FALSE))</f>
        <v/>
      </c>
      <c r="P2353" s="90" t="str">
        <f>IF(VLOOKUP(UncLookup[[#This Row],[Item]],Items!$A$1:$F$43,3,FALSE)=0,"",VLOOKUP(UncLookup[[#This Row],[Item]],Items!$A$1:$F$43,3,FALSE))</f>
        <v/>
      </c>
      <c r="Q2353" s="90" t="str">
        <f>IF(VLOOKUP(UncLookup[[#This Row],[Item]],Items!$A$1:$F$43,4,FALSE)=0,"",VLOOKUP(UncLookup[[#This Row],[Item]],Items!$A$1:$F$43,4,FALSE))</f>
        <v/>
      </c>
    </row>
    <row r="2354" spans="1:17" x14ac:dyDescent="0.25">
      <c r="A2354" s="75" t="s">
        <v>55</v>
      </c>
      <c r="B2354" s="75" t="s">
        <v>47</v>
      </c>
      <c r="C2354" s="75">
        <v>3</v>
      </c>
      <c r="D2354" s="75">
        <v>11.000999999999999</v>
      </c>
      <c r="E2354" s="75">
        <v>1E-4</v>
      </c>
      <c r="F2354" s="75" t="s">
        <v>13</v>
      </c>
      <c r="G2354" s="75" t="s">
        <v>12</v>
      </c>
      <c r="H2354" s="75">
        <v>4.4999999999999998E-2</v>
      </c>
      <c r="I2354" s="75">
        <v>0.10001</v>
      </c>
      <c r="J2354" s="75" t="s">
        <v>10</v>
      </c>
      <c r="K2354" s="75">
        <v>2.4</v>
      </c>
      <c r="L2354" s="75">
        <v>0.69</v>
      </c>
      <c r="M2354" s="75">
        <v>2.3298000000000001</v>
      </c>
      <c r="N2354" s="75">
        <v>0.69372999999999996</v>
      </c>
      <c r="O2354" s="90" t="str">
        <f>IF(VLOOKUP(UncLookup[[#This Row],[Item]],Items!$A$1:$F$43,2,FALSE)=0,"",VLOOKUP(UncLookup[[#This Row],[Item]],Items!$A$1:$F$43,2,FALSE))</f>
        <v/>
      </c>
      <c r="P2354" s="90" t="str">
        <f>IF(VLOOKUP(UncLookup[[#This Row],[Item]],Items!$A$1:$F$43,3,FALSE)=0,"",VLOOKUP(UncLookup[[#This Row],[Item]],Items!$A$1:$F$43,3,FALSE))</f>
        <v/>
      </c>
      <c r="Q2354" s="90" t="str">
        <f>IF(VLOOKUP(UncLookup[[#This Row],[Item]],Items!$A$1:$F$43,4,FALSE)=0,"",VLOOKUP(UncLookup[[#This Row],[Item]],Items!$A$1:$F$43,4,FALSE))</f>
        <v/>
      </c>
    </row>
    <row r="2355" spans="1:17" x14ac:dyDescent="0.25">
      <c r="A2355" s="76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90" t="str">
        <f>IF(VLOOKUP(UncLookup[[#This Row],[Item]],Items!$A$1:$F$43,2,FALSE)=0,"",VLOOKUP(UncLookup[[#This Row],[Item]],Items!$A$1:$F$43,2,FALSE))</f>
        <v/>
      </c>
      <c r="P2355" s="90" t="str">
        <f>IF(VLOOKUP(UncLookup[[#This Row],[Item]],Items!$A$1:$F$43,3,FALSE)=0,"",VLOOKUP(UncLookup[[#This Row],[Item]],Items!$A$1:$F$43,3,FALSE))</f>
        <v/>
      </c>
      <c r="Q2355" s="90" t="str">
        <f>IF(VLOOKUP(UncLookup[[#This Row],[Item]],Items!$A$1:$F$43,4,FALSE)=0,"",VLOOKUP(UncLookup[[#This Row],[Item]],Items!$A$1:$F$43,4,FALSE))</f>
        <v/>
      </c>
    </row>
    <row r="2356" spans="1:17" x14ac:dyDescent="0.25">
      <c r="A2356" s="75" t="s">
        <v>55</v>
      </c>
      <c r="B2356" s="75" t="s">
        <v>47</v>
      </c>
      <c r="C2356" s="75">
        <v>3</v>
      </c>
      <c r="D2356" s="75">
        <v>11.000999999999999</v>
      </c>
      <c r="E2356" s="75">
        <v>1E-4</v>
      </c>
      <c r="F2356" s="75" t="s">
        <v>13</v>
      </c>
      <c r="G2356" s="75" t="s">
        <v>12</v>
      </c>
      <c r="H2356" s="75">
        <v>5</v>
      </c>
      <c r="I2356" s="75">
        <v>5.01</v>
      </c>
      <c r="J2356" s="75" t="s">
        <v>10</v>
      </c>
      <c r="K2356" s="75">
        <v>2.5</v>
      </c>
      <c r="L2356" s="75">
        <v>35</v>
      </c>
      <c r="M2356" s="75">
        <v>2.3102999999999998</v>
      </c>
      <c r="N2356" s="75">
        <v>34.640999999999998</v>
      </c>
      <c r="O2356" s="90" t="str">
        <f>IF(VLOOKUP(UncLookup[[#This Row],[Item]],Items!$A$1:$F$43,2,FALSE)=0,"",VLOOKUP(UncLookup[[#This Row],[Item]],Items!$A$1:$F$43,2,FALSE))</f>
        <v/>
      </c>
      <c r="P2356" s="90" t="str">
        <f>IF(VLOOKUP(UncLookup[[#This Row],[Item]],Items!$A$1:$F$43,3,FALSE)=0,"",VLOOKUP(UncLookup[[#This Row],[Item]],Items!$A$1:$F$43,3,FALSE))</f>
        <v/>
      </c>
      <c r="Q2356" s="90" t="str">
        <f>IF(VLOOKUP(UncLookup[[#This Row],[Item]],Items!$A$1:$F$43,4,FALSE)=0,"",VLOOKUP(UncLookup[[#This Row],[Item]],Items!$A$1:$F$43,4,FALSE))</f>
        <v/>
      </c>
    </row>
    <row r="2357" spans="1:17" x14ac:dyDescent="0.25">
      <c r="A2357" s="76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90" t="str">
        <f>IF(VLOOKUP(UncLookup[[#This Row],[Item]],Items!$A$1:$F$43,2,FALSE)=0,"",VLOOKUP(UncLookup[[#This Row],[Item]],Items!$A$1:$F$43,2,FALSE))</f>
        <v/>
      </c>
      <c r="P2357" s="90" t="str">
        <f>IF(VLOOKUP(UncLookup[[#This Row],[Item]],Items!$A$1:$F$43,3,FALSE)=0,"",VLOOKUP(UncLookup[[#This Row],[Item]],Items!$A$1:$F$43,3,FALSE))</f>
        <v/>
      </c>
      <c r="Q2357" s="90" t="str">
        <f>IF(VLOOKUP(UncLookup[[#This Row],[Item]],Items!$A$1:$F$43,4,FALSE)=0,"",VLOOKUP(UncLookup[[#This Row],[Item]],Items!$A$1:$F$43,4,FALSE))</f>
        <v/>
      </c>
    </row>
    <row r="2358" spans="1:17" x14ac:dyDescent="0.25">
      <c r="A2358" s="75" t="s">
        <v>55</v>
      </c>
      <c r="B2358" s="75" t="s">
        <v>47</v>
      </c>
      <c r="C2358" s="75">
        <v>3</v>
      </c>
      <c r="D2358" s="75">
        <v>11.000999999999999</v>
      </c>
      <c r="E2358" s="75">
        <v>1E-3</v>
      </c>
      <c r="F2358" s="75" t="s">
        <v>13</v>
      </c>
      <c r="G2358" s="75" t="s">
        <v>12</v>
      </c>
      <c r="H2358" s="75">
        <v>1</v>
      </c>
      <c r="I2358" s="75">
        <v>5</v>
      </c>
      <c r="J2358" s="75" t="s">
        <v>10</v>
      </c>
      <c r="K2358" s="75">
        <v>2.5</v>
      </c>
      <c r="L2358" s="75">
        <v>35</v>
      </c>
      <c r="M2358" s="75">
        <v>2.3111999999999999</v>
      </c>
      <c r="N2358" s="75">
        <v>34.640999999999998</v>
      </c>
      <c r="O2358" s="90" t="str">
        <f>IF(VLOOKUP(UncLookup[[#This Row],[Item]],Items!$A$1:$F$43,2,FALSE)=0,"",VLOOKUP(UncLookup[[#This Row],[Item]],Items!$A$1:$F$43,2,FALSE))</f>
        <v/>
      </c>
      <c r="P2358" s="90" t="str">
        <f>IF(VLOOKUP(UncLookup[[#This Row],[Item]],Items!$A$1:$F$43,3,FALSE)=0,"",VLOOKUP(UncLookup[[#This Row],[Item]],Items!$A$1:$F$43,3,FALSE))</f>
        <v/>
      </c>
      <c r="Q2358" s="90" t="str">
        <f>IF(VLOOKUP(UncLookup[[#This Row],[Item]],Items!$A$1:$F$43,4,FALSE)=0,"",VLOOKUP(UncLookup[[#This Row],[Item]],Items!$A$1:$F$43,4,FALSE))</f>
        <v/>
      </c>
    </row>
    <row r="2359" spans="1:17" x14ac:dyDescent="0.25">
      <c r="A2359" s="76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90" t="str">
        <f>IF(VLOOKUP(UncLookup[[#This Row],[Item]],Items!$A$1:$F$43,2,FALSE)=0,"",VLOOKUP(UncLookup[[#This Row],[Item]],Items!$A$1:$F$43,2,FALSE))</f>
        <v/>
      </c>
      <c r="P2359" s="90" t="str">
        <f>IF(VLOOKUP(UncLookup[[#This Row],[Item]],Items!$A$1:$F$43,3,FALSE)=0,"",VLOOKUP(UncLookup[[#This Row],[Item]],Items!$A$1:$F$43,3,FALSE))</f>
        <v/>
      </c>
      <c r="Q2359" s="90" t="str">
        <f>IF(VLOOKUP(UncLookup[[#This Row],[Item]],Items!$A$1:$F$43,4,FALSE)=0,"",VLOOKUP(UncLookup[[#This Row],[Item]],Items!$A$1:$F$43,4,FALSE))</f>
        <v/>
      </c>
    </row>
    <row r="2360" spans="1:17" x14ac:dyDescent="0.25">
      <c r="A2360" s="75" t="s">
        <v>55</v>
      </c>
      <c r="B2360" s="75" t="s">
        <v>47</v>
      </c>
      <c r="C2360" s="75">
        <v>3</v>
      </c>
      <c r="D2360" s="75">
        <v>11.000999999999999</v>
      </c>
      <c r="E2360" s="75">
        <v>1E-3</v>
      </c>
      <c r="F2360" s="75" t="s">
        <v>13</v>
      </c>
      <c r="G2360" s="75" t="s">
        <v>12</v>
      </c>
      <c r="H2360" s="75">
        <v>5</v>
      </c>
      <c r="I2360" s="75">
        <v>5.01</v>
      </c>
      <c r="J2360" s="75" t="s">
        <v>10</v>
      </c>
      <c r="K2360" s="75">
        <v>2.5</v>
      </c>
      <c r="L2360" s="75">
        <v>35</v>
      </c>
      <c r="M2360" s="75">
        <v>2.3111999999999999</v>
      </c>
      <c r="N2360" s="75">
        <v>34.640999999999998</v>
      </c>
      <c r="O2360" s="90" t="str">
        <f>IF(VLOOKUP(UncLookup[[#This Row],[Item]],Items!$A$1:$F$43,2,FALSE)=0,"",VLOOKUP(UncLookup[[#This Row],[Item]],Items!$A$1:$F$43,2,FALSE))</f>
        <v/>
      </c>
      <c r="P2360" s="90" t="str">
        <f>IF(VLOOKUP(UncLookup[[#This Row],[Item]],Items!$A$1:$F$43,3,FALSE)=0,"",VLOOKUP(UncLookup[[#This Row],[Item]],Items!$A$1:$F$43,3,FALSE))</f>
        <v/>
      </c>
      <c r="Q2360" s="90" t="str">
        <f>IF(VLOOKUP(UncLookup[[#This Row],[Item]],Items!$A$1:$F$43,4,FALSE)=0,"",VLOOKUP(UncLookup[[#This Row],[Item]],Items!$A$1:$F$43,4,FALSE))</f>
        <v/>
      </c>
    </row>
    <row r="2361" spans="1:17" x14ac:dyDescent="0.25">
      <c r="A2361" s="76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90" t="str">
        <f>IF(VLOOKUP(UncLookup[[#This Row],[Item]],Items!$A$1:$F$43,2,FALSE)=0,"",VLOOKUP(UncLookup[[#This Row],[Item]],Items!$A$1:$F$43,2,FALSE))</f>
        <v/>
      </c>
      <c r="P2361" s="90" t="str">
        <f>IF(VLOOKUP(UncLookup[[#This Row],[Item]],Items!$A$1:$F$43,3,FALSE)=0,"",VLOOKUP(UncLookup[[#This Row],[Item]],Items!$A$1:$F$43,3,FALSE))</f>
        <v/>
      </c>
      <c r="Q2361" s="90" t="str">
        <f>IF(VLOOKUP(UncLookup[[#This Row],[Item]],Items!$A$1:$F$43,4,FALSE)=0,"",VLOOKUP(UncLookup[[#This Row],[Item]],Items!$A$1:$F$43,4,FALSE))</f>
        <v/>
      </c>
    </row>
    <row r="2362" spans="1:17" x14ac:dyDescent="0.25">
      <c r="A2362" s="75" t="s">
        <v>55</v>
      </c>
      <c r="B2362" s="75" t="s">
        <v>47</v>
      </c>
      <c r="C2362" s="75">
        <v>3</v>
      </c>
      <c r="D2362" s="75">
        <v>11.000999999999999</v>
      </c>
      <c r="E2362" s="75">
        <v>0.01</v>
      </c>
      <c r="F2362" s="75" t="s">
        <v>13</v>
      </c>
      <c r="G2362" s="75" t="s">
        <v>12</v>
      </c>
      <c r="H2362" s="75">
        <v>5</v>
      </c>
      <c r="I2362" s="75">
        <v>5.01</v>
      </c>
      <c r="J2362" s="75" t="s">
        <v>10</v>
      </c>
      <c r="K2362" s="75">
        <v>2.5</v>
      </c>
      <c r="L2362" s="75">
        <v>35</v>
      </c>
      <c r="M2362" s="75">
        <v>2.5084</v>
      </c>
      <c r="N2362" s="75">
        <v>34.627000000000002</v>
      </c>
      <c r="O2362" s="90" t="str">
        <f>IF(VLOOKUP(UncLookup[[#This Row],[Item]],Items!$A$1:$F$43,2,FALSE)=0,"",VLOOKUP(UncLookup[[#This Row],[Item]],Items!$A$1:$F$43,2,FALSE))</f>
        <v/>
      </c>
      <c r="P2362" s="90" t="str">
        <f>IF(VLOOKUP(UncLookup[[#This Row],[Item]],Items!$A$1:$F$43,3,FALSE)=0,"",VLOOKUP(UncLookup[[#This Row],[Item]],Items!$A$1:$F$43,3,FALSE))</f>
        <v/>
      </c>
      <c r="Q2362" s="90" t="str">
        <f>IF(VLOOKUP(UncLookup[[#This Row],[Item]],Items!$A$1:$F$43,4,FALSE)=0,"",VLOOKUP(UncLookup[[#This Row],[Item]],Items!$A$1:$F$43,4,FALSE))</f>
        <v/>
      </c>
    </row>
    <row r="2363" spans="1:17" x14ac:dyDescent="0.25">
      <c r="A2363" s="76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90" t="str">
        <f>IF(VLOOKUP(UncLookup[[#This Row],[Item]],Items!$A$1:$F$43,2,FALSE)=0,"",VLOOKUP(UncLookup[[#This Row],[Item]],Items!$A$1:$F$43,2,FALSE))</f>
        <v/>
      </c>
      <c r="P2363" s="90" t="str">
        <f>IF(VLOOKUP(UncLookup[[#This Row],[Item]],Items!$A$1:$F$43,3,FALSE)=0,"",VLOOKUP(UncLookup[[#This Row],[Item]],Items!$A$1:$F$43,3,FALSE))</f>
        <v/>
      </c>
      <c r="Q2363" s="90" t="str">
        <f>IF(VLOOKUP(UncLookup[[#This Row],[Item]],Items!$A$1:$F$43,4,FALSE)=0,"",VLOOKUP(UncLookup[[#This Row],[Item]],Items!$A$1:$F$43,4,FALSE))</f>
        <v/>
      </c>
    </row>
    <row r="2364" spans="1:17" x14ac:dyDescent="0.25">
      <c r="A2364" s="75" t="s">
        <v>55</v>
      </c>
      <c r="B2364" s="75" t="s">
        <v>47</v>
      </c>
      <c r="C2364" s="75">
        <v>3</v>
      </c>
      <c r="D2364" s="75">
        <v>11.000999999999999</v>
      </c>
      <c r="E2364" s="75">
        <v>0.01</v>
      </c>
      <c r="F2364" s="75" t="s">
        <v>13</v>
      </c>
      <c r="G2364" s="75" t="s">
        <v>12</v>
      </c>
      <c r="H2364" s="75">
        <v>0.1</v>
      </c>
      <c r="I2364" s="75">
        <v>1.0000100000000001</v>
      </c>
      <c r="J2364" s="75" t="s">
        <v>10</v>
      </c>
      <c r="K2364" s="75">
        <v>5.1971999999999996</v>
      </c>
      <c r="L2364" s="75">
        <v>0.99041000000000001</v>
      </c>
      <c r="M2364" s="75">
        <v>5.1951000000000001</v>
      </c>
      <c r="N2364" s="75">
        <v>0.99036000000000002</v>
      </c>
      <c r="O2364" s="90" t="str">
        <f>IF(VLOOKUP(UncLookup[[#This Row],[Item]],Items!$A$1:$F$43,2,FALSE)=0,"",VLOOKUP(UncLookup[[#This Row],[Item]],Items!$A$1:$F$43,2,FALSE))</f>
        <v/>
      </c>
      <c r="P2364" s="90" t="str">
        <f>IF(VLOOKUP(UncLookup[[#This Row],[Item]],Items!$A$1:$F$43,3,FALSE)=0,"",VLOOKUP(UncLookup[[#This Row],[Item]],Items!$A$1:$F$43,3,FALSE))</f>
        <v/>
      </c>
      <c r="Q2364" s="90" t="str">
        <f>IF(VLOOKUP(UncLookup[[#This Row],[Item]],Items!$A$1:$F$43,4,FALSE)=0,"",VLOOKUP(UncLookup[[#This Row],[Item]],Items!$A$1:$F$43,4,FALSE))</f>
        <v/>
      </c>
    </row>
    <row r="2365" spans="1:17" x14ac:dyDescent="0.25">
      <c r="A2365" s="76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90" t="str">
        <f>IF(VLOOKUP(UncLookup[[#This Row],[Item]],Items!$A$1:$F$43,2,FALSE)=0,"",VLOOKUP(UncLookup[[#This Row],[Item]],Items!$A$1:$F$43,2,FALSE))</f>
        <v/>
      </c>
      <c r="P2365" s="90" t="str">
        <f>IF(VLOOKUP(UncLookup[[#This Row],[Item]],Items!$A$1:$F$43,3,FALSE)=0,"",VLOOKUP(UncLookup[[#This Row],[Item]],Items!$A$1:$F$43,3,FALSE))</f>
        <v/>
      </c>
      <c r="Q2365" s="90" t="str">
        <f>IF(VLOOKUP(UncLookup[[#This Row],[Item]],Items!$A$1:$F$43,4,FALSE)=0,"",VLOOKUP(UncLookup[[#This Row],[Item]],Items!$A$1:$F$43,4,FALSE))</f>
        <v/>
      </c>
    </row>
    <row r="2366" spans="1:17" x14ac:dyDescent="0.25">
      <c r="A2366" s="75" t="s">
        <v>55</v>
      </c>
      <c r="B2366" s="75" t="s">
        <v>47</v>
      </c>
      <c r="C2366" s="75">
        <v>3</v>
      </c>
      <c r="D2366" s="75">
        <v>11.000999999999999</v>
      </c>
      <c r="E2366" s="75">
        <v>0.1</v>
      </c>
      <c r="F2366" s="75" t="s">
        <v>13</v>
      </c>
      <c r="G2366" s="75" t="s">
        <v>12</v>
      </c>
      <c r="H2366" s="75">
        <v>5</v>
      </c>
      <c r="I2366" s="75">
        <v>5.01</v>
      </c>
      <c r="J2366" s="75" t="s">
        <v>10</v>
      </c>
      <c r="K2366" s="75">
        <v>20.888000000000002</v>
      </c>
      <c r="L2366" s="75">
        <v>33.345999999999997</v>
      </c>
      <c r="M2366" s="75">
        <v>20.867000000000001</v>
      </c>
      <c r="N2366" s="75">
        <v>33.347000000000001</v>
      </c>
      <c r="O2366" s="90" t="str">
        <f>IF(VLOOKUP(UncLookup[[#This Row],[Item]],Items!$A$1:$F$43,2,FALSE)=0,"",VLOOKUP(UncLookup[[#This Row],[Item]],Items!$A$1:$F$43,2,FALSE))</f>
        <v/>
      </c>
      <c r="P2366" s="90" t="str">
        <f>IF(VLOOKUP(UncLookup[[#This Row],[Item]],Items!$A$1:$F$43,3,FALSE)=0,"",VLOOKUP(UncLookup[[#This Row],[Item]],Items!$A$1:$F$43,3,FALSE))</f>
        <v/>
      </c>
      <c r="Q2366" s="90" t="str">
        <f>IF(VLOOKUP(UncLookup[[#This Row],[Item]],Items!$A$1:$F$43,4,FALSE)=0,"",VLOOKUP(UncLookup[[#This Row],[Item]],Items!$A$1:$F$43,4,FALSE))</f>
        <v/>
      </c>
    </row>
    <row r="2367" spans="1:17" x14ac:dyDescent="0.25">
      <c r="A2367" s="76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90" t="str">
        <f>IF(VLOOKUP(UncLookup[[#This Row],[Item]],Items!$A$1:$F$43,2,FALSE)=0,"",VLOOKUP(UncLookup[[#This Row],[Item]],Items!$A$1:$F$43,2,FALSE))</f>
        <v/>
      </c>
      <c r="P2367" s="90" t="str">
        <f>IF(VLOOKUP(UncLookup[[#This Row],[Item]],Items!$A$1:$F$43,3,FALSE)=0,"",VLOOKUP(UncLookup[[#This Row],[Item]],Items!$A$1:$F$43,3,FALSE))</f>
        <v/>
      </c>
      <c r="Q2367" s="90" t="str">
        <f>IF(VLOOKUP(UncLookup[[#This Row],[Item]],Items!$A$1:$F$43,4,FALSE)=0,"",VLOOKUP(UncLookup[[#This Row],[Item]],Items!$A$1:$F$43,4,FALSE))</f>
        <v/>
      </c>
    </row>
    <row r="2368" spans="1:17" x14ac:dyDescent="0.25">
      <c r="A2368" s="75" t="s">
        <v>55</v>
      </c>
      <c r="B2368" s="75" t="s">
        <v>47</v>
      </c>
      <c r="C2368" s="75">
        <v>3</v>
      </c>
      <c r="D2368" s="75">
        <v>11.000999999999999</v>
      </c>
      <c r="E2368" s="75">
        <v>0.1</v>
      </c>
      <c r="F2368" s="75" t="s">
        <v>13</v>
      </c>
      <c r="G2368" s="75" t="s">
        <v>12</v>
      </c>
      <c r="H2368" s="75">
        <v>1</v>
      </c>
      <c r="I2368" s="75">
        <v>5</v>
      </c>
      <c r="J2368" s="75" t="s">
        <v>10</v>
      </c>
      <c r="K2368" s="75">
        <v>20.888000000000002</v>
      </c>
      <c r="L2368" s="75">
        <v>33.345999999999997</v>
      </c>
      <c r="M2368" s="75">
        <v>20.867000000000001</v>
      </c>
      <c r="N2368" s="75">
        <v>33.347000000000001</v>
      </c>
      <c r="O2368" s="90" t="str">
        <f>IF(VLOOKUP(UncLookup[[#This Row],[Item]],Items!$A$1:$F$43,2,FALSE)=0,"",VLOOKUP(UncLookup[[#This Row],[Item]],Items!$A$1:$F$43,2,FALSE))</f>
        <v/>
      </c>
      <c r="P2368" s="90" t="str">
        <f>IF(VLOOKUP(UncLookup[[#This Row],[Item]],Items!$A$1:$F$43,3,FALSE)=0,"",VLOOKUP(UncLookup[[#This Row],[Item]],Items!$A$1:$F$43,3,FALSE))</f>
        <v/>
      </c>
      <c r="Q2368" s="90" t="str">
        <f>IF(VLOOKUP(UncLookup[[#This Row],[Item]],Items!$A$1:$F$43,4,FALSE)=0,"",VLOOKUP(UncLookup[[#This Row],[Item]],Items!$A$1:$F$43,4,FALSE))</f>
        <v/>
      </c>
    </row>
    <row r="2369" spans="1:17" x14ac:dyDescent="0.25">
      <c r="A2369" s="76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90" t="str">
        <f>IF(VLOOKUP(UncLookup[[#This Row],[Item]],Items!$A$1:$F$43,2,FALSE)=0,"",VLOOKUP(UncLookup[[#This Row],[Item]],Items!$A$1:$F$43,2,FALSE))</f>
        <v/>
      </c>
      <c r="P2369" s="90" t="str">
        <f>IF(VLOOKUP(UncLookup[[#This Row],[Item]],Items!$A$1:$F$43,3,FALSE)=0,"",VLOOKUP(UncLookup[[#This Row],[Item]],Items!$A$1:$F$43,3,FALSE))</f>
        <v/>
      </c>
      <c r="Q2369" s="90" t="str">
        <f>IF(VLOOKUP(UncLookup[[#This Row],[Item]],Items!$A$1:$F$43,4,FALSE)=0,"",VLOOKUP(UncLookup[[#This Row],[Item]],Items!$A$1:$F$43,4,FALSE))</f>
        <v/>
      </c>
    </row>
    <row r="2370" spans="1:17" x14ac:dyDescent="0.25">
      <c r="A2370" s="75" t="s">
        <v>55</v>
      </c>
      <c r="B2370" s="75" t="s">
        <v>47</v>
      </c>
      <c r="C2370" s="75">
        <v>3</v>
      </c>
      <c r="D2370" s="75">
        <v>11.000999999999999</v>
      </c>
      <c r="E2370" s="75">
        <v>1</v>
      </c>
      <c r="F2370" s="75" t="s">
        <v>13</v>
      </c>
      <c r="G2370" s="75" t="s">
        <v>12</v>
      </c>
      <c r="H2370" s="75">
        <v>5</v>
      </c>
      <c r="I2370" s="75">
        <v>5.01</v>
      </c>
      <c r="J2370" s="75" t="s">
        <v>10</v>
      </c>
      <c r="K2370" s="75">
        <v>547.30999999999995</v>
      </c>
      <c r="L2370" s="75">
        <v>13.25</v>
      </c>
      <c r="M2370" s="75">
        <v>547.29999999999995</v>
      </c>
      <c r="N2370" s="75">
        <v>13.249000000000001</v>
      </c>
      <c r="O2370" s="90" t="str">
        <f>IF(VLOOKUP(UncLookup[[#This Row],[Item]],Items!$A$1:$F$43,2,FALSE)=0,"",VLOOKUP(UncLookup[[#This Row],[Item]],Items!$A$1:$F$43,2,FALSE))</f>
        <v/>
      </c>
      <c r="P2370" s="90" t="str">
        <f>IF(VLOOKUP(UncLookup[[#This Row],[Item]],Items!$A$1:$F$43,3,FALSE)=0,"",VLOOKUP(UncLookup[[#This Row],[Item]],Items!$A$1:$F$43,3,FALSE))</f>
        <v/>
      </c>
      <c r="Q2370" s="90" t="str">
        <f>IF(VLOOKUP(UncLookup[[#This Row],[Item]],Items!$A$1:$F$43,4,FALSE)=0,"",VLOOKUP(UncLookup[[#This Row],[Item]],Items!$A$1:$F$43,4,FALSE))</f>
        <v/>
      </c>
    </row>
    <row r="2371" spans="1:17" x14ac:dyDescent="0.25">
      <c r="A2371" s="76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90" t="str">
        <f>IF(VLOOKUP(UncLookup[[#This Row],[Item]],Items!$A$1:$F$43,2,FALSE)=0,"",VLOOKUP(UncLookup[[#This Row],[Item]],Items!$A$1:$F$43,2,FALSE))</f>
        <v/>
      </c>
      <c r="P2371" s="90" t="str">
        <f>IF(VLOOKUP(UncLookup[[#This Row],[Item]],Items!$A$1:$F$43,3,FALSE)=0,"",VLOOKUP(UncLookup[[#This Row],[Item]],Items!$A$1:$F$43,3,FALSE))</f>
        <v/>
      </c>
      <c r="Q2371" s="90" t="str">
        <f>IF(VLOOKUP(UncLookup[[#This Row],[Item]],Items!$A$1:$F$43,4,FALSE)=0,"",VLOOKUP(UncLookup[[#This Row],[Item]],Items!$A$1:$F$43,4,FALSE))</f>
        <v/>
      </c>
    </row>
    <row r="2372" spans="1:17" x14ac:dyDescent="0.25">
      <c r="A2372" s="75" t="s">
        <v>55</v>
      </c>
      <c r="B2372" s="75" t="s">
        <v>47</v>
      </c>
      <c r="C2372" s="75">
        <v>3</v>
      </c>
      <c r="D2372" s="75">
        <v>11.000999999999999</v>
      </c>
      <c r="E2372" s="75">
        <v>1</v>
      </c>
      <c r="F2372" s="75" t="s">
        <v>13</v>
      </c>
      <c r="G2372" s="75" t="s">
        <v>12</v>
      </c>
      <c r="H2372" s="75">
        <v>4.4999999999999998E-2</v>
      </c>
      <c r="I2372" s="75">
        <v>0.10001</v>
      </c>
      <c r="J2372" s="75" t="s">
        <v>10</v>
      </c>
      <c r="K2372" s="75">
        <v>577.35</v>
      </c>
      <c r="L2372" s="75">
        <v>8.6937999999999998E-3</v>
      </c>
      <c r="M2372" s="75">
        <v>577.35</v>
      </c>
      <c r="N2372" s="75">
        <v>8.6087000000000004E-3</v>
      </c>
      <c r="O2372" s="90" t="str">
        <f>IF(VLOOKUP(UncLookup[[#This Row],[Item]],Items!$A$1:$F$43,2,FALSE)=0,"",VLOOKUP(UncLookup[[#This Row],[Item]],Items!$A$1:$F$43,2,FALSE))</f>
        <v/>
      </c>
      <c r="P2372" s="90" t="str">
        <f>IF(VLOOKUP(UncLookup[[#This Row],[Item]],Items!$A$1:$F$43,3,FALSE)=0,"",VLOOKUP(UncLookup[[#This Row],[Item]],Items!$A$1:$F$43,3,FALSE))</f>
        <v/>
      </c>
      <c r="Q2372" s="90" t="str">
        <f>IF(VLOOKUP(UncLookup[[#This Row],[Item]],Items!$A$1:$F$43,4,FALSE)=0,"",VLOOKUP(UncLookup[[#This Row],[Item]],Items!$A$1:$F$43,4,FALSE))</f>
        <v/>
      </c>
    </row>
    <row r="2373" spans="1:17" x14ac:dyDescent="0.25">
      <c r="A2373" s="76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90" t="str">
        <f>IF(VLOOKUP(UncLookup[[#This Row],[Item]],Items!$A$1:$F$43,2,FALSE)=0,"",VLOOKUP(UncLookup[[#This Row],[Item]],Items!$A$1:$F$43,2,FALSE))</f>
        <v/>
      </c>
      <c r="P2373" s="90" t="str">
        <f>IF(VLOOKUP(UncLookup[[#This Row],[Item]],Items!$A$1:$F$43,3,FALSE)=0,"",VLOOKUP(UncLookup[[#This Row],[Item]],Items!$A$1:$F$43,3,FALSE))</f>
        <v/>
      </c>
      <c r="Q2373" s="90" t="str">
        <f>IF(VLOOKUP(UncLookup[[#This Row],[Item]],Items!$A$1:$F$43,4,FALSE)=0,"",VLOOKUP(UncLookup[[#This Row],[Item]],Items!$A$1:$F$43,4,FALSE))</f>
        <v/>
      </c>
    </row>
    <row r="2374" spans="1:17" x14ac:dyDescent="0.25">
      <c r="A2374" s="75" t="s">
        <v>55</v>
      </c>
      <c r="B2374" s="75" t="s">
        <v>47</v>
      </c>
      <c r="C2374" s="75">
        <v>11</v>
      </c>
      <c r="D2374" s="75">
        <v>20.501000000000001</v>
      </c>
      <c r="E2374" s="75">
        <v>1E-4</v>
      </c>
      <c r="F2374" s="75" t="s">
        <v>13</v>
      </c>
      <c r="G2374" s="75" t="s">
        <v>12</v>
      </c>
      <c r="H2374" s="75">
        <v>0.1</v>
      </c>
      <c r="I2374" s="75">
        <v>1.0000100000000001</v>
      </c>
      <c r="J2374" s="75" t="s">
        <v>10</v>
      </c>
      <c r="K2374" s="75">
        <v>6.5</v>
      </c>
      <c r="L2374" s="75">
        <v>1.7</v>
      </c>
      <c r="M2374" s="75">
        <v>5.7754000000000003</v>
      </c>
      <c r="N2374" s="75">
        <v>1.7323999999999999</v>
      </c>
      <c r="O2374" s="90" t="str">
        <f>IF(VLOOKUP(UncLookup[[#This Row],[Item]],Items!$A$1:$F$43,2,FALSE)=0,"",VLOOKUP(UncLookup[[#This Row],[Item]],Items!$A$1:$F$43,2,FALSE))</f>
        <v/>
      </c>
      <c r="P2374" s="90" t="str">
        <f>IF(VLOOKUP(UncLookup[[#This Row],[Item]],Items!$A$1:$F$43,3,FALSE)=0,"",VLOOKUP(UncLookup[[#This Row],[Item]],Items!$A$1:$F$43,3,FALSE))</f>
        <v/>
      </c>
      <c r="Q2374" s="90" t="str">
        <f>IF(VLOOKUP(UncLookup[[#This Row],[Item]],Items!$A$1:$F$43,4,FALSE)=0,"",VLOOKUP(UncLookup[[#This Row],[Item]],Items!$A$1:$F$43,4,FALSE))</f>
        <v/>
      </c>
    </row>
    <row r="2375" spans="1:17" x14ac:dyDescent="0.25">
      <c r="A2375" s="76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90" t="str">
        <f>IF(VLOOKUP(UncLookup[[#This Row],[Item]],Items!$A$1:$F$43,2,FALSE)=0,"",VLOOKUP(UncLookup[[#This Row],[Item]],Items!$A$1:$F$43,2,FALSE))</f>
        <v/>
      </c>
      <c r="P2375" s="90" t="str">
        <f>IF(VLOOKUP(UncLookup[[#This Row],[Item]],Items!$A$1:$F$43,3,FALSE)=0,"",VLOOKUP(UncLookup[[#This Row],[Item]],Items!$A$1:$F$43,3,FALSE))</f>
        <v/>
      </c>
      <c r="Q2375" s="90" t="str">
        <f>IF(VLOOKUP(UncLookup[[#This Row],[Item]],Items!$A$1:$F$43,4,FALSE)=0,"",VLOOKUP(UncLookup[[#This Row],[Item]],Items!$A$1:$F$43,4,FALSE))</f>
        <v/>
      </c>
    </row>
    <row r="2376" spans="1:17" x14ac:dyDescent="0.25">
      <c r="A2376" s="75" t="s">
        <v>55</v>
      </c>
      <c r="B2376" s="75" t="s">
        <v>47</v>
      </c>
      <c r="C2376" s="75">
        <v>11</v>
      </c>
      <c r="D2376" s="75">
        <v>20.501000000000001</v>
      </c>
      <c r="E2376" s="75">
        <v>1E-4</v>
      </c>
      <c r="F2376" s="75" t="s">
        <v>13</v>
      </c>
      <c r="G2376" s="75" t="s">
        <v>12</v>
      </c>
      <c r="H2376" s="75">
        <v>5</v>
      </c>
      <c r="I2376" s="75">
        <v>5.01</v>
      </c>
      <c r="J2376" s="75" t="s">
        <v>10</v>
      </c>
      <c r="K2376" s="75">
        <v>5.9</v>
      </c>
      <c r="L2376" s="75">
        <v>35</v>
      </c>
      <c r="M2376" s="75">
        <v>5.7742000000000004</v>
      </c>
      <c r="N2376" s="75">
        <v>34.640999999999998</v>
      </c>
      <c r="O2376" s="90" t="str">
        <f>IF(VLOOKUP(UncLookup[[#This Row],[Item]],Items!$A$1:$F$43,2,FALSE)=0,"",VLOOKUP(UncLookup[[#This Row],[Item]],Items!$A$1:$F$43,2,FALSE))</f>
        <v/>
      </c>
      <c r="P2376" s="90" t="str">
        <f>IF(VLOOKUP(UncLookup[[#This Row],[Item]],Items!$A$1:$F$43,3,FALSE)=0,"",VLOOKUP(UncLookup[[#This Row],[Item]],Items!$A$1:$F$43,3,FALSE))</f>
        <v/>
      </c>
      <c r="Q2376" s="90" t="str">
        <f>IF(VLOOKUP(UncLookup[[#This Row],[Item]],Items!$A$1:$F$43,4,FALSE)=0,"",VLOOKUP(UncLookup[[#This Row],[Item]],Items!$A$1:$F$43,4,FALSE))</f>
        <v/>
      </c>
    </row>
    <row r="2377" spans="1:17" x14ac:dyDescent="0.25">
      <c r="A2377" s="76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90" t="str">
        <f>IF(VLOOKUP(UncLookup[[#This Row],[Item]],Items!$A$1:$F$43,2,FALSE)=0,"",VLOOKUP(UncLookup[[#This Row],[Item]],Items!$A$1:$F$43,2,FALSE))</f>
        <v/>
      </c>
      <c r="P2377" s="90" t="str">
        <f>IF(VLOOKUP(UncLookup[[#This Row],[Item]],Items!$A$1:$F$43,3,FALSE)=0,"",VLOOKUP(UncLookup[[#This Row],[Item]],Items!$A$1:$F$43,3,FALSE))</f>
        <v/>
      </c>
      <c r="Q2377" s="90" t="str">
        <f>IF(VLOOKUP(UncLookup[[#This Row],[Item]],Items!$A$1:$F$43,4,FALSE)=0,"",VLOOKUP(UncLookup[[#This Row],[Item]],Items!$A$1:$F$43,4,FALSE))</f>
        <v/>
      </c>
    </row>
    <row r="2378" spans="1:17" x14ac:dyDescent="0.25">
      <c r="A2378" s="75" t="s">
        <v>55</v>
      </c>
      <c r="B2378" s="75" t="s">
        <v>47</v>
      </c>
      <c r="C2378" s="75">
        <v>11</v>
      </c>
      <c r="D2378" s="75">
        <v>20.501000000000001</v>
      </c>
      <c r="E2378" s="75">
        <v>1E-3</v>
      </c>
      <c r="F2378" s="75" t="s">
        <v>13</v>
      </c>
      <c r="G2378" s="75" t="s">
        <v>12</v>
      </c>
      <c r="H2378" s="75">
        <v>1</v>
      </c>
      <c r="I2378" s="75">
        <v>5</v>
      </c>
      <c r="J2378" s="75" t="s">
        <v>10</v>
      </c>
      <c r="K2378" s="75">
        <v>5.9</v>
      </c>
      <c r="L2378" s="75">
        <v>35</v>
      </c>
      <c r="M2378" s="75">
        <v>5.7744999999999997</v>
      </c>
      <c r="N2378" s="75">
        <v>34.640999999999998</v>
      </c>
      <c r="O2378" s="90" t="str">
        <f>IF(VLOOKUP(UncLookup[[#This Row],[Item]],Items!$A$1:$F$43,2,FALSE)=0,"",VLOOKUP(UncLookup[[#This Row],[Item]],Items!$A$1:$F$43,2,FALSE))</f>
        <v/>
      </c>
      <c r="P2378" s="90" t="str">
        <f>IF(VLOOKUP(UncLookup[[#This Row],[Item]],Items!$A$1:$F$43,3,FALSE)=0,"",VLOOKUP(UncLookup[[#This Row],[Item]],Items!$A$1:$F$43,3,FALSE))</f>
        <v/>
      </c>
      <c r="Q2378" s="90" t="str">
        <f>IF(VLOOKUP(UncLookup[[#This Row],[Item]],Items!$A$1:$F$43,4,FALSE)=0,"",VLOOKUP(UncLookup[[#This Row],[Item]],Items!$A$1:$F$43,4,FALSE))</f>
        <v/>
      </c>
    </row>
    <row r="2379" spans="1:17" x14ac:dyDescent="0.25">
      <c r="A2379" s="76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90" t="str">
        <f>IF(VLOOKUP(UncLookup[[#This Row],[Item]],Items!$A$1:$F$43,2,FALSE)=0,"",VLOOKUP(UncLookup[[#This Row],[Item]],Items!$A$1:$F$43,2,FALSE))</f>
        <v/>
      </c>
      <c r="P2379" s="90" t="str">
        <f>IF(VLOOKUP(UncLookup[[#This Row],[Item]],Items!$A$1:$F$43,3,FALSE)=0,"",VLOOKUP(UncLookup[[#This Row],[Item]],Items!$A$1:$F$43,3,FALSE))</f>
        <v/>
      </c>
      <c r="Q2379" s="90" t="str">
        <f>IF(VLOOKUP(UncLookup[[#This Row],[Item]],Items!$A$1:$F$43,4,FALSE)=0,"",VLOOKUP(UncLookup[[#This Row],[Item]],Items!$A$1:$F$43,4,FALSE))</f>
        <v/>
      </c>
    </row>
    <row r="2380" spans="1:17" x14ac:dyDescent="0.25">
      <c r="A2380" s="75" t="s">
        <v>55</v>
      </c>
      <c r="B2380" s="75" t="s">
        <v>47</v>
      </c>
      <c r="C2380" s="75">
        <v>11</v>
      </c>
      <c r="D2380" s="75">
        <v>20.501000000000001</v>
      </c>
      <c r="E2380" s="75">
        <v>1E-3</v>
      </c>
      <c r="F2380" s="75" t="s">
        <v>13</v>
      </c>
      <c r="G2380" s="75" t="s">
        <v>12</v>
      </c>
      <c r="H2380" s="75">
        <v>4.4999999999999998E-2</v>
      </c>
      <c r="I2380" s="75">
        <v>0.10001</v>
      </c>
      <c r="J2380" s="75" t="s">
        <v>10</v>
      </c>
      <c r="K2380" s="75">
        <v>5.8</v>
      </c>
      <c r="L2380" s="75">
        <v>1.4</v>
      </c>
      <c r="M2380" s="75">
        <v>5.7854999999999999</v>
      </c>
      <c r="N2380" s="75">
        <v>1.3856999999999999</v>
      </c>
      <c r="O2380" s="90" t="str">
        <f>IF(VLOOKUP(UncLookup[[#This Row],[Item]],Items!$A$1:$F$43,2,FALSE)=0,"",VLOOKUP(UncLookup[[#This Row],[Item]],Items!$A$1:$F$43,2,FALSE))</f>
        <v/>
      </c>
      <c r="P2380" s="90" t="str">
        <f>IF(VLOOKUP(UncLookup[[#This Row],[Item]],Items!$A$1:$F$43,3,FALSE)=0,"",VLOOKUP(UncLookup[[#This Row],[Item]],Items!$A$1:$F$43,3,FALSE))</f>
        <v/>
      </c>
      <c r="Q2380" s="90" t="str">
        <f>IF(VLOOKUP(UncLookup[[#This Row],[Item]],Items!$A$1:$F$43,4,FALSE)=0,"",VLOOKUP(UncLookup[[#This Row],[Item]],Items!$A$1:$F$43,4,FALSE))</f>
        <v/>
      </c>
    </row>
    <row r="2381" spans="1:17" x14ac:dyDescent="0.25">
      <c r="A2381" s="76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90" t="str">
        <f>IF(VLOOKUP(UncLookup[[#This Row],[Item]],Items!$A$1:$F$43,2,FALSE)=0,"",VLOOKUP(UncLookup[[#This Row],[Item]],Items!$A$1:$F$43,2,FALSE))</f>
        <v/>
      </c>
      <c r="P2381" s="90" t="str">
        <f>IF(VLOOKUP(UncLookup[[#This Row],[Item]],Items!$A$1:$F$43,3,FALSE)=0,"",VLOOKUP(UncLookup[[#This Row],[Item]],Items!$A$1:$F$43,3,FALSE))</f>
        <v/>
      </c>
      <c r="Q2381" s="90" t="str">
        <f>IF(VLOOKUP(UncLookup[[#This Row],[Item]],Items!$A$1:$F$43,4,FALSE)=0,"",VLOOKUP(UncLookup[[#This Row],[Item]],Items!$A$1:$F$43,4,FALSE))</f>
        <v/>
      </c>
    </row>
    <row r="2382" spans="1:17" x14ac:dyDescent="0.25">
      <c r="A2382" s="75" t="s">
        <v>55</v>
      </c>
      <c r="B2382" s="75" t="s">
        <v>47</v>
      </c>
      <c r="C2382" s="75">
        <v>11</v>
      </c>
      <c r="D2382" s="75">
        <v>20.501000000000001</v>
      </c>
      <c r="E2382" s="75">
        <v>0.01</v>
      </c>
      <c r="F2382" s="75" t="s">
        <v>13</v>
      </c>
      <c r="G2382" s="75" t="s">
        <v>12</v>
      </c>
      <c r="H2382" s="75">
        <v>5</v>
      </c>
      <c r="I2382" s="75">
        <v>5.01</v>
      </c>
      <c r="J2382" s="75" t="s">
        <v>10</v>
      </c>
      <c r="K2382" s="75">
        <v>5.9</v>
      </c>
      <c r="L2382" s="75">
        <v>35</v>
      </c>
      <c r="M2382" s="75">
        <v>5.8395000000000001</v>
      </c>
      <c r="N2382" s="75">
        <v>34.639000000000003</v>
      </c>
      <c r="O2382" s="90" t="str">
        <f>IF(VLOOKUP(UncLookup[[#This Row],[Item]],Items!$A$1:$F$43,2,FALSE)=0,"",VLOOKUP(UncLookup[[#This Row],[Item]],Items!$A$1:$F$43,2,FALSE))</f>
        <v/>
      </c>
      <c r="P2382" s="90" t="str">
        <f>IF(VLOOKUP(UncLookup[[#This Row],[Item]],Items!$A$1:$F$43,3,FALSE)=0,"",VLOOKUP(UncLookup[[#This Row],[Item]],Items!$A$1:$F$43,3,FALSE))</f>
        <v/>
      </c>
      <c r="Q2382" s="90" t="str">
        <f>IF(VLOOKUP(UncLookup[[#This Row],[Item]],Items!$A$1:$F$43,4,FALSE)=0,"",VLOOKUP(UncLookup[[#This Row],[Item]],Items!$A$1:$F$43,4,FALSE))</f>
        <v/>
      </c>
    </row>
    <row r="2383" spans="1:17" x14ac:dyDescent="0.25">
      <c r="A2383" s="76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90" t="str">
        <f>IF(VLOOKUP(UncLookup[[#This Row],[Item]],Items!$A$1:$F$43,2,FALSE)=0,"",VLOOKUP(UncLookup[[#This Row],[Item]],Items!$A$1:$F$43,2,FALSE))</f>
        <v/>
      </c>
      <c r="P2383" s="90" t="str">
        <f>IF(VLOOKUP(UncLookup[[#This Row],[Item]],Items!$A$1:$F$43,3,FALSE)=0,"",VLOOKUP(UncLookup[[#This Row],[Item]],Items!$A$1:$F$43,3,FALSE))</f>
        <v/>
      </c>
      <c r="Q2383" s="90" t="str">
        <f>IF(VLOOKUP(UncLookup[[#This Row],[Item]],Items!$A$1:$F$43,4,FALSE)=0,"",VLOOKUP(UncLookup[[#This Row],[Item]],Items!$A$1:$F$43,4,FALSE))</f>
        <v/>
      </c>
    </row>
    <row r="2384" spans="1:17" x14ac:dyDescent="0.25">
      <c r="A2384" s="75" t="s">
        <v>55</v>
      </c>
      <c r="B2384" s="75" t="s">
        <v>47</v>
      </c>
      <c r="C2384" s="75">
        <v>11</v>
      </c>
      <c r="D2384" s="75">
        <v>20.501000000000001</v>
      </c>
      <c r="E2384" s="75">
        <v>0.01</v>
      </c>
      <c r="F2384" s="75" t="s">
        <v>13</v>
      </c>
      <c r="G2384" s="75" t="s">
        <v>12</v>
      </c>
      <c r="H2384" s="75">
        <v>1</v>
      </c>
      <c r="I2384" s="75">
        <v>5</v>
      </c>
      <c r="J2384" s="75" t="s">
        <v>10</v>
      </c>
      <c r="K2384" s="75">
        <v>5.9</v>
      </c>
      <c r="L2384" s="75">
        <v>35</v>
      </c>
      <c r="M2384" s="75">
        <v>5.8395000000000001</v>
      </c>
      <c r="N2384" s="75">
        <v>34.639000000000003</v>
      </c>
      <c r="O2384" s="90" t="str">
        <f>IF(VLOOKUP(UncLookup[[#This Row],[Item]],Items!$A$1:$F$43,2,FALSE)=0,"",VLOOKUP(UncLookup[[#This Row],[Item]],Items!$A$1:$F$43,2,FALSE))</f>
        <v/>
      </c>
      <c r="P2384" s="90" t="str">
        <f>IF(VLOOKUP(UncLookup[[#This Row],[Item]],Items!$A$1:$F$43,3,FALSE)=0,"",VLOOKUP(UncLookup[[#This Row],[Item]],Items!$A$1:$F$43,3,FALSE))</f>
        <v/>
      </c>
      <c r="Q2384" s="90" t="str">
        <f>IF(VLOOKUP(UncLookup[[#This Row],[Item]],Items!$A$1:$F$43,4,FALSE)=0,"",VLOOKUP(UncLookup[[#This Row],[Item]],Items!$A$1:$F$43,4,FALSE))</f>
        <v/>
      </c>
    </row>
    <row r="2385" spans="1:17" x14ac:dyDescent="0.25">
      <c r="A2385" s="76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90" t="str">
        <f>IF(VLOOKUP(UncLookup[[#This Row],[Item]],Items!$A$1:$F$43,2,FALSE)=0,"",VLOOKUP(UncLookup[[#This Row],[Item]],Items!$A$1:$F$43,2,FALSE))</f>
        <v/>
      </c>
      <c r="P2385" s="90" t="str">
        <f>IF(VLOOKUP(UncLookup[[#This Row],[Item]],Items!$A$1:$F$43,3,FALSE)=0,"",VLOOKUP(UncLookup[[#This Row],[Item]],Items!$A$1:$F$43,3,FALSE))</f>
        <v/>
      </c>
      <c r="Q2385" s="90" t="str">
        <f>IF(VLOOKUP(UncLookup[[#This Row],[Item]],Items!$A$1:$F$43,4,FALSE)=0,"",VLOOKUP(UncLookup[[#This Row],[Item]],Items!$A$1:$F$43,4,FALSE))</f>
        <v/>
      </c>
    </row>
    <row r="2386" spans="1:17" x14ac:dyDescent="0.25">
      <c r="A2386" s="75" t="s">
        <v>55</v>
      </c>
      <c r="B2386" s="75" t="s">
        <v>47</v>
      </c>
      <c r="C2386" s="75">
        <v>11</v>
      </c>
      <c r="D2386" s="75">
        <v>20.501000000000001</v>
      </c>
      <c r="E2386" s="75">
        <v>0.1</v>
      </c>
      <c r="F2386" s="75" t="s">
        <v>13</v>
      </c>
      <c r="G2386" s="75" t="s">
        <v>12</v>
      </c>
      <c r="H2386" s="75">
        <v>1</v>
      </c>
      <c r="I2386" s="75">
        <v>5</v>
      </c>
      <c r="J2386" s="75" t="s">
        <v>10</v>
      </c>
      <c r="K2386" s="75">
        <v>6.5765000000000002</v>
      </c>
      <c r="L2386" s="75">
        <v>34.962000000000003</v>
      </c>
      <c r="M2386" s="75">
        <v>12.385999999999999</v>
      </c>
      <c r="N2386" s="75">
        <v>34.433</v>
      </c>
      <c r="O2386" s="90" t="str">
        <f>IF(VLOOKUP(UncLookup[[#This Row],[Item]],Items!$A$1:$F$43,2,FALSE)=0,"",VLOOKUP(UncLookup[[#This Row],[Item]],Items!$A$1:$F$43,2,FALSE))</f>
        <v/>
      </c>
      <c r="P2386" s="90" t="str">
        <f>IF(VLOOKUP(UncLookup[[#This Row],[Item]],Items!$A$1:$F$43,3,FALSE)=0,"",VLOOKUP(UncLookup[[#This Row],[Item]],Items!$A$1:$F$43,3,FALSE))</f>
        <v/>
      </c>
      <c r="Q2386" s="90" t="str">
        <f>IF(VLOOKUP(UncLookup[[#This Row],[Item]],Items!$A$1:$F$43,4,FALSE)=0,"",VLOOKUP(UncLookup[[#This Row],[Item]],Items!$A$1:$F$43,4,FALSE))</f>
        <v/>
      </c>
    </row>
    <row r="2387" spans="1:17" x14ac:dyDescent="0.25">
      <c r="A2387" s="76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90" t="str">
        <f>IF(VLOOKUP(UncLookup[[#This Row],[Item]],Items!$A$1:$F$43,2,FALSE)=0,"",VLOOKUP(UncLookup[[#This Row],[Item]],Items!$A$1:$F$43,2,FALSE))</f>
        <v/>
      </c>
      <c r="P2387" s="90" t="str">
        <f>IF(VLOOKUP(UncLookup[[#This Row],[Item]],Items!$A$1:$F$43,3,FALSE)=0,"",VLOOKUP(UncLookup[[#This Row],[Item]],Items!$A$1:$F$43,3,FALSE))</f>
        <v/>
      </c>
      <c r="Q2387" s="90" t="str">
        <f>IF(VLOOKUP(UncLookup[[#This Row],[Item]],Items!$A$1:$F$43,4,FALSE)=0,"",VLOOKUP(UncLookup[[#This Row],[Item]],Items!$A$1:$F$43,4,FALSE))</f>
        <v/>
      </c>
    </row>
    <row r="2388" spans="1:17" x14ac:dyDescent="0.25">
      <c r="A2388" s="75" t="s">
        <v>55</v>
      </c>
      <c r="B2388" s="75" t="s">
        <v>47</v>
      </c>
      <c r="C2388" s="75">
        <v>11</v>
      </c>
      <c r="D2388" s="75">
        <v>20.501000000000001</v>
      </c>
      <c r="E2388" s="75">
        <v>0.1</v>
      </c>
      <c r="F2388" s="75" t="s">
        <v>13</v>
      </c>
      <c r="G2388" s="75" t="s">
        <v>12</v>
      </c>
      <c r="H2388" s="75">
        <v>5</v>
      </c>
      <c r="I2388" s="75">
        <v>5.01</v>
      </c>
      <c r="J2388" s="75" t="s">
        <v>10</v>
      </c>
      <c r="K2388" s="75">
        <v>6.5765000000000002</v>
      </c>
      <c r="L2388" s="75">
        <v>34.962000000000003</v>
      </c>
      <c r="M2388" s="75">
        <v>12.385999999999999</v>
      </c>
      <c r="N2388" s="75">
        <v>34.433</v>
      </c>
      <c r="O2388" s="90" t="str">
        <f>IF(VLOOKUP(UncLookup[[#This Row],[Item]],Items!$A$1:$F$43,2,FALSE)=0,"",VLOOKUP(UncLookup[[#This Row],[Item]],Items!$A$1:$F$43,2,FALSE))</f>
        <v/>
      </c>
      <c r="P2388" s="90" t="str">
        <f>IF(VLOOKUP(UncLookup[[#This Row],[Item]],Items!$A$1:$F$43,3,FALSE)=0,"",VLOOKUP(UncLookup[[#This Row],[Item]],Items!$A$1:$F$43,3,FALSE))</f>
        <v/>
      </c>
      <c r="Q2388" s="90" t="str">
        <f>IF(VLOOKUP(UncLookup[[#This Row],[Item]],Items!$A$1:$F$43,4,FALSE)=0,"",VLOOKUP(UncLookup[[#This Row],[Item]],Items!$A$1:$F$43,4,FALSE))</f>
        <v/>
      </c>
    </row>
    <row r="2389" spans="1:17" x14ac:dyDescent="0.25">
      <c r="A2389" s="76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90" t="str">
        <f>IF(VLOOKUP(UncLookup[[#This Row],[Item]],Items!$A$1:$F$43,2,FALSE)=0,"",VLOOKUP(UncLookup[[#This Row],[Item]],Items!$A$1:$F$43,2,FALSE))</f>
        <v/>
      </c>
      <c r="P2389" s="90" t="str">
        <f>IF(VLOOKUP(UncLookup[[#This Row],[Item]],Items!$A$1:$F$43,3,FALSE)=0,"",VLOOKUP(UncLookup[[#This Row],[Item]],Items!$A$1:$F$43,3,FALSE))</f>
        <v/>
      </c>
      <c r="Q2389" s="90" t="str">
        <f>IF(VLOOKUP(UncLookup[[#This Row],[Item]],Items!$A$1:$F$43,4,FALSE)=0,"",VLOOKUP(UncLookup[[#This Row],[Item]],Items!$A$1:$F$43,4,FALSE))</f>
        <v/>
      </c>
    </row>
    <row r="2390" spans="1:17" x14ac:dyDescent="0.25">
      <c r="A2390" s="75" t="s">
        <v>55</v>
      </c>
      <c r="B2390" s="75" t="s">
        <v>47</v>
      </c>
      <c r="C2390" s="75">
        <v>11</v>
      </c>
      <c r="D2390" s="75">
        <v>20.501000000000001</v>
      </c>
      <c r="E2390" s="75">
        <v>1</v>
      </c>
      <c r="F2390" s="75" t="s">
        <v>13</v>
      </c>
      <c r="G2390" s="75" t="s">
        <v>12</v>
      </c>
      <c r="H2390" s="75">
        <v>4.4999999999999998E-2</v>
      </c>
      <c r="I2390" s="75">
        <v>0.10001</v>
      </c>
      <c r="J2390" s="75" t="s">
        <v>10</v>
      </c>
      <c r="K2390" s="75">
        <v>579.65</v>
      </c>
      <c r="L2390" s="75">
        <v>6.9317000000000004E-2</v>
      </c>
      <c r="M2390" s="75">
        <v>579.66</v>
      </c>
      <c r="N2390" s="75">
        <v>6.5887000000000001E-2</v>
      </c>
      <c r="O2390" s="90" t="str">
        <f>IF(VLOOKUP(UncLookup[[#This Row],[Item]],Items!$A$1:$F$43,2,FALSE)=0,"",VLOOKUP(UncLookup[[#This Row],[Item]],Items!$A$1:$F$43,2,FALSE))</f>
        <v/>
      </c>
      <c r="P2390" s="90" t="str">
        <f>IF(VLOOKUP(UncLookup[[#This Row],[Item]],Items!$A$1:$F$43,3,FALSE)=0,"",VLOOKUP(UncLookup[[#This Row],[Item]],Items!$A$1:$F$43,3,FALSE))</f>
        <v/>
      </c>
      <c r="Q2390" s="90" t="str">
        <f>IF(VLOOKUP(UncLookup[[#This Row],[Item]],Items!$A$1:$F$43,4,FALSE)=0,"",VLOOKUP(UncLookup[[#This Row],[Item]],Items!$A$1:$F$43,4,FALSE))</f>
        <v/>
      </c>
    </row>
    <row r="2391" spans="1:17" x14ac:dyDescent="0.25">
      <c r="A2391" s="76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90" t="str">
        <f>IF(VLOOKUP(UncLookup[[#This Row],[Item]],Items!$A$1:$F$43,2,FALSE)=0,"",VLOOKUP(UncLookup[[#This Row],[Item]],Items!$A$1:$F$43,2,FALSE))</f>
        <v/>
      </c>
      <c r="P2391" s="90" t="str">
        <f>IF(VLOOKUP(UncLookup[[#This Row],[Item]],Items!$A$1:$F$43,3,FALSE)=0,"",VLOOKUP(UncLookup[[#This Row],[Item]],Items!$A$1:$F$43,3,FALSE))</f>
        <v/>
      </c>
      <c r="Q2391" s="90" t="str">
        <f>IF(VLOOKUP(UncLookup[[#This Row],[Item]],Items!$A$1:$F$43,4,FALSE)=0,"",VLOOKUP(UncLookup[[#This Row],[Item]],Items!$A$1:$F$43,4,FALSE))</f>
        <v/>
      </c>
    </row>
    <row r="2392" spans="1:17" x14ac:dyDescent="0.25">
      <c r="A2392" s="75" t="s">
        <v>55</v>
      </c>
      <c r="B2392" s="75" t="s">
        <v>47</v>
      </c>
      <c r="C2392" s="75">
        <v>11</v>
      </c>
      <c r="D2392" s="75">
        <v>20.501000000000001</v>
      </c>
      <c r="E2392" s="75">
        <v>1</v>
      </c>
      <c r="F2392" s="75" t="s">
        <v>13</v>
      </c>
      <c r="G2392" s="75" t="s">
        <v>12</v>
      </c>
      <c r="H2392" s="75">
        <v>5</v>
      </c>
      <c r="I2392" s="75">
        <v>5.01</v>
      </c>
      <c r="J2392" s="75" t="s">
        <v>10</v>
      </c>
      <c r="K2392" s="75">
        <v>437.55</v>
      </c>
      <c r="L2392" s="75">
        <v>23.603000000000002</v>
      </c>
      <c r="M2392" s="75">
        <v>437.54</v>
      </c>
      <c r="N2392" s="75">
        <v>23.602</v>
      </c>
      <c r="O2392" s="90" t="str">
        <f>IF(VLOOKUP(UncLookup[[#This Row],[Item]],Items!$A$1:$F$43,2,FALSE)=0,"",VLOOKUP(UncLookup[[#This Row],[Item]],Items!$A$1:$F$43,2,FALSE))</f>
        <v/>
      </c>
      <c r="P2392" s="90" t="str">
        <f>IF(VLOOKUP(UncLookup[[#This Row],[Item]],Items!$A$1:$F$43,3,FALSE)=0,"",VLOOKUP(UncLookup[[#This Row],[Item]],Items!$A$1:$F$43,3,FALSE))</f>
        <v/>
      </c>
      <c r="Q2392" s="90" t="str">
        <f>IF(VLOOKUP(UncLookup[[#This Row],[Item]],Items!$A$1:$F$43,4,FALSE)=0,"",VLOOKUP(UncLookup[[#This Row],[Item]],Items!$A$1:$F$43,4,FALSE))</f>
        <v/>
      </c>
    </row>
    <row r="2393" spans="1:17" x14ac:dyDescent="0.25">
      <c r="A2393" s="76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90" t="str">
        <f>IF(VLOOKUP(UncLookup[[#This Row],[Item]],Items!$A$1:$F$43,2,FALSE)=0,"",VLOOKUP(UncLookup[[#This Row],[Item]],Items!$A$1:$F$43,2,FALSE))</f>
        <v/>
      </c>
      <c r="P2393" s="90" t="str">
        <f>IF(VLOOKUP(UncLookup[[#This Row],[Item]],Items!$A$1:$F$43,3,FALSE)=0,"",VLOOKUP(UncLookup[[#This Row],[Item]],Items!$A$1:$F$43,3,FALSE))</f>
        <v/>
      </c>
      <c r="Q2393" s="90" t="str">
        <f>IF(VLOOKUP(UncLookup[[#This Row],[Item]],Items!$A$1:$F$43,4,FALSE)=0,"",VLOOKUP(UncLookup[[#This Row],[Item]],Items!$A$1:$F$43,4,FALSE))</f>
        <v/>
      </c>
    </row>
    <row r="2394" spans="1:17" x14ac:dyDescent="0.25">
      <c r="A2394" s="75" t="s">
        <v>70</v>
      </c>
      <c r="B2394" s="75" t="s">
        <v>81</v>
      </c>
      <c r="C2394" s="75">
        <v>-418</v>
      </c>
      <c r="D2394" s="75">
        <v>-238</v>
      </c>
      <c r="E2394" s="75">
        <v>0.1</v>
      </c>
      <c r="F2394" s="75" t="s">
        <v>26</v>
      </c>
      <c r="G2394" s="75" t="s">
        <v>26</v>
      </c>
      <c r="H2394" s="75">
        <v>0</v>
      </c>
      <c r="I2394" s="75">
        <v>0</v>
      </c>
      <c r="J2394" s="75"/>
      <c r="K2394" s="75">
        <v>3.9624103019999999</v>
      </c>
      <c r="L2394" s="78">
        <v>0</v>
      </c>
      <c r="M2394" s="75">
        <v>3.9602440140000001</v>
      </c>
      <c r="N2394" s="78">
        <v>0</v>
      </c>
      <c r="O2394" s="90" t="str">
        <f>IF(VLOOKUP(UncLookup[[#This Row],[Item]],Items!$A$1:$F$43,2,FALSE)=0,"",VLOOKUP(UncLookup[[#This Row],[Item]],Items!$A$1:$F$43,2,FALSE))</f>
        <v>Tcindicator</v>
      </c>
      <c r="P2394" s="90" t="str">
        <f>IF(VLOOKUP(UncLookup[[#This Row],[Item]],Items!$A$1:$F$43,3,FALSE)=0,"",VLOOKUP(UncLookup[[#This Row],[Item]],Items!$A$1:$F$43,3,FALSE))</f>
        <v/>
      </c>
      <c r="Q2394" s="90" t="str">
        <f>IF(VLOOKUP(UncLookup[[#This Row],[Item]],Items!$A$1:$F$43,4,FALSE)=0,"",VLOOKUP(UncLookup[[#This Row],[Item]],Items!$A$1:$F$43,4,FALSE))</f>
        <v>T</v>
      </c>
    </row>
    <row r="2395" spans="1:17" x14ac:dyDescent="0.25">
      <c r="A2395" s="76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76">
        <v>0</v>
      </c>
      <c r="M2395" s="76">
        <v>4.001691224</v>
      </c>
      <c r="N2395" s="76">
        <v>0</v>
      </c>
      <c r="O2395" s="90" t="str">
        <f>IF(VLOOKUP(UncLookup[[#This Row],[Item]],Items!$A$1:$F$43,2,FALSE)=0,"",VLOOKUP(UncLookup[[#This Row],[Item]],Items!$A$1:$F$43,2,FALSE))</f>
        <v>Tcindicator</v>
      </c>
      <c r="P2395" s="90" t="str">
        <f>IF(VLOOKUP(UncLookup[[#This Row],[Item]],Items!$A$1:$F$43,3,FALSE)=0,"",VLOOKUP(UncLookup[[#This Row],[Item]],Items!$A$1:$F$43,3,FALSE))</f>
        <v/>
      </c>
      <c r="Q2395" s="90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5" t="s">
        <v>70</v>
      </c>
      <c r="B2396" s="75" t="s">
        <v>81</v>
      </c>
      <c r="C2396" s="75">
        <v>-250</v>
      </c>
      <c r="D2396" s="75">
        <v>-150</v>
      </c>
      <c r="E2396" s="75">
        <v>0.1</v>
      </c>
      <c r="F2396" s="75" t="s">
        <v>23</v>
      </c>
      <c r="G2396" s="75" t="s">
        <v>23</v>
      </c>
      <c r="H2396" s="75">
        <v>0</v>
      </c>
      <c r="I2396" s="75">
        <v>0</v>
      </c>
      <c r="J2396" s="75"/>
      <c r="K2396" s="75">
        <v>2.2146411810000002</v>
      </c>
      <c r="L2396" s="75">
        <v>0</v>
      </c>
      <c r="M2396" s="75">
        <v>2.2134449200000001</v>
      </c>
      <c r="N2396" s="75">
        <v>0</v>
      </c>
      <c r="O2396" s="90" t="str">
        <f>IF(VLOOKUP(UncLookup[[#This Row],[Item]],Items!$A$1:$F$43,2,FALSE)=0,"",VLOOKUP(UncLookup[[#This Row],[Item]],Items!$A$1:$F$43,2,FALSE))</f>
        <v>Tcindicator</v>
      </c>
      <c r="P2396" s="90" t="str">
        <f>IF(VLOOKUP(UncLookup[[#This Row],[Item]],Items!$A$1:$F$43,3,FALSE)=0,"",VLOOKUP(UncLookup[[#This Row],[Item]],Items!$A$1:$F$43,3,FALSE))</f>
        <v/>
      </c>
      <c r="Q2396" s="90" t="str">
        <f>IF(VLOOKUP(UncLookup[[#This Row],[Item]],Items!$A$1:$F$43,4,FALSE)=0,"",VLOOKUP(UncLookup[[#This Row],[Item]],Items!$A$1:$F$43,4,FALSE))</f>
        <v>T</v>
      </c>
    </row>
    <row r="2397" spans="1:17" x14ac:dyDescent="0.25">
      <c r="A2397" s="76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90" t="str">
        <f>IF(VLOOKUP(UncLookup[[#This Row],[Item]],Items!$A$1:$F$43,2,FALSE)=0,"",VLOOKUP(UncLookup[[#This Row],[Item]],Items!$A$1:$F$43,2,FALSE))</f>
        <v>Tcindicator</v>
      </c>
      <c r="P2397" s="90" t="str">
        <f>IF(VLOOKUP(UncLookup[[#This Row],[Item]],Items!$A$1:$F$43,3,FALSE)=0,"",VLOOKUP(UncLookup[[#This Row],[Item]],Items!$A$1:$F$43,3,FALSE))</f>
        <v/>
      </c>
      <c r="Q2397" s="90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5" t="s">
        <v>70</v>
      </c>
      <c r="B2398" s="75" t="s">
        <v>81</v>
      </c>
      <c r="C2398" s="75">
        <v>-238</v>
      </c>
      <c r="D2398" s="75">
        <v>752</v>
      </c>
      <c r="E2398" s="75">
        <v>0.1</v>
      </c>
      <c r="F2398" s="75" t="s">
        <v>26</v>
      </c>
      <c r="G2398" s="75" t="s">
        <v>26</v>
      </c>
      <c r="H2398" s="75">
        <v>0</v>
      </c>
      <c r="I2398" s="75">
        <v>0</v>
      </c>
      <c r="J2398" s="75"/>
      <c r="K2398" s="75">
        <v>1.9193133179999999</v>
      </c>
      <c r="L2398" s="75">
        <v>0</v>
      </c>
      <c r="M2398" s="75">
        <v>1.9156064310000001</v>
      </c>
      <c r="N2398" s="75">
        <v>0</v>
      </c>
      <c r="O2398" s="90" t="str">
        <f>IF(VLOOKUP(UncLookup[[#This Row],[Item]],Items!$A$1:$F$43,2,FALSE)=0,"",VLOOKUP(UncLookup[[#This Row],[Item]],Items!$A$1:$F$43,2,FALSE))</f>
        <v>Tcindicator</v>
      </c>
      <c r="P2398" s="90" t="str">
        <f>IF(VLOOKUP(UncLookup[[#This Row],[Item]],Items!$A$1:$F$43,3,FALSE)=0,"",VLOOKUP(UncLookup[[#This Row],[Item]],Items!$A$1:$F$43,3,FALSE))</f>
        <v/>
      </c>
      <c r="Q2398" s="90" t="str">
        <f>IF(VLOOKUP(UncLookup[[#This Row],[Item]],Items!$A$1:$F$43,4,FALSE)=0,"",VLOOKUP(UncLookup[[#This Row],[Item]],Items!$A$1:$F$43,4,FALSE))</f>
        <v>T</v>
      </c>
    </row>
    <row r="2399" spans="1:17" x14ac:dyDescent="0.25">
      <c r="A2399" s="76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90" t="str">
        <f>IF(VLOOKUP(UncLookup[[#This Row],[Item]],Items!$A$1:$F$43,2,FALSE)=0,"",VLOOKUP(UncLookup[[#This Row],[Item]],Items!$A$1:$F$43,2,FALSE))</f>
        <v>Tcindicator</v>
      </c>
      <c r="P2399" s="90" t="str">
        <f>IF(VLOOKUP(UncLookup[[#This Row],[Item]],Items!$A$1:$F$43,3,FALSE)=0,"",VLOOKUP(UncLookup[[#This Row],[Item]],Items!$A$1:$F$43,3,FALSE))</f>
        <v/>
      </c>
      <c r="Q2399" s="90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5" t="s">
        <v>70</v>
      </c>
      <c r="B2400" s="75" t="s">
        <v>81</v>
      </c>
      <c r="C2400" s="75">
        <v>-150</v>
      </c>
      <c r="D2400" s="75">
        <v>400</v>
      </c>
      <c r="E2400" s="75">
        <v>0.1</v>
      </c>
      <c r="F2400" s="75" t="s">
        <v>23</v>
      </c>
      <c r="G2400" s="75" t="s">
        <v>23</v>
      </c>
      <c r="H2400" s="75">
        <v>0</v>
      </c>
      <c r="I2400" s="75">
        <v>0</v>
      </c>
      <c r="J2400" s="75"/>
      <c r="K2400" s="75">
        <v>1.0694359710000001</v>
      </c>
      <c r="L2400" s="75">
        <v>0</v>
      </c>
      <c r="M2400" s="75">
        <v>1.0673826689999999</v>
      </c>
      <c r="N2400" s="75">
        <v>0</v>
      </c>
      <c r="O2400" s="90" t="str">
        <f>IF(VLOOKUP(UncLookup[[#This Row],[Item]],Items!$A$1:$F$43,2,FALSE)=0,"",VLOOKUP(UncLookup[[#This Row],[Item]],Items!$A$1:$F$43,2,FALSE))</f>
        <v>Tcindicator</v>
      </c>
      <c r="P2400" s="90" t="str">
        <f>IF(VLOOKUP(UncLookup[[#This Row],[Item]],Items!$A$1:$F$43,3,FALSE)=0,"",VLOOKUP(UncLookup[[#This Row],[Item]],Items!$A$1:$F$43,3,FALSE))</f>
        <v/>
      </c>
      <c r="Q2400" s="90" t="str">
        <f>IF(VLOOKUP(UncLookup[[#This Row],[Item]],Items!$A$1:$F$43,4,FALSE)=0,"",VLOOKUP(UncLookup[[#This Row],[Item]],Items!$A$1:$F$43,4,FALSE))</f>
        <v>T</v>
      </c>
    </row>
    <row r="2401" spans="1:17" x14ac:dyDescent="0.25">
      <c r="A2401" s="76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90" t="str">
        <f>IF(VLOOKUP(UncLookup[[#This Row],[Item]],Items!$A$1:$F$43,2,FALSE)=0,"",VLOOKUP(UncLookup[[#This Row],[Item]],Items!$A$1:$F$43,2,FALSE))</f>
        <v>Tcindicator</v>
      </c>
      <c r="P2401" s="90" t="str">
        <f>IF(VLOOKUP(UncLookup[[#This Row],[Item]],Items!$A$1:$F$43,3,FALSE)=0,"",VLOOKUP(UncLookup[[#This Row],[Item]],Items!$A$1:$F$43,3,FALSE))</f>
        <v/>
      </c>
      <c r="Q2401" s="90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5" t="s">
        <v>70</v>
      </c>
      <c r="B2402" s="75" t="s">
        <v>80</v>
      </c>
      <c r="C2402" s="75">
        <v>0</v>
      </c>
      <c r="D2402" s="75">
        <v>250</v>
      </c>
      <c r="E2402" s="75">
        <v>0.1</v>
      </c>
      <c r="F2402" s="75" t="s">
        <v>23</v>
      </c>
      <c r="G2402" s="75" t="s">
        <v>23</v>
      </c>
      <c r="H2402" s="75">
        <v>0</v>
      </c>
      <c r="I2402" s="75">
        <v>0</v>
      </c>
      <c r="J2402" s="75"/>
      <c r="K2402" s="75">
        <v>2.6783437879999998</v>
      </c>
      <c r="L2402" s="75">
        <v>0</v>
      </c>
      <c r="M2402" s="75">
        <v>2.6774646350000002</v>
      </c>
      <c r="N2402" s="75">
        <v>0</v>
      </c>
      <c r="O2402" s="90" t="str">
        <f>IF(VLOOKUP(UncLookup[[#This Row],[Item]],Items!$A$1:$F$43,2,FALSE)=0,"",VLOOKUP(UncLookup[[#This Row],[Item]],Items!$A$1:$F$43,2,FALSE))</f>
        <v>Tcindicator</v>
      </c>
      <c r="P2402" s="90" t="str">
        <f>IF(VLOOKUP(UncLookup[[#This Row],[Item]],Items!$A$1:$F$43,3,FALSE)=0,"",VLOOKUP(UncLookup[[#This Row],[Item]],Items!$A$1:$F$43,3,FALSE))</f>
        <v/>
      </c>
      <c r="Q2402" s="90" t="str">
        <f>IF(VLOOKUP(UncLookup[[#This Row],[Item]],Items!$A$1:$F$43,4,FALSE)=0,"",VLOOKUP(UncLookup[[#This Row],[Item]],Items!$A$1:$F$43,4,FALSE))</f>
        <v>S</v>
      </c>
    </row>
    <row r="2403" spans="1:17" x14ac:dyDescent="0.25">
      <c r="A2403" s="76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90" t="str">
        <f>IF(VLOOKUP(UncLookup[[#This Row],[Item]],Items!$A$1:$F$43,2,FALSE)=0,"",VLOOKUP(UncLookup[[#This Row],[Item]],Items!$A$1:$F$43,2,FALSE))</f>
        <v>Tcindicator</v>
      </c>
      <c r="P2403" s="90" t="str">
        <f>IF(VLOOKUP(UncLookup[[#This Row],[Item]],Items!$A$1:$F$43,3,FALSE)=0,"",VLOOKUP(UncLookup[[#This Row],[Item]],Items!$A$1:$F$43,3,FALSE))</f>
        <v/>
      </c>
      <c r="Q2403" s="90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5" t="s">
        <v>70</v>
      </c>
      <c r="B2404" s="75" t="s">
        <v>80</v>
      </c>
      <c r="C2404" s="75">
        <v>32</v>
      </c>
      <c r="D2404" s="75">
        <v>482</v>
      </c>
      <c r="E2404" s="75">
        <v>0.1</v>
      </c>
      <c r="F2404" s="75" t="s">
        <v>26</v>
      </c>
      <c r="G2404" s="75" t="s">
        <v>26</v>
      </c>
      <c r="H2404" s="75">
        <v>0</v>
      </c>
      <c r="I2404" s="75">
        <v>0</v>
      </c>
      <c r="J2404" s="75"/>
      <c r="K2404" s="75">
        <v>4.7943578179999999</v>
      </c>
      <c r="L2404" s="75">
        <v>0</v>
      </c>
      <c r="M2404" s="75">
        <v>4.7927665399999997</v>
      </c>
      <c r="N2404" s="75">
        <v>0</v>
      </c>
      <c r="O2404" s="90" t="str">
        <f>IF(VLOOKUP(UncLookup[[#This Row],[Item]],Items!$A$1:$F$43,2,FALSE)=0,"",VLOOKUP(UncLookup[[#This Row],[Item]],Items!$A$1:$F$43,2,FALSE))</f>
        <v>Tcindicator</v>
      </c>
      <c r="P2404" s="90" t="str">
        <f>IF(VLOOKUP(UncLookup[[#This Row],[Item]],Items!$A$1:$F$43,3,FALSE)=0,"",VLOOKUP(UncLookup[[#This Row],[Item]],Items!$A$1:$F$43,3,FALSE))</f>
        <v/>
      </c>
      <c r="Q2404" s="90" t="str">
        <f>IF(VLOOKUP(UncLookup[[#This Row],[Item]],Items!$A$1:$F$43,4,FALSE)=0,"",VLOOKUP(UncLookup[[#This Row],[Item]],Items!$A$1:$F$43,4,FALSE))</f>
        <v>S</v>
      </c>
    </row>
    <row r="2405" spans="1:17" x14ac:dyDescent="0.25">
      <c r="A2405" s="76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90" t="str">
        <f>IF(VLOOKUP(UncLookup[[#This Row],[Item]],Items!$A$1:$F$43,2,FALSE)=0,"",VLOOKUP(UncLookup[[#This Row],[Item]],Items!$A$1:$F$43,2,FALSE))</f>
        <v>Tcindicator</v>
      </c>
      <c r="P2405" s="90" t="str">
        <f>IF(VLOOKUP(UncLookup[[#This Row],[Item]],Items!$A$1:$F$43,3,FALSE)=0,"",VLOOKUP(UncLookup[[#This Row],[Item]],Items!$A$1:$F$43,3,FALSE))</f>
        <v/>
      </c>
      <c r="Q2405" s="90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5" t="s">
        <v>70</v>
      </c>
      <c r="B2406" s="75" t="s">
        <v>80</v>
      </c>
      <c r="C2406" s="75">
        <v>250</v>
      </c>
      <c r="D2406" s="75">
        <v>1760</v>
      </c>
      <c r="E2406" s="75">
        <v>0.1</v>
      </c>
      <c r="F2406" s="75" t="s">
        <v>23</v>
      </c>
      <c r="G2406" s="75" t="s">
        <v>23</v>
      </c>
      <c r="H2406" s="75">
        <v>0</v>
      </c>
      <c r="I2406" s="75">
        <v>0</v>
      </c>
      <c r="J2406" s="75"/>
      <c r="K2406" s="75">
        <v>2.0005886570000002</v>
      </c>
      <c r="L2406" s="75">
        <v>0</v>
      </c>
      <c r="M2406" s="75">
        <v>1.999572074</v>
      </c>
      <c r="N2406" s="75">
        <v>0</v>
      </c>
      <c r="O2406" s="90" t="str">
        <f>IF(VLOOKUP(UncLookup[[#This Row],[Item]],Items!$A$1:$F$43,2,FALSE)=0,"",VLOOKUP(UncLookup[[#This Row],[Item]],Items!$A$1:$F$43,2,FALSE))</f>
        <v>Tcindicator</v>
      </c>
      <c r="P2406" s="90" t="str">
        <f>IF(VLOOKUP(UncLookup[[#This Row],[Item]],Items!$A$1:$F$43,3,FALSE)=0,"",VLOOKUP(UncLookup[[#This Row],[Item]],Items!$A$1:$F$43,3,FALSE))</f>
        <v/>
      </c>
      <c r="Q2406" s="90" t="str">
        <f>IF(VLOOKUP(UncLookup[[#This Row],[Item]],Items!$A$1:$F$43,4,FALSE)=0,"",VLOOKUP(UncLookup[[#This Row],[Item]],Items!$A$1:$F$43,4,FALSE))</f>
        <v>S</v>
      </c>
    </row>
    <row r="2407" spans="1:17" x14ac:dyDescent="0.25">
      <c r="A2407" s="76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90" t="str">
        <f>IF(VLOOKUP(UncLookup[[#This Row],[Item]],Items!$A$1:$F$43,2,FALSE)=0,"",VLOOKUP(UncLookup[[#This Row],[Item]],Items!$A$1:$F$43,2,FALSE))</f>
        <v>Tcindicator</v>
      </c>
      <c r="P2407" s="90" t="str">
        <f>IF(VLOOKUP(UncLookup[[#This Row],[Item]],Items!$A$1:$F$43,3,FALSE)=0,"",VLOOKUP(UncLookup[[#This Row],[Item]],Items!$A$1:$F$43,3,FALSE))</f>
        <v/>
      </c>
      <c r="Q2407" s="90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5" t="s">
        <v>70</v>
      </c>
      <c r="B2408" s="75" t="s">
        <v>80</v>
      </c>
      <c r="C2408" s="75">
        <v>482</v>
      </c>
      <c r="D2408" s="75">
        <v>3200</v>
      </c>
      <c r="E2408" s="75">
        <v>0.1</v>
      </c>
      <c r="F2408" s="75" t="s">
        <v>26</v>
      </c>
      <c r="G2408" s="75" t="s">
        <v>26</v>
      </c>
      <c r="H2408" s="75">
        <v>0</v>
      </c>
      <c r="I2408" s="75">
        <v>0</v>
      </c>
      <c r="J2408" s="75"/>
      <c r="K2408" s="75">
        <v>3.5846263629999999</v>
      </c>
      <c r="L2408" s="75">
        <v>0</v>
      </c>
      <c r="M2408" s="75">
        <v>3.58278812</v>
      </c>
      <c r="N2408" s="75">
        <v>0</v>
      </c>
      <c r="O2408" s="90" t="str">
        <f>IF(VLOOKUP(UncLookup[[#This Row],[Item]],Items!$A$1:$F$43,2,FALSE)=0,"",VLOOKUP(UncLookup[[#This Row],[Item]],Items!$A$1:$F$43,2,FALSE))</f>
        <v>Tcindicator</v>
      </c>
      <c r="P2408" s="90" t="str">
        <f>IF(VLOOKUP(UncLookup[[#This Row],[Item]],Items!$A$1:$F$43,3,FALSE)=0,"",VLOOKUP(UncLookup[[#This Row],[Item]],Items!$A$1:$F$43,3,FALSE))</f>
        <v/>
      </c>
      <c r="Q2408" s="90" t="str">
        <f>IF(VLOOKUP(UncLookup[[#This Row],[Item]],Items!$A$1:$F$43,4,FALSE)=0,"",VLOOKUP(UncLookup[[#This Row],[Item]],Items!$A$1:$F$43,4,FALSE))</f>
        <v>S</v>
      </c>
    </row>
    <row r="2409" spans="1:17" x14ac:dyDescent="0.25">
      <c r="A2409" s="76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90" t="str">
        <f>IF(VLOOKUP(UncLookup[[#This Row],[Item]],Items!$A$1:$F$43,2,FALSE)=0,"",VLOOKUP(UncLookup[[#This Row],[Item]],Items!$A$1:$F$43,2,FALSE))</f>
        <v>Tcindicator</v>
      </c>
      <c r="P2409" s="90" t="str">
        <f>IF(VLOOKUP(UncLookup[[#This Row],[Item]],Items!$A$1:$F$43,3,FALSE)=0,"",VLOOKUP(UncLookup[[#This Row],[Item]],Items!$A$1:$F$43,3,FALSE))</f>
        <v/>
      </c>
      <c r="Q2409" s="90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5" t="s">
        <v>70</v>
      </c>
      <c r="B2410" s="75" t="s">
        <v>79</v>
      </c>
      <c r="C2410" s="75">
        <v>0</v>
      </c>
      <c r="D2410" s="75">
        <v>250</v>
      </c>
      <c r="E2410" s="75">
        <v>0.1</v>
      </c>
      <c r="F2410" s="75" t="s">
        <v>23</v>
      </c>
      <c r="G2410" s="75" t="s">
        <v>23</v>
      </c>
      <c r="H2410" s="75">
        <v>0</v>
      </c>
      <c r="I2410" s="75">
        <v>0</v>
      </c>
      <c r="J2410" s="75"/>
      <c r="K2410" s="75">
        <v>2.6783637649999998</v>
      </c>
      <c r="L2410" s="75">
        <v>0</v>
      </c>
      <c r="M2410" s="75">
        <v>2.6774646350000002</v>
      </c>
      <c r="N2410" s="75">
        <v>0</v>
      </c>
      <c r="O2410" s="90" t="str">
        <f>IF(VLOOKUP(UncLookup[[#This Row],[Item]],Items!$A$1:$F$43,2,FALSE)=0,"",VLOOKUP(UncLookup[[#This Row],[Item]],Items!$A$1:$F$43,2,FALSE))</f>
        <v>Tcindicator</v>
      </c>
      <c r="P2410" s="90" t="str">
        <f>IF(VLOOKUP(UncLookup[[#This Row],[Item]],Items!$A$1:$F$43,3,FALSE)=0,"",VLOOKUP(UncLookup[[#This Row],[Item]],Items!$A$1:$F$43,3,FALSE))</f>
        <v/>
      </c>
      <c r="Q2410" s="90" t="str">
        <f>IF(VLOOKUP(UncLookup[[#This Row],[Item]],Items!$A$1:$F$43,4,FALSE)=0,"",VLOOKUP(UncLookup[[#This Row],[Item]],Items!$A$1:$F$43,4,FALSE))</f>
        <v>R</v>
      </c>
    </row>
    <row r="2411" spans="1:17" x14ac:dyDescent="0.25">
      <c r="A2411" s="76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90" t="str">
        <f>IF(VLOOKUP(UncLookup[[#This Row],[Item]],Items!$A$1:$F$43,2,FALSE)=0,"",VLOOKUP(UncLookup[[#This Row],[Item]],Items!$A$1:$F$43,2,FALSE))</f>
        <v>Tcindicator</v>
      </c>
      <c r="P2411" s="90" t="str">
        <f>IF(VLOOKUP(UncLookup[[#This Row],[Item]],Items!$A$1:$F$43,3,FALSE)=0,"",VLOOKUP(UncLookup[[#This Row],[Item]],Items!$A$1:$F$43,3,FALSE))</f>
        <v/>
      </c>
      <c r="Q2411" s="90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5" t="s">
        <v>70</v>
      </c>
      <c r="B2412" s="75" t="s">
        <v>79</v>
      </c>
      <c r="C2412" s="75">
        <v>32</v>
      </c>
      <c r="D2412" s="75">
        <v>482</v>
      </c>
      <c r="E2412" s="75">
        <v>0.1</v>
      </c>
      <c r="F2412" s="75" t="s">
        <v>26</v>
      </c>
      <c r="G2412" s="75" t="s">
        <v>26</v>
      </c>
      <c r="H2412" s="75">
        <v>0</v>
      </c>
      <c r="I2412" s="75">
        <v>0</v>
      </c>
      <c r="J2412" s="75"/>
      <c r="K2412" s="75">
        <v>4.7943939770000004</v>
      </c>
      <c r="L2412" s="75">
        <v>0</v>
      </c>
      <c r="M2412" s="75">
        <v>4.7927665399999997</v>
      </c>
      <c r="N2412" s="75">
        <v>0</v>
      </c>
      <c r="O2412" s="90" t="str">
        <f>IF(VLOOKUP(UncLookup[[#This Row],[Item]],Items!$A$1:$F$43,2,FALSE)=0,"",VLOOKUP(UncLookup[[#This Row],[Item]],Items!$A$1:$F$43,2,FALSE))</f>
        <v>Tcindicator</v>
      </c>
      <c r="P2412" s="90" t="str">
        <f>IF(VLOOKUP(UncLookup[[#This Row],[Item]],Items!$A$1:$F$43,3,FALSE)=0,"",VLOOKUP(UncLookup[[#This Row],[Item]],Items!$A$1:$F$43,3,FALSE))</f>
        <v/>
      </c>
      <c r="Q2412" s="90" t="str">
        <f>IF(VLOOKUP(UncLookup[[#This Row],[Item]],Items!$A$1:$F$43,4,FALSE)=0,"",VLOOKUP(UncLookup[[#This Row],[Item]],Items!$A$1:$F$43,4,FALSE))</f>
        <v>R</v>
      </c>
    </row>
    <row r="2413" spans="1:17" x14ac:dyDescent="0.25">
      <c r="A2413" s="76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90" t="str">
        <f>IF(VLOOKUP(UncLookup[[#This Row],[Item]],Items!$A$1:$F$43,2,FALSE)=0,"",VLOOKUP(UncLookup[[#This Row],[Item]],Items!$A$1:$F$43,2,FALSE))</f>
        <v>Tcindicator</v>
      </c>
      <c r="P2413" s="90" t="str">
        <f>IF(VLOOKUP(UncLookup[[#This Row],[Item]],Items!$A$1:$F$43,3,FALSE)=0,"",VLOOKUP(UncLookup[[#This Row],[Item]],Items!$A$1:$F$43,3,FALSE))</f>
        <v/>
      </c>
      <c r="Q2413" s="90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5" t="s">
        <v>70</v>
      </c>
      <c r="B2414" s="75" t="s">
        <v>79</v>
      </c>
      <c r="C2414" s="75">
        <v>250</v>
      </c>
      <c r="D2414" s="75">
        <v>1760</v>
      </c>
      <c r="E2414" s="75">
        <v>0.1</v>
      </c>
      <c r="F2414" s="75" t="s">
        <v>23</v>
      </c>
      <c r="G2414" s="75" t="s">
        <v>23</v>
      </c>
      <c r="H2414" s="75">
        <v>0</v>
      </c>
      <c r="I2414" s="75">
        <v>0</v>
      </c>
      <c r="J2414" s="75"/>
      <c r="K2414" s="75">
        <v>1.996504472</v>
      </c>
      <c r="L2414" s="75">
        <v>0</v>
      </c>
      <c r="M2414" s="75">
        <v>1.9954858090000001</v>
      </c>
      <c r="N2414" s="75">
        <v>0</v>
      </c>
      <c r="O2414" s="90" t="str">
        <f>IF(VLOOKUP(UncLookup[[#This Row],[Item]],Items!$A$1:$F$43,2,FALSE)=0,"",VLOOKUP(UncLookup[[#This Row],[Item]],Items!$A$1:$F$43,2,FALSE))</f>
        <v>Tcindicator</v>
      </c>
      <c r="P2414" s="90" t="str">
        <f>IF(VLOOKUP(UncLookup[[#This Row],[Item]],Items!$A$1:$F$43,3,FALSE)=0,"",VLOOKUP(UncLookup[[#This Row],[Item]],Items!$A$1:$F$43,3,FALSE))</f>
        <v/>
      </c>
      <c r="Q2414" s="90" t="str">
        <f>IF(VLOOKUP(UncLookup[[#This Row],[Item]],Items!$A$1:$F$43,4,FALSE)=0,"",VLOOKUP(UncLookup[[#This Row],[Item]],Items!$A$1:$F$43,4,FALSE))</f>
        <v>R</v>
      </c>
    </row>
    <row r="2415" spans="1:17" x14ac:dyDescent="0.25">
      <c r="A2415" s="76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90" t="str">
        <f>IF(VLOOKUP(UncLookup[[#This Row],[Item]],Items!$A$1:$F$43,2,FALSE)=0,"",VLOOKUP(UncLookup[[#This Row],[Item]],Items!$A$1:$F$43,2,FALSE))</f>
        <v>Tcindicator</v>
      </c>
      <c r="P2415" s="90" t="str">
        <f>IF(VLOOKUP(UncLookup[[#This Row],[Item]],Items!$A$1:$F$43,3,FALSE)=0,"",VLOOKUP(UncLookup[[#This Row],[Item]],Items!$A$1:$F$43,3,FALSE))</f>
        <v/>
      </c>
      <c r="Q2415" s="90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5" t="s">
        <v>70</v>
      </c>
      <c r="B2416" s="75" t="s">
        <v>79</v>
      </c>
      <c r="C2416" s="75">
        <v>482</v>
      </c>
      <c r="D2416" s="75">
        <v>3200</v>
      </c>
      <c r="E2416" s="75">
        <v>0.1</v>
      </c>
      <c r="F2416" s="75" t="s">
        <v>26</v>
      </c>
      <c r="G2416" s="75" t="s">
        <v>26</v>
      </c>
      <c r="H2416" s="75">
        <v>0</v>
      </c>
      <c r="I2416" s="75">
        <v>0</v>
      </c>
      <c r="J2416" s="75"/>
      <c r="K2416" s="75">
        <v>3.582348573</v>
      </c>
      <c r="L2416" s="75">
        <v>0</v>
      </c>
      <c r="M2416" s="75">
        <v>3.5805091610000002</v>
      </c>
      <c r="N2416" s="75">
        <v>0</v>
      </c>
      <c r="O2416" s="90" t="str">
        <f>IF(VLOOKUP(UncLookup[[#This Row],[Item]],Items!$A$1:$F$43,2,FALSE)=0,"",VLOOKUP(UncLookup[[#This Row],[Item]],Items!$A$1:$F$43,2,FALSE))</f>
        <v>Tcindicator</v>
      </c>
      <c r="P2416" s="90" t="str">
        <f>IF(VLOOKUP(UncLookup[[#This Row],[Item]],Items!$A$1:$F$43,3,FALSE)=0,"",VLOOKUP(UncLookup[[#This Row],[Item]],Items!$A$1:$F$43,3,FALSE))</f>
        <v/>
      </c>
      <c r="Q2416" s="90" t="str">
        <f>IF(VLOOKUP(UncLookup[[#This Row],[Item]],Items!$A$1:$F$43,4,FALSE)=0,"",VLOOKUP(UncLookup[[#This Row],[Item]],Items!$A$1:$F$43,4,FALSE))</f>
        <v>R</v>
      </c>
    </row>
    <row r="2417" spans="1:17" x14ac:dyDescent="0.25">
      <c r="A2417" s="76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90" t="str">
        <f>IF(VLOOKUP(UncLookup[[#This Row],[Item]],Items!$A$1:$F$43,2,FALSE)=0,"",VLOOKUP(UncLookup[[#This Row],[Item]],Items!$A$1:$F$43,2,FALSE))</f>
        <v>Tcindicator</v>
      </c>
      <c r="P2417" s="90" t="str">
        <f>IF(VLOOKUP(UncLookup[[#This Row],[Item]],Items!$A$1:$F$43,3,FALSE)=0,"",VLOOKUP(UncLookup[[#This Row],[Item]],Items!$A$1:$F$43,3,FALSE))</f>
        <v/>
      </c>
      <c r="Q2417" s="90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5" t="s">
        <v>70</v>
      </c>
      <c r="B2418" s="75" t="s">
        <v>78</v>
      </c>
      <c r="C2418" s="75">
        <v>-328</v>
      </c>
      <c r="D2418" s="75">
        <v>-148</v>
      </c>
      <c r="E2418" s="75">
        <v>0.1</v>
      </c>
      <c r="F2418" s="75" t="s">
        <v>26</v>
      </c>
      <c r="G2418" s="75" t="s">
        <v>26</v>
      </c>
      <c r="H2418" s="75">
        <v>0</v>
      </c>
      <c r="I2418" s="75">
        <v>0</v>
      </c>
      <c r="J2418" s="75"/>
      <c r="K2418" s="75">
        <v>3.2049883289999999</v>
      </c>
      <c r="L2418" s="75">
        <v>0</v>
      </c>
      <c r="M2418" s="75">
        <v>3.2025262419999998</v>
      </c>
      <c r="N2418" s="75">
        <v>0</v>
      </c>
      <c r="O2418" s="90" t="str">
        <f>IF(VLOOKUP(UncLookup[[#This Row],[Item]],Items!$A$1:$F$43,2,FALSE)=0,"",VLOOKUP(UncLookup[[#This Row],[Item]],Items!$A$1:$F$43,2,FALSE))</f>
        <v>Tcindicator</v>
      </c>
      <c r="P2418" s="90" t="str">
        <f>IF(VLOOKUP(UncLookup[[#This Row],[Item]],Items!$A$1:$F$43,3,FALSE)=0,"",VLOOKUP(UncLookup[[#This Row],[Item]],Items!$A$1:$F$43,3,FALSE))</f>
        <v/>
      </c>
      <c r="Q2418" s="90" t="str">
        <f>IF(VLOOKUP(UncLookup[[#This Row],[Item]],Items!$A$1:$F$43,4,FALSE)=0,"",VLOOKUP(UncLookup[[#This Row],[Item]],Items!$A$1:$F$43,4,FALSE))</f>
        <v>N</v>
      </c>
    </row>
    <row r="2419" spans="1:17" x14ac:dyDescent="0.25">
      <c r="A2419" s="76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90" t="str">
        <f>IF(VLOOKUP(UncLookup[[#This Row],[Item]],Items!$A$1:$F$43,2,FALSE)=0,"",VLOOKUP(UncLookup[[#This Row],[Item]],Items!$A$1:$F$43,2,FALSE))</f>
        <v>Tcindicator</v>
      </c>
      <c r="P2419" s="90" t="str">
        <f>IF(VLOOKUP(UncLookup[[#This Row],[Item]],Items!$A$1:$F$43,3,FALSE)=0,"",VLOOKUP(UncLookup[[#This Row],[Item]],Items!$A$1:$F$43,3,FALSE))</f>
        <v/>
      </c>
      <c r="Q2419" s="90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5" t="s">
        <v>70</v>
      </c>
      <c r="B2420" s="75" t="s">
        <v>78</v>
      </c>
      <c r="C2420" s="75">
        <v>-200</v>
      </c>
      <c r="D2420" s="75">
        <v>-100</v>
      </c>
      <c r="E2420" s="75">
        <v>0.1</v>
      </c>
      <c r="F2420" s="75" t="s">
        <v>23</v>
      </c>
      <c r="G2420" s="75" t="s">
        <v>23</v>
      </c>
      <c r="H2420" s="75">
        <v>0</v>
      </c>
      <c r="I2420" s="75">
        <v>0</v>
      </c>
      <c r="J2420" s="75"/>
      <c r="K2420" s="75">
        <v>1.7820037</v>
      </c>
      <c r="L2420" s="75">
        <v>0</v>
      </c>
      <c r="M2420" s="75">
        <v>1.7806369909999999</v>
      </c>
      <c r="N2420" s="75">
        <v>0</v>
      </c>
      <c r="O2420" s="90" t="str">
        <f>IF(VLOOKUP(UncLookup[[#This Row],[Item]],Items!$A$1:$F$43,2,FALSE)=0,"",VLOOKUP(UncLookup[[#This Row],[Item]],Items!$A$1:$F$43,2,FALSE))</f>
        <v>Tcindicator</v>
      </c>
      <c r="P2420" s="90" t="str">
        <f>IF(VLOOKUP(UncLookup[[#This Row],[Item]],Items!$A$1:$F$43,3,FALSE)=0,"",VLOOKUP(UncLookup[[#This Row],[Item]],Items!$A$1:$F$43,3,FALSE))</f>
        <v/>
      </c>
      <c r="Q2420" s="90" t="str">
        <f>IF(VLOOKUP(UncLookup[[#This Row],[Item]],Items!$A$1:$F$43,4,FALSE)=0,"",VLOOKUP(UncLookup[[#This Row],[Item]],Items!$A$1:$F$43,4,FALSE))</f>
        <v>N</v>
      </c>
    </row>
    <row r="2421" spans="1:17" x14ac:dyDescent="0.25">
      <c r="A2421" s="76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90" t="str">
        <f>IF(VLOOKUP(UncLookup[[#This Row],[Item]],Items!$A$1:$F$43,2,FALSE)=0,"",VLOOKUP(UncLookup[[#This Row],[Item]],Items!$A$1:$F$43,2,FALSE))</f>
        <v>Tcindicator</v>
      </c>
      <c r="P2421" s="90" t="str">
        <f>IF(VLOOKUP(UncLookup[[#This Row],[Item]],Items!$A$1:$F$43,3,FALSE)=0,"",VLOOKUP(UncLookup[[#This Row],[Item]],Items!$A$1:$F$43,3,FALSE))</f>
        <v/>
      </c>
      <c r="Q2421" s="90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5" t="s">
        <v>70</v>
      </c>
      <c r="B2422" s="75" t="s">
        <v>78</v>
      </c>
      <c r="C2422" s="75">
        <v>-148</v>
      </c>
      <c r="D2422" s="75">
        <v>770</v>
      </c>
      <c r="E2422" s="75">
        <v>0.1</v>
      </c>
      <c r="F2422" s="75" t="s">
        <v>26</v>
      </c>
      <c r="G2422" s="75" t="s">
        <v>26</v>
      </c>
      <c r="H2422" s="75">
        <v>0</v>
      </c>
      <c r="I2422" s="75">
        <v>0</v>
      </c>
      <c r="J2422" s="75"/>
      <c r="K2422" s="75">
        <v>2.2918456639999998</v>
      </c>
      <c r="L2422" s="75">
        <v>0</v>
      </c>
      <c r="M2422" s="75">
        <v>2.2894238219999998</v>
      </c>
      <c r="N2422" s="75">
        <v>0</v>
      </c>
      <c r="O2422" s="90" t="str">
        <f>IF(VLOOKUP(UncLookup[[#This Row],[Item]],Items!$A$1:$F$43,2,FALSE)=0,"",VLOOKUP(UncLookup[[#This Row],[Item]],Items!$A$1:$F$43,2,FALSE))</f>
        <v>Tcindicator</v>
      </c>
      <c r="P2422" s="90" t="str">
        <f>IF(VLOOKUP(UncLookup[[#This Row],[Item]],Items!$A$1:$F$43,3,FALSE)=0,"",VLOOKUP(UncLookup[[#This Row],[Item]],Items!$A$1:$F$43,3,FALSE))</f>
        <v/>
      </c>
      <c r="Q2422" s="90" t="str">
        <f>IF(VLOOKUP(UncLookup[[#This Row],[Item]],Items!$A$1:$F$43,4,FALSE)=0,"",VLOOKUP(UncLookup[[#This Row],[Item]],Items!$A$1:$F$43,4,FALSE))</f>
        <v>N</v>
      </c>
    </row>
    <row r="2423" spans="1:17" x14ac:dyDescent="0.25">
      <c r="A2423" s="76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90" t="str">
        <f>IF(VLOOKUP(UncLookup[[#This Row],[Item]],Items!$A$1:$F$43,2,FALSE)=0,"",VLOOKUP(UncLookup[[#This Row],[Item]],Items!$A$1:$F$43,2,FALSE))</f>
        <v>Tcindicator</v>
      </c>
      <c r="P2423" s="90" t="str">
        <f>IF(VLOOKUP(UncLookup[[#This Row],[Item]],Items!$A$1:$F$43,3,FALSE)=0,"",VLOOKUP(UncLookup[[#This Row],[Item]],Items!$A$1:$F$43,3,FALSE))</f>
        <v/>
      </c>
      <c r="Q2423" s="90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5" t="s">
        <v>70</v>
      </c>
      <c r="B2424" s="75" t="s">
        <v>78</v>
      </c>
      <c r="C2424" s="75">
        <v>-100</v>
      </c>
      <c r="D2424" s="75">
        <v>410</v>
      </c>
      <c r="E2424" s="75">
        <v>0.1</v>
      </c>
      <c r="F2424" s="75" t="s">
        <v>23</v>
      </c>
      <c r="G2424" s="75" t="s">
        <v>23</v>
      </c>
      <c r="H2424" s="75">
        <v>0</v>
      </c>
      <c r="I2424" s="75">
        <v>0</v>
      </c>
      <c r="J2424" s="75"/>
      <c r="K2424" s="75">
        <v>1.2762020279999999</v>
      </c>
      <c r="L2424" s="75">
        <v>0</v>
      </c>
      <c r="M2424" s="75">
        <v>1.2748596780000001</v>
      </c>
      <c r="N2424" s="75">
        <v>0</v>
      </c>
      <c r="O2424" s="90" t="str">
        <f>IF(VLOOKUP(UncLookup[[#This Row],[Item]],Items!$A$1:$F$43,2,FALSE)=0,"",VLOOKUP(UncLookup[[#This Row],[Item]],Items!$A$1:$F$43,2,FALSE))</f>
        <v>Tcindicator</v>
      </c>
      <c r="P2424" s="90" t="str">
        <f>IF(VLOOKUP(UncLookup[[#This Row],[Item]],Items!$A$1:$F$43,3,FALSE)=0,"",VLOOKUP(UncLookup[[#This Row],[Item]],Items!$A$1:$F$43,3,FALSE))</f>
        <v/>
      </c>
      <c r="Q2424" s="90" t="str">
        <f>IF(VLOOKUP(UncLookup[[#This Row],[Item]],Items!$A$1:$F$43,4,FALSE)=0,"",VLOOKUP(UncLookup[[#This Row],[Item]],Items!$A$1:$F$43,4,FALSE))</f>
        <v>N</v>
      </c>
    </row>
    <row r="2425" spans="1:17" x14ac:dyDescent="0.25">
      <c r="A2425" s="76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90" t="str">
        <f>IF(VLOOKUP(UncLookup[[#This Row],[Item]],Items!$A$1:$F$43,2,FALSE)=0,"",VLOOKUP(UncLookup[[#This Row],[Item]],Items!$A$1:$F$43,2,FALSE))</f>
        <v>Tcindicator</v>
      </c>
      <c r="P2425" s="90" t="str">
        <f>IF(VLOOKUP(UncLookup[[#This Row],[Item]],Items!$A$1:$F$43,3,FALSE)=0,"",VLOOKUP(UncLookup[[#This Row],[Item]],Items!$A$1:$F$43,3,FALSE))</f>
        <v/>
      </c>
      <c r="Q2425" s="90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5" t="s">
        <v>70</v>
      </c>
      <c r="B2426" s="75" t="s">
        <v>78</v>
      </c>
      <c r="C2426" s="75">
        <v>410</v>
      </c>
      <c r="D2426" s="75">
        <v>1300</v>
      </c>
      <c r="E2426" s="75">
        <v>0.1</v>
      </c>
      <c r="F2426" s="75" t="s">
        <v>23</v>
      </c>
      <c r="G2426" s="75" t="s">
        <v>23</v>
      </c>
      <c r="H2426" s="75">
        <v>0</v>
      </c>
      <c r="I2426" s="75">
        <v>0</v>
      </c>
      <c r="J2426" s="75"/>
      <c r="K2426" s="75">
        <v>1.365791164</v>
      </c>
      <c r="L2426" s="75">
        <v>0</v>
      </c>
      <c r="M2426" s="75">
        <v>1.365066211</v>
      </c>
      <c r="N2426" s="75">
        <v>0</v>
      </c>
      <c r="O2426" s="90" t="str">
        <f>IF(VLOOKUP(UncLookup[[#This Row],[Item]],Items!$A$1:$F$43,2,FALSE)=0,"",VLOOKUP(UncLookup[[#This Row],[Item]],Items!$A$1:$F$43,2,FALSE))</f>
        <v>Tcindicator</v>
      </c>
      <c r="P2426" s="90" t="str">
        <f>IF(VLOOKUP(UncLookup[[#This Row],[Item]],Items!$A$1:$F$43,3,FALSE)=0,"",VLOOKUP(UncLookup[[#This Row],[Item]],Items!$A$1:$F$43,3,FALSE))</f>
        <v/>
      </c>
      <c r="Q2426" s="90" t="str">
        <f>IF(VLOOKUP(UncLookup[[#This Row],[Item]],Items!$A$1:$F$43,4,FALSE)=0,"",VLOOKUP(UncLookup[[#This Row],[Item]],Items!$A$1:$F$43,4,FALSE))</f>
        <v>N</v>
      </c>
    </row>
    <row r="2427" spans="1:17" x14ac:dyDescent="0.25">
      <c r="A2427" s="76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90" t="str">
        <f>IF(VLOOKUP(UncLookup[[#This Row],[Item]],Items!$A$1:$F$43,2,FALSE)=0,"",VLOOKUP(UncLookup[[#This Row],[Item]],Items!$A$1:$F$43,2,FALSE))</f>
        <v>Tcindicator</v>
      </c>
      <c r="P2427" s="90" t="str">
        <f>IF(VLOOKUP(UncLookup[[#This Row],[Item]],Items!$A$1:$F$43,3,FALSE)=0,"",VLOOKUP(UncLookup[[#This Row],[Item]],Items!$A$1:$F$43,3,FALSE))</f>
        <v/>
      </c>
      <c r="Q2427" s="90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5" t="s">
        <v>70</v>
      </c>
      <c r="B2428" s="75" t="s">
        <v>78</v>
      </c>
      <c r="C2428" s="75">
        <v>770</v>
      </c>
      <c r="D2428" s="75">
        <v>2372</v>
      </c>
      <c r="E2428" s="75">
        <v>0.1</v>
      </c>
      <c r="F2428" s="75" t="s">
        <v>26</v>
      </c>
      <c r="G2428" s="75" t="s">
        <v>26</v>
      </c>
      <c r="H2428" s="75">
        <v>0</v>
      </c>
      <c r="I2428" s="75">
        <v>0</v>
      </c>
      <c r="J2428" s="75"/>
      <c r="K2428" s="75">
        <v>2.4557651269999998</v>
      </c>
      <c r="L2428" s="75">
        <v>0</v>
      </c>
      <c r="M2428" s="75">
        <v>2.4544587999999998</v>
      </c>
      <c r="N2428" s="75">
        <v>0</v>
      </c>
      <c r="O2428" s="90" t="str">
        <f>IF(VLOOKUP(UncLookup[[#This Row],[Item]],Items!$A$1:$F$43,2,FALSE)=0,"",VLOOKUP(UncLookup[[#This Row],[Item]],Items!$A$1:$F$43,2,FALSE))</f>
        <v>Tcindicator</v>
      </c>
      <c r="P2428" s="90" t="str">
        <f>IF(VLOOKUP(UncLookup[[#This Row],[Item]],Items!$A$1:$F$43,3,FALSE)=0,"",VLOOKUP(UncLookup[[#This Row],[Item]],Items!$A$1:$F$43,3,FALSE))</f>
        <v/>
      </c>
      <c r="Q2428" s="90" t="str">
        <f>IF(VLOOKUP(UncLookup[[#This Row],[Item]],Items!$A$1:$F$43,4,FALSE)=0,"",VLOOKUP(UncLookup[[#This Row],[Item]],Items!$A$1:$F$43,4,FALSE))</f>
        <v>N</v>
      </c>
    </row>
    <row r="2429" spans="1:17" x14ac:dyDescent="0.25">
      <c r="A2429" s="76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90" t="str">
        <f>IF(VLOOKUP(UncLookup[[#This Row],[Item]],Items!$A$1:$F$43,2,FALSE)=0,"",VLOOKUP(UncLookup[[#This Row],[Item]],Items!$A$1:$F$43,2,FALSE))</f>
        <v>Tcindicator</v>
      </c>
      <c r="P2429" s="90" t="str">
        <f>IF(VLOOKUP(UncLookup[[#This Row],[Item]],Items!$A$1:$F$43,3,FALSE)=0,"",VLOOKUP(UncLookup[[#This Row],[Item]],Items!$A$1:$F$43,3,FALSE))</f>
        <v/>
      </c>
      <c r="Q2429" s="90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5" t="s">
        <v>70</v>
      </c>
      <c r="B2430" s="75" t="s">
        <v>77</v>
      </c>
      <c r="C2430" s="75">
        <v>-328</v>
      </c>
      <c r="D2430" s="75">
        <v>-148</v>
      </c>
      <c r="E2430" s="75">
        <v>0.1</v>
      </c>
      <c r="F2430" s="75" t="s">
        <v>26</v>
      </c>
      <c r="G2430" s="75" t="s">
        <v>26</v>
      </c>
      <c r="H2430" s="75">
        <v>0</v>
      </c>
      <c r="I2430" s="75">
        <v>0</v>
      </c>
      <c r="J2430" s="75"/>
      <c r="K2430" s="75">
        <v>2.584126259</v>
      </c>
      <c r="L2430" s="75">
        <v>0</v>
      </c>
      <c r="M2430" s="75">
        <v>2.5812734900000001</v>
      </c>
      <c r="N2430" s="75">
        <v>0</v>
      </c>
      <c r="O2430" s="90" t="str">
        <f>IF(VLOOKUP(UncLookup[[#This Row],[Item]],Items!$A$1:$F$43,2,FALSE)=0,"",VLOOKUP(UncLookup[[#This Row],[Item]],Items!$A$1:$F$43,2,FALSE))</f>
        <v>Tcindicator</v>
      </c>
      <c r="P2430" s="90" t="str">
        <f>IF(VLOOKUP(UncLookup[[#This Row],[Item]],Items!$A$1:$F$43,3,FALSE)=0,"",VLOOKUP(UncLookup[[#This Row],[Item]],Items!$A$1:$F$43,3,FALSE))</f>
        <v/>
      </c>
      <c r="Q2430" s="90" t="str">
        <f>IF(VLOOKUP(UncLookup[[#This Row],[Item]],Items!$A$1:$F$43,4,FALSE)=0,"",VLOOKUP(UncLookup[[#This Row],[Item]],Items!$A$1:$F$43,4,FALSE))</f>
        <v>K</v>
      </c>
    </row>
    <row r="2431" spans="1:17" x14ac:dyDescent="0.25">
      <c r="A2431" s="76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90" t="str">
        <f>IF(VLOOKUP(UncLookup[[#This Row],[Item]],Items!$A$1:$F$43,2,FALSE)=0,"",VLOOKUP(UncLookup[[#This Row],[Item]],Items!$A$1:$F$43,2,FALSE))</f>
        <v>Tcindicator</v>
      </c>
      <c r="P2431" s="90" t="str">
        <f>IF(VLOOKUP(UncLookup[[#This Row],[Item]],Items!$A$1:$F$43,3,FALSE)=0,"",VLOOKUP(UncLookup[[#This Row],[Item]],Items!$A$1:$F$43,3,FALSE))</f>
        <v/>
      </c>
      <c r="Q2431" s="90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5" t="s">
        <v>70</v>
      </c>
      <c r="B2432" s="75" t="s">
        <v>77</v>
      </c>
      <c r="C2432" s="75">
        <v>-200</v>
      </c>
      <c r="D2432" s="75">
        <v>-100</v>
      </c>
      <c r="E2432" s="75">
        <v>0.1</v>
      </c>
      <c r="F2432" s="75" t="s">
        <v>23</v>
      </c>
      <c r="G2432" s="75" t="s">
        <v>23</v>
      </c>
      <c r="H2432" s="75">
        <v>0</v>
      </c>
      <c r="I2432" s="75">
        <v>0</v>
      </c>
      <c r="J2432" s="75"/>
      <c r="K2432" s="75">
        <v>1.4397550640000001</v>
      </c>
      <c r="L2432" s="75">
        <v>0</v>
      </c>
      <c r="M2432" s="75">
        <v>1.438174743</v>
      </c>
      <c r="N2432" s="75">
        <v>0</v>
      </c>
      <c r="O2432" s="90" t="str">
        <f>IF(VLOOKUP(UncLookup[[#This Row],[Item]],Items!$A$1:$F$43,2,FALSE)=0,"",VLOOKUP(UncLookup[[#This Row],[Item]],Items!$A$1:$F$43,2,FALSE))</f>
        <v>Tcindicator</v>
      </c>
      <c r="P2432" s="90" t="str">
        <f>IF(VLOOKUP(UncLookup[[#This Row],[Item]],Items!$A$1:$F$43,3,FALSE)=0,"",VLOOKUP(UncLookup[[#This Row],[Item]],Items!$A$1:$F$43,3,FALSE))</f>
        <v/>
      </c>
      <c r="Q2432" s="90" t="str">
        <f>IF(VLOOKUP(UncLookup[[#This Row],[Item]],Items!$A$1:$F$43,4,FALSE)=0,"",VLOOKUP(UncLookup[[#This Row],[Item]],Items!$A$1:$F$43,4,FALSE))</f>
        <v>K</v>
      </c>
    </row>
    <row r="2433" spans="1:17" x14ac:dyDescent="0.25">
      <c r="A2433" s="76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90" t="str">
        <f>IF(VLOOKUP(UncLookup[[#This Row],[Item]],Items!$A$1:$F$43,2,FALSE)=0,"",VLOOKUP(UncLookup[[#This Row],[Item]],Items!$A$1:$F$43,2,FALSE))</f>
        <v>Tcindicator</v>
      </c>
      <c r="P2433" s="90" t="str">
        <f>IF(VLOOKUP(UncLookup[[#This Row],[Item]],Items!$A$1:$F$43,3,FALSE)=0,"",VLOOKUP(UncLookup[[#This Row],[Item]],Items!$A$1:$F$43,3,FALSE))</f>
        <v/>
      </c>
      <c r="Q2433" s="90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5" t="s">
        <v>70</v>
      </c>
      <c r="B2434" s="75" t="s">
        <v>77</v>
      </c>
      <c r="C2434" s="75">
        <v>-148</v>
      </c>
      <c r="D2434" s="75">
        <v>248</v>
      </c>
      <c r="E2434" s="75">
        <v>0.1</v>
      </c>
      <c r="F2434" s="75" t="s">
        <v>26</v>
      </c>
      <c r="G2434" s="75" t="s">
        <v>26</v>
      </c>
      <c r="H2434" s="75">
        <v>0</v>
      </c>
      <c r="I2434" s="75">
        <v>0</v>
      </c>
      <c r="J2434" s="75"/>
      <c r="K2434" s="75">
        <v>2.0844413880000001</v>
      </c>
      <c r="L2434" s="75">
        <v>0</v>
      </c>
      <c r="M2434" s="75">
        <v>2.0809036999999999</v>
      </c>
      <c r="N2434" s="75">
        <v>0</v>
      </c>
      <c r="O2434" s="90" t="str">
        <f>IF(VLOOKUP(UncLookup[[#This Row],[Item]],Items!$A$1:$F$43,2,FALSE)=0,"",VLOOKUP(UncLookup[[#This Row],[Item]],Items!$A$1:$F$43,2,FALSE))</f>
        <v>Tcindicator</v>
      </c>
      <c r="P2434" s="90" t="str">
        <f>IF(VLOOKUP(UncLookup[[#This Row],[Item]],Items!$A$1:$F$43,3,FALSE)=0,"",VLOOKUP(UncLookup[[#This Row],[Item]],Items!$A$1:$F$43,3,FALSE))</f>
        <v/>
      </c>
      <c r="Q2434" s="90" t="str">
        <f>IF(VLOOKUP(UncLookup[[#This Row],[Item]],Items!$A$1:$F$43,4,FALSE)=0,"",VLOOKUP(UncLookup[[#This Row],[Item]],Items!$A$1:$F$43,4,FALSE))</f>
        <v>K</v>
      </c>
    </row>
    <row r="2435" spans="1:17" x14ac:dyDescent="0.25">
      <c r="A2435" s="76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90" t="str">
        <f>IF(VLOOKUP(UncLookup[[#This Row],[Item]],Items!$A$1:$F$43,2,FALSE)=0,"",VLOOKUP(UncLookup[[#This Row],[Item]],Items!$A$1:$F$43,2,FALSE))</f>
        <v>Tcindicator</v>
      </c>
      <c r="P2435" s="90" t="str">
        <f>IF(VLOOKUP(UncLookup[[#This Row],[Item]],Items!$A$1:$F$43,3,FALSE)=0,"",VLOOKUP(UncLookup[[#This Row],[Item]],Items!$A$1:$F$43,3,FALSE))</f>
        <v/>
      </c>
      <c r="Q2435" s="90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5" t="s">
        <v>70</v>
      </c>
      <c r="B2436" s="75" t="s">
        <v>77</v>
      </c>
      <c r="C2436" s="75">
        <v>-100</v>
      </c>
      <c r="D2436" s="75">
        <v>120</v>
      </c>
      <c r="E2436" s="75">
        <v>0.1</v>
      </c>
      <c r="F2436" s="75" t="s">
        <v>23</v>
      </c>
      <c r="G2436" s="75" t="s">
        <v>23</v>
      </c>
      <c r="H2436" s="75">
        <v>0</v>
      </c>
      <c r="I2436" s="75">
        <v>0</v>
      </c>
      <c r="J2436" s="75"/>
      <c r="K2436" s="75">
        <v>1.1600491470000001</v>
      </c>
      <c r="L2436" s="75">
        <v>0</v>
      </c>
      <c r="M2436" s="75">
        <v>1.158087203</v>
      </c>
      <c r="N2436" s="75">
        <v>0</v>
      </c>
      <c r="O2436" s="90" t="str">
        <f>IF(VLOOKUP(UncLookup[[#This Row],[Item]],Items!$A$1:$F$43,2,FALSE)=0,"",VLOOKUP(UncLookup[[#This Row],[Item]],Items!$A$1:$F$43,2,FALSE))</f>
        <v>Tcindicator</v>
      </c>
      <c r="P2436" s="90" t="str">
        <f>IF(VLOOKUP(UncLookup[[#This Row],[Item]],Items!$A$1:$F$43,3,FALSE)=0,"",VLOOKUP(UncLookup[[#This Row],[Item]],Items!$A$1:$F$43,3,FALSE))</f>
        <v/>
      </c>
      <c r="Q2436" s="90" t="str">
        <f>IF(VLOOKUP(UncLookup[[#This Row],[Item]],Items!$A$1:$F$43,4,FALSE)=0,"",VLOOKUP(UncLookup[[#This Row],[Item]],Items!$A$1:$F$43,4,FALSE))</f>
        <v>K</v>
      </c>
    </row>
    <row r="2437" spans="1:17" x14ac:dyDescent="0.25">
      <c r="A2437" s="76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90" t="str">
        <f>IF(VLOOKUP(UncLookup[[#This Row],[Item]],Items!$A$1:$F$43,2,FALSE)=0,"",VLOOKUP(UncLookup[[#This Row],[Item]],Items!$A$1:$F$43,2,FALSE))</f>
        <v>Tcindicator</v>
      </c>
      <c r="P2437" s="90" t="str">
        <f>IF(VLOOKUP(UncLookup[[#This Row],[Item]],Items!$A$1:$F$43,3,FALSE)=0,"",VLOOKUP(UncLookup[[#This Row],[Item]],Items!$A$1:$F$43,3,FALSE))</f>
        <v/>
      </c>
      <c r="Q2437" s="90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5" t="s">
        <v>70</v>
      </c>
      <c r="B2438" s="75" t="s">
        <v>77</v>
      </c>
      <c r="C2438" s="75">
        <v>120</v>
      </c>
      <c r="D2438" s="75">
        <v>1370</v>
      </c>
      <c r="E2438" s="75">
        <v>0.1</v>
      </c>
      <c r="F2438" s="75" t="s">
        <v>23</v>
      </c>
      <c r="G2438" s="75" t="s">
        <v>23</v>
      </c>
      <c r="H2438" s="75">
        <v>0</v>
      </c>
      <c r="I2438" s="75">
        <v>0</v>
      </c>
      <c r="J2438" s="75"/>
      <c r="K2438" s="75">
        <v>1.412082372</v>
      </c>
      <c r="L2438" s="75">
        <v>0</v>
      </c>
      <c r="M2438" s="75">
        <v>1.4112674599999999</v>
      </c>
      <c r="N2438" s="75">
        <v>0</v>
      </c>
      <c r="O2438" s="90" t="str">
        <f>IF(VLOOKUP(UncLookup[[#This Row],[Item]],Items!$A$1:$F$43,2,FALSE)=0,"",VLOOKUP(UncLookup[[#This Row],[Item]],Items!$A$1:$F$43,2,FALSE))</f>
        <v>Tcindicator</v>
      </c>
      <c r="P2438" s="90" t="str">
        <f>IF(VLOOKUP(UncLookup[[#This Row],[Item]],Items!$A$1:$F$43,3,FALSE)=0,"",VLOOKUP(UncLookup[[#This Row],[Item]],Items!$A$1:$F$43,3,FALSE))</f>
        <v/>
      </c>
      <c r="Q2438" s="90" t="str">
        <f>IF(VLOOKUP(UncLookup[[#This Row],[Item]],Items!$A$1:$F$43,4,FALSE)=0,"",VLOOKUP(UncLookup[[#This Row],[Item]],Items!$A$1:$F$43,4,FALSE))</f>
        <v>K</v>
      </c>
    </row>
    <row r="2439" spans="1:17" x14ac:dyDescent="0.25">
      <c r="A2439" s="76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90" t="str">
        <f>IF(VLOOKUP(UncLookup[[#This Row],[Item]],Items!$A$1:$F$43,2,FALSE)=0,"",VLOOKUP(UncLookup[[#This Row],[Item]],Items!$A$1:$F$43,2,FALSE))</f>
        <v>Tcindicator</v>
      </c>
      <c r="P2439" s="90" t="str">
        <f>IF(VLOOKUP(UncLookup[[#This Row],[Item]],Items!$A$1:$F$43,3,FALSE)=0,"",VLOOKUP(UncLookup[[#This Row],[Item]],Items!$A$1:$F$43,3,FALSE))</f>
        <v/>
      </c>
      <c r="Q2439" s="90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5" t="s">
        <v>70</v>
      </c>
      <c r="B2440" s="75" t="s">
        <v>77</v>
      </c>
      <c r="C2440" s="75">
        <v>248</v>
      </c>
      <c r="D2440" s="75">
        <v>2500</v>
      </c>
      <c r="E2440" s="75">
        <v>0.1</v>
      </c>
      <c r="F2440" s="75" t="s">
        <v>26</v>
      </c>
      <c r="G2440" s="75" t="s">
        <v>26</v>
      </c>
      <c r="H2440" s="75">
        <v>0</v>
      </c>
      <c r="I2440" s="75">
        <v>0</v>
      </c>
      <c r="J2440" s="75"/>
      <c r="K2440" s="75">
        <v>2.5390574259999998</v>
      </c>
      <c r="L2440" s="75">
        <v>0</v>
      </c>
      <c r="M2440" s="75">
        <v>2.5375890299999999</v>
      </c>
      <c r="N2440" s="75">
        <v>0</v>
      </c>
      <c r="O2440" s="90" t="str">
        <f>IF(VLOOKUP(UncLookup[[#This Row],[Item]],Items!$A$1:$F$43,2,FALSE)=0,"",VLOOKUP(UncLookup[[#This Row],[Item]],Items!$A$1:$F$43,2,FALSE))</f>
        <v>Tcindicator</v>
      </c>
      <c r="P2440" s="90" t="str">
        <f>IF(VLOOKUP(UncLookup[[#This Row],[Item]],Items!$A$1:$F$43,3,FALSE)=0,"",VLOOKUP(UncLookup[[#This Row],[Item]],Items!$A$1:$F$43,3,FALSE))</f>
        <v/>
      </c>
      <c r="Q2440" s="90" t="str">
        <f>IF(VLOOKUP(UncLookup[[#This Row],[Item]],Items!$A$1:$F$43,4,FALSE)=0,"",VLOOKUP(UncLookup[[#This Row],[Item]],Items!$A$1:$F$43,4,FALSE))</f>
        <v>K</v>
      </c>
    </row>
    <row r="2441" spans="1:17" x14ac:dyDescent="0.25">
      <c r="A2441" s="76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90" t="str">
        <f>IF(VLOOKUP(UncLookup[[#This Row],[Item]],Items!$A$1:$F$43,2,FALSE)=0,"",VLOOKUP(UncLookup[[#This Row],[Item]],Items!$A$1:$F$43,2,FALSE))</f>
        <v>Tcindicator</v>
      </c>
      <c r="P2441" s="90" t="str">
        <f>IF(VLOOKUP(UncLookup[[#This Row],[Item]],Items!$A$1:$F$43,3,FALSE)=0,"",VLOOKUP(UncLookup[[#This Row],[Item]],Items!$A$1:$F$43,3,FALSE))</f>
        <v/>
      </c>
      <c r="Q2441" s="90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5" t="s">
        <v>70</v>
      </c>
      <c r="B2442" s="75" t="s">
        <v>76</v>
      </c>
      <c r="C2442" s="75">
        <v>-346</v>
      </c>
      <c r="D2442" s="75">
        <v>-148</v>
      </c>
      <c r="E2442" s="75">
        <v>0.1</v>
      </c>
      <c r="F2442" s="75" t="s">
        <v>26</v>
      </c>
      <c r="G2442" s="75" t="s">
        <v>26</v>
      </c>
      <c r="H2442" s="75">
        <v>0</v>
      </c>
      <c r="I2442" s="75">
        <v>0</v>
      </c>
      <c r="J2442" s="75"/>
      <c r="K2442" s="75">
        <v>2.416772044</v>
      </c>
      <c r="L2442" s="75">
        <v>0</v>
      </c>
      <c r="M2442" s="75">
        <v>2.4144755120000001</v>
      </c>
      <c r="N2442" s="75">
        <v>0</v>
      </c>
      <c r="O2442" s="90" t="str">
        <f>IF(VLOOKUP(UncLookup[[#This Row],[Item]],Items!$A$1:$F$43,2,FALSE)=0,"",VLOOKUP(UncLookup[[#This Row],[Item]],Items!$A$1:$F$43,2,FALSE))</f>
        <v>Tcindicator</v>
      </c>
      <c r="P2442" s="90" t="str">
        <f>IF(VLOOKUP(UncLookup[[#This Row],[Item]],Items!$A$1:$F$43,3,FALSE)=0,"",VLOOKUP(UncLookup[[#This Row],[Item]],Items!$A$1:$F$43,3,FALSE))</f>
        <v/>
      </c>
      <c r="Q2442" s="90" t="str">
        <f>IF(VLOOKUP(UncLookup[[#This Row],[Item]],Items!$A$1:$F$43,4,FALSE)=0,"",VLOOKUP(UncLookup[[#This Row],[Item]],Items!$A$1:$F$43,4,FALSE))</f>
        <v>J</v>
      </c>
    </row>
    <row r="2443" spans="1:17" x14ac:dyDescent="0.25">
      <c r="A2443" s="76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90" t="str">
        <f>IF(VLOOKUP(UncLookup[[#This Row],[Item]],Items!$A$1:$F$43,2,FALSE)=0,"",VLOOKUP(UncLookup[[#This Row],[Item]],Items!$A$1:$F$43,2,FALSE))</f>
        <v>Tcindicator</v>
      </c>
      <c r="P2443" s="90" t="str">
        <f>IF(VLOOKUP(UncLookup[[#This Row],[Item]],Items!$A$1:$F$43,3,FALSE)=0,"",VLOOKUP(UncLookup[[#This Row],[Item]],Items!$A$1:$F$43,3,FALSE))</f>
        <v/>
      </c>
      <c r="Q2443" s="90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5" t="s">
        <v>70</v>
      </c>
      <c r="B2444" s="75" t="s">
        <v>76</v>
      </c>
      <c r="C2444" s="75">
        <v>-210</v>
      </c>
      <c r="D2444" s="75">
        <v>-100</v>
      </c>
      <c r="E2444" s="75">
        <v>0.1</v>
      </c>
      <c r="F2444" s="75" t="s">
        <v>23</v>
      </c>
      <c r="G2444" s="75" t="s">
        <v>23</v>
      </c>
      <c r="H2444" s="75">
        <v>0</v>
      </c>
      <c r="I2444" s="75">
        <v>0</v>
      </c>
      <c r="J2444" s="75"/>
      <c r="K2444" s="75">
        <v>1.3460795590000001</v>
      </c>
      <c r="L2444" s="75">
        <v>0</v>
      </c>
      <c r="M2444" s="75">
        <v>1.344806961</v>
      </c>
      <c r="N2444" s="75">
        <v>0</v>
      </c>
      <c r="O2444" s="90" t="str">
        <f>IF(VLOOKUP(UncLookup[[#This Row],[Item]],Items!$A$1:$F$43,2,FALSE)=0,"",VLOOKUP(UncLookup[[#This Row],[Item]],Items!$A$1:$F$43,2,FALSE))</f>
        <v>Tcindicator</v>
      </c>
      <c r="P2444" s="90" t="str">
        <f>IF(VLOOKUP(UncLookup[[#This Row],[Item]],Items!$A$1:$F$43,3,FALSE)=0,"",VLOOKUP(UncLookup[[#This Row],[Item]],Items!$A$1:$F$43,3,FALSE))</f>
        <v/>
      </c>
      <c r="Q2444" s="90" t="str">
        <f>IF(VLOOKUP(UncLookup[[#This Row],[Item]],Items!$A$1:$F$43,4,FALSE)=0,"",VLOOKUP(UncLookup[[#This Row],[Item]],Items!$A$1:$F$43,4,FALSE))</f>
        <v>J</v>
      </c>
    </row>
    <row r="2445" spans="1:17" x14ac:dyDescent="0.25">
      <c r="A2445" s="76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90" t="str">
        <f>IF(VLOOKUP(UncLookup[[#This Row],[Item]],Items!$A$1:$F$43,2,FALSE)=0,"",VLOOKUP(UncLookup[[#This Row],[Item]],Items!$A$1:$F$43,2,FALSE))</f>
        <v>Tcindicator</v>
      </c>
      <c r="P2445" s="90" t="str">
        <f>IF(VLOOKUP(UncLookup[[#This Row],[Item]],Items!$A$1:$F$43,3,FALSE)=0,"",VLOOKUP(UncLookup[[#This Row],[Item]],Items!$A$1:$F$43,3,FALSE))</f>
        <v/>
      </c>
      <c r="Q2445" s="90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5" t="s">
        <v>70</v>
      </c>
      <c r="B2446" s="75" t="s">
        <v>76</v>
      </c>
      <c r="C2446" s="75">
        <v>-148</v>
      </c>
      <c r="D2446" s="75">
        <v>302</v>
      </c>
      <c r="E2446" s="75">
        <v>0.1</v>
      </c>
      <c r="F2446" s="75" t="s">
        <v>26</v>
      </c>
      <c r="G2446" s="75" t="s">
        <v>26</v>
      </c>
      <c r="H2446" s="75">
        <v>0</v>
      </c>
      <c r="I2446" s="75">
        <v>0</v>
      </c>
      <c r="J2446" s="75"/>
      <c r="K2446" s="75">
        <v>1.9165327860000001</v>
      </c>
      <c r="L2446" s="75">
        <v>0</v>
      </c>
      <c r="M2446" s="75">
        <v>1.9144511769999999</v>
      </c>
      <c r="N2446" s="75">
        <v>0</v>
      </c>
      <c r="O2446" s="90" t="str">
        <f>IF(VLOOKUP(UncLookup[[#This Row],[Item]],Items!$A$1:$F$43,2,FALSE)=0,"",VLOOKUP(UncLookup[[#This Row],[Item]],Items!$A$1:$F$43,2,FALSE))</f>
        <v>Tcindicator</v>
      </c>
      <c r="P2446" s="90" t="str">
        <f>IF(VLOOKUP(UncLookup[[#This Row],[Item]],Items!$A$1:$F$43,3,FALSE)=0,"",VLOOKUP(UncLookup[[#This Row],[Item]],Items!$A$1:$F$43,3,FALSE))</f>
        <v/>
      </c>
      <c r="Q2446" s="90" t="str">
        <f>IF(VLOOKUP(UncLookup[[#This Row],[Item]],Items!$A$1:$F$43,4,FALSE)=0,"",VLOOKUP(UncLookup[[#This Row],[Item]],Items!$A$1:$F$43,4,FALSE))</f>
        <v>J</v>
      </c>
    </row>
    <row r="2447" spans="1:17" x14ac:dyDescent="0.25">
      <c r="A2447" s="76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90" t="str">
        <f>IF(VLOOKUP(UncLookup[[#This Row],[Item]],Items!$A$1:$F$43,2,FALSE)=0,"",VLOOKUP(UncLookup[[#This Row],[Item]],Items!$A$1:$F$43,2,FALSE))</f>
        <v>Tcindicator</v>
      </c>
      <c r="P2447" s="90" t="str">
        <f>IF(VLOOKUP(UncLookup[[#This Row],[Item]],Items!$A$1:$F$43,3,FALSE)=0,"",VLOOKUP(UncLookup[[#This Row],[Item]],Items!$A$1:$F$43,3,FALSE))</f>
        <v/>
      </c>
      <c r="Q2447" s="90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5" t="s">
        <v>70</v>
      </c>
      <c r="B2448" s="75" t="s">
        <v>76</v>
      </c>
      <c r="C2448" s="75">
        <v>-100</v>
      </c>
      <c r="D2448" s="75">
        <v>150</v>
      </c>
      <c r="E2448" s="75">
        <v>0.1</v>
      </c>
      <c r="F2448" s="75" t="s">
        <v>23</v>
      </c>
      <c r="G2448" s="75" t="s">
        <v>23</v>
      </c>
      <c r="H2448" s="75">
        <v>0</v>
      </c>
      <c r="I2448" s="75">
        <v>0</v>
      </c>
      <c r="J2448" s="75"/>
      <c r="K2448" s="75">
        <v>1.06646255</v>
      </c>
      <c r="L2448" s="75">
        <v>0</v>
      </c>
      <c r="M2448" s="75">
        <v>1.0653079700000001</v>
      </c>
      <c r="N2448" s="75">
        <v>0</v>
      </c>
      <c r="O2448" s="90" t="str">
        <f>IF(VLOOKUP(UncLookup[[#This Row],[Item]],Items!$A$1:$F$43,2,FALSE)=0,"",VLOOKUP(UncLookup[[#This Row],[Item]],Items!$A$1:$F$43,2,FALSE))</f>
        <v>Tcindicator</v>
      </c>
      <c r="P2448" s="90" t="str">
        <f>IF(VLOOKUP(UncLookup[[#This Row],[Item]],Items!$A$1:$F$43,3,FALSE)=0,"",VLOOKUP(UncLookup[[#This Row],[Item]],Items!$A$1:$F$43,3,FALSE))</f>
        <v/>
      </c>
      <c r="Q2448" s="90" t="str">
        <f>IF(VLOOKUP(UncLookup[[#This Row],[Item]],Items!$A$1:$F$43,4,FALSE)=0,"",VLOOKUP(UncLookup[[#This Row],[Item]],Items!$A$1:$F$43,4,FALSE))</f>
        <v>J</v>
      </c>
    </row>
    <row r="2449" spans="1:17" x14ac:dyDescent="0.25">
      <c r="A2449" s="76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90" t="str">
        <f>IF(VLOOKUP(UncLookup[[#This Row],[Item]],Items!$A$1:$F$43,2,FALSE)=0,"",VLOOKUP(UncLookup[[#This Row],[Item]],Items!$A$1:$F$43,2,FALSE))</f>
        <v>Tcindicator</v>
      </c>
      <c r="P2449" s="90" t="str">
        <f>IF(VLOOKUP(UncLookup[[#This Row],[Item]],Items!$A$1:$F$43,3,FALSE)=0,"",VLOOKUP(UncLookup[[#This Row],[Item]],Items!$A$1:$F$43,3,FALSE))</f>
        <v/>
      </c>
      <c r="Q2449" s="90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5" t="s">
        <v>70</v>
      </c>
      <c r="B2450" s="75" t="s">
        <v>76</v>
      </c>
      <c r="C2450" s="75">
        <v>150</v>
      </c>
      <c r="D2450" s="75">
        <v>760</v>
      </c>
      <c r="E2450" s="75">
        <v>0.1</v>
      </c>
      <c r="F2450" s="75" t="s">
        <v>23</v>
      </c>
      <c r="G2450" s="75" t="s">
        <v>23</v>
      </c>
      <c r="H2450" s="75">
        <v>0</v>
      </c>
      <c r="I2450" s="75">
        <v>0</v>
      </c>
      <c r="J2450" s="75"/>
      <c r="K2450" s="75">
        <v>1.134193475</v>
      </c>
      <c r="L2450" s="75">
        <v>0</v>
      </c>
      <c r="M2450" s="75">
        <v>1.1338867909999999</v>
      </c>
      <c r="N2450" s="75">
        <v>0</v>
      </c>
      <c r="O2450" s="90" t="str">
        <f>IF(VLOOKUP(UncLookup[[#This Row],[Item]],Items!$A$1:$F$43,2,FALSE)=0,"",VLOOKUP(UncLookup[[#This Row],[Item]],Items!$A$1:$F$43,2,FALSE))</f>
        <v>Tcindicator</v>
      </c>
      <c r="P2450" s="90" t="str">
        <f>IF(VLOOKUP(UncLookup[[#This Row],[Item]],Items!$A$1:$F$43,3,FALSE)=0,"",VLOOKUP(UncLookup[[#This Row],[Item]],Items!$A$1:$F$43,3,FALSE))</f>
        <v/>
      </c>
      <c r="Q2450" s="90" t="str">
        <f>IF(VLOOKUP(UncLookup[[#This Row],[Item]],Items!$A$1:$F$43,4,FALSE)=0,"",VLOOKUP(UncLookup[[#This Row],[Item]],Items!$A$1:$F$43,4,FALSE))</f>
        <v>J</v>
      </c>
    </row>
    <row r="2451" spans="1:17" x14ac:dyDescent="0.25">
      <c r="A2451" s="76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90" t="str">
        <f>IF(VLOOKUP(UncLookup[[#This Row],[Item]],Items!$A$1:$F$43,2,FALSE)=0,"",VLOOKUP(UncLookup[[#This Row],[Item]],Items!$A$1:$F$43,2,FALSE))</f>
        <v>Tcindicator</v>
      </c>
      <c r="P2451" s="90" t="str">
        <f>IF(VLOOKUP(UncLookup[[#This Row],[Item]],Items!$A$1:$F$43,3,FALSE)=0,"",VLOOKUP(UncLookup[[#This Row],[Item]],Items!$A$1:$F$43,3,FALSE))</f>
        <v/>
      </c>
      <c r="Q2451" s="90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5" t="s">
        <v>70</v>
      </c>
      <c r="B2452" s="75" t="s">
        <v>76</v>
      </c>
      <c r="C2452" s="75">
        <v>302</v>
      </c>
      <c r="D2452" s="75">
        <v>1400</v>
      </c>
      <c r="E2452" s="75">
        <v>0.1</v>
      </c>
      <c r="F2452" s="75" t="s">
        <v>26</v>
      </c>
      <c r="G2452" s="75" t="s">
        <v>26</v>
      </c>
      <c r="H2452" s="75">
        <v>0</v>
      </c>
      <c r="I2452" s="75">
        <v>0</v>
      </c>
      <c r="J2452" s="75"/>
      <c r="K2452" s="75">
        <v>2.039283008</v>
      </c>
      <c r="L2452" s="75">
        <v>0</v>
      </c>
      <c r="M2452" s="75">
        <v>2.038730363</v>
      </c>
      <c r="N2452" s="75">
        <v>0</v>
      </c>
      <c r="O2452" s="90" t="str">
        <f>IF(VLOOKUP(UncLookup[[#This Row],[Item]],Items!$A$1:$F$43,2,FALSE)=0,"",VLOOKUP(UncLookup[[#This Row],[Item]],Items!$A$1:$F$43,2,FALSE))</f>
        <v>Tcindicator</v>
      </c>
      <c r="P2452" s="90" t="str">
        <f>IF(VLOOKUP(UncLookup[[#This Row],[Item]],Items!$A$1:$F$43,3,FALSE)=0,"",VLOOKUP(UncLookup[[#This Row],[Item]],Items!$A$1:$F$43,3,FALSE))</f>
        <v/>
      </c>
      <c r="Q2452" s="90" t="str">
        <f>IF(VLOOKUP(UncLookup[[#This Row],[Item]],Items!$A$1:$F$43,4,FALSE)=0,"",VLOOKUP(UncLookup[[#This Row],[Item]],Items!$A$1:$F$43,4,FALSE))</f>
        <v>J</v>
      </c>
    </row>
    <row r="2453" spans="1:17" x14ac:dyDescent="0.25">
      <c r="A2453" s="76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90" t="str">
        <f>IF(VLOOKUP(UncLookup[[#This Row],[Item]],Items!$A$1:$F$43,2,FALSE)=0,"",VLOOKUP(UncLookup[[#This Row],[Item]],Items!$A$1:$F$43,2,FALSE))</f>
        <v>Tcindicator</v>
      </c>
      <c r="P2453" s="90" t="str">
        <f>IF(VLOOKUP(UncLookup[[#This Row],[Item]],Items!$A$1:$F$43,3,FALSE)=0,"",VLOOKUP(UncLookup[[#This Row],[Item]],Items!$A$1:$F$43,3,FALSE))</f>
        <v/>
      </c>
      <c r="Q2453" s="90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5" t="s">
        <v>70</v>
      </c>
      <c r="B2454" s="75" t="s">
        <v>76</v>
      </c>
      <c r="C2454" s="75">
        <v>760</v>
      </c>
      <c r="D2454" s="75">
        <v>1200</v>
      </c>
      <c r="E2454" s="75">
        <v>0.1</v>
      </c>
      <c r="F2454" s="75" t="s">
        <v>23</v>
      </c>
      <c r="G2454" s="75" t="s">
        <v>23</v>
      </c>
      <c r="H2454" s="75">
        <v>0</v>
      </c>
      <c r="I2454" s="75">
        <v>0</v>
      </c>
      <c r="J2454" s="75"/>
      <c r="K2454" s="75">
        <v>1.249497729</v>
      </c>
      <c r="L2454" s="75">
        <v>0</v>
      </c>
      <c r="M2454" s="75">
        <v>1.2492193519999999</v>
      </c>
      <c r="N2454" s="75">
        <v>0</v>
      </c>
      <c r="O2454" s="90" t="str">
        <f>IF(VLOOKUP(UncLookup[[#This Row],[Item]],Items!$A$1:$F$43,2,FALSE)=0,"",VLOOKUP(UncLookup[[#This Row],[Item]],Items!$A$1:$F$43,2,FALSE))</f>
        <v>Tcindicator</v>
      </c>
      <c r="P2454" s="90" t="str">
        <f>IF(VLOOKUP(UncLookup[[#This Row],[Item]],Items!$A$1:$F$43,3,FALSE)=0,"",VLOOKUP(UncLookup[[#This Row],[Item]],Items!$A$1:$F$43,3,FALSE))</f>
        <v/>
      </c>
      <c r="Q2454" s="90" t="str">
        <f>IF(VLOOKUP(UncLookup[[#This Row],[Item]],Items!$A$1:$F$43,4,FALSE)=0,"",VLOOKUP(UncLookup[[#This Row],[Item]],Items!$A$1:$F$43,4,FALSE))</f>
        <v>J</v>
      </c>
    </row>
    <row r="2455" spans="1:17" x14ac:dyDescent="0.25">
      <c r="A2455" s="76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90" t="str">
        <f>IF(VLOOKUP(UncLookup[[#This Row],[Item]],Items!$A$1:$F$43,2,FALSE)=0,"",VLOOKUP(UncLookup[[#This Row],[Item]],Items!$A$1:$F$43,2,FALSE))</f>
        <v>Tcindicator</v>
      </c>
      <c r="P2455" s="90" t="str">
        <f>IF(VLOOKUP(UncLookup[[#This Row],[Item]],Items!$A$1:$F$43,3,FALSE)=0,"",VLOOKUP(UncLookup[[#This Row],[Item]],Items!$A$1:$F$43,3,FALSE))</f>
        <v/>
      </c>
      <c r="Q2455" s="90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5" t="s">
        <v>70</v>
      </c>
      <c r="B2456" s="75" t="s">
        <v>76</v>
      </c>
      <c r="C2456" s="75">
        <v>1400</v>
      </c>
      <c r="D2456" s="75">
        <v>2192</v>
      </c>
      <c r="E2456" s="75">
        <v>0.1</v>
      </c>
      <c r="F2456" s="75" t="s">
        <v>26</v>
      </c>
      <c r="G2456" s="75" t="s">
        <v>26</v>
      </c>
      <c r="H2456" s="75">
        <v>0</v>
      </c>
      <c r="I2456" s="75">
        <v>0</v>
      </c>
      <c r="J2456" s="75"/>
      <c r="K2456" s="75">
        <v>2.2469486550000002</v>
      </c>
      <c r="L2456" s="75">
        <v>0</v>
      </c>
      <c r="M2456" s="75">
        <v>2.246447098</v>
      </c>
      <c r="N2456" s="75">
        <v>0</v>
      </c>
      <c r="O2456" s="90" t="str">
        <f>IF(VLOOKUP(UncLookup[[#This Row],[Item]],Items!$A$1:$F$43,2,FALSE)=0,"",VLOOKUP(UncLookup[[#This Row],[Item]],Items!$A$1:$F$43,2,FALSE))</f>
        <v>Tcindicator</v>
      </c>
      <c r="P2456" s="90" t="str">
        <f>IF(VLOOKUP(UncLookup[[#This Row],[Item]],Items!$A$1:$F$43,3,FALSE)=0,"",VLOOKUP(UncLookup[[#This Row],[Item]],Items!$A$1:$F$43,3,FALSE))</f>
        <v/>
      </c>
      <c r="Q2456" s="90" t="str">
        <f>IF(VLOOKUP(UncLookup[[#This Row],[Item]],Items!$A$1:$F$43,4,FALSE)=0,"",VLOOKUP(UncLookup[[#This Row],[Item]],Items!$A$1:$F$43,4,FALSE))</f>
        <v>J</v>
      </c>
    </row>
    <row r="2457" spans="1:17" x14ac:dyDescent="0.25">
      <c r="A2457" s="76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90" t="str">
        <f>IF(VLOOKUP(UncLookup[[#This Row],[Item]],Items!$A$1:$F$43,2,FALSE)=0,"",VLOOKUP(UncLookup[[#This Row],[Item]],Items!$A$1:$F$43,2,FALSE))</f>
        <v>Tcindicator</v>
      </c>
      <c r="P2457" s="90" t="str">
        <f>IF(VLOOKUP(UncLookup[[#This Row],[Item]],Items!$A$1:$F$43,3,FALSE)=0,"",VLOOKUP(UncLookup[[#This Row],[Item]],Items!$A$1:$F$43,3,FALSE))</f>
        <v/>
      </c>
      <c r="Q2457" s="90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5" t="s">
        <v>70</v>
      </c>
      <c r="B2458" s="75" t="s">
        <v>75</v>
      </c>
      <c r="C2458" s="75">
        <v>250000</v>
      </c>
      <c r="D2458" s="75">
        <v>100000000</v>
      </c>
      <c r="E2458" s="75">
        <v>10000</v>
      </c>
      <c r="F2458" s="75" t="s">
        <v>104</v>
      </c>
      <c r="G2458" s="75" t="s">
        <v>50</v>
      </c>
      <c r="H2458" s="75">
        <v>0</v>
      </c>
      <c r="I2458" s="75">
        <v>0</v>
      </c>
      <c r="J2458" s="75"/>
      <c r="K2458" s="75">
        <v>18</v>
      </c>
      <c r="L2458" s="75">
        <v>9.2E-6</v>
      </c>
      <c r="M2458" s="75">
        <v>13.773</v>
      </c>
      <c r="N2458" s="75">
        <v>9.2419000000000004E-6</v>
      </c>
      <c r="O2458" s="90" t="str">
        <f>IF(VLOOKUP(UncLookup[[#This Row],[Item]],Items!$A$1:$F$43,2,FALSE)=0,"",VLOOKUP(UncLookup[[#This Row],[Item]],Items!$A$1:$F$43,2,FALSE))</f>
        <v>Insulation</v>
      </c>
      <c r="P2458" s="90" t="str">
        <f>IF(VLOOKUP(UncLookup[[#This Row],[Item]],Items!$A$1:$F$43,3,FALSE)=0,"",VLOOKUP(UncLookup[[#This Row],[Item]],Items!$A$1:$F$43,3,FALSE))</f>
        <v/>
      </c>
      <c r="Q2458" s="90" t="str">
        <f>IF(VLOOKUP(UncLookup[[#This Row],[Item]],Items!$A$1:$F$43,4,FALSE)=0,"",VLOOKUP(UncLookup[[#This Row],[Item]],Items!$A$1:$F$43,4,FALSE))</f>
        <v/>
      </c>
    </row>
    <row r="2459" spans="1:17" x14ac:dyDescent="0.25">
      <c r="A2459" s="76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90" t="str">
        <f>IF(VLOOKUP(UncLookup[[#This Row],[Item]],Items!$A$1:$F$43,2,FALSE)=0,"",VLOOKUP(UncLookup[[#This Row],[Item]],Items!$A$1:$F$43,2,FALSE))</f>
        <v>Insulation</v>
      </c>
      <c r="P2459" s="90" t="str">
        <f>IF(VLOOKUP(UncLookup[[#This Row],[Item]],Items!$A$1:$F$43,3,FALSE)=0,"",VLOOKUP(UncLookup[[#This Row],[Item]],Items!$A$1:$F$43,3,FALSE))</f>
        <v/>
      </c>
      <c r="Q2459" s="90" t="str">
        <f>IF(VLOOKUP(UncLookup[[#This Row],[Item]],Items!$A$1:$F$43,4,FALSE)=0,"",VLOOKUP(UncLookup[[#This Row],[Item]],Items!$A$1:$F$43,4,FALSE))</f>
        <v/>
      </c>
    </row>
    <row r="2460" spans="1:17" x14ac:dyDescent="0.25">
      <c r="A2460" s="75" t="s">
        <v>70</v>
      </c>
      <c r="B2460" s="75" t="s">
        <v>75</v>
      </c>
      <c r="C2460" s="75">
        <v>250000</v>
      </c>
      <c r="D2460" s="75">
        <v>100000000</v>
      </c>
      <c r="E2460" s="75">
        <v>1000000</v>
      </c>
      <c r="F2460" s="75" t="s">
        <v>104</v>
      </c>
      <c r="G2460" s="75" t="s">
        <v>50</v>
      </c>
      <c r="H2460" s="75">
        <v>0</v>
      </c>
      <c r="I2460" s="75">
        <v>0</v>
      </c>
      <c r="J2460" s="75"/>
      <c r="K2460" s="75">
        <v>576.26</v>
      </c>
      <c r="L2460" s="75">
        <v>5.2658999999999998E-6</v>
      </c>
      <c r="M2460" s="75">
        <v>576.24</v>
      </c>
      <c r="N2460" s="75">
        <v>5.2654999999999998E-6</v>
      </c>
      <c r="O2460" s="90" t="str">
        <f>IF(VLOOKUP(UncLookup[[#This Row],[Item]],Items!$A$1:$F$43,2,FALSE)=0,"",VLOOKUP(UncLookup[[#This Row],[Item]],Items!$A$1:$F$43,2,FALSE))</f>
        <v>Insulation</v>
      </c>
      <c r="P2460" s="90" t="str">
        <f>IF(VLOOKUP(UncLookup[[#This Row],[Item]],Items!$A$1:$F$43,3,FALSE)=0,"",VLOOKUP(UncLookup[[#This Row],[Item]],Items!$A$1:$F$43,3,FALSE))</f>
        <v/>
      </c>
      <c r="Q2460" s="90" t="str">
        <f>IF(VLOOKUP(UncLookup[[#This Row],[Item]],Items!$A$1:$F$43,4,FALSE)=0,"",VLOOKUP(UncLookup[[#This Row],[Item]],Items!$A$1:$F$43,4,FALSE))</f>
        <v/>
      </c>
    </row>
    <row r="2461" spans="1:17" x14ac:dyDescent="0.25">
      <c r="A2461" s="76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90" t="str">
        <f>IF(VLOOKUP(UncLookup[[#This Row],[Item]],Items!$A$1:$F$43,2,FALSE)=0,"",VLOOKUP(UncLookup[[#This Row],[Item]],Items!$A$1:$F$43,2,FALSE))</f>
        <v>Insulation</v>
      </c>
      <c r="P2461" s="90" t="str">
        <f>IF(VLOOKUP(UncLookup[[#This Row],[Item]],Items!$A$1:$F$43,3,FALSE)=0,"",VLOOKUP(UncLookup[[#This Row],[Item]],Items!$A$1:$F$43,3,FALSE))</f>
        <v/>
      </c>
      <c r="Q2461" s="90" t="str">
        <f>IF(VLOOKUP(UncLookup[[#This Row],[Item]],Items!$A$1:$F$43,4,FALSE)=0,"",VLOOKUP(UncLookup[[#This Row],[Item]],Items!$A$1:$F$43,4,FALSE))</f>
        <v/>
      </c>
    </row>
    <row r="2462" spans="1:17" x14ac:dyDescent="0.25">
      <c r="A2462" s="75" t="s">
        <v>70</v>
      </c>
      <c r="B2462" s="75" t="s">
        <v>75</v>
      </c>
      <c r="C2462" s="75">
        <v>100000000</v>
      </c>
      <c r="D2462" s="75">
        <v>250000000</v>
      </c>
      <c r="E2462" s="75">
        <v>10000</v>
      </c>
      <c r="F2462" s="75" t="s">
        <v>104</v>
      </c>
      <c r="G2462" s="75" t="s">
        <v>50</v>
      </c>
      <c r="H2462" s="75">
        <v>0</v>
      </c>
      <c r="I2462" s="75">
        <v>0</v>
      </c>
      <c r="J2462" s="75"/>
      <c r="K2462" s="75">
        <v>14</v>
      </c>
      <c r="L2462" s="75">
        <v>1.1E-5</v>
      </c>
      <c r="M2462" s="75">
        <v>13.510999999999999</v>
      </c>
      <c r="N2462" s="75">
        <v>1.0788000000000001E-5</v>
      </c>
      <c r="O2462" s="90" t="str">
        <f>IF(VLOOKUP(UncLookup[[#This Row],[Item]],Items!$A$1:$F$43,2,FALSE)=0,"",VLOOKUP(UncLookup[[#This Row],[Item]],Items!$A$1:$F$43,2,FALSE))</f>
        <v>Insulation</v>
      </c>
      <c r="P2462" s="90" t="str">
        <f>IF(VLOOKUP(UncLookup[[#This Row],[Item]],Items!$A$1:$F$43,3,FALSE)=0,"",VLOOKUP(UncLookup[[#This Row],[Item]],Items!$A$1:$F$43,3,FALSE))</f>
        <v/>
      </c>
      <c r="Q2462" s="90" t="str">
        <f>IF(VLOOKUP(UncLookup[[#This Row],[Item]],Items!$A$1:$F$43,4,FALSE)=0,"",VLOOKUP(UncLookup[[#This Row],[Item]],Items!$A$1:$F$43,4,FALSE))</f>
        <v/>
      </c>
    </row>
    <row r="2463" spans="1:17" x14ac:dyDescent="0.25">
      <c r="A2463" s="76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90" t="str">
        <f>IF(VLOOKUP(UncLookup[[#This Row],[Item]],Items!$A$1:$F$43,2,FALSE)=0,"",VLOOKUP(UncLookup[[#This Row],[Item]],Items!$A$1:$F$43,2,FALSE))</f>
        <v>Insulation</v>
      </c>
      <c r="P2463" s="90" t="str">
        <f>IF(VLOOKUP(UncLookup[[#This Row],[Item]],Items!$A$1:$F$43,3,FALSE)=0,"",VLOOKUP(UncLookup[[#This Row],[Item]],Items!$A$1:$F$43,3,FALSE))</f>
        <v/>
      </c>
      <c r="Q2463" s="90" t="str">
        <f>IF(VLOOKUP(UncLookup[[#This Row],[Item]],Items!$A$1:$F$43,4,FALSE)=0,"",VLOOKUP(UncLookup[[#This Row],[Item]],Items!$A$1:$F$43,4,FALSE))</f>
        <v/>
      </c>
    </row>
    <row r="2464" spans="1:17" x14ac:dyDescent="0.25">
      <c r="A2464" s="75" t="s">
        <v>70</v>
      </c>
      <c r="B2464" s="75" t="s">
        <v>75</v>
      </c>
      <c r="C2464" s="75">
        <v>100000000</v>
      </c>
      <c r="D2464" s="75">
        <v>250000000</v>
      </c>
      <c r="E2464" s="75">
        <v>1000000</v>
      </c>
      <c r="F2464" s="75" t="s">
        <v>104</v>
      </c>
      <c r="G2464" s="75" t="s">
        <v>50</v>
      </c>
      <c r="H2464" s="75">
        <v>0</v>
      </c>
      <c r="I2464" s="75">
        <v>0</v>
      </c>
      <c r="J2464" s="75"/>
      <c r="K2464" s="75">
        <v>575.4</v>
      </c>
      <c r="L2464" s="75">
        <v>8.7861000000000005E-6</v>
      </c>
      <c r="M2464" s="75">
        <v>575.35</v>
      </c>
      <c r="N2464" s="75">
        <v>8.7861000000000005E-6</v>
      </c>
      <c r="O2464" s="90" t="str">
        <f>IF(VLOOKUP(UncLookup[[#This Row],[Item]],Items!$A$1:$F$43,2,FALSE)=0,"",VLOOKUP(UncLookup[[#This Row],[Item]],Items!$A$1:$F$43,2,FALSE))</f>
        <v>Insulation</v>
      </c>
      <c r="P2464" s="90" t="str">
        <f>IF(VLOOKUP(UncLookup[[#This Row],[Item]],Items!$A$1:$F$43,3,FALSE)=0,"",VLOOKUP(UncLookup[[#This Row],[Item]],Items!$A$1:$F$43,3,FALSE))</f>
        <v/>
      </c>
      <c r="Q2464" s="90" t="str">
        <f>IF(VLOOKUP(UncLookup[[#This Row],[Item]],Items!$A$1:$F$43,4,FALSE)=0,"",VLOOKUP(UncLookup[[#This Row],[Item]],Items!$A$1:$F$43,4,FALSE))</f>
        <v/>
      </c>
    </row>
    <row r="2465" spans="1:17" x14ac:dyDescent="0.25">
      <c r="A2465" s="76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90" t="str">
        <f>IF(VLOOKUP(UncLookup[[#This Row],[Item]],Items!$A$1:$F$43,2,FALSE)=0,"",VLOOKUP(UncLookup[[#This Row],[Item]],Items!$A$1:$F$43,2,FALSE))</f>
        <v>Insulation</v>
      </c>
      <c r="P2465" s="90" t="str">
        <f>IF(VLOOKUP(UncLookup[[#This Row],[Item]],Items!$A$1:$F$43,3,FALSE)=0,"",VLOOKUP(UncLookup[[#This Row],[Item]],Items!$A$1:$F$43,3,FALSE))</f>
        <v/>
      </c>
      <c r="Q2465" s="90" t="str">
        <f>IF(VLOOKUP(UncLookup[[#This Row],[Item]],Items!$A$1:$F$43,4,FALSE)=0,"",VLOOKUP(UncLookup[[#This Row],[Item]],Items!$A$1:$F$43,4,FALSE))</f>
        <v/>
      </c>
    </row>
    <row r="2466" spans="1:17" x14ac:dyDescent="0.25">
      <c r="A2466" s="75" t="s">
        <v>70</v>
      </c>
      <c r="B2466" s="75" t="s">
        <v>75</v>
      </c>
      <c r="C2466" s="75">
        <v>100000000</v>
      </c>
      <c r="D2466" s="75">
        <v>250000000</v>
      </c>
      <c r="E2466" s="75">
        <v>100000000</v>
      </c>
      <c r="F2466" s="75" t="s">
        <v>104</v>
      </c>
      <c r="G2466" s="75" t="s">
        <v>50</v>
      </c>
      <c r="H2466" s="75">
        <v>0</v>
      </c>
      <c r="I2466" s="75">
        <v>0</v>
      </c>
      <c r="J2466" s="75"/>
      <c r="K2466" s="75">
        <v>57896</v>
      </c>
      <c r="L2466" s="75">
        <v>1.3129E-6</v>
      </c>
      <c r="M2466" s="75">
        <v>57896</v>
      </c>
      <c r="N2466" s="75">
        <v>1.3127999999999999E-6</v>
      </c>
      <c r="O2466" s="90" t="str">
        <f>IF(VLOOKUP(UncLookup[[#This Row],[Item]],Items!$A$1:$F$43,2,FALSE)=0,"",VLOOKUP(UncLookup[[#This Row],[Item]],Items!$A$1:$F$43,2,FALSE))</f>
        <v>Insulation</v>
      </c>
      <c r="P2466" s="90" t="str">
        <f>IF(VLOOKUP(UncLookup[[#This Row],[Item]],Items!$A$1:$F$43,3,FALSE)=0,"",VLOOKUP(UncLookup[[#This Row],[Item]],Items!$A$1:$F$43,3,FALSE))</f>
        <v/>
      </c>
      <c r="Q2466" s="90" t="str">
        <f>IF(VLOOKUP(UncLookup[[#This Row],[Item]],Items!$A$1:$F$43,4,FALSE)=0,"",VLOOKUP(UncLookup[[#This Row],[Item]],Items!$A$1:$F$43,4,FALSE))</f>
        <v/>
      </c>
    </row>
    <row r="2467" spans="1:17" x14ac:dyDescent="0.25">
      <c r="A2467" s="76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90" t="str">
        <f>IF(VLOOKUP(UncLookup[[#This Row],[Item]],Items!$A$1:$F$43,2,FALSE)=0,"",VLOOKUP(UncLookup[[#This Row],[Item]],Items!$A$1:$F$43,2,FALSE))</f>
        <v>Insulation</v>
      </c>
      <c r="P2467" s="90" t="str">
        <f>IF(VLOOKUP(UncLookup[[#This Row],[Item]],Items!$A$1:$F$43,3,FALSE)=0,"",VLOOKUP(UncLookup[[#This Row],[Item]],Items!$A$1:$F$43,3,FALSE))</f>
        <v/>
      </c>
      <c r="Q2467" s="90" t="str">
        <f>IF(VLOOKUP(UncLookup[[#This Row],[Item]],Items!$A$1:$F$43,4,FALSE)=0,"",VLOOKUP(UncLookup[[#This Row],[Item]],Items!$A$1:$F$43,4,FALSE))</f>
        <v/>
      </c>
    </row>
    <row r="2468" spans="1:17" x14ac:dyDescent="0.25">
      <c r="A2468" s="75" t="s">
        <v>70</v>
      </c>
      <c r="B2468" s="75" t="s">
        <v>75</v>
      </c>
      <c r="C2468" s="75">
        <v>250000000</v>
      </c>
      <c r="D2468" s="75">
        <v>500000000</v>
      </c>
      <c r="E2468" s="75">
        <v>100000</v>
      </c>
      <c r="F2468" s="75" t="s">
        <v>104</v>
      </c>
      <c r="G2468" s="75" t="s">
        <v>50</v>
      </c>
      <c r="H2468" s="75">
        <v>0</v>
      </c>
      <c r="I2468" s="75">
        <v>0</v>
      </c>
      <c r="J2468" s="75"/>
      <c r="K2468" s="75">
        <v>55.079000000000001</v>
      </c>
      <c r="L2468" s="75">
        <v>1.0925E-5</v>
      </c>
      <c r="M2468" s="75">
        <v>54.77</v>
      </c>
      <c r="N2468" s="75">
        <v>1.0926E-5</v>
      </c>
      <c r="O2468" s="90" t="str">
        <f>IF(VLOOKUP(UncLookup[[#This Row],[Item]],Items!$A$1:$F$43,2,FALSE)=0,"",VLOOKUP(UncLookup[[#This Row],[Item]],Items!$A$1:$F$43,2,FALSE))</f>
        <v>Insulation</v>
      </c>
      <c r="P2468" s="90" t="str">
        <f>IF(VLOOKUP(UncLookup[[#This Row],[Item]],Items!$A$1:$F$43,3,FALSE)=0,"",VLOOKUP(UncLookup[[#This Row],[Item]],Items!$A$1:$F$43,3,FALSE))</f>
        <v/>
      </c>
      <c r="Q2468" s="90" t="str">
        <f>IF(VLOOKUP(UncLookup[[#This Row],[Item]],Items!$A$1:$F$43,4,FALSE)=0,"",VLOOKUP(UncLookup[[#This Row],[Item]],Items!$A$1:$F$43,4,FALSE))</f>
        <v/>
      </c>
    </row>
    <row r="2469" spans="1:17" x14ac:dyDescent="0.25">
      <c r="A2469" s="76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90" t="str">
        <f>IF(VLOOKUP(UncLookup[[#This Row],[Item]],Items!$A$1:$F$43,2,FALSE)=0,"",VLOOKUP(UncLookup[[#This Row],[Item]],Items!$A$1:$F$43,2,FALSE))</f>
        <v>Insulation</v>
      </c>
      <c r="P2469" s="90" t="str">
        <f>IF(VLOOKUP(UncLookup[[#This Row],[Item]],Items!$A$1:$F$43,3,FALSE)=0,"",VLOOKUP(UncLookup[[#This Row],[Item]],Items!$A$1:$F$43,3,FALSE))</f>
        <v/>
      </c>
      <c r="Q2469" s="90" t="str">
        <f>IF(VLOOKUP(UncLookup[[#This Row],[Item]],Items!$A$1:$F$43,4,FALSE)=0,"",VLOOKUP(UncLookup[[#This Row],[Item]],Items!$A$1:$F$43,4,FALSE))</f>
        <v/>
      </c>
    </row>
    <row r="2470" spans="1:17" x14ac:dyDescent="0.25">
      <c r="A2470" s="75" t="s">
        <v>70</v>
      </c>
      <c r="B2470" s="75" t="s">
        <v>75</v>
      </c>
      <c r="C2470" s="75">
        <v>250000000</v>
      </c>
      <c r="D2470" s="75">
        <v>500000000</v>
      </c>
      <c r="E2470" s="75">
        <v>10000000</v>
      </c>
      <c r="F2470" s="75" t="s">
        <v>104</v>
      </c>
      <c r="G2470" s="75" t="s">
        <v>50</v>
      </c>
      <c r="H2470" s="75">
        <v>0</v>
      </c>
      <c r="I2470" s="75">
        <v>0</v>
      </c>
      <c r="J2470" s="75"/>
      <c r="K2470" s="75">
        <v>5771.4</v>
      </c>
      <c r="L2470" s="75">
        <v>4.4676000000000002E-6</v>
      </c>
      <c r="M2470" s="75">
        <v>5771.3</v>
      </c>
      <c r="N2470" s="75">
        <v>4.4673999999999998E-6</v>
      </c>
      <c r="O2470" s="90" t="str">
        <f>IF(VLOOKUP(UncLookup[[#This Row],[Item]],Items!$A$1:$F$43,2,FALSE)=0,"",VLOOKUP(UncLookup[[#This Row],[Item]],Items!$A$1:$F$43,2,FALSE))</f>
        <v>Insulation</v>
      </c>
      <c r="P2470" s="90" t="str">
        <f>IF(VLOOKUP(UncLookup[[#This Row],[Item]],Items!$A$1:$F$43,3,FALSE)=0,"",VLOOKUP(UncLookup[[#This Row],[Item]],Items!$A$1:$F$43,3,FALSE))</f>
        <v/>
      </c>
      <c r="Q2470" s="90" t="str">
        <f>IF(VLOOKUP(UncLookup[[#This Row],[Item]],Items!$A$1:$F$43,4,FALSE)=0,"",VLOOKUP(UncLookup[[#This Row],[Item]],Items!$A$1:$F$43,4,FALSE))</f>
        <v/>
      </c>
    </row>
    <row r="2471" spans="1:17" x14ac:dyDescent="0.25">
      <c r="A2471" s="76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90" t="str">
        <f>IF(VLOOKUP(UncLookup[[#This Row],[Item]],Items!$A$1:$F$43,2,FALSE)=0,"",VLOOKUP(UncLookup[[#This Row],[Item]],Items!$A$1:$F$43,2,FALSE))</f>
        <v>Insulation</v>
      </c>
      <c r="P2471" s="90" t="str">
        <f>IF(VLOOKUP(UncLookup[[#This Row],[Item]],Items!$A$1:$F$43,3,FALSE)=0,"",VLOOKUP(UncLookup[[#This Row],[Item]],Items!$A$1:$F$43,3,FALSE))</f>
        <v/>
      </c>
      <c r="Q2471" s="90" t="str">
        <f>IF(VLOOKUP(UncLookup[[#This Row],[Item]],Items!$A$1:$F$43,4,FALSE)=0,"",VLOOKUP(UncLookup[[#This Row],[Item]],Items!$A$1:$F$43,4,FALSE))</f>
        <v/>
      </c>
    </row>
    <row r="2472" spans="1:17" x14ac:dyDescent="0.25">
      <c r="A2472" s="75" t="s">
        <v>70</v>
      </c>
      <c r="B2472" s="75" t="s">
        <v>75</v>
      </c>
      <c r="C2472" s="75">
        <v>500000000</v>
      </c>
      <c r="D2472" s="75">
        <v>1000000000</v>
      </c>
      <c r="E2472" s="75">
        <v>100000</v>
      </c>
      <c r="F2472" s="75" t="s">
        <v>104</v>
      </c>
      <c r="G2472" s="75" t="s">
        <v>50</v>
      </c>
      <c r="H2472" s="75">
        <v>0</v>
      </c>
      <c r="I2472" s="75">
        <v>0</v>
      </c>
      <c r="J2472" s="75"/>
      <c r="K2472" s="75">
        <v>25</v>
      </c>
      <c r="L2472" s="75">
        <v>1.1209000000000001E-5</v>
      </c>
      <c r="M2472" s="75">
        <v>-75.391000000000005</v>
      </c>
      <c r="N2472" s="75">
        <v>1.1209000000000001E-5</v>
      </c>
      <c r="O2472" s="90" t="str">
        <f>IF(VLOOKUP(UncLookup[[#This Row],[Item]],Items!$A$1:$F$43,2,FALSE)=0,"",VLOOKUP(UncLookup[[#This Row],[Item]],Items!$A$1:$F$43,2,FALSE))</f>
        <v>Insulation</v>
      </c>
      <c r="P2472" s="90" t="str">
        <f>IF(VLOOKUP(UncLookup[[#This Row],[Item]],Items!$A$1:$F$43,3,FALSE)=0,"",VLOOKUP(UncLookup[[#This Row],[Item]],Items!$A$1:$F$43,3,FALSE))</f>
        <v/>
      </c>
      <c r="Q2472" s="90" t="str">
        <f>IF(VLOOKUP(UncLookup[[#This Row],[Item]],Items!$A$1:$F$43,4,FALSE)=0,"",VLOOKUP(UncLookup[[#This Row],[Item]],Items!$A$1:$F$43,4,FALSE))</f>
        <v/>
      </c>
    </row>
    <row r="2473" spans="1:17" x14ac:dyDescent="0.25">
      <c r="A2473" s="76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90" t="str">
        <f>IF(VLOOKUP(UncLookup[[#This Row],[Item]],Items!$A$1:$F$43,2,FALSE)=0,"",VLOOKUP(UncLookup[[#This Row],[Item]],Items!$A$1:$F$43,2,FALSE))</f>
        <v>Insulation</v>
      </c>
      <c r="P2473" s="90" t="str">
        <f>IF(VLOOKUP(UncLookup[[#This Row],[Item]],Items!$A$1:$F$43,3,FALSE)=0,"",VLOOKUP(UncLookup[[#This Row],[Item]],Items!$A$1:$F$43,3,FALSE))</f>
        <v/>
      </c>
      <c r="Q2473" s="90" t="str">
        <f>IF(VLOOKUP(UncLookup[[#This Row],[Item]],Items!$A$1:$F$43,4,FALSE)=0,"",VLOOKUP(UncLookup[[#This Row],[Item]],Items!$A$1:$F$43,4,FALSE))</f>
        <v/>
      </c>
    </row>
    <row r="2474" spans="1:17" x14ac:dyDescent="0.25">
      <c r="A2474" s="75" t="s">
        <v>70</v>
      </c>
      <c r="B2474" s="75" t="s">
        <v>75</v>
      </c>
      <c r="C2474" s="75">
        <v>500000000</v>
      </c>
      <c r="D2474" s="75">
        <v>1000000000</v>
      </c>
      <c r="E2474" s="75">
        <v>10000000</v>
      </c>
      <c r="F2474" s="75" t="s">
        <v>104</v>
      </c>
      <c r="G2474" s="75" t="s">
        <v>50</v>
      </c>
      <c r="H2474" s="75">
        <v>0</v>
      </c>
      <c r="I2474" s="75">
        <v>0</v>
      </c>
      <c r="J2474" s="75"/>
      <c r="K2474" s="75">
        <v>5114.5</v>
      </c>
      <c r="L2474" s="75">
        <v>7.3429999999999998E-6</v>
      </c>
      <c r="M2474" s="75">
        <v>5114.5</v>
      </c>
      <c r="N2474" s="75">
        <v>7.3428999999999996E-6</v>
      </c>
      <c r="O2474" s="90" t="str">
        <f>IF(VLOOKUP(UncLookup[[#This Row],[Item]],Items!$A$1:$F$43,2,FALSE)=0,"",VLOOKUP(UncLookup[[#This Row],[Item]],Items!$A$1:$F$43,2,FALSE))</f>
        <v>Insulation</v>
      </c>
      <c r="P2474" s="90" t="str">
        <f>IF(VLOOKUP(UncLookup[[#This Row],[Item]],Items!$A$1:$F$43,3,FALSE)=0,"",VLOOKUP(UncLookup[[#This Row],[Item]],Items!$A$1:$F$43,3,FALSE))</f>
        <v/>
      </c>
      <c r="Q2474" s="90" t="str">
        <f>IF(VLOOKUP(UncLookup[[#This Row],[Item]],Items!$A$1:$F$43,4,FALSE)=0,"",VLOOKUP(UncLookup[[#This Row],[Item]],Items!$A$1:$F$43,4,FALSE))</f>
        <v/>
      </c>
    </row>
    <row r="2475" spans="1:17" x14ac:dyDescent="0.25">
      <c r="A2475" s="76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90" t="str">
        <f>IF(VLOOKUP(UncLookup[[#This Row],[Item]],Items!$A$1:$F$43,2,FALSE)=0,"",VLOOKUP(UncLookup[[#This Row],[Item]],Items!$A$1:$F$43,2,FALSE))</f>
        <v>Insulation</v>
      </c>
      <c r="P2475" s="90" t="str">
        <f>IF(VLOOKUP(UncLookup[[#This Row],[Item]],Items!$A$1:$F$43,3,FALSE)=0,"",VLOOKUP(UncLookup[[#This Row],[Item]],Items!$A$1:$F$43,3,FALSE))</f>
        <v/>
      </c>
      <c r="Q2475" s="90" t="str">
        <f>IF(VLOOKUP(UncLookup[[#This Row],[Item]],Items!$A$1:$F$43,4,FALSE)=0,"",VLOOKUP(UncLookup[[#This Row],[Item]],Items!$A$1:$F$43,4,FALSE))</f>
        <v/>
      </c>
    </row>
    <row r="2476" spans="1:17" x14ac:dyDescent="0.25">
      <c r="A2476" s="75" t="s">
        <v>70</v>
      </c>
      <c r="B2476" s="75" t="s">
        <v>74</v>
      </c>
      <c r="C2476" s="75">
        <v>1</v>
      </c>
      <c r="D2476" s="75">
        <v>100</v>
      </c>
      <c r="E2476" s="75">
        <v>1</v>
      </c>
      <c r="F2476" s="75" t="s">
        <v>6</v>
      </c>
      <c r="G2476" s="75" t="s">
        <v>6</v>
      </c>
      <c r="H2476" s="75">
        <v>0</v>
      </c>
      <c r="I2476" s="75">
        <v>0</v>
      </c>
      <c r="J2476" s="75"/>
      <c r="K2476" s="75">
        <v>1.5</v>
      </c>
      <c r="L2476" s="75">
        <v>1.0999999999999999E-2</v>
      </c>
      <c r="M2476" s="75">
        <v>1.4054</v>
      </c>
      <c r="N2476" s="75">
        <v>1.0453E-2</v>
      </c>
      <c r="O2476" s="90" t="str">
        <f>IF(VLOOKUP(UncLookup[[#This Row],[Item]],Items!$A$1:$F$43,2,FALSE)=0,"",VLOOKUP(UncLookup[[#This Row],[Item]],Items!$A$1:$F$43,2,FALSE))</f>
        <v>Insulation</v>
      </c>
      <c r="P2476" s="90" t="str">
        <f>IF(VLOOKUP(UncLookup[[#This Row],[Item]],Items!$A$1:$F$43,3,FALSE)=0,"",VLOOKUP(UncLookup[[#This Row],[Item]],Items!$A$1:$F$43,3,FALSE))</f>
        <v/>
      </c>
      <c r="Q2476" s="90" t="str">
        <f>IF(VLOOKUP(UncLookup[[#This Row],[Item]],Items!$A$1:$F$43,4,FALSE)=0,"",VLOOKUP(UncLookup[[#This Row],[Item]],Items!$A$1:$F$43,4,FALSE))</f>
        <v/>
      </c>
    </row>
    <row r="2477" spans="1:17" x14ac:dyDescent="0.25">
      <c r="A2477" s="76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90" t="str">
        <f>IF(VLOOKUP(UncLookup[[#This Row],[Item]],Items!$A$1:$F$43,2,FALSE)=0,"",VLOOKUP(UncLookup[[#This Row],[Item]],Items!$A$1:$F$43,2,FALSE))</f>
        <v>Insulation</v>
      </c>
      <c r="P2477" s="90" t="str">
        <f>IF(VLOOKUP(UncLookup[[#This Row],[Item]],Items!$A$1:$F$43,3,FALSE)=0,"",VLOOKUP(UncLookup[[#This Row],[Item]],Items!$A$1:$F$43,3,FALSE))</f>
        <v/>
      </c>
      <c r="Q2477" s="90" t="str">
        <f>IF(VLOOKUP(UncLookup[[#This Row],[Item]],Items!$A$1:$F$43,4,FALSE)=0,"",VLOOKUP(UncLookup[[#This Row],[Item]],Items!$A$1:$F$43,4,FALSE))</f>
        <v/>
      </c>
    </row>
    <row r="2478" spans="1:17" x14ac:dyDescent="0.25">
      <c r="A2478" s="75" t="s">
        <v>70</v>
      </c>
      <c r="B2478" s="75" t="s">
        <v>74</v>
      </c>
      <c r="C2478" s="75">
        <v>1</v>
      </c>
      <c r="D2478" s="75">
        <v>100</v>
      </c>
      <c r="E2478" s="75">
        <v>100</v>
      </c>
      <c r="F2478" s="75" t="s">
        <v>6</v>
      </c>
      <c r="G2478" s="75" t="s">
        <v>6</v>
      </c>
      <c r="H2478" s="75">
        <v>0</v>
      </c>
      <c r="I2478" s="75">
        <v>0</v>
      </c>
      <c r="J2478" s="75"/>
      <c r="K2478" s="75">
        <v>57.917999999999999</v>
      </c>
      <c r="L2478" s="75">
        <v>3.3655999999999998E-3</v>
      </c>
      <c r="M2478" s="75">
        <v>57.914999999999999</v>
      </c>
      <c r="N2478" s="75">
        <v>3.2951999999999999E-3</v>
      </c>
      <c r="O2478" s="90" t="str">
        <f>IF(VLOOKUP(UncLookup[[#This Row],[Item]],Items!$A$1:$F$43,2,FALSE)=0,"",VLOOKUP(UncLookup[[#This Row],[Item]],Items!$A$1:$F$43,2,FALSE))</f>
        <v>Insulation</v>
      </c>
      <c r="P2478" s="90" t="str">
        <f>IF(VLOOKUP(UncLookup[[#This Row],[Item]],Items!$A$1:$F$43,3,FALSE)=0,"",VLOOKUP(UncLookup[[#This Row],[Item]],Items!$A$1:$F$43,3,FALSE))</f>
        <v/>
      </c>
      <c r="Q2478" s="90" t="str">
        <f>IF(VLOOKUP(UncLookup[[#This Row],[Item]],Items!$A$1:$F$43,4,FALSE)=0,"",VLOOKUP(UncLookup[[#This Row],[Item]],Items!$A$1:$F$43,4,FALSE))</f>
        <v/>
      </c>
    </row>
    <row r="2479" spans="1:17" x14ac:dyDescent="0.25">
      <c r="A2479" s="76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90" t="str">
        <f>IF(VLOOKUP(UncLookup[[#This Row],[Item]],Items!$A$1:$F$43,2,FALSE)=0,"",VLOOKUP(UncLookup[[#This Row],[Item]],Items!$A$1:$F$43,2,FALSE))</f>
        <v>Insulation</v>
      </c>
      <c r="P2479" s="90" t="str">
        <f>IF(VLOOKUP(UncLookup[[#This Row],[Item]],Items!$A$1:$F$43,3,FALSE)=0,"",VLOOKUP(UncLookup[[#This Row],[Item]],Items!$A$1:$F$43,3,FALSE))</f>
        <v/>
      </c>
      <c r="Q2479" s="90" t="str">
        <f>IF(VLOOKUP(UncLookup[[#This Row],[Item]],Items!$A$1:$F$43,4,FALSE)=0,"",VLOOKUP(UncLookup[[#This Row],[Item]],Items!$A$1:$F$43,4,FALSE))</f>
        <v/>
      </c>
    </row>
    <row r="2480" spans="1:17" x14ac:dyDescent="0.25">
      <c r="A2480" s="75" t="s">
        <v>70</v>
      </c>
      <c r="B2480" s="75" t="s">
        <v>74</v>
      </c>
      <c r="C2480" s="75">
        <v>100</v>
      </c>
      <c r="D2480" s="75">
        <v>250</v>
      </c>
      <c r="E2480" s="75">
        <v>10</v>
      </c>
      <c r="F2480" s="75" t="s">
        <v>6</v>
      </c>
      <c r="G2480" s="75" t="s">
        <v>6</v>
      </c>
      <c r="H2480" s="75">
        <v>0</v>
      </c>
      <c r="I2480" s="75">
        <v>0</v>
      </c>
      <c r="J2480" s="75"/>
      <c r="K2480" s="75">
        <v>5.6898999999999997</v>
      </c>
      <c r="L2480" s="75">
        <v>5.7678E-3</v>
      </c>
      <c r="M2480" s="75">
        <v>5.6798000000000002</v>
      </c>
      <c r="N2480" s="75">
        <v>5.6527000000000001E-3</v>
      </c>
      <c r="O2480" s="90" t="str">
        <f>IF(VLOOKUP(UncLookup[[#This Row],[Item]],Items!$A$1:$F$43,2,FALSE)=0,"",VLOOKUP(UncLookup[[#This Row],[Item]],Items!$A$1:$F$43,2,FALSE))</f>
        <v>Insulation</v>
      </c>
      <c r="P2480" s="90" t="str">
        <f>IF(VLOOKUP(UncLookup[[#This Row],[Item]],Items!$A$1:$F$43,3,FALSE)=0,"",VLOOKUP(UncLookup[[#This Row],[Item]],Items!$A$1:$F$43,3,FALSE))</f>
        <v/>
      </c>
      <c r="Q2480" s="90" t="str">
        <f>IF(VLOOKUP(UncLookup[[#This Row],[Item]],Items!$A$1:$F$43,4,FALSE)=0,"",VLOOKUP(UncLookup[[#This Row],[Item]],Items!$A$1:$F$43,4,FALSE))</f>
        <v/>
      </c>
    </row>
    <row r="2481" spans="1:17" x14ac:dyDescent="0.25">
      <c r="A2481" s="76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90" t="str">
        <f>IF(VLOOKUP(UncLookup[[#This Row],[Item]],Items!$A$1:$F$43,2,FALSE)=0,"",VLOOKUP(UncLookup[[#This Row],[Item]],Items!$A$1:$F$43,2,FALSE))</f>
        <v>Insulation</v>
      </c>
      <c r="P2481" s="90" t="str">
        <f>IF(VLOOKUP(UncLookup[[#This Row],[Item]],Items!$A$1:$F$43,3,FALSE)=0,"",VLOOKUP(UncLookup[[#This Row],[Item]],Items!$A$1:$F$43,3,FALSE))</f>
        <v/>
      </c>
      <c r="Q2481" s="90" t="str">
        <f>IF(VLOOKUP(UncLookup[[#This Row],[Item]],Items!$A$1:$F$43,4,FALSE)=0,"",VLOOKUP(UncLookup[[#This Row],[Item]],Items!$A$1:$F$43,4,FALSE))</f>
        <v/>
      </c>
    </row>
    <row r="2482" spans="1:17" x14ac:dyDescent="0.25">
      <c r="A2482" s="75" t="s">
        <v>70</v>
      </c>
      <c r="B2482" s="75" t="s">
        <v>74</v>
      </c>
      <c r="C2482" s="75">
        <v>250</v>
      </c>
      <c r="D2482" s="75">
        <v>500</v>
      </c>
      <c r="E2482" s="75">
        <v>1</v>
      </c>
      <c r="F2482" s="75" t="s">
        <v>6</v>
      </c>
      <c r="G2482" s="75" t="s">
        <v>6</v>
      </c>
      <c r="H2482" s="75">
        <v>0</v>
      </c>
      <c r="I2482" s="75">
        <v>0</v>
      </c>
      <c r="J2482" s="75"/>
      <c r="K2482" s="75">
        <v>1.5</v>
      </c>
      <c r="L2482" s="75">
        <v>1.0999999999999999E-2</v>
      </c>
      <c r="M2482" s="75">
        <v>1.2696000000000001</v>
      </c>
      <c r="N2482" s="75">
        <v>1.1414000000000001E-2</v>
      </c>
      <c r="O2482" s="90" t="str">
        <f>IF(VLOOKUP(UncLookup[[#This Row],[Item]],Items!$A$1:$F$43,2,FALSE)=0,"",VLOOKUP(UncLookup[[#This Row],[Item]],Items!$A$1:$F$43,2,FALSE))</f>
        <v>Insulation</v>
      </c>
      <c r="P2482" s="90" t="str">
        <f>IF(VLOOKUP(UncLookup[[#This Row],[Item]],Items!$A$1:$F$43,3,FALSE)=0,"",VLOOKUP(UncLookup[[#This Row],[Item]],Items!$A$1:$F$43,3,FALSE))</f>
        <v/>
      </c>
      <c r="Q2482" s="90" t="str">
        <f>IF(VLOOKUP(UncLookup[[#This Row],[Item]],Items!$A$1:$F$43,4,FALSE)=0,"",VLOOKUP(UncLookup[[#This Row],[Item]],Items!$A$1:$F$43,4,FALSE))</f>
        <v/>
      </c>
    </row>
    <row r="2483" spans="1:17" x14ac:dyDescent="0.25">
      <c r="A2483" s="76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90" t="str">
        <f>IF(VLOOKUP(UncLookup[[#This Row],[Item]],Items!$A$1:$F$43,2,FALSE)=0,"",VLOOKUP(UncLookup[[#This Row],[Item]],Items!$A$1:$F$43,2,FALSE))</f>
        <v>Insulation</v>
      </c>
      <c r="P2483" s="90" t="str">
        <f>IF(VLOOKUP(UncLookup[[#This Row],[Item]],Items!$A$1:$F$43,3,FALSE)=0,"",VLOOKUP(UncLookup[[#This Row],[Item]],Items!$A$1:$F$43,3,FALSE))</f>
        <v/>
      </c>
      <c r="Q2483" s="90" t="str">
        <f>IF(VLOOKUP(UncLookup[[#This Row],[Item]],Items!$A$1:$F$43,4,FALSE)=0,"",VLOOKUP(UncLookup[[#This Row],[Item]],Items!$A$1:$F$43,4,FALSE))</f>
        <v/>
      </c>
    </row>
    <row r="2484" spans="1:17" x14ac:dyDescent="0.25">
      <c r="A2484" s="75" t="s">
        <v>70</v>
      </c>
      <c r="B2484" s="75" t="s">
        <v>74</v>
      </c>
      <c r="C2484" s="75">
        <v>250</v>
      </c>
      <c r="D2484" s="75">
        <v>500</v>
      </c>
      <c r="E2484" s="75">
        <v>100</v>
      </c>
      <c r="F2484" s="75" t="s">
        <v>6</v>
      </c>
      <c r="G2484" s="75" t="s">
        <v>6</v>
      </c>
      <c r="H2484" s="75">
        <v>0</v>
      </c>
      <c r="I2484" s="75">
        <v>0</v>
      </c>
      <c r="J2484" s="75"/>
      <c r="K2484" s="75">
        <v>57.497</v>
      </c>
      <c r="L2484" s="75">
        <v>2.2225000000000001E-3</v>
      </c>
      <c r="M2484" s="75">
        <v>57.502000000000002</v>
      </c>
      <c r="N2484" s="75">
        <v>2.1424999999999999E-3</v>
      </c>
      <c r="O2484" s="90" t="str">
        <f>IF(VLOOKUP(UncLookup[[#This Row],[Item]],Items!$A$1:$F$43,2,FALSE)=0,"",VLOOKUP(UncLookup[[#This Row],[Item]],Items!$A$1:$F$43,2,FALSE))</f>
        <v>Insulation</v>
      </c>
      <c r="P2484" s="90" t="str">
        <f>IF(VLOOKUP(UncLookup[[#This Row],[Item]],Items!$A$1:$F$43,3,FALSE)=0,"",VLOOKUP(UncLookup[[#This Row],[Item]],Items!$A$1:$F$43,3,FALSE))</f>
        <v/>
      </c>
      <c r="Q2484" s="90" t="str">
        <f>IF(VLOOKUP(UncLookup[[#This Row],[Item]],Items!$A$1:$F$43,4,FALSE)=0,"",VLOOKUP(UncLookup[[#This Row],[Item]],Items!$A$1:$F$43,4,FALSE))</f>
        <v/>
      </c>
    </row>
    <row r="2485" spans="1:17" x14ac:dyDescent="0.25">
      <c r="A2485" s="76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90" t="str">
        <f>IF(VLOOKUP(UncLookup[[#This Row],[Item]],Items!$A$1:$F$43,2,FALSE)=0,"",VLOOKUP(UncLookup[[#This Row],[Item]],Items!$A$1:$F$43,2,FALSE))</f>
        <v>Insulation</v>
      </c>
      <c r="P2485" s="90" t="str">
        <f>IF(VLOOKUP(UncLookup[[#This Row],[Item]],Items!$A$1:$F$43,3,FALSE)=0,"",VLOOKUP(UncLookup[[#This Row],[Item]],Items!$A$1:$F$43,3,FALSE))</f>
        <v/>
      </c>
      <c r="Q2485" s="90" t="str">
        <f>IF(VLOOKUP(UncLookup[[#This Row],[Item]],Items!$A$1:$F$43,4,FALSE)=0,"",VLOOKUP(UncLookup[[#This Row],[Item]],Items!$A$1:$F$43,4,FALSE))</f>
        <v/>
      </c>
    </row>
    <row r="2486" spans="1:17" x14ac:dyDescent="0.25">
      <c r="A2486" s="75" t="s">
        <v>70</v>
      </c>
      <c r="B2486" s="75" t="s">
        <v>74</v>
      </c>
      <c r="C2486" s="75">
        <v>500</v>
      </c>
      <c r="D2486" s="75">
        <v>1000</v>
      </c>
      <c r="E2486" s="75">
        <v>10</v>
      </c>
      <c r="F2486" s="75" t="s">
        <v>6</v>
      </c>
      <c r="G2486" s="75" t="s">
        <v>6</v>
      </c>
      <c r="H2486" s="75">
        <v>0</v>
      </c>
      <c r="I2486" s="75">
        <v>0</v>
      </c>
      <c r="J2486" s="75"/>
      <c r="K2486" s="75">
        <v>4.1692999999999998</v>
      </c>
      <c r="L2486" s="75">
        <v>9.8749000000000007E-3</v>
      </c>
      <c r="M2486" s="75">
        <v>4.0987</v>
      </c>
      <c r="N2486" s="75">
        <v>9.8767000000000004E-3</v>
      </c>
      <c r="O2486" s="90" t="str">
        <f>IF(VLOOKUP(UncLookup[[#This Row],[Item]],Items!$A$1:$F$43,2,FALSE)=0,"",VLOOKUP(UncLookup[[#This Row],[Item]],Items!$A$1:$F$43,2,FALSE))</f>
        <v>Insulation</v>
      </c>
      <c r="P2486" s="90" t="str">
        <f>IF(VLOOKUP(UncLookup[[#This Row],[Item]],Items!$A$1:$F$43,3,FALSE)=0,"",VLOOKUP(UncLookup[[#This Row],[Item]],Items!$A$1:$F$43,3,FALSE))</f>
        <v/>
      </c>
      <c r="Q2486" s="90" t="str">
        <f>IF(VLOOKUP(UncLookup[[#This Row],[Item]],Items!$A$1:$F$43,4,FALSE)=0,"",VLOOKUP(UncLookup[[#This Row],[Item]],Items!$A$1:$F$43,4,FALSE))</f>
        <v/>
      </c>
    </row>
    <row r="2487" spans="1:17" x14ac:dyDescent="0.25">
      <c r="A2487" s="76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90" t="str">
        <f>IF(VLOOKUP(UncLookup[[#This Row],[Item]],Items!$A$1:$F$43,2,FALSE)=0,"",VLOOKUP(UncLookup[[#This Row],[Item]],Items!$A$1:$F$43,2,FALSE))</f>
        <v>Insulation</v>
      </c>
      <c r="P2487" s="90" t="str">
        <f>IF(VLOOKUP(UncLookup[[#This Row],[Item]],Items!$A$1:$F$43,3,FALSE)=0,"",VLOOKUP(UncLookup[[#This Row],[Item]],Items!$A$1:$F$43,3,FALSE))</f>
        <v/>
      </c>
      <c r="Q2487" s="90" t="str">
        <f>IF(VLOOKUP(UncLookup[[#This Row],[Item]],Items!$A$1:$F$43,4,FALSE)=0,"",VLOOKUP(UncLookup[[#This Row],[Item]],Items!$A$1:$F$43,4,FALSE))</f>
        <v/>
      </c>
    </row>
    <row r="2488" spans="1:17" x14ac:dyDescent="0.25">
      <c r="A2488" s="75" t="s">
        <v>70</v>
      </c>
      <c r="B2488" s="75" t="s">
        <v>17</v>
      </c>
      <c r="C2488" s="75">
        <v>1</v>
      </c>
      <c r="D2488" s="75">
        <v>100000</v>
      </c>
      <c r="E2488" s="75">
        <v>1</v>
      </c>
      <c r="F2488" s="75" t="s">
        <v>9</v>
      </c>
      <c r="G2488" s="75" t="s">
        <v>9</v>
      </c>
      <c r="H2488" s="75">
        <v>0</v>
      </c>
      <c r="I2488" s="75">
        <v>0</v>
      </c>
      <c r="J2488" s="75"/>
      <c r="K2488" s="75">
        <v>0.87</v>
      </c>
      <c r="L2488" s="75">
        <v>1.5999999999999999E-5</v>
      </c>
      <c r="M2488" s="75">
        <v>0.81637999999999999</v>
      </c>
      <c r="N2488" s="75">
        <v>1.6364000000000001E-5</v>
      </c>
      <c r="O2488" s="90" t="str">
        <f>IF(VLOOKUP(UncLookup[[#This Row],[Item]],Items!$A$1:$F$43,2,FALSE)=0,"",VLOOKUP(UncLookup[[#This Row],[Item]],Items!$A$1:$F$43,2,FALSE))</f>
        <v/>
      </c>
      <c r="P2488" s="90" t="str">
        <f>IF(VLOOKUP(UncLookup[[#This Row],[Item]],Items!$A$1:$F$43,3,FALSE)=0,"",VLOOKUP(UncLookup[[#This Row],[Item]],Items!$A$1:$F$43,3,FALSE))</f>
        <v/>
      </c>
      <c r="Q2488" s="90" t="str">
        <f>IF(VLOOKUP(UncLookup[[#This Row],[Item]],Items!$A$1:$F$43,4,FALSE)=0,"",VLOOKUP(UncLookup[[#This Row],[Item]],Items!$A$1:$F$43,4,FALSE))</f>
        <v/>
      </c>
    </row>
    <row r="2489" spans="1:17" x14ac:dyDescent="0.25">
      <c r="A2489" s="76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90" t="str">
        <f>IF(VLOOKUP(UncLookup[[#This Row],[Item]],Items!$A$1:$F$43,2,FALSE)=0,"",VLOOKUP(UncLookup[[#This Row],[Item]],Items!$A$1:$F$43,2,FALSE))</f>
        <v/>
      </c>
      <c r="P2489" s="90" t="str">
        <f>IF(VLOOKUP(UncLookup[[#This Row],[Item]],Items!$A$1:$F$43,3,FALSE)=0,"",VLOOKUP(UncLookup[[#This Row],[Item]],Items!$A$1:$F$43,3,FALSE))</f>
        <v/>
      </c>
      <c r="Q2489" s="90" t="str">
        <f>IF(VLOOKUP(UncLookup[[#This Row],[Item]],Items!$A$1:$F$43,4,FALSE)=0,"",VLOOKUP(UncLookup[[#This Row],[Item]],Items!$A$1:$F$43,4,FALSE))</f>
        <v/>
      </c>
    </row>
    <row r="2490" spans="1:17" x14ac:dyDescent="0.25">
      <c r="A2490" s="75" t="s">
        <v>70</v>
      </c>
      <c r="B2490" s="75" t="s">
        <v>17</v>
      </c>
      <c r="C2490" s="75">
        <v>1</v>
      </c>
      <c r="D2490" s="75">
        <v>100000</v>
      </c>
      <c r="E2490" s="75">
        <v>100</v>
      </c>
      <c r="F2490" s="75" t="s">
        <v>9</v>
      </c>
      <c r="G2490" s="75" t="s">
        <v>9</v>
      </c>
      <c r="H2490" s="75">
        <v>0</v>
      </c>
      <c r="I2490" s="75">
        <v>0</v>
      </c>
      <c r="J2490" s="75"/>
      <c r="K2490" s="75">
        <v>58.005000000000003</v>
      </c>
      <c r="L2490" s="75">
        <v>3.1698999999999999E-6</v>
      </c>
      <c r="M2490" s="75">
        <v>58</v>
      </c>
      <c r="N2490" s="75">
        <v>3.1064999999999998E-6</v>
      </c>
      <c r="O2490" s="90" t="str">
        <f>IF(VLOOKUP(UncLookup[[#This Row],[Item]],Items!$A$1:$F$43,2,FALSE)=0,"",VLOOKUP(UncLookup[[#This Row],[Item]],Items!$A$1:$F$43,2,FALSE))</f>
        <v/>
      </c>
      <c r="P2490" s="90" t="str">
        <f>IF(VLOOKUP(UncLookup[[#This Row],[Item]],Items!$A$1:$F$43,3,FALSE)=0,"",VLOOKUP(UncLookup[[#This Row],[Item]],Items!$A$1:$F$43,3,FALSE))</f>
        <v/>
      </c>
      <c r="Q2490" s="90" t="str">
        <f>IF(VLOOKUP(UncLookup[[#This Row],[Item]],Items!$A$1:$F$43,4,FALSE)=0,"",VLOOKUP(UncLookup[[#This Row],[Item]],Items!$A$1:$F$43,4,FALSE))</f>
        <v/>
      </c>
    </row>
    <row r="2491" spans="1:17" x14ac:dyDescent="0.25">
      <c r="A2491" s="76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90" t="str">
        <f>IF(VLOOKUP(UncLookup[[#This Row],[Item]],Items!$A$1:$F$43,2,FALSE)=0,"",VLOOKUP(UncLookup[[#This Row],[Item]],Items!$A$1:$F$43,2,FALSE))</f>
        <v/>
      </c>
      <c r="P2491" s="90" t="str">
        <f>IF(VLOOKUP(UncLookup[[#This Row],[Item]],Items!$A$1:$F$43,3,FALSE)=0,"",VLOOKUP(UncLookup[[#This Row],[Item]],Items!$A$1:$F$43,3,FALSE))</f>
        <v/>
      </c>
      <c r="Q2491" s="90" t="str">
        <f>IF(VLOOKUP(UncLookup[[#This Row],[Item]],Items!$A$1:$F$43,4,FALSE)=0,"",VLOOKUP(UncLookup[[#This Row],[Item]],Items!$A$1:$F$43,4,FALSE))</f>
        <v/>
      </c>
    </row>
    <row r="2492" spans="1:17" x14ac:dyDescent="0.25">
      <c r="A2492" s="75" t="s">
        <v>70</v>
      </c>
      <c r="B2492" s="75" t="s">
        <v>17</v>
      </c>
      <c r="C2492" s="75">
        <v>1</v>
      </c>
      <c r="D2492" s="75">
        <v>100000</v>
      </c>
      <c r="E2492" s="75">
        <v>10000</v>
      </c>
      <c r="F2492" s="75" t="s">
        <v>9</v>
      </c>
      <c r="G2492" s="75" t="s">
        <v>9</v>
      </c>
      <c r="H2492" s="75">
        <v>0</v>
      </c>
      <c r="I2492" s="75">
        <v>0</v>
      </c>
      <c r="J2492" s="75"/>
      <c r="K2492" s="75">
        <v>5799.7</v>
      </c>
      <c r="L2492" s="75">
        <v>2.6460999999999998E-4</v>
      </c>
      <c r="M2492" s="75">
        <v>5799.7</v>
      </c>
      <c r="N2492" s="75">
        <v>2.6459999999999998E-4</v>
      </c>
      <c r="O2492" s="90" t="str">
        <f>IF(VLOOKUP(UncLookup[[#This Row],[Item]],Items!$A$1:$F$43,2,FALSE)=0,"",VLOOKUP(UncLookup[[#This Row],[Item]],Items!$A$1:$F$43,2,FALSE))</f>
        <v/>
      </c>
      <c r="P2492" s="90" t="str">
        <f>IF(VLOOKUP(UncLookup[[#This Row],[Item]],Items!$A$1:$F$43,3,FALSE)=0,"",VLOOKUP(UncLookup[[#This Row],[Item]],Items!$A$1:$F$43,3,FALSE))</f>
        <v/>
      </c>
      <c r="Q2492" s="90" t="str">
        <f>IF(VLOOKUP(UncLookup[[#This Row],[Item]],Items!$A$1:$F$43,4,FALSE)=0,"",VLOOKUP(UncLookup[[#This Row],[Item]],Items!$A$1:$F$43,4,FALSE))</f>
        <v/>
      </c>
    </row>
    <row r="2493" spans="1:17" x14ac:dyDescent="0.25">
      <c r="A2493" s="76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90" t="str">
        <f>IF(VLOOKUP(UncLookup[[#This Row],[Item]],Items!$A$1:$F$43,2,FALSE)=0,"",VLOOKUP(UncLookup[[#This Row],[Item]],Items!$A$1:$F$43,2,FALSE))</f>
        <v/>
      </c>
      <c r="P2493" s="90" t="str">
        <f>IF(VLOOKUP(UncLookup[[#This Row],[Item]],Items!$A$1:$F$43,3,FALSE)=0,"",VLOOKUP(UncLookup[[#This Row],[Item]],Items!$A$1:$F$43,3,FALSE))</f>
        <v/>
      </c>
      <c r="Q2493" s="90" t="str">
        <f>IF(VLOOKUP(UncLookup[[#This Row],[Item]],Items!$A$1:$F$43,4,FALSE)=0,"",VLOOKUP(UncLookup[[#This Row],[Item]],Items!$A$1:$F$43,4,FALSE))</f>
        <v/>
      </c>
    </row>
    <row r="2494" spans="1:17" x14ac:dyDescent="0.25">
      <c r="A2494" s="75" t="s">
        <v>70</v>
      </c>
      <c r="B2494" s="75" t="s">
        <v>3</v>
      </c>
      <c r="C2494" s="75">
        <v>0</v>
      </c>
      <c r="D2494" s="75">
        <v>0.1</v>
      </c>
      <c r="E2494" s="75">
        <v>1.0000000000000001E-5</v>
      </c>
      <c r="F2494" s="75" t="s">
        <v>6</v>
      </c>
      <c r="G2494" s="75" t="s">
        <v>5</v>
      </c>
      <c r="H2494" s="75">
        <v>0</v>
      </c>
      <c r="I2494" s="75">
        <v>0</v>
      </c>
      <c r="J2494" s="75"/>
      <c r="K2494" s="75">
        <v>12.962999999999999</v>
      </c>
      <c r="L2494" s="75">
        <v>86.429000000000002</v>
      </c>
      <c r="M2494" s="75">
        <v>12.956</v>
      </c>
      <c r="N2494" s="75">
        <v>86.457999999999998</v>
      </c>
      <c r="O2494" s="90" t="str">
        <f>IF(VLOOKUP(UncLookup[[#This Row],[Item]],Items!$A$1:$F$43,2,FALSE)=0,"",VLOOKUP(UncLookup[[#This Row],[Item]],Items!$A$1:$F$43,2,FALSE))</f>
        <v/>
      </c>
      <c r="P2494" s="90" t="str">
        <f>IF(VLOOKUP(UncLookup[[#This Row],[Item]],Items!$A$1:$F$43,3,FALSE)=0,"",VLOOKUP(UncLookup[[#This Row],[Item]],Items!$A$1:$F$43,3,FALSE))</f>
        <v/>
      </c>
      <c r="Q2494" s="90" t="str">
        <f>IF(VLOOKUP(UncLookup[[#This Row],[Item]],Items!$A$1:$F$43,4,FALSE)=0,"",VLOOKUP(UncLookup[[#This Row],[Item]],Items!$A$1:$F$43,4,FALSE))</f>
        <v/>
      </c>
    </row>
    <row r="2495" spans="1:17" x14ac:dyDescent="0.25">
      <c r="A2495" s="76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90" t="str">
        <f>IF(VLOOKUP(UncLookup[[#This Row],[Item]],Items!$A$1:$F$43,2,FALSE)=0,"",VLOOKUP(UncLookup[[#This Row],[Item]],Items!$A$1:$F$43,2,FALSE))</f>
        <v/>
      </c>
      <c r="P2495" s="90" t="str">
        <f>IF(VLOOKUP(UncLookup[[#This Row],[Item]],Items!$A$1:$F$43,3,FALSE)=0,"",VLOOKUP(UncLookup[[#This Row],[Item]],Items!$A$1:$F$43,3,FALSE))</f>
        <v/>
      </c>
      <c r="Q2495" s="90" t="str">
        <f>IF(VLOOKUP(UncLookup[[#This Row],[Item]],Items!$A$1:$F$43,4,FALSE)=0,"",VLOOKUP(UncLookup[[#This Row],[Item]],Items!$A$1:$F$43,4,FALSE))</f>
        <v/>
      </c>
    </row>
    <row r="2496" spans="1:17" x14ac:dyDescent="0.25">
      <c r="A2496" s="75" t="s">
        <v>70</v>
      </c>
      <c r="B2496" s="75" t="s">
        <v>3</v>
      </c>
      <c r="C2496" s="75">
        <v>0</v>
      </c>
      <c r="D2496" s="75">
        <v>0.1</v>
      </c>
      <c r="E2496" s="75">
        <v>1E-3</v>
      </c>
      <c r="F2496" s="75" t="s">
        <v>6</v>
      </c>
      <c r="G2496" s="75" t="s">
        <v>5</v>
      </c>
      <c r="H2496" s="75">
        <v>0</v>
      </c>
      <c r="I2496" s="75">
        <v>0</v>
      </c>
      <c r="J2496" s="75"/>
      <c r="K2496" s="75">
        <v>577.47</v>
      </c>
      <c r="L2496" s="75">
        <v>2.5928</v>
      </c>
      <c r="M2496" s="75">
        <v>577.47</v>
      </c>
      <c r="N2496" s="75">
        <v>2.5928</v>
      </c>
      <c r="O2496" s="90" t="str">
        <f>IF(VLOOKUP(UncLookup[[#This Row],[Item]],Items!$A$1:$F$43,2,FALSE)=0,"",VLOOKUP(UncLookup[[#This Row],[Item]],Items!$A$1:$F$43,2,FALSE))</f>
        <v/>
      </c>
      <c r="P2496" s="90" t="str">
        <f>IF(VLOOKUP(UncLookup[[#This Row],[Item]],Items!$A$1:$F$43,3,FALSE)=0,"",VLOOKUP(UncLookup[[#This Row],[Item]],Items!$A$1:$F$43,3,FALSE))</f>
        <v/>
      </c>
      <c r="Q2496" s="90" t="str">
        <f>IF(VLOOKUP(UncLookup[[#This Row],[Item]],Items!$A$1:$F$43,4,FALSE)=0,"",VLOOKUP(UncLookup[[#This Row],[Item]],Items!$A$1:$F$43,4,FALSE))</f>
        <v/>
      </c>
    </row>
    <row r="2497" spans="1:17" x14ac:dyDescent="0.25">
      <c r="A2497" s="76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90" t="str">
        <f>IF(VLOOKUP(UncLookup[[#This Row],[Item]],Items!$A$1:$F$43,2,FALSE)=0,"",VLOOKUP(UncLookup[[#This Row],[Item]],Items!$A$1:$F$43,2,FALSE))</f>
        <v/>
      </c>
      <c r="P2497" s="90" t="str">
        <f>IF(VLOOKUP(UncLookup[[#This Row],[Item]],Items!$A$1:$F$43,3,FALSE)=0,"",VLOOKUP(UncLookup[[#This Row],[Item]],Items!$A$1:$F$43,3,FALSE))</f>
        <v/>
      </c>
      <c r="Q2497" s="90" t="str">
        <f>IF(VLOOKUP(UncLookup[[#This Row],[Item]],Items!$A$1:$F$43,4,FALSE)=0,"",VLOOKUP(UncLookup[[#This Row],[Item]],Items!$A$1:$F$43,4,FALSE))</f>
        <v/>
      </c>
    </row>
    <row r="2498" spans="1:17" x14ac:dyDescent="0.25">
      <c r="A2498" s="75" t="s">
        <v>70</v>
      </c>
      <c r="B2498" s="75" t="s">
        <v>3</v>
      </c>
      <c r="C2498" s="75">
        <v>0.1</v>
      </c>
      <c r="D2498" s="75">
        <v>1</v>
      </c>
      <c r="E2498" s="75">
        <v>1.0000000000000001E-5</v>
      </c>
      <c r="F2498" s="75" t="s">
        <v>6</v>
      </c>
      <c r="G2498" s="75" t="s">
        <v>5</v>
      </c>
      <c r="H2498" s="75">
        <v>0</v>
      </c>
      <c r="I2498" s="75">
        <v>0</v>
      </c>
      <c r="J2498" s="75"/>
      <c r="K2498" s="75">
        <v>36</v>
      </c>
      <c r="L2498" s="75">
        <v>92</v>
      </c>
      <c r="M2498" s="75">
        <v>35.884999999999998</v>
      </c>
      <c r="N2498" s="75">
        <v>91.647999999999996</v>
      </c>
      <c r="O2498" s="90" t="str">
        <f>IF(VLOOKUP(UncLookup[[#This Row],[Item]],Items!$A$1:$F$43,2,FALSE)=0,"",VLOOKUP(UncLookup[[#This Row],[Item]],Items!$A$1:$F$43,2,FALSE))</f>
        <v/>
      </c>
      <c r="P2498" s="90" t="str">
        <f>IF(VLOOKUP(UncLookup[[#This Row],[Item]],Items!$A$1:$F$43,3,FALSE)=0,"",VLOOKUP(UncLookup[[#This Row],[Item]],Items!$A$1:$F$43,3,FALSE))</f>
        <v/>
      </c>
      <c r="Q2498" s="90" t="str">
        <f>IF(VLOOKUP(UncLookup[[#This Row],[Item]],Items!$A$1:$F$43,4,FALSE)=0,"",VLOOKUP(UncLookup[[#This Row],[Item]],Items!$A$1:$F$43,4,FALSE))</f>
        <v/>
      </c>
    </row>
    <row r="2499" spans="1:17" x14ac:dyDescent="0.25">
      <c r="A2499" s="76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90" t="str">
        <f>IF(VLOOKUP(UncLookup[[#This Row],[Item]],Items!$A$1:$F$43,2,FALSE)=0,"",VLOOKUP(UncLookup[[#This Row],[Item]],Items!$A$1:$F$43,2,FALSE))</f>
        <v/>
      </c>
      <c r="P2499" s="90" t="str">
        <f>IF(VLOOKUP(UncLookup[[#This Row],[Item]],Items!$A$1:$F$43,3,FALSE)=0,"",VLOOKUP(UncLookup[[#This Row],[Item]],Items!$A$1:$F$43,3,FALSE))</f>
        <v/>
      </c>
      <c r="Q2499" s="90" t="str">
        <f>IF(VLOOKUP(UncLookup[[#This Row],[Item]],Items!$A$1:$F$43,4,FALSE)=0,"",VLOOKUP(UncLookup[[#This Row],[Item]],Items!$A$1:$F$43,4,FALSE))</f>
        <v/>
      </c>
    </row>
    <row r="2500" spans="1:17" x14ac:dyDescent="0.25">
      <c r="A2500" s="75" t="s">
        <v>70</v>
      </c>
      <c r="B2500" s="75" t="s">
        <v>3</v>
      </c>
      <c r="C2500" s="75">
        <v>0.1</v>
      </c>
      <c r="D2500" s="75">
        <v>1</v>
      </c>
      <c r="E2500" s="75">
        <v>1E-3</v>
      </c>
      <c r="F2500" s="75" t="s">
        <v>6</v>
      </c>
      <c r="G2500" s="75" t="s">
        <v>5</v>
      </c>
      <c r="H2500" s="75">
        <v>0</v>
      </c>
      <c r="I2500" s="75">
        <v>0</v>
      </c>
      <c r="J2500" s="75"/>
      <c r="K2500" s="75">
        <v>577.78</v>
      </c>
      <c r="L2500" s="75">
        <v>13.555</v>
      </c>
      <c r="M2500" s="75">
        <v>577.73</v>
      </c>
      <c r="N2500" s="75">
        <v>13.515000000000001</v>
      </c>
      <c r="O2500" s="90" t="str">
        <f>IF(VLOOKUP(UncLookup[[#This Row],[Item]],Items!$A$1:$F$43,2,FALSE)=0,"",VLOOKUP(UncLookup[[#This Row],[Item]],Items!$A$1:$F$43,2,FALSE))</f>
        <v/>
      </c>
      <c r="P2500" s="90" t="str">
        <f>IF(VLOOKUP(UncLookup[[#This Row],[Item]],Items!$A$1:$F$43,3,FALSE)=0,"",VLOOKUP(UncLookup[[#This Row],[Item]],Items!$A$1:$F$43,3,FALSE))</f>
        <v/>
      </c>
      <c r="Q2500" s="90" t="str">
        <f>IF(VLOOKUP(UncLookup[[#This Row],[Item]],Items!$A$1:$F$43,4,FALSE)=0,"",VLOOKUP(UncLookup[[#This Row],[Item]],Items!$A$1:$F$43,4,FALSE))</f>
        <v/>
      </c>
    </row>
    <row r="2501" spans="1:17" x14ac:dyDescent="0.25">
      <c r="A2501" s="76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90" t="str">
        <f>IF(VLOOKUP(UncLookup[[#This Row],[Item]],Items!$A$1:$F$43,2,FALSE)=0,"",VLOOKUP(UncLookup[[#This Row],[Item]],Items!$A$1:$F$43,2,FALSE))</f>
        <v/>
      </c>
      <c r="P2501" s="90" t="str">
        <f>IF(VLOOKUP(UncLookup[[#This Row],[Item]],Items!$A$1:$F$43,3,FALSE)=0,"",VLOOKUP(UncLookup[[#This Row],[Item]],Items!$A$1:$F$43,3,FALSE))</f>
        <v/>
      </c>
      <c r="Q2501" s="90" t="str">
        <f>IF(VLOOKUP(UncLookup[[#This Row],[Item]],Items!$A$1:$F$43,4,FALSE)=0,"",VLOOKUP(UncLookup[[#This Row],[Item]],Items!$A$1:$F$43,4,FALSE))</f>
        <v/>
      </c>
    </row>
    <row r="2502" spans="1:17" x14ac:dyDescent="0.25">
      <c r="A2502" s="75" t="s">
        <v>70</v>
      </c>
      <c r="B2502" s="75" t="s">
        <v>3</v>
      </c>
      <c r="C2502" s="75">
        <v>0.1</v>
      </c>
      <c r="D2502" s="75">
        <v>1</v>
      </c>
      <c r="E2502" s="75">
        <v>0.1</v>
      </c>
      <c r="F2502" s="75" t="s">
        <v>6</v>
      </c>
      <c r="G2502" s="75" t="s">
        <v>5</v>
      </c>
      <c r="H2502" s="75">
        <v>0</v>
      </c>
      <c r="I2502" s="75">
        <v>0</v>
      </c>
      <c r="J2502" s="75"/>
      <c r="K2502" s="75">
        <v>57736</v>
      </c>
      <c r="L2502" s="75">
        <v>0.14379</v>
      </c>
      <c r="M2502" s="75">
        <v>57736</v>
      </c>
      <c r="N2502" s="75">
        <v>0.13697999999999999</v>
      </c>
      <c r="O2502" s="90" t="str">
        <f>IF(VLOOKUP(UncLookup[[#This Row],[Item]],Items!$A$1:$F$43,2,FALSE)=0,"",VLOOKUP(UncLookup[[#This Row],[Item]],Items!$A$1:$F$43,2,FALSE))</f>
        <v/>
      </c>
      <c r="P2502" s="90" t="str">
        <f>IF(VLOOKUP(UncLookup[[#This Row],[Item]],Items!$A$1:$F$43,3,FALSE)=0,"",VLOOKUP(UncLookup[[#This Row],[Item]],Items!$A$1:$F$43,3,FALSE))</f>
        <v/>
      </c>
      <c r="Q2502" s="90" t="str">
        <f>IF(VLOOKUP(UncLookup[[#This Row],[Item]],Items!$A$1:$F$43,4,FALSE)=0,"",VLOOKUP(UncLookup[[#This Row],[Item]],Items!$A$1:$F$43,4,FALSE))</f>
        <v/>
      </c>
    </row>
    <row r="2503" spans="1:17" x14ac:dyDescent="0.25">
      <c r="A2503" s="76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90" t="str">
        <f>IF(VLOOKUP(UncLookup[[#This Row],[Item]],Items!$A$1:$F$43,2,FALSE)=0,"",VLOOKUP(UncLookup[[#This Row],[Item]],Items!$A$1:$F$43,2,FALSE))</f>
        <v/>
      </c>
      <c r="P2503" s="90" t="str">
        <f>IF(VLOOKUP(UncLookup[[#This Row],[Item]],Items!$A$1:$F$43,3,FALSE)=0,"",VLOOKUP(UncLookup[[#This Row],[Item]],Items!$A$1:$F$43,3,FALSE))</f>
        <v/>
      </c>
      <c r="Q2503" s="90" t="str">
        <f>IF(VLOOKUP(UncLookup[[#This Row],[Item]],Items!$A$1:$F$43,4,FALSE)=0,"",VLOOKUP(UncLookup[[#This Row],[Item]],Items!$A$1:$F$43,4,FALSE))</f>
        <v/>
      </c>
    </row>
    <row r="2504" spans="1:17" x14ac:dyDescent="0.25">
      <c r="A2504" s="75" t="s">
        <v>70</v>
      </c>
      <c r="B2504" s="75" t="s">
        <v>3</v>
      </c>
      <c r="C2504" s="75">
        <v>1</v>
      </c>
      <c r="D2504" s="75">
        <v>10</v>
      </c>
      <c r="E2504" s="75">
        <v>1E-3</v>
      </c>
      <c r="F2504" s="75" t="s">
        <v>6</v>
      </c>
      <c r="G2504" s="75" t="s">
        <v>5</v>
      </c>
      <c r="H2504" s="75">
        <v>0</v>
      </c>
      <c r="I2504" s="75">
        <v>0</v>
      </c>
      <c r="J2504" s="75"/>
      <c r="K2504" s="75">
        <v>653.72</v>
      </c>
      <c r="L2504" s="75">
        <v>74.370999999999995</v>
      </c>
      <c r="M2504" s="75">
        <v>653.16999999999996</v>
      </c>
      <c r="N2504" s="75">
        <v>74.328999999999994</v>
      </c>
      <c r="O2504" s="90" t="str">
        <f>IF(VLOOKUP(UncLookup[[#This Row],[Item]],Items!$A$1:$F$43,2,FALSE)=0,"",VLOOKUP(UncLookup[[#This Row],[Item]],Items!$A$1:$F$43,2,FALSE))</f>
        <v/>
      </c>
      <c r="P2504" s="90" t="str">
        <f>IF(VLOOKUP(UncLookup[[#This Row],[Item]],Items!$A$1:$F$43,3,FALSE)=0,"",VLOOKUP(UncLookup[[#This Row],[Item]],Items!$A$1:$F$43,3,FALSE))</f>
        <v/>
      </c>
      <c r="Q2504" s="90" t="str">
        <f>IF(VLOOKUP(UncLookup[[#This Row],[Item]],Items!$A$1:$F$43,4,FALSE)=0,"",VLOOKUP(UncLookup[[#This Row],[Item]],Items!$A$1:$F$43,4,FALSE))</f>
        <v/>
      </c>
    </row>
    <row r="2505" spans="1:17" x14ac:dyDescent="0.25">
      <c r="A2505" s="76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90" t="str">
        <f>IF(VLOOKUP(UncLookup[[#This Row],[Item]],Items!$A$1:$F$43,2,FALSE)=0,"",VLOOKUP(UncLookup[[#This Row],[Item]],Items!$A$1:$F$43,2,FALSE))</f>
        <v/>
      </c>
      <c r="P2505" s="90" t="str">
        <f>IF(VLOOKUP(UncLookup[[#This Row],[Item]],Items!$A$1:$F$43,3,FALSE)=0,"",VLOOKUP(UncLookup[[#This Row],[Item]],Items!$A$1:$F$43,3,FALSE))</f>
        <v/>
      </c>
      <c r="Q2505" s="90" t="str">
        <f>IF(VLOOKUP(UncLookup[[#This Row],[Item]],Items!$A$1:$F$43,4,FALSE)=0,"",VLOOKUP(UncLookup[[#This Row],[Item]],Items!$A$1:$F$43,4,FALSE))</f>
        <v/>
      </c>
    </row>
    <row r="2506" spans="1:17" x14ac:dyDescent="0.25">
      <c r="A2506" s="75" t="s">
        <v>70</v>
      </c>
      <c r="B2506" s="75" t="s">
        <v>3</v>
      </c>
      <c r="C2506" s="75">
        <v>1</v>
      </c>
      <c r="D2506" s="75">
        <v>10</v>
      </c>
      <c r="E2506" s="75">
        <v>0.1</v>
      </c>
      <c r="F2506" s="75" t="s">
        <v>6</v>
      </c>
      <c r="G2506" s="75" t="s">
        <v>5</v>
      </c>
      <c r="H2506" s="75">
        <v>0</v>
      </c>
      <c r="I2506" s="75">
        <v>0</v>
      </c>
      <c r="J2506" s="75"/>
      <c r="K2506" s="75">
        <v>57736</v>
      </c>
      <c r="L2506" s="75">
        <v>1.3954</v>
      </c>
      <c r="M2506" s="75">
        <v>57736</v>
      </c>
      <c r="N2506" s="75">
        <v>13.496</v>
      </c>
      <c r="O2506" s="90" t="str">
        <f>IF(VLOOKUP(UncLookup[[#This Row],[Item]],Items!$A$1:$F$43,2,FALSE)=0,"",VLOOKUP(UncLookup[[#This Row],[Item]],Items!$A$1:$F$43,2,FALSE))</f>
        <v/>
      </c>
      <c r="P2506" s="90" t="str">
        <f>IF(VLOOKUP(UncLookup[[#This Row],[Item]],Items!$A$1:$F$43,3,FALSE)=0,"",VLOOKUP(UncLookup[[#This Row],[Item]],Items!$A$1:$F$43,3,FALSE))</f>
        <v/>
      </c>
      <c r="Q2506" s="90" t="str">
        <f>IF(VLOOKUP(UncLookup[[#This Row],[Item]],Items!$A$1:$F$43,4,FALSE)=0,"",VLOOKUP(UncLookup[[#This Row],[Item]],Items!$A$1:$F$43,4,FALSE))</f>
        <v/>
      </c>
    </row>
    <row r="2507" spans="1:17" x14ac:dyDescent="0.25">
      <c r="A2507" s="76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90" t="str">
        <f>IF(VLOOKUP(UncLookup[[#This Row],[Item]],Items!$A$1:$F$43,2,FALSE)=0,"",VLOOKUP(UncLookup[[#This Row],[Item]],Items!$A$1:$F$43,2,FALSE))</f>
        <v/>
      </c>
      <c r="P2507" s="90" t="str">
        <f>IF(VLOOKUP(UncLookup[[#This Row],[Item]],Items!$A$1:$F$43,3,FALSE)=0,"",VLOOKUP(UncLookup[[#This Row],[Item]],Items!$A$1:$F$43,3,FALSE))</f>
        <v/>
      </c>
      <c r="Q2507" s="90" t="str">
        <f>IF(VLOOKUP(UncLookup[[#This Row],[Item]],Items!$A$1:$F$43,4,FALSE)=0,"",VLOOKUP(UncLookup[[#This Row],[Item]],Items!$A$1:$F$43,4,FALSE))</f>
        <v/>
      </c>
    </row>
    <row r="2508" spans="1:17" x14ac:dyDescent="0.25">
      <c r="A2508" s="75" t="s">
        <v>70</v>
      </c>
      <c r="B2508" s="75" t="s">
        <v>3</v>
      </c>
      <c r="C2508" s="75">
        <v>10</v>
      </c>
      <c r="D2508" s="75">
        <v>100</v>
      </c>
      <c r="E2508" s="75">
        <v>1E-3</v>
      </c>
      <c r="F2508" s="75" t="s">
        <v>6</v>
      </c>
      <c r="G2508" s="75" t="s">
        <v>4</v>
      </c>
      <c r="H2508" s="75">
        <v>0</v>
      </c>
      <c r="I2508" s="75">
        <v>0</v>
      </c>
      <c r="J2508" s="75"/>
      <c r="K2508" s="75">
        <v>6.8</v>
      </c>
      <c r="L2508" s="75">
        <v>8.2000000000000003E-2</v>
      </c>
      <c r="M2508" s="75">
        <v>6.7337999999999996</v>
      </c>
      <c r="N2508" s="75">
        <v>8.2464999999999997E-2</v>
      </c>
      <c r="O2508" s="90" t="str">
        <f>IF(VLOOKUP(UncLookup[[#This Row],[Item]],Items!$A$1:$F$43,2,FALSE)=0,"",VLOOKUP(UncLookup[[#This Row],[Item]],Items!$A$1:$F$43,2,FALSE))</f>
        <v/>
      </c>
      <c r="P2508" s="90" t="str">
        <f>IF(VLOOKUP(UncLookup[[#This Row],[Item]],Items!$A$1:$F$43,3,FALSE)=0,"",VLOOKUP(UncLookup[[#This Row],[Item]],Items!$A$1:$F$43,3,FALSE))</f>
        <v/>
      </c>
      <c r="Q2508" s="90" t="str">
        <f>IF(VLOOKUP(UncLookup[[#This Row],[Item]],Items!$A$1:$F$43,4,FALSE)=0,"",VLOOKUP(UncLookup[[#This Row],[Item]],Items!$A$1:$F$43,4,FALSE))</f>
        <v/>
      </c>
    </row>
    <row r="2509" spans="1:17" x14ac:dyDescent="0.25">
      <c r="A2509" s="76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90" t="str">
        <f>IF(VLOOKUP(UncLookup[[#This Row],[Item]],Items!$A$1:$F$43,2,FALSE)=0,"",VLOOKUP(UncLookup[[#This Row],[Item]],Items!$A$1:$F$43,2,FALSE))</f>
        <v/>
      </c>
      <c r="P2509" s="90" t="str">
        <f>IF(VLOOKUP(UncLookup[[#This Row],[Item]],Items!$A$1:$F$43,3,FALSE)=0,"",VLOOKUP(UncLookup[[#This Row],[Item]],Items!$A$1:$F$43,3,FALSE))</f>
        <v/>
      </c>
      <c r="Q2509" s="90" t="str">
        <f>IF(VLOOKUP(UncLookup[[#This Row],[Item]],Items!$A$1:$F$43,4,FALSE)=0,"",VLOOKUP(UncLookup[[#This Row],[Item]],Items!$A$1:$F$43,4,FALSE))</f>
        <v/>
      </c>
    </row>
    <row r="2510" spans="1:17" x14ac:dyDescent="0.25">
      <c r="A2510" s="75" t="s">
        <v>70</v>
      </c>
      <c r="B2510" s="75" t="s">
        <v>3</v>
      </c>
      <c r="C2510" s="75">
        <v>10</v>
      </c>
      <c r="D2510" s="75">
        <v>100</v>
      </c>
      <c r="E2510" s="75">
        <v>0.1</v>
      </c>
      <c r="F2510" s="75" t="s">
        <v>6</v>
      </c>
      <c r="G2510" s="75" t="s">
        <v>4</v>
      </c>
      <c r="H2510" s="75">
        <v>0</v>
      </c>
      <c r="I2510" s="75">
        <v>0</v>
      </c>
      <c r="J2510" s="75"/>
      <c r="K2510" s="75">
        <v>58.072000000000003</v>
      </c>
      <c r="L2510" s="75">
        <v>1.5845000000000001E-2</v>
      </c>
      <c r="M2510" s="75">
        <v>58.067999999999998</v>
      </c>
      <c r="N2510" s="75">
        <v>1.5768999999999998E-2</v>
      </c>
      <c r="O2510" s="90" t="str">
        <f>IF(VLOOKUP(UncLookup[[#This Row],[Item]],Items!$A$1:$F$43,2,FALSE)=0,"",VLOOKUP(UncLookup[[#This Row],[Item]],Items!$A$1:$F$43,2,FALSE))</f>
        <v/>
      </c>
      <c r="P2510" s="90" t="str">
        <f>IF(VLOOKUP(UncLookup[[#This Row],[Item]],Items!$A$1:$F$43,3,FALSE)=0,"",VLOOKUP(UncLookup[[#This Row],[Item]],Items!$A$1:$F$43,3,FALSE))</f>
        <v/>
      </c>
      <c r="Q2510" s="90" t="str">
        <f>IF(VLOOKUP(UncLookup[[#This Row],[Item]],Items!$A$1:$F$43,4,FALSE)=0,"",VLOOKUP(UncLookup[[#This Row],[Item]],Items!$A$1:$F$43,4,FALSE))</f>
        <v/>
      </c>
    </row>
    <row r="2511" spans="1:17" x14ac:dyDescent="0.25">
      <c r="A2511" s="76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90" t="str">
        <f>IF(VLOOKUP(UncLookup[[#This Row],[Item]],Items!$A$1:$F$43,2,FALSE)=0,"",VLOOKUP(UncLookup[[#This Row],[Item]],Items!$A$1:$F$43,2,FALSE))</f>
        <v/>
      </c>
      <c r="P2511" s="90" t="str">
        <f>IF(VLOOKUP(UncLookup[[#This Row],[Item]],Items!$A$1:$F$43,3,FALSE)=0,"",VLOOKUP(UncLookup[[#This Row],[Item]],Items!$A$1:$F$43,3,FALSE))</f>
        <v/>
      </c>
      <c r="Q2511" s="90" t="str">
        <f>IF(VLOOKUP(UncLookup[[#This Row],[Item]],Items!$A$1:$F$43,4,FALSE)=0,"",VLOOKUP(UncLookup[[#This Row],[Item]],Items!$A$1:$F$43,4,FALSE))</f>
        <v/>
      </c>
    </row>
    <row r="2512" spans="1:17" x14ac:dyDescent="0.25">
      <c r="A2512" s="75" t="s">
        <v>70</v>
      </c>
      <c r="B2512" s="75" t="s">
        <v>3</v>
      </c>
      <c r="C2512" s="75">
        <v>10</v>
      </c>
      <c r="D2512" s="75">
        <v>100</v>
      </c>
      <c r="E2512" s="75">
        <v>10</v>
      </c>
      <c r="F2512" s="75" t="s">
        <v>6</v>
      </c>
      <c r="G2512" s="75" t="s">
        <v>4</v>
      </c>
      <c r="H2512" s="75">
        <v>0</v>
      </c>
      <c r="I2512" s="75">
        <v>0</v>
      </c>
      <c r="J2512" s="75"/>
      <c r="K2512" s="75">
        <v>5773.6</v>
      </c>
      <c r="L2512" s="75">
        <v>1.7383000000000001E-4</v>
      </c>
      <c r="M2512" s="75">
        <v>5773.6</v>
      </c>
      <c r="N2512" s="75">
        <v>1.6097E-4</v>
      </c>
      <c r="O2512" s="90" t="str">
        <f>IF(VLOOKUP(UncLookup[[#This Row],[Item]],Items!$A$1:$F$43,2,FALSE)=0,"",VLOOKUP(UncLookup[[#This Row],[Item]],Items!$A$1:$F$43,2,FALSE))</f>
        <v/>
      </c>
      <c r="P2512" s="90" t="str">
        <f>IF(VLOOKUP(UncLookup[[#This Row],[Item]],Items!$A$1:$F$43,3,FALSE)=0,"",VLOOKUP(UncLookup[[#This Row],[Item]],Items!$A$1:$F$43,3,FALSE))</f>
        <v/>
      </c>
      <c r="Q2512" s="90" t="str">
        <f>IF(VLOOKUP(UncLookup[[#This Row],[Item]],Items!$A$1:$F$43,4,FALSE)=0,"",VLOOKUP(UncLookup[[#This Row],[Item]],Items!$A$1:$F$43,4,FALSE))</f>
        <v/>
      </c>
    </row>
    <row r="2513" spans="1:17" x14ac:dyDescent="0.25">
      <c r="A2513" s="76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90" t="str">
        <f>IF(VLOOKUP(UncLookup[[#This Row],[Item]],Items!$A$1:$F$43,2,FALSE)=0,"",VLOOKUP(UncLookup[[#This Row],[Item]],Items!$A$1:$F$43,2,FALSE))</f>
        <v/>
      </c>
      <c r="P2513" s="90" t="str">
        <f>IF(VLOOKUP(UncLookup[[#This Row],[Item]],Items!$A$1:$F$43,3,FALSE)=0,"",VLOOKUP(UncLookup[[#This Row],[Item]],Items!$A$1:$F$43,3,FALSE))</f>
        <v/>
      </c>
      <c r="Q2513" s="90" t="str">
        <f>IF(VLOOKUP(UncLookup[[#This Row],[Item]],Items!$A$1:$F$43,4,FALSE)=0,"",VLOOKUP(UncLookup[[#This Row],[Item]],Items!$A$1:$F$43,4,FALSE))</f>
        <v/>
      </c>
    </row>
    <row r="2514" spans="1:17" x14ac:dyDescent="0.25">
      <c r="A2514" s="75" t="s">
        <v>70</v>
      </c>
      <c r="B2514" s="75" t="s">
        <v>3</v>
      </c>
      <c r="C2514" s="75">
        <v>100</v>
      </c>
      <c r="D2514" s="75">
        <v>1020</v>
      </c>
      <c r="E2514" s="75">
        <v>0.1</v>
      </c>
      <c r="F2514" s="75" t="s">
        <v>6</v>
      </c>
      <c r="G2514" s="75" t="s">
        <v>4</v>
      </c>
      <c r="H2514" s="75">
        <v>0</v>
      </c>
      <c r="I2514" s="75">
        <v>0</v>
      </c>
      <c r="J2514" s="75"/>
      <c r="K2514" s="75">
        <v>65.632000000000005</v>
      </c>
      <c r="L2514" s="75">
        <v>7.4630000000000002E-2</v>
      </c>
      <c r="M2514" s="75">
        <v>65.525000000000006</v>
      </c>
      <c r="N2514" s="75">
        <v>7.4607999999999994E-2</v>
      </c>
      <c r="O2514" s="90" t="str">
        <f>IF(VLOOKUP(UncLookup[[#This Row],[Item]],Items!$A$1:$F$43,2,FALSE)=0,"",VLOOKUP(UncLookup[[#This Row],[Item]],Items!$A$1:$F$43,2,FALSE))</f>
        <v/>
      </c>
      <c r="P2514" s="90" t="str">
        <f>IF(VLOOKUP(UncLookup[[#This Row],[Item]],Items!$A$1:$F$43,3,FALSE)=0,"",VLOOKUP(UncLookup[[#This Row],[Item]],Items!$A$1:$F$43,3,FALSE))</f>
        <v/>
      </c>
      <c r="Q2514" s="90" t="str">
        <f>IF(VLOOKUP(UncLookup[[#This Row],[Item]],Items!$A$1:$F$43,4,FALSE)=0,"",VLOOKUP(UncLookup[[#This Row],[Item]],Items!$A$1:$F$43,4,FALSE))</f>
        <v/>
      </c>
    </row>
    <row r="2515" spans="1:17" x14ac:dyDescent="0.25">
      <c r="A2515" s="76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90" t="str">
        <f>IF(VLOOKUP(UncLookup[[#This Row],[Item]],Items!$A$1:$F$43,2,FALSE)=0,"",VLOOKUP(UncLookup[[#This Row],[Item]],Items!$A$1:$F$43,2,FALSE))</f>
        <v/>
      </c>
      <c r="P2515" s="90" t="str">
        <f>IF(VLOOKUP(UncLookup[[#This Row],[Item]],Items!$A$1:$F$43,3,FALSE)=0,"",VLOOKUP(UncLookup[[#This Row],[Item]],Items!$A$1:$F$43,3,FALSE))</f>
        <v/>
      </c>
      <c r="Q2515" s="90" t="str">
        <f>IF(VLOOKUP(UncLookup[[#This Row],[Item]],Items!$A$1:$F$43,4,FALSE)=0,"",VLOOKUP(UncLookup[[#This Row],[Item]],Items!$A$1:$F$43,4,FALSE))</f>
        <v/>
      </c>
    </row>
    <row r="2516" spans="1:17" x14ac:dyDescent="0.25">
      <c r="A2516" s="75" t="s">
        <v>70</v>
      </c>
      <c r="B2516" s="75" t="s">
        <v>3</v>
      </c>
      <c r="C2516" s="75">
        <v>100</v>
      </c>
      <c r="D2516" s="75">
        <v>1020</v>
      </c>
      <c r="E2516" s="75">
        <v>10</v>
      </c>
      <c r="F2516" s="75" t="s">
        <v>6</v>
      </c>
      <c r="G2516" s="75" t="s">
        <v>4</v>
      </c>
      <c r="H2516" s="75">
        <v>0</v>
      </c>
      <c r="I2516" s="75">
        <v>0</v>
      </c>
      <c r="J2516" s="75"/>
      <c r="K2516" s="75">
        <v>5773.6</v>
      </c>
      <c r="L2516" s="75">
        <v>1.4178999999999999E-3</v>
      </c>
      <c r="M2516" s="75">
        <v>5773.6</v>
      </c>
      <c r="N2516" s="75">
        <v>1.3864000000000001E-3</v>
      </c>
      <c r="O2516" s="90" t="str">
        <f>IF(VLOOKUP(UncLookup[[#This Row],[Item]],Items!$A$1:$F$43,2,FALSE)=0,"",VLOOKUP(UncLookup[[#This Row],[Item]],Items!$A$1:$F$43,2,FALSE))</f>
        <v/>
      </c>
      <c r="P2516" s="90" t="str">
        <f>IF(VLOOKUP(UncLookup[[#This Row],[Item]],Items!$A$1:$F$43,3,FALSE)=0,"",VLOOKUP(UncLookup[[#This Row],[Item]],Items!$A$1:$F$43,3,FALSE))</f>
        <v/>
      </c>
      <c r="Q2516" s="90" t="str">
        <f>IF(VLOOKUP(UncLookup[[#This Row],[Item]],Items!$A$1:$F$43,4,FALSE)=0,"",VLOOKUP(UncLookup[[#This Row],[Item]],Items!$A$1:$F$43,4,FALSE))</f>
        <v/>
      </c>
    </row>
    <row r="2517" spans="1:17" x14ac:dyDescent="0.25">
      <c r="A2517" s="76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90" t="str">
        <f>IF(VLOOKUP(UncLookup[[#This Row],[Item]],Items!$A$1:$F$43,2,FALSE)=0,"",VLOOKUP(UncLookup[[#This Row],[Item]],Items!$A$1:$F$43,2,FALSE))</f>
        <v/>
      </c>
      <c r="P2517" s="90" t="str">
        <f>IF(VLOOKUP(UncLookup[[#This Row],[Item]],Items!$A$1:$F$43,3,FALSE)=0,"",VLOOKUP(UncLookup[[#This Row],[Item]],Items!$A$1:$F$43,3,FALSE))</f>
        <v/>
      </c>
      <c r="Q2517" s="90" t="str">
        <f>IF(VLOOKUP(UncLookup[[#This Row],[Item]],Items!$A$1:$F$43,4,FALSE)=0,"",VLOOKUP(UncLookup[[#This Row],[Item]],Items!$A$1:$F$43,4,FALSE))</f>
        <v/>
      </c>
    </row>
    <row r="2518" spans="1:17" x14ac:dyDescent="0.25">
      <c r="A2518" s="75" t="s">
        <v>70</v>
      </c>
      <c r="B2518" s="75" t="s">
        <v>61</v>
      </c>
      <c r="C2518" s="75">
        <v>5</v>
      </c>
      <c r="D2518" s="75">
        <v>51</v>
      </c>
      <c r="E2518" s="75">
        <v>1E-3</v>
      </c>
      <c r="F2518" s="75" t="s">
        <v>13</v>
      </c>
      <c r="G2518" s="75" t="s">
        <v>12</v>
      </c>
      <c r="H2518" s="75">
        <v>0</v>
      </c>
      <c r="I2518" s="75">
        <v>0</v>
      </c>
      <c r="J2518" s="75"/>
      <c r="K2518" s="75">
        <v>4.7</v>
      </c>
      <c r="L2518" s="75">
        <v>2</v>
      </c>
      <c r="M2518" s="75">
        <v>4.5993000000000004</v>
      </c>
      <c r="N2518" s="75">
        <v>1.98</v>
      </c>
      <c r="O2518" s="90" t="str">
        <f>IF(VLOOKUP(UncLookup[[#This Row],[Item]],Items!$A$1:$F$43,2,FALSE)=0,"",VLOOKUP(UncLookup[[#This Row],[Item]],Items!$A$1:$F$43,2,FALSE))</f>
        <v/>
      </c>
      <c r="P2518" s="90" t="str">
        <f>IF(VLOOKUP(UncLookup[[#This Row],[Item]],Items!$A$1:$F$43,3,FALSE)=0,"",VLOOKUP(UncLookup[[#This Row],[Item]],Items!$A$1:$F$43,3,FALSE))</f>
        <v>50 turn</v>
      </c>
      <c r="Q2518" s="90" t="str">
        <f>IF(VLOOKUP(UncLookup[[#This Row],[Item]],Items!$A$1:$F$43,4,FALSE)=0,"",VLOOKUP(UncLookup[[#This Row],[Item]],Items!$A$1:$F$43,4,FALSE))</f>
        <v/>
      </c>
    </row>
    <row r="2519" spans="1:17" x14ac:dyDescent="0.25">
      <c r="A2519" s="76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90" t="str">
        <f>IF(VLOOKUP(UncLookup[[#This Row],[Item]],Items!$A$1:$F$43,2,FALSE)=0,"",VLOOKUP(UncLookup[[#This Row],[Item]],Items!$A$1:$F$43,2,FALSE))</f>
        <v/>
      </c>
      <c r="P2519" s="90" t="str">
        <f>IF(VLOOKUP(UncLookup[[#This Row],[Item]],Items!$A$1:$F$43,3,FALSE)=0,"",VLOOKUP(UncLookup[[#This Row],[Item]],Items!$A$1:$F$43,3,FALSE))</f>
        <v>50 turn</v>
      </c>
      <c r="Q2519" s="90" t="str">
        <f>IF(VLOOKUP(UncLookup[[#This Row],[Item]],Items!$A$1:$F$43,4,FALSE)=0,"",VLOOKUP(UncLookup[[#This Row],[Item]],Items!$A$1:$F$43,4,FALSE))</f>
        <v/>
      </c>
    </row>
    <row r="2520" spans="1:17" x14ac:dyDescent="0.25">
      <c r="A2520" s="75" t="s">
        <v>70</v>
      </c>
      <c r="B2520" s="75" t="s">
        <v>61</v>
      </c>
      <c r="C2520" s="75">
        <v>5</v>
      </c>
      <c r="D2520" s="75">
        <v>51</v>
      </c>
      <c r="E2520" s="75">
        <v>0.1</v>
      </c>
      <c r="F2520" s="75" t="s">
        <v>13</v>
      </c>
      <c r="G2520" s="75" t="s">
        <v>12</v>
      </c>
      <c r="H2520" s="75">
        <v>0</v>
      </c>
      <c r="I2520" s="75">
        <v>0</v>
      </c>
      <c r="J2520" s="75"/>
      <c r="K2520" s="75">
        <v>53.039000000000001</v>
      </c>
      <c r="L2520" s="75">
        <v>1.3232999999999999</v>
      </c>
      <c r="M2520" s="75">
        <v>52.915999999999997</v>
      </c>
      <c r="N2520" s="75">
        <v>1.3219000000000001</v>
      </c>
      <c r="O2520" s="90" t="str">
        <f>IF(VLOOKUP(UncLookup[[#This Row],[Item]],Items!$A$1:$F$43,2,FALSE)=0,"",VLOOKUP(UncLookup[[#This Row],[Item]],Items!$A$1:$F$43,2,FALSE))</f>
        <v/>
      </c>
      <c r="P2520" s="90" t="str">
        <f>IF(VLOOKUP(UncLookup[[#This Row],[Item]],Items!$A$1:$F$43,3,FALSE)=0,"",VLOOKUP(UncLookup[[#This Row],[Item]],Items!$A$1:$F$43,3,FALSE))</f>
        <v>50 turn</v>
      </c>
      <c r="Q2520" s="90" t="str">
        <f>IF(VLOOKUP(UncLookup[[#This Row],[Item]],Items!$A$1:$F$43,4,FALSE)=0,"",VLOOKUP(UncLookup[[#This Row],[Item]],Items!$A$1:$F$43,4,FALSE))</f>
        <v/>
      </c>
    </row>
    <row r="2521" spans="1:17" x14ac:dyDescent="0.25">
      <c r="A2521" s="76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90" t="str">
        <f>IF(VLOOKUP(UncLookup[[#This Row],[Item]],Items!$A$1:$F$43,2,FALSE)=0,"",VLOOKUP(UncLookup[[#This Row],[Item]],Items!$A$1:$F$43,2,FALSE))</f>
        <v/>
      </c>
      <c r="P2521" s="90" t="str">
        <f>IF(VLOOKUP(UncLookup[[#This Row],[Item]],Items!$A$1:$F$43,3,FALSE)=0,"",VLOOKUP(UncLookup[[#This Row],[Item]],Items!$A$1:$F$43,3,FALSE))</f>
        <v>50 turn</v>
      </c>
      <c r="Q2521" s="90" t="str">
        <f>IF(VLOOKUP(UncLookup[[#This Row],[Item]],Items!$A$1:$F$43,4,FALSE)=0,"",VLOOKUP(UncLookup[[#This Row],[Item]],Items!$A$1:$F$43,4,FALSE))</f>
        <v/>
      </c>
    </row>
    <row r="2522" spans="1:17" x14ac:dyDescent="0.25">
      <c r="A2522" s="75" t="s">
        <v>70</v>
      </c>
      <c r="B2522" s="75" t="s">
        <v>61</v>
      </c>
      <c r="C2522" s="75">
        <v>5</v>
      </c>
      <c r="D2522" s="75">
        <v>51</v>
      </c>
      <c r="E2522" s="75">
        <v>10</v>
      </c>
      <c r="F2522" s="75" t="s">
        <v>13</v>
      </c>
      <c r="G2522" s="75" t="s">
        <v>12</v>
      </c>
      <c r="H2522" s="75">
        <v>0</v>
      </c>
      <c r="I2522" s="75">
        <v>0</v>
      </c>
      <c r="J2522" s="75"/>
      <c r="K2522" s="75">
        <v>5773.5</v>
      </c>
      <c r="L2522" s="75">
        <v>2.1536E-2</v>
      </c>
      <c r="M2522" s="75">
        <v>5773.5</v>
      </c>
      <c r="N2522" s="75">
        <v>2.0587999999999999E-2</v>
      </c>
      <c r="O2522" s="90" t="str">
        <f>IF(VLOOKUP(UncLookup[[#This Row],[Item]],Items!$A$1:$F$43,2,FALSE)=0,"",VLOOKUP(UncLookup[[#This Row],[Item]],Items!$A$1:$F$43,2,FALSE))</f>
        <v/>
      </c>
      <c r="P2522" s="90" t="str">
        <f>IF(VLOOKUP(UncLookup[[#This Row],[Item]],Items!$A$1:$F$43,3,FALSE)=0,"",VLOOKUP(UncLookup[[#This Row],[Item]],Items!$A$1:$F$43,3,FALSE))</f>
        <v>50 turn</v>
      </c>
      <c r="Q2522" s="90" t="str">
        <f>IF(VLOOKUP(UncLookup[[#This Row],[Item]],Items!$A$1:$F$43,4,FALSE)=0,"",VLOOKUP(UncLookup[[#This Row],[Item]],Items!$A$1:$F$43,4,FALSE))</f>
        <v/>
      </c>
    </row>
    <row r="2523" spans="1:17" x14ac:dyDescent="0.25">
      <c r="A2523" s="76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90" t="str">
        <f>IF(VLOOKUP(UncLookup[[#This Row],[Item]],Items!$A$1:$F$43,2,FALSE)=0,"",VLOOKUP(UncLookup[[#This Row],[Item]],Items!$A$1:$F$43,2,FALSE))</f>
        <v/>
      </c>
      <c r="P2523" s="90" t="str">
        <f>IF(VLOOKUP(UncLookup[[#This Row],[Item]],Items!$A$1:$F$43,3,FALSE)=0,"",VLOOKUP(UncLookup[[#This Row],[Item]],Items!$A$1:$F$43,3,FALSE))</f>
        <v>50 turn</v>
      </c>
      <c r="Q2523" s="90" t="str">
        <f>IF(VLOOKUP(UncLookup[[#This Row],[Item]],Items!$A$1:$F$43,4,FALSE)=0,"",VLOOKUP(UncLookup[[#This Row],[Item]],Items!$A$1:$F$43,4,FALSE))</f>
        <v/>
      </c>
    </row>
    <row r="2524" spans="1:17" x14ac:dyDescent="0.25">
      <c r="A2524" s="75" t="s">
        <v>70</v>
      </c>
      <c r="B2524" s="75" t="s">
        <v>61</v>
      </c>
      <c r="C2524" s="75">
        <v>50</v>
      </c>
      <c r="D2524" s="75">
        <v>510</v>
      </c>
      <c r="E2524" s="75">
        <v>0.01</v>
      </c>
      <c r="F2524" s="75" t="s">
        <v>13</v>
      </c>
      <c r="G2524" s="75" t="s">
        <v>12</v>
      </c>
      <c r="H2524" s="75">
        <v>0</v>
      </c>
      <c r="I2524" s="75">
        <v>0</v>
      </c>
      <c r="J2524" s="75"/>
      <c r="K2524" s="75">
        <v>80</v>
      </c>
      <c r="L2524" s="75">
        <v>2.0085999999999999</v>
      </c>
      <c r="M2524" s="75">
        <v>75.317999999999998</v>
      </c>
      <c r="N2524" s="75">
        <v>2.0087000000000002</v>
      </c>
      <c r="O2524" s="90" t="str">
        <f>IF(VLOOKUP(UncLookup[[#This Row],[Item]],Items!$A$1:$F$43,2,FALSE)=0,"",VLOOKUP(UncLookup[[#This Row],[Item]],Items!$A$1:$F$43,2,FALSE))</f>
        <v/>
      </c>
      <c r="P2524" s="90" t="str">
        <f>IF(VLOOKUP(UncLookup[[#This Row],[Item]],Items!$A$1:$F$43,3,FALSE)=0,"",VLOOKUP(UncLookup[[#This Row],[Item]],Items!$A$1:$F$43,3,FALSE))</f>
        <v>50 turn</v>
      </c>
      <c r="Q2524" s="90" t="str">
        <f>IF(VLOOKUP(UncLookup[[#This Row],[Item]],Items!$A$1:$F$43,4,FALSE)=0,"",VLOOKUP(UncLookup[[#This Row],[Item]],Items!$A$1:$F$43,4,FALSE))</f>
        <v/>
      </c>
    </row>
    <row r="2525" spans="1:17" x14ac:dyDescent="0.25">
      <c r="A2525" s="76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90" t="str">
        <f>IF(VLOOKUP(UncLookup[[#This Row],[Item]],Items!$A$1:$F$43,2,FALSE)=0,"",VLOOKUP(UncLookup[[#This Row],[Item]],Items!$A$1:$F$43,2,FALSE))</f>
        <v/>
      </c>
      <c r="P2525" s="90" t="str">
        <f>IF(VLOOKUP(UncLookup[[#This Row],[Item]],Items!$A$1:$F$43,3,FALSE)=0,"",VLOOKUP(UncLookup[[#This Row],[Item]],Items!$A$1:$F$43,3,FALSE))</f>
        <v>50 turn</v>
      </c>
      <c r="Q2525" s="90" t="str">
        <f>IF(VLOOKUP(UncLookup[[#This Row],[Item]],Items!$A$1:$F$43,4,FALSE)=0,"",VLOOKUP(UncLookup[[#This Row],[Item]],Items!$A$1:$F$43,4,FALSE))</f>
        <v/>
      </c>
    </row>
    <row r="2526" spans="1:17" x14ac:dyDescent="0.25">
      <c r="A2526" s="75" t="s">
        <v>70</v>
      </c>
      <c r="B2526" s="75" t="s">
        <v>61</v>
      </c>
      <c r="C2526" s="75">
        <v>50</v>
      </c>
      <c r="D2526" s="75">
        <v>510</v>
      </c>
      <c r="E2526" s="75">
        <v>1</v>
      </c>
      <c r="F2526" s="75" t="s">
        <v>13</v>
      </c>
      <c r="G2526" s="75" t="s">
        <v>12</v>
      </c>
      <c r="H2526" s="75">
        <v>0</v>
      </c>
      <c r="I2526" s="75">
        <v>0</v>
      </c>
      <c r="J2526" s="75"/>
      <c r="K2526" s="75">
        <v>534.37</v>
      </c>
      <c r="L2526" s="75">
        <v>1.3886000000000001</v>
      </c>
      <c r="M2526" s="75">
        <v>534.07000000000005</v>
      </c>
      <c r="N2526" s="75">
        <v>1.3883000000000001</v>
      </c>
      <c r="O2526" s="90" t="str">
        <f>IF(VLOOKUP(UncLookup[[#This Row],[Item]],Items!$A$1:$F$43,2,FALSE)=0,"",VLOOKUP(UncLookup[[#This Row],[Item]],Items!$A$1:$F$43,2,FALSE))</f>
        <v/>
      </c>
      <c r="P2526" s="90" t="str">
        <f>IF(VLOOKUP(UncLookup[[#This Row],[Item]],Items!$A$1:$F$43,3,FALSE)=0,"",VLOOKUP(UncLookup[[#This Row],[Item]],Items!$A$1:$F$43,3,FALSE))</f>
        <v>50 turn</v>
      </c>
      <c r="Q2526" s="90" t="str">
        <f>IF(VLOOKUP(UncLookup[[#This Row],[Item]],Items!$A$1:$F$43,4,FALSE)=0,"",VLOOKUP(UncLookup[[#This Row],[Item]],Items!$A$1:$F$43,4,FALSE))</f>
        <v/>
      </c>
    </row>
    <row r="2527" spans="1:17" x14ac:dyDescent="0.25">
      <c r="A2527" s="76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90" t="str">
        <f>IF(VLOOKUP(UncLookup[[#This Row],[Item]],Items!$A$1:$F$43,2,FALSE)=0,"",VLOOKUP(UncLookup[[#This Row],[Item]],Items!$A$1:$F$43,2,FALSE))</f>
        <v/>
      </c>
      <c r="P2527" s="90" t="str">
        <f>IF(VLOOKUP(UncLookup[[#This Row],[Item]],Items!$A$1:$F$43,3,FALSE)=0,"",VLOOKUP(UncLookup[[#This Row],[Item]],Items!$A$1:$F$43,3,FALSE))</f>
        <v>50 turn</v>
      </c>
      <c r="Q2527" s="90" t="str">
        <f>IF(VLOOKUP(UncLookup[[#This Row],[Item]],Items!$A$1:$F$43,4,FALSE)=0,"",VLOOKUP(UncLookup[[#This Row],[Item]],Items!$A$1:$F$43,4,FALSE))</f>
        <v/>
      </c>
    </row>
    <row r="2528" spans="1:17" x14ac:dyDescent="0.25">
      <c r="A2528" s="75" t="s">
        <v>70</v>
      </c>
      <c r="B2528" s="75" t="s">
        <v>60</v>
      </c>
      <c r="C2528" s="75">
        <v>20</v>
      </c>
      <c r="D2528" s="75">
        <v>204</v>
      </c>
      <c r="E2528" s="75">
        <v>1E-3</v>
      </c>
      <c r="F2528" s="75" t="s">
        <v>13</v>
      </c>
      <c r="G2528" s="75" t="s">
        <v>12</v>
      </c>
      <c r="H2528" s="75">
        <v>0</v>
      </c>
      <c r="I2528" s="75">
        <v>0</v>
      </c>
      <c r="J2528" s="75"/>
      <c r="K2528" s="75">
        <v>32</v>
      </c>
      <c r="L2528" s="75">
        <v>2</v>
      </c>
      <c r="M2528" s="75">
        <v>30.087</v>
      </c>
      <c r="N2528" s="75">
        <v>2.0089000000000001</v>
      </c>
      <c r="O2528" s="90" t="str">
        <f>IF(VLOOKUP(UncLookup[[#This Row],[Item]],Items!$A$1:$F$43,2,FALSE)=0,"",VLOOKUP(UncLookup[[#This Row],[Item]],Items!$A$1:$F$43,2,FALSE))</f>
        <v/>
      </c>
      <c r="P2528" s="90" t="str">
        <f>IF(VLOOKUP(UncLookup[[#This Row],[Item]],Items!$A$1:$F$43,3,FALSE)=0,"",VLOOKUP(UncLookup[[#This Row],[Item]],Items!$A$1:$F$43,3,FALSE))</f>
        <v>20 turn</v>
      </c>
      <c r="Q2528" s="90" t="str">
        <f>IF(VLOOKUP(UncLookup[[#This Row],[Item]],Items!$A$1:$F$43,4,FALSE)=0,"",VLOOKUP(UncLookup[[#This Row],[Item]],Items!$A$1:$F$43,4,FALSE))</f>
        <v/>
      </c>
    </row>
    <row r="2529" spans="1:17" x14ac:dyDescent="0.25">
      <c r="A2529" s="76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90" t="str">
        <f>IF(VLOOKUP(UncLookup[[#This Row],[Item]],Items!$A$1:$F$43,2,FALSE)=0,"",VLOOKUP(UncLookup[[#This Row],[Item]],Items!$A$1:$F$43,2,FALSE))</f>
        <v/>
      </c>
      <c r="P2529" s="90" t="str">
        <f>IF(VLOOKUP(UncLookup[[#This Row],[Item]],Items!$A$1:$F$43,3,FALSE)=0,"",VLOOKUP(UncLookup[[#This Row],[Item]],Items!$A$1:$F$43,3,FALSE))</f>
        <v>20 turn</v>
      </c>
      <c r="Q2529" s="90" t="str">
        <f>IF(VLOOKUP(UncLookup[[#This Row],[Item]],Items!$A$1:$F$43,4,FALSE)=0,"",VLOOKUP(UncLookup[[#This Row],[Item]],Items!$A$1:$F$43,4,FALSE))</f>
        <v/>
      </c>
    </row>
    <row r="2530" spans="1:17" x14ac:dyDescent="0.25">
      <c r="A2530" s="75" t="s">
        <v>70</v>
      </c>
      <c r="B2530" s="75" t="s">
        <v>60</v>
      </c>
      <c r="C2530" s="75">
        <v>20</v>
      </c>
      <c r="D2530" s="75">
        <v>204</v>
      </c>
      <c r="E2530" s="75">
        <v>0.1</v>
      </c>
      <c r="F2530" s="75" t="s">
        <v>13</v>
      </c>
      <c r="G2530" s="75" t="s">
        <v>12</v>
      </c>
      <c r="H2530" s="75">
        <v>0</v>
      </c>
      <c r="I2530" s="75">
        <v>0</v>
      </c>
      <c r="J2530" s="75"/>
      <c r="K2530" s="75">
        <v>52.695</v>
      </c>
      <c r="L2530" s="75">
        <v>1.9168000000000001</v>
      </c>
      <c r="M2530" s="75">
        <v>52.600999999999999</v>
      </c>
      <c r="N2530" s="75">
        <v>1.917</v>
      </c>
      <c r="O2530" s="90" t="str">
        <f>IF(VLOOKUP(UncLookup[[#This Row],[Item]],Items!$A$1:$F$43,2,FALSE)=0,"",VLOOKUP(UncLookup[[#This Row],[Item]],Items!$A$1:$F$43,2,FALSE))</f>
        <v/>
      </c>
      <c r="P2530" s="90" t="str">
        <f>IF(VLOOKUP(UncLookup[[#This Row],[Item]],Items!$A$1:$F$43,3,FALSE)=0,"",VLOOKUP(UncLookup[[#This Row],[Item]],Items!$A$1:$F$43,3,FALSE))</f>
        <v>20 turn</v>
      </c>
      <c r="Q2530" s="90" t="str">
        <f>IF(VLOOKUP(UncLookup[[#This Row],[Item]],Items!$A$1:$F$43,4,FALSE)=0,"",VLOOKUP(UncLookup[[#This Row],[Item]],Items!$A$1:$F$43,4,FALSE))</f>
        <v/>
      </c>
    </row>
    <row r="2531" spans="1:17" x14ac:dyDescent="0.25">
      <c r="A2531" s="76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90" t="str">
        <f>IF(VLOOKUP(UncLookup[[#This Row],[Item]],Items!$A$1:$F$43,2,FALSE)=0,"",VLOOKUP(UncLookup[[#This Row],[Item]],Items!$A$1:$F$43,2,FALSE))</f>
        <v/>
      </c>
      <c r="P2531" s="90" t="str">
        <f>IF(VLOOKUP(UncLookup[[#This Row],[Item]],Items!$A$1:$F$43,3,FALSE)=0,"",VLOOKUP(UncLookup[[#This Row],[Item]],Items!$A$1:$F$43,3,FALSE))</f>
        <v>20 turn</v>
      </c>
      <c r="Q2531" s="90" t="str">
        <f>IF(VLOOKUP(UncLookup[[#This Row],[Item]],Items!$A$1:$F$43,4,FALSE)=0,"",VLOOKUP(UncLookup[[#This Row],[Item]],Items!$A$1:$F$43,4,FALSE))</f>
        <v/>
      </c>
    </row>
    <row r="2532" spans="1:17" x14ac:dyDescent="0.25">
      <c r="A2532" s="75" t="s">
        <v>70</v>
      </c>
      <c r="B2532" s="75" t="s">
        <v>60</v>
      </c>
      <c r="C2532" s="75">
        <v>20</v>
      </c>
      <c r="D2532" s="75">
        <v>204</v>
      </c>
      <c r="E2532" s="75">
        <v>10</v>
      </c>
      <c r="F2532" s="75" t="s">
        <v>13</v>
      </c>
      <c r="G2532" s="75" t="s">
        <v>12</v>
      </c>
      <c r="H2532" s="75">
        <v>0</v>
      </c>
      <c r="I2532" s="75">
        <v>0</v>
      </c>
      <c r="J2532" s="75"/>
      <c r="K2532" s="75">
        <v>5772.2</v>
      </c>
      <c r="L2532" s="75">
        <v>8.8858000000000006E-2</v>
      </c>
      <c r="M2532" s="75">
        <v>5772.2</v>
      </c>
      <c r="N2532" s="75">
        <v>8.8622999999999993E-2</v>
      </c>
      <c r="O2532" s="90" t="str">
        <f>IF(VLOOKUP(UncLookup[[#This Row],[Item]],Items!$A$1:$F$43,2,FALSE)=0,"",VLOOKUP(UncLookup[[#This Row],[Item]],Items!$A$1:$F$43,2,FALSE))</f>
        <v/>
      </c>
      <c r="P2532" s="90" t="str">
        <f>IF(VLOOKUP(UncLookup[[#This Row],[Item]],Items!$A$1:$F$43,3,FALSE)=0,"",VLOOKUP(UncLookup[[#This Row],[Item]],Items!$A$1:$F$43,3,FALSE))</f>
        <v>20 turn</v>
      </c>
      <c r="Q2532" s="90" t="str">
        <f>IF(VLOOKUP(UncLookup[[#This Row],[Item]],Items!$A$1:$F$43,4,FALSE)=0,"",VLOOKUP(UncLookup[[#This Row],[Item]],Items!$A$1:$F$43,4,FALSE))</f>
        <v/>
      </c>
    </row>
    <row r="2533" spans="1:17" x14ac:dyDescent="0.25">
      <c r="A2533" s="76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90" t="str">
        <f>IF(VLOOKUP(UncLookup[[#This Row],[Item]],Items!$A$1:$F$43,2,FALSE)=0,"",VLOOKUP(UncLookup[[#This Row],[Item]],Items!$A$1:$F$43,2,FALSE))</f>
        <v/>
      </c>
      <c r="P2533" s="90" t="str">
        <f>IF(VLOOKUP(UncLookup[[#This Row],[Item]],Items!$A$1:$F$43,3,FALSE)=0,"",VLOOKUP(UncLookup[[#This Row],[Item]],Items!$A$1:$F$43,3,FALSE))</f>
        <v>10 turn</v>
      </c>
      <c r="Q2533" s="90" t="str">
        <f>IF(VLOOKUP(UncLookup[[#This Row],[Item]],Items!$A$1:$F$43,4,FALSE)=0,"",VLOOKUP(UncLookup[[#This Row],[Item]],Items!$A$1:$F$43,4,FALSE))</f>
        <v/>
      </c>
    </row>
    <row r="2534" spans="1:17" x14ac:dyDescent="0.25">
      <c r="A2534" s="75" t="s">
        <v>70</v>
      </c>
      <c r="B2534" s="75" t="s">
        <v>59</v>
      </c>
      <c r="C2534" s="75">
        <v>10</v>
      </c>
      <c r="D2534" s="75">
        <v>102</v>
      </c>
      <c r="E2534" s="75">
        <v>1E-3</v>
      </c>
      <c r="F2534" s="75" t="s">
        <v>13</v>
      </c>
      <c r="G2534" s="75" t="s">
        <v>12</v>
      </c>
      <c r="H2534" s="75">
        <v>0</v>
      </c>
      <c r="I2534" s="75">
        <v>0</v>
      </c>
      <c r="J2534" s="75"/>
      <c r="K2534" s="75">
        <v>16</v>
      </c>
      <c r="L2534" s="75">
        <v>2.0045000000000002</v>
      </c>
      <c r="M2534" s="75">
        <v>15.566000000000001</v>
      </c>
      <c r="N2534" s="75">
        <v>2.0045000000000002</v>
      </c>
      <c r="O2534" s="90" t="str">
        <f>IF(VLOOKUP(UncLookup[[#This Row],[Item]],Items!$A$1:$F$43,2,FALSE)=0,"",VLOOKUP(UncLookup[[#This Row],[Item]],Items!$A$1:$F$43,2,FALSE))</f>
        <v/>
      </c>
      <c r="P2534" s="90" t="str">
        <f>IF(VLOOKUP(UncLookup[[#This Row],[Item]],Items!$A$1:$F$43,3,FALSE)=0,"",VLOOKUP(UncLookup[[#This Row],[Item]],Items!$A$1:$F$43,3,FALSE))</f>
        <v>10 turn</v>
      </c>
      <c r="Q2534" s="90" t="str">
        <f>IF(VLOOKUP(UncLookup[[#This Row],[Item]],Items!$A$1:$F$43,4,FALSE)=0,"",VLOOKUP(UncLookup[[#This Row],[Item]],Items!$A$1:$F$43,4,FALSE))</f>
        <v/>
      </c>
    </row>
    <row r="2535" spans="1:17" x14ac:dyDescent="0.25">
      <c r="A2535" s="76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90" t="str">
        <f>IF(VLOOKUP(UncLookup[[#This Row],[Item]],Items!$A$1:$F$43,2,FALSE)=0,"",VLOOKUP(UncLookup[[#This Row],[Item]],Items!$A$1:$F$43,2,FALSE))</f>
        <v/>
      </c>
      <c r="P2535" s="90" t="str">
        <f>IF(VLOOKUP(UncLookup[[#This Row],[Item]],Items!$A$1:$F$43,3,FALSE)=0,"",VLOOKUP(UncLookup[[#This Row],[Item]],Items!$A$1:$F$43,3,FALSE))</f>
        <v>10 turn</v>
      </c>
      <c r="Q2535" s="90" t="str">
        <f>IF(VLOOKUP(UncLookup[[#This Row],[Item]],Items!$A$1:$F$43,4,FALSE)=0,"",VLOOKUP(UncLookup[[#This Row],[Item]],Items!$A$1:$F$43,4,FALSE))</f>
        <v/>
      </c>
    </row>
    <row r="2536" spans="1:17" x14ac:dyDescent="0.25">
      <c r="A2536" s="75" t="s">
        <v>70</v>
      </c>
      <c r="B2536" s="75" t="s">
        <v>59</v>
      </c>
      <c r="C2536" s="75">
        <v>10</v>
      </c>
      <c r="D2536" s="75">
        <v>102</v>
      </c>
      <c r="E2536" s="75">
        <v>0.1</v>
      </c>
      <c r="F2536" s="75" t="s">
        <v>13</v>
      </c>
      <c r="G2536" s="75" t="s">
        <v>12</v>
      </c>
      <c r="H2536" s="75">
        <v>0</v>
      </c>
      <c r="I2536" s="75">
        <v>0</v>
      </c>
      <c r="J2536" s="75"/>
      <c r="K2536" s="75">
        <v>574.15</v>
      </c>
      <c r="L2536" s="75">
        <v>0.42863000000000001</v>
      </c>
      <c r="M2536" s="75">
        <v>574.14</v>
      </c>
      <c r="N2536" s="75">
        <v>0.42836000000000002</v>
      </c>
      <c r="O2536" s="90" t="str">
        <f>IF(VLOOKUP(UncLookup[[#This Row],[Item]],Items!$A$1:$F$43,2,FALSE)=0,"",VLOOKUP(UncLookup[[#This Row],[Item]],Items!$A$1:$F$43,2,FALSE))</f>
        <v/>
      </c>
      <c r="P2536" s="90" t="str">
        <f>IF(VLOOKUP(UncLookup[[#This Row],[Item]],Items!$A$1:$F$43,3,FALSE)=0,"",VLOOKUP(UncLookup[[#This Row],[Item]],Items!$A$1:$F$43,3,FALSE))</f>
        <v>10 turn</v>
      </c>
      <c r="Q2536" s="90" t="str">
        <f>IF(VLOOKUP(UncLookup[[#This Row],[Item]],Items!$A$1:$F$43,4,FALSE)=0,"",VLOOKUP(UncLookup[[#This Row],[Item]],Items!$A$1:$F$43,4,FALSE))</f>
        <v/>
      </c>
    </row>
    <row r="2537" spans="1:17" x14ac:dyDescent="0.25">
      <c r="A2537" s="76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90" t="str">
        <f>IF(VLOOKUP(UncLookup[[#This Row],[Item]],Items!$A$1:$F$43,2,FALSE)=0,"",VLOOKUP(UncLookup[[#This Row],[Item]],Items!$A$1:$F$43,2,FALSE))</f>
        <v/>
      </c>
      <c r="P2537" s="90" t="str">
        <f>IF(VLOOKUP(UncLookup[[#This Row],[Item]],Items!$A$1:$F$43,3,FALSE)=0,"",VLOOKUP(UncLookup[[#This Row],[Item]],Items!$A$1:$F$43,3,FALSE))</f>
        <v>10 turn</v>
      </c>
      <c r="Q2537" s="90" t="str">
        <f>IF(VLOOKUP(UncLookup[[#This Row],[Item]],Items!$A$1:$F$43,4,FALSE)=0,"",VLOOKUP(UncLookup[[#This Row],[Item]],Items!$A$1:$F$43,4,FALSE))</f>
        <v/>
      </c>
    </row>
    <row r="2538" spans="1:17" x14ac:dyDescent="0.25">
      <c r="A2538" s="75" t="s">
        <v>70</v>
      </c>
      <c r="B2538" s="75" t="s">
        <v>59</v>
      </c>
      <c r="C2538" s="75">
        <v>10</v>
      </c>
      <c r="D2538" s="75">
        <v>102</v>
      </c>
      <c r="E2538" s="75">
        <v>10</v>
      </c>
      <c r="F2538" s="75" t="s">
        <v>13</v>
      </c>
      <c r="G2538" s="75" t="s">
        <v>12</v>
      </c>
      <c r="H2538" s="75">
        <v>0</v>
      </c>
      <c r="I2538" s="75">
        <v>0</v>
      </c>
      <c r="J2538" s="75"/>
      <c r="K2538" s="75">
        <v>57735</v>
      </c>
      <c r="L2538" s="75">
        <v>4.4850999999999997E-3</v>
      </c>
      <c r="M2538" s="75">
        <v>57735</v>
      </c>
      <c r="N2538" s="75">
        <v>4.4377000000000002E-3</v>
      </c>
      <c r="O2538" s="90" t="str">
        <f>IF(VLOOKUP(UncLookup[[#This Row],[Item]],Items!$A$1:$F$43,2,FALSE)=0,"",VLOOKUP(UncLookup[[#This Row],[Item]],Items!$A$1:$F$43,2,FALSE))</f>
        <v/>
      </c>
      <c r="P2538" s="90" t="str">
        <f>IF(VLOOKUP(UncLookup[[#This Row],[Item]],Items!$A$1:$F$43,3,FALSE)=0,"",VLOOKUP(UncLookup[[#This Row],[Item]],Items!$A$1:$F$43,3,FALSE))</f>
        <v>10 turn</v>
      </c>
      <c r="Q2538" s="90" t="str">
        <f>IF(VLOOKUP(UncLookup[[#This Row],[Item]],Items!$A$1:$F$43,4,FALSE)=0,"",VLOOKUP(UncLookup[[#This Row],[Item]],Items!$A$1:$F$43,4,FALSE))</f>
        <v/>
      </c>
    </row>
    <row r="2539" spans="1:17" x14ac:dyDescent="0.25">
      <c r="A2539" s="76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90" t="str">
        <f>IF(VLOOKUP(UncLookup[[#This Row],[Item]],Items!$A$1:$F$43,2,FALSE)=0,"",VLOOKUP(UncLookup[[#This Row],[Item]],Items!$A$1:$F$43,2,FALSE))</f>
        <v/>
      </c>
      <c r="P2539" s="90" t="str">
        <f>IF(VLOOKUP(UncLookup[[#This Row],[Item]],Items!$A$1:$F$43,3,FALSE)=0,"",VLOOKUP(UncLookup[[#This Row],[Item]],Items!$A$1:$F$43,3,FALSE))</f>
        <v/>
      </c>
      <c r="Q2539" s="90" t="str">
        <f>IF(VLOOKUP(UncLookup[[#This Row],[Item]],Items!$A$1:$F$43,4,FALSE)=0,"",VLOOKUP(UncLookup[[#This Row],[Item]],Items!$A$1:$F$43,4,FALSE))</f>
        <v/>
      </c>
    </row>
    <row r="2540" spans="1:17" x14ac:dyDescent="0.25">
      <c r="A2540" s="75" t="s">
        <v>70</v>
      </c>
      <c r="B2540" s="75" t="s">
        <v>46</v>
      </c>
      <c r="C2540" s="75">
        <v>0</v>
      </c>
      <c r="D2540" s="75">
        <v>1E-4</v>
      </c>
      <c r="E2540" s="75">
        <v>1E-8</v>
      </c>
      <c r="F2540" s="75" t="s">
        <v>13</v>
      </c>
      <c r="G2540" s="75" t="s">
        <v>72</v>
      </c>
      <c r="H2540" s="75">
        <v>0</v>
      </c>
      <c r="I2540" s="75">
        <v>0</v>
      </c>
      <c r="J2540" s="75"/>
      <c r="K2540" s="75">
        <v>35.368000000000002</v>
      </c>
      <c r="L2540" s="75">
        <v>346810</v>
      </c>
      <c r="M2540" s="75">
        <v>35.366</v>
      </c>
      <c r="N2540" s="75">
        <v>346810</v>
      </c>
      <c r="O2540" s="90" t="str">
        <f>IF(VLOOKUP(UncLookup[[#This Row],[Item]],Items!$A$1:$F$43,2,FALSE)=0,"",VLOOKUP(UncLookup[[#This Row],[Item]],Items!$A$1:$F$43,2,FALSE))</f>
        <v/>
      </c>
      <c r="P2540" s="90" t="str">
        <f>IF(VLOOKUP(UncLookup[[#This Row],[Item]],Items!$A$1:$F$43,3,FALSE)=0,"",VLOOKUP(UncLookup[[#This Row],[Item]],Items!$A$1:$F$43,3,FALSE))</f>
        <v/>
      </c>
      <c r="Q2540" s="90" t="str">
        <f>IF(VLOOKUP(UncLookup[[#This Row],[Item]],Items!$A$1:$F$43,4,FALSE)=0,"",VLOOKUP(UncLookup[[#This Row],[Item]],Items!$A$1:$F$43,4,FALSE))</f>
        <v/>
      </c>
    </row>
    <row r="2541" spans="1:17" x14ac:dyDescent="0.25">
      <c r="A2541" s="76" t="s">
        <v>70</v>
      </c>
      <c r="B2541" s="76" t="s">
        <v>46</v>
      </c>
      <c r="C2541" s="76">
        <v>0</v>
      </c>
      <c r="D2541" s="76">
        <v>1E-4</v>
      </c>
      <c r="E2541" s="77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90" t="str">
        <f>IF(VLOOKUP(UncLookup[[#This Row],[Item]],Items!$A$1:$F$43,2,FALSE)=0,"",VLOOKUP(UncLookup[[#This Row],[Item]],Items!$A$1:$F$43,2,FALSE))</f>
        <v/>
      </c>
      <c r="P2541" s="90" t="str">
        <f>IF(VLOOKUP(UncLookup[[#This Row],[Item]],Items!$A$1:$F$43,3,FALSE)=0,"",VLOOKUP(UncLookup[[#This Row],[Item]],Items!$A$1:$F$43,3,FALSE))</f>
        <v/>
      </c>
      <c r="Q2541" s="90" t="str">
        <f>IF(VLOOKUP(UncLookup[[#This Row],[Item]],Items!$A$1:$F$43,4,FALSE)=0,"",VLOOKUP(UncLookup[[#This Row],[Item]],Items!$A$1:$F$43,4,FALSE))</f>
        <v/>
      </c>
    </row>
    <row r="2542" spans="1:17" x14ac:dyDescent="0.25">
      <c r="A2542" s="75" t="s">
        <v>70</v>
      </c>
      <c r="B2542" s="75" t="s">
        <v>46</v>
      </c>
      <c r="C2542" s="75">
        <v>0</v>
      </c>
      <c r="D2542" s="75">
        <v>1E-4</v>
      </c>
      <c r="E2542" s="78">
        <v>9.9999999999999995E-7</v>
      </c>
      <c r="F2542" s="75" t="s">
        <v>13</v>
      </c>
      <c r="G2542" s="75" t="s">
        <v>72</v>
      </c>
      <c r="H2542" s="75">
        <v>0</v>
      </c>
      <c r="I2542" s="75">
        <v>0</v>
      </c>
      <c r="J2542" s="75"/>
      <c r="K2542" s="75">
        <v>578.4</v>
      </c>
      <c r="L2542" s="75">
        <v>31405</v>
      </c>
      <c r="M2542" s="75">
        <v>578.39</v>
      </c>
      <c r="N2542" s="75">
        <v>31376</v>
      </c>
      <c r="O2542" s="90" t="str">
        <f>IF(VLOOKUP(UncLookup[[#This Row],[Item]],Items!$A$1:$F$43,2,FALSE)=0,"",VLOOKUP(UncLookup[[#This Row],[Item]],Items!$A$1:$F$43,2,FALSE))</f>
        <v/>
      </c>
      <c r="P2542" s="90" t="str">
        <f>IF(VLOOKUP(UncLookup[[#This Row],[Item]],Items!$A$1:$F$43,3,FALSE)=0,"",VLOOKUP(UncLookup[[#This Row],[Item]],Items!$A$1:$F$43,3,FALSE))</f>
        <v/>
      </c>
      <c r="Q2542" s="90" t="str">
        <f>IF(VLOOKUP(UncLookup[[#This Row],[Item]],Items!$A$1:$F$43,4,FALSE)=0,"",VLOOKUP(UncLookup[[#This Row],[Item]],Items!$A$1:$F$43,4,FALSE))</f>
        <v/>
      </c>
    </row>
    <row r="2543" spans="1:17" x14ac:dyDescent="0.25">
      <c r="A2543" s="76" t="s">
        <v>70</v>
      </c>
      <c r="B2543" s="76" t="s">
        <v>46</v>
      </c>
      <c r="C2543" s="76">
        <v>0</v>
      </c>
      <c r="D2543" s="76">
        <v>1E-4</v>
      </c>
      <c r="E2543" s="7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90" t="str">
        <f>IF(VLOOKUP(UncLookup[[#This Row],[Item]],Items!$A$1:$F$43,2,FALSE)=0,"",VLOOKUP(UncLookup[[#This Row],[Item]],Items!$A$1:$F$43,2,FALSE))</f>
        <v/>
      </c>
      <c r="P2543" s="90" t="str">
        <f>IF(VLOOKUP(UncLookup[[#This Row],[Item]],Items!$A$1:$F$43,3,FALSE)=0,"",VLOOKUP(UncLookup[[#This Row],[Item]],Items!$A$1:$F$43,3,FALSE))</f>
        <v/>
      </c>
      <c r="Q2543" s="90" t="str">
        <f>IF(VLOOKUP(UncLookup[[#This Row],[Item]],Items!$A$1:$F$43,4,FALSE)=0,"",VLOOKUP(UncLookup[[#This Row],[Item]],Items!$A$1:$F$43,4,FALSE))</f>
        <v/>
      </c>
    </row>
    <row r="2544" spans="1:17" x14ac:dyDescent="0.25">
      <c r="A2544" s="75" t="s">
        <v>70</v>
      </c>
      <c r="B2544" s="75" t="s">
        <v>46</v>
      </c>
      <c r="C2544" s="75">
        <v>1E-4</v>
      </c>
      <c r="D2544" s="75">
        <v>1E-3</v>
      </c>
      <c r="E2544" s="75">
        <v>1E-8</v>
      </c>
      <c r="F2544" s="75" t="s">
        <v>13</v>
      </c>
      <c r="G2544" s="75" t="s">
        <v>72</v>
      </c>
      <c r="H2544" s="75">
        <v>0</v>
      </c>
      <c r="I2544" s="75">
        <v>0</v>
      </c>
      <c r="J2544" s="75"/>
      <c r="K2544" s="75">
        <v>120</v>
      </c>
      <c r="L2544" s="75">
        <v>350000</v>
      </c>
      <c r="M2544" s="75">
        <v>115.86</v>
      </c>
      <c r="N2544" s="75">
        <v>347000</v>
      </c>
      <c r="O2544" s="90" t="str">
        <f>IF(VLOOKUP(UncLookup[[#This Row],[Item]],Items!$A$1:$F$43,2,FALSE)=0,"",VLOOKUP(UncLookup[[#This Row],[Item]],Items!$A$1:$F$43,2,FALSE))</f>
        <v/>
      </c>
      <c r="P2544" s="90" t="str">
        <f>IF(VLOOKUP(UncLookup[[#This Row],[Item]],Items!$A$1:$F$43,3,FALSE)=0,"",VLOOKUP(UncLookup[[#This Row],[Item]],Items!$A$1:$F$43,3,FALSE))</f>
        <v/>
      </c>
      <c r="Q2544" s="90" t="str">
        <f>IF(VLOOKUP(UncLookup[[#This Row],[Item]],Items!$A$1:$F$43,4,FALSE)=0,"",VLOOKUP(UncLookup[[#This Row],[Item]],Items!$A$1:$F$43,4,FALSE))</f>
        <v/>
      </c>
    </row>
    <row r="2545" spans="1:17" x14ac:dyDescent="0.25">
      <c r="A2545" s="76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90" t="str">
        <f>IF(VLOOKUP(UncLookup[[#This Row],[Item]],Items!$A$1:$F$43,2,FALSE)=0,"",VLOOKUP(UncLookup[[#This Row],[Item]],Items!$A$1:$F$43,2,FALSE))</f>
        <v/>
      </c>
      <c r="P2545" s="90" t="str">
        <f>IF(VLOOKUP(UncLookup[[#This Row],[Item]],Items!$A$1:$F$43,3,FALSE)=0,"",VLOOKUP(UncLookup[[#This Row],[Item]],Items!$A$1:$F$43,3,FALSE))</f>
        <v/>
      </c>
      <c r="Q2545" s="90" t="str">
        <f>IF(VLOOKUP(UncLookup[[#This Row],[Item]],Items!$A$1:$F$43,4,FALSE)=0,"",VLOOKUP(UncLookup[[#This Row],[Item]],Items!$A$1:$F$43,4,FALSE))</f>
        <v/>
      </c>
    </row>
    <row r="2546" spans="1:17" x14ac:dyDescent="0.25">
      <c r="A2546" s="75" t="s">
        <v>70</v>
      </c>
      <c r="B2546" s="75" t="s">
        <v>46</v>
      </c>
      <c r="C2546" s="75">
        <v>1E-4</v>
      </c>
      <c r="D2546" s="75">
        <v>1E-3</v>
      </c>
      <c r="E2546" s="78">
        <v>9.9999999999999995E-7</v>
      </c>
      <c r="F2546" s="75" t="s">
        <v>13</v>
      </c>
      <c r="G2546" s="75" t="s">
        <v>72</v>
      </c>
      <c r="H2546" s="75">
        <v>0</v>
      </c>
      <c r="I2546" s="75">
        <v>0</v>
      </c>
      <c r="J2546" s="75"/>
      <c r="K2546" s="75">
        <v>580.76</v>
      </c>
      <c r="L2546" s="75">
        <v>159300</v>
      </c>
      <c r="M2546" s="75">
        <v>580.72</v>
      </c>
      <c r="N2546" s="75">
        <v>159250</v>
      </c>
      <c r="O2546" s="90" t="str">
        <f>IF(VLOOKUP(UncLookup[[#This Row],[Item]],Items!$A$1:$F$43,2,FALSE)=0,"",VLOOKUP(UncLookup[[#This Row],[Item]],Items!$A$1:$F$43,2,FALSE))</f>
        <v/>
      </c>
      <c r="P2546" s="90" t="str">
        <f>IF(VLOOKUP(UncLookup[[#This Row],[Item]],Items!$A$1:$F$43,3,FALSE)=0,"",VLOOKUP(UncLookup[[#This Row],[Item]],Items!$A$1:$F$43,3,FALSE))</f>
        <v/>
      </c>
      <c r="Q2546" s="90" t="str">
        <f>IF(VLOOKUP(UncLookup[[#This Row],[Item]],Items!$A$1:$F$43,4,FALSE)=0,"",VLOOKUP(UncLookup[[#This Row],[Item]],Items!$A$1:$F$43,4,FALSE))</f>
        <v/>
      </c>
    </row>
    <row r="2547" spans="1:17" x14ac:dyDescent="0.25">
      <c r="A2547" s="76" t="s">
        <v>70</v>
      </c>
      <c r="B2547" s="76" t="s">
        <v>46</v>
      </c>
      <c r="C2547" s="76">
        <v>1E-4</v>
      </c>
      <c r="D2547" s="76">
        <v>1E-3</v>
      </c>
      <c r="E2547" s="7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90" t="str">
        <f>IF(VLOOKUP(UncLookup[[#This Row],[Item]],Items!$A$1:$F$43,2,FALSE)=0,"",VLOOKUP(UncLookup[[#This Row],[Item]],Items!$A$1:$F$43,2,FALSE))</f>
        <v/>
      </c>
      <c r="P2547" s="90" t="str">
        <f>IF(VLOOKUP(UncLookup[[#This Row],[Item]],Items!$A$1:$F$43,3,FALSE)=0,"",VLOOKUP(UncLookup[[#This Row],[Item]],Items!$A$1:$F$43,3,FALSE))</f>
        <v/>
      </c>
      <c r="Q2547" s="90" t="str">
        <f>IF(VLOOKUP(UncLookup[[#This Row],[Item]],Items!$A$1:$F$43,4,FALSE)=0,"",VLOOKUP(UncLookup[[#This Row],[Item]],Items!$A$1:$F$43,4,FALSE))</f>
        <v/>
      </c>
    </row>
    <row r="2548" spans="1:17" x14ac:dyDescent="0.25">
      <c r="A2548" s="75" t="s">
        <v>70</v>
      </c>
      <c r="B2548" s="75" t="s">
        <v>46</v>
      </c>
      <c r="C2548" s="75">
        <v>1E-4</v>
      </c>
      <c r="D2548" s="75">
        <v>1E-3</v>
      </c>
      <c r="E2548" s="75">
        <v>1E-4</v>
      </c>
      <c r="F2548" s="75" t="s">
        <v>13</v>
      </c>
      <c r="G2548" s="75" t="s">
        <v>72</v>
      </c>
      <c r="H2548" s="75">
        <v>0</v>
      </c>
      <c r="I2548" s="75">
        <v>0</v>
      </c>
      <c r="J2548" s="75"/>
      <c r="K2548" s="75">
        <v>57736</v>
      </c>
      <c r="L2548" s="75">
        <v>1854.7</v>
      </c>
      <c r="M2548" s="75">
        <v>57736</v>
      </c>
      <c r="N2548" s="75">
        <v>1843.4</v>
      </c>
      <c r="O2548" s="90" t="str">
        <f>IF(VLOOKUP(UncLookup[[#This Row],[Item]],Items!$A$1:$F$43,2,FALSE)=0,"",VLOOKUP(UncLookup[[#This Row],[Item]],Items!$A$1:$F$43,2,FALSE))</f>
        <v/>
      </c>
      <c r="P2548" s="90" t="str">
        <f>IF(VLOOKUP(UncLookup[[#This Row],[Item]],Items!$A$1:$F$43,3,FALSE)=0,"",VLOOKUP(UncLookup[[#This Row],[Item]],Items!$A$1:$F$43,3,FALSE))</f>
        <v/>
      </c>
      <c r="Q2548" s="90" t="str">
        <f>IF(VLOOKUP(UncLookup[[#This Row],[Item]],Items!$A$1:$F$43,4,FALSE)=0,"",VLOOKUP(UncLookup[[#This Row],[Item]],Items!$A$1:$F$43,4,FALSE))</f>
        <v/>
      </c>
    </row>
    <row r="2549" spans="1:17" x14ac:dyDescent="0.25">
      <c r="A2549" s="76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90" t="str">
        <f>IF(VLOOKUP(UncLookup[[#This Row],[Item]],Items!$A$1:$F$43,2,FALSE)=0,"",VLOOKUP(UncLookup[[#This Row],[Item]],Items!$A$1:$F$43,2,FALSE))</f>
        <v/>
      </c>
      <c r="P2549" s="90" t="str">
        <f>IF(VLOOKUP(UncLookup[[#This Row],[Item]],Items!$A$1:$F$43,3,FALSE)=0,"",VLOOKUP(UncLookup[[#This Row],[Item]],Items!$A$1:$F$43,3,FALSE))</f>
        <v/>
      </c>
      <c r="Q2549" s="90" t="str">
        <f>IF(VLOOKUP(UncLookup[[#This Row],[Item]],Items!$A$1:$F$43,4,FALSE)=0,"",VLOOKUP(UncLookup[[#This Row],[Item]],Items!$A$1:$F$43,4,FALSE))</f>
        <v/>
      </c>
    </row>
    <row r="2550" spans="1:17" x14ac:dyDescent="0.25">
      <c r="A2550" s="75" t="s">
        <v>70</v>
      </c>
      <c r="B2550" s="75" t="s">
        <v>46</v>
      </c>
      <c r="C2550" s="75">
        <v>1E-3</v>
      </c>
      <c r="D2550" s="75">
        <v>0.01</v>
      </c>
      <c r="E2550" s="75">
        <v>9.9999999999999995E-7</v>
      </c>
      <c r="F2550" s="75" t="s">
        <v>13</v>
      </c>
      <c r="G2550" s="75" t="s">
        <v>11</v>
      </c>
      <c r="H2550" s="75">
        <v>0</v>
      </c>
      <c r="I2550" s="75">
        <v>0</v>
      </c>
      <c r="J2550" s="75"/>
      <c r="K2550" s="75">
        <v>1.2739</v>
      </c>
      <c r="L2550" s="75">
        <v>339.07</v>
      </c>
      <c r="M2550" s="75">
        <v>1.2734000000000001</v>
      </c>
      <c r="N2550" s="75">
        <v>339.08</v>
      </c>
      <c r="O2550" s="90" t="str">
        <f>IF(VLOOKUP(UncLookup[[#This Row],[Item]],Items!$A$1:$F$43,2,FALSE)=0,"",VLOOKUP(UncLookup[[#This Row],[Item]],Items!$A$1:$F$43,2,FALSE))</f>
        <v/>
      </c>
      <c r="P2550" s="90" t="str">
        <f>IF(VLOOKUP(UncLookup[[#This Row],[Item]],Items!$A$1:$F$43,3,FALSE)=0,"",VLOOKUP(UncLookup[[#This Row],[Item]],Items!$A$1:$F$43,3,FALSE))</f>
        <v/>
      </c>
      <c r="Q2550" s="90" t="str">
        <f>IF(VLOOKUP(UncLookup[[#This Row],[Item]],Items!$A$1:$F$43,4,FALSE)=0,"",VLOOKUP(UncLookup[[#This Row],[Item]],Items!$A$1:$F$43,4,FALSE))</f>
        <v/>
      </c>
    </row>
    <row r="2551" spans="1:17" x14ac:dyDescent="0.25">
      <c r="A2551" s="76" t="s">
        <v>70</v>
      </c>
      <c r="B2551" s="76" t="s">
        <v>46</v>
      </c>
      <c r="C2551" s="76">
        <v>1E-3</v>
      </c>
      <c r="D2551" s="76">
        <v>0.01</v>
      </c>
      <c r="E2551" s="77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90" t="str">
        <f>IF(VLOOKUP(UncLookup[[#This Row],[Item]],Items!$A$1:$F$43,2,FALSE)=0,"",VLOOKUP(UncLookup[[#This Row],[Item]],Items!$A$1:$F$43,2,FALSE))</f>
        <v/>
      </c>
      <c r="P2551" s="90" t="str">
        <f>IF(VLOOKUP(UncLookup[[#This Row],[Item]],Items!$A$1:$F$43,3,FALSE)=0,"",VLOOKUP(UncLookup[[#This Row],[Item]],Items!$A$1:$F$43,3,FALSE))</f>
        <v/>
      </c>
      <c r="Q2551" s="90" t="str">
        <f>IF(VLOOKUP(UncLookup[[#This Row],[Item]],Items!$A$1:$F$43,4,FALSE)=0,"",VLOOKUP(UncLookup[[#This Row],[Item]],Items!$A$1:$F$43,4,FALSE))</f>
        <v/>
      </c>
    </row>
    <row r="2552" spans="1:17" x14ac:dyDescent="0.25">
      <c r="A2552" s="75" t="s">
        <v>70</v>
      </c>
      <c r="B2552" s="75" t="s">
        <v>46</v>
      </c>
      <c r="C2552" s="75">
        <v>1E-3</v>
      </c>
      <c r="D2552" s="75">
        <v>0.01</v>
      </c>
      <c r="E2552" s="75">
        <v>1E-4</v>
      </c>
      <c r="F2552" s="75" t="s">
        <v>13</v>
      </c>
      <c r="G2552" s="75" t="s">
        <v>11</v>
      </c>
      <c r="H2552" s="75">
        <v>0</v>
      </c>
      <c r="I2552" s="75">
        <v>0</v>
      </c>
      <c r="J2552" s="75"/>
      <c r="K2552" s="75">
        <v>57.737000000000002</v>
      </c>
      <c r="L2552" s="75">
        <v>18.431000000000001</v>
      </c>
      <c r="M2552" s="75">
        <v>57.737000000000002</v>
      </c>
      <c r="N2552" s="75">
        <v>18.399000000000001</v>
      </c>
      <c r="O2552" s="90" t="str">
        <f>IF(VLOOKUP(UncLookup[[#This Row],[Item]],Items!$A$1:$F$43,2,FALSE)=0,"",VLOOKUP(UncLookup[[#This Row],[Item]],Items!$A$1:$F$43,2,FALSE))</f>
        <v/>
      </c>
      <c r="P2552" s="90" t="str">
        <f>IF(VLOOKUP(UncLookup[[#This Row],[Item]],Items!$A$1:$F$43,3,FALSE)=0,"",VLOOKUP(UncLookup[[#This Row],[Item]],Items!$A$1:$F$43,3,FALSE))</f>
        <v/>
      </c>
      <c r="Q2552" s="90" t="str">
        <f>IF(VLOOKUP(UncLookup[[#This Row],[Item]],Items!$A$1:$F$43,4,FALSE)=0,"",VLOOKUP(UncLookup[[#This Row],[Item]],Items!$A$1:$F$43,4,FALSE))</f>
        <v/>
      </c>
    </row>
    <row r="2553" spans="1:17" x14ac:dyDescent="0.25">
      <c r="A2553" s="76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90" t="str">
        <f>IF(VLOOKUP(UncLookup[[#This Row],[Item]],Items!$A$1:$F$43,2,FALSE)=0,"",VLOOKUP(UncLookup[[#This Row],[Item]],Items!$A$1:$F$43,2,FALSE))</f>
        <v/>
      </c>
      <c r="P2553" s="90" t="str">
        <f>IF(VLOOKUP(UncLookup[[#This Row],[Item]],Items!$A$1:$F$43,3,FALSE)=0,"",VLOOKUP(UncLookup[[#This Row],[Item]],Items!$A$1:$F$43,3,FALSE))</f>
        <v/>
      </c>
      <c r="Q2553" s="90" t="str">
        <f>IF(VLOOKUP(UncLookup[[#This Row],[Item]],Items!$A$1:$F$43,4,FALSE)=0,"",VLOOKUP(UncLookup[[#This Row],[Item]],Items!$A$1:$F$43,4,FALSE))</f>
        <v/>
      </c>
    </row>
    <row r="2554" spans="1:17" x14ac:dyDescent="0.25">
      <c r="A2554" s="75" t="s">
        <v>70</v>
      </c>
      <c r="B2554" s="75" t="s">
        <v>46</v>
      </c>
      <c r="C2554" s="75">
        <v>0.01</v>
      </c>
      <c r="D2554" s="75">
        <v>0.1</v>
      </c>
      <c r="E2554" s="75">
        <v>9.9999999999999995E-7</v>
      </c>
      <c r="F2554" s="75" t="s">
        <v>13</v>
      </c>
      <c r="G2554" s="75" t="s">
        <v>11</v>
      </c>
      <c r="H2554" s="75">
        <v>0</v>
      </c>
      <c r="I2554" s="75">
        <v>0</v>
      </c>
      <c r="J2554" s="75"/>
      <c r="K2554" s="75">
        <v>12</v>
      </c>
      <c r="L2554" s="75">
        <v>350</v>
      </c>
      <c r="M2554" s="75">
        <v>11.589</v>
      </c>
      <c r="N2554" s="75">
        <v>348.45</v>
      </c>
      <c r="O2554" s="90" t="str">
        <f>IF(VLOOKUP(UncLookup[[#This Row],[Item]],Items!$A$1:$F$43,2,FALSE)=0,"",VLOOKUP(UncLookup[[#This Row],[Item]],Items!$A$1:$F$43,2,FALSE))</f>
        <v/>
      </c>
      <c r="P2554" s="90" t="str">
        <f>IF(VLOOKUP(UncLookup[[#This Row],[Item]],Items!$A$1:$F$43,3,FALSE)=0,"",VLOOKUP(UncLookup[[#This Row],[Item]],Items!$A$1:$F$43,3,FALSE))</f>
        <v/>
      </c>
      <c r="Q2554" s="90" t="str">
        <f>IF(VLOOKUP(UncLookup[[#This Row],[Item]],Items!$A$1:$F$43,4,FALSE)=0,"",VLOOKUP(UncLookup[[#This Row],[Item]],Items!$A$1:$F$43,4,FALSE))</f>
        <v/>
      </c>
    </row>
    <row r="2555" spans="1:17" x14ac:dyDescent="0.25">
      <c r="A2555" s="76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90" t="str">
        <f>IF(VLOOKUP(UncLookup[[#This Row],[Item]],Items!$A$1:$F$43,2,FALSE)=0,"",VLOOKUP(UncLookup[[#This Row],[Item]],Items!$A$1:$F$43,2,FALSE))</f>
        <v/>
      </c>
      <c r="P2555" s="90" t="str">
        <f>IF(VLOOKUP(UncLookup[[#This Row],[Item]],Items!$A$1:$F$43,3,FALSE)=0,"",VLOOKUP(UncLookup[[#This Row],[Item]],Items!$A$1:$F$43,3,FALSE))</f>
        <v/>
      </c>
      <c r="Q2555" s="90" t="str">
        <f>IF(VLOOKUP(UncLookup[[#This Row],[Item]],Items!$A$1:$F$43,4,FALSE)=0,"",VLOOKUP(UncLookup[[#This Row],[Item]],Items!$A$1:$F$43,4,FALSE))</f>
        <v/>
      </c>
    </row>
    <row r="2556" spans="1:17" x14ac:dyDescent="0.25">
      <c r="A2556" s="75" t="s">
        <v>70</v>
      </c>
      <c r="B2556" s="75" t="s">
        <v>46</v>
      </c>
      <c r="C2556" s="75">
        <v>0.01</v>
      </c>
      <c r="D2556" s="75">
        <v>0.1</v>
      </c>
      <c r="E2556" s="75">
        <v>1E-4</v>
      </c>
      <c r="F2556" s="75" t="s">
        <v>13</v>
      </c>
      <c r="G2556" s="75" t="s">
        <v>11</v>
      </c>
      <c r="H2556" s="75">
        <v>0</v>
      </c>
      <c r="I2556" s="75">
        <v>0</v>
      </c>
      <c r="J2556" s="75"/>
      <c r="K2556" s="75">
        <v>58.070999999999998</v>
      </c>
      <c r="L2556" s="75">
        <v>160.28</v>
      </c>
      <c r="M2556" s="75">
        <v>58.066000000000003</v>
      </c>
      <c r="N2556" s="75">
        <v>160.22999999999999</v>
      </c>
      <c r="O2556" s="90" t="str">
        <f>IF(VLOOKUP(UncLookup[[#This Row],[Item]],Items!$A$1:$F$43,2,FALSE)=0,"",VLOOKUP(UncLookup[[#This Row],[Item]],Items!$A$1:$F$43,2,FALSE))</f>
        <v/>
      </c>
      <c r="P2556" s="90" t="str">
        <f>IF(VLOOKUP(UncLookup[[#This Row],[Item]],Items!$A$1:$F$43,3,FALSE)=0,"",VLOOKUP(UncLookup[[#This Row],[Item]],Items!$A$1:$F$43,3,FALSE))</f>
        <v/>
      </c>
      <c r="Q2556" s="90" t="str">
        <f>IF(VLOOKUP(UncLookup[[#This Row],[Item]],Items!$A$1:$F$43,4,FALSE)=0,"",VLOOKUP(UncLookup[[#This Row],[Item]],Items!$A$1:$F$43,4,FALSE))</f>
        <v/>
      </c>
    </row>
    <row r="2557" spans="1:17" x14ac:dyDescent="0.25">
      <c r="A2557" s="76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90" t="str">
        <f>IF(VLOOKUP(UncLookup[[#This Row],[Item]],Items!$A$1:$F$43,2,FALSE)=0,"",VLOOKUP(UncLookup[[#This Row],[Item]],Items!$A$1:$F$43,2,FALSE))</f>
        <v/>
      </c>
      <c r="P2557" s="90" t="str">
        <f>IF(VLOOKUP(UncLookup[[#This Row],[Item]],Items!$A$1:$F$43,3,FALSE)=0,"",VLOOKUP(UncLookup[[#This Row],[Item]],Items!$A$1:$F$43,3,FALSE))</f>
        <v/>
      </c>
      <c r="Q2557" s="90" t="str">
        <f>IF(VLOOKUP(UncLookup[[#This Row],[Item]],Items!$A$1:$F$43,4,FALSE)=0,"",VLOOKUP(UncLookup[[#This Row],[Item]],Items!$A$1:$F$43,4,FALSE))</f>
        <v/>
      </c>
    </row>
    <row r="2558" spans="1:17" x14ac:dyDescent="0.25">
      <c r="A2558" s="75" t="s">
        <v>70</v>
      </c>
      <c r="B2558" s="75" t="s">
        <v>46</v>
      </c>
      <c r="C2558" s="75">
        <v>0.01</v>
      </c>
      <c r="D2558" s="75">
        <v>0.1</v>
      </c>
      <c r="E2558" s="75">
        <v>0.01</v>
      </c>
      <c r="F2558" s="75" t="s">
        <v>13</v>
      </c>
      <c r="G2558" s="75" t="s">
        <v>11</v>
      </c>
      <c r="H2558" s="75">
        <v>0</v>
      </c>
      <c r="I2558" s="75">
        <v>0</v>
      </c>
      <c r="J2558" s="75"/>
      <c r="K2558" s="75">
        <v>5773.6</v>
      </c>
      <c r="L2558" s="75">
        <v>1.8689</v>
      </c>
      <c r="M2558" s="75">
        <v>5773.6</v>
      </c>
      <c r="N2558" s="75">
        <v>1.8560000000000001</v>
      </c>
      <c r="O2558" s="90" t="str">
        <f>IF(VLOOKUP(UncLookup[[#This Row],[Item]],Items!$A$1:$F$43,2,FALSE)=0,"",VLOOKUP(UncLookup[[#This Row],[Item]],Items!$A$1:$F$43,2,FALSE))</f>
        <v/>
      </c>
      <c r="P2558" s="90" t="str">
        <f>IF(VLOOKUP(UncLookup[[#This Row],[Item]],Items!$A$1:$F$43,3,FALSE)=0,"",VLOOKUP(UncLookup[[#This Row],[Item]],Items!$A$1:$F$43,3,FALSE))</f>
        <v/>
      </c>
      <c r="Q2558" s="90" t="str">
        <f>IF(VLOOKUP(UncLookup[[#This Row],[Item]],Items!$A$1:$F$43,4,FALSE)=0,"",VLOOKUP(UncLookup[[#This Row],[Item]],Items!$A$1:$F$43,4,FALSE))</f>
        <v/>
      </c>
    </row>
    <row r="2559" spans="1:17" x14ac:dyDescent="0.25">
      <c r="A2559" s="76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90" t="str">
        <f>IF(VLOOKUP(UncLookup[[#This Row],[Item]],Items!$A$1:$F$43,2,FALSE)=0,"",VLOOKUP(UncLookup[[#This Row],[Item]],Items!$A$1:$F$43,2,FALSE))</f>
        <v/>
      </c>
      <c r="P2559" s="90" t="str">
        <f>IF(VLOOKUP(UncLookup[[#This Row],[Item]],Items!$A$1:$F$43,3,FALSE)=0,"",VLOOKUP(UncLookup[[#This Row],[Item]],Items!$A$1:$F$43,3,FALSE))</f>
        <v/>
      </c>
      <c r="Q2559" s="90" t="str">
        <f>IF(VLOOKUP(UncLookup[[#This Row],[Item]],Items!$A$1:$F$43,4,FALSE)=0,"",VLOOKUP(UncLookup[[#This Row],[Item]],Items!$A$1:$F$43,4,FALSE))</f>
        <v/>
      </c>
    </row>
    <row r="2560" spans="1:17" x14ac:dyDescent="0.25">
      <c r="A2560" s="75" t="s">
        <v>70</v>
      </c>
      <c r="B2560" s="75" t="s">
        <v>46</v>
      </c>
      <c r="C2560" s="75">
        <v>0.1</v>
      </c>
      <c r="D2560" s="75">
        <v>1</v>
      </c>
      <c r="E2560" s="75">
        <v>1E-4</v>
      </c>
      <c r="F2560" s="75" t="s">
        <v>13</v>
      </c>
      <c r="G2560" s="75" t="s">
        <v>11</v>
      </c>
      <c r="H2560" s="75">
        <v>0</v>
      </c>
      <c r="I2560" s="75">
        <v>0</v>
      </c>
      <c r="J2560" s="75"/>
      <c r="K2560" s="75">
        <v>181.28</v>
      </c>
      <c r="L2560" s="75">
        <v>360.03</v>
      </c>
      <c r="M2560" s="75">
        <v>181.24</v>
      </c>
      <c r="N2560" s="75">
        <v>360.03</v>
      </c>
      <c r="O2560" s="90" t="str">
        <f>IF(VLOOKUP(UncLookup[[#This Row],[Item]],Items!$A$1:$F$43,2,FALSE)=0,"",VLOOKUP(UncLookup[[#This Row],[Item]],Items!$A$1:$F$43,2,FALSE))</f>
        <v/>
      </c>
      <c r="P2560" s="90" t="str">
        <f>IF(VLOOKUP(UncLookup[[#This Row],[Item]],Items!$A$1:$F$43,3,FALSE)=0,"",VLOOKUP(UncLookup[[#This Row],[Item]],Items!$A$1:$F$43,3,FALSE))</f>
        <v/>
      </c>
      <c r="Q2560" s="90" t="str">
        <f>IF(VLOOKUP(UncLookup[[#This Row],[Item]],Items!$A$1:$F$43,4,FALSE)=0,"",VLOOKUP(UncLookup[[#This Row],[Item]],Items!$A$1:$F$43,4,FALSE))</f>
        <v/>
      </c>
    </row>
    <row r="2561" spans="1:17" x14ac:dyDescent="0.25">
      <c r="A2561" s="76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90" t="str">
        <f>IF(VLOOKUP(UncLookup[[#This Row],[Item]],Items!$A$1:$F$43,2,FALSE)=0,"",VLOOKUP(UncLookup[[#This Row],[Item]],Items!$A$1:$F$43,2,FALSE))</f>
        <v/>
      </c>
      <c r="P2561" s="90" t="str">
        <f>IF(VLOOKUP(UncLookup[[#This Row],[Item]],Items!$A$1:$F$43,3,FALSE)=0,"",VLOOKUP(UncLookup[[#This Row],[Item]],Items!$A$1:$F$43,3,FALSE))</f>
        <v/>
      </c>
      <c r="Q2561" s="90" t="str">
        <f>IF(VLOOKUP(UncLookup[[#This Row],[Item]],Items!$A$1:$F$43,4,FALSE)=0,"",VLOOKUP(UncLookup[[#This Row],[Item]],Items!$A$1:$F$43,4,FALSE))</f>
        <v/>
      </c>
    </row>
    <row r="2562" spans="1:17" x14ac:dyDescent="0.25">
      <c r="A2562" s="75" t="s">
        <v>70</v>
      </c>
      <c r="B2562" s="75" t="s">
        <v>46</v>
      </c>
      <c r="C2562" s="75">
        <v>0.1</v>
      </c>
      <c r="D2562" s="75">
        <v>1</v>
      </c>
      <c r="E2562" s="75">
        <v>0.01</v>
      </c>
      <c r="F2562" s="75" t="s">
        <v>13</v>
      </c>
      <c r="G2562" s="75" t="s">
        <v>11</v>
      </c>
      <c r="H2562" s="75">
        <v>0</v>
      </c>
      <c r="I2562" s="75">
        <v>0</v>
      </c>
      <c r="J2562" s="75"/>
      <c r="K2562" s="75">
        <v>5775</v>
      </c>
      <c r="L2562" s="75">
        <v>23.623000000000001</v>
      </c>
      <c r="M2562" s="75">
        <v>5775</v>
      </c>
      <c r="N2562" s="75">
        <v>23.591000000000001</v>
      </c>
      <c r="O2562" s="90" t="str">
        <f>IF(VLOOKUP(UncLookup[[#This Row],[Item]],Items!$A$1:$F$43,2,FALSE)=0,"",VLOOKUP(UncLookup[[#This Row],[Item]],Items!$A$1:$F$43,2,FALSE))</f>
        <v/>
      </c>
      <c r="P2562" s="90" t="str">
        <f>IF(VLOOKUP(UncLookup[[#This Row],[Item]],Items!$A$1:$F$43,3,FALSE)=0,"",VLOOKUP(UncLookup[[#This Row],[Item]],Items!$A$1:$F$43,3,FALSE))</f>
        <v/>
      </c>
      <c r="Q2562" s="90" t="str">
        <f>IF(VLOOKUP(UncLookup[[#This Row],[Item]],Items!$A$1:$F$43,4,FALSE)=0,"",VLOOKUP(UncLookup[[#This Row],[Item]],Items!$A$1:$F$43,4,FALSE))</f>
        <v/>
      </c>
    </row>
    <row r="2563" spans="1:17" x14ac:dyDescent="0.25">
      <c r="A2563" s="76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90" t="str">
        <f>IF(VLOOKUP(UncLookup[[#This Row],[Item]],Items!$A$1:$F$43,2,FALSE)=0,"",VLOOKUP(UncLookup[[#This Row],[Item]],Items!$A$1:$F$43,2,FALSE))</f>
        <v/>
      </c>
      <c r="P2563" s="90" t="str">
        <f>IF(VLOOKUP(UncLookup[[#This Row],[Item]],Items!$A$1:$F$43,3,FALSE)=0,"",VLOOKUP(UncLookup[[#This Row],[Item]],Items!$A$1:$F$43,3,FALSE))</f>
        <v/>
      </c>
      <c r="Q2563" s="90" t="str">
        <f>IF(VLOOKUP(UncLookup[[#This Row],[Item]],Items!$A$1:$F$43,4,FALSE)=0,"",VLOOKUP(UncLookup[[#This Row],[Item]],Items!$A$1:$F$43,4,FALSE))</f>
        <v/>
      </c>
    </row>
    <row r="2564" spans="1:17" x14ac:dyDescent="0.25">
      <c r="A2564" s="75" t="s">
        <v>70</v>
      </c>
      <c r="B2564" s="75" t="s">
        <v>46</v>
      </c>
      <c r="C2564" s="75">
        <v>1</v>
      </c>
      <c r="D2564" s="75">
        <v>10.199999999999999</v>
      </c>
      <c r="E2564" s="75">
        <v>1E-4</v>
      </c>
      <c r="F2564" s="75" t="s">
        <v>13</v>
      </c>
      <c r="G2564" s="75" t="s">
        <v>11</v>
      </c>
      <c r="H2564" s="75">
        <v>0</v>
      </c>
      <c r="I2564" s="75">
        <v>0</v>
      </c>
      <c r="J2564" s="75"/>
      <c r="K2564" s="75">
        <v>2.4</v>
      </c>
      <c r="L2564" s="75">
        <v>0.59</v>
      </c>
      <c r="M2564" s="75">
        <v>2.3094999999999999</v>
      </c>
      <c r="N2564" s="75">
        <v>0.57974999999999999</v>
      </c>
      <c r="O2564" s="90" t="str">
        <f>IF(VLOOKUP(UncLookup[[#This Row],[Item]],Items!$A$1:$F$43,2,FALSE)=0,"",VLOOKUP(UncLookup[[#This Row],[Item]],Items!$A$1:$F$43,2,FALSE))</f>
        <v/>
      </c>
      <c r="P2564" s="90" t="str">
        <f>IF(VLOOKUP(UncLookup[[#This Row],[Item]],Items!$A$1:$F$43,3,FALSE)=0,"",VLOOKUP(UncLookup[[#This Row],[Item]],Items!$A$1:$F$43,3,FALSE))</f>
        <v/>
      </c>
      <c r="Q2564" s="90" t="str">
        <f>IF(VLOOKUP(UncLookup[[#This Row],[Item]],Items!$A$1:$F$43,4,FALSE)=0,"",VLOOKUP(UncLookup[[#This Row],[Item]],Items!$A$1:$F$43,4,FALSE))</f>
        <v/>
      </c>
    </row>
    <row r="2565" spans="1:17" x14ac:dyDescent="0.25">
      <c r="A2565" s="76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90" t="str">
        <f>IF(VLOOKUP(UncLookup[[#This Row],[Item]],Items!$A$1:$F$43,2,FALSE)=0,"",VLOOKUP(UncLookup[[#This Row],[Item]],Items!$A$1:$F$43,2,FALSE))</f>
        <v/>
      </c>
      <c r="P2565" s="90" t="str">
        <f>IF(VLOOKUP(UncLookup[[#This Row],[Item]],Items!$A$1:$F$43,3,FALSE)=0,"",VLOOKUP(UncLookup[[#This Row],[Item]],Items!$A$1:$F$43,3,FALSE))</f>
        <v/>
      </c>
      <c r="Q2565" s="90" t="str">
        <f>IF(VLOOKUP(UncLookup[[#This Row],[Item]],Items!$A$1:$F$43,4,FALSE)=0,"",VLOOKUP(UncLookup[[#This Row],[Item]],Items!$A$1:$F$43,4,FALSE))</f>
        <v/>
      </c>
    </row>
    <row r="2566" spans="1:17" x14ac:dyDescent="0.25">
      <c r="A2566" s="75" t="s">
        <v>70</v>
      </c>
      <c r="B2566" s="75" t="s">
        <v>46</v>
      </c>
      <c r="C2566" s="75">
        <v>1</v>
      </c>
      <c r="D2566" s="75">
        <v>10.199999999999999</v>
      </c>
      <c r="E2566" s="75">
        <v>0.01</v>
      </c>
      <c r="F2566" s="75" t="s">
        <v>13</v>
      </c>
      <c r="G2566" s="75" t="s">
        <v>11</v>
      </c>
      <c r="H2566" s="75">
        <v>0</v>
      </c>
      <c r="I2566" s="75">
        <v>0</v>
      </c>
      <c r="J2566" s="75"/>
      <c r="K2566" s="75">
        <v>5.8935000000000004</v>
      </c>
      <c r="L2566" s="75">
        <v>0.56293000000000004</v>
      </c>
      <c r="M2566" s="75">
        <v>6.0655000000000001</v>
      </c>
      <c r="N2566" s="75">
        <v>0.39036999999999999</v>
      </c>
      <c r="O2566" s="90" t="str">
        <f>IF(VLOOKUP(UncLookup[[#This Row],[Item]],Items!$A$1:$F$43,2,FALSE)=0,"",VLOOKUP(UncLookup[[#This Row],[Item]],Items!$A$1:$F$43,2,FALSE))</f>
        <v/>
      </c>
      <c r="P2566" s="90" t="str">
        <f>IF(VLOOKUP(UncLookup[[#This Row],[Item]],Items!$A$1:$F$43,3,FALSE)=0,"",VLOOKUP(UncLookup[[#This Row],[Item]],Items!$A$1:$F$43,3,FALSE))</f>
        <v/>
      </c>
      <c r="Q2566" s="90" t="str">
        <f>IF(VLOOKUP(UncLookup[[#This Row],[Item]],Items!$A$1:$F$43,4,FALSE)=0,"",VLOOKUP(UncLookup[[#This Row],[Item]],Items!$A$1:$F$43,4,FALSE))</f>
        <v/>
      </c>
    </row>
    <row r="2567" spans="1:17" x14ac:dyDescent="0.25">
      <c r="A2567" s="76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90" t="str">
        <f>IF(VLOOKUP(UncLookup[[#This Row],[Item]],Items!$A$1:$F$43,2,FALSE)=0,"",VLOOKUP(UncLookup[[#This Row],[Item]],Items!$A$1:$F$43,2,FALSE))</f>
        <v/>
      </c>
      <c r="P2567" s="90" t="str">
        <f>IF(VLOOKUP(UncLookup[[#This Row],[Item]],Items!$A$1:$F$43,3,FALSE)=0,"",VLOOKUP(UncLookup[[#This Row],[Item]],Items!$A$1:$F$43,3,FALSE))</f>
        <v/>
      </c>
      <c r="Q2567" s="90" t="str">
        <f>IF(VLOOKUP(UncLookup[[#This Row],[Item]],Items!$A$1:$F$43,4,FALSE)=0,"",VLOOKUP(UncLookup[[#This Row],[Item]],Items!$A$1:$F$43,4,FALSE))</f>
        <v/>
      </c>
    </row>
    <row r="2568" spans="1:17" x14ac:dyDescent="0.25">
      <c r="A2568" s="75" t="s">
        <v>70</v>
      </c>
      <c r="B2568" s="75" t="s">
        <v>46</v>
      </c>
      <c r="C2568" s="75">
        <v>1</v>
      </c>
      <c r="D2568" s="75">
        <v>10.199999999999999</v>
      </c>
      <c r="E2568" s="75">
        <v>1</v>
      </c>
      <c r="F2568" s="75" t="s">
        <v>13</v>
      </c>
      <c r="G2568" s="75" t="s">
        <v>11</v>
      </c>
      <c r="H2568" s="75">
        <v>0</v>
      </c>
      <c r="I2568" s="75">
        <v>0</v>
      </c>
      <c r="J2568" s="75"/>
      <c r="K2568" s="75">
        <v>577.30999999999995</v>
      </c>
      <c r="L2568" s="75">
        <v>5.7402000000000002E-2</v>
      </c>
      <c r="M2568" s="75">
        <v>577.36</v>
      </c>
      <c r="N2568" s="75">
        <v>5.5789000000000004E-3</v>
      </c>
      <c r="O2568" s="90" t="str">
        <f>IF(VLOOKUP(UncLookup[[#This Row],[Item]],Items!$A$1:$F$43,2,FALSE)=0,"",VLOOKUP(UncLookup[[#This Row],[Item]],Items!$A$1:$F$43,2,FALSE))</f>
        <v/>
      </c>
      <c r="P2568" s="90" t="str">
        <f>IF(VLOOKUP(UncLookup[[#This Row],[Item]],Items!$A$1:$F$43,3,FALSE)=0,"",VLOOKUP(UncLookup[[#This Row],[Item]],Items!$A$1:$F$43,3,FALSE))</f>
        <v/>
      </c>
      <c r="Q2568" s="90" t="str">
        <f>IF(VLOOKUP(UncLookup[[#This Row],[Item]],Items!$A$1:$F$43,4,FALSE)=0,"",VLOOKUP(UncLookup[[#This Row],[Item]],Items!$A$1:$F$43,4,FALSE))</f>
        <v/>
      </c>
    </row>
    <row r="2569" spans="1:17" x14ac:dyDescent="0.25">
      <c r="A2569" s="76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90" t="str">
        <f>IF(VLOOKUP(UncLookup[[#This Row],[Item]],Items!$A$1:$F$43,2,FALSE)=0,"",VLOOKUP(UncLookup[[#This Row],[Item]],Items!$A$1:$F$43,2,FALSE))</f>
        <v/>
      </c>
      <c r="P2569" s="90" t="str">
        <f>IF(VLOOKUP(UncLookup[[#This Row],[Item]],Items!$A$1:$F$43,3,FALSE)=0,"",VLOOKUP(UncLookup[[#This Row],[Item]],Items!$A$1:$F$43,3,FALSE))</f>
        <v/>
      </c>
      <c r="Q2569" s="90" t="str">
        <f>IF(VLOOKUP(UncLookup[[#This Row],[Item]],Items!$A$1:$F$43,4,FALSE)=0,"",VLOOKUP(UncLookup[[#This Row],[Item]],Items!$A$1:$F$43,4,FALSE))</f>
        <v/>
      </c>
    </row>
    <row r="2570" spans="1:17" x14ac:dyDescent="0.25">
      <c r="A2570" s="75" t="s">
        <v>70</v>
      </c>
      <c r="B2570" s="75" t="s">
        <v>14</v>
      </c>
      <c r="C2570" s="75">
        <v>1.0000000000000001E-9</v>
      </c>
      <c r="D2570" s="75">
        <v>1E-8</v>
      </c>
      <c r="E2570" s="75">
        <v>9.9999999999999994E-12</v>
      </c>
      <c r="F2570" s="75" t="s">
        <v>142</v>
      </c>
      <c r="G2570" s="75" t="s">
        <v>15</v>
      </c>
      <c r="H2570" s="75">
        <v>0</v>
      </c>
      <c r="I2570" s="75">
        <v>0</v>
      </c>
      <c r="J2570" s="75"/>
      <c r="K2570" s="75">
        <v>3.5999999999999997E-2</v>
      </c>
      <c r="L2570" s="75">
        <v>6536700</v>
      </c>
      <c r="M2570" s="75">
        <v>3.5893000000000001E-2</v>
      </c>
      <c r="N2570" s="75">
        <v>6534200</v>
      </c>
      <c r="O2570" s="90" t="str">
        <f>IF(VLOOKUP(UncLookup[[#This Row],[Item]],Items!$A$1:$F$43,2,FALSE)=0,"",VLOOKUP(UncLookup[[#This Row],[Item]],Items!$A$1:$F$43,2,FALSE))</f>
        <v/>
      </c>
      <c r="P2570" s="90" t="str">
        <f>IF(VLOOKUP(UncLookup[[#This Row],[Item]],Items!$A$1:$F$43,3,FALSE)=0,"",VLOOKUP(UncLookup[[#This Row],[Item]],Items!$A$1:$F$43,3,FALSE))</f>
        <v/>
      </c>
      <c r="Q2570" s="90" t="str">
        <f>IF(VLOOKUP(UncLookup[[#This Row],[Item]],Items!$A$1:$F$43,4,FALSE)=0,"",VLOOKUP(UncLookup[[#This Row],[Item]],Items!$A$1:$F$43,4,FALSE))</f>
        <v/>
      </c>
    </row>
    <row r="2571" spans="1:17" x14ac:dyDescent="0.25">
      <c r="A2571" s="76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90" t="str">
        <f>IF(VLOOKUP(UncLookup[[#This Row],[Item]],Items!$A$1:$F$43,2,FALSE)=0,"",VLOOKUP(UncLookup[[#This Row],[Item]],Items!$A$1:$F$43,2,FALSE))</f>
        <v/>
      </c>
      <c r="P2571" s="90" t="str">
        <f>IF(VLOOKUP(UncLookup[[#This Row],[Item]],Items!$A$1:$F$43,3,FALSE)=0,"",VLOOKUP(UncLookup[[#This Row],[Item]],Items!$A$1:$F$43,3,FALSE))</f>
        <v/>
      </c>
      <c r="Q2571" s="90" t="str">
        <f>IF(VLOOKUP(UncLookup[[#This Row],[Item]],Items!$A$1:$F$43,4,FALSE)=0,"",VLOOKUP(UncLookup[[#This Row],[Item]],Items!$A$1:$F$43,4,FALSE))</f>
        <v/>
      </c>
    </row>
    <row r="2572" spans="1:17" x14ac:dyDescent="0.25">
      <c r="A2572" s="75" t="s">
        <v>70</v>
      </c>
      <c r="B2572" s="75" t="s">
        <v>14</v>
      </c>
      <c r="C2572" s="75">
        <v>1.0000000000000001E-9</v>
      </c>
      <c r="D2572" s="75">
        <v>1E-8</v>
      </c>
      <c r="E2572" s="75">
        <v>1.0000000000000001E-9</v>
      </c>
      <c r="F2572" s="75" t="s">
        <v>142</v>
      </c>
      <c r="G2572" s="75" t="s">
        <v>15</v>
      </c>
      <c r="H2572" s="75">
        <v>0</v>
      </c>
      <c r="I2572" s="75">
        <v>0</v>
      </c>
      <c r="J2572" s="75"/>
      <c r="K2572" s="75">
        <v>0.57862999999999998</v>
      </c>
      <c r="L2572" s="75">
        <v>1104800</v>
      </c>
      <c r="M2572" s="75">
        <v>0.57862999999999998</v>
      </c>
      <c r="N2572" s="75">
        <v>1095300</v>
      </c>
      <c r="O2572" s="90" t="str">
        <f>IF(VLOOKUP(UncLookup[[#This Row],[Item]],Items!$A$1:$F$43,2,FALSE)=0,"",VLOOKUP(UncLookup[[#This Row],[Item]],Items!$A$1:$F$43,2,FALSE))</f>
        <v/>
      </c>
      <c r="P2572" s="90" t="str">
        <f>IF(VLOOKUP(UncLookup[[#This Row],[Item]],Items!$A$1:$F$43,3,FALSE)=0,"",VLOOKUP(UncLookup[[#This Row],[Item]],Items!$A$1:$F$43,3,FALSE))</f>
        <v/>
      </c>
      <c r="Q2572" s="90" t="str">
        <f>IF(VLOOKUP(UncLookup[[#This Row],[Item]],Items!$A$1:$F$43,4,FALSE)=0,"",VLOOKUP(UncLookup[[#This Row],[Item]],Items!$A$1:$F$43,4,FALSE))</f>
        <v/>
      </c>
    </row>
    <row r="2573" spans="1:17" x14ac:dyDescent="0.25">
      <c r="A2573" s="76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90" t="str">
        <f>IF(VLOOKUP(UncLookup[[#This Row],[Item]],Items!$A$1:$F$43,2,FALSE)=0,"",VLOOKUP(UncLookup[[#This Row],[Item]],Items!$A$1:$F$43,2,FALSE))</f>
        <v/>
      </c>
      <c r="P2573" s="90" t="str">
        <f>IF(VLOOKUP(UncLookup[[#This Row],[Item]],Items!$A$1:$F$43,3,FALSE)=0,"",VLOOKUP(UncLookup[[#This Row],[Item]],Items!$A$1:$F$43,3,FALSE))</f>
        <v/>
      </c>
      <c r="Q2573" s="90" t="str">
        <f>IF(VLOOKUP(UncLookup[[#This Row],[Item]],Items!$A$1:$F$43,4,FALSE)=0,"",VLOOKUP(UncLookup[[#This Row],[Item]],Items!$A$1:$F$43,4,FALSE))</f>
        <v/>
      </c>
    </row>
    <row r="2574" spans="1:17" x14ac:dyDescent="0.25">
      <c r="A2574" s="75" t="s">
        <v>70</v>
      </c>
      <c r="B2574" s="75" t="s">
        <v>14</v>
      </c>
      <c r="C2574" s="75">
        <v>1E-8</v>
      </c>
      <c r="D2574" s="75">
        <v>9.9999999999999995E-8</v>
      </c>
      <c r="E2574" s="75">
        <v>9.9999999999999994E-12</v>
      </c>
      <c r="F2574" s="75" t="s">
        <v>142</v>
      </c>
      <c r="G2574" s="75" t="s">
        <v>15</v>
      </c>
      <c r="H2574" s="75">
        <v>0</v>
      </c>
      <c r="I2574" s="75">
        <v>0</v>
      </c>
      <c r="J2574" s="75"/>
      <c r="K2574" s="75">
        <v>0.5</v>
      </c>
      <c r="L2574" s="75">
        <v>5800000</v>
      </c>
      <c r="M2574" s="75">
        <v>0.48988999999999999</v>
      </c>
      <c r="N2574" s="75">
        <v>5801600</v>
      </c>
      <c r="O2574" s="90" t="str">
        <f>IF(VLOOKUP(UncLookup[[#This Row],[Item]],Items!$A$1:$F$43,2,FALSE)=0,"",VLOOKUP(UncLookup[[#This Row],[Item]],Items!$A$1:$F$43,2,FALSE))</f>
        <v/>
      </c>
      <c r="P2574" s="90" t="str">
        <f>IF(VLOOKUP(UncLookup[[#This Row],[Item]],Items!$A$1:$F$43,3,FALSE)=0,"",VLOOKUP(UncLookup[[#This Row],[Item]],Items!$A$1:$F$43,3,FALSE))</f>
        <v/>
      </c>
      <c r="Q2574" s="90" t="str">
        <f>IF(VLOOKUP(UncLookup[[#This Row],[Item]],Items!$A$1:$F$43,4,FALSE)=0,"",VLOOKUP(UncLookup[[#This Row],[Item]],Items!$A$1:$F$43,4,FALSE))</f>
        <v/>
      </c>
    </row>
    <row r="2575" spans="1:17" x14ac:dyDescent="0.25">
      <c r="A2575" s="76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90" t="str">
        <f>IF(VLOOKUP(UncLookup[[#This Row],[Item]],Items!$A$1:$F$43,2,FALSE)=0,"",VLOOKUP(UncLookup[[#This Row],[Item]],Items!$A$1:$F$43,2,FALSE))</f>
        <v/>
      </c>
      <c r="P2575" s="90" t="str">
        <f>IF(VLOOKUP(UncLookup[[#This Row],[Item]],Items!$A$1:$F$43,3,FALSE)=0,"",VLOOKUP(UncLookup[[#This Row],[Item]],Items!$A$1:$F$43,3,FALSE))</f>
        <v/>
      </c>
      <c r="Q2575" s="90" t="str">
        <f>IF(VLOOKUP(UncLookup[[#This Row],[Item]],Items!$A$1:$F$43,4,FALSE)=0,"",VLOOKUP(UncLookup[[#This Row],[Item]],Items!$A$1:$F$43,4,FALSE))</f>
        <v/>
      </c>
    </row>
    <row r="2576" spans="1:17" x14ac:dyDescent="0.25">
      <c r="A2576" s="75" t="s">
        <v>70</v>
      </c>
      <c r="B2576" s="75" t="s">
        <v>14</v>
      </c>
      <c r="C2576" s="75">
        <v>1E-8</v>
      </c>
      <c r="D2576" s="75">
        <v>9.9999999999999995E-8</v>
      </c>
      <c r="E2576" s="75">
        <v>1.0000000000000001E-9</v>
      </c>
      <c r="F2576" s="75" t="s">
        <v>142</v>
      </c>
      <c r="G2576" s="75" t="s">
        <v>15</v>
      </c>
      <c r="H2576" s="75">
        <v>0</v>
      </c>
      <c r="I2576" s="75">
        <v>0</v>
      </c>
      <c r="J2576" s="75"/>
      <c r="K2576" s="75">
        <v>0.74933000000000005</v>
      </c>
      <c r="L2576" s="75">
        <v>4690300</v>
      </c>
      <c r="M2576" s="75">
        <v>0.74914000000000003</v>
      </c>
      <c r="N2576" s="75">
        <v>4679800</v>
      </c>
      <c r="O2576" s="90" t="str">
        <f>IF(VLOOKUP(UncLookup[[#This Row],[Item]],Items!$A$1:$F$43,2,FALSE)=0,"",VLOOKUP(UncLookup[[#This Row],[Item]],Items!$A$1:$F$43,2,FALSE))</f>
        <v/>
      </c>
      <c r="P2576" s="90" t="str">
        <f>IF(VLOOKUP(UncLookup[[#This Row],[Item]],Items!$A$1:$F$43,3,FALSE)=0,"",VLOOKUP(UncLookup[[#This Row],[Item]],Items!$A$1:$F$43,3,FALSE))</f>
        <v/>
      </c>
      <c r="Q2576" s="90" t="str">
        <f>IF(VLOOKUP(UncLookup[[#This Row],[Item]],Items!$A$1:$F$43,4,FALSE)=0,"",VLOOKUP(UncLookup[[#This Row],[Item]],Items!$A$1:$F$43,4,FALSE))</f>
        <v/>
      </c>
    </row>
    <row r="2577" spans="1:17" x14ac:dyDescent="0.25">
      <c r="A2577" s="76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90" t="str">
        <f>IF(VLOOKUP(UncLookup[[#This Row],[Item]],Items!$A$1:$F$43,2,FALSE)=0,"",VLOOKUP(UncLookup[[#This Row],[Item]],Items!$A$1:$F$43,2,FALSE))</f>
        <v/>
      </c>
      <c r="P2577" s="90" t="str">
        <f>IF(VLOOKUP(UncLookup[[#This Row],[Item]],Items!$A$1:$F$43,3,FALSE)=0,"",VLOOKUP(UncLookup[[#This Row],[Item]],Items!$A$1:$F$43,3,FALSE))</f>
        <v/>
      </c>
      <c r="Q2577" s="90" t="str">
        <f>IF(VLOOKUP(UncLookup[[#This Row],[Item]],Items!$A$1:$F$43,4,FALSE)=0,"",VLOOKUP(UncLookup[[#This Row],[Item]],Items!$A$1:$F$43,4,FALSE))</f>
        <v/>
      </c>
    </row>
    <row r="2578" spans="1:17" x14ac:dyDescent="0.25">
      <c r="A2578" s="75" t="s">
        <v>70</v>
      </c>
      <c r="B2578" s="75" t="s">
        <v>14</v>
      </c>
      <c r="C2578" s="75">
        <v>1E-8</v>
      </c>
      <c r="D2578" s="75">
        <v>9.9999999999999995E-8</v>
      </c>
      <c r="E2578" s="75">
        <v>9.9999999999999995E-8</v>
      </c>
      <c r="F2578" s="75" t="s">
        <v>142</v>
      </c>
      <c r="G2578" s="75" t="s">
        <v>15</v>
      </c>
      <c r="H2578" s="75">
        <v>0</v>
      </c>
      <c r="I2578" s="75">
        <v>0</v>
      </c>
      <c r="J2578" s="75"/>
      <c r="K2578" s="75">
        <v>57.904000000000003</v>
      </c>
      <c r="L2578" s="75">
        <v>3024300</v>
      </c>
      <c r="M2578" s="75">
        <v>57.904000000000003</v>
      </c>
      <c r="N2578" s="75">
        <v>3020400</v>
      </c>
      <c r="O2578" s="90" t="str">
        <f>IF(VLOOKUP(UncLookup[[#This Row],[Item]],Items!$A$1:$F$43,2,FALSE)=0,"",VLOOKUP(UncLookup[[#This Row],[Item]],Items!$A$1:$F$43,2,FALSE))</f>
        <v/>
      </c>
      <c r="P2578" s="90" t="str">
        <f>IF(VLOOKUP(UncLookup[[#This Row],[Item]],Items!$A$1:$F$43,3,FALSE)=0,"",VLOOKUP(UncLookup[[#This Row],[Item]],Items!$A$1:$F$43,3,FALSE))</f>
        <v/>
      </c>
      <c r="Q2578" s="90" t="str">
        <f>IF(VLOOKUP(UncLookup[[#This Row],[Item]],Items!$A$1:$F$43,4,FALSE)=0,"",VLOOKUP(UncLookup[[#This Row],[Item]],Items!$A$1:$F$43,4,FALSE))</f>
        <v/>
      </c>
    </row>
    <row r="2579" spans="1:17" x14ac:dyDescent="0.25">
      <c r="A2579" s="76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90" t="str">
        <f>IF(VLOOKUP(UncLookup[[#This Row],[Item]],Items!$A$1:$F$43,2,FALSE)=0,"",VLOOKUP(UncLookup[[#This Row],[Item]],Items!$A$1:$F$43,2,FALSE))</f>
        <v/>
      </c>
      <c r="P2579" s="90" t="str">
        <f>IF(VLOOKUP(UncLookup[[#This Row],[Item]],Items!$A$1:$F$43,3,FALSE)=0,"",VLOOKUP(UncLookup[[#This Row],[Item]],Items!$A$1:$F$43,3,FALSE))</f>
        <v/>
      </c>
      <c r="Q2579" s="90" t="str">
        <f>IF(VLOOKUP(UncLookup[[#This Row],[Item]],Items!$A$1:$F$43,4,FALSE)=0,"",VLOOKUP(UncLookup[[#This Row],[Item]],Items!$A$1:$F$43,4,FALSE))</f>
        <v/>
      </c>
    </row>
    <row r="2580" spans="1:17" x14ac:dyDescent="0.25">
      <c r="A2580" s="75" t="s">
        <v>70</v>
      </c>
      <c r="B2580" s="75" t="s">
        <v>14</v>
      </c>
      <c r="C2580" s="75">
        <v>9.9999999999999995E-8</v>
      </c>
      <c r="D2580" s="75">
        <v>9.9999999999999995E-7</v>
      </c>
      <c r="E2580" s="75">
        <v>1.0000000000000001E-9</v>
      </c>
      <c r="F2580" s="75" t="s">
        <v>142</v>
      </c>
      <c r="G2580" s="75" t="s">
        <v>15</v>
      </c>
      <c r="H2580" s="75">
        <v>0</v>
      </c>
      <c r="I2580" s="75">
        <v>0</v>
      </c>
      <c r="J2580" s="75"/>
      <c r="K2580" s="75">
        <v>6.2</v>
      </c>
      <c r="L2580" s="75">
        <v>5201100</v>
      </c>
      <c r="M2580" s="75">
        <v>6.1698000000000004</v>
      </c>
      <c r="N2580" s="75">
        <v>5198400</v>
      </c>
      <c r="O2580" s="90" t="str">
        <f>IF(VLOOKUP(UncLookup[[#This Row],[Item]],Items!$A$1:$F$43,2,FALSE)=0,"",VLOOKUP(UncLookup[[#This Row],[Item]],Items!$A$1:$F$43,2,FALSE))</f>
        <v/>
      </c>
      <c r="P2580" s="90" t="str">
        <f>IF(VLOOKUP(UncLookup[[#This Row],[Item]],Items!$A$1:$F$43,3,FALSE)=0,"",VLOOKUP(UncLookup[[#This Row],[Item]],Items!$A$1:$F$43,3,FALSE))</f>
        <v/>
      </c>
      <c r="Q2580" s="90" t="str">
        <f>IF(VLOOKUP(UncLookup[[#This Row],[Item]],Items!$A$1:$F$43,4,FALSE)=0,"",VLOOKUP(UncLookup[[#This Row],[Item]],Items!$A$1:$F$43,4,FALSE))</f>
        <v/>
      </c>
    </row>
    <row r="2581" spans="1:17" x14ac:dyDescent="0.25">
      <c r="A2581" s="76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90" t="str">
        <f>IF(VLOOKUP(UncLookup[[#This Row],[Item]],Items!$A$1:$F$43,2,FALSE)=0,"",VLOOKUP(UncLookup[[#This Row],[Item]],Items!$A$1:$F$43,2,FALSE))</f>
        <v/>
      </c>
      <c r="P2581" s="90" t="str">
        <f>IF(VLOOKUP(UncLookup[[#This Row],[Item]],Items!$A$1:$F$43,3,FALSE)=0,"",VLOOKUP(UncLookup[[#This Row],[Item]],Items!$A$1:$F$43,3,FALSE))</f>
        <v/>
      </c>
      <c r="Q2581" s="90" t="str">
        <f>IF(VLOOKUP(UncLookup[[#This Row],[Item]],Items!$A$1:$F$43,4,FALSE)=0,"",VLOOKUP(UncLookup[[#This Row],[Item]],Items!$A$1:$F$43,4,FALSE))</f>
        <v/>
      </c>
    </row>
    <row r="2582" spans="1:17" x14ac:dyDescent="0.25">
      <c r="A2582" s="75" t="s">
        <v>70</v>
      </c>
      <c r="B2582" s="75" t="s">
        <v>14</v>
      </c>
      <c r="C2582" s="75">
        <v>9.9999999999999995E-8</v>
      </c>
      <c r="D2582" s="75">
        <v>9.9999999999999995E-7</v>
      </c>
      <c r="E2582" s="75">
        <v>9.9999999999999995E-8</v>
      </c>
      <c r="F2582" s="75" t="s">
        <v>142</v>
      </c>
      <c r="G2582" s="75" t="s">
        <v>15</v>
      </c>
      <c r="H2582" s="75">
        <v>0</v>
      </c>
      <c r="I2582" s="75">
        <v>0</v>
      </c>
      <c r="J2582" s="75"/>
      <c r="K2582" s="75">
        <v>58.094000000000001</v>
      </c>
      <c r="L2582" s="75">
        <v>1100500</v>
      </c>
      <c r="M2582" s="75">
        <v>58.094000000000001</v>
      </c>
      <c r="N2582" s="75">
        <v>1091000</v>
      </c>
      <c r="O2582" s="90" t="str">
        <f>IF(VLOOKUP(UncLookup[[#This Row],[Item]],Items!$A$1:$F$43,2,FALSE)=0,"",VLOOKUP(UncLookup[[#This Row],[Item]],Items!$A$1:$F$43,2,FALSE))</f>
        <v/>
      </c>
      <c r="P2582" s="90" t="str">
        <f>IF(VLOOKUP(UncLookup[[#This Row],[Item]],Items!$A$1:$F$43,3,FALSE)=0,"",VLOOKUP(UncLookup[[#This Row],[Item]],Items!$A$1:$F$43,3,FALSE))</f>
        <v/>
      </c>
      <c r="Q2582" s="90" t="str">
        <f>IF(VLOOKUP(UncLookup[[#This Row],[Item]],Items!$A$1:$F$43,4,FALSE)=0,"",VLOOKUP(UncLookup[[#This Row],[Item]],Items!$A$1:$F$43,4,FALSE))</f>
        <v/>
      </c>
    </row>
    <row r="2583" spans="1:17" x14ac:dyDescent="0.25">
      <c r="A2583" s="76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90" t="str">
        <f>IF(VLOOKUP(UncLookup[[#This Row],[Item]],Items!$A$1:$F$43,2,FALSE)=0,"",VLOOKUP(UncLookup[[#This Row],[Item]],Items!$A$1:$F$43,2,FALSE))</f>
        <v/>
      </c>
      <c r="P2583" s="90" t="str">
        <f>IF(VLOOKUP(UncLookup[[#This Row],[Item]],Items!$A$1:$F$43,3,FALSE)=0,"",VLOOKUP(UncLookup[[#This Row],[Item]],Items!$A$1:$F$43,3,FALSE))</f>
        <v/>
      </c>
      <c r="Q2583" s="90" t="str">
        <f>IF(VLOOKUP(UncLookup[[#This Row],[Item]],Items!$A$1:$F$43,4,FALSE)=0,"",VLOOKUP(UncLookup[[#This Row],[Item]],Items!$A$1:$F$43,4,FALSE))</f>
        <v/>
      </c>
    </row>
    <row r="2584" spans="1:17" x14ac:dyDescent="0.25">
      <c r="A2584" s="75" t="s">
        <v>70</v>
      </c>
      <c r="B2584" s="75" t="s">
        <v>8</v>
      </c>
      <c r="C2584" s="75">
        <v>0</v>
      </c>
      <c r="D2584" s="75">
        <v>0.1</v>
      </c>
      <c r="E2584" s="75">
        <v>9.9999999999999995E-7</v>
      </c>
      <c r="F2584" s="75" t="s">
        <v>6</v>
      </c>
      <c r="G2584" s="75" t="s">
        <v>5</v>
      </c>
      <c r="H2584" s="75">
        <v>2</v>
      </c>
      <c r="I2584" s="75">
        <v>20</v>
      </c>
      <c r="J2584" s="75" t="s">
        <v>10</v>
      </c>
      <c r="K2584" s="75">
        <v>36</v>
      </c>
      <c r="L2584" s="75">
        <v>930</v>
      </c>
      <c r="M2584" s="75">
        <v>35.470999999999997</v>
      </c>
      <c r="N2584" s="75">
        <v>926.49</v>
      </c>
      <c r="O2584" s="90" t="str">
        <f>IF(VLOOKUP(UncLookup[[#This Row],[Item]],Items!$A$1:$F$43,2,FALSE)=0,"",VLOOKUP(UncLookup[[#This Row],[Item]],Items!$A$1:$F$43,2,FALSE))</f>
        <v/>
      </c>
      <c r="P2584" s="90" t="str">
        <f>IF(VLOOKUP(UncLookup[[#This Row],[Item]],Items!$A$1:$F$43,3,FALSE)=0,"",VLOOKUP(UncLookup[[#This Row],[Item]],Items!$A$1:$F$43,3,FALSE))</f>
        <v/>
      </c>
      <c r="Q2584" s="90" t="str">
        <f>IF(VLOOKUP(UncLookup[[#This Row],[Item]],Items!$A$1:$F$43,4,FALSE)=0,"",VLOOKUP(UncLookup[[#This Row],[Item]],Items!$A$1:$F$43,4,FALSE))</f>
        <v/>
      </c>
    </row>
    <row r="2585" spans="1:17" x14ac:dyDescent="0.25">
      <c r="A2585" s="76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90" t="str">
        <f>IF(VLOOKUP(UncLookup[[#This Row],[Item]],Items!$A$1:$F$43,2,FALSE)=0,"",VLOOKUP(UncLookup[[#This Row],[Item]],Items!$A$1:$F$43,2,FALSE))</f>
        <v/>
      </c>
      <c r="P2585" s="90" t="str">
        <f>IF(VLOOKUP(UncLookup[[#This Row],[Item]],Items!$A$1:$F$43,3,FALSE)=0,"",VLOOKUP(UncLookup[[#This Row],[Item]],Items!$A$1:$F$43,3,FALSE))</f>
        <v/>
      </c>
      <c r="Q2585" s="90" t="str">
        <f>IF(VLOOKUP(UncLookup[[#This Row],[Item]],Items!$A$1:$F$43,4,FALSE)=0,"",VLOOKUP(UncLookup[[#This Row],[Item]],Items!$A$1:$F$43,4,FALSE))</f>
        <v/>
      </c>
    </row>
    <row r="2586" spans="1:17" x14ac:dyDescent="0.25">
      <c r="A2586" s="75" t="s">
        <v>70</v>
      </c>
      <c r="B2586" s="75" t="s">
        <v>8</v>
      </c>
      <c r="C2586" s="75">
        <v>0</v>
      </c>
      <c r="D2586" s="75">
        <v>0.1</v>
      </c>
      <c r="E2586" s="75">
        <v>1.0000000000000001E-5</v>
      </c>
      <c r="F2586" s="75" t="s">
        <v>6</v>
      </c>
      <c r="G2586" s="75" t="s">
        <v>5</v>
      </c>
      <c r="H2586" s="75">
        <v>2</v>
      </c>
      <c r="I2586" s="75">
        <v>20</v>
      </c>
      <c r="J2586" s="75" t="s">
        <v>10</v>
      </c>
      <c r="K2586" s="75">
        <v>36</v>
      </c>
      <c r="L2586" s="75">
        <v>923.18</v>
      </c>
      <c r="M2586" s="75">
        <v>35.865000000000002</v>
      </c>
      <c r="N2586" s="75">
        <v>923.15</v>
      </c>
      <c r="O2586" s="90" t="str">
        <f>IF(VLOOKUP(UncLookup[[#This Row],[Item]],Items!$A$1:$F$43,2,FALSE)=0,"",VLOOKUP(UncLookup[[#This Row],[Item]],Items!$A$1:$F$43,2,FALSE))</f>
        <v/>
      </c>
      <c r="P2586" s="90" t="str">
        <f>IF(VLOOKUP(UncLookup[[#This Row],[Item]],Items!$A$1:$F$43,3,FALSE)=0,"",VLOOKUP(UncLookup[[#This Row],[Item]],Items!$A$1:$F$43,3,FALSE))</f>
        <v/>
      </c>
      <c r="Q2586" s="90" t="str">
        <f>IF(VLOOKUP(UncLookup[[#This Row],[Item]],Items!$A$1:$F$43,4,FALSE)=0,"",VLOOKUP(UncLookup[[#This Row],[Item]],Items!$A$1:$F$43,4,FALSE))</f>
        <v/>
      </c>
    </row>
    <row r="2587" spans="1:17" x14ac:dyDescent="0.25">
      <c r="A2587" s="76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90" t="str">
        <f>IF(VLOOKUP(UncLookup[[#This Row],[Item]],Items!$A$1:$F$43,2,FALSE)=0,"",VLOOKUP(UncLookup[[#This Row],[Item]],Items!$A$1:$F$43,2,FALSE))</f>
        <v/>
      </c>
      <c r="P2587" s="90" t="str">
        <f>IF(VLOOKUP(UncLookup[[#This Row],[Item]],Items!$A$1:$F$43,3,FALSE)=0,"",VLOOKUP(UncLookup[[#This Row],[Item]],Items!$A$1:$F$43,3,FALSE))</f>
        <v/>
      </c>
      <c r="Q2587" s="90" t="str">
        <f>IF(VLOOKUP(UncLookup[[#This Row],[Item]],Items!$A$1:$F$43,4,FALSE)=0,"",VLOOKUP(UncLookup[[#This Row],[Item]],Items!$A$1:$F$43,4,FALSE))</f>
        <v/>
      </c>
    </row>
    <row r="2588" spans="1:17" x14ac:dyDescent="0.25">
      <c r="A2588" s="75" t="s">
        <v>70</v>
      </c>
      <c r="B2588" s="75" t="s">
        <v>8</v>
      </c>
      <c r="C2588" s="75">
        <v>0</v>
      </c>
      <c r="D2588" s="75">
        <v>0.1</v>
      </c>
      <c r="E2588" s="75">
        <v>1E-4</v>
      </c>
      <c r="F2588" s="75" t="s">
        <v>6</v>
      </c>
      <c r="G2588" s="75" t="s">
        <v>5</v>
      </c>
      <c r="H2588" s="75">
        <v>2</v>
      </c>
      <c r="I2588" s="75">
        <v>20</v>
      </c>
      <c r="J2588" s="75" t="s">
        <v>10</v>
      </c>
      <c r="K2588" s="75">
        <v>67.126000000000005</v>
      </c>
      <c r="L2588" s="75">
        <v>727.32</v>
      </c>
      <c r="M2588" s="75">
        <v>67.116</v>
      </c>
      <c r="N2588" s="75">
        <v>727.12</v>
      </c>
      <c r="O2588" s="90" t="str">
        <f>IF(VLOOKUP(UncLookup[[#This Row],[Item]],Items!$A$1:$F$43,2,FALSE)=0,"",VLOOKUP(UncLookup[[#This Row],[Item]],Items!$A$1:$F$43,2,FALSE))</f>
        <v/>
      </c>
      <c r="P2588" s="90" t="str">
        <f>IF(VLOOKUP(UncLookup[[#This Row],[Item]],Items!$A$1:$F$43,3,FALSE)=0,"",VLOOKUP(UncLookup[[#This Row],[Item]],Items!$A$1:$F$43,3,FALSE))</f>
        <v/>
      </c>
      <c r="Q2588" s="90" t="str">
        <f>IF(VLOOKUP(UncLookup[[#This Row],[Item]],Items!$A$1:$F$43,4,FALSE)=0,"",VLOOKUP(UncLookup[[#This Row],[Item]],Items!$A$1:$F$43,4,FALSE))</f>
        <v/>
      </c>
    </row>
    <row r="2589" spans="1:17" x14ac:dyDescent="0.25">
      <c r="A2589" s="76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90" t="str">
        <f>IF(VLOOKUP(UncLookup[[#This Row],[Item]],Items!$A$1:$F$43,2,FALSE)=0,"",VLOOKUP(UncLookup[[#This Row],[Item]],Items!$A$1:$F$43,2,FALSE))</f>
        <v/>
      </c>
      <c r="P2589" s="90" t="str">
        <f>IF(VLOOKUP(UncLookup[[#This Row],[Item]],Items!$A$1:$F$43,3,FALSE)=0,"",VLOOKUP(UncLookup[[#This Row],[Item]],Items!$A$1:$F$43,3,FALSE))</f>
        <v/>
      </c>
      <c r="Q2589" s="90" t="str">
        <f>IF(VLOOKUP(UncLookup[[#This Row],[Item]],Items!$A$1:$F$43,4,FALSE)=0,"",VLOOKUP(UncLookup[[#This Row],[Item]],Items!$A$1:$F$43,4,FALSE))</f>
        <v/>
      </c>
    </row>
    <row r="2590" spans="1:17" x14ac:dyDescent="0.25">
      <c r="A2590" s="75" t="s">
        <v>70</v>
      </c>
      <c r="B2590" s="75" t="s">
        <v>8</v>
      </c>
      <c r="C2590" s="75">
        <v>0</v>
      </c>
      <c r="D2590" s="75">
        <v>0.1</v>
      </c>
      <c r="E2590" s="75">
        <v>1E-3</v>
      </c>
      <c r="F2590" s="75" t="s">
        <v>6</v>
      </c>
      <c r="G2590" s="75" t="s">
        <v>5</v>
      </c>
      <c r="H2590" s="75">
        <v>0.01</v>
      </c>
      <c r="I2590" s="75">
        <v>2</v>
      </c>
      <c r="J2590" s="75" t="s">
        <v>10</v>
      </c>
      <c r="K2590" s="75">
        <v>578.33000000000004</v>
      </c>
      <c r="L2590" s="75">
        <v>131.69</v>
      </c>
      <c r="M2590" s="75">
        <v>578.32000000000005</v>
      </c>
      <c r="N2590" s="75">
        <v>131.46</v>
      </c>
      <c r="O2590" s="90" t="str">
        <f>IF(VLOOKUP(UncLookup[[#This Row],[Item]],Items!$A$1:$F$43,2,FALSE)=0,"",VLOOKUP(UncLookup[[#This Row],[Item]],Items!$A$1:$F$43,2,FALSE))</f>
        <v/>
      </c>
      <c r="P2590" s="90" t="str">
        <f>IF(VLOOKUP(UncLookup[[#This Row],[Item]],Items!$A$1:$F$43,3,FALSE)=0,"",VLOOKUP(UncLookup[[#This Row],[Item]],Items!$A$1:$F$43,3,FALSE))</f>
        <v/>
      </c>
      <c r="Q2590" s="90" t="str">
        <f>IF(VLOOKUP(UncLookup[[#This Row],[Item]],Items!$A$1:$F$43,4,FALSE)=0,"",VLOOKUP(UncLookup[[#This Row],[Item]],Items!$A$1:$F$43,4,FALSE))</f>
        <v/>
      </c>
    </row>
    <row r="2591" spans="1:17" x14ac:dyDescent="0.25">
      <c r="A2591" s="76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90" t="str">
        <f>IF(VLOOKUP(UncLookup[[#This Row],[Item]],Items!$A$1:$F$43,2,FALSE)=0,"",VLOOKUP(UncLookup[[#This Row],[Item]],Items!$A$1:$F$43,2,FALSE))</f>
        <v/>
      </c>
      <c r="P2591" s="90" t="str">
        <f>IF(VLOOKUP(UncLookup[[#This Row],[Item]],Items!$A$1:$F$43,3,FALSE)=0,"",VLOOKUP(UncLookup[[#This Row],[Item]],Items!$A$1:$F$43,3,FALSE))</f>
        <v/>
      </c>
      <c r="Q2591" s="90" t="str">
        <f>IF(VLOOKUP(UncLookup[[#This Row],[Item]],Items!$A$1:$F$43,4,FALSE)=0,"",VLOOKUP(UncLookup[[#This Row],[Item]],Items!$A$1:$F$43,4,FALSE))</f>
        <v/>
      </c>
    </row>
    <row r="2592" spans="1:17" x14ac:dyDescent="0.25">
      <c r="A2592" s="75" t="s">
        <v>70</v>
      </c>
      <c r="B2592" s="75" t="s">
        <v>8</v>
      </c>
      <c r="C2592" s="75">
        <v>0</v>
      </c>
      <c r="D2592" s="75">
        <v>0.1</v>
      </c>
      <c r="E2592" s="75">
        <v>0.01</v>
      </c>
      <c r="F2592" s="75" t="s">
        <v>6</v>
      </c>
      <c r="G2592" s="75" t="s">
        <v>5</v>
      </c>
      <c r="H2592" s="75">
        <v>2</v>
      </c>
      <c r="I2592" s="75">
        <v>20</v>
      </c>
      <c r="J2592" s="75" t="s">
        <v>10</v>
      </c>
      <c r="K2592" s="75">
        <v>5773.7</v>
      </c>
      <c r="L2592" s="75">
        <v>13.173</v>
      </c>
      <c r="M2592" s="75">
        <v>5773.6</v>
      </c>
      <c r="N2592" s="75">
        <v>13.074999999999999</v>
      </c>
      <c r="O2592" s="90" t="str">
        <f>IF(VLOOKUP(UncLookup[[#This Row],[Item]],Items!$A$1:$F$43,2,FALSE)=0,"",VLOOKUP(UncLookup[[#This Row],[Item]],Items!$A$1:$F$43,2,FALSE))</f>
        <v/>
      </c>
      <c r="P2592" s="90" t="str">
        <f>IF(VLOOKUP(UncLookup[[#This Row],[Item]],Items!$A$1:$F$43,3,FALSE)=0,"",VLOOKUP(UncLookup[[#This Row],[Item]],Items!$A$1:$F$43,3,FALSE))</f>
        <v/>
      </c>
      <c r="Q2592" s="90" t="str">
        <f>IF(VLOOKUP(UncLookup[[#This Row],[Item]],Items!$A$1:$F$43,4,FALSE)=0,"",VLOOKUP(UncLookup[[#This Row],[Item]],Items!$A$1:$F$43,4,FALSE))</f>
        <v/>
      </c>
    </row>
    <row r="2593" spans="1:17" x14ac:dyDescent="0.25">
      <c r="A2593" s="76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90" t="str">
        <f>IF(VLOOKUP(UncLookup[[#This Row],[Item]],Items!$A$1:$F$43,2,FALSE)=0,"",VLOOKUP(UncLookup[[#This Row],[Item]],Items!$A$1:$F$43,2,FALSE))</f>
        <v/>
      </c>
      <c r="P2593" s="90" t="str">
        <f>IF(VLOOKUP(UncLookup[[#This Row],[Item]],Items!$A$1:$F$43,3,FALSE)=0,"",VLOOKUP(UncLookup[[#This Row],[Item]],Items!$A$1:$F$43,3,FALSE))</f>
        <v/>
      </c>
      <c r="Q2593" s="90" t="str">
        <f>IF(VLOOKUP(UncLookup[[#This Row],[Item]],Items!$A$1:$F$43,4,FALSE)=0,"",VLOOKUP(UncLookup[[#This Row],[Item]],Items!$A$1:$F$43,4,FALSE))</f>
        <v/>
      </c>
    </row>
    <row r="2594" spans="1:17" x14ac:dyDescent="0.25">
      <c r="A2594" s="75" t="s">
        <v>70</v>
      </c>
      <c r="B2594" s="75" t="s">
        <v>8</v>
      </c>
      <c r="C2594" s="75">
        <v>0.1</v>
      </c>
      <c r="D2594" s="75">
        <v>1</v>
      </c>
      <c r="E2594" s="75">
        <v>1.0000000000000001E-5</v>
      </c>
      <c r="F2594" s="75" t="s">
        <v>6</v>
      </c>
      <c r="G2594" s="75" t="s">
        <v>5</v>
      </c>
      <c r="H2594" s="75">
        <v>2</v>
      </c>
      <c r="I2594" s="75">
        <v>20</v>
      </c>
      <c r="J2594" s="75" t="s">
        <v>10</v>
      </c>
      <c r="K2594" s="75">
        <v>850</v>
      </c>
      <c r="L2594" s="75">
        <v>1700</v>
      </c>
      <c r="M2594" s="75">
        <v>808.55</v>
      </c>
      <c r="N2594" s="75">
        <v>1738.9</v>
      </c>
      <c r="O2594" s="90" t="str">
        <f>IF(VLOOKUP(UncLookup[[#This Row],[Item]],Items!$A$1:$F$43,2,FALSE)=0,"",VLOOKUP(UncLookup[[#This Row],[Item]],Items!$A$1:$F$43,2,FALSE))</f>
        <v/>
      </c>
      <c r="P2594" s="90" t="str">
        <f>IF(VLOOKUP(UncLookup[[#This Row],[Item]],Items!$A$1:$F$43,3,FALSE)=0,"",VLOOKUP(UncLookup[[#This Row],[Item]],Items!$A$1:$F$43,3,FALSE))</f>
        <v/>
      </c>
      <c r="Q2594" s="90" t="str">
        <f>IF(VLOOKUP(UncLookup[[#This Row],[Item]],Items!$A$1:$F$43,4,FALSE)=0,"",VLOOKUP(UncLookup[[#This Row],[Item]],Items!$A$1:$F$43,4,FALSE))</f>
        <v/>
      </c>
    </row>
    <row r="2595" spans="1:17" x14ac:dyDescent="0.25">
      <c r="A2595" s="76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90" t="str">
        <f>IF(VLOOKUP(UncLookup[[#This Row],[Item]],Items!$A$1:$F$43,2,FALSE)=0,"",VLOOKUP(UncLookup[[#This Row],[Item]],Items!$A$1:$F$43,2,FALSE))</f>
        <v/>
      </c>
      <c r="P2595" s="90" t="str">
        <f>IF(VLOOKUP(UncLookup[[#This Row],[Item]],Items!$A$1:$F$43,3,FALSE)=0,"",VLOOKUP(UncLookup[[#This Row],[Item]],Items!$A$1:$F$43,3,FALSE))</f>
        <v/>
      </c>
      <c r="Q2595" s="90" t="str">
        <f>IF(VLOOKUP(UncLookup[[#This Row],[Item]],Items!$A$1:$F$43,4,FALSE)=0,"",VLOOKUP(UncLookup[[#This Row],[Item]],Items!$A$1:$F$43,4,FALSE))</f>
        <v/>
      </c>
    </row>
    <row r="2596" spans="1:17" x14ac:dyDescent="0.25">
      <c r="A2596" s="75" t="s">
        <v>70</v>
      </c>
      <c r="B2596" s="75" t="s">
        <v>8</v>
      </c>
      <c r="C2596" s="75">
        <v>0.1</v>
      </c>
      <c r="D2596" s="75">
        <v>1</v>
      </c>
      <c r="E2596" s="75">
        <v>1E-4</v>
      </c>
      <c r="F2596" s="75" t="s">
        <v>6</v>
      </c>
      <c r="G2596" s="75" t="s">
        <v>5</v>
      </c>
      <c r="H2596" s="75">
        <v>0.01</v>
      </c>
      <c r="I2596" s="75">
        <v>2</v>
      </c>
      <c r="J2596" s="75" t="s">
        <v>10</v>
      </c>
      <c r="K2596" s="75">
        <v>351.19</v>
      </c>
      <c r="L2596" s="75">
        <v>934.51</v>
      </c>
      <c r="M2596" s="75">
        <v>351.16</v>
      </c>
      <c r="N2596" s="75">
        <v>934.46</v>
      </c>
      <c r="O2596" s="90" t="str">
        <f>IF(VLOOKUP(UncLookup[[#This Row],[Item]],Items!$A$1:$F$43,2,FALSE)=0,"",VLOOKUP(UncLookup[[#This Row],[Item]],Items!$A$1:$F$43,2,FALSE))</f>
        <v/>
      </c>
      <c r="P2596" s="90" t="str">
        <f>IF(VLOOKUP(UncLookup[[#This Row],[Item]],Items!$A$1:$F$43,3,FALSE)=0,"",VLOOKUP(UncLookup[[#This Row],[Item]],Items!$A$1:$F$43,3,FALSE))</f>
        <v/>
      </c>
      <c r="Q2596" s="90" t="str">
        <f>IF(VLOOKUP(UncLookup[[#This Row],[Item]],Items!$A$1:$F$43,4,FALSE)=0,"",VLOOKUP(UncLookup[[#This Row],[Item]],Items!$A$1:$F$43,4,FALSE))</f>
        <v/>
      </c>
    </row>
    <row r="2597" spans="1:17" x14ac:dyDescent="0.25">
      <c r="A2597" s="76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90" t="str">
        <f>IF(VLOOKUP(UncLookup[[#This Row],[Item]],Items!$A$1:$F$43,2,FALSE)=0,"",VLOOKUP(UncLookup[[#This Row],[Item]],Items!$A$1:$F$43,2,FALSE))</f>
        <v/>
      </c>
      <c r="P2597" s="90" t="str">
        <f>IF(VLOOKUP(UncLookup[[#This Row],[Item]],Items!$A$1:$F$43,3,FALSE)=0,"",VLOOKUP(UncLookup[[#This Row],[Item]],Items!$A$1:$F$43,3,FALSE))</f>
        <v/>
      </c>
      <c r="Q2597" s="90" t="str">
        <f>IF(VLOOKUP(UncLookup[[#This Row],[Item]],Items!$A$1:$F$43,4,FALSE)=0,"",VLOOKUP(UncLookup[[#This Row],[Item]],Items!$A$1:$F$43,4,FALSE))</f>
        <v/>
      </c>
    </row>
    <row r="2598" spans="1:17" x14ac:dyDescent="0.25">
      <c r="A2598" s="75" t="s">
        <v>70</v>
      </c>
      <c r="B2598" s="75" t="s">
        <v>8</v>
      </c>
      <c r="C2598" s="75">
        <v>0.1</v>
      </c>
      <c r="D2598" s="75">
        <v>1</v>
      </c>
      <c r="E2598" s="75">
        <v>1E-3</v>
      </c>
      <c r="F2598" s="75" t="s">
        <v>6</v>
      </c>
      <c r="G2598" s="75" t="s">
        <v>5</v>
      </c>
      <c r="H2598" s="75">
        <v>2</v>
      </c>
      <c r="I2598" s="75">
        <v>20</v>
      </c>
      <c r="J2598" s="75" t="s">
        <v>10</v>
      </c>
      <c r="K2598" s="75">
        <v>976.25</v>
      </c>
      <c r="L2598" s="75">
        <v>1636.3</v>
      </c>
      <c r="M2598" s="75">
        <v>975.89</v>
      </c>
      <c r="N2598" s="75">
        <v>1636.2</v>
      </c>
      <c r="O2598" s="90" t="str">
        <f>IF(VLOOKUP(UncLookup[[#This Row],[Item]],Items!$A$1:$F$43,2,FALSE)=0,"",VLOOKUP(UncLookup[[#This Row],[Item]],Items!$A$1:$F$43,2,FALSE))</f>
        <v/>
      </c>
      <c r="P2598" s="90" t="str">
        <f>IF(VLOOKUP(UncLookup[[#This Row],[Item]],Items!$A$1:$F$43,3,FALSE)=0,"",VLOOKUP(UncLookup[[#This Row],[Item]],Items!$A$1:$F$43,3,FALSE))</f>
        <v/>
      </c>
      <c r="Q2598" s="90" t="str">
        <f>IF(VLOOKUP(UncLookup[[#This Row],[Item]],Items!$A$1:$F$43,4,FALSE)=0,"",VLOOKUP(UncLookup[[#This Row],[Item]],Items!$A$1:$F$43,4,FALSE))</f>
        <v/>
      </c>
    </row>
    <row r="2599" spans="1:17" x14ac:dyDescent="0.25">
      <c r="A2599" s="76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90" t="str">
        <f>IF(VLOOKUP(UncLookup[[#This Row],[Item]],Items!$A$1:$F$43,2,FALSE)=0,"",VLOOKUP(UncLookup[[#This Row],[Item]],Items!$A$1:$F$43,2,FALSE))</f>
        <v/>
      </c>
      <c r="P2599" s="90" t="str">
        <f>IF(VLOOKUP(UncLookup[[#This Row],[Item]],Items!$A$1:$F$43,3,FALSE)=0,"",VLOOKUP(UncLookup[[#This Row],[Item]],Items!$A$1:$F$43,3,FALSE))</f>
        <v/>
      </c>
      <c r="Q2599" s="90" t="str">
        <f>IF(VLOOKUP(UncLookup[[#This Row],[Item]],Items!$A$1:$F$43,4,FALSE)=0,"",VLOOKUP(UncLookup[[#This Row],[Item]],Items!$A$1:$F$43,4,FALSE))</f>
        <v/>
      </c>
    </row>
    <row r="2600" spans="1:17" x14ac:dyDescent="0.25">
      <c r="A2600" s="75" t="s">
        <v>70</v>
      </c>
      <c r="B2600" s="75" t="s">
        <v>8</v>
      </c>
      <c r="C2600" s="75">
        <v>0.1</v>
      </c>
      <c r="D2600" s="75">
        <v>1</v>
      </c>
      <c r="E2600" s="75">
        <v>0.01</v>
      </c>
      <c r="F2600" s="75" t="s">
        <v>6</v>
      </c>
      <c r="G2600" s="75" t="s">
        <v>5</v>
      </c>
      <c r="H2600" s="75">
        <v>0.01</v>
      </c>
      <c r="I2600" s="75">
        <v>2</v>
      </c>
      <c r="J2600" s="75" t="s">
        <v>10</v>
      </c>
      <c r="K2600" s="75">
        <v>5776.6</v>
      </c>
      <c r="L2600" s="75">
        <v>138.38999999999999</v>
      </c>
      <c r="M2600" s="75">
        <v>5776.5</v>
      </c>
      <c r="N2600" s="75">
        <v>138.13</v>
      </c>
      <c r="O2600" s="90" t="str">
        <f>IF(VLOOKUP(UncLookup[[#This Row],[Item]],Items!$A$1:$F$43,2,FALSE)=0,"",VLOOKUP(UncLookup[[#This Row],[Item]],Items!$A$1:$F$43,2,FALSE))</f>
        <v/>
      </c>
      <c r="P2600" s="90" t="str">
        <f>IF(VLOOKUP(UncLookup[[#This Row],[Item]],Items!$A$1:$F$43,3,FALSE)=0,"",VLOOKUP(UncLookup[[#This Row],[Item]],Items!$A$1:$F$43,3,FALSE))</f>
        <v/>
      </c>
      <c r="Q2600" s="90" t="str">
        <f>IF(VLOOKUP(UncLookup[[#This Row],[Item]],Items!$A$1:$F$43,4,FALSE)=0,"",VLOOKUP(UncLookup[[#This Row],[Item]],Items!$A$1:$F$43,4,FALSE))</f>
        <v/>
      </c>
    </row>
    <row r="2601" spans="1:17" x14ac:dyDescent="0.25">
      <c r="A2601" s="76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90" t="str">
        <f>IF(VLOOKUP(UncLookup[[#This Row],[Item]],Items!$A$1:$F$43,2,FALSE)=0,"",VLOOKUP(UncLookup[[#This Row],[Item]],Items!$A$1:$F$43,2,FALSE))</f>
        <v/>
      </c>
      <c r="P2601" s="90" t="str">
        <f>IF(VLOOKUP(UncLookup[[#This Row],[Item]],Items!$A$1:$F$43,3,FALSE)=0,"",VLOOKUP(UncLookup[[#This Row],[Item]],Items!$A$1:$F$43,3,FALSE))</f>
        <v/>
      </c>
      <c r="Q2601" s="90" t="str">
        <f>IF(VLOOKUP(UncLookup[[#This Row],[Item]],Items!$A$1:$F$43,4,FALSE)=0,"",VLOOKUP(UncLookup[[#This Row],[Item]],Items!$A$1:$F$43,4,FALSE))</f>
        <v/>
      </c>
    </row>
    <row r="2602" spans="1:17" x14ac:dyDescent="0.25">
      <c r="A2602" s="75" t="s">
        <v>70</v>
      </c>
      <c r="B2602" s="75" t="s">
        <v>8</v>
      </c>
      <c r="C2602" s="75">
        <v>0.1</v>
      </c>
      <c r="D2602" s="75">
        <v>1</v>
      </c>
      <c r="E2602" s="75">
        <v>0.1</v>
      </c>
      <c r="F2602" s="75" t="s">
        <v>6</v>
      </c>
      <c r="G2602" s="75" t="s">
        <v>5</v>
      </c>
      <c r="H2602" s="75">
        <v>2</v>
      </c>
      <c r="I2602" s="75">
        <v>20</v>
      </c>
      <c r="J2602" s="75" t="s">
        <v>10</v>
      </c>
      <c r="K2602" s="75">
        <v>57739</v>
      </c>
      <c r="L2602" s="75">
        <v>53.381</v>
      </c>
      <c r="M2602" s="75">
        <v>57739</v>
      </c>
      <c r="N2602" s="75">
        <v>53.128</v>
      </c>
      <c r="O2602" s="90" t="str">
        <f>IF(VLOOKUP(UncLookup[[#This Row],[Item]],Items!$A$1:$F$43,2,FALSE)=0,"",VLOOKUP(UncLookup[[#This Row],[Item]],Items!$A$1:$F$43,2,FALSE))</f>
        <v/>
      </c>
      <c r="P2602" s="90" t="str">
        <f>IF(VLOOKUP(UncLookup[[#This Row],[Item]],Items!$A$1:$F$43,3,FALSE)=0,"",VLOOKUP(UncLookup[[#This Row],[Item]],Items!$A$1:$F$43,3,FALSE))</f>
        <v/>
      </c>
      <c r="Q2602" s="90" t="str">
        <f>IF(VLOOKUP(UncLookup[[#This Row],[Item]],Items!$A$1:$F$43,4,FALSE)=0,"",VLOOKUP(UncLookup[[#This Row],[Item]],Items!$A$1:$F$43,4,FALSE))</f>
        <v/>
      </c>
    </row>
    <row r="2603" spans="1:17" x14ac:dyDescent="0.25">
      <c r="A2603" s="76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90" t="str">
        <f>IF(VLOOKUP(UncLookup[[#This Row],[Item]],Items!$A$1:$F$43,2,FALSE)=0,"",VLOOKUP(UncLookup[[#This Row],[Item]],Items!$A$1:$F$43,2,FALSE))</f>
        <v/>
      </c>
      <c r="P2603" s="90" t="str">
        <f>IF(VLOOKUP(UncLookup[[#This Row],[Item]],Items!$A$1:$F$43,3,FALSE)=0,"",VLOOKUP(UncLookup[[#This Row],[Item]],Items!$A$1:$F$43,3,FALSE))</f>
        <v/>
      </c>
      <c r="Q2603" s="90" t="str">
        <f>IF(VLOOKUP(UncLookup[[#This Row],[Item]],Items!$A$1:$F$43,4,FALSE)=0,"",VLOOKUP(UncLookup[[#This Row],[Item]],Items!$A$1:$F$43,4,FALSE))</f>
        <v/>
      </c>
    </row>
    <row r="2604" spans="1:17" x14ac:dyDescent="0.25">
      <c r="A2604" s="75" t="s">
        <v>70</v>
      </c>
      <c r="B2604" s="75" t="s">
        <v>8</v>
      </c>
      <c r="C2604" s="75">
        <v>1</v>
      </c>
      <c r="D2604" s="75">
        <v>10</v>
      </c>
      <c r="E2604" s="75">
        <v>1E-4</v>
      </c>
      <c r="F2604" s="75" t="s">
        <v>6</v>
      </c>
      <c r="G2604" s="75" t="s">
        <v>4</v>
      </c>
      <c r="H2604" s="75">
        <v>0.01</v>
      </c>
      <c r="I2604" s="75">
        <v>2</v>
      </c>
      <c r="J2604" s="75" t="s">
        <v>10</v>
      </c>
      <c r="K2604" s="75">
        <v>3.5</v>
      </c>
      <c r="L2604" s="75">
        <v>0.94</v>
      </c>
      <c r="M2604" s="75">
        <v>3.4754999999999998</v>
      </c>
      <c r="N2604" s="75">
        <v>0.93718000000000001</v>
      </c>
      <c r="O2604" s="90" t="str">
        <f>IF(VLOOKUP(UncLookup[[#This Row],[Item]],Items!$A$1:$F$43,2,FALSE)=0,"",VLOOKUP(UncLookup[[#This Row],[Item]],Items!$A$1:$F$43,2,FALSE))</f>
        <v/>
      </c>
      <c r="P2604" s="90" t="str">
        <f>IF(VLOOKUP(UncLookup[[#This Row],[Item]],Items!$A$1:$F$43,3,FALSE)=0,"",VLOOKUP(UncLookup[[#This Row],[Item]],Items!$A$1:$F$43,3,FALSE))</f>
        <v/>
      </c>
      <c r="Q2604" s="90" t="str">
        <f>IF(VLOOKUP(UncLookup[[#This Row],[Item]],Items!$A$1:$F$43,4,FALSE)=0,"",VLOOKUP(UncLookup[[#This Row],[Item]],Items!$A$1:$F$43,4,FALSE))</f>
        <v/>
      </c>
    </row>
    <row r="2605" spans="1:17" x14ac:dyDescent="0.25">
      <c r="A2605" s="76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90" t="str">
        <f>IF(VLOOKUP(UncLookup[[#This Row],[Item]],Items!$A$1:$F$43,2,FALSE)=0,"",VLOOKUP(UncLookup[[#This Row],[Item]],Items!$A$1:$F$43,2,FALSE))</f>
        <v/>
      </c>
      <c r="P2605" s="90" t="str">
        <f>IF(VLOOKUP(UncLookup[[#This Row],[Item]],Items!$A$1:$F$43,3,FALSE)=0,"",VLOOKUP(UncLookup[[#This Row],[Item]],Items!$A$1:$F$43,3,FALSE))</f>
        <v/>
      </c>
      <c r="Q2605" s="90" t="str">
        <f>IF(VLOOKUP(UncLookup[[#This Row],[Item]],Items!$A$1:$F$43,4,FALSE)=0,"",VLOOKUP(UncLookup[[#This Row],[Item]],Items!$A$1:$F$43,4,FALSE))</f>
        <v/>
      </c>
    </row>
    <row r="2606" spans="1:17" x14ac:dyDescent="0.25">
      <c r="A2606" s="75" t="s">
        <v>70</v>
      </c>
      <c r="B2606" s="75" t="s">
        <v>8</v>
      </c>
      <c r="C2606" s="75">
        <v>1</v>
      </c>
      <c r="D2606" s="75">
        <v>10</v>
      </c>
      <c r="E2606" s="75">
        <v>1E-3</v>
      </c>
      <c r="F2606" s="75" t="s">
        <v>6</v>
      </c>
      <c r="G2606" s="75" t="s">
        <v>4</v>
      </c>
      <c r="H2606" s="75">
        <v>0.01</v>
      </c>
      <c r="I2606" s="75">
        <v>2</v>
      </c>
      <c r="J2606" s="75" t="s">
        <v>10</v>
      </c>
      <c r="K2606" s="75">
        <v>3.5127000000000002</v>
      </c>
      <c r="L2606" s="75">
        <v>0.93464999999999998</v>
      </c>
      <c r="M2606" s="75">
        <v>3.5116000000000001</v>
      </c>
      <c r="N2606" s="75">
        <v>0.93445999999999996</v>
      </c>
      <c r="O2606" s="90" t="str">
        <f>IF(VLOOKUP(UncLookup[[#This Row],[Item]],Items!$A$1:$F$43,2,FALSE)=0,"",VLOOKUP(UncLookup[[#This Row],[Item]],Items!$A$1:$F$43,2,FALSE))</f>
        <v/>
      </c>
      <c r="P2606" s="90" t="str">
        <f>IF(VLOOKUP(UncLookup[[#This Row],[Item]],Items!$A$1:$F$43,3,FALSE)=0,"",VLOOKUP(UncLookup[[#This Row],[Item]],Items!$A$1:$F$43,3,FALSE))</f>
        <v/>
      </c>
      <c r="Q2606" s="90" t="str">
        <f>IF(VLOOKUP(UncLookup[[#This Row],[Item]],Items!$A$1:$F$43,4,FALSE)=0,"",VLOOKUP(UncLookup[[#This Row],[Item]],Items!$A$1:$F$43,4,FALSE))</f>
        <v/>
      </c>
    </row>
    <row r="2607" spans="1:17" x14ac:dyDescent="0.25">
      <c r="A2607" s="76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90" t="str">
        <f>IF(VLOOKUP(UncLookup[[#This Row],[Item]],Items!$A$1:$F$43,2,FALSE)=0,"",VLOOKUP(UncLookup[[#This Row],[Item]],Items!$A$1:$F$43,2,FALSE))</f>
        <v/>
      </c>
      <c r="P2607" s="90" t="str">
        <f>IF(VLOOKUP(UncLookup[[#This Row],[Item]],Items!$A$1:$F$43,3,FALSE)=0,"",VLOOKUP(UncLookup[[#This Row],[Item]],Items!$A$1:$F$43,3,FALSE))</f>
        <v/>
      </c>
      <c r="Q2607" s="90" t="str">
        <f>IF(VLOOKUP(UncLookup[[#This Row],[Item]],Items!$A$1:$F$43,4,FALSE)=0,"",VLOOKUP(UncLookup[[#This Row],[Item]],Items!$A$1:$F$43,4,FALSE))</f>
        <v/>
      </c>
    </row>
    <row r="2608" spans="1:17" x14ac:dyDescent="0.25">
      <c r="A2608" s="75" t="s">
        <v>70</v>
      </c>
      <c r="B2608" s="75" t="s">
        <v>8</v>
      </c>
      <c r="C2608" s="75">
        <v>1</v>
      </c>
      <c r="D2608" s="75">
        <v>10</v>
      </c>
      <c r="E2608" s="75">
        <v>0.01</v>
      </c>
      <c r="F2608" s="75" t="s">
        <v>6</v>
      </c>
      <c r="G2608" s="75" t="s">
        <v>4</v>
      </c>
      <c r="H2608" s="75">
        <v>2</v>
      </c>
      <c r="I2608" s="75">
        <v>20</v>
      </c>
      <c r="J2608" s="75" t="s">
        <v>10</v>
      </c>
      <c r="K2608" s="75">
        <v>9.8125999999999998</v>
      </c>
      <c r="L2608" s="75">
        <v>1.6513</v>
      </c>
      <c r="M2608" s="75">
        <v>9.7989999999999995</v>
      </c>
      <c r="N2608" s="75">
        <v>1.6514</v>
      </c>
      <c r="O2608" s="90" t="str">
        <f>IF(VLOOKUP(UncLookup[[#This Row],[Item]],Items!$A$1:$F$43,2,FALSE)=0,"",VLOOKUP(UncLookup[[#This Row],[Item]],Items!$A$1:$F$43,2,FALSE))</f>
        <v/>
      </c>
      <c r="P2608" s="90" t="str">
        <f>IF(VLOOKUP(UncLookup[[#This Row],[Item]],Items!$A$1:$F$43,3,FALSE)=0,"",VLOOKUP(UncLookup[[#This Row],[Item]],Items!$A$1:$F$43,3,FALSE))</f>
        <v/>
      </c>
      <c r="Q2608" s="90" t="str">
        <f>IF(VLOOKUP(UncLookup[[#This Row],[Item]],Items!$A$1:$F$43,4,FALSE)=0,"",VLOOKUP(UncLookup[[#This Row],[Item]],Items!$A$1:$F$43,4,FALSE))</f>
        <v/>
      </c>
    </row>
    <row r="2609" spans="1:17" x14ac:dyDescent="0.25">
      <c r="A2609" s="76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90" t="str">
        <f>IF(VLOOKUP(UncLookup[[#This Row],[Item]],Items!$A$1:$F$43,2,FALSE)=0,"",VLOOKUP(UncLookup[[#This Row],[Item]],Items!$A$1:$F$43,2,FALSE))</f>
        <v/>
      </c>
      <c r="P2609" s="90" t="str">
        <f>IF(VLOOKUP(UncLookup[[#This Row],[Item]],Items!$A$1:$F$43,3,FALSE)=0,"",VLOOKUP(UncLookup[[#This Row],[Item]],Items!$A$1:$F$43,3,FALSE))</f>
        <v/>
      </c>
      <c r="Q2609" s="90" t="str">
        <f>IF(VLOOKUP(UncLookup[[#This Row],[Item]],Items!$A$1:$F$43,4,FALSE)=0,"",VLOOKUP(UncLookup[[#This Row],[Item]],Items!$A$1:$F$43,4,FALSE))</f>
        <v/>
      </c>
    </row>
    <row r="2610" spans="1:17" x14ac:dyDescent="0.25">
      <c r="A2610" s="75" t="s">
        <v>70</v>
      </c>
      <c r="B2610" s="75" t="s">
        <v>8</v>
      </c>
      <c r="C2610" s="75">
        <v>1</v>
      </c>
      <c r="D2610" s="75">
        <v>10</v>
      </c>
      <c r="E2610" s="75">
        <v>0.1</v>
      </c>
      <c r="F2610" s="75" t="s">
        <v>6</v>
      </c>
      <c r="G2610" s="75" t="s">
        <v>4</v>
      </c>
      <c r="H2610" s="75">
        <v>0.01</v>
      </c>
      <c r="I2610" s="75">
        <v>2</v>
      </c>
      <c r="J2610" s="75" t="s">
        <v>10</v>
      </c>
      <c r="K2610" s="75">
        <v>57.765999999999998</v>
      </c>
      <c r="L2610" s="75">
        <v>0.1391</v>
      </c>
      <c r="M2610" s="75">
        <v>57.765000000000001</v>
      </c>
      <c r="N2610" s="75">
        <v>0.13813</v>
      </c>
      <c r="O2610" s="90" t="str">
        <f>IF(VLOOKUP(UncLookup[[#This Row],[Item]],Items!$A$1:$F$43,2,FALSE)=0,"",VLOOKUP(UncLookup[[#This Row],[Item]],Items!$A$1:$F$43,2,FALSE))</f>
        <v/>
      </c>
      <c r="P2610" s="90" t="str">
        <f>IF(VLOOKUP(UncLookup[[#This Row],[Item]],Items!$A$1:$F$43,3,FALSE)=0,"",VLOOKUP(UncLookup[[#This Row],[Item]],Items!$A$1:$F$43,3,FALSE))</f>
        <v/>
      </c>
      <c r="Q2610" s="90" t="str">
        <f>IF(VLOOKUP(UncLookup[[#This Row],[Item]],Items!$A$1:$F$43,4,FALSE)=0,"",VLOOKUP(UncLookup[[#This Row],[Item]],Items!$A$1:$F$43,4,FALSE))</f>
        <v/>
      </c>
    </row>
    <row r="2611" spans="1:17" x14ac:dyDescent="0.25">
      <c r="A2611" s="76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90" t="str">
        <f>IF(VLOOKUP(UncLookup[[#This Row],[Item]],Items!$A$1:$F$43,2,FALSE)=0,"",VLOOKUP(UncLookup[[#This Row],[Item]],Items!$A$1:$F$43,2,FALSE))</f>
        <v/>
      </c>
      <c r="P2611" s="90" t="str">
        <f>IF(VLOOKUP(UncLookup[[#This Row],[Item]],Items!$A$1:$F$43,3,FALSE)=0,"",VLOOKUP(UncLookup[[#This Row],[Item]],Items!$A$1:$F$43,3,FALSE))</f>
        <v/>
      </c>
      <c r="Q2611" s="90" t="str">
        <f>IF(VLOOKUP(UncLookup[[#This Row],[Item]],Items!$A$1:$F$43,4,FALSE)=0,"",VLOOKUP(UncLookup[[#This Row],[Item]],Items!$A$1:$F$43,4,FALSE))</f>
        <v/>
      </c>
    </row>
    <row r="2612" spans="1:17" x14ac:dyDescent="0.25">
      <c r="A2612" s="75" t="s">
        <v>70</v>
      </c>
      <c r="B2612" s="75" t="s">
        <v>8</v>
      </c>
      <c r="C2612" s="75">
        <v>1</v>
      </c>
      <c r="D2612" s="75">
        <v>10</v>
      </c>
      <c r="E2612" s="75">
        <v>1</v>
      </c>
      <c r="F2612" s="75" t="s">
        <v>6</v>
      </c>
      <c r="G2612" s="75" t="s">
        <v>4</v>
      </c>
      <c r="H2612" s="75">
        <v>2</v>
      </c>
      <c r="I2612" s="75">
        <v>20</v>
      </c>
      <c r="J2612" s="75" t="s">
        <v>10</v>
      </c>
      <c r="K2612" s="75">
        <v>577.39</v>
      </c>
      <c r="L2612" s="75">
        <v>5.4542E-2</v>
      </c>
      <c r="M2612" s="75">
        <v>577.39</v>
      </c>
      <c r="N2612" s="75">
        <v>5.3976000000000003E-2</v>
      </c>
      <c r="O2612" s="90" t="str">
        <f>IF(VLOOKUP(UncLookup[[#This Row],[Item]],Items!$A$1:$F$43,2,FALSE)=0,"",VLOOKUP(UncLookup[[#This Row],[Item]],Items!$A$1:$F$43,2,FALSE))</f>
        <v/>
      </c>
      <c r="P2612" s="90" t="str">
        <f>IF(VLOOKUP(UncLookup[[#This Row],[Item]],Items!$A$1:$F$43,3,FALSE)=0,"",VLOOKUP(UncLookup[[#This Row],[Item]],Items!$A$1:$F$43,3,FALSE))</f>
        <v/>
      </c>
      <c r="Q2612" s="90" t="str">
        <f>IF(VLOOKUP(UncLookup[[#This Row],[Item]],Items!$A$1:$F$43,4,FALSE)=0,"",VLOOKUP(UncLookup[[#This Row],[Item]],Items!$A$1:$F$43,4,FALSE))</f>
        <v/>
      </c>
    </row>
    <row r="2613" spans="1:17" x14ac:dyDescent="0.25">
      <c r="A2613" s="76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90" t="str">
        <f>IF(VLOOKUP(UncLookup[[#This Row],[Item]],Items!$A$1:$F$43,2,FALSE)=0,"",VLOOKUP(UncLookup[[#This Row],[Item]],Items!$A$1:$F$43,2,FALSE))</f>
        <v/>
      </c>
      <c r="P2613" s="90" t="str">
        <f>IF(VLOOKUP(UncLookup[[#This Row],[Item]],Items!$A$1:$F$43,3,FALSE)=0,"",VLOOKUP(UncLookup[[#This Row],[Item]],Items!$A$1:$F$43,3,FALSE))</f>
        <v/>
      </c>
      <c r="Q2613" s="90" t="str">
        <f>IF(VLOOKUP(UncLookup[[#This Row],[Item]],Items!$A$1:$F$43,4,FALSE)=0,"",VLOOKUP(UncLookup[[#This Row],[Item]],Items!$A$1:$F$43,4,FALSE))</f>
        <v/>
      </c>
    </row>
    <row r="2614" spans="1:17" x14ac:dyDescent="0.25">
      <c r="A2614" s="75" t="s">
        <v>70</v>
      </c>
      <c r="B2614" s="75" t="s">
        <v>8</v>
      </c>
      <c r="C2614" s="75">
        <v>10</v>
      </c>
      <c r="D2614" s="75">
        <v>100</v>
      </c>
      <c r="E2614" s="75">
        <v>1E-3</v>
      </c>
      <c r="F2614" s="75" t="s">
        <v>6</v>
      </c>
      <c r="G2614" s="75" t="s">
        <v>4</v>
      </c>
      <c r="H2614" s="75">
        <v>0.04</v>
      </c>
      <c r="I2614" s="75">
        <v>1</v>
      </c>
      <c r="J2614" s="75" t="s">
        <v>10</v>
      </c>
      <c r="K2614" s="75">
        <v>35</v>
      </c>
      <c r="L2614" s="75">
        <v>0.95</v>
      </c>
      <c r="M2614" s="75">
        <v>34.942999999999998</v>
      </c>
      <c r="N2614" s="75">
        <v>0.94799</v>
      </c>
      <c r="O2614" s="90" t="str">
        <f>IF(VLOOKUP(UncLookup[[#This Row],[Item]],Items!$A$1:$F$43,2,FALSE)=0,"",VLOOKUP(UncLookup[[#This Row],[Item]],Items!$A$1:$F$43,2,FALSE))</f>
        <v/>
      </c>
      <c r="P2614" s="90" t="str">
        <f>IF(VLOOKUP(UncLookup[[#This Row],[Item]],Items!$A$1:$F$43,3,FALSE)=0,"",VLOOKUP(UncLookup[[#This Row],[Item]],Items!$A$1:$F$43,3,FALSE))</f>
        <v/>
      </c>
      <c r="Q2614" s="90" t="str">
        <f>IF(VLOOKUP(UncLookup[[#This Row],[Item]],Items!$A$1:$F$43,4,FALSE)=0,"",VLOOKUP(UncLookup[[#This Row],[Item]],Items!$A$1:$F$43,4,FALSE))</f>
        <v/>
      </c>
    </row>
    <row r="2615" spans="1:17" x14ac:dyDescent="0.25">
      <c r="A2615" s="76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90" t="str">
        <f>IF(VLOOKUP(UncLookup[[#This Row],[Item]],Items!$A$1:$F$43,2,FALSE)=0,"",VLOOKUP(UncLookup[[#This Row],[Item]],Items!$A$1:$F$43,2,FALSE))</f>
        <v/>
      </c>
      <c r="P2615" s="90" t="str">
        <f>IF(VLOOKUP(UncLookup[[#This Row],[Item]],Items!$A$1:$F$43,3,FALSE)=0,"",VLOOKUP(UncLookup[[#This Row],[Item]],Items!$A$1:$F$43,3,FALSE))</f>
        <v/>
      </c>
      <c r="Q2615" s="90" t="str">
        <f>IF(VLOOKUP(UncLookup[[#This Row],[Item]],Items!$A$1:$F$43,4,FALSE)=0,"",VLOOKUP(UncLookup[[#This Row],[Item]],Items!$A$1:$F$43,4,FALSE))</f>
        <v/>
      </c>
    </row>
    <row r="2616" spans="1:17" x14ac:dyDescent="0.25">
      <c r="A2616" s="75" t="s">
        <v>70</v>
      </c>
      <c r="B2616" s="75" t="s">
        <v>8</v>
      </c>
      <c r="C2616" s="75">
        <v>10</v>
      </c>
      <c r="D2616" s="75">
        <v>100</v>
      </c>
      <c r="E2616" s="75">
        <v>0.1</v>
      </c>
      <c r="F2616" s="75" t="s">
        <v>6</v>
      </c>
      <c r="G2616" s="75" t="s">
        <v>4</v>
      </c>
      <c r="H2616" s="75">
        <v>0.04</v>
      </c>
      <c r="I2616" s="75">
        <v>1</v>
      </c>
      <c r="J2616" s="75" t="s">
        <v>10</v>
      </c>
      <c r="K2616" s="75">
        <v>65.075999999999993</v>
      </c>
      <c r="L2616" s="75">
        <v>0.76909000000000005</v>
      </c>
      <c r="M2616" s="75">
        <v>64.997</v>
      </c>
      <c r="N2616" s="75">
        <v>0.76749999999999996</v>
      </c>
      <c r="O2616" s="90" t="str">
        <f>IF(VLOOKUP(UncLookup[[#This Row],[Item]],Items!$A$1:$F$43,2,FALSE)=0,"",VLOOKUP(UncLookup[[#This Row],[Item]],Items!$A$1:$F$43,2,FALSE))</f>
        <v/>
      </c>
      <c r="P2616" s="90" t="str">
        <f>IF(VLOOKUP(UncLookup[[#This Row],[Item]],Items!$A$1:$F$43,3,FALSE)=0,"",VLOOKUP(UncLookup[[#This Row],[Item]],Items!$A$1:$F$43,3,FALSE))</f>
        <v/>
      </c>
      <c r="Q2616" s="90" t="str">
        <f>IF(VLOOKUP(UncLookup[[#This Row],[Item]],Items!$A$1:$F$43,4,FALSE)=0,"",VLOOKUP(UncLookup[[#This Row],[Item]],Items!$A$1:$F$43,4,FALSE))</f>
        <v/>
      </c>
    </row>
    <row r="2617" spans="1:17" x14ac:dyDescent="0.25">
      <c r="A2617" s="76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90" t="str">
        <f>IF(VLOOKUP(UncLookup[[#This Row],[Item]],Items!$A$1:$F$43,2,FALSE)=0,"",VLOOKUP(UncLookup[[#This Row],[Item]],Items!$A$1:$F$43,2,FALSE))</f>
        <v/>
      </c>
      <c r="P2617" s="90" t="str">
        <f>IF(VLOOKUP(UncLookup[[#This Row],[Item]],Items!$A$1:$F$43,3,FALSE)=0,"",VLOOKUP(UncLookup[[#This Row],[Item]],Items!$A$1:$F$43,3,FALSE))</f>
        <v/>
      </c>
      <c r="Q2617" s="90" t="str">
        <f>IF(VLOOKUP(UncLookup[[#This Row],[Item]],Items!$A$1:$F$43,4,FALSE)=0,"",VLOOKUP(UncLookup[[#This Row],[Item]],Items!$A$1:$F$43,4,FALSE))</f>
        <v/>
      </c>
    </row>
    <row r="2618" spans="1:17" x14ac:dyDescent="0.25">
      <c r="A2618" s="75" t="s">
        <v>70</v>
      </c>
      <c r="B2618" s="75" t="s">
        <v>8</v>
      </c>
      <c r="C2618" s="75">
        <v>10</v>
      </c>
      <c r="D2618" s="75">
        <v>100</v>
      </c>
      <c r="E2618" s="75">
        <v>10</v>
      </c>
      <c r="F2618" s="75" t="s">
        <v>6</v>
      </c>
      <c r="G2618" s="75" t="s">
        <v>4</v>
      </c>
      <c r="H2618" s="75">
        <v>0.04</v>
      </c>
      <c r="I2618" s="75">
        <v>1</v>
      </c>
      <c r="J2618" s="75" t="s">
        <v>10</v>
      </c>
      <c r="K2618" s="75">
        <v>5773.6</v>
      </c>
      <c r="L2618" s="75">
        <v>1.5076000000000001E-2</v>
      </c>
      <c r="M2618" s="75">
        <v>5773.6</v>
      </c>
      <c r="N2618" s="75">
        <v>1.4250000000000001E-2</v>
      </c>
      <c r="O2618" s="90" t="str">
        <f>IF(VLOOKUP(UncLookup[[#This Row],[Item]],Items!$A$1:$F$43,2,FALSE)=0,"",VLOOKUP(UncLookup[[#This Row],[Item]],Items!$A$1:$F$43,2,FALSE))</f>
        <v/>
      </c>
      <c r="P2618" s="90" t="str">
        <f>IF(VLOOKUP(UncLookup[[#This Row],[Item]],Items!$A$1:$F$43,3,FALSE)=0,"",VLOOKUP(UncLookup[[#This Row],[Item]],Items!$A$1:$F$43,3,FALSE))</f>
        <v/>
      </c>
      <c r="Q2618" s="90" t="str">
        <f>IF(VLOOKUP(UncLookup[[#This Row],[Item]],Items!$A$1:$F$43,4,FALSE)=0,"",VLOOKUP(UncLookup[[#This Row],[Item]],Items!$A$1:$F$43,4,FALSE))</f>
        <v/>
      </c>
    </row>
    <row r="2619" spans="1:17" x14ac:dyDescent="0.25">
      <c r="A2619" s="76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90" t="str">
        <f>IF(VLOOKUP(UncLookup[[#This Row],[Item]],Items!$A$1:$F$43,2,FALSE)=0,"",VLOOKUP(UncLookup[[#This Row],[Item]],Items!$A$1:$F$43,2,FALSE))</f>
        <v/>
      </c>
      <c r="P2619" s="90" t="str">
        <f>IF(VLOOKUP(UncLookup[[#This Row],[Item]],Items!$A$1:$F$43,3,FALSE)=0,"",VLOOKUP(UncLookup[[#This Row],[Item]],Items!$A$1:$F$43,3,FALSE))</f>
        <v/>
      </c>
      <c r="Q2619" s="90" t="str">
        <f>IF(VLOOKUP(UncLookup[[#This Row],[Item]],Items!$A$1:$F$43,4,FALSE)=0,"",VLOOKUP(UncLookup[[#This Row],[Item]],Items!$A$1:$F$43,4,FALSE))</f>
        <v/>
      </c>
    </row>
    <row r="2620" spans="1:17" x14ac:dyDescent="0.25">
      <c r="A2620" s="75" t="s">
        <v>70</v>
      </c>
      <c r="B2620" s="75" t="s">
        <v>8</v>
      </c>
      <c r="C2620" s="75">
        <v>100</v>
      </c>
      <c r="D2620" s="75">
        <v>1020</v>
      </c>
      <c r="E2620" s="75">
        <v>0.1</v>
      </c>
      <c r="F2620" s="75" t="s">
        <v>6</v>
      </c>
      <c r="G2620" s="75" t="s">
        <v>4</v>
      </c>
      <c r="H2620" s="75">
        <v>0.04</v>
      </c>
      <c r="I2620" s="75">
        <v>1</v>
      </c>
      <c r="J2620" s="75" t="s">
        <v>10</v>
      </c>
      <c r="K2620" s="75">
        <v>360</v>
      </c>
      <c r="L2620" s="75">
        <v>1.1141000000000001</v>
      </c>
      <c r="M2620" s="75">
        <v>341.11</v>
      </c>
      <c r="N2620" s="75">
        <v>1.1138999999999999</v>
      </c>
      <c r="O2620" s="90" t="str">
        <f>IF(VLOOKUP(UncLookup[[#This Row],[Item]],Items!$A$1:$F$43,2,FALSE)=0,"",VLOOKUP(UncLookup[[#This Row],[Item]],Items!$A$1:$F$43,2,FALSE))</f>
        <v/>
      </c>
      <c r="P2620" s="90" t="str">
        <f>IF(VLOOKUP(UncLookup[[#This Row],[Item]],Items!$A$1:$F$43,3,FALSE)=0,"",VLOOKUP(UncLookup[[#This Row],[Item]],Items!$A$1:$F$43,3,FALSE))</f>
        <v/>
      </c>
      <c r="Q2620" s="90" t="str">
        <f>IF(VLOOKUP(UncLookup[[#This Row],[Item]],Items!$A$1:$F$43,4,FALSE)=0,"",VLOOKUP(UncLookup[[#This Row],[Item]],Items!$A$1:$F$43,4,FALSE))</f>
        <v/>
      </c>
    </row>
    <row r="2621" spans="1:17" x14ac:dyDescent="0.25">
      <c r="A2621" s="76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90" t="str">
        <f>IF(VLOOKUP(UncLookup[[#This Row],[Item]],Items!$A$1:$F$43,2,FALSE)=0,"",VLOOKUP(UncLookup[[#This Row],[Item]],Items!$A$1:$F$43,2,FALSE))</f>
        <v/>
      </c>
      <c r="P2621" s="90" t="str">
        <f>IF(VLOOKUP(UncLookup[[#This Row],[Item]],Items!$A$1:$F$43,3,FALSE)=0,"",VLOOKUP(UncLookup[[#This Row],[Item]],Items!$A$1:$F$43,3,FALSE))</f>
        <v/>
      </c>
      <c r="Q2621" s="90" t="str">
        <f>IF(VLOOKUP(UncLookup[[#This Row],[Item]],Items!$A$1:$F$43,4,FALSE)=0,"",VLOOKUP(UncLookup[[#This Row],[Item]],Items!$A$1:$F$43,4,FALSE))</f>
        <v/>
      </c>
    </row>
    <row r="2622" spans="1:17" x14ac:dyDescent="0.25">
      <c r="A2622" s="75" t="s">
        <v>70</v>
      </c>
      <c r="B2622" s="75" t="s">
        <v>8</v>
      </c>
      <c r="C2622" s="75">
        <v>100</v>
      </c>
      <c r="D2622" s="75">
        <v>1020</v>
      </c>
      <c r="E2622" s="75">
        <v>10</v>
      </c>
      <c r="F2622" s="75" t="s">
        <v>6</v>
      </c>
      <c r="G2622" s="75" t="s">
        <v>4</v>
      </c>
      <c r="H2622" s="75">
        <v>0.04</v>
      </c>
      <c r="I2622" s="75">
        <v>1</v>
      </c>
      <c r="J2622" s="75" t="s">
        <v>10</v>
      </c>
      <c r="K2622" s="75">
        <v>5773</v>
      </c>
      <c r="L2622" s="75">
        <v>0.18489</v>
      </c>
      <c r="M2622" s="75">
        <v>5772.7</v>
      </c>
      <c r="N2622" s="75">
        <v>0.18293999999999999</v>
      </c>
      <c r="O2622" s="90" t="str">
        <f>IF(VLOOKUP(UncLookup[[#This Row],[Item]],Items!$A$1:$F$43,2,FALSE)=0,"",VLOOKUP(UncLookup[[#This Row],[Item]],Items!$A$1:$F$43,2,FALSE))</f>
        <v/>
      </c>
      <c r="P2622" s="90" t="str">
        <f>IF(VLOOKUP(UncLookup[[#This Row],[Item]],Items!$A$1:$F$43,3,FALSE)=0,"",VLOOKUP(UncLookup[[#This Row],[Item]],Items!$A$1:$F$43,3,FALSE))</f>
        <v/>
      </c>
      <c r="Q2622" s="90" t="str">
        <f>IF(VLOOKUP(UncLookup[[#This Row],[Item]],Items!$A$1:$F$43,4,FALSE)=0,"",VLOOKUP(UncLookup[[#This Row],[Item]],Items!$A$1:$F$43,4,FALSE))</f>
        <v/>
      </c>
    </row>
    <row r="2623" spans="1:17" x14ac:dyDescent="0.25">
      <c r="A2623" s="76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90" t="str">
        <f>IF(VLOOKUP(UncLookup[[#This Row],[Item]],Items!$A$1:$F$43,2,FALSE)=0,"",VLOOKUP(UncLookup[[#This Row],[Item]],Items!$A$1:$F$43,2,FALSE))</f>
        <v/>
      </c>
      <c r="P2623" s="90" t="str">
        <f>IF(VLOOKUP(UncLookup[[#This Row],[Item]],Items!$A$1:$F$43,3,FALSE)=0,"",VLOOKUP(UncLookup[[#This Row],[Item]],Items!$A$1:$F$43,3,FALSE))</f>
        <v/>
      </c>
      <c r="Q2623" s="90" t="str">
        <f>IF(VLOOKUP(UncLookup[[#This Row],[Item]],Items!$A$1:$F$43,4,FALSE)=0,"",VLOOKUP(UncLookup[[#This Row],[Item]],Items!$A$1:$F$43,4,FALSE))</f>
        <v/>
      </c>
    </row>
    <row r="2624" spans="1:17" x14ac:dyDescent="0.25">
      <c r="A2624" s="75" t="s">
        <v>70</v>
      </c>
      <c r="B2624" s="75" t="s">
        <v>47</v>
      </c>
      <c r="C2624" s="75">
        <v>1.0000000000000001E-5</v>
      </c>
      <c r="D2624" s="75">
        <v>1.0399999999999999E-4</v>
      </c>
      <c r="E2624" s="75">
        <v>1.0000000000000001E-9</v>
      </c>
      <c r="F2624" s="75" t="s">
        <v>13</v>
      </c>
      <c r="G2624" s="75" t="s">
        <v>11</v>
      </c>
      <c r="H2624" s="75">
        <v>0.01</v>
      </c>
      <c r="I2624" s="75">
        <v>2</v>
      </c>
      <c r="J2624" s="75" t="s">
        <v>10</v>
      </c>
      <c r="K2624" s="75">
        <v>0.47</v>
      </c>
      <c r="L2624" s="75">
        <v>1200</v>
      </c>
      <c r="M2624" s="75">
        <v>0.46304000000000001</v>
      </c>
      <c r="N2624" s="75">
        <v>1233.9000000000001</v>
      </c>
      <c r="O2624" s="90" t="str">
        <f>IF(VLOOKUP(UncLookup[[#This Row],[Item]],Items!$A$1:$F$43,2,FALSE)=0,"",VLOOKUP(UncLookup[[#This Row],[Item]],Items!$A$1:$F$43,2,FALSE))</f>
        <v/>
      </c>
      <c r="P2624" s="90" t="str">
        <f>IF(VLOOKUP(UncLookup[[#This Row],[Item]],Items!$A$1:$F$43,3,FALSE)=0,"",VLOOKUP(UncLookup[[#This Row],[Item]],Items!$A$1:$F$43,3,FALSE))</f>
        <v/>
      </c>
      <c r="Q2624" s="90" t="str">
        <f>IF(VLOOKUP(UncLookup[[#This Row],[Item]],Items!$A$1:$F$43,4,FALSE)=0,"",VLOOKUP(UncLookup[[#This Row],[Item]],Items!$A$1:$F$43,4,FALSE))</f>
        <v/>
      </c>
    </row>
    <row r="2625" spans="1:17" x14ac:dyDescent="0.25">
      <c r="A2625" s="76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90" t="str">
        <f>IF(VLOOKUP(UncLookup[[#This Row],[Item]],Items!$A$1:$F$43,2,FALSE)=0,"",VLOOKUP(UncLookup[[#This Row],[Item]],Items!$A$1:$F$43,2,FALSE))</f>
        <v/>
      </c>
      <c r="P2625" s="90" t="str">
        <f>IF(VLOOKUP(UncLookup[[#This Row],[Item]],Items!$A$1:$F$43,3,FALSE)=0,"",VLOOKUP(UncLookup[[#This Row],[Item]],Items!$A$1:$F$43,3,FALSE))</f>
        <v/>
      </c>
      <c r="Q2625" s="90" t="str">
        <f>IF(VLOOKUP(UncLookup[[#This Row],[Item]],Items!$A$1:$F$43,4,FALSE)=0,"",VLOOKUP(UncLookup[[#This Row],[Item]],Items!$A$1:$F$43,4,FALSE))</f>
        <v/>
      </c>
    </row>
    <row r="2626" spans="1:17" x14ac:dyDescent="0.25">
      <c r="A2626" s="75" t="s">
        <v>70</v>
      </c>
      <c r="B2626" s="75" t="s">
        <v>47</v>
      </c>
      <c r="C2626" s="75">
        <v>1.0000000000000001E-5</v>
      </c>
      <c r="D2626" s="75">
        <v>1.0399999999999999E-4</v>
      </c>
      <c r="E2626" s="75">
        <v>9.9999999999999995E-8</v>
      </c>
      <c r="F2626" s="75" t="s">
        <v>13</v>
      </c>
      <c r="G2626" s="75" t="s">
        <v>11</v>
      </c>
      <c r="H2626" s="75">
        <v>0.01</v>
      </c>
      <c r="I2626" s="75">
        <v>2</v>
      </c>
      <c r="J2626" s="75" t="s">
        <v>10</v>
      </c>
      <c r="K2626" s="75">
        <v>0.47</v>
      </c>
      <c r="L2626" s="75">
        <v>1227.5</v>
      </c>
      <c r="M2626" s="75">
        <v>0.46660000000000001</v>
      </c>
      <c r="N2626" s="75">
        <v>1227</v>
      </c>
      <c r="O2626" s="90" t="str">
        <f>IF(VLOOKUP(UncLookup[[#This Row],[Item]],Items!$A$1:$F$43,2,FALSE)=0,"",VLOOKUP(UncLookup[[#This Row],[Item]],Items!$A$1:$F$43,2,FALSE))</f>
        <v/>
      </c>
      <c r="P2626" s="90" t="str">
        <f>IF(VLOOKUP(UncLookup[[#This Row],[Item]],Items!$A$1:$F$43,3,FALSE)=0,"",VLOOKUP(UncLookup[[#This Row],[Item]],Items!$A$1:$F$43,3,FALSE))</f>
        <v/>
      </c>
      <c r="Q2626" s="90" t="str">
        <f>IF(VLOOKUP(UncLookup[[#This Row],[Item]],Items!$A$1:$F$43,4,FALSE)=0,"",VLOOKUP(UncLookup[[#This Row],[Item]],Items!$A$1:$F$43,4,FALSE))</f>
        <v/>
      </c>
    </row>
    <row r="2627" spans="1:17" x14ac:dyDescent="0.25">
      <c r="A2627" s="76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90" t="str">
        <f>IF(VLOOKUP(UncLookup[[#This Row],[Item]],Items!$A$1:$F$43,2,FALSE)=0,"",VLOOKUP(UncLookup[[#This Row],[Item]],Items!$A$1:$F$43,2,FALSE))</f>
        <v/>
      </c>
      <c r="P2627" s="90" t="str">
        <f>IF(VLOOKUP(UncLookup[[#This Row],[Item]],Items!$A$1:$F$43,3,FALSE)=0,"",VLOOKUP(UncLookup[[#This Row],[Item]],Items!$A$1:$F$43,3,FALSE))</f>
        <v/>
      </c>
      <c r="Q2627" s="90" t="str">
        <f>IF(VLOOKUP(UncLookup[[#This Row],[Item]],Items!$A$1:$F$43,4,FALSE)=0,"",VLOOKUP(UncLookup[[#This Row],[Item]],Items!$A$1:$F$43,4,FALSE))</f>
        <v/>
      </c>
    </row>
    <row r="2628" spans="1:17" x14ac:dyDescent="0.25">
      <c r="A2628" s="75" t="s">
        <v>70</v>
      </c>
      <c r="B2628" s="75" t="s">
        <v>47</v>
      </c>
      <c r="C2628" s="75">
        <v>1.0000000000000001E-5</v>
      </c>
      <c r="D2628" s="75">
        <v>1.0399999999999999E-4</v>
      </c>
      <c r="E2628" s="75">
        <v>1.0000000000000001E-5</v>
      </c>
      <c r="F2628" s="75" t="s">
        <v>13</v>
      </c>
      <c r="G2628" s="75" t="s">
        <v>11</v>
      </c>
      <c r="H2628" s="75">
        <v>0.01</v>
      </c>
      <c r="I2628" s="75">
        <v>2</v>
      </c>
      <c r="J2628" s="75" t="s">
        <v>10</v>
      </c>
      <c r="K2628" s="75">
        <v>5.8087999999999997</v>
      </c>
      <c r="L2628" s="75">
        <v>394.38</v>
      </c>
      <c r="M2628" s="75">
        <v>5.8087999999999997</v>
      </c>
      <c r="N2628" s="75">
        <v>393.5</v>
      </c>
      <c r="O2628" s="90" t="str">
        <f>IF(VLOOKUP(UncLookup[[#This Row],[Item]],Items!$A$1:$F$43,2,FALSE)=0,"",VLOOKUP(UncLookup[[#This Row],[Item]],Items!$A$1:$F$43,2,FALSE))</f>
        <v/>
      </c>
      <c r="P2628" s="90" t="str">
        <f>IF(VLOOKUP(UncLookup[[#This Row],[Item]],Items!$A$1:$F$43,3,FALSE)=0,"",VLOOKUP(UncLookup[[#This Row],[Item]],Items!$A$1:$F$43,3,FALSE))</f>
        <v/>
      </c>
      <c r="Q2628" s="90" t="str">
        <f>IF(VLOOKUP(UncLookup[[#This Row],[Item]],Items!$A$1:$F$43,4,FALSE)=0,"",VLOOKUP(UncLookup[[#This Row],[Item]],Items!$A$1:$F$43,4,FALSE))</f>
        <v/>
      </c>
    </row>
    <row r="2629" spans="1:17" x14ac:dyDescent="0.25">
      <c r="A2629" s="76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90" t="str">
        <f>IF(VLOOKUP(UncLookup[[#This Row],[Item]],Items!$A$1:$F$43,2,FALSE)=0,"",VLOOKUP(UncLookup[[#This Row],[Item]],Items!$A$1:$F$43,2,FALSE))</f>
        <v/>
      </c>
      <c r="P2629" s="90" t="str">
        <f>IF(VLOOKUP(UncLookup[[#This Row],[Item]],Items!$A$1:$F$43,3,FALSE)=0,"",VLOOKUP(UncLookup[[#This Row],[Item]],Items!$A$1:$F$43,3,FALSE))</f>
        <v/>
      </c>
      <c r="Q2629" s="90" t="str">
        <f>IF(VLOOKUP(UncLookup[[#This Row],[Item]],Items!$A$1:$F$43,4,FALSE)=0,"",VLOOKUP(UncLookup[[#This Row],[Item]],Items!$A$1:$F$43,4,FALSE))</f>
        <v/>
      </c>
    </row>
    <row r="2630" spans="1:17" x14ac:dyDescent="0.25">
      <c r="A2630" s="75" t="s">
        <v>70</v>
      </c>
      <c r="B2630" s="75" t="s">
        <v>47</v>
      </c>
      <c r="C2630" s="75">
        <v>1E-4</v>
      </c>
      <c r="D2630" s="75">
        <v>1.0399999999999999E-3</v>
      </c>
      <c r="E2630" s="75">
        <v>9.9999999999999995E-8</v>
      </c>
      <c r="F2630" s="75" t="s">
        <v>13</v>
      </c>
      <c r="G2630" s="75" t="s">
        <v>11</v>
      </c>
      <c r="H2630" s="75">
        <v>0.01</v>
      </c>
      <c r="I2630" s="75">
        <v>2</v>
      </c>
      <c r="J2630" s="75" t="s">
        <v>10</v>
      </c>
      <c r="K2630" s="75">
        <v>0.97</v>
      </c>
      <c r="L2630" s="75">
        <v>1191.5</v>
      </c>
      <c r="M2630" s="75">
        <v>0.96691000000000005</v>
      </c>
      <c r="N2630" s="75">
        <v>1191.3</v>
      </c>
      <c r="O2630" s="90" t="str">
        <f>IF(VLOOKUP(UncLookup[[#This Row],[Item]],Items!$A$1:$F$43,2,FALSE)=0,"",VLOOKUP(UncLookup[[#This Row],[Item]],Items!$A$1:$F$43,2,FALSE))</f>
        <v/>
      </c>
      <c r="P2630" s="90" t="str">
        <f>IF(VLOOKUP(UncLookup[[#This Row],[Item]],Items!$A$1:$F$43,3,FALSE)=0,"",VLOOKUP(UncLookup[[#This Row],[Item]],Items!$A$1:$F$43,3,FALSE))</f>
        <v/>
      </c>
      <c r="Q2630" s="90" t="str">
        <f>IF(VLOOKUP(UncLookup[[#This Row],[Item]],Items!$A$1:$F$43,4,FALSE)=0,"",VLOOKUP(UncLookup[[#This Row],[Item]],Items!$A$1:$F$43,4,FALSE))</f>
        <v/>
      </c>
    </row>
    <row r="2631" spans="1:17" x14ac:dyDescent="0.25">
      <c r="A2631" s="76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90" t="str">
        <f>IF(VLOOKUP(UncLookup[[#This Row],[Item]],Items!$A$1:$F$43,2,FALSE)=0,"",VLOOKUP(UncLookup[[#This Row],[Item]],Items!$A$1:$F$43,2,FALSE))</f>
        <v/>
      </c>
      <c r="P2631" s="90" t="str">
        <f>IF(VLOOKUP(UncLookup[[#This Row],[Item]],Items!$A$1:$F$43,3,FALSE)=0,"",VLOOKUP(UncLookup[[#This Row],[Item]],Items!$A$1:$F$43,3,FALSE))</f>
        <v/>
      </c>
      <c r="Q2631" s="90" t="str">
        <f>IF(VLOOKUP(UncLookup[[#This Row],[Item]],Items!$A$1:$F$43,4,FALSE)=0,"",VLOOKUP(UncLookup[[#This Row],[Item]],Items!$A$1:$F$43,4,FALSE))</f>
        <v/>
      </c>
    </row>
    <row r="2632" spans="1:17" x14ac:dyDescent="0.25">
      <c r="A2632" s="75" t="s">
        <v>70</v>
      </c>
      <c r="B2632" s="75" t="s">
        <v>47</v>
      </c>
      <c r="C2632" s="75">
        <v>1E-4</v>
      </c>
      <c r="D2632" s="75">
        <v>1.0399999999999999E-3</v>
      </c>
      <c r="E2632" s="75">
        <v>1.0000000000000001E-5</v>
      </c>
      <c r="F2632" s="75" t="s">
        <v>13</v>
      </c>
      <c r="G2632" s="75" t="s">
        <v>11</v>
      </c>
      <c r="H2632" s="75">
        <v>0.01</v>
      </c>
      <c r="I2632" s="75">
        <v>2</v>
      </c>
      <c r="J2632" s="75" t="s">
        <v>10</v>
      </c>
      <c r="K2632" s="75">
        <v>5.8400999999999996</v>
      </c>
      <c r="L2632" s="75">
        <v>353.65</v>
      </c>
      <c r="M2632" s="75">
        <v>5.8398000000000003</v>
      </c>
      <c r="N2632" s="75">
        <v>351.6</v>
      </c>
      <c r="O2632" s="90" t="str">
        <f>IF(VLOOKUP(UncLookup[[#This Row],[Item]],Items!$A$1:$F$43,2,FALSE)=0,"",VLOOKUP(UncLookup[[#This Row],[Item]],Items!$A$1:$F$43,2,FALSE))</f>
        <v/>
      </c>
      <c r="P2632" s="90" t="str">
        <f>IF(VLOOKUP(UncLookup[[#This Row],[Item]],Items!$A$1:$F$43,3,FALSE)=0,"",VLOOKUP(UncLookup[[#This Row],[Item]],Items!$A$1:$F$43,3,FALSE))</f>
        <v/>
      </c>
      <c r="Q2632" s="90" t="str">
        <f>IF(VLOOKUP(UncLookup[[#This Row],[Item]],Items!$A$1:$F$43,4,FALSE)=0,"",VLOOKUP(UncLookup[[#This Row],[Item]],Items!$A$1:$F$43,4,FALSE))</f>
        <v/>
      </c>
    </row>
    <row r="2633" spans="1:17" x14ac:dyDescent="0.25">
      <c r="A2633" s="76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90" t="str">
        <f>IF(VLOOKUP(UncLookup[[#This Row],[Item]],Items!$A$1:$F$43,2,FALSE)=0,"",VLOOKUP(UncLookup[[#This Row],[Item]],Items!$A$1:$F$43,2,FALSE))</f>
        <v/>
      </c>
      <c r="P2633" s="90" t="str">
        <f>IF(VLOOKUP(UncLookup[[#This Row],[Item]],Items!$A$1:$F$43,3,FALSE)=0,"",VLOOKUP(UncLookup[[#This Row],[Item]],Items!$A$1:$F$43,3,FALSE))</f>
        <v/>
      </c>
      <c r="Q2633" s="90" t="str">
        <f>IF(VLOOKUP(UncLookup[[#This Row],[Item]],Items!$A$1:$F$43,4,FALSE)=0,"",VLOOKUP(UncLookup[[#This Row],[Item]],Items!$A$1:$F$43,4,FALSE))</f>
        <v/>
      </c>
    </row>
    <row r="2634" spans="1:17" x14ac:dyDescent="0.25">
      <c r="A2634" s="75" t="s">
        <v>70</v>
      </c>
      <c r="B2634" s="75" t="s">
        <v>47</v>
      </c>
      <c r="C2634" s="75">
        <v>1E-3</v>
      </c>
      <c r="D2634" s="75">
        <v>1.04E-2</v>
      </c>
      <c r="E2634" s="75">
        <v>9.9999999999999995E-8</v>
      </c>
      <c r="F2634" s="75" t="s">
        <v>13</v>
      </c>
      <c r="G2634" s="75" t="s">
        <v>11</v>
      </c>
      <c r="H2634" s="75">
        <v>0.01</v>
      </c>
      <c r="I2634" s="75">
        <v>2</v>
      </c>
      <c r="J2634" s="75" t="s">
        <v>10</v>
      </c>
      <c r="K2634" s="75">
        <v>9.6999999999999993</v>
      </c>
      <c r="L2634" s="75">
        <v>1200</v>
      </c>
      <c r="M2634" s="75">
        <v>9.6530000000000005</v>
      </c>
      <c r="N2634" s="75">
        <v>1192.0999999999999</v>
      </c>
      <c r="O2634" s="90" t="str">
        <f>IF(VLOOKUP(UncLookup[[#This Row],[Item]],Items!$A$1:$F$43,2,FALSE)=0,"",VLOOKUP(UncLookup[[#This Row],[Item]],Items!$A$1:$F$43,2,FALSE))</f>
        <v/>
      </c>
      <c r="P2634" s="90" t="str">
        <f>IF(VLOOKUP(UncLookup[[#This Row],[Item]],Items!$A$1:$F$43,3,FALSE)=0,"",VLOOKUP(UncLookup[[#This Row],[Item]],Items!$A$1:$F$43,3,FALSE))</f>
        <v/>
      </c>
      <c r="Q2634" s="90" t="str">
        <f>IF(VLOOKUP(UncLookup[[#This Row],[Item]],Items!$A$1:$F$43,4,FALSE)=0,"",VLOOKUP(UncLookup[[#This Row],[Item]],Items!$A$1:$F$43,4,FALSE))</f>
        <v/>
      </c>
    </row>
    <row r="2635" spans="1:17" x14ac:dyDescent="0.25">
      <c r="A2635" s="76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90" t="str">
        <f>IF(VLOOKUP(UncLookup[[#This Row],[Item]],Items!$A$1:$F$43,2,FALSE)=0,"",VLOOKUP(UncLookup[[#This Row],[Item]],Items!$A$1:$F$43,2,FALSE))</f>
        <v/>
      </c>
      <c r="P2635" s="90" t="str">
        <f>IF(VLOOKUP(UncLookup[[#This Row],[Item]],Items!$A$1:$F$43,3,FALSE)=0,"",VLOOKUP(UncLookup[[#This Row],[Item]],Items!$A$1:$F$43,3,FALSE))</f>
        <v/>
      </c>
      <c r="Q2635" s="90" t="str">
        <f>IF(VLOOKUP(UncLookup[[#This Row],[Item]],Items!$A$1:$F$43,4,FALSE)=0,"",VLOOKUP(UncLookup[[#This Row],[Item]],Items!$A$1:$F$43,4,FALSE))</f>
        <v/>
      </c>
    </row>
    <row r="2636" spans="1:17" x14ac:dyDescent="0.25">
      <c r="A2636" s="75" t="s">
        <v>70</v>
      </c>
      <c r="B2636" s="75" t="s">
        <v>47</v>
      </c>
      <c r="C2636" s="75">
        <v>1E-3</v>
      </c>
      <c r="D2636" s="75">
        <v>1.04E-2</v>
      </c>
      <c r="E2636" s="75">
        <v>1.0000000000000001E-5</v>
      </c>
      <c r="F2636" s="75" t="s">
        <v>13</v>
      </c>
      <c r="G2636" s="75" t="s">
        <v>11</v>
      </c>
      <c r="H2636" s="75">
        <v>0.01</v>
      </c>
      <c r="I2636" s="75">
        <v>2</v>
      </c>
      <c r="J2636" s="75" t="s">
        <v>10</v>
      </c>
      <c r="K2636" s="75">
        <v>11.172000000000001</v>
      </c>
      <c r="L2636" s="75">
        <v>1119.7</v>
      </c>
      <c r="M2636" s="75">
        <v>11.167999999999999</v>
      </c>
      <c r="N2636" s="75">
        <v>1118.5999999999999</v>
      </c>
      <c r="O2636" s="90" t="str">
        <f>IF(VLOOKUP(UncLookup[[#This Row],[Item]],Items!$A$1:$F$43,2,FALSE)=0,"",VLOOKUP(UncLookup[[#This Row],[Item]],Items!$A$1:$F$43,2,FALSE))</f>
        <v/>
      </c>
      <c r="P2636" s="90" t="str">
        <f>IF(VLOOKUP(UncLookup[[#This Row],[Item]],Items!$A$1:$F$43,3,FALSE)=0,"",VLOOKUP(UncLookup[[#This Row],[Item]],Items!$A$1:$F$43,3,FALSE))</f>
        <v/>
      </c>
      <c r="Q2636" s="90" t="str">
        <f>IF(VLOOKUP(UncLookup[[#This Row],[Item]],Items!$A$1:$F$43,4,FALSE)=0,"",VLOOKUP(UncLookup[[#This Row],[Item]],Items!$A$1:$F$43,4,FALSE))</f>
        <v/>
      </c>
    </row>
    <row r="2637" spans="1:17" x14ac:dyDescent="0.25">
      <c r="A2637" s="76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90" t="str">
        <f>IF(VLOOKUP(UncLookup[[#This Row],[Item]],Items!$A$1:$F$43,2,FALSE)=0,"",VLOOKUP(UncLookup[[#This Row],[Item]],Items!$A$1:$F$43,2,FALSE))</f>
        <v/>
      </c>
      <c r="P2637" s="90" t="str">
        <f>IF(VLOOKUP(UncLookup[[#This Row],[Item]],Items!$A$1:$F$43,3,FALSE)=0,"",VLOOKUP(UncLookup[[#This Row],[Item]],Items!$A$1:$F$43,3,FALSE))</f>
        <v/>
      </c>
      <c r="Q2637" s="90" t="str">
        <f>IF(VLOOKUP(UncLookup[[#This Row],[Item]],Items!$A$1:$F$43,4,FALSE)=0,"",VLOOKUP(UncLookup[[#This Row],[Item]],Items!$A$1:$F$43,4,FALSE))</f>
        <v/>
      </c>
    </row>
    <row r="2638" spans="1:17" x14ac:dyDescent="0.25">
      <c r="A2638" s="75" t="s">
        <v>70</v>
      </c>
      <c r="B2638" s="75" t="s">
        <v>47</v>
      </c>
      <c r="C2638" s="75">
        <v>1E-3</v>
      </c>
      <c r="D2638" s="75">
        <v>1.04E-2</v>
      </c>
      <c r="E2638" s="75">
        <v>1E-3</v>
      </c>
      <c r="F2638" s="75" t="s">
        <v>13</v>
      </c>
      <c r="G2638" s="75" t="s">
        <v>11</v>
      </c>
      <c r="H2638" s="75">
        <v>0.01</v>
      </c>
      <c r="I2638" s="75">
        <v>2</v>
      </c>
      <c r="J2638" s="75" t="s">
        <v>10</v>
      </c>
      <c r="K2638" s="75">
        <v>579.12</v>
      </c>
      <c r="L2638" s="75">
        <v>316.08</v>
      </c>
      <c r="M2638" s="75">
        <v>579.12</v>
      </c>
      <c r="N2638" s="75">
        <v>315.2</v>
      </c>
      <c r="O2638" s="90" t="str">
        <f>IF(VLOOKUP(UncLookup[[#This Row],[Item]],Items!$A$1:$F$43,2,FALSE)=0,"",VLOOKUP(UncLookup[[#This Row],[Item]],Items!$A$1:$F$43,2,FALSE))</f>
        <v/>
      </c>
      <c r="P2638" s="90" t="str">
        <f>IF(VLOOKUP(UncLookup[[#This Row],[Item]],Items!$A$1:$F$43,3,FALSE)=0,"",VLOOKUP(UncLookup[[#This Row],[Item]],Items!$A$1:$F$43,3,FALSE))</f>
        <v/>
      </c>
      <c r="Q2638" s="90" t="str">
        <f>IF(VLOOKUP(UncLookup[[#This Row],[Item]],Items!$A$1:$F$43,4,FALSE)=0,"",VLOOKUP(UncLookup[[#This Row],[Item]],Items!$A$1:$F$43,4,FALSE))</f>
        <v/>
      </c>
    </row>
    <row r="2639" spans="1:17" x14ac:dyDescent="0.25">
      <c r="A2639" s="76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90" t="str">
        <f>IF(VLOOKUP(UncLookup[[#This Row],[Item]],Items!$A$1:$F$43,2,FALSE)=0,"",VLOOKUP(UncLookup[[#This Row],[Item]],Items!$A$1:$F$43,2,FALSE))</f>
        <v/>
      </c>
      <c r="P2639" s="90" t="str">
        <f>IF(VLOOKUP(UncLookup[[#This Row],[Item]],Items!$A$1:$F$43,3,FALSE)=0,"",VLOOKUP(UncLookup[[#This Row],[Item]],Items!$A$1:$F$43,3,FALSE))</f>
        <v/>
      </c>
      <c r="Q2639" s="90" t="str">
        <f>IF(VLOOKUP(UncLookup[[#This Row],[Item]],Items!$A$1:$F$43,4,FALSE)=0,"",VLOOKUP(UncLookup[[#This Row],[Item]],Items!$A$1:$F$43,4,FALSE))</f>
        <v/>
      </c>
    </row>
    <row r="2640" spans="1:17" x14ac:dyDescent="0.25">
      <c r="A2640" s="75" t="s">
        <v>70</v>
      </c>
      <c r="B2640" s="75" t="s">
        <v>47</v>
      </c>
      <c r="C2640" s="75">
        <v>0.01</v>
      </c>
      <c r="D2640" s="75">
        <v>0.104</v>
      </c>
      <c r="E2640" s="75">
        <v>1.0000000000000001E-5</v>
      </c>
      <c r="F2640" s="75" t="s">
        <v>13</v>
      </c>
      <c r="G2640" s="75" t="s">
        <v>11</v>
      </c>
      <c r="H2640" s="75">
        <v>0.01</v>
      </c>
      <c r="I2640" s="75">
        <v>2</v>
      </c>
      <c r="J2640" s="75" t="s">
        <v>10</v>
      </c>
      <c r="K2640" s="75">
        <v>97</v>
      </c>
      <c r="L2640" s="75">
        <v>1191.5</v>
      </c>
      <c r="M2640" s="75">
        <v>96.691000000000003</v>
      </c>
      <c r="N2640" s="75">
        <v>1191.3</v>
      </c>
      <c r="O2640" s="90" t="str">
        <f>IF(VLOOKUP(UncLookup[[#This Row],[Item]],Items!$A$1:$F$43,2,FALSE)=0,"",VLOOKUP(UncLookup[[#This Row],[Item]],Items!$A$1:$F$43,2,FALSE))</f>
        <v/>
      </c>
      <c r="P2640" s="90" t="str">
        <f>IF(VLOOKUP(UncLookup[[#This Row],[Item]],Items!$A$1:$F$43,3,FALSE)=0,"",VLOOKUP(UncLookup[[#This Row],[Item]],Items!$A$1:$F$43,3,FALSE))</f>
        <v/>
      </c>
      <c r="Q2640" s="90" t="str">
        <f>IF(VLOOKUP(UncLookup[[#This Row],[Item]],Items!$A$1:$F$43,4,FALSE)=0,"",VLOOKUP(UncLookup[[#This Row],[Item]],Items!$A$1:$F$43,4,FALSE))</f>
        <v/>
      </c>
    </row>
    <row r="2641" spans="1:17" x14ac:dyDescent="0.25">
      <c r="A2641" s="76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90" t="str">
        <f>IF(VLOOKUP(UncLookup[[#This Row],[Item]],Items!$A$1:$F$43,2,FALSE)=0,"",VLOOKUP(UncLookup[[#This Row],[Item]],Items!$A$1:$F$43,2,FALSE))</f>
        <v/>
      </c>
      <c r="P2641" s="90" t="str">
        <f>IF(VLOOKUP(UncLookup[[#This Row],[Item]],Items!$A$1:$F$43,3,FALSE)=0,"",VLOOKUP(UncLookup[[#This Row],[Item]],Items!$A$1:$F$43,3,FALSE))</f>
        <v/>
      </c>
      <c r="Q2641" s="90" t="str">
        <f>IF(VLOOKUP(UncLookup[[#This Row],[Item]],Items!$A$1:$F$43,4,FALSE)=0,"",VLOOKUP(UncLookup[[#This Row],[Item]],Items!$A$1:$F$43,4,FALSE))</f>
        <v/>
      </c>
    </row>
    <row r="2642" spans="1:17" x14ac:dyDescent="0.25">
      <c r="A2642" s="75" t="s">
        <v>70</v>
      </c>
      <c r="B2642" s="75" t="s">
        <v>47</v>
      </c>
      <c r="C2642" s="75">
        <v>0.01</v>
      </c>
      <c r="D2642" s="75">
        <v>0.104</v>
      </c>
      <c r="E2642" s="75">
        <v>1E-3</v>
      </c>
      <c r="F2642" s="75" t="s">
        <v>13</v>
      </c>
      <c r="G2642" s="75" t="s">
        <v>11</v>
      </c>
      <c r="H2642" s="75">
        <v>0.01</v>
      </c>
      <c r="I2642" s="75">
        <v>2</v>
      </c>
      <c r="J2642" s="75" t="s">
        <v>10</v>
      </c>
      <c r="K2642" s="75">
        <v>583.96</v>
      </c>
      <c r="L2642" s="75">
        <v>353.65</v>
      </c>
      <c r="M2642" s="75">
        <v>583.98</v>
      </c>
      <c r="N2642" s="75">
        <v>351.6</v>
      </c>
      <c r="O2642" s="90" t="str">
        <f>IF(VLOOKUP(UncLookup[[#This Row],[Item]],Items!$A$1:$F$43,2,FALSE)=0,"",VLOOKUP(UncLookup[[#This Row],[Item]],Items!$A$1:$F$43,2,FALSE))</f>
        <v/>
      </c>
      <c r="P2642" s="90" t="str">
        <f>IF(VLOOKUP(UncLookup[[#This Row],[Item]],Items!$A$1:$F$43,3,FALSE)=0,"",VLOOKUP(UncLookup[[#This Row],[Item]],Items!$A$1:$F$43,3,FALSE))</f>
        <v/>
      </c>
      <c r="Q2642" s="90" t="str">
        <f>IF(VLOOKUP(UncLookup[[#This Row],[Item]],Items!$A$1:$F$43,4,FALSE)=0,"",VLOOKUP(UncLookup[[#This Row],[Item]],Items!$A$1:$F$43,4,FALSE))</f>
        <v/>
      </c>
    </row>
    <row r="2643" spans="1:17" x14ac:dyDescent="0.25">
      <c r="A2643" s="76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90" t="str">
        <f>IF(VLOOKUP(UncLookup[[#This Row],[Item]],Items!$A$1:$F$43,2,FALSE)=0,"",VLOOKUP(UncLookup[[#This Row],[Item]],Items!$A$1:$F$43,2,FALSE))</f>
        <v/>
      </c>
      <c r="P2643" s="90" t="str">
        <f>IF(VLOOKUP(UncLookup[[#This Row],[Item]],Items!$A$1:$F$43,3,FALSE)=0,"",VLOOKUP(UncLookup[[#This Row],[Item]],Items!$A$1:$F$43,3,FALSE))</f>
        <v/>
      </c>
      <c r="Q2643" s="90" t="str">
        <f>IF(VLOOKUP(UncLookup[[#This Row],[Item]],Items!$A$1:$F$43,4,FALSE)=0,"",VLOOKUP(UncLookup[[#This Row],[Item]],Items!$A$1:$F$43,4,FALSE))</f>
        <v/>
      </c>
    </row>
    <row r="2644" spans="1:17" x14ac:dyDescent="0.25">
      <c r="A2644" s="75" t="s">
        <v>70</v>
      </c>
      <c r="B2644" s="75" t="s">
        <v>47</v>
      </c>
      <c r="C2644" s="75">
        <v>0.1</v>
      </c>
      <c r="D2644" s="75">
        <v>1.04</v>
      </c>
      <c r="E2644" s="75">
        <v>1.0000000000000001E-5</v>
      </c>
      <c r="F2644" s="75" t="s">
        <v>13</v>
      </c>
      <c r="G2644" s="75" t="s">
        <v>12</v>
      </c>
      <c r="H2644" s="75">
        <v>0.01</v>
      </c>
      <c r="I2644" s="75">
        <v>2</v>
      </c>
      <c r="J2644" s="75" t="s">
        <v>10</v>
      </c>
      <c r="K2644" s="75">
        <v>1</v>
      </c>
      <c r="L2644" s="75">
        <v>1.5</v>
      </c>
      <c r="M2644" s="75">
        <v>0.99589000000000005</v>
      </c>
      <c r="N2644" s="75">
        <v>1.4890000000000001</v>
      </c>
      <c r="O2644" s="90" t="str">
        <f>IF(VLOOKUP(UncLookup[[#This Row],[Item]],Items!$A$1:$F$43,2,FALSE)=0,"",VLOOKUP(UncLookup[[#This Row],[Item]],Items!$A$1:$F$43,2,FALSE))</f>
        <v/>
      </c>
      <c r="P2644" s="90" t="str">
        <f>IF(VLOOKUP(UncLookup[[#This Row],[Item]],Items!$A$1:$F$43,3,FALSE)=0,"",VLOOKUP(UncLookup[[#This Row],[Item]],Items!$A$1:$F$43,3,FALSE))</f>
        <v/>
      </c>
      <c r="Q2644" s="90" t="str">
        <f>IF(VLOOKUP(UncLookup[[#This Row],[Item]],Items!$A$1:$F$43,4,FALSE)=0,"",VLOOKUP(UncLookup[[#This Row],[Item]],Items!$A$1:$F$43,4,FALSE))</f>
        <v/>
      </c>
    </row>
    <row r="2645" spans="1:17" x14ac:dyDescent="0.25">
      <c r="A2645" s="76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90" t="str">
        <f>IF(VLOOKUP(UncLookup[[#This Row],[Item]],Items!$A$1:$F$43,2,FALSE)=0,"",VLOOKUP(UncLookup[[#This Row],[Item]],Items!$A$1:$F$43,2,FALSE))</f>
        <v/>
      </c>
      <c r="P2645" s="90" t="str">
        <f>IF(VLOOKUP(UncLookup[[#This Row],[Item]],Items!$A$1:$F$43,3,FALSE)=0,"",VLOOKUP(UncLookup[[#This Row],[Item]],Items!$A$1:$F$43,3,FALSE))</f>
        <v/>
      </c>
      <c r="Q2645" s="90" t="str">
        <f>IF(VLOOKUP(UncLookup[[#This Row],[Item]],Items!$A$1:$F$43,4,FALSE)=0,"",VLOOKUP(UncLookup[[#This Row],[Item]],Items!$A$1:$F$43,4,FALSE))</f>
        <v/>
      </c>
    </row>
    <row r="2646" spans="1:17" x14ac:dyDescent="0.25">
      <c r="A2646" s="75" t="s">
        <v>70</v>
      </c>
      <c r="B2646" s="75" t="s">
        <v>47</v>
      </c>
      <c r="C2646" s="75">
        <v>0.1</v>
      </c>
      <c r="D2646" s="75">
        <v>1.04</v>
      </c>
      <c r="E2646" s="75">
        <v>1E-3</v>
      </c>
      <c r="F2646" s="75" t="s">
        <v>13</v>
      </c>
      <c r="G2646" s="75" t="s">
        <v>12</v>
      </c>
      <c r="H2646" s="75">
        <v>0.01</v>
      </c>
      <c r="I2646" s="75">
        <v>2</v>
      </c>
      <c r="J2646" s="75" t="s">
        <v>10</v>
      </c>
      <c r="K2646" s="75">
        <v>1.1829000000000001</v>
      </c>
      <c r="L2646" s="75">
        <v>1.4133</v>
      </c>
      <c r="M2646" s="75">
        <v>1.1409</v>
      </c>
      <c r="N2646" s="75">
        <v>1.4124000000000001</v>
      </c>
      <c r="O2646" s="90" t="str">
        <f>IF(VLOOKUP(UncLookup[[#This Row],[Item]],Items!$A$1:$F$43,2,FALSE)=0,"",VLOOKUP(UncLookup[[#This Row],[Item]],Items!$A$1:$F$43,2,FALSE))</f>
        <v/>
      </c>
      <c r="P2646" s="90" t="str">
        <f>IF(VLOOKUP(UncLookup[[#This Row],[Item]],Items!$A$1:$F$43,3,FALSE)=0,"",VLOOKUP(UncLookup[[#This Row],[Item]],Items!$A$1:$F$43,3,FALSE))</f>
        <v/>
      </c>
      <c r="Q2646" s="90" t="str">
        <f>IF(VLOOKUP(UncLookup[[#This Row],[Item]],Items!$A$1:$F$43,4,FALSE)=0,"",VLOOKUP(UncLookup[[#This Row],[Item]],Items!$A$1:$F$43,4,FALSE))</f>
        <v/>
      </c>
    </row>
    <row r="2647" spans="1:17" x14ac:dyDescent="0.25">
      <c r="A2647" s="76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90" t="str">
        <f>IF(VLOOKUP(UncLookup[[#This Row],[Item]],Items!$A$1:$F$43,2,FALSE)=0,"",VLOOKUP(UncLookup[[#This Row],[Item]],Items!$A$1:$F$43,2,FALSE))</f>
        <v/>
      </c>
      <c r="P2647" s="90" t="str">
        <f>IF(VLOOKUP(UncLookup[[#This Row],[Item]],Items!$A$1:$F$43,3,FALSE)=0,"",VLOOKUP(UncLookup[[#This Row],[Item]],Items!$A$1:$F$43,3,FALSE))</f>
        <v/>
      </c>
      <c r="Q2647" s="90" t="str">
        <f>IF(VLOOKUP(UncLookup[[#This Row],[Item]],Items!$A$1:$F$43,4,FALSE)=0,"",VLOOKUP(UncLookup[[#This Row],[Item]],Items!$A$1:$F$43,4,FALSE))</f>
        <v/>
      </c>
    </row>
    <row r="2648" spans="1:17" x14ac:dyDescent="0.25">
      <c r="A2648" s="75" t="s">
        <v>70</v>
      </c>
      <c r="B2648" s="75" t="s">
        <v>47</v>
      </c>
      <c r="C2648" s="75">
        <v>0.1</v>
      </c>
      <c r="D2648" s="75">
        <v>1.04</v>
      </c>
      <c r="E2648" s="75">
        <v>0.1</v>
      </c>
      <c r="F2648" s="75" t="s">
        <v>13</v>
      </c>
      <c r="G2648" s="75" t="s">
        <v>12</v>
      </c>
      <c r="H2648" s="75">
        <v>0.01</v>
      </c>
      <c r="I2648" s="75">
        <v>2</v>
      </c>
      <c r="J2648" s="75" t="s">
        <v>10</v>
      </c>
      <c r="K2648" s="75">
        <v>57.947000000000003</v>
      </c>
      <c r="L2648" s="75">
        <v>0.32961000000000001</v>
      </c>
      <c r="M2648" s="75">
        <v>57.91</v>
      </c>
      <c r="N2648" s="75">
        <v>0.32873000000000002</v>
      </c>
      <c r="O2648" s="90" t="str">
        <f>IF(VLOOKUP(UncLookup[[#This Row],[Item]],Items!$A$1:$F$43,2,FALSE)=0,"",VLOOKUP(UncLookup[[#This Row],[Item]],Items!$A$1:$F$43,2,FALSE))</f>
        <v/>
      </c>
      <c r="P2648" s="90" t="str">
        <f>IF(VLOOKUP(UncLookup[[#This Row],[Item]],Items!$A$1:$F$43,3,FALSE)=0,"",VLOOKUP(UncLookup[[#This Row],[Item]],Items!$A$1:$F$43,3,FALSE))</f>
        <v/>
      </c>
      <c r="Q2648" s="90" t="str">
        <f>IF(VLOOKUP(UncLookup[[#This Row],[Item]],Items!$A$1:$F$43,4,FALSE)=0,"",VLOOKUP(UncLookup[[#This Row],[Item]],Items!$A$1:$F$43,4,FALSE))</f>
        <v/>
      </c>
    </row>
    <row r="2649" spans="1:17" x14ac:dyDescent="0.25">
      <c r="A2649" s="76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90" t="str">
        <f>IF(VLOOKUP(UncLookup[[#This Row],[Item]],Items!$A$1:$F$43,2,FALSE)=0,"",VLOOKUP(UncLookup[[#This Row],[Item]],Items!$A$1:$F$43,2,FALSE))</f>
        <v/>
      </c>
      <c r="P2649" s="90" t="str">
        <f>IF(VLOOKUP(UncLookup[[#This Row],[Item]],Items!$A$1:$F$43,3,FALSE)=0,"",VLOOKUP(UncLookup[[#This Row],[Item]],Items!$A$1:$F$43,3,FALSE))</f>
        <v/>
      </c>
      <c r="Q2649" s="90" t="str">
        <f>IF(VLOOKUP(UncLookup[[#This Row],[Item]],Items!$A$1:$F$43,4,FALSE)=0,"",VLOOKUP(UncLookup[[#This Row],[Item]],Items!$A$1:$F$43,4,FALSE))</f>
        <v/>
      </c>
    </row>
    <row r="2650" spans="1:17" x14ac:dyDescent="0.25">
      <c r="A2650" s="75" t="s">
        <v>70</v>
      </c>
      <c r="B2650" s="75" t="s">
        <v>47</v>
      </c>
      <c r="C2650" s="75">
        <v>1</v>
      </c>
      <c r="D2650" s="75">
        <v>10.4</v>
      </c>
      <c r="E2650" s="75">
        <v>1E-3</v>
      </c>
      <c r="F2650" s="75" t="s">
        <v>13</v>
      </c>
      <c r="G2650" s="75" t="s">
        <v>12</v>
      </c>
      <c r="H2650" s="75">
        <v>0.01</v>
      </c>
      <c r="I2650" s="75">
        <v>2</v>
      </c>
      <c r="J2650" s="75" t="s">
        <v>10</v>
      </c>
      <c r="K2650" s="75">
        <v>18</v>
      </c>
      <c r="L2650" s="75">
        <v>1.3998999999999999</v>
      </c>
      <c r="M2650" s="75">
        <v>17.138000000000002</v>
      </c>
      <c r="N2650" s="75">
        <v>1.3996999999999999</v>
      </c>
      <c r="O2650" s="90" t="str">
        <f>IF(VLOOKUP(UncLookup[[#This Row],[Item]],Items!$A$1:$F$43,2,FALSE)=0,"",VLOOKUP(UncLookup[[#This Row],[Item]],Items!$A$1:$F$43,2,FALSE))</f>
        <v/>
      </c>
      <c r="P2650" s="90" t="str">
        <f>IF(VLOOKUP(UncLookup[[#This Row],[Item]],Items!$A$1:$F$43,3,FALSE)=0,"",VLOOKUP(UncLookup[[#This Row],[Item]],Items!$A$1:$F$43,3,FALSE))</f>
        <v/>
      </c>
      <c r="Q2650" s="90" t="str">
        <f>IF(VLOOKUP(UncLookup[[#This Row],[Item]],Items!$A$1:$F$43,4,FALSE)=0,"",VLOOKUP(UncLookup[[#This Row],[Item]],Items!$A$1:$F$43,4,FALSE))</f>
        <v/>
      </c>
    </row>
    <row r="2651" spans="1:17" x14ac:dyDescent="0.25">
      <c r="A2651" s="76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90" t="str">
        <f>IF(VLOOKUP(UncLookup[[#This Row],[Item]],Items!$A$1:$F$43,2,FALSE)=0,"",VLOOKUP(UncLookup[[#This Row],[Item]],Items!$A$1:$F$43,2,FALSE))</f>
        <v/>
      </c>
      <c r="P2651" s="90" t="str">
        <f>IF(VLOOKUP(UncLookup[[#This Row],[Item]],Items!$A$1:$F$43,3,FALSE)=0,"",VLOOKUP(UncLookup[[#This Row],[Item]],Items!$A$1:$F$43,3,FALSE))</f>
        <v/>
      </c>
      <c r="Q2651" s="90" t="str">
        <f>IF(VLOOKUP(UncLookup[[#This Row],[Item]],Items!$A$1:$F$43,4,FALSE)=0,"",VLOOKUP(UncLookup[[#This Row],[Item]],Items!$A$1:$F$43,4,FALSE))</f>
        <v/>
      </c>
    </row>
    <row r="2652" spans="1:17" x14ac:dyDescent="0.25">
      <c r="A2652" s="75" t="s">
        <v>70</v>
      </c>
      <c r="B2652" s="75" t="s">
        <v>47</v>
      </c>
      <c r="C2652" s="75">
        <v>1</v>
      </c>
      <c r="D2652" s="75">
        <v>10.4</v>
      </c>
      <c r="E2652" s="75">
        <v>0.1</v>
      </c>
      <c r="F2652" s="75" t="s">
        <v>13</v>
      </c>
      <c r="G2652" s="75" t="s">
        <v>12</v>
      </c>
      <c r="H2652" s="75">
        <v>0.01</v>
      </c>
      <c r="I2652" s="75">
        <v>2</v>
      </c>
      <c r="J2652" s="75" t="s">
        <v>10</v>
      </c>
      <c r="K2652" s="75">
        <v>60.057000000000002</v>
      </c>
      <c r="L2652" s="75">
        <v>0.58243</v>
      </c>
      <c r="M2652" s="75">
        <v>60.055</v>
      </c>
      <c r="N2652" s="75">
        <v>0.58052000000000004</v>
      </c>
      <c r="O2652" s="90" t="str">
        <f>IF(VLOOKUP(UncLookup[[#This Row],[Item]],Items!$A$1:$F$43,2,FALSE)=0,"",VLOOKUP(UncLookup[[#This Row],[Item]],Items!$A$1:$F$43,2,FALSE))</f>
        <v/>
      </c>
      <c r="P2652" s="90" t="str">
        <f>IF(VLOOKUP(UncLookup[[#This Row],[Item]],Items!$A$1:$F$43,3,FALSE)=0,"",VLOOKUP(UncLookup[[#This Row],[Item]],Items!$A$1:$F$43,3,FALSE))</f>
        <v/>
      </c>
      <c r="Q2652" s="90" t="str">
        <f>IF(VLOOKUP(UncLookup[[#This Row],[Item]],Items!$A$1:$F$43,4,FALSE)=0,"",VLOOKUP(UncLookup[[#This Row],[Item]],Items!$A$1:$F$43,4,FALSE))</f>
        <v/>
      </c>
    </row>
    <row r="2653" spans="1:17" x14ac:dyDescent="0.25">
      <c r="A2653" s="76" t="s">
        <v>70</v>
      </c>
      <c r="B2653" s="76" t="s">
        <v>47</v>
      </c>
      <c r="C2653" s="76">
        <v>1</v>
      </c>
      <c r="D2653" s="76">
        <v>10.4</v>
      </c>
      <c r="E2653" s="76">
        <v>1</v>
      </c>
      <c r="F2653" s="76" t="s">
        <v>13</v>
      </c>
      <c r="G2653" s="76" t="s">
        <v>12</v>
      </c>
      <c r="H2653" s="76">
        <v>0.01</v>
      </c>
      <c r="I2653" s="76">
        <v>2</v>
      </c>
      <c r="J2653" s="76" t="s">
        <v>10</v>
      </c>
      <c r="K2653" s="76">
        <v>579.27</v>
      </c>
      <c r="L2653" s="76">
        <v>0.34275</v>
      </c>
      <c r="M2653" s="76">
        <v>579.27</v>
      </c>
      <c r="N2653" s="76">
        <v>0.34186</v>
      </c>
      <c r="O2653" s="90" t="str">
        <f>IF(VLOOKUP(UncLookup[[#This Row],[Item]],Items!$A$1:$F$43,2,FALSE)=0,"",VLOOKUP(UncLookup[[#This Row],[Item]],Items!$A$1:$F$43,2,FALSE))</f>
        <v/>
      </c>
      <c r="P2653" s="90" t="str">
        <f>IF(VLOOKUP(UncLookup[[#This Row],[Item]],Items!$A$1:$F$43,3,FALSE)=0,"",VLOOKUP(UncLookup[[#This Row],[Item]],Items!$A$1:$F$43,3,FALSE))</f>
        <v/>
      </c>
      <c r="Q2653" s="90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2023-08-15T18:28:26Z</dcterms:modified>
</cp:coreProperties>
</file>